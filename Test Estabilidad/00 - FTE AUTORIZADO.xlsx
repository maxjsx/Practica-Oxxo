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comments8.xml" ContentType="application/vnd.openxmlformats-officedocument.spreadsheetml.comments+xml"/>
  <Override PartName="/xl/threadedComments/threadedComment8.xml" ContentType="application/vnd.ms-excel.threadedcomments+xml"/>
  <Override PartName="/xl/comments9.xml" ContentType="application/vnd.openxmlformats-officedocument.spreadsheetml.comments+xml"/>
  <Override PartName="/xl/threadedComments/threadedComment9.xml" ContentType="application/vnd.ms-excel.threadedcomments+xml"/>
  <Override PartName="/xl/comments10.xml" ContentType="application/vnd.openxmlformats-officedocument.spreadsheetml.comments+xml"/>
  <Override PartName="/xl/threadedComments/threadedComment10.xml" ContentType="application/vnd.ms-excel.threadedcomments+xml"/>
  <Override PartName="/xl/comments11.xml" ContentType="application/vnd.openxmlformats-officedocument.spreadsheetml.comments+xml"/>
  <Override PartName="/xl/threadedComments/threadedComment11.xml" ContentType="application/vnd.ms-excel.threadedcomments+xml"/>
  <Override PartName="/xl/comments12.xml" ContentType="application/vnd.openxmlformats-officedocument.spreadsheetml.comments+xml"/>
  <Override PartName="/xl/threadedComments/threadedComment12.xml" ContentType="application/vnd.ms-excel.threadedcomments+xml"/>
  <Override PartName="/xl/comments13.xml" ContentType="application/vnd.openxmlformats-officedocument.spreadsheetml.comments+xml"/>
  <Override PartName="/xl/threadedComments/threadedComment13.xml" ContentType="application/vnd.ms-excel.threadedcomments+xml"/>
  <Override PartName="/xl/comments14.xml" ContentType="application/vnd.openxmlformats-officedocument.spreadsheetml.comments+xml"/>
  <Override PartName="/xl/threadedComments/threadedComment14.xml" ContentType="application/vnd.ms-excel.threadedcomments+xml"/>
  <Override PartName="/xl/comments15.xml" ContentType="application/vnd.openxmlformats-officedocument.spreadsheetml.comments+xml"/>
  <Override PartName="/xl/threadedComments/threadedComment15.xml" ContentType="application/vnd.ms-excel.threaded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femcom.sharepoint.com/sites/RRHHChile/Documentos compartidos/BASES PBI/FTE/"/>
    </mc:Choice>
  </mc:AlternateContent>
  <xr:revisionPtr revIDLastSave="914" documentId="8_{FF35AA8D-A2AB-44C7-B6E9-595EEB573541}" xr6:coauthVersionLast="47" xr6:coauthVersionMax="47" xr10:uidLastSave="{693A6CFD-7F7D-4ABD-9B2D-036FC03C1B8C}"/>
  <bookViews>
    <workbookView minimized="1" xWindow="9690" yWindow="2290" windowWidth="9600" windowHeight="4850" tabRatio="767" activeTab="1" xr2:uid="{72B04C23-E887-44CD-B989-D06233A5921F}"/>
  </bookViews>
  <sheets>
    <sheet name="COMPOSICION FTE" sheetId="4" r:id="rId1"/>
    <sheet name="ABRIL_26" sheetId="39" r:id="rId2"/>
    <sheet name="MARZO_26 " sheetId="37" r:id="rId3"/>
    <sheet name="FEB_26" sheetId="34" r:id="rId4"/>
    <sheet name="Hoja2" sheetId="36" r:id="rId5"/>
    <sheet name="Hoja1" sheetId="35" r:id="rId6"/>
    <sheet name="ENERO_26" sheetId="33" r:id="rId7"/>
    <sheet name="DICIEMBRE_25" sheetId="32" r:id="rId8"/>
    <sheet name="NOVIEMBRE_25" sheetId="31" r:id="rId9"/>
    <sheet name="OCTUBRE_25" sheetId="30" r:id="rId10"/>
    <sheet name="SEPTIEMBRE_25" sheetId="29" r:id="rId11"/>
    <sheet name="AGOSTO" sheetId="28" r:id="rId12"/>
    <sheet name="JULIO" sheetId="27" r:id="rId13"/>
    <sheet name="JUNIO" sheetId="25" r:id="rId14"/>
    <sheet name="MAYO" sheetId="24" r:id="rId15"/>
    <sheet name="ABRIL" sheetId="21" r:id="rId16"/>
    <sheet name="MARZO" sheetId="17" r:id="rId17"/>
    <sheet name="FEB_25" sheetId="12" r:id="rId18"/>
    <sheet name="ENE_25" sheetId="10" r:id="rId19"/>
    <sheet name="Hoja3" sheetId="38" r:id="rId20"/>
  </sheets>
  <externalReferences>
    <externalReference r:id="rId21"/>
    <externalReference r:id="rId22"/>
    <externalReference r:id="rId23"/>
  </externalReferences>
  <definedNames>
    <definedName name="_xlnm._FilterDatabase" localSheetId="15" hidden="1">ABRIL!$C$3:$Q$359</definedName>
    <definedName name="_xlnm._FilterDatabase" localSheetId="1" hidden="1">ABRIL_26!$C$7:$AE$369</definedName>
    <definedName name="_xlnm._FilterDatabase" localSheetId="11" hidden="1">AGOSTO!$C$3:$S$361</definedName>
    <definedName name="_xlnm._FilterDatabase" localSheetId="7" hidden="1">DICIEMBRE_25!$C$7:$V$367</definedName>
    <definedName name="_xlnm._FilterDatabase" localSheetId="18" hidden="1">ENE_25!$C$3:$N$360</definedName>
    <definedName name="_xlnm._FilterDatabase" localSheetId="6" hidden="1">ENERO_26!$C$7:$V$369</definedName>
    <definedName name="_xlnm._FilterDatabase" localSheetId="17" hidden="1">FEB_25!$C$3:$P$411</definedName>
    <definedName name="_xlnm._FilterDatabase" localSheetId="3" hidden="1">FEB_26!$C$7:$AC$369</definedName>
    <definedName name="_xlnm._FilterDatabase" localSheetId="12" hidden="1">JULIO!$C$3:$S$360</definedName>
    <definedName name="_xlnm._FilterDatabase" localSheetId="13" hidden="1">JUNIO!$C$3:$S$360</definedName>
    <definedName name="_xlnm._FilterDatabase" localSheetId="16" hidden="1">MARZO!$C$3:$P$396</definedName>
    <definedName name="_xlnm._FilterDatabase" localSheetId="2" hidden="1">'MARZO_26 '!$C$7:$AE$369</definedName>
    <definedName name="_xlnm._FilterDatabase" localSheetId="14" hidden="1">MAYO!$C$3:$Q$360</definedName>
    <definedName name="_xlnm._FilterDatabase" localSheetId="8" hidden="1">NOVIEMBRE_25!$C$7:$W$367</definedName>
    <definedName name="_xlnm._FilterDatabase" localSheetId="9" hidden="1">OCTUBRE_25!$C$7:$T$367</definedName>
    <definedName name="_xlnm._FilterDatabase" localSheetId="10" hidden="1">SEPTIEMBRE_25!$C$7:$S$365</definedName>
  </definedNames>
  <calcPr calcId="191028"/>
  <pivotCaches>
    <pivotCache cacheId="362" r:id="rId24"/>
    <pivotCache cacheId="363" r:id="rId2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369" i="39" l="1"/>
  <c r="AE368" i="39"/>
  <c r="AE361" i="39"/>
  <c r="AE359" i="39"/>
  <c r="AE358" i="39"/>
  <c r="AD358" i="39"/>
  <c r="AE357" i="39"/>
  <c r="AE356" i="39"/>
  <c r="AE355" i="39"/>
  <c r="AE354" i="39"/>
  <c r="AE353" i="39"/>
  <c r="AE352" i="39"/>
  <c r="AE351" i="39"/>
  <c r="AE350" i="39"/>
  <c r="AE349" i="39"/>
  <c r="AE336" i="39"/>
  <c r="AE332" i="39"/>
  <c r="AE331" i="39"/>
  <c r="AE330" i="39"/>
  <c r="AE329" i="39"/>
  <c r="AE328" i="39"/>
  <c r="AE326" i="39"/>
  <c r="AE325" i="39"/>
  <c r="AE323" i="39"/>
  <c r="AE322" i="39"/>
  <c r="AE321" i="39"/>
  <c r="AE320" i="39"/>
  <c r="AE319" i="39"/>
  <c r="AE318" i="39"/>
  <c r="AE316" i="39"/>
  <c r="AE315" i="39"/>
  <c r="AE314" i="39"/>
  <c r="AE313" i="39"/>
  <c r="AE312" i="39"/>
  <c r="AE310" i="39"/>
  <c r="AE308" i="39"/>
  <c r="AE305" i="39"/>
  <c r="AE304" i="39"/>
  <c r="AD302" i="39"/>
  <c r="AE299" i="39"/>
  <c r="AE298" i="39"/>
  <c r="AE297" i="39"/>
  <c r="AE296" i="39"/>
  <c r="AE295" i="39"/>
  <c r="AE294" i="39"/>
  <c r="AE293" i="39"/>
  <c r="AE290" i="39"/>
  <c r="AE288" i="39"/>
  <c r="AE287" i="39"/>
  <c r="AE286" i="39"/>
  <c r="AE285" i="39"/>
  <c r="AE284" i="39"/>
  <c r="AD283" i="39"/>
  <c r="AE281" i="39"/>
  <c r="AE278" i="39"/>
  <c r="AE276" i="39"/>
  <c r="AE275" i="39"/>
  <c r="AE274" i="39"/>
  <c r="AE273" i="39"/>
  <c r="AD273" i="39"/>
  <c r="AE272" i="39"/>
  <c r="AE262" i="39"/>
  <c r="AE259" i="39"/>
  <c r="AE258" i="39"/>
  <c r="AE254" i="39"/>
  <c r="AD254" i="39"/>
  <c r="AE248" i="39"/>
  <c r="AE246" i="39"/>
  <c r="AE245" i="39"/>
  <c r="AE244" i="39"/>
  <c r="AE243" i="39"/>
  <c r="AE242" i="39"/>
  <c r="AE240" i="39"/>
  <c r="AE239" i="39"/>
  <c r="AE238" i="39"/>
  <c r="AE237" i="39"/>
  <c r="AE236" i="39"/>
  <c r="AE235" i="39"/>
  <c r="AE233" i="39"/>
  <c r="AE232" i="39"/>
  <c r="AE231" i="39"/>
  <c r="AE230" i="39"/>
  <c r="AE229" i="39"/>
  <c r="AE228" i="39"/>
  <c r="AE227" i="39"/>
  <c r="AE226" i="39"/>
  <c r="AD226" i="39"/>
  <c r="AE225" i="39"/>
  <c r="AE208" i="39"/>
  <c r="AE207" i="39"/>
  <c r="AE206" i="39"/>
  <c r="AD206" i="39"/>
  <c r="AE204" i="39"/>
  <c r="AE203" i="39"/>
  <c r="AE202" i="39"/>
  <c r="AE195" i="39"/>
  <c r="AE194" i="39"/>
  <c r="AE193" i="39"/>
  <c r="AE192" i="39"/>
  <c r="AE191" i="39"/>
  <c r="AE190" i="39"/>
  <c r="AE189" i="39"/>
  <c r="AE188" i="39"/>
  <c r="AE187" i="39"/>
  <c r="AE186" i="39"/>
  <c r="AE185" i="39"/>
  <c r="AE184" i="39"/>
  <c r="AD181" i="39"/>
  <c r="AE177" i="39"/>
  <c r="AE170" i="39"/>
  <c r="AE169" i="39"/>
  <c r="AE167" i="39"/>
  <c r="AE166" i="39"/>
  <c r="AD162" i="39"/>
  <c r="AE159" i="39"/>
  <c r="AE157" i="39"/>
  <c r="AE153" i="39"/>
  <c r="AE152" i="39"/>
  <c r="AE150" i="39"/>
  <c r="AE149" i="39"/>
  <c r="AD144" i="39"/>
  <c r="AE143" i="39"/>
  <c r="AE141" i="39"/>
  <c r="AE140" i="39"/>
  <c r="AE138" i="39"/>
  <c r="AE137" i="39"/>
  <c r="AE135" i="39"/>
  <c r="AE134" i="39"/>
  <c r="AE133" i="39"/>
  <c r="AE132" i="39"/>
  <c r="AE131" i="39"/>
  <c r="AE130" i="39"/>
  <c r="AE129" i="39"/>
  <c r="AE128" i="39"/>
  <c r="AE127" i="39"/>
  <c r="AE126" i="39"/>
  <c r="AE125" i="39"/>
  <c r="AE124" i="39"/>
  <c r="AE123" i="39"/>
  <c r="AE122" i="39"/>
  <c r="AE121" i="39"/>
  <c r="AE120" i="39"/>
  <c r="AE119" i="39"/>
  <c r="AE118" i="39"/>
  <c r="AE117" i="39"/>
  <c r="AE116" i="39"/>
  <c r="AE115" i="39"/>
  <c r="AE114" i="39"/>
  <c r="AE113" i="39"/>
  <c r="AE112" i="39"/>
  <c r="AE111" i="39"/>
  <c r="AE110" i="39"/>
  <c r="AE109" i="39"/>
  <c r="AE108" i="39"/>
  <c r="AE107" i="39"/>
  <c r="AE106" i="39"/>
  <c r="AE105" i="39"/>
  <c r="AE104" i="39"/>
  <c r="AE103" i="39"/>
  <c r="AE102" i="39"/>
  <c r="AE101" i="39"/>
  <c r="AE100" i="39"/>
  <c r="AE99" i="39"/>
  <c r="AE98" i="39"/>
  <c r="AE97" i="39"/>
  <c r="AE96" i="39"/>
  <c r="AE95" i="39"/>
  <c r="AE94" i="39"/>
  <c r="AE93" i="39"/>
  <c r="AE92" i="39"/>
  <c r="AE91" i="39"/>
  <c r="AE90" i="39"/>
  <c r="AE89" i="39"/>
  <c r="AE88" i="39"/>
  <c r="AE87" i="39"/>
  <c r="AE86" i="39"/>
  <c r="AE85" i="39"/>
  <c r="AE84" i="39"/>
  <c r="AE83" i="39"/>
  <c r="AE82" i="39"/>
  <c r="AE81" i="39"/>
  <c r="AE80" i="39"/>
  <c r="AE79" i="39"/>
  <c r="AE78" i="39"/>
  <c r="AE77" i="39"/>
  <c r="AE76" i="39"/>
  <c r="AE75" i="39"/>
  <c r="AE74" i="39"/>
  <c r="AE73" i="39"/>
  <c r="AE72" i="39"/>
  <c r="AE71" i="39"/>
  <c r="AE70" i="39"/>
  <c r="AE69" i="39"/>
  <c r="AE68" i="39"/>
  <c r="AE67" i="39"/>
  <c r="AE66" i="39"/>
  <c r="AE65" i="39"/>
  <c r="AE64" i="39"/>
  <c r="AE63" i="39"/>
  <c r="AD63" i="39"/>
  <c r="AE62" i="39"/>
  <c r="AE61" i="39"/>
  <c r="AE60" i="39"/>
  <c r="AE59" i="39"/>
  <c r="AE58" i="39"/>
  <c r="AE57" i="39"/>
  <c r="AE56" i="39"/>
  <c r="AE55" i="39"/>
  <c r="AE54" i="39"/>
  <c r="AE53" i="39"/>
  <c r="AE52" i="39"/>
  <c r="AE51" i="39"/>
  <c r="AE50" i="39"/>
  <c r="AE49" i="39"/>
  <c r="AE48" i="39"/>
  <c r="AE47" i="39"/>
  <c r="AE46" i="39"/>
  <c r="AE45" i="39"/>
  <c r="AE44" i="39"/>
  <c r="AE43" i="39"/>
  <c r="AD43" i="39"/>
  <c r="AE42" i="39"/>
  <c r="AE41" i="39"/>
  <c r="AE40" i="39"/>
  <c r="AE39" i="39"/>
  <c r="AE38" i="39"/>
  <c r="AE37" i="39"/>
  <c r="AE36" i="39"/>
  <c r="AE35" i="39"/>
  <c r="AE34" i="39"/>
  <c r="AE33" i="39"/>
  <c r="AE32" i="39"/>
  <c r="AE31" i="39"/>
  <c r="AD31" i="39"/>
  <c r="AE30" i="39"/>
  <c r="AE29" i="39"/>
  <c r="AE28" i="39"/>
  <c r="AE27" i="39"/>
  <c r="AE26" i="39"/>
  <c r="AE25" i="39"/>
  <c r="AE24" i="39"/>
  <c r="AE23" i="39"/>
  <c r="AE22" i="39"/>
  <c r="AE21" i="39"/>
  <c r="AE20" i="39"/>
  <c r="AE19" i="39"/>
  <c r="AD19" i="39"/>
  <c r="AE18" i="39"/>
  <c r="AE17" i="39"/>
  <c r="AE16" i="39"/>
  <c r="AE15" i="39"/>
  <c r="AE14" i="39"/>
  <c r="AE13" i="39"/>
  <c r="AE12" i="39"/>
  <c r="AE11" i="39"/>
  <c r="AD11" i="39"/>
  <c r="AE10" i="39"/>
  <c r="AE9" i="39"/>
  <c r="AE8" i="39"/>
  <c r="AC6" i="39"/>
  <c r="AB6" i="39"/>
  <c r="AA6" i="39"/>
  <c r="AD363" i="39" s="1"/>
  <c r="Z6" i="39"/>
  <c r="AD362" i="39" s="1"/>
  <c r="J6" i="39"/>
  <c r="K6" i="39" s="1"/>
  <c r="L6" i="39" s="1"/>
  <c r="M6" i="39" s="1"/>
  <c r="N6" i="39" s="1"/>
  <c r="O6" i="39" s="1"/>
  <c r="P6" i="39" s="1"/>
  <c r="Q6" i="39" s="1"/>
  <c r="R6" i="39" s="1"/>
  <c r="S6" i="39" s="1"/>
  <c r="T6" i="39" s="1"/>
  <c r="I6" i="39"/>
  <c r="H6" i="39"/>
  <c r="E6" i="39"/>
  <c r="F6" i="39" s="1"/>
  <c r="D6" i="39"/>
  <c r="AE9" i="37"/>
  <c r="AE10" i="37"/>
  <c r="AE11" i="37"/>
  <c r="AE12" i="37"/>
  <c r="AE13" i="37"/>
  <c r="AE14" i="37"/>
  <c r="AE15" i="37"/>
  <c r="AE16" i="37"/>
  <c r="AE17" i="37"/>
  <c r="AE18" i="37"/>
  <c r="AE19" i="37"/>
  <c r="AE20" i="37"/>
  <c r="AE21" i="37"/>
  <c r="AE22" i="37"/>
  <c r="AE23" i="37"/>
  <c r="AE24" i="37"/>
  <c r="AE25" i="37"/>
  <c r="AE26" i="37"/>
  <c r="AE27" i="37"/>
  <c r="AE28" i="37"/>
  <c r="AE29" i="37"/>
  <c r="AE30" i="37"/>
  <c r="AE31" i="37"/>
  <c r="AE32" i="37"/>
  <c r="AE33" i="37"/>
  <c r="AE34" i="37"/>
  <c r="AE35" i="37"/>
  <c r="AE36" i="37"/>
  <c r="AE37" i="37"/>
  <c r="AE38" i="37"/>
  <c r="AE39" i="37"/>
  <c r="AE40" i="37"/>
  <c r="AE41" i="37"/>
  <c r="AE42" i="37"/>
  <c r="AE43" i="37"/>
  <c r="AE44" i="37"/>
  <c r="AE45" i="37"/>
  <c r="AE46" i="37"/>
  <c r="AE47" i="37"/>
  <c r="AE48" i="37"/>
  <c r="AE49" i="37"/>
  <c r="AE50" i="37"/>
  <c r="AE51" i="37"/>
  <c r="AE52" i="37"/>
  <c r="AE53" i="37"/>
  <c r="AE54" i="37"/>
  <c r="AE55" i="37"/>
  <c r="AE56" i="37"/>
  <c r="AE57" i="37"/>
  <c r="AE58" i="37"/>
  <c r="AE59" i="37"/>
  <c r="AE60" i="37"/>
  <c r="AE61" i="37"/>
  <c r="AE62" i="37"/>
  <c r="AE63" i="37"/>
  <c r="AE64" i="37"/>
  <c r="AE65" i="37"/>
  <c r="AE66" i="37"/>
  <c r="AE67" i="37"/>
  <c r="AE68" i="37"/>
  <c r="AE69" i="37"/>
  <c r="AE70" i="37"/>
  <c r="AE71" i="37"/>
  <c r="AE72" i="37"/>
  <c r="AE73" i="37"/>
  <c r="AE74" i="37"/>
  <c r="AE75" i="37"/>
  <c r="AE76" i="37"/>
  <c r="AE77" i="37"/>
  <c r="AE78" i="37"/>
  <c r="AE79" i="37"/>
  <c r="AE80" i="37"/>
  <c r="AE81" i="37"/>
  <c r="AE82" i="37"/>
  <c r="AE83" i="37"/>
  <c r="AE84" i="37"/>
  <c r="AE85" i="37"/>
  <c r="AE86" i="37"/>
  <c r="AE87" i="37"/>
  <c r="AE88" i="37"/>
  <c r="AE89" i="37"/>
  <c r="AE90" i="37"/>
  <c r="AE91" i="37"/>
  <c r="AE92" i="37"/>
  <c r="AE93" i="37"/>
  <c r="AE94" i="37"/>
  <c r="AE95" i="37"/>
  <c r="AE96" i="37"/>
  <c r="AE97" i="37"/>
  <c r="AE98" i="37"/>
  <c r="AE99" i="37"/>
  <c r="AE100" i="37"/>
  <c r="AE101" i="37"/>
  <c r="AE102" i="37"/>
  <c r="AE103" i="37"/>
  <c r="AE104" i="37"/>
  <c r="AE105" i="37"/>
  <c r="AE106" i="37"/>
  <c r="AE107" i="37"/>
  <c r="AE108" i="37"/>
  <c r="AE109" i="37"/>
  <c r="AE110" i="37"/>
  <c r="AE111" i="37"/>
  <c r="AE112" i="37"/>
  <c r="AE113" i="37"/>
  <c r="AE114" i="37"/>
  <c r="AE115" i="37"/>
  <c r="AE116" i="37"/>
  <c r="AE117" i="37"/>
  <c r="AE118" i="37"/>
  <c r="AE119" i="37"/>
  <c r="AE120" i="37"/>
  <c r="AE121" i="37"/>
  <c r="AE122" i="37"/>
  <c r="AE123" i="37"/>
  <c r="AE124" i="37"/>
  <c r="AE125" i="37"/>
  <c r="AE126" i="37"/>
  <c r="AE127" i="37"/>
  <c r="AE128" i="37"/>
  <c r="AE129" i="37"/>
  <c r="AE130" i="37"/>
  <c r="AE131" i="37"/>
  <c r="AE132" i="37"/>
  <c r="AE133" i="37"/>
  <c r="AE134" i="37"/>
  <c r="AE135" i="37"/>
  <c r="AE137" i="37"/>
  <c r="AE138" i="37"/>
  <c r="AE140" i="37"/>
  <c r="AE141" i="37"/>
  <c r="AE143" i="37"/>
  <c r="AE149" i="37"/>
  <c r="AE150" i="37"/>
  <c r="AE152" i="37"/>
  <c r="AE153" i="37"/>
  <c r="AE157" i="37"/>
  <c r="AE159" i="37"/>
  <c r="AE166" i="37"/>
  <c r="AE167" i="37"/>
  <c r="AE169" i="37"/>
  <c r="AE326" i="37"/>
  <c r="AE177" i="37"/>
  <c r="AE184" i="37"/>
  <c r="AE355" i="37"/>
  <c r="AE328" i="37"/>
  <c r="AE187" i="37"/>
  <c r="AE188" i="37"/>
  <c r="AE329" i="37"/>
  <c r="AE325" i="37"/>
  <c r="AE191" i="37"/>
  <c r="AE192" i="37"/>
  <c r="AE193" i="37"/>
  <c r="AE194" i="37"/>
  <c r="AE195" i="37"/>
  <c r="AE202" i="37"/>
  <c r="AE203" i="37"/>
  <c r="AE204" i="37"/>
  <c r="AE206" i="37"/>
  <c r="AE207" i="37"/>
  <c r="AE208" i="37"/>
  <c r="AE225" i="37"/>
  <c r="AE226" i="37"/>
  <c r="AE227" i="37"/>
  <c r="AE228" i="37"/>
  <c r="AE229" i="37"/>
  <c r="AE243" i="37"/>
  <c r="AE258" i="37"/>
  <c r="AE232" i="37"/>
  <c r="AE233" i="37"/>
  <c r="AE320" i="37"/>
  <c r="AE321" i="37"/>
  <c r="AE237" i="37"/>
  <c r="AE238" i="37"/>
  <c r="AE239" i="37"/>
  <c r="AE240" i="37"/>
  <c r="AE242" i="37"/>
  <c r="AE284" i="37"/>
  <c r="AE244" i="37"/>
  <c r="AE245" i="37"/>
  <c r="AE246" i="37"/>
  <c r="AE248" i="37"/>
  <c r="AE254" i="37"/>
  <c r="AE293" i="37"/>
  <c r="AE259" i="37"/>
  <c r="AE262" i="37"/>
  <c r="AE272" i="37"/>
  <c r="AE273" i="37"/>
  <c r="AE274" i="37"/>
  <c r="AE275" i="37"/>
  <c r="AE276" i="37"/>
  <c r="AE278" i="37"/>
  <c r="AE281" i="37"/>
  <c r="AE230" i="37"/>
  <c r="AE285" i="37"/>
  <c r="AE286" i="37"/>
  <c r="AE287" i="37"/>
  <c r="AE288" i="37"/>
  <c r="AE290" i="37"/>
  <c r="AE185" i="37"/>
  <c r="AE294" i="37"/>
  <c r="AE295" i="37"/>
  <c r="AE296" i="37"/>
  <c r="AE297" i="37"/>
  <c r="AE298" i="37"/>
  <c r="AE299" i="37"/>
  <c r="AE304" i="37"/>
  <c r="AE235" i="37"/>
  <c r="AE308" i="37"/>
  <c r="AE236" i="37"/>
  <c r="AE305" i="37"/>
  <c r="AE310" i="37"/>
  <c r="AE314" i="37"/>
  <c r="AE331" i="37"/>
  <c r="AE316" i="37"/>
  <c r="AE318" i="37"/>
  <c r="AE319" i="37"/>
  <c r="AE330" i="37"/>
  <c r="AE352" i="37"/>
  <c r="AE322" i="37"/>
  <c r="AE323" i="37"/>
  <c r="AE189" i="37"/>
  <c r="AE190" i="37"/>
  <c r="AE186" i="37"/>
  <c r="AE312" i="37"/>
  <c r="AE315" i="37"/>
  <c r="AE368" i="37"/>
  <c r="AE332" i="37"/>
  <c r="AE336" i="37"/>
  <c r="AE349" i="37"/>
  <c r="AE350" i="37"/>
  <c r="AE351" i="37"/>
  <c r="AE231" i="37"/>
  <c r="AE353" i="37"/>
  <c r="AE354" i="37"/>
  <c r="AE313" i="37"/>
  <c r="AE356" i="37"/>
  <c r="AE357" i="37"/>
  <c r="AE358" i="37"/>
  <c r="AE359" i="37"/>
  <c r="AE361" i="37"/>
  <c r="AE170" i="37"/>
  <c r="AE369" i="37"/>
  <c r="AE8" i="37"/>
  <c r="AD152" i="37"/>
  <c r="AD51" i="39" l="1"/>
  <c r="AD59" i="39"/>
  <c r="AD168" i="39"/>
  <c r="AD308" i="39"/>
  <c r="AD336" i="39"/>
  <c r="AD39" i="39"/>
  <c r="AD27" i="39"/>
  <c r="AD139" i="39"/>
  <c r="AD297" i="39"/>
  <c r="AD317" i="39"/>
  <c r="AD326" i="39"/>
  <c r="AD354" i="39"/>
  <c r="AD234" i="39"/>
  <c r="AD47" i="39"/>
  <c r="AD201" i="39"/>
  <c r="AD211" i="39"/>
  <c r="AD230" i="39"/>
  <c r="AD277" i="39"/>
  <c r="AD343" i="39"/>
  <c r="AD356" i="39"/>
  <c r="AD315" i="39"/>
  <c r="AD295" i="39"/>
  <c r="AD280" i="39"/>
  <c r="AD245" i="39"/>
  <c r="AD228" i="39"/>
  <c r="AD208" i="39"/>
  <c r="AD166" i="39"/>
  <c r="AD148" i="39"/>
  <c r="AD367" i="39"/>
  <c r="AD352" i="39"/>
  <c r="AD347" i="39"/>
  <c r="AD339" i="39"/>
  <c r="AD299" i="39"/>
  <c r="AD290" i="39"/>
  <c r="AD270" i="39"/>
  <c r="AD250" i="39"/>
  <c r="AD232" i="39"/>
  <c r="AD215" i="39"/>
  <c r="AD197" i="39"/>
  <c r="AD159" i="39"/>
  <c r="AD360" i="39"/>
  <c r="AD305" i="39"/>
  <c r="AD275" i="39"/>
  <c r="AD257" i="39"/>
  <c r="AD223" i="39"/>
  <c r="AD153" i="39"/>
  <c r="AD137" i="39"/>
  <c r="AD267" i="39"/>
  <c r="AD248" i="39"/>
  <c r="AD235" i="39"/>
  <c r="AD212" i="39"/>
  <c r="AD202" i="39"/>
  <c r="AD191" i="39"/>
  <c r="AD182" i="39"/>
  <c r="AD169" i="39"/>
  <c r="AD151" i="39"/>
  <c r="AD140" i="39"/>
  <c r="AD131" i="39"/>
  <c r="AD123" i="39"/>
  <c r="AD115" i="39"/>
  <c r="AD107" i="39"/>
  <c r="AD99" i="39"/>
  <c r="AD91" i="39"/>
  <c r="AD83" i="39"/>
  <c r="AD75" i="39"/>
  <c r="AD67" i="39"/>
  <c r="AD278" i="39"/>
  <c r="AD260" i="39"/>
  <c r="AD239" i="39"/>
  <c r="AD220" i="39"/>
  <c r="AD195" i="39"/>
  <c r="AD187" i="39"/>
  <c r="AD175" i="39"/>
  <c r="AD163" i="39"/>
  <c r="AD157" i="39"/>
  <c r="AD145" i="39"/>
  <c r="AD135" i="39"/>
  <c r="AD127" i="39"/>
  <c r="AD119" i="39"/>
  <c r="AD111" i="39"/>
  <c r="AD103" i="39"/>
  <c r="AD95" i="39"/>
  <c r="AD87" i="39"/>
  <c r="AD79" i="39"/>
  <c r="AD71" i="39"/>
  <c r="AD55" i="39"/>
  <c r="AD15" i="39"/>
  <c r="AD35" i="39"/>
  <c r="AD174" i="39"/>
  <c r="AD219" i="39"/>
  <c r="AD266" i="39"/>
  <c r="AD243" i="39"/>
  <c r="AD156" i="39"/>
  <c r="AD23" i="39"/>
  <c r="AD247" i="39"/>
  <c r="AD293" i="39"/>
  <c r="AD313" i="39"/>
  <c r="AD350" i="39"/>
  <c r="AD288" i="39"/>
  <c r="AD303" i="39"/>
  <c r="AD322" i="39"/>
  <c r="AD331" i="39"/>
  <c r="AD344" i="39"/>
  <c r="AD364" i="39"/>
  <c r="AD146" i="39"/>
  <c r="AD152" i="39"/>
  <c r="AD164" i="39"/>
  <c r="AD176" i="39"/>
  <c r="AD183" i="39"/>
  <c r="AD207" i="39"/>
  <c r="AD213" i="39"/>
  <c r="AD221" i="39"/>
  <c r="AD227" i="39"/>
  <c r="AD231" i="39"/>
  <c r="AD244" i="39"/>
  <c r="AD255" i="39"/>
  <c r="AD261" i="39"/>
  <c r="AD268" i="39"/>
  <c r="AD274" i="39"/>
  <c r="AD294" i="39"/>
  <c r="AD298" i="39"/>
  <c r="AD304" i="39"/>
  <c r="AD309" i="39"/>
  <c r="AD314" i="39"/>
  <c r="AD327" i="39"/>
  <c r="AD337" i="39"/>
  <c r="AD345" i="39"/>
  <c r="AD351" i="39"/>
  <c r="AD355" i="39"/>
  <c r="AD359" i="39"/>
  <c r="AD365" i="39"/>
  <c r="AD284" i="39"/>
  <c r="AD318" i="39"/>
  <c r="AD8" i="39"/>
  <c r="AD12" i="39"/>
  <c r="AD16" i="39"/>
  <c r="AD20" i="39"/>
  <c r="AD24" i="39"/>
  <c r="AD28" i="39"/>
  <c r="AD32" i="39"/>
  <c r="AD36" i="39"/>
  <c r="AD40" i="39"/>
  <c r="AD44" i="39"/>
  <c r="AD48" i="39"/>
  <c r="AD52" i="39"/>
  <c r="AD56" i="39"/>
  <c r="AD60" i="39"/>
  <c r="AD64" i="39"/>
  <c r="AD68" i="39"/>
  <c r="AD72" i="39"/>
  <c r="AD76" i="39"/>
  <c r="AD80" i="39"/>
  <c r="AD84" i="39"/>
  <c r="AD88" i="39"/>
  <c r="AD92" i="39"/>
  <c r="AD96" i="39"/>
  <c r="AD100" i="39"/>
  <c r="AD104" i="39"/>
  <c r="AD108" i="39"/>
  <c r="AD112" i="39"/>
  <c r="AD116" i="39"/>
  <c r="AD120" i="39"/>
  <c r="AD124" i="39"/>
  <c r="AD128" i="39"/>
  <c r="AD132" i="39"/>
  <c r="AD136" i="39"/>
  <c r="AD141" i="39"/>
  <c r="AD147" i="39"/>
  <c r="AD158" i="39"/>
  <c r="AD165" i="39"/>
  <c r="AD170" i="39"/>
  <c r="AD177" i="39"/>
  <c r="AD184" i="39"/>
  <c r="AD188" i="39"/>
  <c r="AD192" i="39"/>
  <c r="AD196" i="39"/>
  <c r="AD203" i="39"/>
  <c r="AD214" i="39"/>
  <c r="AD222" i="39"/>
  <c r="AD236" i="39"/>
  <c r="AD240" i="39"/>
  <c r="AD249" i="39"/>
  <c r="AD256" i="39"/>
  <c r="AD262" i="39"/>
  <c r="AD269" i="39"/>
  <c r="AD279" i="39"/>
  <c r="AD285" i="39"/>
  <c r="AD289" i="39"/>
  <c r="AD310" i="39"/>
  <c r="AD319" i="39"/>
  <c r="AD323" i="39"/>
  <c r="AD328" i="39"/>
  <c r="AD332" i="39"/>
  <c r="AD338" i="39"/>
  <c r="AD346" i="39"/>
  <c r="AD366" i="39"/>
  <c r="AD9" i="39"/>
  <c r="AD17" i="39"/>
  <c r="AD25" i="39"/>
  <c r="AD37" i="39"/>
  <c r="AD45" i="39"/>
  <c r="AD49" i="39"/>
  <c r="AD57" i="39"/>
  <c r="AD61" i="39"/>
  <c r="AD65" i="39"/>
  <c r="AD69" i="39"/>
  <c r="AD73" i="39"/>
  <c r="AD77" i="39"/>
  <c r="AD81" i="39"/>
  <c r="AD85" i="39"/>
  <c r="AD89" i="39"/>
  <c r="AD93" i="39"/>
  <c r="AD97" i="39"/>
  <c r="AD101" i="39"/>
  <c r="AD105" i="39"/>
  <c r="AD109" i="39"/>
  <c r="AD113" i="39"/>
  <c r="AD117" i="39"/>
  <c r="AD121" i="39"/>
  <c r="AD125" i="39"/>
  <c r="AD129" i="39"/>
  <c r="AD133" i="39"/>
  <c r="AD142" i="39"/>
  <c r="AD149" i="39"/>
  <c r="AD171" i="39"/>
  <c r="AD178" i="39"/>
  <c r="AD185" i="39"/>
  <c r="AD189" i="39"/>
  <c r="AD193" i="39"/>
  <c r="AD198" i="39"/>
  <c r="AD204" i="39"/>
  <c r="AD216" i="39"/>
  <c r="AD224" i="39"/>
  <c r="AD237" i="39"/>
  <c r="AD241" i="39"/>
  <c r="AD251" i="39"/>
  <c r="AD258" i="39"/>
  <c r="AD263" i="39"/>
  <c r="AD271" i="39"/>
  <c r="AD281" i="39"/>
  <c r="AD286" i="39"/>
  <c r="AD311" i="39"/>
  <c r="AD320" i="39"/>
  <c r="AD324" i="39"/>
  <c r="AD329" i="39"/>
  <c r="AD333" i="39"/>
  <c r="AD340" i="39"/>
  <c r="AD348" i="39"/>
  <c r="AD361" i="39"/>
  <c r="AD368" i="39"/>
  <c r="AD13" i="39"/>
  <c r="AD21" i="39"/>
  <c r="AD29" i="39"/>
  <c r="AD33" i="39"/>
  <c r="AD41" i="39"/>
  <c r="AD53" i="39"/>
  <c r="AD138" i="39"/>
  <c r="AD143" i="39"/>
  <c r="AD154" i="39"/>
  <c r="AD160" i="39"/>
  <c r="AD167" i="39"/>
  <c r="AD172" i="39"/>
  <c r="AD179" i="39"/>
  <c r="AD199" i="39"/>
  <c r="AD209" i="39"/>
  <c r="AD217" i="39"/>
  <c r="AD225" i="39"/>
  <c r="AD229" i="39"/>
  <c r="AD233" i="39"/>
  <c r="AD242" i="39"/>
  <c r="AD246" i="39"/>
  <c r="AD252" i="39"/>
  <c r="AD264" i="39"/>
  <c r="AD272" i="39"/>
  <c r="AD276" i="39"/>
  <c r="AD291" i="39"/>
  <c r="AD296" i="39"/>
  <c r="AD300" i="39"/>
  <c r="AD306" i="39"/>
  <c r="AD312" i="39"/>
  <c r="AD316" i="39"/>
  <c r="AD325" i="39"/>
  <c r="AD334" i="39"/>
  <c r="AD341" i="39"/>
  <c r="AD349" i="39"/>
  <c r="AD353" i="39"/>
  <c r="AD357" i="39"/>
  <c r="AD10" i="39"/>
  <c r="AD14" i="39"/>
  <c r="AD18" i="39"/>
  <c r="AD22" i="39"/>
  <c r="AD26" i="39"/>
  <c r="AD30" i="39"/>
  <c r="AD34" i="39"/>
  <c r="AD38" i="39"/>
  <c r="AD42" i="39"/>
  <c r="AD46" i="39"/>
  <c r="AD50" i="39"/>
  <c r="AD54" i="39"/>
  <c r="AD58" i="39"/>
  <c r="AD62" i="39"/>
  <c r="AD66" i="39"/>
  <c r="AD70" i="39"/>
  <c r="AD74" i="39"/>
  <c r="AD78" i="39"/>
  <c r="AD82" i="39"/>
  <c r="AD86" i="39"/>
  <c r="AD90" i="39"/>
  <c r="AD94" i="39"/>
  <c r="AD98" i="39"/>
  <c r="AD102" i="39"/>
  <c r="AD106" i="39"/>
  <c r="AD110" i="39"/>
  <c r="AD114" i="39"/>
  <c r="AD118" i="39"/>
  <c r="AD122" i="39"/>
  <c r="AD126" i="39"/>
  <c r="AD130" i="39"/>
  <c r="AD134" i="39"/>
  <c r="AD150" i="39"/>
  <c r="AD155" i="39"/>
  <c r="AD161" i="39"/>
  <c r="AD173" i="39"/>
  <c r="AD180" i="39"/>
  <c r="AD186" i="39"/>
  <c r="AD190" i="39"/>
  <c r="AD194" i="39"/>
  <c r="AD200" i="39"/>
  <c r="AD205" i="39"/>
  <c r="AD210" i="39"/>
  <c r="AD218" i="39"/>
  <c r="AD238" i="39"/>
  <c r="AD253" i="39"/>
  <c r="AD259" i="39"/>
  <c r="AD265" i="39"/>
  <c r="AD282" i="39"/>
  <c r="AD287" i="39"/>
  <c r="AD292" i="39"/>
  <c r="AD301" i="39"/>
  <c r="AD307" i="39"/>
  <c r="AD321" i="39"/>
  <c r="AD330" i="39"/>
  <c r="AD335" i="39"/>
  <c r="AD342" i="39"/>
  <c r="AC6" i="37"/>
  <c r="AD336" i="37" s="1"/>
  <c r="AB6" i="37"/>
  <c r="AA6" i="37"/>
  <c r="Z6" i="37"/>
  <c r="AD337" i="37" s="1"/>
  <c r="H6" i="37"/>
  <c r="I6" i="37" s="1"/>
  <c r="J6" i="37" s="1"/>
  <c r="K6" i="37" s="1"/>
  <c r="L6" i="37" s="1"/>
  <c r="M6" i="37" s="1"/>
  <c r="N6" i="37" s="1"/>
  <c r="O6" i="37" s="1"/>
  <c r="P6" i="37" s="1"/>
  <c r="Q6" i="37" s="1"/>
  <c r="R6" i="37" s="1"/>
  <c r="S6" i="37" s="1"/>
  <c r="T6" i="37" s="1"/>
  <c r="D6" i="37"/>
  <c r="E6" i="37" s="1"/>
  <c r="F6" i="37" s="1"/>
  <c r="AD23" i="37" l="1"/>
  <c r="AD71" i="37"/>
  <c r="AD127" i="37"/>
  <c r="AD191" i="37"/>
  <c r="AD292" i="37"/>
  <c r="AD24" i="37"/>
  <c r="AD88" i="37"/>
  <c r="AD186" i="37"/>
  <c r="AD9" i="37"/>
  <c r="AD17" i="37"/>
  <c r="AD25" i="37"/>
  <c r="AD33" i="37"/>
  <c r="AD41" i="37"/>
  <c r="AD49" i="37"/>
  <c r="AD57" i="37"/>
  <c r="AD65" i="37"/>
  <c r="AD73" i="37"/>
  <c r="AD81" i="37"/>
  <c r="AD89" i="37"/>
  <c r="AD97" i="37"/>
  <c r="AD105" i="37"/>
  <c r="AD113" i="37"/>
  <c r="AD121" i="37"/>
  <c r="AD129" i="37"/>
  <c r="AD137" i="37"/>
  <c r="AD144" i="37"/>
  <c r="AD153" i="37"/>
  <c r="AD156" i="37"/>
  <c r="AD169" i="37"/>
  <c r="AD177" i="37"/>
  <c r="AD355" i="37"/>
  <c r="AD193" i="37"/>
  <c r="AD181" i="37"/>
  <c r="AD183" i="37"/>
  <c r="AD209" i="37"/>
  <c r="AD225" i="37"/>
  <c r="AD233" i="37"/>
  <c r="AD218" i="37"/>
  <c r="AD220" i="37"/>
  <c r="AD234" i="37"/>
  <c r="AD249" i="37"/>
  <c r="AD273" i="37"/>
  <c r="AD281" i="37"/>
  <c r="AD263" i="37"/>
  <c r="AD297" i="37"/>
  <c r="AD235" i="37"/>
  <c r="AD310" i="37"/>
  <c r="AD352" i="37"/>
  <c r="AD312" i="37"/>
  <c r="AD300" i="37"/>
  <c r="AD317" i="37"/>
  <c r="AD353" i="37"/>
  <c r="AD361" i="37"/>
  <c r="AD31" i="37"/>
  <c r="AD87" i="37"/>
  <c r="AD143" i="37"/>
  <c r="AD175" i="37"/>
  <c r="AD215" i="37"/>
  <c r="AD348" i="37"/>
  <c r="AD287" i="37"/>
  <c r="AD319" i="37"/>
  <c r="AD351" i="37"/>
  <c r="AD16" i="37"/>
  <c r="AD72" i="37"/>
  <c r="AD120" i="37"/>
  <c r="AD342" i="37"/>
  <c r="AD180" i="37"/>
  <c r="AD216" i="37"/>
  <c r="AD224" i="37"/>
  <c r="AD257" i="37"/>
  <c r="AD305" i="37"/>
  <c r="AD231" i="37"/>
  <c r="AD10" i="37"/>
  <c r="AD18" i="37"/>
  <c r="AD26" i="37"/>
  <c r="AD34" i="37"/>
  <c r="AD42" i="37"/>
  <c r="AD50" i="37"/>
  <c r="AD58" i="37"/>
  <c r="AD66" i="37"/>
  <c r="AD74" i="37"/>
  <c r="AD82" i="37"/>
  <c r="AD90" i="37"/>
  <c r="AD98" i="37"/>
  <c r="AD106" i="37"/>
  <c r="AD114" i="37"/>
  <c r="AD122" i="37"/>
  <c r="AD130" i="37"/>
  <c r="AD138" i="37"/>
  <c r="AD145" i="37"/>
  <c r="AD148" i="37"/>
  <c r="AD158" i="37"/>
  <c r="AD326" i="37"/>
  <c r="AD171" i="37"/>
  <c r="AD328" i="37"/>
  <c r="AD194" i="37"/>
  <c r="AD202" i="37"/>
  <c r="AD196" i="37"/>
  <c r="AD210" i="37"/>
  <c r="AD226" i="37"/>
  <c r="AD217" i="37"/>
  <c r="AD242" i="37"/>
  <c r="AD347" i="37"/>
  <c r="AD293" i="37"/>
  <c r="AD250" i="37"/>
  <c r="AD274" i="37"/>
  <c r="AD260" i="37"/>
  <c r="AD290" i="37"/>
  <c r="AD298" i="37"/>
  <c r="AD270" i="37"/>
  <c r="AD314" i="37"/>
  <c r="AD322" i="37"/>
  <c r="AD315" i="37"/>
  <c r="AD301" i="37"/>
  <c r="AD324" i="37"/>
  <c r="AD354" i="37"/>
  <c r="AD334" i="37"/>
  <c r="AD39" i="37"/>
  <c r="AD79" i="37"/>
  <c r="AD135" i="37"/>
  <c r="AD168" i="37"/>
  <c r="AD201" i="37"/>
  <c r="AD219" i="37"/>
  <c r="AD256" i="37"/>
  <c r="AD279" i="37"/>
  <c r="AD309" i="37"/>
  <c r="AD40" i="37"/>
  <c r="AD80" i="37"/>
  <c r="AD128" i="37"/>
  <c r="AD341" i="37"/>
  <c r="AD192" i="37"/>
  <c r="AD232" i="37"/>
  <c r="AD247" i="37"/>
  <c r="AD296" i="37"/>
  <c r="AD330" i="37"/>
  <c r="AD365" i="37"/>
  <c r="AD11" i="37"/>
  <c r="AD19" i="37"/>
  <c r="AD27" i="37"/>
  <c r="AD35" i="37"/>
  <c r="AD43" i="37"/>
  <c r="AD51" i="37"/>
  <c r="AD59" i="37"/>
  <c r="AD67" i="37"/>
  <c r="AD75" i="37"/>
  <c r="AD83" i="37"/>
  <c r="AD91" i="37"/>
  <c r="AD99" i="37"/>
  <c r="AD107" i="37"/>
  <c r="AD115" i="37"/>
  <c r="AD123" i="37"/>
  <c r="AD131" i="37"/>
  <c r="AD139" i="37"/>
  <c r="AD146" i="37"/>
  <c r="AD151" i="37"/>
  <c r="AD160" i="37"/>
  <c r="AD163" i="37"/>
  <c r="AD172" i="37"/>
  <c r="AD187" i="37"/>
  <c r="AD195" i="37"/>
  <c r="AD203" i="37"/>
  <c r="AD197" i="37"/>
  <c r="AD211" i="37"/>
  <c r="AD227" i="37"/>
  <c r="AD320" i="37"/>
  <c r="AD284" i="37"/>
  <c r="AD221" i="37"/>
  <c r="AD259" i="37"/>
  <c r="AD251" i="37"/>
  <c r="AD275" i="37"/>
  <c r="AD261" i="37"/>
  <c r="AD264" i="37"/>
  <c r="AD299" i="37"/>
  <c r="AD271" i="37"/>
  <c r="AD331" i="37"/>
  <c r="AD323" i="37"/>
  <c r="AD368" i="37"/>
  <c r="AD302" i="37"/>
  <c r="AD327" i="37"/>
  <c r="AD313" i="37"/>
  <c r="AD366" i="37"/>
  <c r="AD55" i="37"/>
  <c r="AD111" i="37"/>
  <c r="AD340" i="37"/>
  <c r="AD346" i="37"/>
  <c r="AD258" i="37"/>
  <c r="AD241" i="37"/>
  <c r="AD295" i="37"/>
  <c r="AD338" i="37"/>
  <c r="AD64" i="37"/>
  <c r="AD112" i="37"/>
  <c r="AD339" i="37"/>
  <c r="AD184" i="37"/>
  <c r="AD205" i="37"/>
  <c r="AD248" i="37"/>
  <c r="AD288" i="37"/>
  <c r="AD311" i="37"/>
  <c r="AD12" i="37"/>
  <c r="AD20" i="37"/>
  <c r="AD28" i="37"/>
  <c r="AD36" i="37"/>
  <c r="AD44" i="37"/>
  <c r="AD52" i="37"/>
  <c r="AD60" i="37"/>
  <c r="AD68" i="37"/>
  <c r="AD76" i="37"/>
  <c r="AD84" i="37"/>
  <c r="AD92" i="37"/>
  <c r="AD100" i="37"/>
  <c r="AD108" i="37"/>
  <c r="AD116" i="37"/>
  <c r="AD124" i="37"/>
  <c r="AD132" i="37"/>
  <c r="AD140" i="37"/>
  <c r="AD147" i="37"/>
  <c r="AD154" i="37"/>
  <c r="AD161" i="37"/>
  <c r="AD164" i="37"/>
  <c r="AD345" i="37"/>
  <c r="AD188" i="37"/>
  <c r="AD176" i="37"/>
  <c r="AD204" i="37"/>
  <c r="AD198" i="37"/>
  <c r="AD212" i="37"/>
  <c r="AD228" i="37"/>
  <c r="AD321" i="37"/>
  <c r="AD244" i="37"/>
  <c r="AD222" i="37"/>
  <c r="AD360" i="37"/>
  <c r="AD252" i="37"/>
  <c r="AD276" i="37"/>
  <c r="AD230" i="37"/>
  <c r="AD265" i="37"/>
  <c r="AD266" i="37"/>
  <c r="AD308" i="37"/>
  <c r="AD316" i="37"/>
  <c r="AD282" i="37"/>
  <c r="AD332" i="37"/>
  <c r="AD303" i="37"/>
  <c r="AD333" i="37"/>
  <c r="AD356" i="37"/>
  <c r="AD367" i="37"/>
  <c r="AD15" i="37"/>
  <c r="AD47" i="37"/>
  <c r="AD95" i="37"/>
  <c r="AD119" i="37"/>
  <c r="AD167" i="37"/>
  <c r="AD283" i="37"/>
  <c r="AD32" i="37"/>
  <c r="AD56" i="37"/>
  <c r="AD104" i="37"/>
  <c r="AD170" i="37"/>
  <c r="AD13" i="37"/>
  <c r="AD21" i="37"/>
  <c r="AD29" i="37"/>
  <c r="AD37" i="37"/>
  <c r="AD45" i="37"/>
  <c r="AD53" i="37"/>
  <c r="AD61" i="37"/>
  <c r="AD69" i="37"/>
  <c r="AD77" i="37"/>
  <c r="AD85" i="37"/>
  <c r="AD93" i="37"/>
  <c r="AD101" i="37"/>
  <c r="AD109" i="37"/>
  <c r="AD117" i="37"/>
  <c r="AD125" i="37"/>
  <c r="AD133" i="37"/>
  <c r="AD141" i="37"/>
  <c r="AD149" i="37"/>
  <c r="AD157" i="37"/>
  <c r="AD162" i="37"/>
  <c r="AD343" i="37"/>
  <c r="AD173" i="37"/>
  <c r="AD329" i="37"/>
  <c r="AD178" i="37"/>
  <c r="AD182" i="37"/>
  <c r="AD199" i="37"/>
  <c r="AD213" i="37"/>
  <c r="AD229" i="37"/>
  <c r="AD237" i="37"/>
  <c r="AD245" i="37"/>
  <c r="AD223" i="37"/>
  <c r="AD362" i="37"/>
  <c r="AD363" i="37"/>
  <c r="AD255" i="37"/>
  <c r="AD285" i="37"/>
  <c r="AD185" i="37"/>
  <c r="AD267" i="37"/>
  <c r="AD277" i="37"/>
  <c r="AD280" i="37"/>
  <c r="AD189" i="37"/>
  <c r="AD289" i="37"/>
  <c r="AD306" i="37"/>
  <c r="AD349" i="37"/>
  <c r="AD357" i="37"/>
  <c r="AD335" i="37"/>
  <c r="AD63" i="37"/>
  <c r="AD103" i="37"/>
  <c r="AD159" i="37"/>
  <c r="AD207" i="37"/>
  <c r="AD239" i="37"/>
  <c r="AD364" i="37"/>
  <c r="AD269" i="37"/>
  <c r="AD359" i="37"/>
  <c r="AD8" i="37"/>
  <c r="AD48" i="37"/>
  <c r="AD96" i="37"/>
  <c r="AD136" i="37"/>
  <c r="AD344" i="37"/>
  <c r="AD208" i="37"/>
  <c r="AD240" i="37"/>
  <c r="AD272" i="37"/>
  <c r="AD304" i="37"/>
  <c r="AD14" i="37"/>
  <c r="AD22" i="37"/>
  <c r="AD30" i="37"/>
  <c r="AD38" i="37"/>
  <c r="AD46" i="37"/>
  <c r="AD54" i="37"/>
  <c r="AD62" i="37"/>
  <c r="AD70" i="37"/>
  <c r="AD78" i="37"/>
  <c r="AD86" i="37"/>
  <c r="AD94" i="37"/>
  <c r="AD102" i="37"/>
  <c r="AD110" i="37"/>
  <c r="AD118" i="37"/>
  <c r="AD126" i="37"/>
  <c r="AD134" i="37"/>
  <c r="AD142" i="37"/>
  <c r="AD150" i="37"/>
  <c r="AD155" i="37"/>
  <c r="AD166" i="37"/>
  <c r="AD165" i="37"/>
  <c r="AD174" i="37"/>
  <c r="AD325" i="37"/>
  <c r="AD179" i="37"/>
  <c r="AD206" i="37"/>
  <c r="AD200" i="37"/>
  <c r="AD214" i="37"/>
  <c r="AD243" i="37"/>
  <c r="AD238" i="37"/>
  <c r="AD246" i="37"/>
  <c r="AD254" i="37"/>
  <c r="AD262" i="37"/>
  <c r="AD253" i="37"/>
  <c r="AD278" i="37"/>
  <c r="AD286" i="37"/>
  <c r="AD294" i="37"/>
  <c r="AD268" i="37"/>
  <c r="AD236" i="37"/>
  <c r="AD318" i="37"/>
  <c r="AD190" i="37"/>
  <c r="AD291" i="37"/>
  <c r="AD307" i="37"/>
  <c r="AD350" i="37"/>
  <c r="AD358" i="37"/>
  <c r="AD9" i="34"/>
  <c r="AD10" i="34"/>
  <c r="AD11" i="34"/>
  <c r="AD12" i="34"/>
  <c r="AD13" i="34"/>
  <c r="AD14" i="34"/>
  <c r="AD15" i="34"/>
  <c r="AD16" i="34"/>
  <c r="AD17" i="34"/>
  <c r="AD18" i="34"/>
  <c r="AD19" i="34"/>
  <c r="AD20" i="34"/>
  <c r="AD21" i="34"/>
  <c r="AD22" i="34"/>
  <c r="AD23" i="34"/>
  <c r="AD24" i="34"/>
  <c r="AD25" i="34"/>
  <c r="AD26" i="34"/>
  <c r="AD27" i="34"/>
  <c r="AD28" i="34"/>
  <c r="AD29" i="34"/>
  <c r="AD30" i="34"/>
  <c r="AD31" i="34"/>
  <c r="AD32" i="34"/>
  <c r="AD33" i="34"/>
  <c r="AD34" i="34"/>
  <c r="AD35" i="34"/>
  <c r="AD36" i="34"/>
  <c r="AD37" i="34"/>
  <c r="AD38" i="34"/>
  <c r="AD39" i="34"/>
  <c r="AD40" i="34"/>
  <c r="AD41" i="34"/>
  <c r="AD42" i="34"/>
  <c r="AD43" i="34"/>
  <c r="AD44" i="34"/>
  <c r="AD45" i="34"/>
  <c r="AD46" i="34"/>
  <c r="AD47" i="34"/>
  <c r="AD48" i="34"/>
  <c r="AD49" i="34"/>
  <c r="AD50" i="34"/>
  <c r="AD51" i="34"/>
  <c r="AD52" i="34"/>
  <c r="AD53" i="34"/>
  <c r="AD54" i="34"/>
  <c r="AD55" i="34"/>
  <c r="AD56" i="34"/>
  <c r="AD57" i="34"/>
  <c r="AD58" i="34"/>
  <c r="AD59" i="34"/>
  <c r="AD60" i="34"/>
  <c r="AD61" i="34"/>
  <c r="AD62" i="34"/>
  <c r="AD63" i="34"/>
  <c r="AD64" i="34"/>
  <c r="AD65" i="34"/>
  <c r="AD66" i="34"/>
  <c r="AD67" i="34"/>
  <c r="AD68" i="34"/>
  <c r="AD69" i="34"/>
  <c r="AD70" i="34"/>
  <c r="AD71" i="34"/>
  <c r="AD72" i="34"/>
  <c r="AD73" i="34"/>
  <c r="AD74" i="34"/>
  <c r="AD75" i="34"/>
  <c r="AD76" i="34"/>
  <c r="AD77" i="34"/>
  <c r="AD78" i="34"/>
  <c r="AD79" i="34"/>
  <c r="AD80" i="34"/>
  <c r="AD81" i="34"/>
  <c r="AD82" i="34"/>
  <c r="AD83" i="34"/>
  <c r="AD84" i="34"/>
  <c r="AD85" i="34"/>
  <c r="AD86" i="34"/>
  <c r="AD87" i="34"/>
  <c r="AD88" i="34"/>
  <c r="AD89" i="34"/>
  <c r="AD90" i="34"/>
  <c r="AD91" i="34"/>
  <c r="AD92" i="34"/>
  <c r="AD93" i="34"/>
  <c r="AD94" i="34"/>
  <c r="AD95" i="34"/>
  <c r="AD96" i="34"/>
  <c r="AD97" i="34"/>
  <c r="AD98" i="34"/>
  <c r="AD99" i="34"/>
  <c r="AD100" i="34"/>
  <c r="AD101" i="34"/>
  <c r="AD102" i="34"/>
  <c r="AD103" i="34"/>
  <c r="AD104" i="34"/>
  <c r="AD105" i="34"/>
  <c r="AD106" i="34"/>
  <c r="AD107" i="34"/>
  <c r="AD108" i="34"/>
  <c r="AD109" i="34"/>
  <c r="AD110" i="34"/>
  <c r="AD111" i="34"/>
  <c r="AD112" i="34"/>
  <c r="AD113" i="34"/>
  <c r="AD114" i="34"/>
  <c r="AD115" i="34"/>
  <c r="AD116" i="34"/>
  <c r="AD117" i="34"/>
  <c r="AD118" i="34"/>
  <c r="AD119" i="34"/>
  <c r="AD120" i="34"/>
  <c r="AD121" i="34"/>
  <c r="AD122" i="34"/>
  <c r="AD123" i="34"/>
  <c r="AD124" i="34"/>
  <c r="AD125" i="34"/>
  <c r="AD126" i="34"/>
  <c r="AD127" i="34"/>
  <c r="AD128" i="34"/>
  <c r="AD129" i="34"/>
  <c r="AD130" i="34"/>
  <c r="AD131" i="34"/>
  <c r="AD132" i="34"/>
  <c r="AD133" i="34"/>
  <c r="AD134" i="34"/>
  <c r="AD135" i="34"/>
  <c r="AD136" i="34"/>
  <c r="AD137" i="34"/>
  <c r="AD138" i="34"/>
  <c r="AD139" i="34"/>
  <c r="AD140" i="34"/>
  <c r="AD141" i="34"/>
  <c r="AD142" i="34"/>
  <c r="AD143" i="34"/>
  <c r="AD144" i="34"/>
  <c r="AD145" i="34"/>
  <c r="AD146" i="34"/>
  <c r="AD147" i="34"/>
  <c r="AD148" i="34"/>
  <c r="AD149" i="34"/>
  <c r="AD150" i="34"/>
  <c r="AD151" i="34"/>
  <c r="AD152" i="34"/>
  <c r="AD153" i="34"/>
  <c r="AD154" i="34"/>
  <c r="AD155" i="34"/>
  <c r="AD156" i="34"/>
  <c r="AD157" i="34"/>
  <c r="AD158" i="34"/>
  <c r="AD159" i="34"/>
  <c r="AD160" i="34"/>
  <c r="AD161" i="34"/>
  <c r="AD162" i="34"/>
  <c r="AD163" i="34"/>
  <c r="AD164" i="34"/>
  <c r="AD165" i="34"/>
  <c r="AD166" i="34"/>
  <c r="AD167" i="34"/>
  <c r="AD168" i="34"/>
  <c r="AD169" i="34"/>
  <c r="AD170" i="34"/>
  <c r="AD171" i="34"/>
  <c r="AD172" i="34"/>
  <c r="AD173" i="34"/>
  <c r="AD174" i="34"/>
  <c r="AD175" i="34"/>
  <c r="AD176" i="34"/>
  <c r="AD177" i="34"/>
  <c r="AD178" i="34"/>
  <c r="AD179" i="34"/>
  <c r="AD180" i="34"/>
  <c r="AD181" i="34"/>
  <c r="AD182" i="34"/>
  <c r="AD183" i="34"/>
  <c r="AD184" i="34"/>
  <c r="AD185" i="34"/>
  <c r="AD186" i="34"/>
  <c r="AD187" i="34"/>
  <c r="AD188" i="34"/>
  <c r="AD189" i="34"/>
  <c r="AD190" i="34"/>
  <c r="AD191" i="34"/>
  <c r="AD192" i="34"/>
  <c r="AD193" i="34"/>
  <c r="AD194" i="34"/>
  <c r="AD195" i="34"/>
  <c r="AD196" i="34"/>
  <c r="AD197" i="34"/>
  <c r="AD198" i="34"/>
  <c r="AD199" i="34"/>
  <c r="AD200" i="34"/>
  <c r="AD201" i="34"/>
  <c r="AD202" i="34"/>
  <c r="AD203" i="34"/>
  <c r="AD204" i="34"/>
  <c r="AD205" i="34"/>
  <c r="AD206" i="34"/>
  <c r="AD207" i="34"/>
  <c r="AD208" i="34"/>
  <c r="AD209" i="34"/>
  <c r="AD210" i="34"/>
  <c r="AD211" i="34"/>
  <c r="AD212" i="34"/>
  <c r="AD213" i="34"/>
  <c r="AD214" i="34"/>
  <c r="AD215" i="34"/>
  <c r="AD216" i="34"/>
  <c r="AD217" i="34"/>
  <c r="AD218" i="34"/>
  <c r="AD219" i="34"/>
  <c r="AD220" i="34"/>
  <c r="AD221" i="34"/>
  <c r="AD222" i="34"/>
  <c r="AD223" i="34"/>
  <c r="AD224" i="34"/>
  <c r="AD225" i="34"/>
  <c r="AD226" i="34"/>
  <c r="AD227" i="34"/>
  <c r="AD228" i="34"/>
  <c r="AD229" i="34"/>
  <c r="AD230" i="34"/>
  <c r="AD231" i="34"/>
  <c r="AD232" i="34"/>
  <c r="AD233" i="34"/>
  <c r="AD234" i="34"/>
  <c r="AD235" i="34"/>
  <c r="AD236" i="34"/>
  <c r="AD237" i="34"/>
  <c r="AD238" i="34"/>
  <c r="AD239" i="34"/>
  <c r="AD240" i="34"/>
  <c r="AD241" i="34"/>
  <c r="AD242" i="34"/>
  <c r="AD243" i="34"/>
  <c r="AD244" i="34"/>
  <c r="AD245" i="34"/>
  <c r="AD246" i="34"/>
  <c r="AD247" i="34"/>
  <c r="AD248" i="34"/>
  <c r="AD249" i="34"/>
  <c r="AD250" i="34"/>
  <c r="AD251" i="34"/>
  <c r="AD252" i="34"/>
  <c r="AD253" i="34"/>
  <c r="AD254" i="34"/>
  <c r="AD255" i="34"/>
  <c r="AD256" i="34"/>
  <c r="AD257" i="34"/>
  <c r="AD258" i="34"/>
  <c r="AD259" i="34"/>
  <c r="AD260" i="34"/>
  <c r="AD261" i="34"/>
  <c r="AD262" i="34"/>
  <c r="AD263" i="34"/>
  <c r="AD264" i="34"/>
  <c r="AD265" i="34"/>
  <c r="AD266" i="34"/>
  <c r="AD267" i="34"/>
  <c r="AD268" i="34"/>
  <c r="AD269" i="34"/>
  <c r="AD270" i="34"/>
  <c r="AD271" i="34"/>
  <c r="AD272" i="34"/>
  <c r="AD273" i="34"/>
  <c r="AD274" i="34"/>
  <c r="AD275" i="34"/>
  <c r="AD276" i="34"/>
  <c r="AD277" i="34"/>
  <c r="AD278" i="34"/>
  <c r="AD279" i="34"/>
  <c r="AD280" i="34"/>
  <c r="AD281" i="34"/>
  <c r="AD282" i="34"/>
  <c r="AD283" i="34"/>
  <c r="AD284" i="34"/>
  <c r="AD285" i="34"/>
  <c r="AD286" i="34"/>
  <c r="AD287" i="34"/>
  <c r="AD288" i="34"/>
  <c r="AD289" i="34"/>
  <c r="AD290" i="34"/>
  <c r="AD291" i="34"/>
  <c r="AD292" i="34"/>
  <c r="AD293" i="34"/>
  <c r="AD294" i="34"/>
  <c r="AD295" i="34"/>
  <c r="AD296" i="34"/>
  <c r="AD297" i="34"/>
  <c r="AD298" i="34"/>
  <c r="AD299" i="34"/>
  <c r="AD300" i="34"/>
  <c r="AD301" i="34"/>
  <c r="AD302" i="34"/>
  <c r="AD303" i="34"/>
  <c r="AD304" i="34"/>
  <c r="AD305" i="34"/>
  <c r="AD306" i="34"/>
  <c r="AD307" i="34"/>
  <c r="AD308" i="34"/>
  <c r="AD309" i="34"/>
  <c r="AD310" i="34"/>
  <c r="AD311" i="34"/>
  <c r="AD312" i="34"/>
  <c r="AD313" i="34"/>
  <c r="AD314" i="34"/>
  <c r="AD315" i="34"/>
  <c r="AD316" i="34"/>
  <c r="AD317" i="34"/>
  <c r="AD318" i="34"/>
  <c r="AD319" i="34"/>
  <c r="AD320" i="34"/>
  <c r="AD321" i="34"/>
  <c r="AD322" i="34"/>
  <c r="AD323" i="34"/>
  <c r="AD324" i="34"/>
  <c r="AD325" i="34"/>
  <c r="AD326" i="34"/>
  <c r="AD327" i="34"/>
  <c r="AD328" i="34"/>
  <c r="AD329" i="34"/>
  <c r="AD330" i="34"/>
  <c r="AD331" i="34"/>
  <c r="AD332" i="34"/>
  <c r="AD333" i="34"/>
  <c r="AD334" i="34"/>
  <c r="AD335" i="34"/>
  <c r="AD336" i="34"/>
  <c r="AD337" i="34"/>
  <c r="AD338" i="34"/>
  <c r="AD339" i="34"/>
  <c r="AD340" i="34"/>
  <c r="AD341" i="34"/>
  <c r="AD342" i="34"/>
  <c r="AD343" i="34"/>
  <c r="AD344" i="34"/>
  <c r="AD345" i="34"/>
  <c r="AD346" i="34"/>
  <c r="AD347" i="34"/>
  <c r="AD348" i="34"/>
  <c r="AD349" i="34"/>
  <c r="AD350" i="34"/>
  <c r="AD351" i="34"/>
  <c r="AD352" i="34"/>
  <c r="AD353" i="34"/>
  <c r="AD354" i="34"/>
  <c r="AD355" i="34"/>
  <c r="AD356" i="34"/>
  <c r="AD357" i="34"/>
  <c r="AD358" i="34"/>
  <c r="AD359" i="34"/>
  <c r="AD360" i="34"/>
  <c r="AD361" i="34"/>
  <c r="AD362" i="34"/>
  <c r="AD363" i="34"/>
  <c r="AD364" i="34"/>
  <c r="AD365" i="34"/>
  <c r="AD366" i="34"/>
  <c r="AD367" i="34"/>
  <c r="AD368" i="34"/>
  <c r="AD8" i="34"/>
  <c r="AC6" i="34" l="1"/>
  <c r="AB6" i="34"/>
  <c r="AA6" i="34"/>
  <c r="Z6" i="34"/>
  <c r="E4" i="35" l="1"/>
  <c r="E382" i="34"/>
  <c r="E380" i="34"/>
  <c r="F372" i="34"/>
  <c r="F373" i="34" s="1"/>
  <c r="H6" i="34"/>
  <c r="I6" i="34" s="1"/>
  <c r="J6" i="34" s="1"/>
  <c r="K6" i="34" s="1"/>
  <c r="L6" i="34" s="1"/>
  <c r="M6" i="34" s="1"/>
  <c r="N6" i="34" s="1"/>
  <c r="O6" i="34" s="1"/>
  <c r="P6" i="34" s="1"/>
  <c r="Q6" i="34" s="1"/>
  <c r="R6" i="34" s="1"/>
  <c r="S6" i="34" s="1"/>
  <c r="T6" i="34" s="1"/>
  <c r="D6" i="34"/>
  <c r="E6" i="34" s="1"/>
  <c r="F6" i="34" s="1"/>
  <c r="G4" i="34"/>
  <c r="G3" i="34"/>
  <c r="G2" i="34"/>
  <c r="G1" i="34"/>
  <c r="F369" i="33"/>
  <c r="F15" i="33"/>
  <c r="F51" i="32"/>
  <c r="E383" i="34" l="1"/>
  <c r="G5" i="34"/>
  <c r="F376" i="34"/>
  <c r="S11" i="4"/>
  <c r="G4" i="33"/>
  <c r="G3" i="33"/>
  <c r="G2" i="33"/>
  <c r="G1" i="33"/>
  <c r="G5" i="33" l="1"/>
  <c r="H412" i="33"/>
  <c r="H411" i="33"/>
  <c r="H410" i="33"/>
  <c r="I404" i="33"/>
  <c r="E382" i="33"/>
  <c r="E380" i="33"/>
  <c r="E383" i="33" s="1"/>
  <c r="F372" i="33"/>
  <c r="F376" i="33" s="1"/>
  <c r="F343" i="33"/>
  <c r="F239" i="33"/>
  <c r="F72" i="33"/>
  <c r="F71" i="33"/>
  <c r="F25" i="33"/>
  <c r="F14" i="33"/>
  <c r="D6" i="33"/>
  <c r="E6" i="33" s="1"/>
  <c r="F6" i="33" s="1"/>
  <c r="H6" i="33" s="1"/>
  <c r="I6" i="33" s="1"/>
  <c r="J6" i="33" s="1"/>
  <c r="K6" i="33" s="1"/>
  <c r="L6" i="33" s="1"/>
  <c r="M6" i="33" s="1"/>
  <c r="N6" i="33" s="1"/>
  <c r="O6" i="33" s="1"/>
  <c r="P6" i="33" s="1"/>
  <c r="Q6" i="33" s="1"/>
  <c r="R6" i="33" s="1"/>
  <c r="S6" i="33" s="1"/>
  <c r="T6" i="33" s="1"/>
  <c r="G403" i="32"/>
  <c r="I403" i="32" s="1"/>
  <c r="H411" i="32"/>
  <c r="H410" i="32"/>
  <c r="H409" i="32"/>
  <c r="E381" i="32"/>
  <c r="E379" i="32"/>
  <c r="F25" i="32"/>
  <c r="F370" i="32"/>
  <c r="F374" i="32" s="1"/>
  <c r="F343" i="32"/>
  <c r="F239" i="32"/>
  <c r="F72" i="32"/>
  <c r="F71" i="32"/>
  <c r="F14" i="32"/>
  <c r="D6" i="32"/>
  <c r="E6" i="32" s="1"/>
  <c r="F6" i="32" s="1"/>
  <c r="G6" i="32" s="1"/>
  <c r="H6" i="32" s="1"/>
  <c r="G2" i="32"/>
  <c r="D2" i="32"/>
  <c r="F25" i="31"/>
  <c r="D2" i="31"/>
  <c r="E6" i="31"/>
  <c r="F6" i="31" s="1"/>
  <c r="G6" i="31" s="1"/>
  <c r="H6" i="31" s="1"/>
  <c r="I6" i="31" s="1"/>
  <c r="J6" i="31" s="1"/>
  <c r="K6" i="31" s="1"/>
  <c r="L6" i="31" s="1"/>
  <c r="M6" i="31" s="1"/>
  <c r="N6" i="31" s="1"/>
  <c r="O6" i="31" s="1"/>
  <c r="P6" i="31" s="1"/>
  <c r="Q6" i="31" s="1"/>
  <c r="R6" i="31" s="1"/>
  <c r="S6" i="31" s="1"/>
  <c r="T6" i="31" s="1"/>
  <c r="U6" i="31" s="1"/>
  <c r="H413" i="33" l="1"/>
  <c r="F373" i="33"/>
  <c r="H412" i="32"/>
  <c r="E382" i="32"/>
  <c r="I6" i="32"/>
  <c r="J6" i="32" s="1"/>
  <c r="K6" i="32" s="1"/>
  <c r="L6" i="32" s="1"/>
  <c r="M6" i="32" s="1"/>
  <c r="N6" i="32" s="1"/>
  <c r="O6" i="32" s="1"/>
  <c r="P6" i="32" s="1"/>
  <c r="Q6" i="32" s="1"/>
  <c r="R6" i="32" s="1"/>
  <c r="S6" i="32" s="1"/>
  <c r="T6" i="32" s="1"/>
  <c r="F367" i="32"/>
  <c r="F371" i="32"/>
  <c r="H8" i="31"/>
  <c r="H9" i="31"/>
  <c r="H10" i="31"/>
  <c r="H11" i="31"/>
  <c r="H12" i="31"/>
  <c r="H13" i="31"/>
  <c r="H14" i="31"/>
  <c r="H15" i="31"/>
  <c r="H16" i="31"/>
  <c r="H17" i="31"/>
  <c r="H18" i="31"/>
  <c r="H19" i="31"/>
  <c r="H20" i="31"/>
  <c r="H21" i="31"/>
  <c r="H22" i="31"/>
  <c r="H23" i="31"/>
  <c r="H24" i="31"/>
  <c r="H25" i="31"/>
  <c r="H26" i="31"/>
  <c r="H27" i="31"/>
  <c r="H28" i="31"/>
  <c r="H29" i="31"/>
  <c r="H30" i="31"/>
  <c r="H31" i="31"/>
  <c r="H32" i="31"/>
  <c r="H33" i="31"/>
  <c r="H34" i="31"/>
  <c r="H35" i="31"/>
  <c r="H36" i="31"/>
  <c r="H37" i="31"/>
  <c r="H38" i="31"/>
  <c r="H39" i="31"/>
  <c r="H40" i="31"/>
  <c r="H41" i="31"/>
  <c r="H42" i="31"/>
  <c r="H43" i="31"/>
  <c r="H44" i="31"/>
  <c r="H45" i="31"/>
  <c r="H46" i="31"/>
  <c r="H47" i="31"/>
  <c r="H48" i="31"/>
  <c r="H49" i="31"/>
  <c r="H50" i="31"/>
  <c r="H51" i="31"/>
  <c r="H52" i="31"/>
  <c r="H53" i="31"/>
  <c r="H54" i="31"/>
  <c r="H55" i="31"/>
  <c r="H56" i="31"/>
  <c r="H57" i="31"/>
  <c r="H58" i="31"/>
  <c r="H59" i="31"/>
  <c r="H60" i="31"/>
  <c r="H61" i="31"/>
  <c r="H62" i="31"/>
  <c r="H63" i="31"/>
  <c r="H64" i="31"/>
  <c r="H65" i="31"/>
  <c r="H66" i="31"/>
  <c r="H67" i="31"/>
  <c r="H68" i="31"/>
  <c r="H69" i="31"/>
  <c r="H70" i="31"/>
  <c r="H71" i="31"/>
  <c r="H72" i="31"/>
  <c r="H73" i="31"/>
  <c r="H74" i="31"/>
  <c r="H75" i="31"/>
  <c r="H76" i="31"/>
  <c r="H77" i="31"/>
  <c r="H78" i="31"/>
  <c r="H79" i="31"/>
  <c r="H80" i="31"/>
  <c r="H81" i="31"/>
  <c r="H82" i="31"/>
  <c r="H83" i="31"/>
  <c r="H84" i="31"/>
  <c r="H85" i="31"/>
  <c r="H86" i="31"/>
  <c r="H87" i="31"/>
  <c r="H88" i="31"/>
  <c r="H89" i="31"/>
  <c r="H90" i="31"/>
  <c r="H91" i="31"/>
  <c r="H92" i="31"/>
  <c r="H93" i="31"/>
  <c r="H94" i="31"/>
  <c r="H95" i="31"/>
  <c r="H96" i="31"/>
  <c r="H97" i="31"/>
  <c r="H98" i="31"/>
  <c r="H99" i="31"/>
  <c r="H100" i="31"/>
  <c r="H101" i="31"/>
  <c r="H102" i="31"/>
  <c r="H103" i="31"/>
  <c r="H104" i="31"/>
  <c r="H105" i="31"/>
  <c r="H106" i="31"/>
  <c r="H107" i="31"/>
  <c r="H108" i="31"/>
  <c r="H109" i="31"/>
  <c r="H110" i="31"/>
  <c r="H111" i="31"/>
  <c r="H112" i="31"/>
  <c r="H113" i="31"/>
  <c r="H114" i="31"/>
  <c r="H115" i="31"/>
  <c r="H116" i="31"/>
  <c r="H117" i="31"/>
  <c r="H118" i="31"/>
  <c r="H119" i="31"/>
  <c r="H120" i="31"/>
  <c r="H121" i="31"/>
  <c r="H122" i="31"/>
  <c r="H123" i="31"/>
  <c r="H124" i="31"/>
  <c r="H125" i="31"/>
  <c r="H126" i="31"/>
  <c r="H127" i="31"/>
  <c r="H128" i="31"/>
  <c r="H129" i="31"/>
  <c r="H130" i="31"/>
  <c r="H131" i="31"/>
  <c r="H132" i="31"/>
  <c r="H133" i="31"/>
  <c r="H134" i="31"/>
  <c r="H135" i="31"/>
  <c r="H136" i="31"/>
  <c r="H137" i="31"/>
  <c r="H138" i="31"/>
  <c r="H139" i="31"/>
  <c r="H140" i="31"/>
  <c r="H141" i="31"/>
  <c r="H142" i="31"/>
  <c r="H143" i="31"/>
  <c r="H144" i="31"/>
  <c r="H145" i="31"/>
  <c r="H146" i="31"/>
  <c r="H147" i="31"/>
  <c r="H148" i="31"/>
  <c r="H149" i="31"/>
  <c r="H150" i="31"/>
  <c r="H151" i="31"/>
  <c r="H152" i="31"/>
  <c r="H153" i="31"/>
  <c r="H154" i="31"/>
  <c r="H155" i="31"/>
  <c r="H156" i="31"/>
  <c r="H157" i="31"/>
  <c r="H158" i="31"/>
  <c r="H159" i="31"/>
  <c r="H160" i="31"/>
  <c r="H161" i="31"/>
  <c r="H162" i="31"/>
  <c r="H163" i="31"/>
  <c r="H164" i="31"/>
  <c r="H165" i="31"/>
  <c r="H166" i="31"/>
  <c r="H167" i="31"/>
  <c r="H168" i="31"/>
  <c r="H169" i="31"/>
  <c r="H170" i="31"/>
  <c r="H171" i="31"/>
  <c r="H172" i="31"/>
  <c r="H173" i="31"/>
  <c r="H174" i="31"/>
  <c r="H175" i="31"/>
  <c r="H176" i="31"/>
  <c r="H177" i="31"/>
  <c r="H178" i="31"/>
  <c r="H179" i="31"/>
  <c r="H180" i="31"/>
  <c r="H181" i="31"/>
  <c r="H182" i="31"/>
  <c r="H183" i="31"/>
  <c r="H184" i="31"/>
  <c r="H185" i="31"/>
  <c r="H186" i="31"/>
  <c r="H187" i="31"/>
  <c r="H188" i="31"/>
  <c r="H189" i="31"/>
  <c r="H190" i="31"/>
  <c r="H191" i="31"/>
  <c r="H192" i="31"/>
  <c r="H193" i="31"/>
  <c r="H194" i="31"/>
  <c r="H195" i="31"/>
  <c r="H196" i="31"/>
  <c r="H197" i="31"/>
  <c r="H198" i="31"/>
  <c r="H199" i="31"/>
  <c r="H200" i="31"/>
  <c r="H201" i="31"/>
  <c r="H202" i="31"/>
  <c r="H203" i="31"/>
  <c r="H204" i="31"/>
  <c r="H205" i="31"/>
  <c r="H206" i="31"/>
  <c r="H207" i="31"/>
  <c r="H208" i="31"/>
  <c r="H209" i="31"/>
  <c r="H210" i="31"/>
  <c r="H211" i="31"/>
  <c r="H212" i="31"/>
  <c r="H213" i="31"/>
  <c r="H214" i="31"/>
  <c r="H215" i="31"/>
  <c r="H216" i="31"/>
  <c r="H217" i="31"/>
  <c r="H218" i="31"/>
  <c r="H219" i="31"/>
  <c r="H220" i="31"/>
  <c r="H221" i="31"/>
  <c r="H222" i="31"/>
  <c r="H223" i="31"/>
  <c r="H224" i="31"/>
  <c r="H225" i="31"/>
  <c r="H226" i="31"/>
  <c r="H227" i="31"/>
  <c r="H228" i="31"/>
  <c r="H229" i="31"/>
  <c r="H230" i="31"/>
  <c r="H231" i="31"/>
  <c r="H232" i="31"/>
  <c r="H233" i="31"/>
  <c r="H234" i="31"/>
  <c r="H235" i="31"/>
  <c r="H236" i="31"/>
  <c r="H237" i="31"/>
  <c r="H238" i="31"/>
  <c r="H239" i="31"/>
  <c r="H240" i="31"/>
  <c r="H241" i="31"/>
  <c r="H242" i="31"/>
  <c r="H243" i="31"/>
  <c r="H244" i="31"/>
  <c r="H245" i="31"/>
  <c r="H246" i="31"/>
  <c r="H247" i="31"/>
  <c r="H248" i="31"/>
  <c r="H249" i="31"/>
  <c r="H250" i="31"/>
  <c r="H251" i="31"/>
  <c r="H252" i="31"/>
  <c r="H253" i="31"/>
  <c r="H254" i="31"/>
  <c r="H255" i="31"/>
  <c r="H256" i="31"/>
  <c r="H257" i="31"/>
  <c r="H258" i="31"/>
  <c r="H259" i="31"/>
  <c r="H260" i="31"/>
  <c r="H261" i="31"/>
  <c r="H262" i="31"/>
  <c r="H263" i="31"/>
  <c r="H264" i="31"/>
  <c r="H265" i="31"/>
  <c r="H266" i="31"/>
  <c r="H267" i="31"/>
  <c r="H268" i="31"/>
  <c r="H269" i="31"/>
  <c r="H270" i="31"/>
  <c r="H271" i="31"/>
  <c r="H272" i="31"/>
  <c r="H273" i="31"/>
  <c r="H274" i="31"/>
  <c r="H275" i="31"/>
  <c r="H276" i="31"/>
  <c r="H277" i="31"/>
  <c r="H278" i="31"/>
  <c r="H279" i="31"/>
  <c r="H280" i="31"/>
  <c r="H281" i="31"/>
  <c r="H282" i="31"/>
  <c r="H283" i="31"/>
  <c r="H284" i="31"/>
  <c r="H285" i="31"/>
  <c r="H286" i="31"/>
  <c r="H287" i="31"/>
  <c r="H288" i="31"/>
  <c r="H289" i="31"/>
  <c r="H290" i="31"/>
  <c r="H291" i="31"/>
  <c r="H292" i="31"/>
  <c r="H293" i="31"/>
  <c r="H294" i="31"/>
  <c r="H295" i="31"/>
  <c r="H296" i="31"/>
  <c r="H297" i="31"/>
  <c r="H298" i="31"/>
  <c r="H299" i="31"/>
  <c r="H300" i="31"/>
  <c r="H301" i="31"/>
  <c r="H302" i="31"/>
  <c r="H303" i="31"/>
  <c r="H304" i="31"/>
  <c r="H305" i="31"/>
  <c r="H306" i="31"/>
  <c r="H307" i="31"/>
  <c r="H308" i="31"/>
  <c r="H309" i="31"/>
  <c r="H310" i="31"/>
  <c r="H311" i="31"/>
  <c r="H312" i="31"/>
  <c r="H313" i="31"/>
  <c r="H314" i="31"/>
  <c r="H315" i="31"/>
  <c r="H316" i="31"/>
  <c r="H317" i="31"/>
  <c r="H318" i="31"/>
  <c r="H319" i="31"/>
  <c r="H320" i="31"/>
  <c r="H321" i="31"/>
  <c r="H322" i="31"/>
  <c r="H323" i="31"/>
  <c r="H324" i="31"/>
  <c r="H325" i="31"/>
  <c r="H326" i="31"/>
  <c r="H327" i="31"/>
  <c r="H328" i="31"/>
  <c r="H329" i="31"/>
  <c r="H330" i="31"/>
  <c r="H331" i="31"/>
  <c r="H332" i="31"/>
  <c r="H333" i="31"/>
  <c r="H334" i="31"/>
  <c r="H335" i="31"/>
  <c r="H336" i="31"/>
  <c r="H337" i="31"/>
  <c r="H338" i="31"/>
  <c r="H339" i="31"/>
  <c r="H340" i="31"/>
  <c r="H341" i="31"/>
  <c r="H342" i="31"/>
  <c r="H343" i="31"/>
  <c r="H344" i="31"/>
  <c r="H345" i="31"/>
  <c r="H346" i="31"/>
  <c r="H347" i="31"/>
  <c r="H348" i="31"/>
  <c r="H349" i="31"/>
  <c r="H350" i="31"/>
  <c r="H351" i="31"/>
  <c r="H352" i="31"/>
  <c r="H353" i="31"/>
  <c r="H354" i="31"/>
  <c r="H355" i="31"/>
  <c r="H356" i="31"/>
  <c r="H357" i="31"/>
  <c r="H358" i="31"/>
  <c r="H359" i="31"/>
  <c r="H360" i="31"/>
  <c r="H361" i="31"/>
  <c r="H362" i="31"/>
  <c r="H363" i="31"/>
  <c r="H364" i="31"/>
  <c r="H365" i="31"/>
  <c r="H366" i="31"/>
  <c r="H2" i="31"/>
  <c r="F343" i="31" l="1"/>
  <c r="F239" i="31"/>
  <c r="K14" i="4" l="1"/>
  <c r="F14" i="31"/>
  <c r="K11" i="4"/>
  <c r="G2" i="31"/>
  <c r="F71" i="31" l="1"/>
  <c r="F51" i="31" l="1"/>
  <c r="F370" i="31" l="1"/>
  <c r="F374" i="31" s="1"/>
  <c r="F72" i="31"/>
  <c r="F367" i="31" s="1"/>
  <c r="D6" i="31"/>
  <c r="AL11" i="4"/>
  <c r="F371" i="31" l="1"/>
  <c r="F367" i="30"/>
  <c r="F370" i="30"/>
  <c r="F371" i="30"/>
  <c r="F374" i="30"/>
  <c r="AI11" i="4" l="1"/>
  <c r="AM11" i="4"/>
  <c r="AK11" i="4"/>
  <c r="AN11" i="4" l="1"/>
  <c r="C11" i="4" l="1"/>
  <c r="D11" i="4"/>
  <c r="E11" i="4"/>
  <c r="F11" i="4"/>
  <c r="G11" i="4"/>
  <c r="H11" i="4"/>
  <c r="I11" i="4"/>
  <c r="J11" i="4"/>
  <c r="L11" i="4"/>
  <c r="M11" i="4"/>
  <c r="N11" i="4"/>
  <c r="O11" i="4"/>
  <c r="P11" i="4"/>
  <c r="Q11" i="4"/>
  <c r="R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AG11" i="4"/>
  <c r="AH11" i="4"/>
  <c r="AJ11" i="4"/>
  <c r="F4" i="30"/>
  <c r="F72" i="30"/>
  <c r="H6" i="30"/>
  <c r="I6" i="30" s="1"/>
  <c r="J6" i="30" s="1"/>
  <c r="K6" i="30" s="1"/>
  <c r="L6" i="30" s="1"/>
  <c r="M6" i="30" s="1"/>
  <c r="N6" i="30" s="1"/>
  <c r="O6" i="30" s="1"/>
  <c r="D6" i="30"/>
  <c r="E6" i="30" s="1"/>
  <c r="F6" i="30" s="1"/>
  <c r="F5" i="29"/>
  <c r="E5" i="29"/>
  <c r="F1" i="29"/>
  <c r="C1" i="29"/>
  <c r="F4" i="29"/>
  <c r="F3" i="29"/>
  <c r="F368" i="29" l="1"/>
  <c r="F369" i="29" s="1"/>
  <c r="F372" i="29" l="1"/>
  <c r="F75" i="29"/>
  <c r="F72" i="29"/>
  <c r="D6" i="29"/>
  <c r="E6" i="29" s="1"/>
  <c r="F6" i="29" s="1"/>
  <c r="H6" i="29" s="1"/>
  <c r="I6" i="29" s="1"/>
  <c r="J6" i="29" s="1"/>
  <c r="K6" i="29" s="1"/>
  <c r="L6" i="29" s="1"/>
  <c r="M6" i="29" s="1"/>
  <c r="N6" i="29" s="1"/>
  <c r="O6" i="29" s="1"/>
  <c r="G360" i="28"/>
  <c r="G358" i="28"/>
  <c r="G357" i="28"/>
  <c r="G356" i="28"/>
  <c r="G355" i="28"/>
  <c r="G354" i="28"/>
  <c r="G353" i="28"/>
  <c r="G352" i="28"/>
  <c r="G351" i="28"/>
  <c r="G350" i="28"/>
  <c r="G349" i="28"/>
  <c r="G348" i="28"/>
  <c r="G347" i="28"/>
  <c r="G346" i="28"/>
  <c r="G345" i="28"/>
  <c r="G344" i="28"/>
  <c r="G343" i="28"/>
  <c r="G342" i="28"/>
  <c r="G341" i="28"/>
  <c r="G340" i="28"/>
  <c r="G339" i="28"/>
  <c r="G338" i="28"/>
  <c r="G337" i="28"/>
  <c r="G336" i="28"/>
  <c r="G335" i="28"/>
  <c r="G334" i="28"/>
  <c r="G333" i="28"/>
  <c r="G332" i="28"/>
  <c r="G331" i="28"/>
  <c r="G330" i="28"/>
  <c r="G329" i="28"/>
  <c r="G328" i="28"/>
  <c r="G327" i="28"/>
  <c r="G326" i="28"/>
  <c r="G325" i="28"/>
  <c r="G324" i="28"/>
  <c r="G323" i="28"/>
  <c r="G322" i="28"/>
  <c r="G321" i="28"/>
  <c r="G320" i="28"/>
  <c r="G319" i="28"/>
  <c r="G318" i="28"/>
  <c r="G317" i="28"/>
  <c r="G316" i="28"/>
  <c r="G315" i="28"/>
  <c r="G314" i="28"/>
  <c r="G313" i="28"/>
  <c r="G312" i="28"/>
  <c r="G311" i="28"/>
  <c r="G310" i="28"/>
  <c r="G309" i="28"/>
  <c r="G308" i="28"/>
  <c r="G307" i="28"/>
  <c r="G306" i="28"/>
  <c r="G305" i="28"/>
  <c r="G304" i="28"/>
  <c r="G303" i="28"/>
  <c r="G302" i="28"/>
  <c r="G301" i="28"/>
  <c r="G300" i="28"/>
  <c r="G299" i="28"/>
  <c r="G298" i="28"/>
  <c r="G297" i="28"/>
  <c r="G296" i="28"/>
  <c r="G295" i="28"/>
  <c r="G294" i="28"/>
  <c r="G292" i="28"/>
  <c r="G291" i="28"/>
  <c r="G290" i="28"/>
  <c r="G289" i="28"/>
  <c r="G288" i="28"/>
  <c r="G287" i="28"/>
  <c r="G286" i="28"/>
  <c r="G285" i="28"/>
  <c r="G284" i="28"/>
  <c r="G283" i="28"/>
  <c r="G282" i="28"/>
  <c r="G281" i="28"/>
  <c r="G280" i="28"/>
  <c r="G279" i="28"/>
  <c r="G278" i="28"/>
  <c r="G276" i="28"/>
  <c r="G275" i="28"/>
  <c r="G274" i="28"/>
  <c r="G272" i="28"/>
  <c r="G271" i="28"/>
  <c r="G270" i="28"/>
  <c r="G269" i="28"/>
  <c r="G268" i="28"/>
  <c r="G267" i="28"/>
  <c r="G266" i="28"/>
  <c r="G265" i="28"/>
  <c r="G264" i="28"/>
  <c r="G263" i="28"/>
  <c r="G262" i="28"/>
  <c r="G261" i="28"/>
  <c r="G260" i="28"/>
  <c r="G259" i="28"/>
  <c r="G258" i="28"/>
  <c r="G257" i="28"/>
  <c r="G256" i="28"/>
  <c r="G255" i="28"/>
  <c r="G254" i="28"/>
  <c r="G253" i="28"/>
  <c r="G252" i="28"/>
  <c r="G251" i="28"/>
  <c r="G250" i="28"/>
  <c r="G249" i="28"/>
  <c r="G248" i="28"/>
  <c r="G247" i="28"/>
  <c r="G246" i="28"/>
  <c r="G245" i="28"/>
  <c r="G244" i="28"/>
  <c r="G243" i="28"/>
  <c r="G242" i="28"/>
  <c r="G241" i="28"/>
  <c r="G240" i="28"/>
  <c r="G239" i="28"/>
  <c r="G238" i="28"/>
  <c r="G237" i="28"/>
  <c r="G236" i="28"/>
  <c r="G235" i="28"/>
  <c r="G234" i="28"/>
  <c r="G233" i="28"/>
  <c r="G232" i="28"/>
  <c r="G231" i="28"/>
  <c r="G230" i="28"/>
  <c r="G229" i="28"/>
  <c r="G228" i="28"/>
  <c r="G227" i="28"/>
  <c r="G226" i="28"/>
  <c r="G225" i="28"/>
  <c r="G224" i="28"/>
  <c r="G223" i="28"/>
  <c r="G222" i="28"/>
  <c r="G221" i="28"/>
  <c r="G220" i="28"/>
  <c r="G219" i="28"/>
  <c r="G218" i="28"/>
  <c r="G217" i="28"/>
  <c r="G216" i="28"/>
  <c r="G215" i="28"/>
  <c r="G214" i="28"/>
  <c r="G213" i="28"/>
  <c r="G212" i="28"/>
  <c r="G211" i="28"/>
  <c r="G210" i="28"/>
  <c r="G209" i="28"/>
  <c r="G208" i="28"/>
  <c r="G207" i="28"/>
  <c r="G206" i="28"/>
  <c r="G205" i="28"/>
  <c r="G204" i="28"/>
  <c r="G203" i="28"/>
  <c r="G202" i="28"/>
  <c r="G201" i="28"/>
  <c r="G200" i="28"/>
  <c r="G199" i="28"/>
  <c r="G198" i="28"/>
  <c r="G197" i="28"/>
  <c r="G196" i="28"/>
  <c r="G195" i="28"/>
  <c r="G194" i="28"/>
  <c r="G193" i="28"/>
  <c r="G192" i="28"/>
  <c r="G191" i="28"/>
  <c r="G190" i="28"/>
  <c r="G189" i="28"/>
  <c r="G188" i="28"/>
  <c r="G187" i="28"/>
  <c r="G186" i="28"/>
  <c r="G185" i="28"/>
  <c r="G184" i="28"/>
  <c r="G183" i="28"/>
  <c r="G182" i="28"/>
  <c r="G181" i="28"/>
  <c r="G180" i="28"/>
  <c r="G179" i="28"/>
  <c r="G178" i="28"/>
  <c r="G177" i="28"/>
  <c r="G176" i="28"/>
  <c r="G175" i="28"/>
  <c r="G174" i="28"/>
  <c r="G173" i="28"/>
  <c r="G172" i="28"/>
  <c r="G171" i="28"/>
  <c r="G170" i="28"/>
  <c r="G169" i="28"/>
  <c r="G168" i="28"/>
  <c r="G167" i="28"/>
  <c r="G166" i="28"/>
  <c r="G165" i="28"/>
  <c r="G164" i="28"/>
  <c r="G163" i="28"/>
  <c r="G162" i="28"/>
  <c r="G161" i="28"/>
  <c r="G160" i="28"/>
  <c r="G159" i="28"/>
  <c r="G158" i="28"/>
  <c r="G157" i="28"/>
  <c r="G156" i="28"/>
  <c r="G155" i="28"/>
  <c r="G154" i="28"/>
  <c r="G153" i="28"/>
  <c r="G152" i="28"/>
  <c r="G151" i="28"/>
  <c r="G150" i="28"/>
  <c r="G149" i="28"/>
  <c r="G148" i="28"/>
  <c r="G147" i="28"/>
  <c r="G146" i="28"/>
  <c r="G145" i="28"/>
  <c r="G144" i="28"/>
  <c r="G143" i="28"/>
  <c r="G142" i="28"/>
  <c r="G141" i="28"/>
  <c r="G140" i="28"/>
  <c r="G139" i="28"/>
  <c r="G138" i="28"/>
  <c r="G137" i="28"/>
  <c r="G136" i="28"/>
  <c r="G135" i="28"/>
  <c r="G134" i="28"/>
  <c r="G133" i="28"/>
  <c r="G132" i="28"/>
  <c r="G131" i="28"/>
  <c r="G129" i="28"/>
  <c r="G128" i="28"/>
  <c r="G127" i="28"/>
  <c r="G126" i="28"/>
  <c r="G125" i="28"/>
  <c r="G124" i="28"/>
  <c r="G123" i="28"/>
  <c r="G121" i="28"/>
  <c r="G120" i="28"/>
  <c r="G119" i="28"/>
  <c r="G118" i="28"/>
  <c r="G117" i="28"/>
  <c r="G116" i="28"/>
  <c r="G115" i="28"/>
  <c r="G114" i="28"/>
  <c r="G113" i="28"/>
  <c r="G112" i="28"/>
  <c r="G111" i="28"/>
  <c r="G110" i="28"/>
  <c r="G109" i="28"/>
  <c r="G108" i="28"/>
  <c r="G107" i="28"/>
  <c r="G106" i="28"/>
  <c r="G105" i="28"/>
  <c r="G104" i="28"/>
  <c r="G103" i="28"/>
  <c r="G102" i="28"/>
  <c r="G101" i="28"/>
  <c r="G100" i="28"/>
  <c r="G99" i="28"/>
  <c r="G98" i="28"/>
  <c r="G97" i="28"/>
  <c r="G96" i="28"/>
  <c r="G95" i="28"/>
  <c r="G94" i="28"/>
  <c r="G93" i="28"/>
  <c r="G92" i="28"/>
  <c r="G91" i="28"/>
  <c r="G90" i="28"/>
  <c r="G89" i="28"/>
  <c r="G88" i="28"/>
  <c r="G87" i="28"/>
  <c r="G86" i="28"/>
  <c r="G85" i="28"/>
  <c r="G84" i="28"/>
  <c r="G83" i="28"/>
  <c r="G82" i="28"/>
  <c r="G81" i="28"/>
  <c r="G80" i="28"/>
  <c r="G79" i="28"/>
  <c r="G78" i="28"/>
  <c r="G77" i="28"/>
  <c r="G76" i="28"/>
  <c r="G75" i="28"/>
  <c r="G74" i="28"/>
  <c r="G73" i="28"/>
  <c r="G72" i="28"/>
  <c r="G71" i="28"/>
  <c r="F71" i="28"/>
  <c r="G70" i="28"/>
  <c r="G69" i="28"/>
  <c r="G68" i="28"/>
  <c r="F68" i="28"/>
  <c r="G67" i="28"/>
  <c r="G66" i="28"/>
  <c r="G65" i="28"/>
  <c r="G64" i="28"/>
  <c r="G63" i="28"/>
  <c r="G62" i="28"/>
  <c r="G61" i="28"/>
  <c r="G60" i="28"/>
  <c r="G59" i="28"/>
  <c r="G58" i="28"/>
  <c r="G57" i="28"/>
  <c r="G56" i="28"/>
  <c r="G55" i="28"/>
  <c r="G54" i="28"/>
  <c r="G53" i="28"/>
  <c r="G52" i="28"/>
  <c r="G51" i="28"/>
  <c r="G50" i="28"/>
  <c r="G49" i="28"/>
  <c r="G48" i="28"/>
  <c r="G47" i="28"/>
  <c r="G46" i="28"/>
  <c r="G45" i="28"/>
  <c r="G44" i="28"/>
  <c r="G43" i="28"/>
  <c r="G42" i="28"/>
  <c r="G41" i="28"/>
  <c r="G40" i="28"/>
  <c r="G39" i="28"/>
  <c r="G38" i="28"/>
  <c r="G37" i="28"/>
  <c r="G36" i="28"/>
  <c r="G35" i="28"/>
  <c r="G34" i="28"/>
  <c r="G33" i="28"/>
  <c r="G32" i="28"/>
  <c r="G31" i="28"/>
  <c r="G30" i="28"/>
  <c r="G29" i="28"/>
  <c r="G28" i="28"/>
  <c r="G27" i="28"/>
  <c r="G26" i="28"/>
  <c r="G25" i="28"/>
  <c r="G24" i="28"/>
  <c r="G23" i="28"/>
  <c r="G22" i="28"/>
  <c r="G21" i="28"/>
  <c r="G20" i="28"/>
  <c r="G19" i="28"/>
  <c r="G18" i="28"/>
  <c r="G17" i="28"/>
  <c r="G16" i="28"/>
  <c r="G15" i="28"/>
  <c r="G14" i="28"/>
  <c r="G13" i="28"/>
  <c r="G12" i="28"/>
  <c r="G11" i="28"/>
  <c r="G10" i="28"/>
  <c r="G9" i="28"/>
  <c r="G8" i="28"/>
  <c r="G7" i="28"/>
  <c r="G6" i="28"/>
  <c r="G5" i="28"/>
  <c r="G4" i="28"/>
  <c r="D2" i="28"/>
  <c r="E2" i="28" s="1"/>
  <c r="F2" i="28" s="1"/>
  <c r="G2" i="28" s="1"/>
  <c r="H2" i="28" s="1"/>
  <c r="I2" i="28" s="1"/>
  <c r="J2" i="28" s="1"/>
  <c r="K2" i="28" s="1"/>
  <c r="L2" i="28" s="1"/>
  <c r="M2" i="28" s="1"/>
  <c r="N2" i="28" s="1"/>
  <c r="O2" i="28" s="1"/>
  <c r="F1" i="28"/>
  <c r="Q359" i="27"/>
  <c r="Q357" i="27"/>
  <c r="Q356" i="27"/>
  <c r="Q355" i="27"/>
  <c r="Q353" i="27"/>
  <c r="Q352" i="27"/>
  <c r="Q351" i="27"/>
  <c r="Q350" i="27"/>
  <c r="Q348" i="27"/>
  <c r="Q345" i="27"/>
  <c r="Q343" i="27"/>
  <c r="Q341" i="27"/>
  <c r="Q339" i="27"/>
  <c r="Q336" i="27"/>
  <c r="Q334" i="27"/>
  <c r="Q333" i="27"/>
  <c r="Q332" i="27"/>
  <c r="Q331" i="27"/>
  <c r="Q330" i="27"/>
  <c r="Q328" i="27"/>
  <c r="Q327" i="27"/>
  <c r="Q326" i="27"/>
  <c r="Q324" i="27"/>
  <c r="Q323" i="27"/>
  <c r="Q320" i="27"/>
  <c r="Q319" i="27"/>
  <c r="Q314" i="27"/>
  <c r="Q313" i="27"/>
  <c r="Q312" i="27"/>
  <c r="Q311" i="27"/>
  <c r="Q310" i="27"/>
  <c r="Q307" i="27"/>
  <c r="Q303" i="27"/>
  <c r="Q301" i="27"/>
  <c r="Q296" i="27"/>
  <c r="Q294" i="27"/>
  <c r="Q293" i="27"/>
  <c r="Q285" i="27"/>
  <c r="Q282" i="27"/>
  <c r="Q281" i="27"/>
  <c r="Q279" i="27"/>
  <c r="Q277" i="27"/>
  <c r="Q273" i="27"/>
  <c r="Q270" i="27"/>
  <c r="Q269" i="27"/>
  <c r="Q267" i="27"/>
  <c r="Q266" i="27"/>
  <c r="Q259" i="27"/>
  <c r="Q258" i="27"/>
  <c r="Q251" i="27"/>
  <c r="Q247" i="27"/>
  <c r="Q245" i="27"/>
  <c r="Q244" i="27"/>
  <c r="Q240" i="27"/>
  <c r="Q238" i="27"/>
  <c r="Q235" i="27"/>
  <c r="Q234" i="27"/>
  <c r="Q233" i="27"/>
  <c r="Q230" i="27"/>
  <c r="Q227" i="27"/>
  <c r="Q224" i="27"/>
  <c r="Q223" i="27"/>
  <c r="Q220" i="27"/>
  <c r="Q216" i="27"/>
  <c r="Q215" i="27"/>
  <c r="Q214" i="27"/>
  <c r="Q213" i="27"/>
  <c r="Q207" i="27"/>
  <c r="Q206" i="27"/>
  <c r="Q205" i="27"/>
  <c r="Q204" i="27"/>
  <c r="Q203" i="27"/>
  <c r="Q201" i="27"/>
  <c r="Q200" i="27"/>
  <c r="Q198" i="27"/>
  <c r="Q196" i="27"/>
  <c r="Q195" i="27"/>
  <c r="Q194" i="27"/>
  <c r="Q192" i="27"/>
  <c r="Q191" i="27"/>
  <c r="Q190" i="27"/>
  <c r="Q186" i="27"/>
  <c r="Q184" i="27"/>
  <c r="Q183" i="27"/>
  <c r="Q181" i="27"/>
  <c r="Q180" i="27"/>
  <c r="Q179" i="27"/>
  <c r="Q178" i="27"/>
  <c r="Q176" i="27"/>
  <c r="Q175" i="27"/>
  <c r="Q170" i="27"/>
  <c r="Q165" i="27"/>
  <c r="Q163" i="27"/>
  <c r="Q162" i="27"/>
  <c r="Q161" i="27"/>
  <c r="Q160" i="27"/>
  <c r="Q159" i="27"/>
  <c r="Q155" i="27"/>
  <c r="Q152" i="27"/>
  <c r="Q149" i="27"/>
  <c r="Q147" i="27"/>
  <c r="Q141" i="27"/>
  <c r="Q139" i="27"/>
  <c r="Q138" i="27"/>
  <c r="Q137" i="27"/>
  <c r="Q136" i="27"/>
  <c r="Q135" i="27"/>
  <c r="Q133" i="27"/>
  <c r="Q132" i="27"/>
  <c r="Q130" i="27"/>
  <c r="Q128" i="27"/>
  <c r="Q127" i="27"/>
  <c r="Q126" i="27"/>
  <c r="Q125" i="27"/>
  <c r="Q124" i="27"/>
  <c r="Q123" i="27"/>
  <c r="Q122" i="27"/>
  <c r="Q121" i="27"/>
  <c r="Q120" i="27"/>
  <c r="Q119" i="27"/>
  <c r="Q118" i="27"/>
  <c r="Q117" i="27"/>
  <c r="Q116" i="27"/>
  <c r="Q115" i="27"/>
  <c r="Q114" i="27"/>
  <c r="Q113" i="27"/>
  <c r="Q112" i="27"/>
  <c r="Q111" i="27"/>
  <c r="Q110" i="27"/>
  <c r="Q109" i="27"/>
  <c r="Q108" i="27"/>
  <c r="Q107" i="27"/>
  <c r="Q106" i="27"/>
  <c r="Q105" i="27"/>
  <c r="Q104" i="27"/>
  <c r="Q103" i="27"/>
  <c r="Q102" i="27"/>
  <c r="Q101" i="27"/>
  <c r="Q100" i="27"/>
  <c r="Q99" i="27"/>
  <c r="Q98" i="27"/>
  <c r="Q97" i="27"/>
  <c r="Q96" i="27"/>
  <c r="Q95" i="27"/>
  <c r="Q94" i="27"/>
  <c r="Q93" i="27"/>
  <c r="Q92" i="27"/>
  <c r="Q91" i="27"/>
  <c r="Q90" i="27"/>
  <c r="Q89" i="27"/>
  <c r="Q87" i="27"/>
  <c r="Q86" i="27"/>
  <c r="Q85" i="27"/>
  <c r="Q83" i="27"/>
  <c r="Q82" i="27"/>
  <c r="Q81" i="27"/>
  <c r="Q80" i="27"/>
  <c r="Q79" i="27"/>
  <c r="Q78" i="27"/>
  <c r="Q76" i="27"/>
  <c r="Q75" i="27"/>
  <c r="Q74" i="27"/>
  <c r="Q73" i="27"/>
  <c r="Q72" i="27"/>
  <c r="Q71" i="27"/>
  <c r="Q68" i="27"/>
  <c r="Q67" i="27"/>
  <c r="Q66" i="27"/>
  <c r="Q65" i="27"/>
  <c r="Q64" i="27"/>
  <c r="Q63" i="27"/>
  <c r="Q62" i="27"/>
  <c r="Q61" i="27"/>
  <c r="Q60" i="27"/>
  <c r="Q59" i="27"/>
  <c r="Q58" i="27"/>
  <c r="Q57" i="27"/>
  <c r="Q56" i="27"/>
  <c r="Q55" i="27"/>
  <c r="Q54" i="27"/>
  <c r="Q53" i="27"/>
  <c r="Q52" i="27"/>
  <c r="Q51" i="27"/>
  <c r="Q50" i="27"/>
  <c r="Q49" i="27"/>
  <c r="Q47" i="27"/>
  <c r="Q46" i="27"/>
  <c r="Q45" i="27"/>
  <c r="Q44" i="27"/>
  <c r="Q43" i="27"/>
  <c r="Q42" i="27"/>
  <c r="Q41" i="27"/>
  <c r="Q40" i="27"/>
  <c r="Q37" i="27"/>
  <c r="Q36" i="27"/>
  <c r="Q35" i="27"/>
  <c r="Q34" i="27"/>
  <c r="Q33" i="27"/>
  <c r="Q32" i="27"/>
  <c r="Q31" i="27"/>
  <c r="Q30" i="27"/>
  <c r="Q29" i="27"/>
  <c r="Q28" i="27"/>
  <c r="Q27" i="27"/>
  <c r="Q26" i="27"/>
  <c r="Q25" i="27"/>
  <c r="Q24" i="27"/>
  <c r="Q23" i="27"/>
  <c r="Q22" i="27"/>
  <c r="Q21" i="27"/>
  <c r="Q20" i="27"/>
  <c r="Q19" i="27"/>
  <c r="Q18" i="27"/>
  <c r="Q17" i="27"/>
  <c r="Q16" i="27"/>
  <c r="Q15" i="27"/>
  <c r="Q14" i="27"/>
  <c r="Q13" i="27"/>
  <c r="Q12" i="27"/>
  <c r="Q11" i="27"/>
  <c r="Q10" i="27"/>
  <c r="Q9" i="27"/>
  <c r="Q8" i="27"/>
  <c r="Q7" i="27"/>
  <c r="Q6" i="27"/>
  <c r="Q5" i="27"/>
  <c r="Q4" i="27"/>
  <c r="F365" i="29" l="1"/>
  <c r="F361" i="28"/>
  <c r="G359" i="27"/>
  <c r="G358" i="27"/>
  <c r="G357" i="27"/>
  <c r="G356" i="27"/>
  <c r="G355" i="27"/>
  <c r="G354" i="27"/>
  <c r="G353" i="27"/>
  <c r="G352" i="27"/>
  <c r="G351" i="27"/>
  <c r="G350" i="27"/>
  <c r="G349" i="27"/>
  <c r="G348" i="27"/>
  <c r="G347" i="27"/>
  <c r="G346" i="27"/>
  <c r="G345" i="27"/>
  <c r="G344" i="27"/>
  <c r="G343" i="27"/>
  <c r="G342" i="27"/>
  <c r="G341" i="27"/>
  <c r="G340" i="27"/>
  <c r="G339" i="27"/>
  <c r="G338" i="27"/>
  <c r="G337" i="27"/>
  <c r="G336" i="27"/>
  <c r="G335" i="27"/>
  <c r="G334" i="27"/>
  <c r="G333" i="27"/>
  <c r="G332" i="27"/>
  <c r="G331" i="27"/>
  <c r="G330" i="27"/>
  <c r="G329" i="27"/>
  <c r="G328" i="27"/>
  <c r="G327" i="27"/>
  <c r="G326" i="27"/>
  <c r="G325" i="27"/>
  <c r="G324" i="27"/>
  <c r="G323" i="27"/>
  <c r="G322" i="27"/>
  <c r="G321" i="27"/>
  <c r="G320" i="27"/>
  <c r="G319" i="27"/>
  <c r="G318" i="27"/>
  <c r="G317" i="27"/>
  <c r="G316" i="27"/>
  <c r="G315" i="27"/>
  <c r="G314" i="27"/>
  <c r="G313" i="27"/>
  <c r="G312" i="27"/>
  <c r="G311" i="27"/>
  <c r="G310" i="27"/>
  <c r="G309" i="27"/>
  <c r="G308" i="27"/>
  <c r="G307" i="27"/>
  <c r="G306" i="27"/>
  <c r="G305" i="27"/>
  <c r="G304" i="27"/>
  <c r="G303" i="27"/>
  <c r="G302" i="27"/>
  <c r="G301" i="27"/>
  <c r="G300" i="27"/>
  <c r="G299" i="27"/>
  <c r="G298" i="27"/>
  <c r="G297" i="27"/>
  <c r="G296" i="27"/>
  <c r="G295" i="27"/>
  <c r="G294" i="27"/>
  <c r="G293" i="27"/>
  <c r="G292" i="27"/>
  <c r="G291" i="27"/>
  <c r="G290" i="27"/>
  <c r="G289" i="27"/>
  <c r="G288" i="27"/>
  <c r="G287" i="27"/>
  <c r="G286" i="27"/>
  <c r="G285" i="27"/>
  <c r="G284" i="27"/>
  <c r="G283" i="27"/>
  <c r="G282" i="27"/>
  <c r="G281" i="27"/>
  <c r="G280" i="27"/>
  <c r="G279" i="27"/>
  <c r="G278" i="27"/>
  <c r="G277" i="27"/>
  <c r="G276" i="27"/>
  <c r="G275" i="27"/>
  <c r="G274" i="27"/>
  <c r="G273" i="27"/>
  <c r="G272" i="27"/>
  <c r="G271" i="27"/>
  <c r="G270" i="27"/>
  <c r="G269" i="27"/>
  <c r="G268" i="27"/>
  <c r="G267" i="27"/>
  <c r="G266" i="27"/>
  <c r="G265" i="27"/>
  <c r="G264" i="27"/>
  <c r="G263" i="27"/>
  <c r="G262" i="27"/>
  <c r="G261" i="27"/>
  <c r="G260" i="27"/>
  <c r="G259" i="27"/>
  <c r="G258" i="27"/>
  <c r="G257" i="27"/>
  <c r="G256" i="27"/>
  <c r="G255" i="27"/>
  <c r="G254" i="27"/>
  <c r="G253" i="27"/>
  <c r="G252" i="27"/>
  <c r="G251" i="27"/>
  <c r="G250" i="27"/>
  <c r="G249" i="27"/>
  <c r="G248" i="27"/>
  <c r="G247" i="27"/>
  <c r="G246" i="27"/>
  <c r="G245" i="27"/>
  <c r="G244" i="27"/>
  <c r="G243" i="27"/>
  <c r="G242" i="27"/>
  <c r="G241" i="27"/>
  <c r="G240" i="27"/>
  <c r="G239" i="27"/>
  <c r="G238" i="27"/>
  <c r="G237" i="27"/>
  <c r="G236" i="27"/>
  <c r="G235" i="27"/>
  <c r="G234" i="27"/>
  <c r="G233" i="27"/>
  <c r="G232" i="27"/>
  <c r="G231" i="27"/>
  <c r="G230" i="27"/>
  <c r="G229" i="27"/>
  <c r="G228" i="27"/>
  <c r="G227" i="27"/>
  <c r="G226" i="27"/>
  <c r="G225" i="27"/>
  <c r="G224" i="27"/>
  <c r="G223" i="27"/>
  <c r="G222" i="27"/>
  <c r="G221" i="27"/>
  <c r="G220" i="27"/>
  <c r="G219" i="27"/>
  <c r="G218" i="27"/>
  <c r="G217" i="27"/>
  <c r="G216" i="27"/>
  <c r="G215" i="27"/>
  <c r="G214" i="27"/>
  <c r="G213" i="27"/>
  <c r="G212" i="27"/>
  <c r="G211" i="27"/>
  <c r="G210" i="27"/>
  <c r="G209" i="27"/>
  <c r="G208" i="27"/>
  <c r="G207" i="27"/>
  <c r="G206" i="27"/>
  <c r="G205" i="27"/>
  <c r="G204" i="27"/>
  <c r="G203" i="27"/>
  <c r="G202" i="27"/>
  <c r="G201" i="27"/>
  <c r="G200" i="27"/>
  <c r="G199" i="27"/>
  <c r="G198" i="27"/>
  <c r="G197" i="27"/>
  <c r="G196" i="27"/>
  <c r="G195" i="27"/>
  <c r="G194" i="27"/>
  <c r="G193" i="27"/>
  <c r="G192" i="27"/>
  <c r="G191" i="27"/>
  <c r="G190" i="27"/>
  <c r="G189" i="27"/>
  <c r="G188" i="27"/>
  <c r="G187" i="27"/>
  <c r="G186" i="27"/>
  <c r="G185" i="27"/>
  <c r="G184" i="27"/>
  <c r="G183" i="27"/>
  <c r="G182" i="27"/>
  <c r="G181" i="27"/>
  <c r="G180" i="27"/>
  <c r="G179" i="27"/>
  <c r="G178" i="27"/>
  <c r="G177" i="27"/>
  <c r="G176" i="27"/>
  <c r="G175" i="27"/>
  <c r="G174" i="27"/>
  <c r="G173" i="27"/>
  <c r="G172" i="27"/>
  <c r="G171" i="27"/>
  <c r="G170" i="27"/>
  <c r="G169" i="27"/>
  <c r="G168" i="27"/>
  <c r="G167" i="27"/>
  <c r="G166" i="27"/>
  <c r="G165" i="27"/>
  <c r="G164" i="27"/>
  <c r="G163" i="27"/>
  <c r="G162" i="27"/>
  <c r="G161" i="27"/>
  <c r="G160" i="27"/>
  <c r="G159" i="27"/>
  <c r="G158" i="27"/>
  <c r="G157" i="27"/>
  <c r="G156" i="27"/>
  <c r="G155" i="27"/>
  <c r="G154" i="27"/>
  <c r="G153" i="27"/>
  <c r="G152" i="27"/>
  <c r="G151" i="27"/>
  <c r="G150" i="27"/>
  <c r="G149" i="27"/>
  <c r="G148" i="27"/>
  <c r="G147" i="27"/>
  <c r="G146" i="27"/>
  <c r="G145" i="27"/>
  <c r="G144" i="27"/>
  <c r="G143" i="27"/>
  <c r="G142" i="27"/>
  <c r="G141" i="27"/>
  <c r="G140" i="27"/>
  <c r="G139" i="27"/>
  <c r="G138" i="27"/>
  <c r="G137" i="27"/>
  <c r="G136" i="27"/>
  <c r="G135" i="27"/>
  <c r="G134" i="27"/>
  <c r="G133" i="27"/>
  <c r="G132" i="27"/>
  <c r="G131" i="27"/>
  <c r="G130" i="27"/>
  <c r="G129" i="27"/>
  <c r="G128" i="27"/>
  <c r="G127" i="27"/>
  <c r="G126" i="27"/>
  <c r="G125" i="27"/>
  <c r="G124" i="27"/>
  <c r="G123" i="27"/>
  <c r="G121" i="27"/>
  <c r="G120" i="27"/>
  <c r="G119" i="27"/>
  <c r="G118" i="27"/>
  <c r="G117" i="27"/>
  <c r="G116" i="27"/>
  <c r="G115" i="27"/>
  <c r="G114" i="27"/>
  <c r="G113" i="27"/>
  <c r="G112" i="27"/>
  <c r="G111" i="27"/>
  <c r="G110" i="27"/>
  <c r="G109" i="27"/>
  <c r="G108" i="27"/>
  <c r="G107" i="27"/>
  <c r="G106" i="27"/>
  <c r="G105" i="27"/>
  <c r="G104" i="27"/>
  <c r="G103" i="27"/>
  <c r="G102" i="27"/>
  <c r="G101" i="27"/>
  <c r="G100" i="27"/>
  <c r="G99" i="27"/>
  <c r="G98" i="27"/>
  <c r="G97" i="27"/>
  <c r="G96" i="27"/>
  <c r="G95" i="27"/>
  <c r="G94" i="27"/>
  <c r="G93" i="27"/>
  <c r="G92" i="27"/>
  <c r="G91" i="27"/>
  <c r="G90" i="27"/>
  <c r="G89" i="27"/>
  <c r="G88" i="27"/>
  <c r="G87" i="27"/>
  <c r="G86" i="27"/>
  <c r="G85" i="27"/>
  <c r="G84" i="27"/>
  <c r="G83" i="27"/>
  <c r="G82" i="27"/>
  <c r="G81" i="27"/>
  <c r="G80" i="27"/>
  <c r="G79" i="27"/>
  <c r="G78" i="27"/>
  <c r="G77" i="27"/>
  <c r="G76" i="27"/>
  <c r="G75" i="27"/>
  <c r="G74" i="27"/>
  <c r="G73" i="27"/>
  <c r="G72" i="27"/>
  <c r="G71" i="27"/>
  <c r="G70" i="27"/>
  <c r="G69" i="27"/>
  <c r="G68" i="27"/>
  <c r="G67" i="27"/>
  <c r="G66" i="27"/>
  <c r="G65" i="27"/>
  <c r="G64" i="27"/>
  <c r="G63" i="27"/>
  <c r="G62" i="27"/>
  <c r="G61" i="27"/>
  <c r="G60" i="27"/>
  <c r="G59" i="27"/>
  <c r="G58" i="27"/>
  <c r="G57" i="27"/>
  <c r="G56" i="27"/>
  <c r="G55" i="27"/>
  <c r="G54" i="27"/>
  <c r="G53" i="27"/>
  <c r="G52" i="27"/>
  <c r="G51" i="27"/>
  <c r="G50" i="27"/>
  <c r="G49" i="27"/>
  <c r="G48" i="27"/>
  <c r="G47" i="27"/>
  <c r="G46" i="27"/>
  <c r="G45" i="27"/>
  <c r="G44" i="27"/>
  <c r="G43" i="27"/>
  <c r="G42" i="27"/>
  <c r="G41" i="27"/>
  <c r="G40" i="27"/>
  <c r="G39" i="27"/>
  <c r="G38" i="27"/>
  <c r="G37" i="27"/>
  <c r="G36" i="27"/>
  <c r="G35" i="27"/>
  <c r="G34" i="27"/>
  <c r="G33" i="27"/>
  <c r="G32" i="27"/>
  <c r="G31" i="27"/>
  <c r="G30" i="27"/>
  <c r="G29" i="27"/>
  <c r="G28" i="27"/>
  <c r="G27" i="27"/>
  <c r="G26" i="27"/>
  <c r="G25" i="27"/>
  <c r="G24" i="27"/>
  <c r="G23" i="27"/>
  <c r="G22" i="27"/>
  <c r="G21" i="27"/>
  <c r="G20" i="27"/>
  <c r="G19" i="27"/>
  <c r="G18" i="27"/>
  <c r="G17" i="27"/>
  <c r="G16" i="27"/>
  <c r="G15" i="27"/>
  <c r="G14" i="27"/>
  <c r="G13" i="27"/>
  <c r="G12" i="27"/>
  <c r="G11" i="27"/>
  <c r="G10" i="27"/>
  <c r="G9" i="27"/>
  <c r="G8" i="27"/>
  <c r="G7" i="27"/>
  <c r="G6" i="27"/>
  <c r="G5" i="27"/>
  <c r="G4" i="27"/>
  <c r="F71" i="27" l="1"/>
  <c r="F68" i="27"/>
  <c r="F360" i="27" s="1"/>
  <c r="D2" i="27"/>
  <c r="E2" i="27" s="1"/>
  <c r="F2" i="27" s="1"/>
  <c r="G2" i="27" s="1"/>
  <c r="H2" i="27" s="1"/>
  <c r="I2" i="27" s="1"/>
  <c r="J2" i="27" s="1"/>
  <c r="K2" i="27" s="1"/>
  <c r="L2" i="27" s="1"/>
  <c r="M2" i="27" s="1"/>
  <c r="N2" i="27" s="1"/>
  <c r="O2" i="27" s="1"/>
  <c r="F1" i="27"/>
  <c r="F71" i="25" l="1"/>
  <c r="F68" i="25"/>
  <c r="D2" i="25"/>
  <c r="E2" i="25" s="1"/>
  <c r="F2" i="25" s="1"/>
  <c r="G2" i="25" s="1"/>
  <c r="H2" i="25" s="1"/>
  <c r="I2" i="25" s="1"/>
  <c r="J2" i="25" s="1"/>
  <c r="K2" i="25" s="1"/>
  <c r="L2" i="25" s="1"/>
  <c r="M2" i="25" s="1"/>
  <c r="N2" i="25" s="1"/>
  <c r="O2" i="25" s="1"/>
  <c r="F1" i="25"/>
  <c r="F71" i="24"/>
  <c r="F68" i="24"/>
  <c r="F1" i="24"/>
  <c r="F360" i="25" l="1"/>
  <c r="F359" i="21"/>
  <c r="F360" i="24" l="1"/>
  <c r="D2" i="24"/>
  <c r="E2" i="24" s="1"/>
  <c r="F2" i="24" s="1"/>
  <c r="G2" i="24" s="1"/>
  <c r="H2" i="24" s="1"/>
  <c r="I2" i="24" s="1"/>
  <c r="J2" i="24" s="1"/>
  <c r="K2" i="24" s="1"/>
  <c r="L2" i="24" s="1"/>
  <c r="M2" i="24" s="1"/>
  <c r="N2" i="24" s="1"/>
  <c r="O2" i="24" s="1"/>
  <c r="D2" i="21" l="1"/>
  <c r="E2" i="21" s="1"/>
  <c r="D2" i="17"/>
  <c r="E2" i="17" s="1"/>
  <c r="F2" i="17" s="1"/>
  <c r="G2" i="17" s="1"/>
  <c r="H2" i="17" s="1"/>
  <c r="I2" i="17" s="1"/>
  <c r="J2" i="17" s="1"/>
  <c r="K2" i="17" s="1"/>
  <c r="L2" i="17" s="1"/>
  <c r="M2" i="17" s="1"/>
  <c r="N2" i="17" s="1"/>
  <c r="O2" i="17" s="1"/>
  <c r="F2" i="21" l="1"/>
  <c r="G2" i="21" s="1"/>
  <c r="H2" i="21" s="1"/>
  <c r="I2" i="21" s="1"/>
  <c r="J2" i="21" s="1"/>
  <c r="K2" i="21" s="1"/>
  <c r="L2" i="21" s="1"/>
  <c r="M2" i="21" s="1"/>
  <c r="N2" i="21" s="1"/>
  <c r="O2" i="21" s="1"/>
  <c r="O354" i="17"/>
  <c r="O353" i="17"/>
  <c r="O352" i="17"/>
  <c r="O351" i="17"/>
  <c r="O350" i="17"/>
  <c r="O349" i="17"/>
  <c r="O348" i="17"/>
  <c r="O347" i="17"/>
  <c r="O346" i="17"/>
  <c r="O345" i="17"/>
  <c r="O344" i="17"/>
  <c r="O343" i="17"/>
  <c r="O342" i="17"/>
  <c r="O341" i="17"/>
  <c r="O340" i="17"/>
  <c r="O339" i="17"/>
  <c r="O338" i="17"/>
  <c r="O337" i="17"/>
  <c r="O336" i="17"/>
  <c r="O335" i="17"/>
  <c r="O334" i="17"/>
  <c r="O333" i="17"/>
  <c r="O332" i="17"/>
  <c r="O331" i="17"/>
  <c r="O330" i="17"/>
  <c r="O329" i="17"/>
  <c r="O328" i="17"/>
  <c r="O327" i="17"/>
  <c r="O326" i="17"/>
  <c r="O325" i="17"/>
  <c r="O324" i="17"/>
  <c r="O323" i="17"/>
  <c r="O322" i="17"/>
  <c r="O321" i="17"/>
  <c r="O320" i="17"/>
  <c r="O319" i="17"/>
  <c r="O318" i="17"/>
  <c r="O317" i="17"/>
  <c r="O316" i="17"/>
  <c r="O315" i="17"/>
  <c r="O314" i="17"/>
  <c r="O313" i="17"/>
  <c r="O312" i="17"/>
  <c r="O311" i="17"/>
  <c r="O310" i="17"/>
  <c r="O309" i="17"/>
  <c r="O308" i="17"/>
  <c r="O307" i="17"/>
  <c r="O306" i="17"/>
  <c r="O305" i="17"/>
  <c r="O304" i="17"/>
  <c r="O303" i="17"/>
  <c r="O302" i="17"/>
  <c r="O301" i="17"/>
  <c r="O300" i="17"/>
  <c r="O299" i="17"/>
  <c r="O298" i="17"/>
  <c r="O297" i="17"/>
  <c r="O296" i="17"/>
  <c r="O295" i="17"/>
  <c r="O294" i="17"/>
  <c r="O293" i="17"/>
  <c r="O292" i="17"/>
  <c r="O291" i="17"/>
  <c r="O290" i="17"/>
  <c r="O289" i="17"/>
  <c r="O288" i="17"/>
  <c r="O287" i="17"/>
  <c r="O286" i="17"/>
  <c r="O285" i="17"/>
  <c r="O284" i="17"/>
  <c r="O283" i="17"/>
  <c r="O282" i="17"/>
  <c r="O281" i="17"/>
  <c r="O280" i="17"/>
  <c r="O279" i="17"/>
  <c r="O278" i="17"/>
  <c r="O277" i="17"/>
  <c r="O276" i="17"/>
  <c r="O275" i="17"/>
  <c r="O274" i="17"/>
  <c r="O273" i="17"/>
  <c r="O272" i="17"/>
  <c r="O271" i="17"/>
  <c r="O270" i="17"/>
  <c r="O269" i="17"/>
  <c r="O268" i="17"/>
  <c r="O267" i="17"/>
  <c r="O266" i="17"/>
  <c r="O265" i="17"/>
  <c r="O264" i="17"/>
  <c r="O263" i="17"/>
  <c r="O262" i="17"/>
  <c r="O261" i="17"/>
  <c r="O260" i="17"/>
  <c r="O259" i="17"/>
  <c r="O258" i="17"/>
  <c r="O257" i="17"/>
  <c r="O256" i="17"/>
  <c r="O255" i="17"/>
  <c r="O254" i="17"/>
  <c r="O253" i="17"/>
  <c r="O252" i="17"/>
  <c r="O251" i="17"/>
  <c r="O250" i="17"/>
  <c r="O249" i="17"/>
  <c r="O248" i="17"/>
  <c r="O247" i="17"/>
  <c r="O246" i="17"/>
  <c r="O245" i="17"/>
  <c r="O244" i="17"/>
  <c r="O243" i="17"/>
  <c r="O242" i="17"/>
  <c r="O241" i="17"/>
  <c r="O240" i="17"/>
  <c r="O239" i="17"/>
  <c r="O238" i="17"/>
  <c r="O237" i="17"/>
  <c r="O236" i="17"/>
  <c r="O235" i="17"/>
  <c r="O234" i="17"/>
  <c r="O233" i="17"/>
  <c r="O232" i="17"/>
  <c r="O231" i="17"/>
  <c r="O230" i="17"/>
  <c r="O229" i="17"/>
  <c r="O228" i="17"/>
  <c r="O227" i="17"/>
  <c r="O226" i="17"/>
  <c r="O225" i="17"/>
  <c r="O224" i="17"/>
  <c r="O223" i="17"/>
  <c r="O222" i="17"/>
  <c r="O221" i="17"/>
  <c r="O220" i="17"/>
  <c r="O219" i="17"/>
  <c r="O218" i="17"/>
  <c r="O217" i="17"/>
  <c r="O216" i="17"/>
  <c r="O215" i="17"/>
  <c r="O214" i="17"/>
  <c r="O213" i="17"/>
  <c r="O212" i="17"/>
  <c r="O211" i="17"/>
  <c r="O210" i="17"/>
  <c r="O209" i="17"/>
  <c r="O208" i="17"/>
  <c r="O207" i="17"/>
  <c r="O206" i="17"/>
  <c r="O205" i="17"/>
  <c r="O204" i="17"/>
  <c r="O203" i="17"/>
  <c r="O202" i="17"/>
  <c r="O201" i="17"/>
  <c r="O200" i="17"/>
  <c r="O199" i="17"/>
  <c r="O198" i="17"/>
  <c r="O197" i="17"/>
  <c r="O196" i="17"/>
  <c r="O195" i="17"/>
  <c r="O194" i="17"/>
  <c r="O193" i="17"/>
  <c r="O192" i="17"/>
  <c r="O191" i="17"/>
  <c r="O190" i="17"/>
  <c r="O189" i="17"/>
  <c r="O188" i="17"/>
  <c r="O187" i="17"/>
  <c r="O186" i="17"/>
  <c r="O185" i="17"/>
  <c r="O184" i="17"/>
  <c r="O183" i="17"/>
  <c r="O182" i="17"/>
  <c r="O181" i="17"/>
  <c r="O180" i="17"/>
  <c r="O179" i="17"/>
  <c r="O178" i="17"/>
  <c r="O177" i="17"/>
  <c r="O176" i="17"/>
  <c r="O175" i="17"/>
  <c r="O174" i="17"/>
  <c r="O173" i="17"/>
  <c r="O172" i="17"/>
  <c r="O171" i="17"/>
  <c r="O170" i="17"/>
  <c r="O169" i="17"/>
  <c r="O168" i="17"/>
  <c r="O167" i="17"/>
  <c r="O166" i="17"/>
  <c r="O165" i="17"/>
  <c r="O164" i="17"/>
  <c r="O163" i="17"/>
  <c r="O162" i="17"/>
  <c r="O161" i="17"/>
  <c r="O160" i="17"/>
  <c r="O159" i="17"/>
  <c r="O158" i="17"/>
  <c r="O157" i="17"/>
  <c r="O156" i="17"/>
  <c r="O155" i="17"/>
  <c r="O154" i="17"/>
  <c r="O153" i="17"/>
  <c r="O152" i="17"/>
  <c r="O151" i="17"/>
  <c r="O150" i="17"/>
  <c r="O149" i="17"/>
  <c r="O148" i="17"/>
  <c r="O147" i="17"/>
  <c r="O146" i="17"/>
  <c r="O145" i="17"/>
  <c r="O144" i="17"/>
  <c r="O143" i="17"/>
  <c r="O142" i="17"/>
  <c r="O141" i="17"/>
  <c r="O140" i="17"/>
  <c r="O139" i="17"/>
  <c r="O138" i="17"/>
  <c r="O137" i="17"/>
  <c r="O136" i="17"/>
  <c r="O135" i="17"/>
  <c r="O134" i="17"/>
  <c r="O133" i="17"/>
  <c r="O132" i="17"/>
  <c r="O131" i="17"/>
  <c r="O130" i="17"/>
  <c r="O129" i="17"/>
  <c r="O128" i="17"/>
  <c r="O127" i="17"/>
  <c r="O126" i="17"/>
  <c r="O125" i="17"/>
  <c r="O124" i="17"/>
  <c r="O123" i="17"/>
  <c r="O122" i="17"/>
  <c r="O121" i="17"/>
  <c r="O120" i="17"/>
  <c r="O119" i="17"/>
  <c r="O118" i="17"/>
  <c r="O117" i="17"/>
  <c r="O116" i="17"/>
  <c r="O115" i="17"/>
  <c r="O114" i="17"/>
  <c r="O113" i="17"/>
  <c r="O112" i="17"/>
  <c r="O111" i="17"/>
  <c r="O110" i="17"/>
  <c r="O109" i="17"/>
  <c r="O108" i="17"/>
  <c r="O107" i="17"/>
  <c r="O106" i="17"/>
  <c r="O105" i="17"/>
  <c r="O104" i="17"/>
  <c r="O103" i="17"/>
  <c r="O102" i="17"/>
  <c r="O101" i="17"/>
  <c r="O100" i="17"/>
  <c r="O99" i="17"/>
  <c r="O98" i="17"/>
  <c r="O97" i="17"/>
  <c r="O96" i="17"/>
  <c r="O95" i="17"/>
  <c r="O94" i="17"/>
  <c r="O93" i="17"/>
  <c r="O92" i="17"/>
  <c r="O91" i="17"/>
  <c r="O90" i="17"/>
  <c r="O89" i="17"/>
  <c r="O88" i="17"/>
  <c r="O87" i="17"/>
  <c r="O86" i="17"/>
  <c r="O85" i="17"/>
  <c r="O84" i="17"/>
  <c r="O83" i="17"/>
  <c r="O82" i="17"/>
  <c r="O81" i="17"/>
  <c r="O80" i="17"/>
  <c r="O79" i="17"/>
  <c r="O78" i="17"/>
  <c r="O77" i="17"/>
  <c r="O76" i="17"/>
  <c r="O75" i="17"/>
  <c r="O74" i="17"/>
  <c r="O73" i="17"/>
  <c r="O72" i="17"/>
  <c r="O71" i="17"/>
  <c r="O70" i="17"/>
  <c r="O69" i="17"/>
  <c r="O68" i="17"/>
  <c r="O67" i="17"/>
  <c r="O66" i="17"/>
  <c r="O65" i="17"/>
  <c r="O64" i="17"/>
  <c r="O63" i="17"/>
  <c r="O62" i="17"/>
  <c r="O61" i="17"/>
  <c r="O60" i="17"/>
  <c r="O59" i="17"/>
  <c r="O58" i="17"/>
  <c r="O57" i="17"/>
  <c r="O56" i="17"/>
  <c r="O55" i="17"/>
  <c r="O54" i="17"/>
  <c r="O53" i="17"/>
  <c r="O52" i="17"/>
  <c r="O51" i="17"/>
  <c r="O50" i="17"/>
  <c r="O49" i="17"/>
  <c r="O48" i="17"/>
  <c r="O47" i="17"/>
  <c r="O46" i="17"/>
  <c r="O45" i="17"/>
  <c r="O44" i="17"/>
  <c r="O43" i="17"/>
  <c r="O42" i="17"/>
  <c r="O41" i="17"/>
  <c r="O40" i="17"/>
  <c r="O39" i="17"/>
  <c r="O38" i="17"/>
  <c r="O37" i="17"/>
  <c r="O36" i="17"/>
  <c r="O35" i="17"/>
  <c r="O34" i="17"/>
  <c r="O33" i="17"/>
  <c r="O32" i="17"/>
  <c r="O31" i="17"/>
  <c r="O30" i="17"/>
  <c r="O29" i="17"/>
  <c r="O28" i="17"/>
  <c r="O27" i="17"/>
  <c r="O26" i="17"/>
  <c r="O25" i="17"/>
  <c r="O24" i="17"/>
  <c r="O23" i="17"/>
  <c r="O22" i="17"/>
  <c r="O21" i="17"/>
  <c r="O20" i="17"/>
  <c r="O19" i="17"/>
  <c r="O18" i="17"/>
  <c r="O17" i="17"/>
  <c r="O16" i="17"/>
  <c r="O15" i="17"/>
  <c r="O14" i="17"/>
  <c r="O13" i="17"/>
  <c r="O12" i="17"/>
  <c r="O11" i="17"/>
  <c r="O10" i="17"/>
  <c r="O9" i="17"/>
  <c r="O8" i="17"/>
  <c r="O7" i="17"/>
  <c r="O6" i="17"/>
  <c r="O5" i="17"/>
  <c r="O4" i="17"/>
  <c r="F359" i="17"/>
  <c r="F398" i="17" s="1"/>
  <c r="O355" i="12" l="1"/>
  <c r="O354" i="12"/>
  <c r="O353" i="12"/>
  <c r="O352" i="12"/>
  <c r="O351" i="12"/>
  <c r="O350" i="12"/>
  <c r="O349" i="12"/>
  <c r="O348" i="12"/>
  <c r="O347" i="12"/>
  <c r="O346" i="12"/>
  <c r="O345" i="12"/>
  <c r="O344" i="12"/>
  <c r="O343" i="12"/>
  <c r="O342" i="12"/>
  <c r="O341" i="12"/>
  <c r="O340" i="12"/>
  <c r="O339" i="12"/>
  <c r="O338" i="12"/>
  <c r="O337" i="12"/>
  <c r="O336" i="12"/>
  <c r="O335" i="12"/>
  <c r="O334" i="12"/>
  <c r="O333" i="12"/>
  <c r="O332" i="12"/>
  <c r="O331" i="12"/>
  <c r="O330" i="12"/>
  <c r="O329" i="12"/>
  <c r="O328" i="12"/>
  <c r="O327" i="12"/>
  <c r="O326" i="12"/>
  <c r="O325" i="12"/>
  <c r="O324" i="12"/>
  <c r="O323" i="12"/>
  <c r="O322" i="12"/>
  <c r="O321" i="12"/>
  <c r="O320" i="12"/>
  <c r="O319" i="12"/>
  <c r="O318" i="12"/>
  <c r="O317" i="12"/>
  <c r="O316" i="12"/>
  <c r="O315" i="12"/>
  <c r="O314" i="12"/>
  <c r="O313" i="12"/>
  <c r="O312" i="12"/>
  <c r="O311" i="12"/>
  <c r="O310" i="12"/>
  <c r="O309" i="12"/>
  <c r="O308" i="12"/>
  <c r="O307" i="12"/>
  <c r="O306" i="12"/>
  <c r="O305" i="12"/>
  <c r="O304" i="12"/>
  <c r="O303" i="12"/>
  <c r="O302" i="12"/>
  <c r="O301" i="12"/>
  <c r="O300" i="12"/>
  <c r="O299" i="12"/>
  <c r="O298" i="12"/>
  <c r="O297" i="12"/>
  <c r="O296" i="12"/>
  <c r="O295" i="12"/>
  <c r="O294" i="12"/>
  <c r="O293" i="12"/>
  <c r="O292" i="12"/>
  <c r="O291" i="12"/>
  <c r="O290" i="12"/>
  <c r="O289" i="12"/>
  <c r="O288" i="12"/>
  <c r="O287" i="12"/>
  <c r="O286" i="12"/>
  <c r="O285" i="12"/>
  <c r="O284" i="12"/>
  <c r="O283" i="12"/>
  <c r="O282" i="12"/>
  <c r="O281" i="12"/>
  <c r="O280" i="12"/>
  <c r="O279" i="12"/>
  <c r="O278" i="12"/>
  <c r="O277" i="12"/>
  <c r="O276" i="12"/>
  <c r="O275" i="12"/>
  <c r="O274" i="12"/>
  <c r="O273" i="12"/>
  <c r="O272" i="12"/>
  <c r="O271" i="12"/>
  <c r="O270" i="12"/>
  <c r="O269" i="12"/>
  <c r="O268" i="12"/>
  <c r="O267" i="12"/>
  <c r="O266" i="12"/>
  <c r="O265" i="12"/>
  <c r="O264" i="12"/>
  <c r="O263" i="12"/>
  <c r="O262" i="12"/>
  <c r="O261" i="12"/>
  <c r="O260" i="12"/>
  <c r="O259" i="12"/>
  <c r="O258" i="12"/>
  <c r="O257" i="12"/>
  <c r="O256" i="12"/>
  <c r="O255" i="12"/>
  <c r="O254" i="12"/>
  <c r="O253" i="12"/>
  <c r="O252" i="12"/>
  <c r="O251" i="12"/>
  <c r="O250" i="12"/>
  <c r="O249" i="12"/>
  <c r="O248" i="12"/>
  <c r="O247" i="12"/>
  <c r="O246" i="12"/>
  <c r="O245" i="12"/>
  <c r="O244" i="12"/>
  <c r="O243" i="12"/>
  <c r="O242" i="12"/>
  <c r="O241" i="12"/>
  <c r="O240" i="12"/>
  <c r="O239" i="12"/>
  <c r="O238" i="12"/>
  <c r="O237" i="12"/>
  <c r="O236" i="12"/>
  <c r="O235" i="12"/>
  <c r="O234" i="12"/>
  <c r="O233" i="12"/>
  <c r="O232" i="12"/>
  <c r="O231" i="12"/>
  <c r="O230" i="12"/>
  <c r="O229" i="12"/>
  <c r="O228" i="12"/>
  <c r="O227" i="12"/>
  <c r="O226" i="12"/>
  <c r="O225" i="12"/>
  <c r="O224" i="12"/>
  <c r="O223" i="12"/>
  <c r="O222" i="12"/>
  <c r="O221" i="12"/>
  <c r="O220" i="12"/>
  <c r="O219" i="12"/>
  <c r="O218" i="12"/>
  <c r="O217" i="12"/>
  <c r="O216" i="12"/>
  <c r="O215" i="12"/>
  <c r="O214" i="12"/>
  <c r="O213" i="12"/>
  <c r="O212" i="12"/>
  <c r="O211" i="12"/>
  <c r="O210" i="12"/>
  <c r="O209" i="12"/>
  <c r="O208" i="12"/>
  <c r="O207" i="12"/>
  <c r="O206" i="12"/>
  <c r="O205" i="12"/>
  <c r="O204" i="12"/>
  <c r="O203" i="12"/>
  <c r="O202" i="12"/>
  <c r="O201" i="12"/>
  <c r="O200" i="12"/>
  <c r="O199" i="12"/>
  <c r="O198" i="12"/>
  <c r="O197" i="12"/>
  <c r="O196" i="12"/>
  <c r="O195" i="12"/>
  <c r="O194" i="12"/>
  <c r="O193" i="12"/>
  <c r="O192" i="12"/>
  <c r="O191" i="12"/>
  <c r="O190" i="12"/>
  <c r="O189" i="12"/>
  <c r="O188" i="12"/>
  <c r="O187" i="12"/>
  <c r="O186" i="12"/>
  <c r="O185" i="12"/>
  <c r="O184" i="12"/>
  <c r="O183" i="12"/>
  <c r="O182" i="12"/>
  <c r="O181" i="12"/>
  <c r="O180" i="12"/>
  <c r="O179" i="12"/>
  <c r="O178" i="12"/>
  <c r="O177" i="12"/>
  <c r="O176" i="12"/>
  <c r="O175" i="12"/>
  <c r="O174" i="12"/>
  <c r="O173" i="12"/>
  <c r="O172" i="12"/>
  <c r="O171" i="12"/>
  <c r="O170" i="12"/>
  <c r="O169" i="12"/>
  <c r="O168" i="12"/>
  <c r="O167" i="12"/>
  <c r="O166" i="12"/>
  <c r="O165" i="12"/>
  <c r="O164" i="12"/>
  <c r="O163" i="12"/>
  <c r="O162" i="12"/>
  <c r="O161" i="12"/>
  <c r="O160" i="12"/>
  <c r="O159" i="12"/>
  <c r="O158" i="12"/>
  <c r="O157" i="12"/>
  <c r="O156" i="12"/>
  <c r="O155" i="12"/>
  <c r="O154" i="12"/>
  <c r="O153" i="12"/>
  <c r="O152" i="12"/>
  <c r="O151" i="12"/>
  <c r="O150" i="12"/>
  <c r="O149" i="12"/>
  <c r="O148" i="12"/>
  <c r="O147" i="12"/>
  <c r="O146" i="12"/>
  <c r="O145" i="12"/>
  <c r="O144" i="12"/>
  <c r="O143" i="12"/>
  <c r="O142" i="12"/>
  <c r="O141" i="12"/>
  <c r="O140" i="12"/>
  <c r="O139" i="12"/>
  <c r="O138" i="12"/>
  <c r="O137" i="12"/>
  <c r="O136" i="12"/>
  <c r="O135" i="12"/>
  <c r="O134" i="12"/>
  <c r="O133" i="12"/>
  <c r="O132" i="12"/>
  <c r="O131" i="12"/>
  <c r="O130" i="12"/>
  <c r="O129" i="12"/>
  <c r="O128" i="12"/>
  <c r="O127" i="12"/>
  <c r="O126" i="12"/>
  <c r="O125" i="12"/>
  <c r="O124" i="12"/>
  <c r="O123" i="12"/>
  <c r="O122" i="12"/>
  <c r="O121" i="12"/>
  <c r="O120" i="12"/>
  <c r="O119" i="12"/>
  <c r="O118" i="12"/>
  <c r="O117" i="12"/>
  <c r="O116" i="12"/>
  <c r="O115" i="12"/>
  <c r="O114" i="12"/>
  <c r="O113" i="12"/>
  <c r="O112" i="12"/>
  <c r="O111" i="12"/>
  <c r="O110" i="12"/>
  <c r="O109" i="12"/>
  <c r="O108" i="12"/>
  <c r="O107" i="12"/>
  <c r="O106" i="12"/>
  <c r="O105" i="12"/>
  <c r="O104" i="12"/>
  <c r="O103" i="12"/>
  <c r="O102" i="12"/>
  <c r="O101" i="12"/>
  <c r="O100" i="12"/>
  <c r="O99" i="12"/>
  <c r="O98" i="12"/>
  <c r="O97" i="12"/>
  <c r="O96" i="12"/>
  <c r="O95" i="12"/>
  <c r="O94" i="12"/>
  <c r="O93" i="12"/>
  <c r="O92" i="12"/>
  <c r="O91" i="12"/>
  <c r="O90" i="12"/>
  <c r="O89" i="12"/>
  <c r="O88" i="12"/>
  <c r="O87" i="12"/>
  <c r="O86" i="12"/>
  <c r="O85" i="12"/>
  <c r="O84" i="12"/>
  <c r="O83" i="12"/>
  <c r="O82" i="12"/>
  <c r="O81" i="12"/>
  <c r="O80" i="12"/>
  <c r="O79" i="12"/>
  <c r="O78" i="12"/>
  <c r="O77" i="12"/>
  <c r="O76" i="12"/>
  <c r="O75" i="12"/>
  <c r="O74" i="12"/>
  <c r="O73" i="12"/>
  <c r="O72" i="12"/>
  <c r="O71" i="12"/>
  <c r="O70" i="12"/>
  <c r="O69" i="12"/>
  <c r="O68" i="12"/>
  <c r="O67" i="12"/>
  <c r="O66" i="12"/>
  <c r="O65" i="12"/>
  <c r="O64" i="12"/>
  <c r="O63" i="12"/>
  <c r="O62" i="12"/>
  <c r="O61" i="12"/>
  <c r="O60" i="12"/>
  <c r="O59" i="12"/>
  <c r="O58" i="12"/>
  <c r="O57" i="12"/>
  <c r="O56" i="12"/>
  <c r="O55" i="12"/>
  <c r="O54" i="12"/>
  <c r="O53" i="12"/>
  <c r="O52" i="12"/>
  <c r="O51" i="12"/>
  <c r="O50" i="12"/>
  <c r="O49" i="12"/>
  <c r="O48" i="12"/>
  <c r="O47" i="12"/>
  <c r="O46" i="12"/>
  <c r="O45" i="12"/>
  <c r="O44" i="12"/>
  <c r="O43" i="12"/>
  <c r="O42" i="12"/>
  <c r="O41" i="12"/>
  <c r="O40" i="12"/>
  <c r="O39" i="12"/>
  <c r="O38" i="12"/>
  <c r="O37" i="12"/>
  <c r="O36" i="12"/>
  <c r="O35" i="12"/>
  <c r="O34" i="12"/>
  <c r="O33" i="12"/>
  <c r="O32" i="12"/>
  <c r="O31" i="12"/>
  <c r="O30" i="12"/>
  <c r="O29" i="12"/>
  <c r="O28" i="12"/>
  <c r="O27" i="12"/>
  <c r="O26" i="12"/>
  <c r="O25" i="12"/>
  <c r="O24" i="12"/>
  <c r="O23" i="12"/>
  <c r="O22" i="12"/>
  <c r="O21" i="12"/>
  <c r="O20" i="12"/>
  <c r="O19" i="12"/>
  <c r="O18" i="12"/>
  <c r="O17" i="12"/>
  <c r="O16" i="12"/>
  <c r="O15" i="12"/>
  <c r="O14" i="12"/>
  <c r="O13" i="12"/>
  <c r="O12" i="12"/>
  <c r="O11" i="12"/>
  <c r="O10" i="12"/>
  <c r="O9" i="12"/>
  <c r="O8" i="12"/>
  <c r="O7" i="12"/>
  <c r="O6" i="12"/>
  <c r="O5" i="12"/>
  <c r="O4" i="12"/>
  <c r="O3" i="12"/>
  <c r="E2" i="12"/>
  <c r="F2" i="12" s="1"/>
  <c r="G2" i="12" s="1"/>
  <c r="H2" i="12" s="1"/>
  <c r="I2" i="12" s="1"/>
  <c r="J2" i="12" s="1"/>
  <c r="K2" i="12" s="1"/>
  <c r="L2" i="12" s="1"/>
  <c r="M2" i="12" s="1"/>
  <c r="N2" i="12" s="1"/>
  <c r="O355" i="10" l="1"/>
  <c r="O354" i="10"/>
  <c r="O353" i="10"/>
  <c r="O352" i="10"/>
  <c r="O351" i="10"/>
  <c r="O350" i="10"/>
  <c r="O349" i="10"/>
  <c r="O348" i="10"/>
  <c r="O347" i="10"/>
  <c r="O346" i="10"/>
  <c r="O345" i="10"/>
  <c r="O344" i="10"/>
  <c r="O343" i="10"/>
  <c r="O342" i="10"/>
  <c r="O341" i="10"/>
  <c r="O340" i="10"/>
  <c r="O339" i="10"/>
  <c r="O338" i="10"/>
  <c r="O337" i="10"/>
  <c r="O336" i="10"/>
  <c r="O335" i="10"/>
  <c r="O334" i="10"/>
  <c r="O333" i="10"/>
  <c r="O332" i="10"/>
  <c r="O331" i="10"/>
  <c r="O330" i="10"/>
  <c r="O329" i="10"/>
  <c r="O328" i="10"/>
  <c r="O327" i="10"/>
  <c r="O326" i="10"/>
  <c r="O325" i="10"/>
  <c r="O324" i="10"/>
  <c r="O323" i="10"/>
  <c r="O322" i="10"/>
  <c r="O321" i="10"/>
  <c r="O320" i="10"/>
  <c r="O319" i="10"/>
  <c r="O318" i="10"/>
  <c r="O317" i="10"/>
  <c r="O316" i="10"/>
  <c r="O315" i="10"/>
  <c r="O314" i="10"/>
  <c r="O313" i="10"/>
  <c r="O312" i="10"/>
  <c r="O311" i="10"/>
  <c r="O310" i="10"/>
  <c r="O309" i="10"/>
  <c r="O308" i="10"/>
  <c r="O307" i="10"/>
  <c r="O306" i="10"/>
  <c r="O305" i="10"/>
  <c r="O304" i="10"/>
  <c r="O303" i="10"/>
  <c r="O302" i="10"/>
  <c r="O301" i="10"/>
  <c r="O300" i="10"/>
  <c r="O299" i="10"/>
  <c r="O298" i="10"/>
  <c r="O297" i="10"/>
  <c r="O296" i="10"/>
  <c r="O295" i="10"/>
  <c r="O294" i="10"/>
  <c r="O293" i="10"/>
  <c r="O292" i="10"/>
  <c r="O291" i="10"/>
  <c r="O290" i="10"/>
  <c r="O289" i="10"/>
  <c r="O288" i="10"/>
  <c r="O287" i="10"/>
  <c r="O286" i="10"/>
  <c r="O285" i="10"/>
  <c r="O284" i="10"/>
  <c r="O283" i="10"/>
  <c r="O282" i="10"/>
  <c r="O281" i="10"/>
  <c r="O280" i="10"/>
  <c r="O279" i="10"/>
  <c r="O278" i="10"/>
  <c r="O277" i="10"/>
  <c r="O276" i="10"/>
  <c r="O275" i="10"/>
  <c r="O274" i="10"/>
  <c r="O273" i="10"/>
  <c r="O272" i="10"/>
  <c r="O271" i="10"/>
  <c r="O270" i="10"/>
  <c r="O269" i="10"/>
  <c r="O268" i="10"/>
  <c r="O267" i="10"/>
  <c r="O266" i="10"/>
  <c r="O265" i="10"/>
  <c r="O264" i="10"/>
  <c r="O263" i="10"/>
  <c r="O262" i="10"/>
  <c r="O261" i="10"/>
  <c r="O260" i="10"/>
  <c r="O259" i="10"/>
  <c r="O258" i="10"/>
  <c r="O257" i="10"/>
  <c r="O256" i="10"/>
  <c r="O255" i="10"/>
  <c r="O254" i="10"/>
  <c r="O253" i="10"/>
  <c r="O252" i="10"/>
  <c r="O251" i="10"/>
  <c r="O250" i="10"/>
  <c r="O249" i="10"/>
  <c r="O248" i="10"/>
  <c r="O247" i="10"/>
  <c r="O246" i="10"/>
  <c r="O245" i="10"/>
  <c r="O244" i="10"/>
  <c r="O243" i="10"/>
  <c r="O242" i="10"/>
  <c r="O241" i="10"/>
  <c r="O240" i="10"/>
  <c r="O239" i="10"/>
  <c r="O238" i="10"/>
  <c r="O237" i="10"/>
  <c r="O236" i="10"/>
  <c r="O235" i="10"/>
  <c r="O234" i="10"/>
  <c r="O233" i="10"/>
  <c r="O232" i="10"/>
  <c r="O231" i="10"/>
  <c r="O230" i="10"/>
  <c r="O229" i="10"/>
  <c r="O228" i="10"/>
  <c r="O227" i="10"/>
  <c r="O226" i="10"/>
  <c r="O225" i="10"/>
  <c r="O224" i="10"/>
  <c r="O223" i="10"/>
  <c r="O222" i="10"/>
  <c r="O221" i="10"/>
  <c r="O220" i="10"/>
  <c r="O219" i="10"/>
  <c r="O218" i="10"/>
  <c r="O217" i="10"/>
  <c r="O216" i="10"/>
  <c r="O215" i="10"/>
  <c r="O214" i="10"/>
  <c r="O213" i="10"/>
  <c r="O212" i="10"/>
  <c r="O211" i="10"/>
  <c r="O210" i="10"/>
  <c r="O209" i="10"/>
  <c r="O208" i="10"/>
  <c r="O207" i="10"/>
  <c r="O206" i="10"/>
  <c r="O205" i="10"/>
  <c r="O204" i="10"/>
  <c r="O203" i="10"/>
  <c r="O202" i="10"/>
  <c r="O201" i="10"/>
  <c r="O200" i="10"/>
  <c r="O199" i="10"/>
  <c r="O198" i="10"/>
  <c r="O197" i="10"/>
  <c r="O196" i="10"/>
  <c r="O195" i="10"/>
  <c r="O194" i="10"/>
  <c r="O193" i="10"/>
  <c r="O192" i="10"/>
  <c r="O191" i="10"/>
  <c r="O190" i="10"/>
  <c r="O189" i="10"/>
  <c r="O188" i="10"/>
  <c r="O187" i="10"/>
  <c r="O186" i="10"/>
  <c r="O185" i="10"/>
  <c r="O184" i="10"/>
  <c r="O183" i="10"/>
  <c r="O182" i="10"/>
  <c r="O181" i="10"/>
  <c r="O180" i="10"/>
  <c r="O179" i="10"/>
  <c r="O178" i="10"/>
  <c r="O177" i="10"/>
  <c r="O176" i="10"/>
  <c r="O175" i="10"/>
  <c r="O174" i="10"/>
  <c r="O173" i="10"/>
  <c r="O172" i="10"/>
  <c r="O171" i="10"/>
  <c r="O170" i="10"/>
  <c r="O169" i="10"/>
  <c r="O168" i="10"/>
  <c r="O167" i="10"/>
  <c r="O166" i="10"/>
  <c r="O165" i="10"/>
  <c r="O164" i="10"/>
  <c r="O163" i="10"/>
  <c r="O162" i="10"/>
  <c r="O161" i="10"/>
  <c r="O160" i="10"/>
  <c r="O159" i="10"/>
  <c r="O158" i="10"/>
  <c r="O157" i="10"/>
  <c r="O156" i="10"/>
  <c r="O155" i="10"/>
  <c r="O154" i="10"/>
  <c r="O153" i="10"/>
  <c r="O152" i="10"/>
  <c r="O151" i="10"/>
  <c r="O150" i="10"/>
  <c r="O149" i="10"/>
  <c r="O148" i="10"/>
  <c r="O147" i="10"/>
  <c r="O146" i="10"/>
  <c r="O145" i="10"/>
  <c r="O144" i="10"/>
  <c r="O143" i="10"/>
  <c r="O142" i="10"/>
  <c r="O141" i="10"/>
  <c r="O140" i="10"/>
  <c r="O139" i="10"/>
  <c r="O138" i="10"/>
  <c r="O137" i="10"/>
  <c r="O136" i="10"/>
  <c r="O135" i="10"/>
  <c r="O134" i="10"/>
  <c r="O133" i="10"/>
  <c r="O132" i="10"/>
  <c r="O131" i="10"/>
  <c r="O130" i="10"/>
  <c r="O129" i="10"/>
  <c r="O128" i="10"/>
  <c r="O127" i="10"/>
  <c r="O126" i="10"/>
  <c r="O125" i="10"/>
  <c r="O124" i="10"/>
  <c r="O123" i="10"/>
  <c r="O122" i="10"/>
  <c r="O121" i="10"/>
  <c r="O120" i="10"/>
  <c r="O119" i="10"/>
  <c r="O118" i="10"/>
  <c r="O117" i="10"/>
  <c r="O116" i="10"/>
  <c r="O115" i="10"/>
  <c r="O114" i="10"/>
  <c r="O113" i="10"/>
  <c r="O112" i="10"/>
  <c r="O111" i="10"/>
  <c r="O110" i="10"/>
  <c r="O109" i="10"/>
  <c r="O108" i="10"/>
  <c r="O107" i="10"/>
  <c r="O106" i="10"/>
  <c r="O105" i="10"/>
  <c r="O104" i="10"/>
  <c r="O103" i="10"/>
  <c r="O102" i="10"/>
  <c r="O101" i="10"/>
  <c r="O100" i="10"/>
  <c r="O99" i="10"/>
  <c r="O98" i="10"/>
  <c r="O97" i="10"/>
  <c r="O96" i="10"/>
  <c r="O95" i="10"/>
  <c r="O94" i="10"/>
  <c r="O93" i="10"/>
  <c r="O92" i="10"/>
  <c r="O91" i="10"/>
  <c r="O90" i="10"/>
  <c r="O89" i="10"/>
  <c r="O88" i="10"/>
  <c r="O87" i="10"/>
  <c r="O86" i="10"/>
  <c r="O85" i="10"/>
  <c r="O84" i="10"/>
  <c r="O83" i="10"/>
  <c r="O82" i="10"/>
  <c r="O81" i="10"/>
  <c r="O80" i="10"/>
  <c r="O79" i="10"/>
  <c r="O78" i="10"/>
  <c r="O77" i="10"/>
  <c r="O76" i="10"/>
  <c r="O75" i="10"/>
  <c r="O74" i="10"/>
  <c r="O73" i="10"/>
  <c r="O72" i="10"/>
  <c r="O71" i="10"/>
  <c r="O70" i="10"/>
  <c r="O69" i="10"/>
  <c r="O68" i="10"/>
  <c r="O67" i="10"/>
  <c r="O66" i="10"/>
  <c r="O65" i="10"/>
  <c r="O64" i="10"/>
  <c r="O63" i="10"/>
  <c r="O62" i="10"/>
  <c r="O61" i="10"/>
  <c r="O60" i="10"/>
  <c r="O59" i="10"/>
  <c r="O58" i="10"/>
  <c r="O57" i="10"/>
  <c r="O56" i="10"/>
  <c r="O55" i="10"/>
  <c r="O54" i="10"/>
  <c r="O53" i="10"/>
  <c r="O52" i="10"/>
  <c r="O51" i="10"/>
  <c r="O50" i="10"/>
  <c r="O49" i="10"/>
  <c r="O48" i="10"/>
  <c r="O47" i="10"/>
  <c r="O46" i="10"/>
  <c r="O45" i="10"/>
  <c r="O44" i="10"/>
  <c r="O43" i="10"/>
  <c r="O42" i="10"/>
  <c r="O41" i="10"/>
  <c r="O40" i="10"/>
  <c r="O39" i="10"/>
  <c r="O38" i="10"/>
  <c r="O37" i="10"/>
  <c r="O36" i="10"/>
  <c r="O35" i="10"/>
  <c r="O34" i="10"/>
  <c r="O33" i="10"/>
  <c r="O32" i="10"/>
  <c r="O31" i="10"/>
  <c r="O30" i="10"/>
  <c r="O29" i="10"/>
  <c r="O28" i="10"/>
  <c r="O27" i="10"/>
  <c r="O26" i="10"/>
  <c r="O25" i="10"/>
  <c r="O24" i="10"/>
  <c r="O23" i="10"/>
  <c r="O22" i="10"/>
  <c r="O21" i="10"/>
  <c r="O20" i="10"/>
  <c r="O19" i="10"/>
  <c r="O18" i="10"/>
  <c r="O17" i="10"/>
  <c r="O16" i="10"/>
  <c r="O15" i="10"/>
  <c r="O14" i="10"/>
  <c r="O13" i="10"/>
  <c r="O12" i="10"/>
  <c r="O11" i="10"/>
  <c r="O10" i="10"/>
  <c r="O9" i="10"/>
  <c r="O8" i="10"/>
  <c r="O7" i="10"/>
  <c r="O6" i="10"/>
  <c r="O5" i="10"/>
  <c r="O4" i="10"/>
  <c r="O3" i="10"/>
  <c r="E2" i="10"/>
  <c r="F2" i="10" s="1"/>
  <c r="G2" i="10" s="1"/>
  <c r="H2" i="10" s="1"/>
  <c r="I2" i="10" s="1"/>
  <c r="J2" i="10" s="1"/>
  <c r="K2" i="10" s="1"/>
  <c r="L2" i="10" s="1"/>
  <c r="M2" i="10" s="1"/>
  <c r="N2" i="1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tc={18ECBED8-FB21-4ABA-B743-509B38BE62D0}</author>
    <author>tc={B5DAF259-EB7B-401D-BE29-BED2BB3AEC59}</author>
    <author>tc={F093A287-B84F-4DD2-83E8-98ED580DF543}</author>
    <author>tc={77951FFF-27AA-4DDC-8120-E0464DCFB114}</author>
    <author>tc={BB038D5F-F703-4FC4-93B8-94C9422F38B4}</author>
    <author>tc={A157F3A1-6415-440C-9D1E-D04A3AF36E3D}</author>
    <author>tc={1A74067B-5B11-4A9A-9E88-F3E5423532C8}</author>
  </authors>
  <commentList>
    <comment ref="F152" authorId="0" shapeId="0" xr:uid="{18ECBED8-FB21-4ABA-B743-509B38BE62D0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Actualizado marzo26
</t>
      </text>
    </comment>
    <comment ref="F168" authorId="1" shapeId="0" xr:uid="{B5DAF259-EB7B-401D-BE29-BED2BB3AEC5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ACTUALIZACIÓN FTE PENDIENTE DE OCT 25
</t>
      </text>
    </comment>
    <comment ref="F231" authorId="2" shapeId="0" xr:uid="{F093A287-B84F-4DD2-83E8-98ED580DF54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Incrementar 1 PT 25 intermedio</t>
      </text>
    </comment>
    <comment ref="F313" authorId="3" shapeId="0" xr:uid="{77951FFF-27AA-4DDC-8120-E0464DCFB11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+  1 PT 25 INTERMEDIO</t>
      </text>
    </comment>
    <comment ref="F343" authorId="4" shapeId="0" xr:uid="{BB038D5F-F703-4FC4-93B8-94C9422F38B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ACTUALIZACIÓN PENDIENTE OCT 25, GRUPO DE TIENDAS LUIS LOPEZ
</t>
      </text>
    </comment>
    <comment ref="F353" authorId="5" shapeId="0" xr:uid="{A157F3A1-6415-440C-9D1E-D04A3AF36E3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+ 1 PT25 PM</t>
      </text>
    </comment>
    <comment ref="F354" authorId="6" shapeId="0" xr:uid="{1A74067B-5B11-4A9A-9E88-F3E5423532C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aumenta por 24 hrs
Respuesta:
    23 de octubre, se incrementa 1 Cajero Full producto de 2 mujeres embarazadas (correo 23-10)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tc={9A565DE0-AE2D-4496-9215-1F408652AA9C}</author>
    <author>tc={100D1BA2-7A29-4B2E-A31F-A67AE223C197}</author>
    <author>tc={DACEC484-9AC9-44FB-BBBC-0F0BFBB928BF}</author>
    <author>tc={11D8C49A-80C7-43DC-9A33-60207DB5BA16}</author>
    <author>tc={5D1D0021-42C6-41B4-81A2-D6476F8BF20D}</author>
  </authors>
  <commentList>
    <comment ref="F152" authorId="0" shapeId="0" xr:uid="{9A565DE0-AE2D-4496-9215-1F408652AA9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Actualizado marzo26
</t>
      </text>
    </comment>
    <comment ref="F231" authorId="1" shapeId="0" xr:uid="{100D1BA2-7A29-4B2E-A31F-A67AE223C19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Incrementar 1 PT 25 intermedio</t>
      </text>
    </comment>
    <comment ref="F313" authorId="2" shapeId="0" xr:uid="{DACEC484-9AC9-44FB-BBBC-0F0BFBB928B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+  1 PT 25 INTERMEDIO</t>
      </text>
    </comment>
    <comment ref="F353" authorId="3" shapeId="0" xr:uid="{11D8C49A-80C7-43DC-9A33-60207DB5BA1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+ 1 PT25 PM</t>
      </text>
    </comment>
    <comment ref="F354" authorId="4" shapeId="0" xr:uid="{5D1D0021-42C6-41B4-81A2-D6476F8BF20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aumenta por 24 hrs
Respuesta:
    23 de octubre, se incrementa 1 Cajero Full producto de 2 mujeres embarazadas (correo 23-10)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tc={DB0CA0E5-C8E4-4951-A68A-4E6FE180B70E}</author>
    <author>tc={3E00A6F1-60D9-44E3-92D2-D429A1C4FD31}</author>
    <author>tc={5B3CB41D-FDF7-4067-A5CB-FD3694239BE3}</author>
    <author>tc={B18CB499-5491-4D03-8A87-87AD80DA32D9}</author>
  </authors>
  <commentList>
    <comment ref="F50" authorId="0" shapeId="0" xr:uid="{DB0CA0E5-C8E4-4951-A68A-4E6FE180B70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Incrementar 1 PT 25 intermedio</t>
      </text>
    </comment>
    <comment ref="F51" authorId="1" shapeId="0" xr:uid="{3E00A6F1-60D9-44E3-92D2-D429A1C4FD3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+ 1 PT25 PM</t>
      </text>
    </comment>
    <comment ref="F53" authorId="2" shapeId="0" xr:uid="{5B3CB41D-FDF7-4067-A5CB-FD3694239BE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aumenta por 24 hrs
Respuesta:
    23 de octubre, se incrementa 1 Cajero Full producto de 2 mujeres embarazadas (correo 23-10)</t>
      </text>
    </comment>
    <comment ref="F71" authorId="3" shapeId="0" xr:uid="{B18CB499-5491-4D03-8A87-87AD80DA32D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+  1 PT 25 INTERMEDIO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tc={A1E6D2E8-561F-458C-90A5-C6D0EEA3DE0A}</author>
    <author>tc={F169C6AC-B773-4F9E-BEAD-57B20EB2CB0A}</author>
    <author>tc={441910F0-9D9E-44BC-B8FF-4B22BD7DD0A1}</author>
    <author>tc={F3C28588-B199-4883-B61A-D19526E75833}</author>
  </authors>
  <commentList>
    <comment ref="D46" authorId="0" shapeId="0" xr:uid="{A1E6D2E8-561F-458C-90A5-C6D0EEA3DE0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Incrementar 1 PT 25 intermedio</t>
      </text>
    </comment>
    <comment ref="D47" authorId="1" shapeId="0" xr:uid="{F169C6AC-B773-4F9E-BEAD-57B20EB2CB0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+ 1 PT25 PM</t>
      </text>
    </comment>
    <comment ref="D49" authorId="2" shapeId="0" xr:uid="{441910F0-9D9E-44BC-B8FF-4B22BD7DD0A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aumenta por 24 hrs
Respuesta:
    23 de octubre, se incrementa 1 Cajero Full producto de 2 mujeres embarazadas (correo 23-10)</t>
      </text>
    </comment>
    <comment ref="D67" authorId="3" shapeId="0" xr:uid="{F3C28588-B199-4883-B61A-D19526E7583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+  1 PT 25 INTERMEDIO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tc={0D5683C9-F0ED-470B-BED2-741DBB92FBFA}</author>
    <author>tc={4D2501EF-21AE-4118-9C68-CD9E664DD3FF}</author>
    <author>tc={6399D11A-ABB8-4FEE-A22B-A4EE76D33B50}</author>
    <author>tc={EAD42D31-0F17-40F0-B6C5-80CC03A26DBE}</author>
  </authors>
  <commentList>
    <comment ref="F50" authorId="0" shapeId="0" xr:uid="{0D5683C9-F0ED-470B-BED2-741DBB92FBF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Incrementar 1 PT 25 intermedio</t>
      </text>
    </comment>
    <comment ref="F51" authorId="1" shapeId="0" xr:uid="{4D2501EF-21AE-4118-9C68-CD9E664DD3F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+ 1 PT25 PM</t>
      </text>
    </comment>
    <comment ref="F53" authorId="2" shapeId="0" xr:uid="{6399D11A-ABB8-4FEE-A22B-A4EE76D33B5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aumenta por 24 hrs
Respuesta:
    23 de octubre, se incrementa 1 Cajero Full producto de 2 mujeres embarazadas (correo 23-10)</t>
      </text>
    </comment>
    <comment ref="F71" authorId="3" shapeId="0" xr:uid="{EAD42D31-0F17-40F0-B6C5-80CC03A26DB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+  1 PT 25 INTERMEDIO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tc={2725A457-D4BE-4512-9A58-4FDDECD2FC05}</author>
    <author>tc={526DB2F2-8003-4C02-A761-54EE51F0938F}</author>
    <author>tc={1F966884-100C-46C0-9468-567AC65BEE4B}</author>
    <author>tc={637401C7-7380-44E3-88A0-09F3AE263B3A}</author>
  </authors>
  <commentList>
    <comment ref="F50" authorId="0" shapeId="0" xr:uid="{2725A457-D4BE-4512-9A58-4FDDECD2FC0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Incrementar 1 PT 25 intermedio</t>
      </text>
    </comment>
    <comment ref="F51" authorId="1" shapeId="0" xr:uid="{526DB2F2-8003-4C02-A761-54EE51F0938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+ 1 PT25 PM</t>
      </text>
    </comment>
    <comment ref="F53" authorId="2" shapeId="0" xr:uid="{1F966884-100C-46C0-9468-567AC65BEE4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aumenta por 24 hrs
Respuesta:
    23 de octubre, se incrementa 1 Cajero Full producto de 2 mujeres embarazadas (correo 23-10)</t>
      </text>
    </comment>
    <comment ref="F71" authorId="3" shapeId="0" xr:uid="{637401C7-7380-44E3-88A0-09F3AE263B3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+  1 PT 25 INTERMEDIO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tc={00CC1E3B-9D63-49F4-A899-1777698EB939}</author>
    <author>tc={52F35580-13B2-4574-BC7A-D2D884D915A9}</author>
    <author>tc={D72E2413-81DF-479F-88A5-5B9801EED6AB}</author>
    <author>tc={60B028D5-AD24-4530-9EB1-F6061E448E52}</author>
    <author>tc={547FF833-90D7-4DE8-9166-1CAC69EAF759}</author>
    <author>tc={42BE4721-2E72-4DCC-8D91-C4A69C669007}</author>
    <author>tc={81404AFA-7E03-409C-998A-64520984ABD5}</author>
    <author>tc={55A501D6-0673-473F-AA06-C526CE87A157}</author>
  </authors>
  <commentList>
    <comment ref="F50" authorId="0" shapeId="0" xr:uid="{00CC1E3B-9D63-49F4-A899-1777698EB93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Incrementar 1 PT 25 intermedio</t>
      </text>
    </comment>
    <comment ref="F51" authorId="1" shapeId="0" xr:uid="{52F35580-13B2-4574-BC7A-D2D884D915A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+ 1 PT25 PM</t>
      </text>
    </comment>
    <comment ref="F53" authorId="2" shapeId="0" xr:uid="{D72E2413-81DF-479F-88A5-5B9801EED6A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aumenta por 24 hrs
Respuesta:
    23 de octubre, se incrementa 1 Cajero Full producto de 2 mujeres embarazadas (correo 23-10)</t>
      </text>
    </comment>
    <comment ref="F71" authorId="3" shapeId="0" xr:uid="{60B028D5-AD24-4530-9EB1-F6061E448E5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+  1 PT 25 INTERMEDIO</t>
      </text>
    </comment>
    <comment ref="F167" authorId="4" shapeId="0" xr:uid="{547FF833-90D7-4DE8-9166-1CAC69EAF75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 partir del 06-11 se modifica a 3,93</t>
      </text>
    </comment>
    <comment ref="F202" authorId="5" shapeId="0" xr:uid="{42BE4721-2E72-4DCC-8D91-C4A69C66900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 partir del 06-11 se modifica a 3,93</t>
      </text>
    </comment>
    <comment ref="F239" authorId="6" shapeId="0" xr:uid="{81404AFA-7E03-409C-998A-64520984ABD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+ 1 PT 25 INTERMEDIO (11-11-25)</t>
      </text>
    </comment>
    <comment ref="F343" authorId="7" shapeId="0" xr:uid="{55A501D6-0673-473F-AA06-C526CE87A15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+ 1 PT 25 INTERMEDIO (11-11-25)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tc={DC807D37-E33B-4CA5-8656-4E744E7E1022}</author>
    <author>tc={75EB8C94-C6D8-4333-98A3-512D5F4C526C}</author>
    <author>tc={3D9DAD1B-3286-44D2-B934-2021A7ABE755}</author>
    <author>tc={BCF57F45-F514-4318-8F08-1E6E9716CFC4}</author>
    <author>tc={2B590F8A-CE18-4FED-AF42-BEBB2C50D929}</author>
    <author>tc={A2C46600-69E2-4932-AF48-10393C9FE6AB}</author>
    <author>tc={45278DAE-FC6B-4842-9925-6D2AAB09A877}</author>
    <author>tc={6E6FEDB7-2DEC-41B5-A55E-FA785FD1FB24}</author>
  </authors>
  <commentList>
    <comment ref="F9" authorId="0" shapeId="0" xr:uid="{DC807D37-E33B-4CA5-8656-4E744E7E102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Aumentar FTE a 12</t>
      </text>
    </comment>
    <comment ref="F29" authorId="1" shapeId="0" xr:uid="{75EB8C94-C6D8-4333-98A3-512D5F4C526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Aumentar FTE a 7</t>
      </text>
    </comment>
    <comment ref="F49" authorId="2" shapeId="0" xr:uid="{3D9DAD1B-3286-44D2-B934-2021A7ABE75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Aumentar 3 por cajeros nocturnos (9,68), desde junio</t>
      </text>
    </comment>
    <comment ref="F50" authorId="3" shapeId="0" xr:uid="{BCF57F45-F514-4318-8F08-1E6E9716CFC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Incrementar 1 PT 25 intermedio</t>
      </text>
    </comment>
    <comment ref="F51" authorId="4" shapeId="0" xr:uid="{2B590F8A-CE18-4FED-AF42-BEBB2C50D92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+ 1 PT25 PM</t>
      </text>
    </comment>
    <comment ref="F53" authorId="5" shapeId="0" xr:uid="{A2C46600-69E2-4932-AF48-10393C9FE6A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aumenta por 24 hrs
Respuesta:
    23 de octubre, se incrementa 1 Cajero Full producto de 2 mujeres embarazadas (correo 23-10)</t>
      </text>
    </comment>
    <comment ref="F71" authorId="6" shapeId="0" xr:uid="{45278DAE-FC6B-4842-9925-6D2AAB09A87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+  1 PT 25 INTERMEDIO</t>
      </text>
    </comment>
    <comment ref="F263" authorId="7" shapeId="0" xr:uid="{6E6FEDB7-2DEC-41B5-A55E-FA785FD1FB2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Aumentar FTE a 6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tc={3843B2A5-AFBC-47AE-ACAB-CC1F43667B68}</author>
    <author>tc={8171FF29-1AA9-4541-9D7E-889FC966B695}</author>
    <author>tc={0F34CF0F-FF24-4BDF-AF86-E1C1BBB1233C}</author>
    <author>tc={4E041B6B-76F6-44D8-AADC-3DF233B07C8A}</author>
    <author>tc={B9C2B232-5413-4C20-8459-6D02B58B9928}</author>
    <author>tc={8DEA5BEE-D176-4DE9-B0D6-AA02CAC2BB81}</author>
    <author>tc={628091EB-9A58-4F3C-938B-B36F6D6E95E5}</author>
    <author>tc={7DAB70EA-7E62-4F09-9886-66F90B45E677}</author>
    <author>tc={5171493E-E786-4376-B702-EA833B071B98}</author>
    <author>tc={B148219A-7F21-426C-A24D-160206312C6D}</author>
    <author>tc={00522D54-26BB-42F1-85F1-E706DA3FBFBD}</author>
    <author>tc={B92A87DB-99F5-4228-A8CE-C49424A57AEE}</author>
  </authors>
  <commentList>
    <comment ref="F9" authorId="0" shapeId="0" xr:uid="{3843B2A5-AFBC-47AE-ACAB-CC1F43667B6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Aumentar FTE a 12</t>
      </text>
    </comment>
    <comment ref="F29" authorId="1" shapeId="0" xr:uid="{8171FF29-1AA9-4541-9D7E-889FC966B69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Aumentar FTE a 7</t>
      </text>
    </comment>
    <comment ref="F37" authorId="2" shapeId="0" xr:uid="{0F34CF0F-FF24-4BDF-AF86-E1C1BBB1233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Aumentar a 6</t>
      </text>
    </comment>
    <comment ref="F49" authorId="3" shapeId="0" xr:uid="{4E041B6B-76F6-44D8-AADC-3DF233B07C8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Aumentar 3 por cajeros nocturnos (9,68), desde junio</t>
      </text>
    </comment>
    <comment ref="F53" authorId="4" shapeId="0" xr:uid="{B9C2B232-5413-4C20-8459-6D02B58B992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aumenta por 24 hrs</t>
      </text>
    </comment>
    <comment ref="F72" authorId="5" shapeId="0" xr:uid="{8DEA5BEE-D176-4DE9-B0D6-AA02CAC2BB8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aumenta el FTE debido a que la tienda cuenta con Uber</t>
      </text>
    </comment>
    <comment ref="F75" authorId="6" shapeId="0" xr:uid="{628091EB-9A58-4F3C-938B-B36F6D6E95E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Aumenta el FTE debido a que la tienda cuenta con Uber</t>
      </text>
    </comment>
    <comment ref="F95" authorId="7" shapeId="0" xr:uid="{7DAB70EA-7E62-4F09-9886-66F90B45E67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Aumentar FTE a 7</t>
      </text>
    </comment>
    <comment ref="F98" authorId="8" shapeId="0" xr:uid="{5171493E-E786-4376-B702-EA833B071B9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Aumentar a 6</t>
      </text>
    </comment>
    <comment ref="F102" authorId="9" shapeId="0" xr:uid="{B148219A-7F21-426C-A24D-160206312C6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Aumentar a 5,45</t>
      </text>
    </comment>
    <comment ref="F137" authorId="10" shapeId="0" xr:uid="{00522D54-26BB-42F1-85F1-E706DA3FBFB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incrementa un PT 20 hrs</t>
      </text>
    </comment>
    <comment ref="F263" authorId="11" shapeId="0" xr:uid="{B92A87DB-99F5-4228-A8CE-C49424A57AE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Aumentar FTE a 6</t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tc={5D9D916C-C337-4FDB-8216-BE0B0E351268}</author>
    <author>tc={2FDA7C2F-A59B-4499-97EA-6DDF54E38D64}</author>
    <author>tc={8809C50C-B00F-41F1-898E-216B12E40B88}</author>
    <author>tc={3FF3B6CA-2376-4A5B-9896-581CD922DB30}</author>
    <author>tc={35A8AB3C-DEB3-4D22-9933-32E7C5270225}</author>
    <author>tc={F75F08B4-131B-4A33-BCA0-DF9BDB1B64B7}</author>
    <author>tc={006DD8D7-80F5-4481-A2B3-A544D32363D3}</author>
    <author>tc={5736CD87-CE3E-45A9-8C0E-8A192C5AF4EC}</author>
    <author>tc={FB2C9C98-0074-465C-8E00-0D46DA656B65}</author>
    <author>tc={837BE774-D9FB-4BC2-896A-2F9FCD578E9C}</author>
    <author>tc={AF37BD93-153A-4A5F-A7AD-C3869252C5FF}</author>
    <author>tc={B3CB5467-302C-4E87-BCC6-6164344FBB30}</author>
  </authors>
  <commentList>
    <comment ref="F5" authorId="0" shapeId="0" xr:uid="{5D9D916C-C337-4FDB-8216-BE0B0E35126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Aumentar FTE a 12</t>
      </text>
    </comment>
    <comment ref="F25" authorId="1" shapeId="0" xr:uid="{2FDA7C2F-A59B-4499-97EA-6DDF54E38D6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Aumentar FTE a 7</t>
      </text>
    </comment>
    <comment ref="F33" authorId="2" shapeId="0" xr:uid="{8809C50C-B00F-41F1-898E-216B12E40B8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Aumentar a 6</t>
      </text>
    </comment>
    <comment ref="F45" authorId="3" shapeId="0" xr:uid="{3FF3B6CA-2376-4A5B-9896-581CD922DB3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Aumentar 3 por cajeros nocturnos (9,68), desde junio</t>
      </text>
    </comment>
    <comment ref="F49" authorId="4" shapeId="0" xr:uid="{35A8AB3C-DEB3-4D22-9933-32E7C527022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aumenta por 24 hrs</t>
      </text>
    </comment>
    <comment ref="F68" authorId="5" shapeId="0" xr:uid="{F75F08B4-131B-4A33-BCA0-DF9BDB1B64B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aumenta el FTE debido a que la tienda cuenta con Uber</t>
      </text>
    </comment>
    <comment ref="F71" authorId="6" shapeId="0" xr:uid="{006DD8D7-80F5-4481-A2B3-A544D32363D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Aumenta el FTE debido a que la tienda cuenta con Uber</t>
      </text>
    </comment>
    <comment ref="F91" authorId="7" shapeId="0" xr:uid="{5736CD87-CE3E-45A9-8C0E-8A192C5AF4E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Aumentar FTE a 7</t>
      </text>
    </comment>
    <comment ref="F94" authorId="8" shapeId="0" xr:uid="{FB2C9C98-0074-465C-8E00-0D46DA656B6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Aumentar a 6</t>
      </text>
    </comment>
    <comment ref="F98" authorId="9" shapeId="0" xr:uid="{837BE774-D9FB-4BC2-896A-2F9FCD578E9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Aumentar a 5,45</t>
      </text>
    </comment>
    <comment ref="F133" authorId="10" shapeId="0" xr:uid="{AF37BD93-153A-4A5F-A7AD-C3869252C5F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incrementa un PT 20 hrs</t>
      </text>
    </comment>
    <comment ref="F259" authorId="11" shapeId="0" xr:uid="{B3CB5467-302C-4E87-BCC6-6164344FBB3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Aumentar FTE a 6</t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tc={C67EF822-778D-4597-A818-F56B2C6C8642}</author>
    <author>tc={309EF4B2-FA60-41FE-BC3D-E17897D3E74F}</author>
    <author>tc={C3BE2382-363B-4B20-87C9-53E8EF9EBCE4}</author>
    <author>tc={7068DCA2-8008-4818-A2AD-402DCAB6574E}</author>
    <author>tc={E2806E14-7459-4BB5-A57A-CBCCC914F715}</author>
    <author>tc={EB22A1B6-0A5D-4448-BA88-EA3ECBCB532C}</author>
    <author>tc={02D79C64-9625-42AA-9851-447647C830FF}</author>
    <author>tc={B7AF87A8-FC58-49C6-8C57-1570D41CC07E}</author>
    <author>tc={9484D19E-586C-43FD-8412-5BB97DE4A240}</author>
    <author>tc={9CFCE6E3-9F42-4941-8D2C-99CAD8F23CAA}</author>
    <author>tc={46F93FD6-AF07-4AF8-99FB-6553040C733D}</author>
    <author>tc={C23A65F4-1398-4F6F-898B-D79C5E8BEF1A}</author>
  </authors>
  <commentList>
    <comment ref="F5" authorId="0" shapeId="0" xr:uid="{C67EF822-778D-4597-A818-F56B2C6C864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Aumentar FTE a 12</t>
      </text>
    </comment>
    <comment ref="F25" authorId="1" shapeId="0" xr:uid="{309EF4B2-FA60-41FE-BC3D-E17897D3E74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Aumentar FTE a 7</t>
      </text>
    </comment>
    <comment ref="F33" authorId="2" shapeId="0" xr:uid="{C3BE2382-363B-4B20-87C9-53E8EF9EBCE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Aumentar a 6</t>
      </text>
    </comment>
    <comment ref="F45" authorId="3" shapeId="0" xr:uid="{7068DCA2-8008-4818-A2AD-402DCAB6574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Aumentar 3 por cajeros nocturnos (9,68), desde junio</t>
      </text>
    </comment>
    <comment ref="F49" authorId="4" shapeId="0" xr:uid="{E2806E14-7459-4BB5-A57A-CBCCC914F71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aumenta por 24 hrs</t>
      </text>
    </comment>
    <comment ref="F68" authorId="5" shapeId="0" xr:uid="{EB22A1B6-0A5D-4448-BA88-EA3ECBCB532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aumenta el FTE debido a que la tienda cuenta con Uber</t>
      </text>
    </comment>
    <comment ref="F71" authorId="6" shapeId="0" xr:uid="{02D79C64-9625-42AA-9851-447647C830F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Aumenta el FTE debido a que la tienda cuenta con Uber</t>
      </text>
    </comment>
    <comment ref="F91" authorId="7" shapeId="0" xr:uid="{B7AF87A8-FC58-49C6-8C57-1570D41CC07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Aumentar FTE a 7</t>
      </text>
    </comment>
    <comment ref="F94" authorId="8" shapeId="0" xr:uid="{9484D19E-586C-43FD-8412-5BB97DE4A24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Aumentar a 6</t>
      </text>
    </comment>
    <comment ref="F98" authorId="9" shapeId="0" xr:uid="{9CFCE6E3-9F42-4941-8D2C-99CAD8F23CA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Aumentar a 5,45</t>
      </text>
    </comment>
    <comment ref="F133" authorId="10" shapeId="0" xr:uid="{46F93FD6-AF07-4AF8-99FB-6553040C733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incrementa un PT 20 hrs</t>
      </text>
    </comment>
    <comment ref="F259" authorId="11" shapeId="0" xr:uid="{C23A65F4-1398-4F6F-898B-D79C5E8BEF1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Aumentar FTE a 6</t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tc={6FDFAF8A-A9CC-4881-8449-B1A2F2108A79}</author>
    <author>tc={25965BE5-C179-47B8-A0BF-496D4FDEA362}</author>
    <author>tc={BEAA7DA3-83D3-494F-A178-51AA308D2CFF}</author>
    <author>tc={6C9F9030-7BA9-4E49-8743-7ABF18E73417}</author>
    <author>tc={F1EAB1E6-3C92-434D-9E2E-D6F75F555818}</author>
    <author>tc={8E781BC2-1053-4D95-B5E3-1B870118AC9D}</author>
    <author>tc={C508DE04-260F-4536-96F2-60F67DDD9DED}</author>
    <author>tc={6A565AE3-CB27-4131-9F13-C6305FB2664B}</author>
    <author>tc={EF907C02-5849-4B59-ABA2-445D35E596C9}</author>
    <author>tc={0BDDF551-20F4-4883-AE3F-93AE179D4D05}</author>
    <author>tc={50FC9C20-D261-4C04-AB38-8152B535A9EB}</author>
    <author>tc={85D551D9-EE3F-43C6-BC84-F09182433593}</author>
  </authors>
  <commentList>
    <comment ref="F5" authorId="0" shapeId="0" xr:uid="{6FDFAF8A-A9CC-4881-8449-B1A2F2108A7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Aumentar FTE a 12</t>
      </text>
    </comment>
    <comment ref="F25" authorId="1" shapeId="0" xr:uid="{25965BE5-C179-47B8-A0BF-496D4FDEA36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Aumentar FTE a 7</t>
      </text>
    </comment>
    <comment ref="F33" authorId="2" shapeId="0" xr:uid="{BEAA7DA3-83D3-494F-A178-51AA308D2CF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Aumentar a 6</t>
      </text>
    </comment>
    <comment ref="F45" authorId="3" shapeId="0" xr:uid="{6C9F9030-7BA9-4E49-8743-7ABF18E7341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Aumentar 3 por cajeros nocturnos (9,68), desde junio</t>
      </text>
    </comment>
    <comment ref="F49" authorId="4" shapeId="0" xr:uid="{F1EAB1E6-3C92-434D-9E2E-D6F75F55581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aumenta por 24 hrs</t>
      </text>
    </comment>
    <comment ref="F68" authorId="5" shapeId="0" xr:uid="{8E781BC2-1053-4D95-B5E3-1B870118AC9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aumenta el FTE debido a que la tienda cuenta con Uber</t>
      </text>
    </comment>
    <comment ref="F71" authorId="6" shapeId="0" xr:uid="{C508DE04-260F-4536-96F2-60F67DDD9DE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Aumenta el FTE debido a que la tienda cuenta con Uber</t>
      </text>
    </comment>
    <comment ref="F91" authorId="7" shapeId="0" xr:uid="{6A565AE3-CB27-4131-9F13-C6305FB2664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Aumentar FTE a 7</t>
      </text>
    </comment>
    <comment ref="F94" authorId="8" shapeId="0" xr:uid="{EF907C02-5849-4B59-ABA2-445D35E596C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Aumentar a 6</t>
      </text>
    </comment>
    <comment ref="F98" authorId="9" shapeId="0" xr:uid="{0BDDF551-20F4-4883-AE3F-93AE179D4D0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Aumentar a 5,45</t>
      </text>
    </comment>
    <comment ref="F133" authorId="10" shapeId="0" xr:uid="{50FC9C20-D261-4C04-AB38-8152B535A9E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incrementa un PT 20 hrs</t>
      </text>
    </comment>
    <comment ref="F259" authorId="11" shapeId="0" xr:uid="{85D551D9-EE3F-43C6-BC84-F0918243359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Aumentar FTE a 6</t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tc={7DC08274-A342-4376-8F7E-40963251D355}</author>
    <author>tc={E3839A5A-D382-4D00-BD90-94C3AA8C35B9}</author>
    <author>tc={F7658562-D532-45E8-A4BD-2CE43A77D775}</author>
    <author>tc={ED7F8343-151A-445A-B806-BFC3A1E9914C}</author>
    <author>tc={4FDA5604-C9C7-4132-8A73-BF470AFB0CEA}</author>
    <author>tc={AA2F3517-CF1C-4924-9874-64747D67EE91}</author>
    <author>tc={7A243DD8-4E24-4722-B02D-C7DD5D7D8B50}</author>
    <author>tc={8D92A479-C160-4712-B0C3-E7556415CA86}</author>
    <author>tc={D1CA83DF-5194-4A48-9C92-E4AE64ECC09F}</author>
    <author>tc={5D588F42-332F-47BA-B87F-E3049218FCAA}</author>
    <author>tc={662D6D46-B6B5-4A78-ABE3-F5FF648F13DF}</author>
    <author>tc={7807FB9B-B46D-4B6B-A18F-33B97B63BE49}</author>
  </authors>
  <commentList>
    <comment ref="F5" authorId="0" shapeId="0" xr:uid="{7DC08274-A342-4376-8F7E-40963251D35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Aumentar FTE a 12</t>
      </text>
    </comment>
    <comment ref="F25" authorId="1" shapeId="0" xr:uid="{E3839A5A-D382-4D00-BD90-94C3AA8C35B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Aumentar FTE a 7</t>
      </text>
    </comment>
    <comment ref="F33" authorId="2" shapeId="0" xr:uid="{F7658562-D532-45E8-A4BD-2CE43A77D77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Aumentar a 6</t>
      </text>
    </comment>
    <comment ref="F45" authorId="3" shapeId="0" xr:uid="{ED7F8343-151A-445A-B806-BFC3A1E9914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Aumentar 3 por cajeros nocturnos (9,68), desde junio</t>
      </text>
    </comment>
    <comment ref="F49" authorId="4" shapeId="0" xr:uid="{4FDA5604-C9C7-4132-8A73-BF470AFB0CE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aumenta por 24 hrs</t>
      </text>
    </comment>
    <comment ref="F68" authorId="5" shapeId="0" xr:uid="{AA2F3517-CF1C-4924-9874-64747D67EE9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aumenta el FTE debido a que la tienda cuenta con Uber</t>
      </text>
    </comment>
    <comment ref="F71" authorId="6" shapeId="0" xr:uid="{7A243DD8-4E24-4722-B02D-C7DD5D7D8B5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Aumenta el FTE debido a que la tienda cuenta con Uber</t>
      </text>
    </comment>
    <comment ref="F91" authorId="7" shapeId="0" xr:uid="{8D92A479-C160-4712-B0C3-E7556415CA8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Aumentar FTE a 7</t>
      </text>
    </comment>
    <comment ref="F94" authorId="8" shapeId="0" xr:uid="{D1CA83DF-5194-4A48-9C92-E4AE64ECC09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Aumentar a 6</t>
      </text>
    </comment>
    <comment ref="F98" authorId="9" shapeId="0" xr:uid="{5D588F42-332F-47BA-B87F-E3049218FCA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Aumentar a 5,45</t>
      </text>
    </comment>
    <comment ref="F133" authorId="10" shapeId="0" xr:uid="{662D6D46-B6B5-4A78-ABE3-F5FF648F13D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incrementa un PT 20 hrs</t>
      </text>
    </comment>
    <comment ref="F259" authorId="11" shapeId="0" xr:uid="{7807FB9B-B46D-4B6B-A18F-33B97B63BE4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Aumentar FTE a 6</t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tc={4ECDA99F-9781-4A86-B7C1-FB5DBEDAF9F2}</author>
  </authors>
  <commentList>
    <comment ref="F33" authorId="0" shapeId="0" xr:uid="{4ECDA99F-9781-4A86-B7C1-FB5DBEDAF9F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Aumentar a 6</t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tc={2429DDFF-DFF5-4E52-9DB4-30B779EFD4BB}</author>
    <author>Arriagada Nelson</author>
  </authors>
  <commentList>
    <comment ref="G39" authorId="0" shapeId="0" xr:uid="{2429DDFF-DFF5-4E52-9DB4-30B779EFD4BB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14-03-2025
</t>
      </text>
    </comment>
    <comment ref="G198" authorId="1" shapeId="0" xr:uid="{1CE41568-E5CE-43AB-AA35-20A57C7FEFF4}">
      <text>
        <r>
          <rPr>
            <b/>
            <sz val="9"/>
            <color indexed="81"/>
            <rFont val="Tahoma"/>
            <family val="2"/>
          </rPr>
          <t>Arriagada Nelson:</t>
        </r>
        <r>
          <rPr>
            <sz val="9"/>
            <color indexed="81"/>
            <rFont val="Tahoma"/>
            <family val="2"/>
          </rPr>
          <t xml:space="preserve">
14-03</t>
        </r>
      </text>
    </comment>
  </commentList>
</comments>
</file>

<file path=xl/sharedStrings.xml><?xml version="1.0" encoding="utf-8"?>
<sst xmlns="http://schemas.openxmlformats.org/spreadsheetml/2006/main" count="83577" uniqueCount="1222">
  <si>
    <t>CARGO</t>
  </si>
  <si>
    <t>LIDER</t>
  </si>
  <si>
    <t>JEFE DE SALA</t>
  </si>
  <si>
    <t>CAJERO</t>
  </si>
  <si>
    <t>CAJERP PT 20</t>
  </si>
  <si>
    <t>CAJERO PT 30</t>
  </si>
  <si>
    <t>CAJERO PT 25</t>
  </si>
  <si>
    <t>CAJERO PT 15</t>
  </si>
  <si>
    <t>FTE AUTORIZADO</t>
  </si>
  <si>
    <t>PT25</t>
  </si>
  <si>
    <t>PT15</t>
  </si>
  <si>
    <t>lider</t>
  </si>
  <si>
    <t>jefe sala</t>
  </si>
  <si>
    <t>pt 25</t>
  </si>
  <si>
    <t>pt 15</t>
  </si>
  <si>
    <t>CECO</t>
  </si>
  <si>
    <t>NOMBRE MAESTRA</t>
  </si>
  <si>
    <t>GEO</t>
  </si>
  <si>
    <t>FTE AUT</t>
  </si>
  <si>
    <t>ESTADO RH</t>
  </si>
  <si>
    <t>GENERACION</t>
  </si>
  <si>
    <t>JEFE OPERACIONES</t>
  </si>
  <si>
    <t>ASESOR TIENDA</t>
  </si>
  <si>
    <t>TIENDA ESTIVAL</t>
  </si>
  <si>
    <t>COMUNA</t>
  </si>
  <si>
    <t>REGION</t>
  </si>
  <si>
    <t>RECLUTADOR</t>
  </si>
  <si>
    <t>JORNADA OPERACIÓN</t>
  </si>
  <si>
    <t>PLAN RESCATE</t>
  </si>
  <si>
    <t>OBJETIVO VENTA</t>
  </si>
  <si>
    <t>MACROZONA</t>
  </si>
  <si>
    <t>TIENDA BATTING</t>
  </si>
  <si>
    <t>ONE TIME</t>
  </si>
  <si>
    <t>OBSERVACION</t>
  </si>
  <si>
    <t>50OEM</t>
  </si>
  <si>
    <t>OKM CIUDAD EMPRESARIAL</t>
  </si>
  <si>
    <t>-</t>
  </si>
  <si>
    <t>CIERRE DEFINITIVO</t>
  </si>
  <si>
    <t>TMCB OKM</t>
  </si>
  <si>
    <t>HUECHURABA</t>
  </si>
  <si>
    <t>METROPOLITANA</t>
  </si>
  <si>
    <t> </t>
  </si>
  <si>
    <t>12HRS</t>
  </si>
  <si>
    <t>NO</t>
  </si>
  <si>
    <t>50BPT</t>
  </si>
  <si>
    <t>ECUADOR PURISIMA</t>
  </si>
  <si>
    <t>TMCB</t>
  </si>
  <si>
    <t>ESTACIÓN CENTRAL</t>
  </si>
  <si>
    <t>50ODA</t>
  </si>
  <si>
    <t>OKM DIEGO DE ALMAGRO</t>
  </si>
  <si>
    <t>RODRIGUEZ ABREU ROSA</t>
  </si>
  <si>
    <t>PROVIDENCIA</t>
  </si>
  <si>
    <t>50ODP</t>
  </si>
  <si>
    <t>OKM DIEGO PORTALES</t>
  </si>
  <si>
    <t>VIÑA DEL MAR</t>
  </si>
  <si>
    <t>VALPARAISO</t>
  </si>
  <si>
    <t>50OMN</t>
  </si>
  <si>
    <t>OKM MORANDE</t>
  </si>
  <si>
    <t>LOPEZ CALDERON LUIS GERARDO</t>
  </si>
  <si>
    <t>SANTIAGO</t>
  </si>
  <si>
    <t>50OSB</t>
  </si>
  <si>
    <t>SIMON BOLIVAR 2</t>
  </si>
  <si>
    <t>OKM SIMÓN BOLIVAR</t>
  </si>
  <si>
    <t>GAMERRE URZUA CECILIA</t>
  </si>
  <si>
    <t>ÑUÑOA</t>
  </si>
  <si>
    <t>50OTO</t>
  </si>
  <si>
    <t>OKM TOESCA</t>
  </si>
  <si>
    <t>RIQUELME ESTAY ROBERTO</t>
  </si>
  <si>
    <t>50OHT</t>
  </si>
  <si>
    <t>HAMBURGO 2</t>
  </si>
  <si>
    <t>OKM HAMBURGO</t>
  </si>
  <si>
    <t>50OMP</t>
  </si>
  <si>
    <t>OKM MALL PLAZA OESTE</t>
  </si>
  <si>
    <t>PINERUA JAIMES JESUS</t>
  </si>
  <si>
    <t>CERRILLOS</t>
  </si>
  <si>
    <t>50OPR</t>
  </si>
  <si>
    <t>AVENIDA PERU</t>
  </si>
  <si>
    <t>OKM AVENIDA PERÚ</t>
  </si>
  <si>
    <t>RECOLETA</t>
  </si>
  <si>
    <t>50AMU</t>
  </si>
  <si>
    <t>TORRE AMUNATEGUI</t>
  </si>
  <si>
    <t>TNM</t>
  </si>
  <si>
    <t>500LI</t>
  </si>
  <si>
    <t>JJ PEREZ</t>
  </si>
  <si>
    <t>ESCOBAR VALDES VALESKA SOLEDAD</t>
  </si>
  <si>
    <t>CALERA</t>
  </si>
  <si>
    <t>500UN</t>
  </si>
  <si>
    <t>PLAZA CHIGUAYANTE</t>
  </si>
  <si>
    <t>T2024</t>
  </si>
  <si>
    <t>ZAMBRANO JARA CAROLINA GRACIELA</t>
  </si>
  <si>
    <t>CHIGUAYANTE</t>
  </si>
  <si>
    <t>BIOBIO</t>
  </si>
  <si>
    <t>501CG</t>
  </si>
  <si>
    <t>IRARRAZAVAL 1</t>
  </si>
  <si>
    <t>RUIZ FERRER VANNA</t>
  </si>
  <si>
    <t>502IY</t>
  </si>
  <si>
    <t>INDEPENDENCIA 2</t>
  </si>
  <si>
    <t>INDEPENDENCIA</t>
  </si>
  <si>
    <t>502UE</t>
  </si>
  <si>
    <t>MIRAFLORES</t>
  </si>
  <si>
    <t>BENITEZ QUILODRAN HUGO</t>
  </si>
  <si>
    <t>503LC</t>
  </si>
  <si>
    <t>TALCA 2</t>
  </si>
  <si>
    <t>TALCA</t>
  </si>
  <si>
    <t>MAULE</t>
  </si>
  <si>
    <t>503YO</t>
  </si>
  <si>
    <t>SAN DIEGO 2</t>
  </si>
  <si>
    <t>504GZ</t>
  </si>
  <si>
    <t>OHIGGINS ANGOL</t>
  </si>
  <si>
    <t>CONCEPCIÓN</t>
  </si>
  <si>
    <t>504UJ</t>
  </si>
  <si>
    <t>BANDERA 2</t>
  </si>
  <si>
    <t>5050J</t>
  </si>
  <si>
    <t>MALL PATIO RANCAGUA</t>
  </si>
  <si>
    <t>PATIO RANCAGUA</t>
  </si>
  <si>
    <t>RANCAGUA</t>
  </si>
  <si>
    <t>BERNARDO OHIGGINS</t>
  </si>
  <si>
    <t>506J6</t>
  </si>
  <si>
    <t>ABATE MOLINA</t>
  </si>
  <si>
    <t>506ZY</t>
  </si>
  <si>
    <t>PEDRO TORRES</t>
  </si>
  <si>
    <t>508NJ</t>
  </si>
  <si>
    <t>LINARES</t>
  </si>
  <si>
    <t>LINARES 1</t>
  </si>
  <si>
    <t>5091B</t>
  </si>
  <si>
    <t>HOLANDA 3</t>
  </si>
  <si>
    <t>509H6</t>
  </si>
  <si>
    <t>MACHALI SEWEL</t>
  </si>
  <si>
    <t>MACHALÍ SEWEL</t>
  </si>
  <si>
    <t>MACHALÍ</t>
  </si>
  <si>
    <t>50AFU</t>
  </si>
  <si>
    <t>SANTA AMALIA</t>
  </si>
  <si>
    <t>ARAYA BURGOS ARIEL</t>
  </si>
  <si>
    <t>LA FLORIDA</t>
  </si>
  <si>
    <t>50AGU</t>
  </si>
  <si>
    <t>EL AGUILUCHO</t>
  </si>
  <si>
    <t>50AJL</t>
  </si>
  <si>
    <t>LA CASTELLANA</t>
  </si>
  <si>
    <t>LAS CONDES</t>
  </si>
  <si>
    <t>50AL4</t>
  </si>
  <si>
    <t>ANIBAL PINTO</t>
  </si>
  <si>
    <t>50AZF</t>
  </si>
  <si>
    <t>PUDAHUEL SAN PABLO 2</t>
  </si>
  <si>
    <t>PUDAHUEL</t>
  </si>
  <si>
    <t>50BER</t>
  </si>
  <si>
    <t>EL BERGANTIN</t>
  </si>
  <si>
    <t>LIAZ MONTERO GABRIEL</t>
  </si>
  <si>
    <t>50BLL</t>
  </si>
  <si>
    <t>BILBAO LOS LEONES</t>
  </si>
  <si>
    <t>50BMP</t>
  </si>
  <si>
    <t>SANTO DOMINGO</t>
  </si>
  <si>
    <t>50CEI</t>
  </si>
  <si>
    <t>BARCELONA</t>
  </si>
  <si>
    <t>50DBW</t>
  </si>
  <si>
    <t>RENACA 1</t>
  </si>
  <si>
    <t>REÑACA 1</t>
  </si>
  <si>
    <t>50DXJ</t>
  </si>
  <si>
    <t>PROVIDENCIA 1</t>
  </si>
  <si>
    <t>50EVA</t>
  </si>
  <si>
    <t>PRAT SALINAS</t>
  </si>
  <si>
    <t>MENDOZA GIL BREYNER JOSE</t>
  </si>
  <si>
    <t>SAN FELIPE</t>
  </si>
  <si>
    <t>50FLF</t>
  </si>
  <si>
    <t>LAS VERBENAS</t>
  </si>
  <si>
    <t>50GDJ</t>
  </si>
  <si>
    <t>APOQUINDO SAN PASCUAL</t>
  </si>
  <si>
    <t>50GIA</t>
  </si>
  <si>
    <t>AGUSTINAS SAN MARTIN 2</t>
  </si>
  <si>
    <t>50GNW</t>
  </si>
  <si>
    <t>SAN PABLO MORANDE</t>
  </si>
  <si>
    <t>SAN PABLO  MORANDE</t>
  </si>
  <si>
    <t>50GP4</t>
  </si>
  <si>
    <t>OROMPELLO</t>
  </si>
  <si>
    <t>50GRE</t>
  </si>
  <si>
    <t>GRECIA EXEQUIEL</t>
  </si>
  <si>
    <t>50IAB</t>
  </si>
  <si>
    <t>IRARRAZAVAL ANTONIO VARAS</t>
  </si>
  <si>
    <t>50IHX</t>
  </si>
  <si>
    <t>VILLA ALEMANA 2</t>
  </si>
  <si>
    <t>VILLA ALEMANA</t>
  </si>
  <si>
    <t>50INN</t>
  </si>
  <si>
    <t>QUILLOTA 1</t>
  </si>
  <si>
    <t>QUILLOTA</t>
  </si>
  <si>
    <t>50ISU</t>
  </si>
  <si>
    <t>IRARRAZAVAL SUECIA</t>
  </si>
  <si>
    <t>50ITA</t>
  </si>
  <si>
    <t>IRARRAZAVAL ITALIA</t>
  </si>
  <si>
    <t>50K17</t>
  </si>
  <si>
    <t>PEDRO DE VALDIVIA 5</t>
  </si>
  <si>
    <t>50KAD</t>
  </si>
  <si>
    <t>DR JOHOW</t>
  </si>
  <si>
    <t>50KT5</t>
  </si>
  <si>
    <t>PEDRO ONA</t>
  </si>
  <si>
    <t>PEDRO DE OÑA</t>
  </si>
  <si>
    <t>50KT9</t>
  </si>
  <si>
    <t>PLAZA CALERA</t>
  </si>
  <si>
    <t>RIPLEY LA CALERA</t>
  </si>
  <si>
    <t>50LBB</t>
  </si>
  <si>
    <t>LOS BARBECHOS</t>
  </si>
  <si>
    <t>50LCO</t>
  </si>
  <si>
    <t>LIRA CURICO</t>
  </si>
  <si>
    <t xml:space="preserve">LIRA CURICO </t>
  </si>
  <si>
    <t>T2023</t>
  </si>
  <si>
    <t>50LRR</t>
  </si>
  <si>
    <t>LARRAIN</t>
  </si>
  <si>
    <t>LA REINA</t>
  </si>
  <si>
    <t>50LTD</t>
  </si>
  <si>
    <t>EMILIA TELLEZ</t>
  </si>
  <si>
    <t>50LVO</t>
  </si>
  <si>
    <t>EL MANZANO</t>
  </si>
  <si>
    <t>50MCA</t>
  </si>
  <si>
    <t>MATUCANA</t>
  </si>
  <si>
    <t>MATUCANA (matucana mapocho)</t>
  </si>
  <si>
    <t>50MD2</t>
  </si>
  <si>
    <t>HUERFANOS 2</t>
  </si>
  <si>
    <t>50MMT</t>
  </si>
  <si>
    <t>MARTIN DE ZAMORA</t>
  </si>
  <si>
    <t>50NU9</t>
  </si>
  <si>
    <t>NATANIEL 2</t>
  </si>
  <si>
    <t>50OAD</t>
  </si>
  <si>
    <t>OKM ABDON CIFUENTES</t>
  </si>
  <si>
    <t>50OAE</t>
  </si>
  <si>
    <t>ARAUCO ESTACION</t>
  </si>
  <si>
    <t>OKM ARAUCO ESTACION</t>
  </si>
  <si>
    <t>50OAG</t>
  </si>
  <si>
    <t>AIEP GRAJALES</t>
  </si>
  <si>
    <t xml:space="preserve">AIEP GRAJALES </t>
  </si>
  <si>
    <t>50OAZ</t>
  </si>
  <si>
    <t>ALVAREZ</t>
  </si>
  <si>
    <t>OKM ALVAREZ</t>
  </si>
  <si>
    <t>50OBO</t>
  </si>
  <si>
    <t>BORGONO</t>
  </si>
  <si>
    <t>OKM BORGOÑO</t>
  </si>
  <si>
    <t>50OBS</t>
  </si>
  <si>
    <t>BOULEVARD DEL SOL</t>
  </si>
  <si>
    <t>BOULEVARD DEL SOL CL</t>
  </si>
  <si>
    <t>50OCD</t>
  </si>
  <si>
    <t>OKM CATEDRAL TEATINOS</t>
  </si>
  <si>
    <t>50OCI</t>
  </si>
  <si>
    <t>CARMEN SANTA ISABEL</t>
  </si>
  <si>
    <t>OKM CARMEN</t>
  </si>
  <si>
    <t>50OCV</t>
  </si>
  <si>
    <t>OKM CASTILLO VELASCO</t>
  </si>
  <si>
    <t>OKM EDO. CASTILLO VELASCO</t>
  </si>
  <si>
    <t>50ODG</t>
  </si>
  <si>
    <t>INGLATERRA</t>
  </si>
  <si>
    <t>50OEB</t>
  </si>
  <si>
    <t>OKM EL BOSQUE</t>
  </si>
  <si>
    <t>BARRIOS BAPTISTA JUAN JOSE</t>
  </si>
  <si>
    <t>50OEN</t>
  </si>
  <si>
    <t>OKM ENCOMENDEROS</t>
  </si>
  <si>
    <t>50OEX</t>
  </si>
  <si>
    <t>EXEQUIEL FERNANDEZ 2</t>
  </si>
  <si>
    <t>OKM EXEQUIEL FERNANDEZ</t>
  </si>
  <si>
    <t>50OFG</t>
  </si>
  <si>
    <t>OKM FRANCISCO NOGUERA</t>
  </si>
  <si>
    <t>50OIS</t>
  </si>
  <si>
    <t>OKM ISABEL LA CATOLICA</t>
  </si>
  <si>
    <t>50OLL</t>
  </si>
  <si>
    <t>LAS LILAS</t>
  </si>
  <si>
    <t>OKM LAS LILAS</t>
  </si>
  <si>
    <t>50OLM</t>
  </si>
  <si>
    <t>ESCUELA MILITAR 1</t>
  </si>
  <si>
    <t>OKM ESCUELA MILITAR</t>
  </si>
  <si>
    <t>50OMD</t>
  </si>
  <si>
    <t>MIDDLETON</t>
  </si>
  <si>
    <t xml:space="preserve">MIDDLETON </t>
  </si>
  <si>
    <t>50OMH</t>
  </si>
  <si>
    <t>MARCHANT PEREIRA 2</t>
  </si>
  <si>
    <t>OKM MARCHANT PEREIRA</t>
  </si>
  <si>
    <t>50OMI</t>
  </si>
  <si>
    <t>OKM MIRAFLORES</t>
  </si>
  <si>
    <t>50OMM</t>
  </si>
  <si>
    <t>MAYOR ABE</t>
  </si>
  <si>
    <t>OKM MAYOR ABE</t>
  </si>
  <si>
    <t>MACUL</t>
  </si>
  <si>
    <t>50OMT</t>
  </si>
  <si>
    <t>MAITENCILLO</t>
  </si>
  <si>
    <t>OKM MAITENCILLO</t>
  </si>
  <si>
    <t>VALPARAÍSO</t>
  </si>
  <si>
    <t>50OPV</t>
  </si>
  <si>
    <t>OKM PEDRO DE VALDIVIA</t>
  </si>
  <si>
    <t>50ORE</t>
  </si>
  <si>
    <t>CAMINO REAL</t>
  </si>
  <si>
    <t>CAMINO REAL CL</t>
  </si>
  <si>
    <t>50ORY</t>
  </si>
  <si>
    <t>OKM LYON</t>
  </si>
  <si>
    <t>LYON CL</t>
  </si>
  <si>
    <t>50OSF</t>
  </si>
  <si>
    <t>OKM STRIP SAN FRANCISCO</t>
  </si>
  <si>
    <t xml:space="preserve">SAN FRANCISO/STA ISABEL </t>
  </si>
  <si>
    <t>50OSI</t>
  </si>
  <si>
    <t>OKM SANTA ISABEL</t>
  </si>
  <si>
    <t>50OSO</t>
  </si>
  <si>
    <t>OKM STRIP OSSA</t>
  </si>
  <si>
    <t>50OSU</t>
  </si>
  <si>
    <t>SUCRE</t>
  </si>
  <si>
    <t>OKM SUCRE</t>
  </si>
  <si>
    <t>50OTE</t>
  </si>
  <si>
    <t>TEATINOS</t>
  </si>
  <si>
    <t>OKM TEATINOS</t>
  </si>
  <si>
    <t>50OVM</t>
  </si>
  <si>
    <t>VICUNA MACKENNA</t>
  </si>
  <si>
    <t>OKM VICUÑA MACKENNA</t>
  </si>
  <si>
    <t>50P7X</t>
  </si>
  <si>
    <t>PEDRO DE VALDIVIA 6</t>
  </si>
  <si>
    <t>50PCH</t>
  </si>
  <si>
    <t>PLAZA DE ASIS</t>
  </si>
  <si>
    <t>50PCL</t>
  </si>
  <si>
    <t>CONDELL 1</t>
  </si>
  <si>
    <t>50PDV</t>
  </si>
  <si>
    <t>PEDRO DE VALDIVIA 4</t>
  </si>
  <si>
    <t>P. DE VALDIVIA 4 CLP</t>
  </si>
  <si>
    <t>50PJ0</t>
  </si>
  <si>
    <t>MONUMENTO CHACABUCO</t>
  </si>
  <si>
    <t>MAIPÚ</t>
  </si>
  <si>
    <t>50PWL</t>
  </si>
  <si>
    <t>NATANIEL COX 1</t>
  </si>
  <si>
    <t>NATANIEL COX – COPIAPO</t>
  </si>
  <si>
    <t>50PZC</t>
  </si>
  <si>
    <t>PLAZA CHACABUCO</t>
  </si>
  <si>
    <t>50QM5</t>
  </si>
  <si>
    <t>PLAZA INES DE SUAREZ</t>
  </si>
  <si>
    <t>50ROS</t>
  </si>
  <si>
    <t>ROSARIO SUR</t>
  </si>
  <si>
    <t>50SAS</t>
  </si>
  <si>
    <t>ELEUTERIO RAMIREZ NATANIEL COX</t>
  </si>
  <si>
    <t>50SRE</t>
  </si>
  <si>
    <t>AUGUSTA GERONA</t>
  </si>
  <si>
    <t>50TAJ</t>
  </si>
  <si>
    <t>NUEVA TAJAMAR</t>
  </si>
  <si>
    <t>MONTT FUENTES JAIME IGNACIO</t>
  </si>
  <si>
    <t>50TCP</t>
  </si>
  <si>
    <t>MATUCANA SD</t>
  </si>
  <si>
    <t>50TEB</t>
  </si>
  <si>
    <t>TERMINAL DE BUSES</t>
  </si>
  <si>
    <t xml:space="preserve">TERMINAL DE BUSES </t>
  </si>
  <si>
    <t>50TI7</t>
  </si>
  <si>
    <t>RENGO FREIRE</t>
  </si>
  <si>
    <t>50TMT</t>
  </si>
  <si>
    <t>TORO MAZOTE</t>
  </si>
  <si>
    <t xml:space="preserve">TORO MAZOTTE </t>
  </si>
  <si>
    <t>50UC4</t>
  </si>
  <si>
    <t>LAUTARO FERRER</t>
  </si>
  <si>
    <t>50V11</t>
  </si>
  <si>
    <t>ARENAS DE TALAGANTE</t>
  </si>
  <si>
    <t>TALAGANTE</t>
  </si>
  <si>
    <t>50VRH</t>
  </si>
  <si>
    <t>ABDON CIFUENTES</t>
  </si>
  <si>
    <t>50VSU</t>
  </si>
  <si>
    <t>SAN FRANCISCO</t>
  </si>
  <si>
    <t>50VVE</t>
  </si>
  <si>
    <t>VITACURA VESPUCIO</t>
  </si>
  <si>
    <t>VITACURA</t>
  </si>
  <si>
    <t>50WGH</t>
  </si>
  <si>
    <t>MIGUEL DE OLIVARES</t>
  </si>
  <si>
    <t>50WUM</t>
  </si>
  <si>
    <t>RODRIGUEZ PINTO</t>
  </si>
  <si>
    <t>50XCV</t>
  </si>
  <si>
    <t>CRUZ DEL SUR</t>
  </si>
  <si>
    <t>50XFE</t>
  </si>
  <si>
    <t>SANTA ROSA PORVENIR</t>
  </si>
  <si>
    <t>50XJP</t>
  </si>
  <si>
    <t>JOSE LUIS COO</t>
  </si>
  <si>
    <t>PUENTE ALTO</t>
  </si>
  <si>
    <t>50Y74</t>
  </si>
  <si>
    <t>10 DE JULIO SAN DIEGO</t>
  </si>
  <si>
    <t>10 JULIO SAN DIEGO</t>
  </si>
  <si>
    <t>50FQG</t>
  </si>
  <si>
    <t>CHICUREO 2</t>
  </si>
  <si>
    <t>OXXO Chicureo 2</t>
  </si>
  <si>
    <t>COLINA</t>
  </si>
  <si>
    <t>CUADRILLA OXXO</t>
  </si>
  <si>
    <t>50OSP</t>
  </si>
  <si>
    <t>SAN PASCUAL</t>
  </si>
  <si>
    <t>OKM SAN PASCUAL</t>
  </si>
  <si>
    <t>Abierta</t>
  </si>
  <si>
    <t>CLAUDIO MONTES</t>
  </si>
  <si>
    <t>PALOMARES MAIKEL</t>
  </si>
  <si>
    <t>24HRS</t>
  </si>
  <si>
    <t>EJE APOQUINDO</t>
  </si>
  <si>
    <t>50JIO</t>
  </si>
  <si>
    <t>APOQUINDO 7</t>
  </si>
  <si>
    <t>50RNT</t>
  </si>
  <si>
    <t>ROSARIO NORTE</t>
  </si>
  <si>
    <t>50HCL</t>
  </si>
  <si>
    <t>ALCANTARA 2</t>
  </si>
  <si>
    <t>50OJJ</t>
  </si>
  <si>
    <t>BADAJOZ</t>
  </si>
  <si>
    <t>BADAJOZ CLP</t>
  </si>
  <si>
    <t>50NRA</t>
  </si>
  <si>
    <t>APOQUINDO 2</t>
  </si>
  <si>
    <t>50NMT</t>
  </si>
  <si>
    <t>EL GOLF</t>
  </si>
  <si>
    <t>50SLM</t>
  </si>
  <si>
    <t>APOQUINDO 4</t>
  </si>
  <si>
    <t>50VLX</t>
  </si>
  <si>
    <t>APOQUINDO 1</t>
  </si>
  <si>
    <t>50EFO</t>
  </si>
  <si>
    <t>ENRIQUE FOSTER</t>
  </si>
  <si>
    <t>50ASM</t>
  </si>
  <si>
    <t>APOQUINDO SANTA MAGDALENA</t>
  </si>
  <si>
    <t>50CRX</t>
  </si>
  <si>
    <t>APOQUINDO 6</t>
  </si>
  <si>
    <t>50EER</t>
  </si>
  <si>
    <t>LAS CONDES 1</t>
  </si>
  <si>
    <t>50NC0</t>
  </si>
  <si>
    <t>EL FARO</t>
  </si>
  <si>
    <t>50ORS</t>
  </si>
  <si>
    <t>ROSARIO SUR 2</t>
  </si>
  <si>
    <t>OKM ROSARIO SUR 2</t>
  </si>
  <si>
    <t>50ALM</t>
  </si>
  <si>
    <t>APOQUINDO LOS MILITARES</t>
  </si>
  <si>
    <t>50APO</t>
  </si>
  <si>
    <t>APOQUINDO 8</t>
  </si>
  <si>
    <t>50FVZ</t>
  </si>
  <si>
    <t>ASTURIAS</t>
  </si>
  <si>
    <t>50TFX</t>
  </si>
  <si>
    <t>CHESTERTON 1</t>
  </si>
  <si>
    <t>50ARD</t>
  </si>
  <si>
    <t>NUNOA</t>
  </si>
  <si>
    <t>ANTONIA MACCHIAVELLO</t>
  </si>
  <si>
    <t>QUINTANA VICUÑA SANTIAGO</t>
  </si>
  <si>
    <t>EJE IRARRAZAVAL</t>
  </si>
  <si>
    <t>50OIR</t>
  </si>
  <si>
    <t>OKM IRARRAZAVAL</t>
  </si>
  <si>
    <t>50OBN</t>
  </si>
  <si>
    <t>BROWN NORTE</t>
  </si>
  <si>
    <t>OKM BROWN NORTE</t>
  </si>
  <si>
    <t>50OAV</t>
  </si>
  <si>
    <t>ANTONIO VARAS</t>
  </si>
  <si>
    <t xml:space="preserve"> OKM ANTONIO VARAS</t>
  </si>
  <si>
    <t>50OSL</t>
  </si>
  <si>
    <t>STRIP LARRAIN</t>
  </si>
  <si>
    <t>OKM STRIP LARRAÍN</t>
  </si>
  <si>
    <t>50SWS</t>
  </si>
  <si>
    <t>SIMON BOLIVAR</t>
  </si>
  <si>
    <t>50B51</t>
  </si>
  <si>
    <t>LOS TALAVERAS</t>
  </si>
  <si>
    <t>OXXO Los Talaveras</t>
  </si>
  <si>
    <t>SI</t>
  </si>
  <si>
    <t>50DWS</t>
  </si>
  <si>
    <t>IRARRAZAVAL SAN JORGE</t>
  </si>
  <si>
    <t>50FTC</t>
  </si>
  <si>
    <t>SAN EUGENIO</t>
  </si>
  <si>
    <t>50IVB</t>
  </si>
  <si>
    <t>IRARRAZAVAL BUSTAMANTE</t>
  </si>
  <si>
    <t>50OIM</t>
  </si>
  <si>
    <t>JUAN MOYA</t>
  </si>
  <si>
    <t>OKM JUAN MOYA</t>
  </si>
  <si>
    <t>50OJC</t>
  </si>
  <si>
    <t>JOSE DOMINGO CANAS</t>
  </si>
  <si>
    <t>OKM JOSE DOMINGO CAÑAS</t>
  </si>
  <si>
    <t>50OPN</t>
  </si>
  <si>
    <t>PLAZA EGANA</t>
  </si>
  <si>
    <t>50ORO</t>
  </si>
  <si>
    <t>CAPITAN ORELLA</t>
  </si>
  <si>
    <t>50QO5</t>
  </si>
  <si>
    <t>MALL PLAZA EGANA 2</t>
  </si>
  <si>
    <t>50SBL</t>
  </si>
  <si>
    <t>PEDRO DE VALDIVIA 2</t>
  </si>
  <si>
    <t>50SEM</t>
  </si>
  <si>
    <t>SEMINARIO</t>
  </si>
  <si>
    <t>50OEY</t>
  </si>
  <si>
    <t>ELIODORO YANEZ 2</t>
  </si>
  <si>
    <t>ELIODORO YAÑEZ 2</t>
  </si>
  <si>
    <t>LOPEZ MEZA LUIS JOSÉ</t>
  </si>
  <si>
    <t>EJE PROVIDENCIA</t>
  </si>
  <si>
    <t>50OPI</t>
  </si>
  <si>
    <t>PLAZA ITALIA</t>
  </si>
  <si>
    <t>OKM PLAZA ITALIA</t>
  </si>
  <si>
    <t>50OPD</t>
  </si>
  <si>
    <t>PROVIDENCIA - CONDELL</t>
  </si>
  <si>
    <t>OKM PROVIDENCIA</t>
  </si>
  <si>
    <t>50CQD</t>
  </si>
  <si>
    <t>MARCHANT PEREIRA</t>
  </si>
  <si>
    <t>50OPH</t>
  </si>
  <si>
    <t>GUARDIA VIEJA</t>
  </si>
  <si>
    <t>50Q3X</t>
  </si>
  <si>
    <t>PATIO BELLAVISTA</t>
  </si>
  <si>
    <t>50BM6</t>
  </si>
  <si>
    <t>JOSEFINA EDWARD</t>
  </si>
  <si>
    <t>JOSEFINA EDWARDS CLP</t>
  </si>
  <si>
    <t>50OGD</t>
  </si>
  <si>
    <t>GENERAL DEL CANTO</t>
  </si>
  <si>
    <t>OKM GENERAL DEL CANTO</t>
  </si>
  <si>
    <t>50VHN</t>
  </si>
  <si>
    <t>LA CONCEPCION</t>
  </si>
  <si>
    <t>5032O</t>
  </si>
  <si>
    <t>BARROS BORGONO</t>
  </si>
  <si>
    <t>DLL BARROS BORGOÑO</t>
  </si>
  <si>
    <t>50OSZ</t>
  </si>
  <si>
    <t>SANTA BEATRIZ</t>
  </si>
  <si>
    <t>OKM SANTA BEATRIZ</t>
  </si>
  <si>
    <t>50OTH</t>
  </si>
  <si>
    <t>LUIS THAYER OJEDA 2</t>
  </si>
  <si>
    <t>OKM LUIS THAYER OJEDA</t>
  </si>
  <si>
    <t>50BAR</t>
  </si>
  <si>
    <t>BARROS ERRAZURIZ</t>
  </si>
  <si>
    <t>BARROS ERRAZURIZ CLP</t>
  </si>
  <si>
    <t>50DPR</t>
  </si>
  <si>
    <t>PADRE MARIANO</t>
  </si>
  <si>
    <t>50OAP</t>
  </si>
  <si>
    <t>ALMIRANTE PASTENE</t>
  </si>
  <si>
    <t>OKM ALMIRANTE PASTENE</t>
  </si>
  <si>
    <t>50OVN</t>
  </si>
  <si>
    <t>ANTONIO BELLET</t>
  </si>
  <si>
    <t>50TEJ</t>
  </si>
  <si>
    <t>MARDOQUEO FERNANDEZ</t>
  </si>
  <si>
    <t>50VOR</t>
  </si>
  <si>
    <t>PROVIDENCIA 2</t>
  </si>
  <si>
    <t>50OMQ</t>
  </si>
  <si>
    <t>MANQUEHUE</t>
  </si>
  <si>
    <t>OKM MANQUEHUE SUR</t>
  </si>
  <si>
    <t>GOMEZ FLORES JAVIERA</t>
  </si>
  <si>
    <t>LAS CONDES - PROVIDENCIA SUR</t>
  </si>
  <si>
    <t>50OMS</t>
  </si>
  <si>
    <t>MANUEL DE LA LASTRA</t>
  </si>
  <si>
    <t>OKM MANUEL DE LA LASTRA</t>
  </si>
  <si>
    <t>50VKK</t>
  </si>
  <si>
    <t>ALCANTARA 1</t>
  </si>
  <si>
    <t>50ARE</t>
  </si>
  <si>
    <t>COLON 1</t>
  </si>
  <si>
    <t>50OCT</t>
  </si>
  <si>
    <t>NORUEGA</t>
  </si>
  <si>
    <t>50OCR</t>
  </si>
  <si>
    <t>CHESTERTON 2</t>
  </si>
  <si>
    <t>OKM CHESTERTON</t>
  </si>
  <si>
    <t>50OEP</t>
  </si>
  <si>
    <t>ELIECER PARADA</t>
  </si>
  <si>
    <t>OKM ELIECER PARADA</t>
  </si>
  <si>
    <t>50OHM</t>
  </si>
  <si>
    <t>HERNANDO DE MAGALLANES</t>
  </si>
  <si>
    <t>OKM HERNANDO DE MAGALLANES</t>
  </si>
  <si>
    <t>50OMZ</t>
  </si>
  <si>
    <t>MARTIN DE ZAMORA 2</t>
  </si>
  <si>
    <t>OKM MARTIN DE ZAMORA</t>
  </si>
  <si>
    <t>50KJI</t>
  </si>
  <si>
    <t>SIMON BOLIVAR HAMBURGO</t>
  </si>
  <si>
    <t>50OJM</t>
  </si>
  <si>
    <t>JORGE MATTE</t>
  </si>
  <si>
    <t>OKM JORGE MATTE</t>
  </si>
  <si>
    <t>50POS</t>
  </si>
  <si>
    <t>COLON 2</t>
  </si>
  <si>
    <t>50REU</t>
  </si>
  <si>
    <t>COLON PONTEVEDRA</t>
  </si>
  <si>
    <t>50AC1</t>
  </si>
  <si>
    <t>PLAZA DEL INCA</t>
  </si>
  <si>
    <t>50MNO</t>
  </si>
  <si>
    <t>MANQUEHUE NORTE</t>
  </si>
  <si>
    <t>MANQUEHUE NORTE CLP</t>
  </si>
  <si>
    <t>50OAC</t>
  </si>
  <si>
    <t>OKM ALONSO DE CAMARGO</t>
  </si>
  <si>
    <t>50VAL</t>
  </si>
  <si>
    <t>VESPUCIO ALBACETE</t>
  </si>
  <si>
    <t>50HEN</t>
  </si>
  <si>
    <t>HENDAYA</t>
  </si>
  <si>
    <t>LAS CONDES NORTE</t>
  </si>
  <si>
    <t>50ONL</t>
  </si>
  <si>
    <t>NUEVA LAS CONDES 2</t>
  </si>
  <si>
    <t>OKM NUEVA LAS CONDES 2</t>
  </si>
  <si>
    <t>50ORN</t>
  </si>
  <si>
    <t>ROSARIO NORTE 2</t>
  </si>
  <si>
    <t>OXXO ROSARIO NORTE 2 (Ex OKM)</t>
  </si>
  <si>
    <t>50ORI</t>
  </si>
  <si>
    <t>RIESCO 2</t>
  </si>
  <si>
    <t>OKM RIESCO</t>
  </si>
  <si>
    <t>50SKV</t>
  </si>
  <si>
    <t>ISIDORA</t>
  </si>
  <si>
    <t>50XRJ</t>
  </si>
  <si>
    <t>LOS MILITARES</t>
  </si>
  <si>
    <t>50XQO</t>
  </si>
  <si>
    <t>NAPOLEON</t>
  </si>
  <si>
    <t>50OTP</t>
  </si>
  <si>
    <t>TOBALABA 1</t>
  </si>
  <si>
    <t>OKM TOBALABA</t>
  </si>
  <si>
    <t>5019M</t>
  </si>
  <si>
    <t>LOS MILITARES 2</t>
  </si>
  <si>
    <t>50AMA</t>
  </si>
  <si>
    <t>BALMORAL ALONSO DE CORDOVA</t>
  </si>
  <si>
    <t>50AQL</t>
  </si>
  <si>
    <t>EBRO</t>
  </si>
  <si>
    <t>50COL</t>
  </si>
  <si>
    <t>CERRO COLORADO</t>
  </si>
  <si>
    <t>50GXO</t>
  </si>
  <si>
    <t>RENATO SANCHEZ</t>
  </si>
  <si>
    <t>50HXH</t>
  </si>
  <si>
    <t>WORLD TRADE CENTER</t>
  </si>
  <si>
    <t>50ISI</t>
  </si>
  <si>
    <t>ISIDORA 2</t>
  </si>
  <si>
    <t>50OFN</t>
  </si>
  <si>
    <t>EL BOSQUE NORTE</t>
  </si>
  <si>
    <t>50XWC</t>
  </si>
  <si>
    <t>CERRO EL PLOMO</t>
  </si>
  <si>
    <t>506RS</t>
  </si>
  <si>
    <t>METRO LA CISTERNA</t>
  </si>
  <si>
    <t>LA CISTERNA</t>
  </si>
  <si>
    <t>METRO</t>
  </si>
  <si>
    <t>50FF5</t>
  </si>
  <si>
    <t>METRO GRUTA LOURDES</t>
  </si>
  <si>
    <t>Metro Gruta de Lourdes</t>
  </si>
  <si>
    <t>QUINTA NORMAL</t>
  </si>
  <si>
    <t>50KJP</t>
  </si>
  <si>
    <t>METRO HOSPITAL EL PINO</t>
  </si>
  <si>
    <t>METRO HOSPITAL PINO</t>
  </si>
  <si>
    <t>SAN BERNARDO</t>
  </si>
  <si>
    <t>50MAD</t>
  </si>
  <si>
    <t>METRO BIO BIO</t>
  </si>
  <si>
    <t>METRO BIOBIO</t>
  </si>
  <si>
    <t>SAN MIGUEL</t>
  </si>
  <si>
    <t>50SEJ</t>
  </si>
  <si>
    <t>METRO MONEDA</t>
  </si>
  <si>
    <t>50UKP</t>
  </si>
  <si>
    <t>METRO PLAZA PUENTE ALTO</t>
  </si>
  <si>
    <t>50LJM</t>
  </si>
  <si>
    <t>METRO IRARRAZAVAL</t>
  </si>
  <si>
    <t>50OST</t>
  </si>
  <si>
    <t>OKM SUBCENTRO</t>
  </si>
  <si>
    <t>50UCH</t>
  </si>
  <si>
    <t>METRO U DE CHILE</t>
  </si>
  <si>
    <t>50OTT</t>
  </si>
  <si>
    <t>METRO MATTA</t>
  </si>
  <si>
    <t>OKM METRO MATTA</t>
  </si>
  <si>
    <t>50A45</t>
  </si>
  <si>
    <t>METRO MONSENOR EYZAGUIRRE</t>
  </si>
  <si>
    <t>METRO MONSEÑOR EYZAGUIRRE</t>
  </si>
  <si>
    <t>50TSF</t>
  </si>
  <si>
    <t>METRO IRARRAZAVAL 2</t>
  </si>
  <si>
    <t>50OME</t>
  </si>
  <si>
    <t>METRO CHILE ESPANA</t>
  </si>
  <si>
    <t>OKM METRO CHILEESPAÑA</t>
  </si>
  <si>
    <t>50OML</t>
  </si>
  <si>
    <t>METRO LOS LEONES 2</t>
  </si>
  <si>
    <t>OKM METRO LOS LEONES</t>
  </si>
  <si>
    <t>50MPC</t>
  </si>
  <si>
    <t>METRO CAL Y CANTO</t>
  </si>
  <si>
    <t>50OPM</t>
  </si>
  <si>
    <t>OKM METRO PLAZA MAIPU</t>
  </si>
  <si>
    <t>OKM METRO PLAZA MAIPÚ</t>
  </si>
  <si>
    <t>50SQ0</t>
  </si>
  <si>
    <t>METRO PLAZA EGANA</t>
  </si>
  <si>
    <t>PLAZA EGAÑA</t>
  </si>
  <si>
    <t>50GJS</t>
  </si>
  <si>
    <t>METRO LOS LEONES</t>
  </si>
  <si>
    <t>508R8</t>
  </si>
  <si>
    <t>METRO TOBALABA</t>
  </si>
  <si>
    <t>50DKO</t>
  </si>
  <si>
    <t>METRO FRANKLIN</t>
  </si>
  <si>
    <t>50DSH</t>
  </si>
  <si>
    <t>METRO NUNOA</t>
  </si>
  <si>
    <t>METRO ÑUÑOA</t>
  </si>
  <si>
    <t>50JMU</t>
  </si>
  <si>
    <t>LYON 1</t>
  </si>
  <si>
    <t>NAVARRO CAREAGA JOSE</t>
  </si>
  <si>
    <t>50UMT</t>
  </si>
  <si>
    <t>LYON 3</t>
  </si>
  <si>
    <t>50NBN</t>
  </si>
  <si>
    <t>BILBAO MONTT</t>
  </si>
  <si>
    <t>BILBAO - MONTT</t>
  </si>
  <si>
    <t>50XUH</t>
  </si>
  <si>
    <t>MATTE PEREZ</t>
  </si>
  <si>
    <t>MATTE PEREZ CLP</t>
  </si>
  <si>
    <t>50OLT</t>
  </si>
  <si>
    <t>SUECIA</t>
  </si>
  <si>
    <t>OKM SUECIA</t>
  </si>
  <si>
    <t>50DGG</t>
  </si>
  <si>
    <t>HERNANDO DE AGUIRRE</t>
  </si>
  <si>
    <t>50GKR</t>
  </si>
  <si>
    <t>PEDRO DE VALDIVIA 3</t>
  </si>
  <si>
    <t>50HPU</t>
  </si>
  <si>
    <t>LUIS THAYER OJEDA</t>
  </si>
  <si>
    <t>50QKJ</t>
  </si>
  <si>
    <t>LYON 2</t>
  </si>
  <si>
    <t>50XLL</t>
  </si>
  <si>
    <t>MANUEL MONTT 1</t>
  </si>
  <si>
    <t>50AQY</t>
  </si>
  <si>
    <t>PEDRO DE VALDIVIA 9</t>
  </si>
  <si>
    <t>50OTL</t>
  </si>
  <si>
    <t>TOLEDO</t>
  </si>
  <si>
    <t>OKM TOLEDO</t>
  </si>
  <si>
    <t>50ELY</t>
  </si>
  <si>
    <t>ELIODORO YANEZ</t>
  </si>
  <si>
    <t>ELIODORO YAÑEZ</t>
  </si>
  <si>
    <t>INFANTE</t>
  </si>
  <si>
    <t>JOSE MANUEL INFANTE</t>
  </si>
  <si>
    <t>505VE</t>
  </si>
  <si>
    <t>PATIO LOS LEONES</t>
  </si>
  <si>
    <t>50OCS</t>
  </si>
  <si>
    <t>OKM CARMEN SYLVA</t>
  </si>
  <si>
    <t>OKM CARMEN SILVA</t>
  </si>
  <si>
    <t>50OMO</t>
  </si>
  <si>
    <t>MANUEL MONTT 2</t>
  </si>
  <si>
    <t>OKM MANUEL MONTT</t>
  </si>
  <si>
    <t>50WIL</t>
  </si>
  <si>
    <t>CARLOS WILSON</t>
  </si>
  <si>
    <t>50XEV</t>
  </si>
  <si>
    <t>HOLANDA PIO X</t>
  </si>
  <si>
    <t>50LT4</t>
  </si>
  <si>
    <t>LAS BELLOTAS</t>
  </si>
  <si>
    <t>50OLI</t>
  </si>
  <si>
    <t>LIBERTAD 2</t>
  </si>
  <si>
    <t>OKM VIÑA DEL MAR</t>
  </si>
  <si>
    <t>REGIONES - COSTA NORTE</t>
  </si>
  <si>
    <t>50OCH</t>
  </si>
  <si>
    <t>CACHAGUA</t>
  </si>
  <si>
    <t>OKM CACHAGUA</t>
  </si>
  <si>
    <t>ZAPALLAR</t>
  </si>
  <si>
    <t>50OZA</t>
  </si>
  <si>
    <t>OKM ZAPALLAR</t>
  </si>
  <si>
    <t>50ORM</t>
  </si>
  <si>
    <t>RENACA 2</t>
  </si>
  <si>
    <t>OKM REÑACA 2</t>
  </si>
  <si>
    <t>5033A</t>
  </si>
  <si>
    <t>EDMUNDO ELUCHANS</t>
  </si>
  <si>
    <t>50D6N</t>
  </si>
  <si>
    <t>5 NORTE</t>
  </si>
  <si>
    <t>50FLP</t>
  </si>
  <si>
    <t>LA FORESTA VINA DEL MAR</t>
  </si>
  <si>
    <t>LA FORESTA VIÑA DEL MAR</t>
  </si>
  <si>
    <t>50LAE</t>
  </si>
  <si>
    <t>CONCON RENACA</t>
  </si>
  <si>
    <t>CONCON REÑACA</t>
  </si>
  <si>
    <t>CONCÓN</t>
  </si>
  <si>
    <t>50LIB</t>
  </si>
  <si>
    <t>LIBERTAD</t>
  </si>
  <si>
    <t>LIBERTAD (V REGION)</t>
  </si>
  <si>
    <t>50NF1</t>
  </si>
  <si>
    <t>13 NORTE</t>
  </si>
  <si>
    <t>50OBM</t>
  </si>
  <si>
    <t>MONTEMAR</t>
  </si>
  <si>
    <t>OKM BOSQUES DE MONTEMAR</t>
  </si>
  <si>
    <t>50OOC</t>
  </si>
  <si>
    <t>VINA DEL MAR</t>
  </si>
  <si>
    <t>50OUV</t>
  </si>
  <si>
    <t>UNAB VINA</t>
  </si>
  <si>
    <t>OKM UNAB VIÑA</t>
  </si>
  <si>
    <t>50QVX</t>
  </si>
  <si>
    <t>COSTA MONTEMAR</t>
  </si>
  <si>
    <t>OKM MONTEMAR</t>
  </si>
  <si>
    <t>50RBP</t>
  </si>
  <si>
    <t>LIMACHE VIANA</t>
  </si>
  <si>
    <t>REGIONES - COSTA SUR</t>
  </si>
  <si>
    <t>50OQU</t>
  </si>
  <si>
    <t>QUINTA</t>
  </si>
  <si>
    <t>OKM QUINTA</t>
  </si>
  <si>
    <t>50HIS</t>
  </si>
  <si>
    <t>PLAZA SOTOMAYOR VALPARAISO</t>
  </si>
  <si>
    <t>50ORC</t>
  </si>
  <si>
    <t>RECREO I</t>
  </si>
  <si>
    <t>OKM RECREO 1</t>
  </si>
  <si>
    <t>5026M</t>
  </si>
  <si>
    <t>PLAZA VERGARA</t>
  </si>
  <si>
    <t>50AQC</t>
  </si>
  <si>
    <t>VON SCHROEDER</t>
  </si>
  <si>
    <t>505XC</t>
  </si>
  <si>
    <t>PLAZA VICTORIA</t>
  </si>
  <si>
    <t>50ARL</t>
  </si>
  <si>
    <t>ARLEGUI</t>
  </si>
  <si>
    <t>50LVH</t>
  </si>
  <si>
    <t>SAN MARTIN 6 PONIENTE</t>
  </si>
  <si>
    <t>6 PONIENTE</t>
  </si>
  <si>
    <t>50VNA</t>
  </si>
  <si>
    <t>VIANA</t>
  </si>
  <si>
    <t>50Z8X</t>
  </si>
  <si>
    <t>AV ARGENTINA 2</t>
  </si>
  <si>
    <t>OXXO Av. Argentina 2</t>
  </si>
  <si>
    <t>506IM</t>
  </si>
  <si>
    <t>MALL PASEO VINA</t>
  </si>
  <si>
    <t>OXXO Mall Paseo Viña</t>
  </si>
  <si>
    <t>50OCA</t>
  </si>
  <si>
    <t>CHACABUCO</t>
  </si>
  <si>
    <t>OKM CHACABUCO</t>
  </si>
  <si>
    <t>REGIONES SUR</t>
  </si>
  <si>
    <t>50OKA</t>
  </si>
  <si>
    <t>ACACIOS</t>
  </si>
  <si>
    <t>OKM ACACIOS</t>
  </si>
  <si>
    <t>SAN PEDRO DE LA PAZ</t>
  </si>
  <si>
    <t>50OVL</t>
  </si>
  <si>
    <t>VILLUCO</t>
  </si>
  <si>
    <t>OKM VILLUCO</t>
  </si>
  <si>
    <t>50FKT</t>
  </si>
  <si>
    <t>BARROS ARANA</t>
  </si>
  <si>
    <t>501KO</t>
  </si>
  <si>
    <t>TALCA 1</t>
  </si>
  <si>
    <t>50BFI</t>
  </si>
  <si>
    <t>SAN MARTIN CAUPOLICAN</t>
  </si>
  <si>
    <t>50CLM</t>
  </si>
  <si>
    <t>LOMAS SAN SEBASTIAN</t>
  </si>
  <si>
    <t>50FNM</t>
  </si>
  <si>
    <t>OHIGGINS</t>
  </si>
  <si>
    <t>OHIGGINS 716</t>
  </si>
  <si>
    <t>50OLY</t>
  </si>
  <si>
    <t>LINCOYAN</t>
  </si>
  <si>
    <t>OKM LINCOYAN</t>
  </si>
  <si>
    <t>50OTI</t>
  </si>
  <si>
    <t>OKM INMACULADA</t>
  </si>
  <si>
    <t>506J4</t>
  </si>
  <si>
    <t>PORTUGAL</t>
  </si>
  <si>
    <t>PEDRERO NUÑEZ MICHELLE</t>
  </si>
  <si>
    <t>SANTIAGO CENTRO</t>
  </si>
  <si>
    <t>50EDF</t>
  </si>
  <si>
    <t>EJERCITO ALAMEDA</t>
  </si>
  <si>
    <t>50ONC</t>
  </si>
  <si>
    <t>NATANIEL COX 2</t>
  </si>
  <si>
    <t>50OAL</t>
  </si>
  <si>
    <t>ALAMEDA 1</t>
  </si>
  <si>
    <t>OKM ALAMEDA</t>
  </si>
  <si>
    <t>50ORP</t>
  </si>
  <si>
    <t>REPUBLICA</t>
  </si>
  <si>
    <t>OKM REPÚBLICA</t>
  </si>
  <si>
    <t>508LO</t>
  </si>
  <si>
    <t>AMUNATEGUI</t>
  </si>
  <si>
    <t>50AVA</t>
  </si>
  <si>
    <t>SAN DIEGO COQUIMBO</t>
  </si>
  <si>
    <t>50F4M</t>
  </si>
  <si>
    <t>SAN ANTONIO</t>
  </si>
  <si>
    <t>SAN ANTONIO 80</t>
  </si>
  <si>
    <t>50JAK</t>
  </si>
  <si>
    <t>SANTA VICTORIA</t>
  </si>
  <si>
    <t>50LOT</t>
  </si>
  <si>
    <t>HUERFANOS</t>
  </si>
  <si>
    <t>50LRA</t>
  </si>
  <si>
    <t>LIRA 43</t>
  </si>
  <si>
    <t>50PUF</t>
  </si>
  <si>
    <t>AGUSTINAS SAN MARTIN</t>
  </si>
  <si>
    <t>50TQB</t>
  </si>
  <si>
    <t>PASEO ESTADO MONEDA</t>
  </si>
  <si>
    <t>ESTADO MONEDA</t>
  </si>
  <si>
    <t>50TSA</t>
  </si>
  <si>
    <t>BANDERA</t>
  </si>
  <si>
    <t>50UD1</t>
  </si>
  <si>
    <t>BULNES</t>
  </si>
  <si>
    <t>PASEO BULNES</t>
  </si>
  <si>
    <t>50W0N</t>
  </si>
  <si>
    <t>SANTIAGO DOWNTOWN</t>
  </si>
  <si>
    <t>SANTIAGO DOWNTOWN CLP</t>
  </si>
  <si>
    <t>50ZIR</t>
  </si>
  <si>
    <t>VICUNA DIAGONAL</t>
  </si>
  <si>
    <t>VICUÑA DIAGONAL PARAGUAY</t>
  </si>
  <si>
    <t>50UVK</t>
  </si>
  <si>
    <t>IMPERIO</t>
  </si>
  <si>
    <t>50OSM</t>
  </si>
  <si>
    <t>MERCED</t>
  </si>
  <si>
    <t>OKM MERCED</t>
  </si>
  <si>
    <t>50CPN</t>
  </si>
  <si>
    <t>CARLOS PENA</t>
  </si>
  <si>
    <t>CARLOS PEÑA</t>
  </si>
  <si>
    <t>SANTIAGO ORIENTE</t>
  </si>
  <si>
    <t>50VOP</t>
  </si>
  <si>
    <t>SAN DAMIAN</t>
  </si>
  <si>
    <t>50CLC</t>
  </si>
  <si>
    <t>CLINICA LAS CONDES</t>
  </si>
  <si>
    <t>50UXA</t>
  </si>
  <si>
    <t>LA PLAZA</t>
  </si>
  <si>
    <t>50OER</t>
  </si>
  <si>
    <t>EL RODEO</t>
  </si>
  <si>
    <t>LO BARNECHEA</t>
  </si>
  <si>
    <t>50OQH</t>
  </si>
  <si>
    <t>QUINCHAMALI</t>
  </si>
  <si>
    <t>OKM QUINCHAMALI</t>
  </si>
  <si>
    <t>SE DISMINUYE A PARTIR DE DICIEMBRE UN FULL, QUEDANDO EN 5,9</t>
  </si>
  <si>
    <t>50OSC</t>
  </si>
  <si>
    <t>SANTA BLANCA</t>
  </si>
  <si>
    <t>50KUF</t>
  </si>
  <si>
    <t>CAMINO EL ALBA</t>
  </si>
  <si>
    <t>50TKS</t>
  </si>
  <si>
    <t>LOS TRAPENSES</t>
  </si>
  <si>
    <t>50OHU</t>
  </si>
  <si>
    <t>HUINGANAL II</t>
  </si>
  <si>
    <t>OKM HUINGANAL</t>
  </si>
  <si>
    <t>50SJS</t>
  </si>
  <si>
    <t>SAN JOSE DE LA SIERRA</t>
  </si>
  <si>
    <t>506HQ</t>
  </si>
  <si>
    <t>CANTAGALLO</t>
  </si>
  <si>
    <t>CANTAGALLOS</t>
  </si>
  <si>
    <t>50EFH</t>
  </si>
  <si>
    <t>PLACA LA DEHESA</t>
  </si>
  <si>
    <t>50H7X</t>
  </si>
  <si>
    <t>WORK LA DEHESA</t>
  </si>
  <si>
    <t>50V5C</t>
  </si>
  <si>
    <t>ESTORIL</t>
  </si>
  <si>
    <t>50WMJ</t>
  </si>
  <si>
    <t>LAS PATAGUAS</t>
  </si>
  <si>
    <t>50OAM</t>
  </si>
  <si>
    <t>OKM MALL ARAUCO MAIPU</t>
  </si>
  <si>
    <t>REYES NICOLAS</t>
  </si>
  <si>
    <t>SANTIAGO SURPONIENTE</t>
  </si>
  <si>
    <t>50OMC</t>
  </si>
  <si>
    <t>OKM MACUL</t>
  </si>
  <si>
    <t>50HSP</t>
  </si>
  <si>
    <t>HOSPITALES</t>
  </si>
  <si>
    <t>50OTA</t>
  </si>
  <si>
    <t>TERMINAL ALAMEDA</t>
  </si>
  <si>
    <t>TERMINAL DE BUSES ALAMEDA</t>
  </si>
  <si>
    <t>50HZO</t>
  </si>
  <si>
    <t>TRISTAN MATTA</t>
  </si>
  <si>
    <t>50LAF</t>
  </si>
  <si>
    <t>OUTLET LA FLORIDA</t>
  </si>
  <si>
    <t>50MAI</t>
  </si>
  <si>
    <t>PLAZA MAIPU</t>
  </si>
  <si>
    <t>LLICO</t>
  </si>
  <si>
    <t>CONCHA Y TORO</t>
  </si>
  <si>
    <t>CONCHA Y TORO 199</t>
  </si>
  <si>
    <t>504A3</t>
  </si>
  <si>
    <t>TERMINAL DE BUSES II</t>
  </si>
  <si>
    <t>505F3</t>
  </si>
  <si>
    <t>OUTLET LA FABRICA</t>
  </si>
  <si>
    <t>SAN JOAQUÍN</t>
  </si>
  <si>
    <t>50APB</t>
  </si>
  <si>
    <t>PATIO QUILICURA</t>
  </si>
  <si>
    <t>OXXO Patio Quilicura</t>
  </si>
  <si>
    <t>QUILICURA</t>
  </si>
  <si>
    <t>50DKQ</t>
  </si>
  <si>
    <t>FELIX BULNES</t>
  </si>
  <si>
    <t>CERRO NAVIA</t>
  </si>
  <si>
    <t>50FZZ</t>
  </si>
  <si>
    <t>MIRADOR AZUL</t>
  </si>
  <si>
    <t>50H1H</t>
  </si>
  <si>
    <t>MALL PASEO SAN BERNARDO</t>
  </si>
  <si>
    <t>50SEA</t>
  </si>
  <si>
    <t>OUTLET PATIO MAIPU</t>
  </si>
  <si>
    <t>50UPK</t>
  </si>
  <si>
    <t>QUILICURA 1</t>
  </si>
  <si>
    <t>50VLL</t>
  </si>
  <si>
    <t>MALL PLAZA VESPUCIO</t>
  </si>
  <si>
    <t>50XC6</t>
  </si>
  <si>
    <t>ALTO MACUL</t>
  </si>
  <si>
    <t>ALTO MACUL (TIENDA APERTURA)</t>
  </si>
  <si>
    <t>PEÑALOLÉN</t>
  </si>
  <si>
    <t>50GBU</t>
  </si>
  <si>
    <t>FRANCISCO DE AGUIRRE</t>
  </si>
  <si>
    <t>VITACURA - NORTE</t>
  </si>
  <si>
    <t>50KOA</t>
  </si>
  <si>
    <t>LUIS PASTEUR</t>
  </si>
  <si>
    <t>50OLS</t>
  </si>
  <si>
    <t>LUIS CARRERA</t>
  </si>
  <si>
    <t>5033F</t>
  </si>
  <si>
    <t>VITACURA RIESCO</t>
  </si>
  <si>
    <t>VITACURARIESCO</t>
  </si>
  <si>
    <t>50BJT</t>
  </si>
  <si>
    <t>50BRI</t>
  </si>
  <si>
    <t>LAS BRISAS</t>
  </si>
  <si>
    <t>50OCO</t>
  </si>
  <si>
    <t>AV CHICUREO</t>
  </si>
  <si>
    <t>OKM CHICUREO</t>
  </si>
  <si>
    <t>50OIN</t>
  </si>
  <si>
    <t>LOS INGLESES</t>
  </si>
  <si>
    <t>OKM LOS INGLESES</t>
  </si>
  <si>
    <t>50GDL</t>
  </si>
  <si>
    <t>LOS COLIGUES</t>
  </si>
  <si>
    <t>50MLM</t>
  </si>
  <si>
    <t>PIO XI</t>
  </si>
  <si>
    <t>50AAF</t>
  </si>
  <si>
    <t>PIEDRA ROJA</t>
  </si>
  <si>
    <t>50OAJ</t>
  </si>
  <si>
    <t>ARMANDO JARAMILLO</t>
  </si>
  <si>
    <t>OKM ARMANDO JARAMILLO</t>
  </si>
  <si>
    <t>50OPE</t>
  </si>
  <si>
    <t>EL PARQUE</t>
  </si>
  <si>
    <t>OKM EL PARQUE</t>
  </si>
  <si>
    <t>505WD</t>
  </si>
  <si>
    <t>PARTENON 2</t>
  </si>
  <si>
    <t>50OCM</t>
  </si>
  <si>
    <t>CHAMISERO</t>
  </si>
  <si>
    <t>OKM CHAMISERO</t>
  </si>
  <si>
    <t>50OLH</t>
  </si>
  <si>
    <t>LAS HUALTATAS</t>
  </si>
  <si>
    <t>OKM LAS HUALTATAS</t>
  </si>
  <si>
    <t>50PFO</t>
  </si>
  <si>
    <t>PEDRO FONTOVA</t>
  </si>
  <si>
    <t>50UYZ</t>
  </si>
  <si>
    <t>PASEO EL TAMARUGO</t>
  </si>
  <si>
    <t>TAMARUGO</t>
  </si>
  <si>
    <t>50VSD</t>
  </si>
  <si>
    <t>MALL PLAZA NORTE</t>
  </si>
  <si>
    <t>50SOC</t>
  </si>
  <si>
    <t>SOCOFAR</t>
  </si>
  <si>
    <t>JEFE SALA</t>
  </si>
  <si>
    <t>2 PT 30</t>
  </si>
  <si>
    <t>1 PT 25</t>
  </si>
  <si>
    <t>3 PT 15</t>
  </si>
  <si>
    <t>HC</t>
  </si>
  <si>
    <t>OKM EL RODEO</t>
  </si>
  <si>
    <t>OKM SANTA BLANCA</t>
  </si>
  <si>
    <t>JOSE NAVARRO CAREAGA</t>
  </si>
  <si>
    <t>OKM LIBERTAD</t>
  </si>
  <si>
    <t>OKM MALL ARAUCO MAIPU K166 CAJAS</t>
  </si>
  <si>
    <t>CIERRE TEMPORAL</t>
  </si>
  <si>
    <t>OKM IRARRAZAVAL K070 CAJAS</t>
  </si>
  <si>
    <t>OKM QUINTA K034 CAJAS</t>
  </si>
  <si>
    <t>OKM EL RODEO K022 CAJAS</t>
  </si>
  <si>
    <t>OKM HERNANDO DE MAGALLANES K131 CAJAS</t>
  </si>
  <si>
    <t>OKM SUECIA K049 CAJAS</t>
  </si>
  <si>
    <t>OKM QUINCHAMALI K021 CAJAS</t>
  </si>
  <si>
    <t>OKM RECREO I</t>
  </si>
  <si>
    <t>OKM SANTA BLANCA K004 CAJAS</t>
  </si>
  <si>
    <t>OKM METRO CHILE ESPANA</t>
  </si>
  <si>
    <t>OKM HUINGANAL II</t>
  </si>
  <si>
    <t>OKM EL PARQUE K068 CAJAS</t>
  </si>
  <si>
    <t>OKM ALONSO DE CAMARGO K126 CAJAS</t>
  </si>
  <si>
    <t>OKM LINCOYAN K138 CAJAS</t>
  </si>
  <si>
    <t>OKM METRO LOS LEONES K172 CAJAS</t>
  </si>
  <si>
    <t>CAPITAN ORELLA K208 CAJAS</t>
  </si>
  <si>
    <t>Líder y jefe Sala</t>
  </si>
  <si>
    <t>DDAA Jefe Sala</t>
  </si>
  <si>
    <t>Libre los jueves</t>
  </si>
  <si>
    <t>turno rotativos</t>
  </si>
  <si>
    <t>6to día rotativo</t>
  </si>
  <si>
    <t>FULL</t>
  </si>
  <si>
    <t>Lider</t>
  </si>
  <si>
    <t>am</t>
  </si>
  <si>
    <t>sábado</t>
  </si>
  <si>
    <t>S1</t>
  </si>
  <si>
    <t>6x1</t>
  </si>
  <si>
    <t>Jefe Sala</t>
  </si>
  <si>
    <t>pm</t>
  </si>
  <si>
    <t>domingo</t>
  </si>
  <si>
    <t>S2</t>
  </si>
  <si>
    <t>OK</t>
  </si>
  <si>
    <t xml:space="preserve">CAJERO </t>
  </si>
  <si>
    <t>TENEMOS 2 CAJERO</t>
  </si>
  <si>
    <t>PENDIENTE 1 CAJERO</t>
  </si>
  <si>
    <t>PT 20</t>
  </si>
  <si>
    <t>TENEMOS 1 PT 20</t>
  </si>
  <si>
    <t>PENDIENTE 1 PT 20</t>
  </si>
  <si>
    <t>CAJERO FULL</t>
  </si>
  <si>
    <t>PT 30</t>
  </si>
  <si>
    <t>PT 25</t>
  </si>
  <si>
    <t>AM</t>
  </si>
  <si>
    <t>PT 15</t>
  </si>
  <si>
    <t>BRESCIA RIVERA RODRIGO</t>
  </si>
  <si>
    <t>SESA DIEGO MIGUEL</t>
  </si>
  <si>
    <t>Transformación</t>
  </si>
  <si>
    <t>Cierre</t>
  </si>
  <si>
    <t>ESTADO MAESTRA</t>
  </si>
  <si>
    <t>ROJAS GONZALEZ DIANA</t>
  </si>
  <si>
    <t>SE INCREMENTA A PARTIR DE DICIEMBRE UN PT 15 HORAS PM (0,34)</t>
  </si>
  <si>
    <t>A PARTIR DE DICIEMBRE SE AJUSTA A 6,45</t>
  </si>
  <si>
    <t>Se elimina el PT 20 horas, es una tienda que va a contener a los cajeros que no aceptaron estructura óptima</t>
  </si>
  <si>
    <t>A PARTIR DE DICIEMBRE SE AJUSTA A 2,1</t>
  </si>
  <si>
    <t>ESTADO</t>
  </si>
  <si>
    <t>GENERACION 2</t>
  </si>
  <si>
    <t>TUBERIA</t>
  </si>
  <si>
    <t>FTE R</t>
  </si>
  <si>
    <t xml:space="preserve">Transformación </t>
  </si>
  <si>
    <t>DB</t>
  </si>
  <si>
    <t>SERRANO SOTO MANUEL</t>
  </si>
  <si>
    <t>TRANSFORMACION</t>
  </si>
  <si>
    <t>RODRÍGUEZ ROBLES MARCELA ALEJANDRA</t>
  </si>
  <si>
    <t>Etiquetas de fila</t>
  </si>
  <si>
    <t>Suma de FTE AUT</t>
  </si>
  <si>
    <t>RM</t>
  </si>
  <si>
    <t>Total general</t>
  </si>
  <si>
    <t>SIN IDENTIFICAR</t>
  </si>
  <si>
    <t>LICENCIA MEDICA</t>
  </si>
  <si>
    <t>RENUNCIA</t>
  </si>
  <si>
    <t>24HRS NO FESTIVOS</t>
  </si>
  <si>
    <t>24HRS FESTIVO</t>
  </si>
  <si>
    <t>Vitacura</t>
  </si>
  <si>
    <t>Providencia</t>
  </si>
  <si>
    <t>Las Condes</t>
  </si>
  <si>
    <t>Viña Del Mar</t>
  </si>
  <si>
    <t>Valparaiso.</t>
  </si>
  <si>
    <t>La Reina</t>
  </si>
  <si>
    <t>Santiago</t>
  </si>
  <si>
    <t>Ñuñoa</t>
  </si>
  <si>
    <t>OKM PLAZA ITALIA K053 CAJAS</t>
  </si>
  <si>
    <t>Maipu</t>
  </si>
  <si>
    <t>Macul</t>
  </si>
  <si>
    <t>Independencia</t>
  </si>
  <si>
    <t>Zapallar.</t>
  </si>
  <si>
    <t>Huechuraba.</t>
  </si>
  <si>
    <t xml:space="preserve">Estacion Central </t>
  </si>
  <si>
    <t>Colina</t>
  </si>
  <si>
    <t>Valparaiso</t>
  </si>
  <si>
    <t>Concepción</t>
  </si>
  <si>
    <t>Biobío</t>
  </si>
  <si>
    <t>Lo Barnechea</t>
  </si>
  <si>
    <t>San Pedro De La Paz</t>
  </si>
  <si>
    <t>Reñaca</t>
  </si>
  <si>
    <t>Chiguayante</t>
  </si>
  <si>
    <t>San Miguel</t>
  </si>
  <si>
    <t>La Florida</t>
  </si>
  <si>
    <t>Cerrillos</t>
  </si>
  <si>
    <t>Recoleta</t>
  </si>
  <si>
    <t>Puente Alto</t>
  </si>
  <si>
    <t>Calera</t>
  </si>
  <si>
    <t>Talca</t>
  </si>
  <si>
    <t>Maule</t>
  </si>
  <si>
    <t>Rancagua</t>
  </si>
  <si>
    <t>O'Higgins</t>
  </si>
  <si>
    <t>San Joaquin</t>
  </si>
  <si>
    <t>La Cisterna</t>
  </si>
  <si>
    <t>Linares</t>
  </si>
  <si>
    <t>Machalí</t>
  </si>
  <si>
    <t xml:space="preserve">Quilicura  </t>
  </si>
  <si>
    <t>Pudahuel</t>
  </si>
  <si>
    <t>Cerro Navia</t>
  </si>
  <si>
    <t>San Felipe</t>
  </si>
  <si>
    <t>Quinta Normal</t>
  </si>
  <si>
    <t>San Bernardo</t>
  </si>
  <si>
    <t>Villa Alemana</t>
  </si>
  <si>
    <t>Quillota</t>
  </si>
  <si>
    <t>La Calera</t>
  </si>
  <si>
    <t>Concón</t>
  </si>
  <si>
    <t xml:space="preserve">La Florida </t>
  </si>
  <si>
    <t>Talagante</t>
  </si>
  <si>
    <t>Peñalolen</t>
  </si>
  <si>
    <t>CADENA</t>
  </si>
  <si>
    <t>ENCARGADO RECLUTAMIENTO</t>
  </si>
  <si>
    <t>BASE</t>
  </si>
  <si>
    <t>HOGAR</t>
  </si>
  <si>
    <t>BENJAMIN SERRANO</t>
  </si>
  <si>
    <t>OKM VIÑA DEL MAR K006 CAJAS</t>
  </si>
  <si>
    <t>RECESO</t>
  </si>
  <si>
    <t>OKM MANUEL DE LA LASTRA K071 CAJAS</t>
  </si>
  <si>
    <t>OKM CACHAGUA K123 CAJAS</t>
  </si>
  <si>
    <t>Zapallar</t>
  </si>
  <si>
    <t>Huechuraba</t>
  </si>
  <si>
    <t>OKM ZAPALLAR K151 CAJAS</t>
  </si>
  <si>
    <t>HOGAR C/FF</t>
  </si>
  <si>
    <t>OKM CHICUREO K017 CAJAS</t>
  </si>
  <si>
    <t>OKM CHESTERTON K028 CAJAS</t>
  </si>
  <si>
    <t>OKM LOS INGLESES K060 CAJAS</t>
  </si>
  <si>
    <t>OKM RECREO 1 K041 CAJAS</t>
  </si>
  <si>
    <t>OKM TOLEDO K147 CAJAS</t>
  </si>
  <si>
    <t>OKM HUINGANAL K024 CAJAS</t>
  </si>
  <si>
    <t>AL PASO</t>
  </si>
  <si>
    <t>SAN PABLOMORANDE</t>
  </si>
  <si>
    <t>OKM ALONSO DE CAMARGO K126CAJAS</t>
  </si>
  <si>
    <t>OKM CHAMISERO K168CAJAS</t>
  </si>
  <si>
    <t>OKM JOSE DOMINGO CAÑAS K145CAJAS</t>
  </si>
  <si>
    <t>OKM LINCOYAN K138CAJAS</t>
  </si>
  <si>
    <t>OKM METRO LOS LEONES K172CAJAS</t>
  </si>
  <si>
    <t>CAPITAN ORELLA K208CAJAS</t>
  </si>
  <si>
    <t>OKM UNAB VIÑA K137CAJAS</t>
  </si>
  <si>
    <t>ELEUTERIO RAMIREZNATANIEL COX</t>
  </si>
  <si>
    <t>VESPUCIOALBACETE</t>
  </si>
  <si>
    <t>VITACURAVESPUCIO</t>
  </si>
  <si>
    <t>HOLANDAPIO X</t>
  </si>
  <si>
    <t>SANTA ROSAPORVENIR</t>
  </si>
  <si>
    <t>OXXOAv. Argentina 2</t>
  </si>
  <si>
    <t>OXXOMall Paseo Viña</t>
  </si>
  <si>
    <t>OXXOChicureo 2</t>
  </si>
  <si>
    <t>TUBERÍA</t>
  </si>
  <si>
    <t>OS</t>
  </si>
  <si>
    <t>CASA MATRIZ OS</t>
  </si>
  <si>
    <t>CEDIS</t>
  </si>
  <si>
    <t>Metropolitana</t>
  </si>
  <si>
    <t xml:space="preserve">Metropolitana </t>
  </si>
  <si>
    <t>OKM VIÑA DEL MAR K006  CAJAS</t>
  </si>
  <si>
    <t>LIMACHE  VIANA</t>
  </si>
  <si>
    <t>Viña del Mar</t>
  </si>
  <si>
    <t>MANQUEHUE SUR</t>
  </si>
  <si>
    <t>OKM MANUEL DE LA LASTRA K071 - CAJAS</t>
  </si>
  <si>
    <t>OKM PLAZA ITALIA K053  CAJAS</t>
  </si>
  <si>
    <t>OKM MALL ARAUCO MAIPU K166  CAJAS</t>
  </si>
  <si>
    <t>EJERCITO  ALAMEDA</t>
  </si>
  <si>
    <t>OKM CACHAGUA K123  CAJAS</t>
  </si>
  <si>
    <t>OKM IRARRAZAVAL K070  CAJAS</t>
  </si>
  <si>
    <t>OKM QUINTA K034  CAJAS</t>
  </si>
  <si>
    <t>OKM ZAPALLAR K151  CAJAS</t>
  </si>
  <si>
    <t>ECUADOR  PURISIMA</t>
  </si>
  <si>
    <t>PLAZA SOTOMAYOR  VALPARAISO</t>
  </si>
  <si>
    <t>OKM CHICUREO K017 - CAJAS</t>
  </si>
  <si>
    <t>OKM CHESTERTON K028  CAJAS</t>
  </si>
  <si>
    <t>OKM EL RODEO K022  CAJAS</t>
  </si>
  <si>
    <t>OKM HERNANDO DE MAGALLANE</t>
  </si>
  <si>
    <t>OKM SUECIA K049  CAJAS</t>
  </si>
  <si>
    <t>OKM QUINCHAMALI K021  CAJAS</t>
  </si>
  <si>
    <t>OKM RECREO 1 K041  CAJAS</t>
  </si>
  <si>
    <t>OKM SANTA BLANCA  K004  CAJAS</t>
  </si>
  <si>
    <t>APOQUINDO  SANTA MAGDALENA</t>
  </si>
  <si>
    <t xml:space="preserve">Vitacura </t>
  </si>
  <si>
    <t>SIMON BOLIVAR  HAMBURGO</t>
  </si>
  <si>
    <t xml:space="preserve">Las Condes </t>
  </si>
  <si>
    <t xml:space="preserve">OXXO TOLEDO </t>
  </si>
  <si>
    <t>OKM NATANIEL COX - (EN TRANSFORMACION)</t>
  </si>
  <si>
    <t>OKM EL PARQUE K068  CAJAS</t>
  </si>
  <si>
    <t>COLON  PONTEVEDRA</t>
  </si>
  <si>
    <t>APOQUINDO - LOS MILITARES</t>
  </si>
  <si>
    <t>BALMORAL  ALONSO DE CORDOVA</t>
  </si>
  <si>
    <t>OXXO  Patio Quilicura</t>
  </si>
  <si>
    <t>SAN DIEGO - COQUIMBO</t>
  </si>
  <si>
    <t>OXXO  Los Talaveras</t>
  </si>
  <si>
    <t>BILBAO  LOS LEONES</t>
  </si>
  <si>
    <t>IRARRAZAVAL - SAN JORGE</t>
  </si>
  <si>
    <t>LA FORESTA - VIÑA DEL MAR</t>
  </si>
  <si>
    <t>APOQUINDO  SAN PASCUAL</t>
  </si>
  <si>
    <t>SAN PABLO   MORANDE</t>
  </si>
  <si>
    <t>IRARRAZAVAL  ANTONIO VARAS</t>
  </si>
  <si>
    <t>IRARRAZAVAL  SUECIA</t>
  </si>
  <si>
    <t>IRARRAZAVAL  ITALIA</t>
  </si>
  <si>
    <t>IRARRAZAVAL - BUSTAMANTE</t>
  </si>
  <si>
    <t>CONCON  REÑACA</t>
  </si>
  <si>
    <t>MATUCANA  (matucana mapocho)</t>
  </si>
  <si>
    <t>NATANIEL COX  2</t>
  </si>
  <si>
    <t>OKM ALONSO DE CAMARGO K126  CAJAS</t>
  </si>
  <si>
    <t>OKM BOSQUES DE MONTEMAR K173CAJAS</t>
  </si>
  <si>
    <t>OKM BORGOÑO K165 - CAJAS</t>
  </si>
  <si>
    <t>Valparaíso</t>
  </si>
  <si>
    <t>OKM CHAMISERO K168  CAJAS</t>
  </si>
  <si>
    <t xml:space="preserve"> OKM JOSE DOMINGO CAÑAS</t>
  </si>
  <si>
    <t>OKM LINCOYAN K138  CAJAS</t>
  </si>
  <si>
    <t>OKM METRO LOS LEONES K172  CAJAS</t>
  </si>
  <si>
    <t>CAPITAN ORELLA K208  CAJAS</t>
  </si>
  <si>
    <t>OKM UNAB VIÑA K137  CAJAS</t>
  </si>
  <si>
    <t>ELEUTERIO RAMIREZ  NATANIEL COX</t>
  </si>
  <si>
    <t>las Condes</t>
  </si>
  <si>
    <t>VESPUCIO - ALBACETE</t>
  </si>
  <si>
    <t>VITACURA  VESPUCIO</t>
  </si>
  <si>
    <t>HOLANDA  PIO X</t>
  </si>
  <si>
    <t>SANTA ROSA  PORVENIR</t>
  </si>
  <si>
    <t>OXXO  Av. Argentina 2</t>
  </si>
  <si>
    <t>OXXO  Mall Paseo Viña</t>
  </si>
  <si>
    <t>Vina del Mar</t>
  </si>
  <si>
    <t>CHICUREO</t>
  </si>
  <si>
    <t>FTE TOTAL</t>
  </si>
  <si>
    <t>A</t>
  </si>
  <si>
    <t xml:space="preserve">5.1 </t>
  </si>
  <si>
    <t>5.2</t>
  </si>
  <si>
    <t>REVISIÓN / ACTUALIZACIÓN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</si>
</sst>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&quot;$&quot;* #,##0_);_(&quot;$&quot;* \(#,##0\);_(&quot;$&quot;* &quot;-&quot;_);_(@_)"/>
    <numFmt numFmtId="165" formatCode="_(* #,##0_);_(* \(#,##0\);_(* &quot;-&quot;_);_(@_)"/>
    <numFmt numFmtId="166" formatCode="0.0"/>
    <numFmt numFmtId="167" formatCode="0.0%"/>
    <numFmt numFmtId="168" formatCode="_(* #,##0.000_);_(* \(#,##0.000\);_(* &quot;-&quot;_);_(@_)"/>
    <numFmt numFmtId="169" formatCode="_ * #,##0.000_ ;_ * \-#,##0.000_ ;_ * &quot;-&quot;???_ ;_ @_ "/>
    <numFmt numFmtId="170" formatCode="_(* #,##0.00_);_(* \(#,##0.00\);_(* &quot;-&quot;_);_(@_)"/>
    <numFmt numFmtId="171" formatCode="0.000"/>
  </numFmts>
  <fonts count="27" x14ac:knownFonts="1">
    <font>
      <sz val="10"/>
      <color indexed="13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9"/>
      <name val="Calibri"/>
      <family val="2"/>
      <scheme val="minor"/>
    </font>
    <font>
      <b/>
      <sz val="12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Calibri"/>
      <family val="2"/>
      <scheme val="minor"/>
    </font>
    <font>
      <b/>
      <sz val="14"/>
      <color theme="1"/>
      <name val="Arial"/>
      <family val="2"/>
    </font>
    <font>
      <sz val="10"/>
      <color indexed="13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24"/>
      <name val="Arial"/>
      <family val="2"/>
    </font>
    <font>
      <sz val="11"/>
      <color theme="1"/>
      <name val="Arial"/>
      <family val="2"/>
    </font>
    <font>
      <sz val="8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9">
    <xf numFmtId="0" fontId="0" fillId="0" borderId="0">
      <alignment vertical="center"/>
    </xf>
    <xf numFmtId="0" fontId="4" fillId="0" borderId="0"/>
    <xf numFmtId="165" fontId="4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5" borderId="0" applyNumberFormat="0" applyBorder="0" applyAlignment="0" applyProtection="0"/>
    <xf numFmtId="0" fontId="12" fillId="0" borderId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3" fillId="0" borderId="0"/>
    <xf numFmtId="165" fontId="18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9" fontId="18" fillId="0" borderId="0" applyFont="0" applyFill="0" applyBorder="0" applyAlignment="0" applyProtection="0"/>
  </cellStyleXfs>
  <cellXfs count="105">
    <xf numFmtId="0" fontId="0" fillId="0" borderId="0" xfId="0">
      <alignment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1" xfId="0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5" fillId="0" borderId="3" xfId="0" applyFont="1" applyBorder="1">
      <alignment vertical="center"/>
    </xf>
    <xf numFmtId="2" fontId="5" fillId="3" borderId="4" xfId="0" applyNumberFormat="1" applyFont="1" applyFill="1" applyBorder="1" applyAlignment="1"/>
    <xf numFmtId="2" fontId="5" fillId="3" borderId="5" xfId="0" applyNumberFormat="1" applyFont="1" applyFill="1" applyBorder="1" applyAlignment="1"/>
    <xf numFmtId="2" fontId="5" fillId="3" borderId="6" xfId="0" applyNumberFormat="1" applyFont="1" applyFill="1" applyBorder="1" applyAlignment="1"/>
    <xf numFmtId="0" fontId="6" fillId="0" borderId="7" xfId="0" applyFont="1" applyBorder="1" applyAlignment="1"/>
    <xf numFmtId="0" fontId="6" fillId="0" borderId="7" xfId="0" applyFont="1" applyBorder="1">
      <alignment vertical="center"/>
    </xf>
    <xf numFmtId="0" fontId="6" fillId="0" borderId="1" xfId="0" applyFont="1" applyBorder="1" applyAlignment="1"/>
    <xf numFmtId="0" fontId="8" fillId="0" borderId="0" xfId="0" applyFont="1" applyAlignment="1">
      <alignment horizontal="center" vertical="center"/>
    </xf>
    <xf numFmtId="0" fontId="6" fillId="0" borderId="0" xfId="0" applyFont="1" applyAlignment="1"/>
    <xf numFmtId="2" fontId="5" fillId="3" borderId="0" xfId="0" applyNumberFormat="1" applyFont="1" applyFill="1" applyAlignment="1"/>
    <xf numFmtId="0" fontId="13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7" fillId="0" borderId="2" xfId="5" applyFont="1" applyBorder="1" applyAlignment="1">
      <alignment horizontal="center" vertical="center" wrapText="1"/>
    </xf>
    <xf numFmtId="0" fontId="6" fillId="0" borderId="0" xfId="0" applyFont="1" applyAlignment="1">
      <alignment horizontal="left"/>
    </xf>
    <xf numFmtId="0" fontId="13" fillId="0" borderId="0" xfId="0" applyFont="1" applyAlignment="1">
      <alignment horizontal="left" vertical="center"/>
    </xf>
    <xf numFmtId="0" fontId="13" fillId="0" borderId="0" xfId="0" pivotButton="1" applyFont="1">
      <alignment vertical="center"/>
    </xf>
    <xf numFmtId="0" fontId="15" fillId="0" borderId="0" xfId="0" applyFont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3" fillId="0" borderId="1" xfId="0" applyFont="1" applyBorder="1">
      <alignment vertical="center"/>
    </xf>
    <xf numFmtId="0" fontId="13" fillId="0" borderId="1" xfId="0" applyFont="1" applyBorder="1" applyAlignment="1">
      <alignment horizontal="center" vertical="center"/>
    </xf>
    <xf numFmtId="0" fontId="13" fillId="0" borderId="0" xfId="0" applyFont="1" applyAlignment="1"/>
    <xf numFmtId="0" fontId="16" fillId="0" borderId="2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2" xfId="5" applyFont="1" applyBorder="1" applyAlignment="1">
      <alignment horizontal="center" vertical="center" wrapText="1"/>
    </xf>
    <xf numFmtId="0" fontId="17" fillId="6" borderId="0" xfId="0" applyFont="1" applyFill="1">
      <alignment vertical="center"/>
    </xf>
    <xf numFmtId="0" fontId="16" fillId="0" borderId="0" xfId="5" applyFont="1" applyAlignment="1">
      <alignment horizontal="center" vertical="center" wrapText="1"/>
    </xf>
    <xf numFmtId="165" fontId="13" fillId="0" borderId="0" xfId="12" applyFont="1" applyAlignment="1">
      <alignment vertical="center"/>
    </xf>
    <xf numFmtId="0" fontId="14" fillId="0" borderId="1" xfId="0" applyFont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3" fillId="4" borderId="1" xfId="0" applyFont="1" applyFill="1" applyBorder="1">
      <alignment vertical="center"/>
    </xf>
    <xf numFmtId="165" fontId="13" fillId="4" borderId="0" xfId="12" applyFont="1" applyFill="1" applyAlignment="1">
      <alignment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65" fontId="6" fillId="0" borderId="0" xfId="12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1" xfId="0" applyFont="1" applyFill="1" applyBorder="1">
      <alignment vertical="center"/>
    </xf>
    <xf numFmtId="0" fontId="21" fillId="6" borderId="0" xfId="0" applyFont="1" applyFill="1">
      <alignment vertical="center"/>
    </xf>
    <xf numFmtId="166" fontId="6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1" fillId="6" borderId="0" xfId="0" applyFont="1" applyFill="1" applyAlignment="1">
      <alignment horizontal="center" vertical="center"/>
    </xf>
    <xf numFmtId="165" fontId="6" fillId="0" borderId="1" xfId="12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167" fontId="6" fillId="0" borderId="0" xfId="18" applyNumberFormat="1" applyFont="1" applyAlignment="1">
      <alignment horizontal="center" vertical="center"/>
    </xf>
    <xf numFmtId="10" fontId="6" fillId="0" borderId="0" xfId="18" applyNumberFormat="1" applyFont="1" applyAlignment="1">
      <alignment horizontal="center" vertical="center"/>
    </xf>
    <xf numFmtId="168" fontId="6" fillId="0" borderId="0" xfId="12" applyNumberFormat="1" applyFont="1" applyAlignment="1">
      <alignment horizontal="center" vertical="center"/>
    </xf>
    <xf numFmtId="169" fontId="6" fillId="0" borderId="0" xfId="0" applyNumberFormat="1" applyFont="1" applyAlignment="1">
      <alignment horizontal="center" vertical="center"/>
    </xf>
    <xf numFmtId="0" fontId="5" fillId="7" borderId="10" xfId="0" applyFont="1" applyFill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22" fillId="0" borderId="11" xfId="0" applyFont="1" applyBorder="1" applyAlignment="1">
      <alignment horizontal="center"/>
    </xf>
    <xf numFmtId="0" fontId="23" fillId="7" borderId="10" xfId="0" applyFont="1" applyFill="1" applyBorder="1" applyAlignment="1">
      <alignment horizontal="center" vertical="center"/>
    </xf>
    <xf numFmtId="2" fontId="23" fillId="7" borderId="9" xfId="0" applyNumberFormat="1" applyFont="1" applyFill="1" applyBorder="1" applyAlignment="1">
      <alignment horizontal="center"/>
    </xf>
    <xf numFmtId="2" fontId="5" fillId="7" borderId="12" xfId="0" applyNumberFormat="1" applyFont="1" applyFill="1" applyBorder="1">
      <alignment vertical="center"/>
    </xf>
    <xf numFmtId="2" fontId="5" fillId="7" borderId="13" xfId="0" applyNumberFormat="1" applyFont="1" applyFill="1" applyBorder="1">
      <alignment vertical="center"/>
    </xf>
    <xf numFmtId="2" fontId="6" fillId="0" borderId="0" xfId="0" applyNumberFormat="1" applyFont="1">
      <alignment vertical="center"/>
    </xf>
    <xf numFmtId="2" fontId="23" fillId="6" borderId="9" xfId="0" applyNumberFormat="1" applyFont="1" applyFill="1" applyBorder="1" applyAlignment="1">
      <alignment horizontal="center"/>
    </xf>
    <xf numFmtId="0" fontId="6" fillId="8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165" fontId="6" fillId="9" borderId="1" xfId="12" applyFont="1" applyFill="1" applyBorder="1" applyAlignment="1">
      <alignment horizontal="center" vertical="center"/>
    </xf>
    <xf numFmtId="165" fontId="6" fillId="0" borderId="1" xfId="12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166" fontId="5" fillId="4" borderId="0" xfId="0" applyNumberFormat="1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25" fillId="0" borderId="7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166" fontId="13" fillId="0" borderId="1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170" fontId="24" fillId="0" borderId="0" xfId="12" applyNumberFormat="1" applyFont="1" applyAlignment="1">
      <alignment horizontal="center" vertical="center"/>
    </xf>
    <xf numFmtId="2" fontId="24" fillId="0" borderId="0" xfId="0" applyNumberFormat="1" applyFont="1" applyAlignment="1">
      <alignment horizontal="center" vertical="center"/>
    </xf>
    <xf numFmtId="171" fontId="6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171" fontId="6" fillId="0" borderId="1" xfId="0" applyNumberFormat="1" applyFont="1" applyBorder="1" applyAlignment="1">
      <alignment horizontal="center" vertical="center"/>
    </xf>
    <xf numFmtId="166" fontId="6" fillId="0" borderId="0" xfId="0" applyNumberFormat="1" applyFont="1" applyAlignment="1">
      <alignment horizontal="center" vertical="center"/>
    </xf>
    <xf numFmtId="2" fontId="6" fillId="4" borderId="1" xfId="0" applyNumberFormat="1" applyFont="1" applyFill="1" applyBorder="1" applyAlignment="1">
      <alignment horizontal="center" vertical="center"/>
    </xf>
    <xf numFmtId="2" fontId="21" fillId="6" borderId="0" xfId="0" applyNumberFormat="1" applyFont="1" applyFill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166" fontId="5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6" fillId="0" borderId="14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49" fontId="6" fillId="4" borderId="1" xfId="0" applyNumberFormat="1" applyFont="1" applyFill="1" applyBorder="1" applyAlignment="1">
      <alignment horizontal="center" vertical="center"/>
    </xf>
  </cellXfs>
  <cellStyles count="19">
    <cellStyle name="Énfasis1 2" xfId="4" xr:uid="{C3FBF78D-ABBE-4819-AA0D-6AF9469C8AED}"/>
    <cellStyle name="Hipervínculo 2" xfId="7" xr:uid="{919D2553-1AD2-475A-B91D-715D5DC65F64}"/>
    <cellStyle name="Hipervínculo 3" xfId="3" xr:uid="{429C4CCA-DD27-4E38-9C8B-98573A02C7F5}"/>
    <cellStyle name="Hyperlink" xfId="6" xr:uid="{8736B0D8-2F4E-4D41-8827-68E70F06AE63}"/>
    <cellStyle name="Millares [0]" xfId="12" builtinId="6"/>
    <cellStyle name="Millares [0] 2" xfId="8" xr:uid="{0A18A48F-63FD-4EBD-9D5B-0512823C35D0}"/>
    <cellStyle name="Millares [0] 2 2" xfId="10" xr:uid="{E5469DF9-E784-400A-96E3-802DC45D27A0}"/>
    <cellStyle name="Millares [0] 2 3" xfId="17" xr:uid="{FA7C4CDF-1517-4A8A-94DF-2818D356014C}"/>
    <cellStyle name="Millares [0] 3" xfId="9" xr:uid="{915258F1-1CFC-446B-9343-7FD654FC85C6}"/>
    <cellStyle name="Millares [0] 4" xfId="2" xr:uid="{C1A2AC15-51E8-4E38-BFE9-C8E9CA5A7C50}"/>
    <cellStyle name="Moneda [0] 2" xfId="14" xr:uid="{6D16FE3D-3CA0-4EBD-84A6-E08C5E2065FD}"/>
    <cellStyle name="Normal" xfId="0" builtinId="0"/>
    <cellStyle name="Normal 2" xfId="5" xr:uid="{022B1730-5305-44E6-AC92-00F96A5E5F5D}"/>
    <cellStyle name="Normal 3" xfId="1" xr:uid="{C80F56EB-D39B-4673-98E2-452AC245A8B9}"/>
    <cellStyle name="Normal 4" xfId="11" xr:uid="{F8859185-2C67-496F-87DD-164449C7767A}"/>
    <cellStyle name="Normal 5" xfId="13" xr:uid="{F470E78B-1E0F-470C-8556-F3495D251C33}"/>
    <cellStyle name="Normal 6" xfId="16" xr:uid="{9EC65896-4D22-4114-B58D-4F0982A882FC}"/>
    <cellStyle name="Porcentaje" xfId="18" builtinId="5"/>
    <cellStyle name="Porcentaje 2" xfId="15" xr:uid="{623CCEA3-2801-40DD-8FFD-9232D22A7789}"/>
  </cellStyles>
  <dxfs count="6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ill>
        <patternFill patternType="solid">
          <fgColor rgb="FF92D05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2.xml"/><Relationship Id="rId33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1.xml"/><Relationship Id="rId32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2.xml"/><Relationship Id="rId27" Type="http://schemas.openxmlformats.org/officeDocument/2006/relationships/styles" Target="styles.xml"/><Relationship Id="rId30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Repositorio_GestionInformacion/Documentos%20compartidos/MAESTRA_TIENDAS_NEGOCIO/MAESTRA_TIENDAS/MAESTRA_TIENDAS.xlsx" TargetMode="External"/><Relationship Id="rId2" Type="http://schemas.openxmlformats.org/officeDocument/2006/relationships/externalLinkPath" Target="https://femcom.sharepoint.com/sites/Repositorio_GestionInformacion/Documentos%20compartidos/MAESTRA_TIENDAS_NEGOCIO/MAESTRA_TIENDAS/MAESTRA_TIENDAS.xlsx" TargetMode="External"/><Relationship Id="rId1" Type="http://schemas.openxmlformats.org/officeDocument/2006/relationships/externalLinkPath" Target="/sites/Repositorio_GestionInformacion/Documentos%20compartidos/MAESTRA_TIENDAS_NEGOCIO/MAESTRA_TIENDAS/MAESTRA_TIENDAS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personal/nelson_arriagada_oxxo_com/Documents/Informes/Plan%20Incentivos%202025/Detalle%20bonos_202507.xlsx" TargetMode="External"/><Relationship Id="rId2" Type="http://schemas.openxmlformats.org/officeDocument/2006/relationships/externalLinkPath" Target="https://femcom-my.sharepoint.com/personal/nelson_arriagada_oxxo_com/Documents/Informes/Plan%20Incentivos%202025/Detalle%20bonos_202507.xlsx" TargetMode="External"/><Relationship Id="rId1" Type="http://schemas.openxmlformats.org/officeDocument/2006/relationships/externalLinkPath" Target="/personal/nelson_arriagada_oxxo_com/Documents/Informes/Plan%20Incentivos%202025/Detalle%20bonos_202507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emcom-my.sharepoint.com/personal/nelson_arriagada_oxxo_com/Documents/Escritorio/MAESTRA_TIENDAS.xlsx" TargetMode="External"/><Relationship Id="rId1" Type="http://schemas.openxmlformats.org/officeDocument/2006/relationships/externalLinkPath" Target="MAESTRA_TIENDA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Cbvhq8kGbUKX-0OBQevFrxHBIlK9hnBDsunNv0Cn-tZI0ZU0EGFOSLifKVu8NgDN" itemId="01SUULZZSBRPLU5U5UEVA3M24EYZP6H42Q">
      <xxl21:absoluteUrl r:id="rId2"/>
      <xxl21:relativeUrl r:id="rId3"/>
    </xxl21:alternateUrls>
    <sheetNames>
      <sheetName val="MAESTRA"/>
      <sheetName val="DICCIONARIO"/>
      <sheetName val="CIERRE ELECCIONES"/>
      <sheetName val="MAESTRA (2)"/>
      <sheetName val="JORNADA_OPERACION"/>
      <sheetName val="LIDER TIENDA"/>
      <sheetName val="ASESOR"/>
      <sheetName val="JEFE_DISTRITO"/>
      <sheetName val="BOLEANO"/>
      <sheetName val="NSE"/>
      <sheetName val="SEGMENTO"/>
      <sheetName val="COMUNA_REGION"/>
      <sheetName val="REGION"/>
      <sheetName val="GENERACION"/>
      <sheetName val="CADENA"/>
      <sheetName val="ESTADO"/>
      <sheetName val="CAPACIDAD_ELECTRICA"/>
      <sheetName val="PREVENCIONISTA"/>
      <sheetName val="GENERALISTA"/>
      <sheetName val="RECLUTADOR"/>
    </sheetNames>
    <sheetDataSet>
      <sheetData sheetId="0">
        <row r="1">
          <cell r="C1" t="str">
            <v>Maestra de tiendas OXXO</v>
          </cell>
        </row>
        <row r="5">
          <cell r="I5" t="str">
            <v>CR</v>
          </cell>
          <cell r="J5" t="str">
            <v>CORREO</v>
          </cell>
        </row>
        <row r="6">
          <cell r="I6" t="str">
            <v>50NF1</v>
          </cell>
          <cell r="J6" t="str">
            <v>cl-13norte@tiendas.oxxo.com</v>
          </cell>
        </row>
        <row r="7">
          <cell r="I7" t="str">
            <v>50LTD</v>
          </cell>
          <cell r="J7" t="str">
            <v>cl-emiliatellez@tiendas.oxxo.com</v>
          </cell>
        </row>
        <row r="8">
          <cell r="I8" t="str">
            <v>50D6N</v>
          </cell>
          <cell r="J8" t="str">
            <v>cl-cinconorte@tiendas.oxxo.com</v>
          </cell>
        </row>
        <row r="9">
          <cell r="I9" t="str">
            <v>50OKA</v>
          </cell>
          <cell r="J9" t="str">
            <v>cl-acacios@tiendas.oxxo.com</v>
          </cell>
        </row>
        <row r="10">
          <cell r="I10" t="str">
            <v>50PUF</v>
          </cell>
          <cell r="J10" t="str">
            <v>cl-agustinasanmartin@tiendas.oxxo.com</v>
          </cell>
        </row>
        <row r="11">
          <cell r="I11" t="str">
            <v>50OAL</v>
          </cell>
          <cell r="J11" t="str">
            <v>cl-alameda1@tiendas.oxxo.com</v>
          </cell>
        </row>
        <row r="12">
          <cell r="I12" t="str">
            <v>50DXJ</v>
          </cell>
          <cell r="J12" t="str">
            <v>cl-providencia@tiendas.oxxo.com</v>
          </cell>
        </row>
        <row r="13">
          <cell r="I13" t="str">
            <v>50VKK</v>
          </cell>
          <cell r="J13" t="str">
            <v>cl-alcantara@tiendas.oxxo.com</v>
          </cell>
        </row>
        <row r="14">
          <cell r="I14" t="str">
            <v>50HCL</v>
          </cell>
          <cell r="J14" t="str">
            <v>cl-alcantara2@tiendas.oxxo.com</v>
          </cell>
        </row>
        <row r="15">
          <cell r="I15" t="str">
            <v>50OAP</v>
          </cell>
          <cell r="J15" t="str">
            <v>cl-almirantepastene@tiendas.oxxo.com</v>
          </cell>
        </row>
        <row r="16">
          <cell r="I16" t="str">
            <v>50XC6</v>
          </cell>
          <cell r="J16" t="str">
            <v>cl-altomacul@tiendas.oxxo.com</v>
          </cell>
        </row>
        <row r="17">
          <cell r="I17" t="str">
            <v>508LO</v>
          </cell>
          <cell r="J17" t="str">
            <v>cl-amunategui@tiendas.oxxo.com</v>
          </cell>
        </row>
        <row r="18">
          <cell r="I18" t="str">
            <v>50OVN</v>
          </cell>
          <cell r="J18" t="str">
            <v>cl-antoniobellet@tiendas.oxxo.com</v>
          </cell>
        </row>
        <row r="19">
          <cell r="I19" t="str">
            <v>50OAV</v>
          </cell>
          <cell r="J19" t="str">
            <v>cl-antoniovaras@tiendas.oxxo.com</v>
          </cell>
        </row>
        <row r="20">
          <cell r="I20" t="str">
            <v>50VLX</v>
          </cell>
          <cell r="J20" t="str">
            <v>cl-apoquindo1@tiendas.oxxo.com</v>
          </cell>
        </row>
        <row r="21">
          <cell r="I21" t="str">
            <v>50NRA</v>
          </cell>
          <cell r="J21" t="str">
            <v>cl-apoquindo2@tiendas.oxxo.com</v>
          </cell>
        </row>
        <row r="22">
          <cell r="I22" t="str">
            <v>50SLM</v>
          </cell>
          <cell r="J22" t="str">
            <v>cl-apoquindo4@tiendas.oxxo.com</v>
          </cell>
        </row>
        <row r="23">
          <cell r="I23" t="str">
            <v>50CRX</v>
          </cell>
          <cell r="J23" t="str">
            <v>cl-apoquindo6@tiendas.oxxo.com</v>
          </cell>
        </row>
        <row r="24">
          <cell r="I24" t="str">
            <v>50JIO</v>
          </cell>
          <cell r="J24" t="str">
            <v>cl-apoquindo7@tiendas.oxxo.com</v>
          </cell>
        </row>
        <row r="25">
          <cell r="I25" t="str">
            <v>50APO</v>
          </cell>
          <cell r="J25" t="str">
            <v>cl-apoquindo8@tiendas.oxxo.com</v>
          </cell>
        </row>
        <row r="26">
          <cell r="I26" t="str">
            <v>50ALM</v>
          </cell>
          <cell r="J26" t="str">
            <v>cl-apoquindolosmilitares@tiendas.oxxo.com</v>
          </cell>
        </row>
        <row r="27">
          <cell r="I27" t="str">
            <v>50ASM</v>
          </cell>
          <cell r="J27" t="str">
            <v>cl-santamagdalena@tiendas.oxxo.com</v>
          </cell>
        </row>
        <row r="28">
          <cell r="I28" t="str">
            <v>50ARL</v>
          </cell>
          <cell r="J28" t="str">
            <v>cl-arleguivina@tiendas.oxxo.com</v>
          </cell>
        </row>
        <row r="29">
          <cell r="I29" t="str">
            <v>50OAJ</v>
          </cell>
          <cell r="J29" t="str">
            <v>cl-armandojaramillo@tiendas.oxxo.com</v>
          </cell>
        </row>
        <row r="30">
          <cell r="I30" t="str">
            <v>50FVZ</v>
          </cell>
          <cell r="J30" t="str">
            <v>cl-asturias@tiendas.oxxo.com</v>
          </cell>
        </row>
        <row r="31">
          <cell r="I31" t="str">
            <v>50Z8X</v>
          </cell>
          <cell r="J31" t="str">
            <v>cl-avargentina2@tiendas.oxxo.com</v>
          </cell>
        </row>
        <row r="32">
          <cell r="I32" t="str">
            <v>50XFE</v>
          </cell>
          <cell r="J32" t="str">
            <v>cl-santarosaporvenir@tiendas.oxxo.com</v>
          </cell>
        </row>
        <row r="33">
          <cell r="I33" t="str">
            <v>50OCO</v>
          </cell>
          <cell r="J33" t="str">
            <v>cl-chicureo@tiendas.oxxo.com</v>
          </cell>
        </row>
        <row r="34">
          <cell r="I34" t="str">
            <v>50OJJ</v>
          </cell>
          <cell r="J34" t="str">
            <v>cl-badajoz@tiendas.oxxo.com</v>
          </cell>
        </row>
        <row r="35">
          <cell r="I35" t="str">
            <v>50HSE</v>
          </cell>
          <cell r="J35" t="str">
            <v>cl-santaanacompania@tiendas.oxxo.com</v>
          </cell>
        </row>
        <row r="36">
          <cell r="I36" t="str">
            <v>50AMA</v>
          </cell>
          <cell r="J36" t="str">
            <v>cl-balmoral@tiendas.oxxo.com</v>
          </cell>
        </row>
        <row r="37">
          <cell r="I37" t="str">
            <v>50TSA</v>
          </cell>
          <cell r="J37" t="str">
            <v>cl-bandera@tiendas.oxxo.com</v>
          </cell>
        </row>
        <row r="38">
          <cell r="I38" t="str">
            <v>50FKT</v>
          </cell>
          <cell r="J38" t="str">
            <v>cl-barrosarana@tiendas.oxxo.com</v>
          </cell>
        </row>
        <row r="39">
          <cell r="I39" t="str">
            <v>5032O</v>
          </cell>
          <cell r="J39" t="str">
            <v>cl-barrosborgono@tiendas.oxxo.com</v>
          </cell>
        </row>
        <row r="40">
          <cell r="I40" t="str">
            <v>50BAR</v>
          </cell>
          <cell r="J40" t="str">
            <v>cl-alfredobarrosarrazuriz@tiendas.oxxo.com</v>
          </cell>
        </row>
        <row r="41">
          <cell r="I41" t="str">
            <v>50NBN</v>
          </cell>
          <cell r="J41" t="str">
            <v>cl-bilbaomontt@tiendas.oxxo.com</v>
          </cell>
        </row>
        <row r="42">
          <cell r="I42" t="str">
            <v>50OBN</v>
          </cell>
          <cell r="J42" t="str">
            <v>cl-brownnorte@tiendas.oxxo.com</v>
          </cell>
        </row>
        <row r="43">
          <cell r="I43" t="str">
            <v>50UD1</v>
          </cell>
          <cell r="J43" t="str">
            <v>cl-bulnes@tiendas.oxxo.com</v>
          </cell>
        </row>
        <row r="44">
          <cell r="I44" t="str">
            <v>50OCH</v>
          </cell>
          <cell r="J44" t="str">
            <v>cl-cachagua@tiendas.oxxo.com</v>
          </cell>
        </row>
        <row r="45">
          <cell r="I45" t="str">
            <v>50KUF</v>
          </cell>
          <cell r="J45" t="str">
            <v>cl-caminoelalba@tiendas.oxxo.com</v>
          </cell>
        </row>
        <row r="46">
          <cell r="I46" t="str">
            <v>50IAB</v>
          </cell>
          <cell r="J46" t="str">
            <v>cl-irarrazavalantoniovaras@tiendas.oxxo.com</v>
          </cell>
        </row>
        <row r="47">
          <cell r="I47" t="str">
            <v>506HQ</v>
          </cell>
          <cell r="J47" t="str">
            <v>cl-cantagallo@tiendas.oxxo.com</v>
          </cell>
        </row>
        <row r="48">
          <cell r="I48" t="str">
            <v>50ORO</v>
          </cell>
          <cell r="J48" t="str">
            <v>cl-capitanorella@tiendas.oxxo.com</v>
          </cell>
        </row>
        <row r="49">
          <cell r="I49" t="str">
            <v>50CPN</v>
          </cell>
          <cell r="J49" t="str">
            <v>cl-carlospena@tiendas.oxxo.com</v>
          </cell>
        </row>
        <row r="50">
          <cell r="I50" t="str">
            <v>50WIL</v>
          </cell>
          <cell r="J50" t="str">
            <v>cl-carloswilson@tiendas.oxxo.com</v>
          </cell>
        </row>
        <row r="51">
          <cell r="I51" t="str">
            <v>50COL</v>
          </cell>
          <cell r="J51" t="str">
            <v>cl-cerrocolorado@tiendas.oxxo.com</v>
          </cell>
        </row>
        <row r="52">
          <cell r="I52" t="str">
            <v>50XWC</v>
          </cell>
          <cell r="J52" t="str">
            <v>cl-cerroelplomo@tiendas.oxxo.com</v>
          </cell>
        </row>
        <row r="53">
          <cell r="I53" t="str">
            <v>50OCA</v>
          </cell>
          <cell r="J53" t="str">
            <v>cl-chacabuco@tiendas.oxxo.com</v>
          </cell>
        </row>
        <row r="54">
          <cell r="I54" t="str">
            <v>50OCM</v>
          </cell>
          <cell r="J54" t="str">
            <v>cl-chamisero@tiendas.oxxo.com</v>
          </cell>
        </row>
        <row r="55">
          <cell r="I55" t="str">
            <v>50GDJ</v>
          </cell>
          <cell r="J55" t="str">
            <v>cl-sanpascual@tiendas.oxxo.com</v>
          </cell>
        </row>
        <row r="56">
          <cell r="I56" t="str">
            <v>50TFX</v>
          </cell>
          <cell r="J56" t="str">
            <v>cl-chesterton1@tiendas.oxxo.com</v>
          </cell>
        </row>
        <row r="57">
          <cell r="I57" t="str">
            <v>50OCR</v>
          </cell>
          <cell r="J57" t="str">
            <v>cl-chesterton2@tiendas.oxxo.com</v>
          </cell>
        </row>
        <row r="58">
          <cell r="I58" t="str">
            <v>50CLC</v>
          </cell>
          <cell r="J58" t="str">
            <v>cl-clinicalascondes@tiendas.oxxo.com</v>
          </cell>
        </row>
        <row r="59">
          <cell r="I59" t="str">
            <v>50ARE</v>
          </cell>
          <cell r="J59" t="str">
            <v>cl-colon@tiendas.oxxo.com</v>
          </cell>
        </row>
        <row r="60">
          <cell r="I60" t="str">
            <v>50POS</v>
          </cell>
          <cell r="J60" t="str">
            <v>cl-colon2@tiendas.oxxo.com</v>
          </cell>
        </row>
        <row r="61">
          <cell r="I61" t="str">
            <v>50REU</v>
          </cell>
          <cell r="J61" t="str">
            <v>cl-colonpontevedra@tiendas.oxxo.com</v>
          </cell>
        </row>
        <row r="62">
          <cell r="I62" t="str">
            <v>50GNW</v>
          </cell>
          <cell r="J62" t="str">
            <v>cl-sanpablomorande@tiendas.oxxo.com</v>
          </cell>
        </row>
        <row r="63">
          <cell r="I63">
            <v>50863</v>
          </cell>
          <cell r="J63" t="str">
            <v>cl-conchaytoro@tiendas.oxxo.com</v>
          </cell>
        </row>
        <row r="64">
          <cell r="I64" t="str">
            <v>50ANM</v>
          </cell>
          <cell r="J64" t="str">
            <v>cl-arturoprat@tiendas.oxxo.com</v>
          </cell>
        </row>
        <row r="65">
          <cell r="I65" t="str">
            <v>50LAE</v>
          </cell>
          <cell r="J65" t="str">
            <v>cl-conconrenaca@tiendas.oxxo.com</v>
          </cell>
        </row>
        <row r="66">
          <cell r="I66" t="str">
            <v>50QVX</v>
          </cell>
          <cell r="J66" t="str">
            <v>cl-costamontemar@tiendas.oxxo.com</v>
          </cell>
        </row>
        <row r="67">
          <cell r="I67" t="str">
            <v>50AQL</v>
          </cell>
          <cell r="J67" t="str">
            <v>cl-ebro@tiendas.oxxo.com</v>
          </cell>
        </row>
        <row r="68">
          <cell r="I68" t="str">
            <v>5033A</v>
          </cell>
          <cell r="J68" t="str">
            <v>cl-edmundoeluchans@tiendas.oxxo.com</v>
          </cell>
        </row>
        <row r="69">
          <cell r="I69" t="str">
            <v>50SAS</v>
          </cell>
          <cell r="J69" t="str">
            <v>cl-eleuterionataniel@tiendas.oxxo.com</v>
          </cell>
        </row>
        <row r="70">
          <cell r="I70" t="str">
            <v>50EDF</v>
          </cell>
          <cell r="J70" t="str">
            <v>cl-ejercitoalameda@tiendas.oxxo.com</v>
          </cell>
        </row>
        <row r="71">
          <cell r="I71" t="str">
            <v>50OFN</v>
          </cell>
          <cell r="J71" t="str">
            <v>cl-bosquenorteoxxo@tiendas.oxxo.com</v>
          </cell>
        </row>
        <row r="72">
          <cell r="I72" t="str">
            <v>50NC0</v>
          </cell>
          <cell r="J72" t="str">
            <v>cl-elfaro@tiendas.oxxo.com</v>
          </cell>
        </row>
        <row r="73">
          <cell r="I73" t="str">
            <v>50NMT</v>
          </cell>
          <cell r="J73" t="str">
            <v>cl-elgolf@tiendas.oxxo.com</v>
          </cell>
        </row>
        <row r="74">
          <cell r="I74" t="str">
            <v>50OPE</v>
          </cell>
          <cell r="J74" t="str">
            <v>cl-elparquecempre2@tiendas.oxxo.com</v>
          </cell>
        </row>
        <row r="75">
          <cell r="I75" t="str">
            <v>50OER</v>
          </cell>
          <cell r="J75" t="str">
            <v>cl-elrodeo@tiendas.oxxo.com</v>
          </cell>
        </row>
        <row r="76">
          <cell r="I76" t="str">
            <v>50OEP</v>
          </cell>
          <cell r="J76" t="str">
            <v>cl-eliecerparadatob@tiendas.oxxo.com</v>
          </cell>
        </row>
        <row r="77">
          <cell r="I77" t="str">
            <v>50VSU</v>
          </cell>
          <cell r="J77" t="str">
            <v>cl-sanfrancisco@tiendas.oxxo.com</v>
          </cell>
        </row>
        <row r="78">
          <cell r="I78" t="str">
            <v>50PCH</v>
          </cell>
          <cell r="J78" t="str">
            <v>cl-plazaasis@tiendas.oxxo.com</v>
          </cell>
        </row>
        <row r="79">
          <cell r="I79" t="str">
            <v>50ELY</v>
          </cell>
          <cell r="J79" t="str">
            <v>cl-eliodoroyanez@tiendas.oxxo.com</v>
          </cell>
        </row>
        <row r="80">
          <cell r="I80" t="str">
            <v>50ASB</v>
          </cell>
          <cell r="J80" t="str">
            <v>cl-mallplazaegana@tiendas.oxxo.com</v>
          </cell>
        </row>
        <row r="81">
          <cell r="I81" t="str">
            <v>50WGH</v>
          </cell>
          <cell r="J81" t="str">
            <v>cl-migueldeolivares@tiendas.oxxo.com</v>
          </cell>
        </row>
        <row r="82">
          <cell r="I82" t="str">
            <v>50OEY</v>
          </cell>
          <cell r="J82" t="str">
            <v>cl-eliodoroyanez2@tiendas.oxxo.com</v>
          </cell>
        </row>
        <row r="83">
          <cell r="I83" t="str">
            <v>50BPT</v>
          </cell>
          <cell r="J83" t="str">
            <v>cl-ecuadorpurisima@tiendas.oxxo.com</v>
          </cell>
        </row>
        <row r="84">
          <cell r="I84" t="str">
            <v>50EFO</v>
          </cell>
          <cell r="J84" t="str">
            <v>cl-enriquefoster@tiendas.oxxo.com</v>
          </cell>
        </row>
        <row r="85">
          <cell r="I85" t="str">
            <v>50ESF</v>
          </cell>
          <cell r="J85" t="str">
            <v>cl-eyzaguirresanfrancisco@tiendas.oxxo.com</v>
          </cell>
        </row>
        <row r="86">
          <cell r="I86" t="str">
            <v>50V5C</v>
          </cell>
          <cell r="J86" t="str">
            <v>cl-estoril@tiendas.oxxo.com</v>
          </cell>
        </row>
        <row r="87">
          <cell r="I87" t="str">
            <v>50LCO</v>
          </cell>
          <cell r="J87" t="str">
            <v>cl-liracurico@tiendas.oxxo.com</v>
          </cell>
        </row>
        <row r="88">
          <cell r="I88" t="str">
            <v>50DKQ</v>
          </cell>
          <cell r="J88" t="str">
            <v>cl-felixbulnes@tiendas.oxxo.com</v>
          </cell>
        </row>
        <row r="89">
          <cell r="I89" t="str">
            <v>50LBB</v>
          </cell>
          <cell r="J89" t="str">
            <v>cl-losbarbechos@tiendas.oxxo.com</v>
          </cell>
        </row>
        <row r="90">
          <cell r="I90" t="str">
            <v>50GBU</v>
          </cell>
          <cell r="J90" t="str">
            <v>cl-franciscodeaguirre@tiendas.oxxo.com</v>
          </cell>
        </row>
        <row r="91">
          <cell r="I91" t="str">
            <v>54FFR</v>
          </cell>
          <cell r="J91" t="str">
            <v>franquiciafroilanroa@tiendas.oxxo.com</v>
          </cell>
        </row>
        <row r="92">
          <cell r="I92" t="str">
            <v>50OGD</v>
          </cell>
          <cell r="J92" t="str">
            <v>cl-generaldelcanto@tiendas.oxxo.com</v>
          </cell>
        </row>
        <row r="93">
          <cell r="I93" t="str">
            <v>50OPH</v>
          </cell>
          <cell r="J93" t="str">
            <v>cl-guardiavieja@tiendas.oxxo.com</v>
          </cell>
        </row>
        <row r="94">
          <cell r="I94" t="str">
            <v>50BLL</v>
          </cell>
          <cell r="J94" t="str">
            <v>cl-bilbaolosleones@tiendas.oxxo.com</v>
          </cell>
        </row>
        <row r="95">
          <cell r="I95" t="str">
            <v>50HEN</v>
          </cell>
          <cell r="J95" t="str">
            <v>cl-hendaya@tiendas.oxxo.com</v>
          </cell>
        </row>
        <row r="96">
          <cell r="I96" t="str">
            <v>50DGG</v>
          </cell>
          <cell r="J96" t="str">
            <v>cl-hernandodeaguirre@tiendas.oxxo.com</v>
          </cell>
        </row>
        <row r="97">
          <cell r="I97" t="str">
            <v>50PZC</v>
          </cell>
          <cell r="J97" t="str">
            <v>cl-plazachacabuco@tiendas.oxxo.com</v>
          </cell>
        </row>
        <row r="98">
          <cell r="I98" t="str">
            <v>50TMT</v>
          </cell>
          <cell r="J98" t="str">
            <v>cl-toromazotte@tiendas.oxxo.com</v>
          </cell>
        </row>
        <row r="99">
          <cell r="I99" t="str">
            <v>50VVE</v>
          </cell>
          <cell r="J99" t="str">
            <v>cl-vitacuravespucio@tiendas.oxxo.com</v>
          </cell>
        </row>
        <row r="100">
          <cell r="I100" t="str">
            <v>50OHM</v>
          </cell>
          <cell r="J100" t="str">
            <v>cl-hernandodemagallanes@tiendas.oxxo.com</v>
          </cell>
        </row>
        <row r="101">
          <cell r="I101" t="str">
            <v>50XEV</v>
          </cell>
          <cell r="J101" t="str">
            <v>cl-holanda@tiendas.oxxo.com</v>
          </cell>
        </row>
        <row r="102">
          <cell r="I102" t="str">
            <v>50HSP</v>
          </cell>
          <cell r="J102" t="str">
            <v>cl-hospitales@tiendas.oxxo.com</v>
          </cell>
        </row>
        <row r="103">
          <cell r="I103" t="str">
            <v>50BJT</v>
          </cell>
          <cell r="J103" t="str">
            <v>cl-huechuraba@tiendas.oxxo.com</v>
          </cell>
        </row>
        <row r="104">
          <cell r="I104" t="str">
            <v>50LOT</v>
          </cell>
          <cell r="J104" t="str">
            <v>cl-huerfanos@tiendas.oxxo.com</v>
          </cell>
        </row>
        <row r="105">
          <cell r="I105" t="str">
            <v>50OHU</v>
          </cell>
          <cell r="J105" t="str">
            <v>cl-huinganalii@tiendas.oxxo.com</v>
          </cell>
        </row>
        <row r="106">
          <cell r="I106" t="str">
            <v>50MCA</v>
          </cell>
          <cell r="J106" t="str">
            <v>cl-matucana@tiendas.oxxo.com</v>
          </cell>
        </row>
        <row r="107">
          <cell r="I107" t="str">
            <v>50TAJ</v>
          </cell>
          <cell r="J107" t="str">
            <v>cl-nuevatajamar@tiendas.oxxo.com</v>
          </cell>
        </row>
        <row r="108">
          <cell r="I108" t="str">
            <v>50UVK</v>
          </cell>
          <cell r="J108" t="str">
            <v>cl-imperio@tiendas.oxxo.com</v>
          </cell>
        </row>
        <row r="109">
          <cell r="I109" t="str">
            <v>50MGR</v>
          </cell>
          <cell r="J109" t="str">
            <v>cl-maculgrecia@tiendas.oxxo.com</v>
          </cell>
        </row>
        <row r="110">
          <cell r="I110">
            <v>50096</v>
          </cell>
          <cell r="J110" t="str">
            <v>cl-infante@tiendas.oxxo.com</v>
          </cell>
        </row>
        <row r="111">
          <cell r="I111" t="str">
            <v>50ITA</v>
          </cell>
          <cell r="J111" t="str">
            <v>cl-irarrazavalitalia@tiendas.oxxo.com</v>
          </cell>
        </row>
        <row r="112">
          <cell r="I112" t="str">
            <v>50MON</v>
          </cell>
          <cell r="J112" t="str">
            <v>cl-monckeberg@tiendas.oxxo.com</v>
          </cell>
        </row>
        <row r="113">
          <cell r="I113" t="str">
            <v>50BER</v>
          </cell>
          <cell r="J113" t="str">
            <v>cl-elbergantin@tiendas.oxxo.com</v>
          </cell>
        </row>
        <row r="114">
          <cell r="I114" t="str">
            <v>50ROS</v>
          </cell>
          <cell r="J114" t="str">
            <v>cl-rosariosur@tiendas.oxxo.com</v>
          </cell>
        </row>
        <row r="115">
          <cell r="I115" t="str">
            <v>50PDV</v>
          </cell>
          <cell r="J115" t="str">
            <v>cl-pedrodevaldivia4@tiendas.oxxo.com</v>
          </cell>
        </row>
        <row r="116">
          <cell r="I116" t="str">
            <v>50LRR</v>
          </cell>
          <cell r="J116" t="str">
            <v>cl-larrain@tiendas.oxxo.com</v>
          </cell>
        </row>
        <row r="117">
          <cell r="I117" t="str">
            <v>50TEB</v>
          </cell>
          <cell r="J117" t="str">
            <v>cl-terminaldebuses@tiendas.oxxo.com</v>
          </cell>
        </row>
        <row r="118">
          <cell r="I118" t="str">
            <v>50IVB</v>
          </cell>
          <cell r="J118" t="str">
            <v>cl-irarrazavalbustamante@tiendas.oxxo.com</v>
          </cell>
        </row>
        <row r="119">
          <cell r="I119" t="str">
            <v>50DWS</v>
          </cell>
          <cell r="J119" t="str">
            <v>cl-irarrazavalsanjorge@tiendas.oxxo.com</v>
          </cell>
        </row>
        <row r="120">
          <cell r="I120" t="str">
            <v>50GRE</v>
          </cell>
          <cell r="J120" t="str">
            <v>cl-greciaexequiel@tiendas.oxxo.com</v>
          </cell>
        </row>
        <row r="121">
          <cell r="I121" t="str">
            <v>50SKV</v>
          </cell>
          <cell r="J121" t="str">
            <v>cl-isidora@tiendas.oxxo.com</v>
          </cell>
        </row>
        <row r="122">
          <cell r="I122" t="str">
            <v>50AMU</v>
          </cell>
          <cell r="J122" t="str">
            <v>cl-torreamunategui@tiendas.oxxo.com</v>
          </cell>
        </row>
        <row r="123">
          <cell r="I123" t="str">
            <v>50ISI</v>
          </cell>
          <cell r="J123" t="str">
            <v>cl-isidora2@tiendas.oxxo.com</v>
          </cell>
        </row>
        <row r="124">
          <cell r="I124" t="str">
            <v>50OJM</v>
          </cell>
          <cell r="J124" t="str">
            <v>cl-jorgematte@tiendas.oxxo.com</v>
          </cell>
        </row>
        <row r="125">
          <cell r="I125" t="str">
            <v>50OJC</v>
          </cell>
          <cell r="J125" t="str">
            <v>cl-josedomingocanas@tiendas.oxxo.com</v>
          </cell>
        </row>
        <row r="126">
          <cell r="I126" t="str">
            <v>50BM6</v>
          </cell>
          <cell r="J126" t="str">
            <v>cl-josefinaedwards@tiendas.oxxo.com </v>
          </cell>
        </row>
        <row r="127">
          <cell r="I127" t="str">
            <v>50OIM</v>
          </cell>
          <cell r="J127" t="str">
            <v>cl-juanmoya@tiendas.oxxo.com</v>
          </cell>
        </row>
        <row r="128">
          <cell r="I128" t="str">
            <v>50AGU</v>
          </cell>
          <cell r="J128" t="str">
            <v>cl-elaguilucho@tiendas.oxxo.com</v>
          </cell>
        </row>
        <row r="129">
          <cell r="I129" t="str">
            <v>50VHN</v>
          </cell>
          <cell r="J129" t="str">
            <v>cl-laconcepcion@tiendas.oxxo.com</v>
          </cell>
        </row>
        <row r="130">
          <cell r="I130" t="str">
            <v>50ISU</v>
          </cell>
          <cell r="J130" t="str">
            <v>cl-irarrazavalsuecia@tiendas.oxxo.com</v>
          </cell>
        </row>
        <row r="131">
          <cell r="I131" t="str">
            <v>50FLP</v>
          </cell>
          <cell r="J131" t="str">
            <v>cl-laforesta@tiendas.oxxo.com</v>
          </cell>
        </row>
        <row r="132">
          <cell r="I132" t="str">
            <v>50MAR</v>
          </cell>
          <cell r="J132" t="str">
            <v>cl-matucanaromero@tiendas.oxxo.com</v>
          </cell>
        </row>
        <row r="133">
          <cell r="I133" t="str">
            <v>50UXA</v>
          </cell>
          <cell r="J133" t="str">
            <v>cl-laplaza@tiendas.oxxo.com</v>
          </cell>
        </row>
        <row r="134">
          <cell r="I134" t="str">
            <v>50ZF3</v>
          </cell>
          <cell r="J134" t="str">
            <v>cl-pajaritos1@tiendas.oxxo.com</v>
          </cell>
        </row>
        <row r="135">
          <cell r="I135" t="str">
            <v>50LT4</v>
          </cell>
          <cell r="J135" t="str">
            <v>cl-lasbellotas@tiendas.oxxo.com</v>
          </cell>
        </row>
        <row r="136">
          <cell r="I136" t="str">
            <v>50DBW</v>
          </cell>
          <cell r="J136" t="str">
            <v>cl-renaca1@tiendas.oxxo.com</v>
          </cell>
        </row>
        <row r="137">
          <cell r="I137" t="str">
            <v>50PCL</v>
          </cell>
          <cell r="J137" t="str">
            <v>cl-condell@tiendas.oxxo.com</v>
          </cell>
        </row>
        <row r="138">
          <cell r="I138" t="str">
            <v>5039L</v>
          </cell>
          <cell r="J138" t="str">
            <v>cl-santarosamarcoleta@tiendas.oxxo.com</v>
          </cell>
        </row>
        <row r="139">
          <cell r="I139" t="str">
            <v>50BRI</v>
          </cell>
          <cell r="J139" t="str">
            <v>cl-lasbrisas@tiendas.oxxo.com</v>
          </cell>
        </row>
        <row r="140">
          <cell r="I140" t="str">
            <v>54FCS</v>
          </cell>
          <cell r="J140" t="str">
            <v>franquicialascondessanzio@tiendas.oxxo.com</v>
          </cell>
        </row>
        <row r="141">
          <cell r="I141" t="str">
            <v>50EER</v>
          </cell>
          <cell r="J141" t="str">
            <v>cl-lascondes1@tiendas.oxxo.com</v>
          </cell>
        </row>
        <row r="142">
          <cell r="I142" t="str">
            <v>50OLH</v>
          </cell>
          <cell r="J142" t="str">
            <v>cl-lashualtatas@tiendas.oxxo.com</v>
          </cell>
        </row>
        <row r="143">
          <cell r="I143" t="str">
            <v>50WMJ</v>
          </cell>
          <cell r="J143" t="str">
            <v>cl-laspataguas@tiendas.oxxo.com</v>
          </cell>
        </row>
        <row r="144">
          <cell r="I144" t="str">
            <v>50BMP</v>
          </cell>
          <cell r="J144" t="str">
            <v>cl-santodomingo@tiendas.oxxo.com </v>
          </cell>
        </row>
        <row r="145">
          <cell r="I145" t="str">
            <v>50LIB</v>
          </cell>
          <cell r="J145" t="str">
            <v>cl-libertad1@tiendas.oxxo.com</v>
          </cell>
        </row>
        <row r="146">
          <cell r="I146" t="str">
            <v>50KT5</v>
          </cell>
          <cell r="J146" t="str">
            <v>cl-pedroona@tiendas.oxxo.com</v>
          </cell>
        </row>
        <row r="147">
          <cell r="I147" t="str">
            <v>502UE</v>
          </cell>
          <cell r="J147" t="str">
            <v>cl-miraflores@tiendas.oxxo.com</v>
          </cell>
        </row>
        <row r="148">
          <cell r="I148" t="str">
            <v>50OLI</v>
          </cell>
          <cell r="J148" t="str">
            <v>cl-libertad2@tiendas.oxxo.com</v>
          </cell>
        </row>
        <row r="149">
          <cell r="I149" t="str">
            <v>50RBP</v>
          </cell>
          <cell r="J149" t="str">
            <v>cl-limacheviana@tiendas.oxxo.com</v>
          </cell>
        </row>
        <row r="150">
          <cell r="I150" t="str">
            <v>50OLY</v>
          </cell>
          <cell r="J150" t="str">
            <v>cl-lincoyan2@tiendas.oxxo.com</v>
          </cell>
        </row>
        <row r="151">
          <cell r="I151" t="str">
            <v>54FEV</v>
          </cell>
          <cell r="J151" t="str">
            <v>franquicialosleoneselvergel@tiendas.oxxo.com</v>
          </cell>
        </row>
        <row r="152">
          <cell r="I152" t="str">
            <v>50UC4</v>
          </cell>
          <cell r="J152" t="str">
            <v>cl-lautaroferrer@tiendas.oxxo.com</v>
          </cell>
        </row>
        <row r="153">
          <cell r="I153" t="str">
            <v>50VRH</v>
          </cell>
          <cell r="J153" t="str">
            <v>cl-abdoncifuentes@tiendas.oxxo.com</v>
          </cell>
        </row>
        <row r="154">
          <cell r="I154" t="str">
            <v>50LRA</v>
          </cell>
          <cell r="J154" t="str">
            <v>cl-liralira@tiendas.oxxo.com</v>
          </cell>
        </row>
        <row r="155">
          <cell r="I155">
            <v>50724</v>
          </cell>
          <cell r="J155" t="str">
            <v>cl-llico@tiendas.oxxo.com</v>
          </cell>
        </row>
        <row r="156">
          <cell r="I156" t="str">
            <v>50CLM</v>
          </cell>
          <cell r="J156" t="str">
            <v>cl-lomassansebastian@tiendas.oxxo.com</v>
          </cell>
        </row>
        <row r="157">
          <cell r="I157" t="str">
            <v>503YO</v>
          </cell>
          <cell r="J157" t="str">
            <v>cl-sandiego2@tiendas.oxxo.com</v>
          </cell>
        </row>
        <row r="158">
          <cell r="I158" t="str">
            <v>50ZVR</v>
          </cell>
          <cell r="J158" t="str">
            <v>cl-carmencovarrubia@tiendas.oxxo.com</v>
          </cell>
        </row>
        <row r="159">
          <cell r="I159" t="str">
            <v>50GDL</v>
          </cell>
          <cell r="J159" t="str">
            <v>cl-loscoligues@tiendas.oxxo.com</v>
          </cell>
        </row>
        <row r="160">
          <cell r="I160" t="str">
            <v>503A4</v>
          </cell>
          <cell r="J160" t="str">
            <v>cl-matta1@tiendas.oxxo.com</v>
          </cell>
        </row>
        <row r="161">
          <cell r="I161" t="str">
            <v>50PO9</v>
          </cell>
          <cell r="J161" t="str">
            <v>cl-brasil@tiendas.oxxo.com</v>
          </cell>
        </row>
        <row r="162">
          <cell r="I162" t="str">
            <v>50OIN</v>
          </cell>
          <cell r="J162" t="str">
            <v>cl-losingleses@tiendas.oxxo.com</v>
          </cell>
        </row>
        <row r="163">
          <cell r="I163" t="str">
            <v>504UJ</v>
          </cell>
          <cell r="J163" t="str">
            <v>cl-bandera2@tiendas.oxxo.com</v>
          </cell>
        </row>
        <row r="164">
          <cell r="I164" t="str">
            <v>50XRJ</v>
          </cell>
          <cell r="J164" t="str">
            <v>cl-losmilitares@tiendas.oxxo.com</v>
          </cell>
        </row>
        <row r="165">
          <cell r="I165" t="str">
            <v>5019M</v>
          </cell>
          <cell r="J165" t="str">
            <v>cl-losmilitares2@tiendas.oxxo.com</v>
          </cell>
        </row>
        <row r="166">
          <cell r="I166" t="str">
            <v>50B51</v>
          </cell>
          <cell r="J166" t="str">
            <v>cl-lostalaveras@tiendas.oxxo.com</v>
          </cell>
        </row>
        <row r="167">
          <cell r="I167" t="str">
            <v>50TKS</v>
          </cell>
          <cell r="J167" t="str">
            <v>cl-lostrapenses@tiendas.oxxo.com</v>
          </cell>
        </row>
        <row r="168">
          <cell r="I168" t="str">
            <v>50OLS</v>
          </cell>
          <cell r="J168" t="str">
            <v>cl-luiscarrera@tiendas.oxxo.com</v>
          </cell>
        </row>
        <row r="169">
          <cell r="I169" t="str">
            <v>50ZM4</v>
          </cell>
          <cell r="J169" t="str">
            <v>cl-capitanbynon@tiendas.oxxo.com</v>
          </cell>
        </row>
        <row r="170">
          <cell r="I170" t="str">
            <v>50KOA</v>
          </cell>
          <cell r="J170" t="str">
            <v>cl-luispasteur@tiendas.oxxo.com</v>
          </cell>
        </row>
        <row r="171">
          <cell r="I171" t="str">
            <v>50HPU</v>
          </cell>
          <cell r="J171" t="str">
            <v>cl-luisthayerojeda@tiendas.oxxo.com</v>
          </cell>
        </row>
        <row r="172">
          <cell r="I172" t="str">
            <v>50OTH</v>
          </cell>
          <cell r="J172" t="str">
            <v>cl-luisthayerojeda2@tiendas.oxxo.com</v>
          </cell>
        </row>
        <row r="173">
          <cell r="I173" t="str">
            <v>50JMU</v>
          </cell>
          <cell r="J173" t="str">
            <v>cl-lyon@tiendas.oxxo.com</v>
          </cell>
        </row>
        <row r="174">
          <cell r="I174" t="str">
            <v>50QKJ</v>
          </cell>
          <cell r="J174" t="str">
            <v>cl-lyon2@tiendas.oxxo.com</v>
          </cell>
        </row>
        <row r="175">
          <cell r="I175" t="str">
            <v>50MMT</v>
          </cell>
          <cell r="J175" t="str">
            <v>cl-mdzamoramanquehue@tiendas.oxxo.com</v>
          </cell>
        </row>
        <row r="176">
          <cell r="I176" t="str">
            <v>50MD2</v>
          </cell>
          <cell r="J176" t="str">
            <v>cl-huerfanos2@tiendas.oxxo.com</v>
          </cell>
        </row>
        <row r="177">
          <cell r="I177" t="str">
            <v>501CG</v>
          </cell>
          <cell r="J177" t="str">
            <v>cl-irarrazabal1@tiendas.oxxo.com</v>
          </cell>
        </row>
        <row r="178">
          <cell r="I178" t="str">
            <v>50UMT</v>
          </cell>
          <cell r="J178" t="str">
            <v>cl-lyon3@tiendas.oxxo.com</v>
          </cell>
        </row>
        <row r="179">
          <cell r="I179" t="str">
            <v>50OMC</v>
          </cell>
          <cell r="J179" t="str">
            <v>cl-macul@tiendas.oxxo.com</v>
          </cell>
        </row>
        <row r="180">
          <cell r="I180" t="str">
            <v>50GIA</v>
          </cell>
          <cell r="J180" t="str">
            <v>cl-agustinassnmartin2@tiendas.oxxo.com</v>
          </cell>
        </row>
        <row r="181">
          <cell r="I181" t="str">
            <v>50W8F</v>
          </cell>
          <cell r="J181" t="str">
            <v>cl-seminario2@tiendas.oxxo.com</v>
          </cell>
        </row>
        <row r="182">
          <cell r="I182" t="str">
            <v>50RCD</v>
          </cell>
          <cell r="J182" t="str">
            <v>cl-patronato@tiendas.oxxo.com</v>
          </cell>
        </row>
        <row r="183">
          <cell r="I183" t="str">
            <v>50H1H</v>
          </cell>
          <cell r="J183" t="str">
            <v>cl-mallpaseosanbernardo@tiendas.oxxo.com</v>
          </cell>
        </row>
        <row r="184">
          <cell r="I184" t="str">
            <v>506IM</v>
          </cell>
          <cell r="J184" t="str">
            <v>cl-mallpaseovina@tiendas.oxxo.com</v>
          </cell>
        </row>
        <row r="185">
          <cell r="I185" t="str">
            <v>50QO5</v>
          </cell>
          <cell r="J185" t="str">
            <v>cl-mallplazaegana2@tiendas.oxxo.com</v>
          </cell>
        </row>
        <row r="186">
          <cell r="I186" t="str">
            <v>50VSD</v>
          </cell>
          <cell r="J186" t="str">
            <v>cl-mallplazanorte@tiendas.oxxo.com</v>
          </cell>
        </row>
        <row r="187">
          <cell r="I187" t="str">
            <v>50AZF</v>
          </cell>
          <cell r="J187" t="str">
            <v>cl-sanpablo2@tiendas.oxxo.com</v>
          </cell>
        </row>
        <row r="188">
          <cell r="I188" t="str">
            <v>50VLL</v>
          </cell>
          <cell r="J188" t="str">
            <v>cl-mallplazavespucio@tiendas.oxxo.com</v>
          </cell>
        </row>
        <row r="189">
          <cell r="I189" t="str">
            <v>50OMQ</v>
          </cell>
          <cell r="J189" t="str">
            <v>cl-manquehuesur@tiendas.oxxo.com</v>
          </cell>
        </row>
        <row r="190">
          <cell r="I190" t="str">
            <v>50LVO</v>
          </cell>
          <cell r="J190" t="str">
            <v>cl-elmanzano@tiendas.oxxo.com</v>
          </cell>
        </row>
        <row r="191">
          <cell r="I191" t="str">
            <v>50MNO</v>
          </cell>
          <cell r="J191" t="str">
            <v>cl-manquehuenorte@tiendas.oxxo.com</v>
          </cell>
        </row>
        <row r="192">
          <cell r="I192" t="str">
            <v>50OMS</v>
          </cell>
          <cell r="J192" t="str">
            <v>cl-manueldelalastra@tiendas.oxxo.com</v>
          </cell>
        </row>
        <row r="193">
          <cell r="I193" t="str">
            <v>5041I</v>
          </cell>
          <cell r="J193" t="str">
            <v>cl-rosas@tiendas.oxxo.com</v>
          </cell>
        </row>
        <row r="194">
          <cell r="I194" t="str">
            <v>50ODG</v>
          </cell>
          <cell r="J194" t="str">
            <v>cl-inglaterra@tiendas.oxxo.com</v>
          </cell>
        </row>
        <row r="195">
          <cell r="I195" t="str">
            <v>502IY</v>
          </cell>
          <cell r="J195" t="str">
            <v>cl-independencia2@tiendas.oxxo.com</v>
          </cell>
        </row>
        <row r="196">
          <cell r="I196" t="str">
            <v>50XLL</v>
          </cell>
          <cell r="J196" t="str">
            <v>cl-manuelmontt@tiendas.oxxo.com</v>
          </cell>
        </row>
        <row r="197">
          <cell r="I197" t="str">
            <v>50OMO</v>
          </cell>
          <cell r="J197" t="str">
            <v>cl-manuelmontt2@tiendas.oxxo.com</v>
          </cell>
        </row>
        <row r="198">
          <cell r="I198" t="str">
            <v>50CQD</v>
          </cell>
          <cell r="J198" t="str">
            <v>cl-marchantpereira@tiendas.oxxo.com</v>
          </cell>
        </row>
        <row r="199">
          <cell r="I199" t="str">
            <v>5091B</v>
          </cell>
          <cell r="J199" t="str">
            <v>cl-holanda3@tiendas.oxxo.com</v>
          </cell>
        </row>
        <row r="200">
          <cell r="I200" t="str">
            <v>506ZY</v>
          </cell>
          <cell r="J200" t="str">
            <v>cl-pedrotorres@tiendas.oxxo.com</v>
          </cell>
        </row>
        <row r="201">
          <cell r="I201" t="str">
            <v>50TEJ</v>
          </cell>
          <cell r="J201" t="str">
            <v>cl-mardoqueofernandez@tiendas.oxxo.com</v>
          </cell>
        </row>
        <row r="202">
          <cell r="I202" t="str">
            <v>50P7X</v>
          </cell>
          <cell r="J202" t="str">
            <v>cl-pedrodevaldivia6@tiendas.oxxo.com</v>
          </cell>
        </row>
        <row r="203">
          <cell r="I203" t="str">
            <v>50OMZ</v>
          </cell>
          <cell r="J203" t="str">
            <v>cl-martindezamora@tiendas.oxxo.com</v>
          </cell>
        </row>
        <row r="204">
          <cell r="I204" t="str">
            <v>50XUH</v>
          </cell>
          <cell r="J204" t="str">
            <v>cl-matteperez@tiendas.oxxo.com</v>
          </cell>
        </row>
        <row r="205">
          <cell r="I205" t="str">
            <v>50OSM</v>
          </cell>
          <cell r="J205" t="str">
            <v>cl-merced@tiendas.oxxo.com</v>
          </cell>
        </row>
        <row r="206">
          <cell r="I206" t="str">
            <v>50MAD</v>
          </cell>
          <cell r="J206" t="str">
            <v>cl-metrobiobio@tiendas.oxxo.com</v>
          </cell>
        </row>
        <row r="207">
          <cell r="I207" t="str">
            <v>50MPC</v>
          </cell>
          <cell r="J207" t="str">
            <v>cl-metrocalycanto@tiendas.oxxo.com</v>
          </cell>
        </row>
        <row r="208">
          <cell r="I208" t="str">
            <v>50OME</v>
          </cell>
          <cell r="J208" t="str">
            <v>cl-metrochileespana@tiendas.oxxo.com</v>
          </cell>
        </row>
        <row r="209">
          <cell r="I209" t="str">
            <v>50DKO</v>
          </cell>
          <cell r="J209" t="str">
            <v>cl-metrofranklin@tiendas.oxxo.com</v>
          </cell>
        </row>
        <row r="210">
          <cell r="I210" t="str">
            <v>50AFU</v>
          </cell>
          <cell r="J210" t="str">
            <v>cl-santaamalia@tiendas.oxxo.com</v>
          </cell>
        </row>
        <row r="211">
          <cell r="I211" t="str">
            <v>50NU9</v>
          </cell>
          <cell r="J211" t="str">
            <v>cl-nataniel2@tiendas.oxxo.com</v>
          </cell>
        </row>
        <row r="212">
          <cell r="I212" t="str">
            <v>50FF5</v>
          </cell>
          <cell r="J212" t="str">
            <v>cl-metrogrutadelourdes@tiendas.oxxo.com</v>
          </cell>
        </row>
        <row r="213">
          <cell r="I213" t="str">
            <v>50KJP</v>
          </cell>
          <cell r="J213" t="str">
            <v>cl-metrohospitalelpino@tiendas.oxxo.com</v>
          </cell>
        </row>
        <row r="214">
          <cell r="I214" t="str">
            <v>50LJM</v>
          </cell>
          <cell r="J214" t="str">
            <v>cl-metroirarrazaval@tiendas.oxxo.com</v>
          </cell>
        </row>
        <row r="215">
          <cell r="I215" t="str">
            <v>50OBO</v>
          </cell>
          <cell r="J215" t="str">
            <v>cl-borgono@tiendas.oxxo.com</v>
          </cell>
        </row>
        <row r="216">
          <cell r="I216" t="str">
            <v>50SRE</v>
          </cell>
          <cell r="J216" t="str">
            <v>cl-augustagerona@tiendas.oxxo.com</v>
          </cell>
        </row>
        <row r="217">
          <cell r="I217" t="str">
            <v>50TSF</v>
          </cell>
          <cell r="J217" t="str">
            <v>cl-metroirarrazavalinea3@tiendas.oxxo.com</v>
          </cell>
        </row>
        <row r="218">
          <cell r="I218" t="str">
            <v>506RS</v>
          </cell>
          <cell r="J218" t="str">
            <v>cl-metrolacisterna@tiendas.oxxo.com</v>
          </cell>
        </row>
        <row r="219">
          <cell r="I219" t="str">
            <v>50GJS</v>
          </cell>
          <cell r="J219" t="str">
            <v>cl-metrolosleones@tiendas.oxxo.com</v>
          </cell>
        </row>
        <row r="220">
          <cell r="I220" t="str">
            <v>50BYG</v>
          </cell>
          <cell r="J220" t="str">
            <v>cl-macul1@tiendas.oxxo.com</v>
          </cell>
        </row>
        <row r="221">
          <cell r="I221" t="str">
            <v>50XCV</v>
          </cell>
          <cell r="J221" t="str">
            <v>cl-cruzdelsur@tiendas.oxxo.com</v>
          </cell>
        </row>
        <row r="222">
          <cell r="I222" t="str">
            <v>50OML</v>
          </cell>
          <cell r="J222" t="str">
            <v>cl-metrolosleones2@tiendas.oxxo.com</v>
          </cell>
        </row>
        <row r="223">
          <cell r="I223" t="str">
            <v>50OTT</v>
          </cell>
          <cell r="J223" t="str">
            <v>cl-metromatta@tiendas.oxxo.com</v>
          </cell>
        </row>
        <row r="224">
          <cell r="I224" t="str">
            <v>50SEJ</v>
          </cell>
          <cell r="J224" t="str">
            <v>cl-metromoneda@tiendas.oxxo.com</v>
          </cell>
        </row>
        <row r="225">
          <cell r="I225" t="str">
            <v>50AUF</v>
          </cell>
          <cell r="J225" t="str">
            <v>cl-padrehurtado@tiendas.oxxo.com</v>
          </cell>
        </row>
        <row r="226">
          <cell r="I226" t="str">
            <v>50K17</v>
          </cell>
          <cell r="J226" t="str">
            <v>cl-pedrodevaldivia5@tiendas.oxxo.com</v>
          </cell>
        </row>
        <row r="227">
          <cell r="I227" t="str">
            <v>50KAD</v>
          </cell>
          <cell r="J227" t="str">
            <v>cl-doctorjohow@tiendas.oxxo.com</v>
          </cell>
        </row>
        <row r="228">
          <cell r="I228" t="str">
            <v>50LWL</v>
          </cell>
          <cell r="J228" t="str">
            <v>cl-antoniotocornal@tiendas.oxxo.com</v>
          </cell>
        </row>
        <row r="229">
          <cell r="I229" t="str">
            <v>50A45</v>
          </cell>
          <cell r="J229" t="str">
            <v>cl-metromonsenoreyzaguirre@tiendas.oxxo.com</v>
          </cell>
        </row>
        <row r="230">
          <cell r="I230" t="str">
            <v>50DSH</v>
          </cell>
          <cell r="J230" t="str">
            <v>cl-metronunoa@tiendas.oxxo.com</v>
          </cell>
        </row>
        <row r="231">
          <cell r="I231" t="str">
            <v>5050J</v>
          </cell>
          <cell r="J231" t="str">
            <v>cl-mallpatiorancagua@tiendas.oxxo.com</v>
          </cell>
        </row>
        <row r="232">
          <cell r="I232" t="str">
            <v>50AJL</v>
          </cell>
          <cell r="J232" t="str">
            <v>cl-castellana@tiendas.oxxo.com</v>
          </cell>
        </row>
        <row r="233">
          <cell r="I233" t="str">
            <v>50PJ0</v>
          </cell>
          <cell r="J233" t="str">
            <v>cl-monumentochacabuco@tiendas.oxxo.com</v>
          </cell>
        </row>
        <row r="234">
          <cell r="I234" t="str">
            <v>50WUM</v>
          </cell>
          <cell r="J234" t="str">
            <v>cl-rodriguezpinto@tiendas.oxxo.com</v>
          </cell>
        </row>
        <row r="235">
          <cell r="I235" t="str">
            <v>50SQ0</v>
          </cell>
          <cell r="J235" t="str">
            <v>cl-metroplazaegana@tiendas.oxxo.com</v>
          </cell>
        </row>
        <row r="236">
          <cell r="I236" t="str">
            <v>50UKP</v>
          </cell>
          <cell r="J236" t="str">
            <v>cl-metroplazapuentealto@tiendas.oxxo.com</v>
          </cell>
        </row>
        <row r="237">
          <cell r="I237" t="str">
            <v>50IHX</v>
          </cell>
          <cell r="J237" t="str">
            <v>cl-villaalemana2@tiendas.oxxo.com</v>
          </cell>
        </row>
        <row r="238">
          <cell r="I238" t="str">
            <v>50OAC</v>
          </cell>
          <cell r="J238" t="str">
            <v>okm-alonsodecamargo@tiendas.oxxo.com</v>
          </cell>
        </row>
        <row r="239">
          <cell r="I239" t="str">
            <v>50TI7</v>
          </cell>
          <cell r="J239" t="str">
            <v>cl-rengofreire@tiendas.oxxo.com</v>
          </cell>
        </row>
        <row r="240">
          <cell r="I240" t="str">
            <v>50INN</v>
          </cell>
          <cell r="J240" t="str">
            <v>cl-quillota1@tiendas.oxxo.com</v>
          </cell>
        </row>
        <row r="241">
          <cell r="I241" t="str">
            <v>500LI</v>
          </cell>
          <cell r="J241" t="str">
            <v>cl-jjperez@tiendas.oxxo.com</v>
          </cell>
        </row>
        <row r="242">
          <cell r="I242" t="str">
            <v>50EVA</v>
          </cell>
          <cell r="J242" t="str">
            <v>cl-pratsalinas@tiendas.oxxo.com</v>
          </cell>
        </row>
        <row r="243">
          <cell r="I243" t="str">
            <v>50TCP</v>
          </cell>
          <cell r="J243" t="str">
            <v>cl-matucanasd@tiendas.oxxo.com</v>
          </cell>
        </row>
        <row r="244">
          <cell r="I244" t="str">
            <v>50QM5</v>
          </cell>
          <cell r="J244" t="str">
            <v>cl-plazainesdesuarez@tiendas.oxxo.com</v>
          </cell>
        </row>
        <row r="245">
          <cell r="I245" t="str">
            <v>508R8</v>
          </cell>
          <cell r="J245" t="str">
            <v>cl-metrotobalaba@tiendas.oxxo.com</v>
          </cell>
        </row>
        <row r="246">
          <cell r="I246" t="str">
            <v>50XJP</v>
          </cell>
          <cell r="J246" t="str">
            <v>cl-joseluiscoo@tiendas.oxxo.com</v>
          </cell>
        </row>
        <row r="247">
          <cell r="I247" t="str">
            <v>50UCH</v>
          </cell>
          <cell r="J247" t="str">
            <v>cl-metrouniversidaddechile@tiendas.oxxo.com</v>
          </cell>
        </row>
        <row r="248">
          <cell r="I248" t="str">
            <v>50FZZ</v>
          </cell>
          <cell r="J248" t="str">
            <v>cl-miradorazul@tiendas.oxxo.com</v>
          </cell>
        </row>
        <row r="249">
          <cell r="I249" t="str">
            <v>50OBM</v>
          </cell>
          <cell r="J249" t="str">
            <v>cl-bosquesdemontemar@tiendas.oxxo.com</v>
          </cell>
        </row>
        <row r="250">
          <cell r="I250" t="str">
            <v>50PWL</v>
          </cell>
          <cell r="J250" t="str">
            <v>cl-nataniel1@tiendas.oxxo.com</v>
          </cell>
        </row>
        <row r="251">
          <cell r="I251" t="str">
            <v>50XQO</v>
          </cell>
          <cell r="J251" t="str">
            <v>cl-napoleon@tiendas.oxxo.com</v>
          </cell>
        </row>
        <row r="252">
          <cell r="I252" t="str">
            <v>50FLF</v>
          </cell>
          <cell r="J252" t="str">
            <v>cl-lasverbenas@tiendas.oxxo.com</v>
          </cell>
        </row>
        <row r="253">
          <cell r="I253" t="str">
            <v>50Y74</v>
          </cell>
          <cell r="J253" t="str">
            <v>cl-10dejuliosandiego@tiendas.oxxo.com</v>
          </cell>
        </row>
        <row r="254">
          <cell r="I254" t="str">
            <v>50GP4</v>
          </cell>
          <cell r="J254" t="str">
            <v>cl-orompello@tiendas.oxxo.com</v>
          </cell>
        </row>
        <row r="255">
          <cell r="I255" t="str">
            <v>50ONC</v>
          </cell>
          <cell r="J255" t="str">
            <v>cl-natanielcox@tiendas.oxxo.com</v>
          </cell>
        </row>
        <row r="256">
          <cell r="I256" t="str">
            <v>50OCT</v>
          </cell>
          <cell r="J256" t="str">
            <v>cl-noruega@tiendas.oxxo.com</v>
          </cell>
        </row>
        <row r="257">
          <cell r="I257" t="str">
            <v>504GZ</v>
          </cell>
          <cell r="J257" t="str">
            <v>cl-ohigginsangol@tiendas.oxxo.com</v>
          </cell>
        </row>
        <row r="258">
          <cell r="I258" t="str">
            <v>50ONL</v>
          </cell>
          <cell r="J258" t="str">
            <v>cl-nuevalascondes2@tiendas.oxxo.com</v>
          </cell>
        </row>
        <row r="259">
          <cell r="I259" t="str">
            <v>503LC</v>
          </cell>
          <cell r="J259" t="str">
            <v>cl-talca2@tiendas.oxxo.com</v>
          </cell>
        </row>
        <row r="260">
          <cell r="I260" t="str">
            <v>50ARD</v>
          </cell>
          <cell r="J260" t="str">
            <v>cl-nunoa@tiendas.oxxo.com</v>
          </cell>
        </row>
        <row r="261">
          <cell r="I261" t="str">
            <v>506J6</v>
          </cell>
          <cell r="J261" t="str">
            <v>cl-abatemolina@tiendas.oxxo.com</v>
          </cell>
        </row>
        <row r="262">
          <cell r="I262" t="str">
            <v>509H6</v>
          </cell>
          <cell r="J262" t="str">
            <v>cl-machalisewel@tiendas.oxxo.com</v>
          </cell>
        </row>
        <row r="263">
          <cell r="I263" t="str">
            <v>50FNM</v>
          </cell>
          <cell r="J263" t="str">
            <v>cl-ohiggins@tiendas.oxxo.com</v>
          </cell>
        </row>
        <row r="264">
          <cell r="I264" t="str">
            <v>50OCS</v>
          </cell>
          <cell r="J264" t="str">
            <v>cl-carmensilva@tiendas.oxxo.com</v>
          </cell>
        </row>
        <row r="265">
          <cell r="I265" t="str">
            <v>50OAM</v>
          </cell>
          <cell r="J265" t="str">
            <v>okm-araucomaipu@tiendas.oxxo.com</v>
          </cell>
        </row>
        <row r="266">
          <cell r="I266" t="str">
            <v>50OPM</v>
          </cell>
          <cell r="J266" t="str">
            <v>okm-metroplazamaipu@tiendas.oxxo.com</v>
          </cell>
        </row>
        <row r="267">
          <cell r="I267" t="str">
            <v>50OST</v>
          </cell>
          <cell r="J267" t="str">
            <v>okm-subcentro@tiendas.oxxo.com</v>
          </cell>
        </row>
        <row r="268">
          <cell r="I268" t="str">
            <v>505F3</v>
          </cell>
          <cell r="J268" t="str">
            <v>cl-outletlafabrica@tiendas.oxxo.com</v>
          </cell>
        </row>
        <row r="269">
          <cell r="I269" t="str">
            <v>50YRD</v>
          </cell>
          <cell r="J269" t="str">
            <v>cl-avlaflorida@tiendas.oxxo.com</v>
          </cell>
        </row>
        <row r="270">
          <cell r="I270" t="str">
            <v>50KT9</v>
          </cell>
          <cell r="J270" t="str">
            <v>cl-plazacalera@tiendas.oxxo.com</v>
          </cell>
        </row>
        <row r="271">
          <cell r="I271" t="str">
            <v>50LAF</v>
          </cell>
          <cell r="J271" t="str">
            <v>cl-outletlaflorida@tiendas.oxxo.com</v>
          </cell>
        </row>
        <row r="272">
          <cell r="I272" t="str">
            <v>50SEA</v>
          </cell>
          <cell r="J272" t="str">
            <v>cl-outletpatiomaipu@tiendas.oxxo.com</v>
          </cell>
        </row>
        <row r="273">
          <cell r="I273" t="str">
            <v>50DPR</v>
          </cell>
          <cell r="J273" t="str">
            <v>cl-padremariano@tiendas.oxxo.com</v>
          </cell>
        </row>
        <row r="274">
          <cell r="I274" t="str">
            <v>50CEI</v>
          </cell>
          <cell r="J274" t="str">
            <v>cl-barcelona@tiendas.oxxo.com</v>
          </cell>
        </row>
        <row r="275">
          <cell r="I275" t="str">
            <v>505WD</v>
          </cell>
          <cell r="J275" t="str">
            <v>cl-partenonbotilleria@tiendas.oxxo.com</v>
          </cell>
        </row>
        <row r="276">
          <cell r="I276" t="str">
            <v>50DJE</v>
          </cell>
          <cell r="J276" t="str">
            <v>cl-partenon@tiendas.oxxo.com</v>
          </cell>
        </row>
        <row r="277">
          <cell r="I277" t="str">
            <v>50UYZ</v>
          </cell>
          <cell r="J277" t="str">
            <v>cl-paseoeltamarugo@tiendas.oxxo.com</v>
          </cell>
        </row>
        <row r="278">
          <cell r="I278" t="str">
            <v>54FPR</v>
          </cell>
          <cell r="J278" t="str">
            <v>cl-vicunamackennapte@tiendas.oxxo.com</v>
          </cell>
        </row>
        <row r="279">
          <cell r="I279" t="str">
            <v>508NJ</v>
          </cell>
          <cell r="J279" t="str">
            <v>cl-linares1@tiendas.oxxo.com</v>
          </cell>
        </row>
        <row r="280">
          <cell r="I280" t="str">
            <v>50TQB</v>
          </cell>
          <cell r="J280" t="str">
            <v>cl-paseoestadomoneda@tiendas.oxxo.com</v>
          </cell>
        </row>
        <row r="281">
          <cell r="I281" t="str">
            <v>50Q3X</v>
          </cell>
          <cell r="J281" t="str">
            <v>cl-patiobellavista@tiendas.oxxo.com</v>
          </cell>
        </row>
        <row r="282">
          <cell r="I282" t="str">
            <v>500UN</v>
          </cell>
          <cell r="J282" t="str">
            <v>cl-chiguayante@tiendas.oxxo.com</v>
          </cell>
        </row>
        <row r="283">
          <cell r="I283" t="str">
            <v>50AL4</v>
          </cell>
          <cell r="J283" t="str">
            <v>cl-anibalpinto@tiendas.oxxo.com</v>
          </cell>
        </row>
        <row r="284">
          <cell r="I284" t="str">
            <v>505VE</v>
          </cell>
          <cell r="J284" t="str">
            <v>cl-patiolosleones@tiendas.oxxo.com</v>
          </cell>
        </row>
        <row r="285">
          <cell r="I285" t="str">
            <v>50APB</v>
          </cell>
          <cell r="J285" t="str">
            <v>cl-patioquilicura@tiendas.oxxo.com</v>
          </cell>
        </row>
        <row r="286">
          <cell r="I286" t="str">
            <v>50SBL</v>
          </cell>
          <cell r="J286" t="str">
            <v>cl-pedrodevaldivia2@tiendas.oxxo.com</v>
          </cell>
        </row>
        <row r="287">
          <cell r="I287" t="str">
            <v>50GKR</v>
          </cell>
          <cell r="J287" t="str">
            <v>cl-pedrodevaldivia3@tiendas.oxxo.com</v>
          </cell>
        </row>
        <row r="288">
          <cell r="I288" t="str">
            <v>50AQY</v>
          </cell>
          <cell r="J288" t="str">
            <v>cl-pedrodevaldivia9@tiendas.oxxo.com</v>
          </cell>
        </row>
        <row r="289">
          <cell r="I289" t="str">
            <v>50PFO</v>
          </cell>
          <cell r="J289" t="str">
            <v>cl-pedrofontova@tiendas.oxxo.com</v>
          </cell>
        </row>
        <row r="290">
          <cell r="I290" t="str">
            <v>50AAF</v>
          </cell>
          <cell r="J290" t="str">
            <v>cl-priedraroja@tiendas.oxxo.com</v>
          </cell>
        </row>
        <row r="291">
          <cell r="I291" t="str">
            <v>50V11</v>
          </cell>
          <cell r="J291" t="str">
            <v>cl-arenasdetalagante@tiendas.oxxo.com</v>
          </cell>
        </row>
        <row r="292">
          <cell r="I292" t="str">
            <v>50MLM</v>
          </cell>
          <cell r="J292" t="str">
            <v>cl-pioxi@tiendas.oxxo.com</v>
          </cell>
        </row>
        <row r="293">
          <cell r="I293" t="str">
            <v>50EFH</v>
          </cell>
          <cell r="J293" t="str">
            <v>cl-placaladehesa@tiendas.oxxo.com</v>
          </cell>
        </row>
        <row r="294">
          <cell r="I294" t="str">
            <v>50FQG</v>
          </cell>
          <cell r="J294" t="str">
            <v>cl-chicureo2@tiendas.oxxo.com</v>
          </cell>
        </row>
        <row r="295">
          <cell r="I295" t="str">
            <v>50AC1</v>
          </cell>
          <cell r="J295" t="str">
            <v>cl-plazadelinca@tiendas.oxxo.com</v>
          </cell>
        </row>
        <row r="296">
          <cell r="I296" t="str">
            <v>50OPN</v>
          </cell>
          <cell r="J296" t="str">
            <v>cl-plazaegana2@tiendas.oxxo.com</v>
          </cell>
        </row>
        <row r="297">
          <cell r="I297" t="str">
            <v>50OPI</v>
          </cell>
          <cell r="J297" t="str">
            <v>cl-plazaitalia@tiendas.oxxo.com</v>
          </cell>
        </row>
        <row r="298">
          <cell r="I298" t="str">
            <v>50OSF</v>
          </cell>
          <cell r="J298" t="str">
            <v>okm-sanfranciscostaisabel@tiendas.oxxo.com</v>
          </cell>
        </row>
        <row r="299">
          <cell r="I299" t="str">
            <v>50OMI</v>
          </cell>
          <cell r="J299" t="str">
            <v>okm-mirafloresmerced@tiendas.oxxo.com</v>
          </cell>
        </row>
        <row r="300">
          <cell r="I300" t="str">
            <v>50MAI</v>
          </cell>
          <cell r="J300" t="str">
            <v>cl-plazamaipu@tiendas.oxxo.com</v>
          </cell>
        </row>
        <row r="301">
          <cell r="I301" t="str">
            <v>50HIS</v>
          </cell>
          <cell r="J301" t="str">
            <v>cl-sotomayor@tiendas.oxxo.com</v>
          </cell>
        </row>
        <row r="302">
          <cell r="I302" t="str">
            <v>5026M</v>
          </cell>
          <cell r="J302" t="str">
            <v>cl-plazavergara@tiendas.oxxo.com</v>
          </cell>
        </row>
        <row r="303">
          <cell r="I303" t="str">
            <v>50OFG</v>
          </cell>
          <cell r="J303" t="str">
            <v>okm-francisconoguera@tiendas.oxxo.com</v>
          </cell>
        </row>
        <row r="304">
          <cell r="I304" t="str">
            <v>50OSB</v>
          </cell>
          <cell r="J304" t="str">
            <v>cl-simonbolivar2@tiendas.oxxo.com</v>
          </cell>
        </row>
        <row r="305">
          <cell r="I305" t="str">
            <v>50OEX</v>
          </cell>
          <cell r="J305" t="str">
            <v>cl-exequielfernandez@tiendas.oxxo.com</v>
          </cell>
        </row>
        <row r="306">
          <cell r="I306" t="str">
            <v>50OMN</v>
          </cell>
          <cell r="J306" t="str">
            <v>okm-morande@tiendas.oxxo.com</v>
          </cell>
        </row>
        <row r="307">
          <cell r="I307" t="str">
            <v>50OSU</v>
          </cell>
          <cell r="J307" t="str">
            <v>cl-sucre@tiendas.oxxo.com</v>
          </cell>
        </row>
        <row r="308">
          <cell r="I308" t="str">
            <v>505XC</v>
          </cell>
          <cell r="J308" t="str">
            <v>cl-plazavictoria@tiendas.oxxo.com</v>
          </cell>
        </row>
        <row r="309">
          <cell r="I309" t="str">
            <v>506J4</v>
          </cell>
          <cell r="J309" t="str">
            <v>cl-portugal@tiendas.oxxo.com</v>
          </cell>
        </row>
        <row r="310">
          <cell r="I310" t="str">
            <v>50OPD</v>
          </cell>
          <cell r="J310" t="str">
            <v>cl-providenciacondell@tiendas.oxxo.com</v>
          </cell>
        </row>
        <row r="311">
          <cell r="I311" t="str">
            <v>50VOR</v>
          </cell>
          <cell r="J311" t="str">
            <v>cl-providencia2@tiendas.oxxo.com</v>
          </cell>
        </row>
        <row r="312">
          <cell r="I312" t="str">
            <v>50OSE</v>
          </cell>
          <cell r="J312" t="str">
            <v>okm-sanfranciscostaisabel@tiendas.oxxo.com</v>
          </cell>
        </row>
        <row r="313">
          <cell r="I313" t="str">
            <v>50UPK</v>
          </cell>
          <cell r="J313" t="str">
            <v>cl-quilicura1@tiendas.oxxo.com</v>
          </cell>
        </row>
        <row r="314">
          <cell r="I314" t="str">
            <v>50OAD</v>
          </cell>
          <cell r="J314" t="str">
            <v>okm-abdoncifuentes@tiendas.oxxo.com</v>
          </cell>
        </row>
        <row r="315">
          <cell r="I315" t="str">
            <v>50OQH</v>
          </cell>
          <cell r="J315" t="str">
            <v>cl-quinchamali@tiendas.oxxo.com</v>
          </cell>
        </row>
        <row r="316">
          <cell r="I316" t="str">
            <v>50OQU</v>
          </cell>
          <cell r="J316" t="str">
            <v>cl-quinta@tiendas.oxxo.com</v>
          </cell>
        </row>
        <row r="317">
          <cell r="I317" t="str">
            <v>50OSR</v>
          </cell>
          <cell r="J317" t="str">
            <v>okm-soterodelrio@tiendas.oxxo.com</v>
          </cell>
        </row>
        <row r="318">
          <cell r="I318" t="str">
            <v>50ORC</v>
          </cell>
          <cell r="J318" t="str">
            <v>cl-recreo@tiendas.oxxo.com</v>
          </cell>
        </row>
        <row r="319">
          <cell r="I319" t="str">
            <v>50OPV</v>
          </cell>
          <cell r="J319" t="str">
            <v>okm-pedrodevaldivia@tiendas.oxxo.com</v>
          </cell>
        </row>
        <row r="320">
          <cell r="I320" t="str">
            <v>50OMP</v>
          </cell>
          <cell r="J320" t="str">
            <v>okm-mallplazaoeste@tiendas.oxxo.com</v>
          </cell>
        </row>
        <row r="321">
          <cell r="I321" t="str">
            <v>50ORM</v>
          </cell>
          <cell r="J321" t="str">
            <v>cl-renaca@tiendas.oxxo.com</v>
          </cell>
        </row>
        <row r="322">
          <cell r="I322" t="str">
            <v>50OTE</v>
          </cell>
          <cell r="J322" t="str">
            <v>cl-teatinos@tiendas.oxxo.com</v>
          </cell>
        </row>
        <row r="323">
          <cell r="I323" t="str">
            <v>50OHT</v>
          </cell>
          <cell r="J323" t="str">
            <v>cl-hamburgo2@tiendas.oxxo.com</v>
          </cell>
        </row>
        <row r="324">
          <cell r="I324" t="str">
            <v>50OGA</v>
          </cell>
          <cell r="J324" t="str">
            <v>cl-granavenida@tiendas.oxxo.com</v>
          </cell>
        </row>
        <row r="325">
          <cell r="I325" t="str">
            <v>50GXO</v>
          </cell>
          <cell r="J325" t="str">
            <v>cl-renatosanchez@tiendas.oxxo.com</v>
          </cell>
        </row>
        <row r="326">
          <cell r="I326" t="str">
            <v>50ORP</v>
          </cell>
          <cell r="J326" t="str">
            <v>cl-republica@tiendas.oxxo.com</v>
          </cell>
        </row>
        <row r="327">
          <cell r="I327" t="str">
            <v>50ORI</v>
          </cell>
          <cell r="J327" t="str">
            <v>cl-riesco2@tiendas.oxxo.com</v>
          </cell>
        </row>
        <row r="328">
          <cell r="I328" t="str">
            <v>50OSJ</v>
          </cell>
          <cell r="J328" t="str">
            <v>okm-aiepsanjoaquin@tiendas.oxxo.com</v>
          </cell>
        </row>
        <row r="329">
          <cell r="I329" t="str">
            <v>50OAG</v>
          </cell>
          <cell r="J329" t="str">
            <v>cl-aiepgrajales@tiendas.oxxo.com</v>
          </cell>
        </row>
        <row r="330">
          <cell r="I330" t="str">
            <v>50OBS</v>
          </cell>
          <cell r="J330" t="str">
            <v>cl-boulevarddelsol@tiendas.oxxo.com</v>
          </cell>
        </row>
        <row r="331">
          <cell r="I331" t="str">
            <v>50RNT</v>
          </cell>
          <cell r="J331" t="str">
            <v>cl-rosarionorte@tiendas.oxxo.com</v>
          </cell>
        </row>
        <row r="332">
          <cell r="I332" t="str">
            <v>50OAZ</v>
          </cell>
          <cell r="J332" t="str">
            <v>cl-alvarez@tiendas.oxxo.com</v>
          </cell>
        </row>
        <row r="333">
          <cell r="I333" t="str">
            <v>50ORE</v>
          </cell>
          <cell r="J333" t="str">
            <v>cl-caminoreal@tiendas.oxxo.com</v>
          </cell>
        </row>
        <row r="334">
          <cell r="I334" t="str">
            <v>50ORN</v>
          </cell>
          <cell r="J334" t="str">
            <v>cl-rosarionorte2@tiendas.oxxo.com</v>
          </cell>
        </row>
        <row r="335">
          <cell r="I335" t="str">
            <v>50OAE</v>
          </cell>
          <cell r="J335" t="str">
            <v>cl-araucoestacion@tiendas.oxxo.com</v>
          </cell>
        </row>
        <row r="336">
          <cell r="I336" t="str">
            <v>50OTI</v>
          </cell>
          <cell r="J336" t="str">
            <v>okm-inmaculadacl@tiendas.oxxo.com</v>
          </cell>
        </row>
        <row r="337">
          <cell r="I337" t="str">
            <v>50ORY</v>
          </cell>
          <cell r="J337" t="str">
            <v>okm-lyoncl@tiendas.oxxo.com</v>
          </cell>
        </row>
        <row r="338">
          <cell r="I338" t="str">
            <v>50OLR</v>
          </cell>
          <cell r="J338" t="str">
            <v>okm-lareina@tiendas.oxxo.com</v>
          </cell>
        </row>
        <row r="339">
          <cell r="I339" t="str">
            <v>54FRR</v>
          </cell>
          <cell r="J339" t="str">
            <v>cl-rosariorosales@tiendas.oxxo.com</v>
          </cell>
        </row>
        <row r="340">
          <cell r="I340" t="str">
            <v>50ORS</v>
          </cell>
          <cell r="J340" t="str">
            <v>cl-rosariosur2@tiendas.oxxo.com</v>
          </cell>
        </row>
        <row r="341">
          <cell r="I341" t="str">
            <v>50F4M</v>
          </cell>
          <cell r="J341" t="str">
            <v>cl-sanantonio@tiendas.oxxo.com</v>
          </cell>
        </row>
        <row r="342">
          <cell r="I342" t="str">
            <v>50OIS</v>
          </cell>
          <cell r="J342" t="str">
            <v>okm-isabellacatolica@tiendas.oxxo.com</v>
          </cell>
        </row>
        <row r="343">
          <cell r="I343" t="str">
            <v>50VOP</v>
          </cell>
          <cell r="J343" t="str">
            <v>cl-sandamian@tiendas.oxxo.com</v>
          </cell>
        </row>
        <row r="344">
          <cell r="I344" t="str">
            <v>50OEB</v>
          </cell>
          <cell r="J344" t="str">
            <v>okm-elbosque@tiendas.oxxo.com</v>
          </cell>
        </row>
        <row r="345">
          <cell r="I345" t="str">
            <v>50AVA</v>
          </cell>
          <cell r="J345" t="str">
            <v>cl-sandiegocoquimbo@tiendas.oxxo.com</v>
          </cell>
        </row>
        <row r="346">
          <cell r="I346" t="str">
            <v>50OCL</v>
          </cell>
          <cell r="J346" t="str">
            <v>cl-colon3@tiendas.oxxo.com</v>
          </cell>
        </row>
        <row r="347">
          <cell r="I347" t="str">
            <v>50FTC</v>
          </cell>
          <cell r="J347" t="str">
            <v>cl-saneugenio@tiendas.oxxo.com</v>
          </cell>
        </row>
        <row r="348">
          <cell r="I348" t="str">
            <v>50SJS</v>
          </cell>
          <cell r="J348" t="str">
            <v>cl-sanjosedelasierra@tiendas.oxxo.com</v>
          </cell>
        </row>
        <row r="349">
          <cell r="I349" t="str">
            <v>50LVH</v>
          </cell>
          <cell r="J349" t="str">
            <v>cl-sanmartin6pte@tiendas.oxxo.com</v>
          </cell>
        </row>
        <row r="350">
          <cell r="I350" t="str">
            <v>50BFI</v>
          </cell>
          <cell r="J350" t="str">
            <v>cl-sanmartincaupolican@tiendas.oxxo.com</v>
          </cell>
        </row>
        <row r="351">
          <cell r="I351" t="str">
            <v>50OSP</v>
          </cell>
          <cell r="J351" t="str">
            <v>cl-sanpascual@tiendas.oxxo.com</v>
          </cell>
        </row>
        <row r="352">
          <cell r="I352" t="str">
            <v>50OSZ</v>
          </cell>
          <cell r="J352" t="str">
            <v>cl-santabeatriz@tiendas.oxxo.com</v>
          </cell>
        </row>
        <row r="353">
          <cell r="I353" t="str">
            <v>50OSC</v>
          </cell>
          <cell r="J353" t="str">
            <v>cl-santablanca@tiendas.oxxo.com</v>
          </cell>
        </row>
        <row r="354">
          <cell r="I354" t="str">
            <v>50JAK</v>
          </cell>
          <cell r="J354" t="str">
            <v>cl-santavictoria@tiendas.oxxo.com</v>
          </cell>
        </row>
        <row r="355">
          <cell r="I355" t="str">
            <v>50W0N</v>
          </cell>
          <cell r="J355" t="str">
            <v>cl-santiagodowntown@tiendas.oxxo.com</v>
          </cell>
        </row>
        <row r="356">
          <cell r="I356" t="str">
            <v>50SEM</v>
          </cell>
          <cell r="J356" t="str">
            <v>cl-seminario@tiendas.oxxo.com</v>
          </cell>
        </row>
        <row r="357">
          <cell r="I357" t="str">
            <v>50OCV</v>
          </cell>
          <cell r="J357" t="str">
            <v>okm-edocastillovelasco@tiendas.oxxo.com</v>
          </cell>
        </row>
        <row r="358">
          <cell r="I358" t="str">
            <v>50OSO</v>
          </cell>
          <cell r="J358" t="str">
            <v>okm-stripossa@tiendas.oxxo.com</v>
          </cell>
        </row>
        <row r="359">
          <cell r="I359" t="str">
            <v>50OPR</v>
          </cell>
          <cell r="J359" t="str">
            <v>cl-avenidaperu@tiendas.oxxo.com</v>
          </cell>
        </row>
        <row r="360">
          <cell r="I360" t="str">
            <v>50SWS</v>
          </cell>
          <cell r="J360" t="str">
            <v>cl-simonbolivar@tiendas.oxxo.com</v>
          </cell>
        </row>
        <row r="361">
          <cell r="I361" t="str">
            <v>50KJI</v>
          </cell>
          <cell r="J361" t="str">
            <v>cl-hamburgo@tiendas.oxxo.com</v>
          </cell>
        </row>
        <row r="362">
          <cell r="I362" t="str">
            <v>50OEN</v>
          </cell>
          <cell r="J362" t="str">
            <v>okm-encomenderos@tiendas.oxxo.com</v>
          </cell>
        </row>
        <row r="363">
          <cell r="I363" t="str">
            <v>50OEM</v>
          </cell>
          <cell r="J363" t="str">
            <v>okm-ciudadempresarial@tiendas.oxxo.com</v>
          </cell>
        </row>
        <row r="364">
          <cell r="I364" t="str">
            <v>50SOC</v>
          </cell>
          <cell r="J364" t="str">
            <v>cl-socofar@tiendas.oxxo.com</v>
          </cell>
        </row>
        <row r="365">
          <cell r="I365" t="str">
            <v>50OES</v>
          </cell>
          <cell r="J365" t="str">
            <v>cl-esmeralda@tiendas.oxxo.com</v>
          </cell>
        </row>
        <row r="366">
          <cell r="I366" t="str">
            <v>50OSL</v>
          </cell>
          <cell r="J366" t="str">
            <v>cl-striplarrain@tiendas.oxxo.com</v>
          </cell>
        </row>
        <row r="367">
          <cell r="I367" t="str">
            <v>50OLT</v>
          </cell>
          <cell r="J367" t="str">
            <v>cl-suecia-lota@tiendas.oxxo.com</v>
          </cell>
        </row>
        <row r="368">
          <cell r="I368" t="str">
            <v>501KO</v>
          </cell>
          <cell r="J368" t="str">
            <v>cl-talca1@tiendas.oxxo.com</v>
          </cell>
        </row>
        <row r="369">
          <cell r="I369" t="str">
            <v>50OMD</v>
          </cell>
          <cell r="J369" t="str">
            <v>cl-middleton@tiendas.oxxo.com</v>
          </cell>
        </row>
        <row r="370">
          <cell r="I370" t="str">
            <v>50OMH</v>
          </cell>
          <cell r="J370" t="str">
            <v>cl-marchantpereira2@tiendas.oxxo.com</v>
          </cell>
        </row>
        <row r="371">
          <cell r="I371" t="str">
            <v>50OTA</v>
          </cell>
          <cell r="J371" t="str">
            <v>cl-terminalalameda@tiendas.oxxo.com</v>
          </cell>
        </row>
        <row r="372">
          <cell r="I372" t="str">
            <v>504A3</v>
          </cell>
          <cell r="J372" t="str">
            <v>cl-terminaldebuses2@tiendas.oxxo.com</v>
          </cell>
        </row>
        <row r="373">
          <cell r="I373" t="str">
            <v>50OTP</v>
          </cell>
          <cell r="J373" t="str">
            <v>cl-tobalabaprovidencia@tiendas.oxxo.com</v>
          </cell>
        </row>
        <row r="374">
          <cell r="I374" t="str">
            <v>50OTL</v>
          </cell>
          <cell r="J374" t="str">
            <v>cl-toledo@tiendas.oxxo.com</v>
          </cell>
        </row>
        <row r="375">
          <cell r="I375" t="str">
            <v>50HZO</v>
          </cell>
          <cell r="J375" t="str">
            <v>cl-tristanmatta@tiendas.oxxo.com</v>
          </cell>
        </row>
        <row r="376">
          <cell r="I376" t="str">
            <v>50ODA</v>
          </cell>
          <cell r="J376" t="str">
            <v>okm-diegodealmagro@tiendas.oxxo.com</v>
          </cell>
        </row>
        <row r="377">
          <cell r="I377" t="str">
            <v>50OUV</v>
          </cell>
          <cell r="J377" t="str">
            <v>cl-unabvina@tiendas.oxxo.com</v>
          </cell>
        </row>
        <row r="378">
          <cell r="I378" t="str">
            <v>50OCQ</v>
          </cell>
          <cell r="J378" t="str">
            <v>okm-coquimbo@tiendas.oxxo.com</v>
          </cell>
        </row>
        <row r="379">
          <cell r="I379" t="str">
            <v>50OLL</v>
          </cell>
          <cell r="J379" t="str">
            <v>cl-laslilas@tiendas.oxxo.com</v>
          </cell>
        </row>
        <row r="380">
          <cell r="I380" t="str">
            <v>50OSI</v>
          </cell>
          <cell r="J380" t="str">
            <v>okm-santaisabel@tiendas.oxxo.com</v>
          </cell>
        </row>
        <row r="381">
          <cell r="I381" t="str">
            <v>50VAL</v>
          </cell>
          <cell r="J381" t="str">
            <v>cl-vespucioalbacete@tiendas.oxxo.com</v>
          </cell>
        </row>
        <row r="382">
          <cell r="I382" t="str">
            <v>50OIR</v>
          </cell>
          <cell r="J382" t="str">
            <v>okm-irarrazaval@tiendas.oxxo.com</v>
          </cell>
        </row>
        <row r="383">
          <cell r="I383" t="str">
            <v>50VNA</v>
          </cell>
          <cell r="J383" t="str">
            <v>cl-viana@tiendas.oxxo.com</v>
          </cell>
        </row>
        <row r="384">
          <cell r="I384" t="str">
            <v>50ZIR</v>
          </cell>
          <cell r="J384" t="str">
            <v>cl-vicunadiagonal@tiendas.oxxo.com</v>
          </cell>
        </row>
        <row r="385">
          <cell r="I385" t="str">
            <v>50OLM</v>
          </cell>
          <cell r="J385" t="str">
            <v>cl-escuelamilitar@tiendas.oxxo.com</v>
          </cell>
        </row>
        <row r="386">
          <cell r="I386" t="str">
            <v>50OVL</v>
          </cell>
          <cell r="J386" t="str">
            <v>cl-villuco@tiendas.oxxo.com</v>
          </cell>
        </row>
        <row r="387">
          <cell r="I387" t="str">
            <v>50ODP</v>
          </cell>
          <cell r="J387" t="str">
            <v>okm-diegoportales@tiendas.oxxo.com</v>
          </cell>
        </row>
        <row r="388">
          <cell r="I388" t="str">
            <v>50OCD</v>
          </cell>
          <cell r="J388" t="str">
            <v>okm-catedral@tiendas.oxxo.com</v>
          </cell>
        </row>
        <row r="389">
          <cell r="I389" t="str">
            <v>50OOC</v>
          </cell>
          <cell r="J389" t="str">
            <v>cl-vinadelmar@tiendas.oxxo.com</v>
          </cell>
        </row>
        <row r="390">
          <cell r="I390" t="str">
            <v>50OTO</v>
          </cell>
          <cell r="J390" t="str">
            <v>okm-toesca@tiendas.oxxo.com</v>
          </cell>
        </row>
        <row r="391">
          <cell r="I391" t="str">
            <v>50OMR</v>
          </cell>
          <cell r="J391" t="str">
            <v>okm-marcoleta@tiendas.oxxo.com</v>
          </cell>
        </row>
        <row r="392">
          <cell r="I392" t="str">
            <v>50OMM</v>
          </cell>
          <cell r="J392" t="str">
            <v>cl-maculmayorabe@tiendas.oxxo.com</v>
          </cell>
        </row>
        <row r="393">
          <cell r="I393" t="str">
            <v>50OVM</v>
          </cell>
          <cell r="J393" t="str">
            <v>cl-vicunamackenna@tiendas.oxxo.com</v>
          </cell>
        </row>
        <row r="394">
          <cell r="I394" t="str">
            <v>50OMT</v>
          </cell>
          <cell r="J394" t="str">
            <v>cl-maitencillo@tiendas.oxxo.com</v>
          </cell>
        </row>
        <row r="395">
          <cell r="I395" t="str">
            <v>50OCI</v>
          </cell>
          <cell r="J395" t="str">
            <v>cl-carmenstaisabel@tiendas.oxxo.com</v>
          </cell>
        </row>
        <row r="396">
          <cell r="I396" t="str">
            <v>5033F</v>
          </cell>
          <cell r="J396" t="str">
            <v>cl-vitacurariesco@tiendas.oxxo.com</v>
          </cell>
        </row>
        <row r="397">
          <cell r="I397" t="str">
            <v>50AQC</v>
          </cell>
          <cell r="J397" t="str">
            <v>cl-vonschroeder@tiendas.oxxo.com</v>
          </cell>
        </row>
        <row r="398">
          <cell r="I398" t="str">
            <v>50H7X</v>
          </cell>
          <cell r="J398" t="str">
            <v>cl-workladehesa@tiendas.oxxo.com</v>
          </cell>
        </row>
        <row r="399">
          <cell r="I399" t="str">
            <v>50HXH</v>
          </cell>
          <cell r="J399" t="str">
            <v>cl-worldtradecenter@tiendas.oxxo.com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Export"/>
      <sheetName val="DATOS"/>
    </sheetNames>
    <sheetDataSet>
      <sheetData sheetId="0">
        <row r="1">
          <cell r="C1" t="str">
            <v>CR</v>
          </cell>
          <cell r="D1" t="str">
            <v>Tienda</v>
          </cell>
          <cell r="E1" t="str">
            <v>Asegurada</v>
          </cell>
          <cell r="F1" t="str">
            <v>Rut</v>
          </cell>
          <cell r="G1" t="str">
            <v>Colaborador</v>
          </cell>
          <cell r="H1" t="str">
            <v>Cargo</v>
          </cell>
          <cell r="I1" t="str">
            <v>TRAMO CARGO</v>
          </cell>
          <cell r="J1" t="str">
            <v>Venta Neta</v>
          </cell>
        </row>
        <row r="2">
          <cell r="C2" t="str">
            <v>50JMU</v>
          </cell>
          <cell r="D2" t="str">
            <v>OXXO-Lyon 1</v>
          </cell>
          <cell r="E2" t="str">
            <v>No</v>
          </cell>
          <cell r="F2" t="str">
            <v>18546184-K</v>
          </cell>
          <cell r="G2" t="str">
            <v>Mendez Urbina Alejandro Andres</v>
          </cell>
          <cell r="H2" t="str">
            <v>Cajero</v>
          </cell>
          <cell r="I2">
            <v>3</v>
          </cell>
          <cell r="J2">
            <v>137829415</v>
          </cell>
        </row>
        <row r="3">
          <cell r="C3" t="str">
            <v>50JMU</v>
          </cell>
          <cell r="D3" t="str">
            <v>OXXO-Lyon 1</v>
          </cell>
          <cell r="E3" t="str">
            <v>No</v>
          </cell>
          <cell r="F3" t="str">
            <v>18934773-1</v>
          </cell>
          <cell r="G3" t="str">
            <v>Fuentes Ramirez Sebastian Andres</v>
          </cell>
          <cell r="H3" t="str">
            <v>Cajero</v>
          </cell>
          <cell r="I3">
            <v>3</v>
          </cell>
          <cell r="J3">
            <v>137829415</v>
          </cell>
        </row>
        <row r="4">
          <cell r="C4" t="str">
            <v>50JMU</v>
          </cell>
          <cell r="D4" t="str">
            <v>OXXO-Lyon 1</v>
          </cell>
          <cell r="E4" t="str">
            <v>No</v>
          </cell>
          <cell r="F4" t="str">
            <v>20039719-3</v>
          </cell>
          <cell r="G4" t="str">
            <v>Muñoz Reyes Ignacio Antonio</v>
          </cell>
          <cell r="H4" t="str">
            <v>Cajero</v>
          </cell>
          <cell r="I4">
            <v>3</v>
          </cell>
          <cell r="J4">
            <v>137829415</v>
          </cell>
        </row>
        <row r="5">
          <cell r="C5" t="str">
            <v>50JMU</v>
          </cell>
          <cell r="D5" t="str">
            <v>OXXO-Lyon 1</v>
          </cell>
          <cell r="E5" t="str">
            <v>No</v>
          </cell>
          <cell r="F5" t="str">
            <v>20973133-9</v>
          </cell>
          <cell r="G5" t="str">
            <v>Ovalle Hernandez Guilianna Elisabeth</v>
          </cell>
          <cell r="H5" t="str">
            <v>Cajero</v>
          </cell>
          <cell r="I5">
            <v>3</v>
          </cell>
          <cell r="J5">
            <v>137829415</v>
          </cell>
        </row>
        <row r="6">
          <cell r="C6" t="str">
            <v>50JMU</v>
          </cell>
          <cell r="D6" t="str">
            <v>OXXO-Lyon 1</v>
          </cell>
          <cell r="E6" t="str">
            <v>No</v>
          </cell>
          <cell r="F6" t="str">
            <v>25111914-7</v>
          </cell>
          <cell r="G6" t="str">
            <v>Zelada Anton Cinthia Marilyn</v>
          </cell>
          <cell r="H6" t="str">
            <v>Cajero</v>
          </cell>
          <cell r="I6">
            <v>3</v>
          </cell>
          <cell r="J6">
            <v>137829415</v>
          </cell>
        </row>
        <row r="7">
          <cell r="C7" t="str">
            <v>50JMU</v>
          </cell>
          <cell r="D7" t="str">
            <v>OXXO-Lyon 1</v>
          </cell>
          <cell r="E7" t="str">
            <v>No</v>
          </cell>
          <cell r="F7" t="str">
            <v>26499224-9</v>
          </cell>
          <cell r="G7" t="str">
            <v>Amaya Pantaleon Willmer Alejandro</v>
          </cell>
          <cell r="H7" t="str">
            <v>Cajero</v>
          </cell>
          <cell r="I7">
            <v>3</v>
          </cell>
          <cell r="J7">
            <v>137829415</v>
          </cell>
        </row>
        <row r="8">
          <cell r="C8" t="str">
            <v>50JMU</v>
          </cell>
          <cell r="D8" t="str">
            <v>OXXO-Lyon 1</v>
          </cell>
          <cell r="E8" t="str">
            <v>No</v>
          </cell>
          <cell r="F8" t="str">
            <v>26548093-4</v>
          </cell>
          <cell r="G8" t="str">
            <v>Chourio Arrieta Hector Alonso</v>
          </cell>
          <cell r="H8" t="str">
            <v>Cajero</v>
          </cell>
          <cell r="I8">
            <v>3</v>
          </cell>
          <cell r="J8">
            <v>137829415</v>
          </cell>
        </row>
        <row r="9">
          <cell r="C9" t="str">
            <v>50JMU</v>
          </cell>
          <cell r="D9" t="str">
            <v>OXXO-Lyon 1</v>
          </cell>
          <cell r="E9" t="str">
            <v>No</v>
          </cell>
          <cell r="F9" t="str">
            <v>26908993-8</v>
          </cell>
          <cell r="G9" t="str">
            <v>Baptista Seijas Jheison Reniel</v>
          </cell>
          <cell r="H9" t="str">
            <v>Lider</v>
          </cell>
          <cell r="I9">
            <v>1</v>
          </cell>
          <cell r="J9">
            <v>137829415</v>
          </cell>
        </row>
        <row r="10">
          <cell r="C10" t="str">
            <v>50JMU</v>
          </cell>
          <cell r="D10" t="str">
            <v>OXXO-Lyon 1</v>
          </cell>
          <cell r="E10" t="str">
            <v>No</v>
          </cell>
          <cell r="F10" t="str">
            <v>27572722-9</v>
          </cell>
          <cell r="G10" t="str">
            <v>Pereira Garcia Maria Mercedes</v>
          </cell>
          <cell r="H10" t="str">
            <v>Jefe De Sala</v>
          </cell>
          <cell r="I10">
            <v>2</v>
          </cell>
          <cell r="J10">
            <v>137829415</v>
          </cell>
        </row>
        <row r="11">
          <cell r="C11" t="str">
            <v>50JMU</v>
          </cell>
          <cell r="D11" t="str">
            <v>OXXO-Lyon 1</v>
          </cell>
          <cell r="E11" t="str">
            <v>No</v>
          </cell>
          <cell r="F11" t="str">
            <v>28171990-4</v>
          </cell>
          <cell r="G11" t="str">
            <v>Sardiña Moya Michell Andreina</v>
          </cell>
          <cell r="H11" t="str">
            <v>Cajero</v>
          </cell>
          <cell r="I11">
            <v>3</v>
          </cell>
          <cell r="J11">
            <v>137829415</v>
          </cell>
        </row>
        <row r="12">
          <cell r="C12" t="str">
            <v>50OSP</v>
          </cell>
          <cell r="D12" t="str">
            <v>OKM-San Pascual</v>
          </cell>
          <cell r="E12" t="str">
            <v>No</v>
          </cell>
          <cell r="F12" t="str">
            <v>15658986-1</v>
          </cell>
          <cell r="G12" t="str">
            <v>Parra San Martin Valeria Adriana</v>
          </cell>
          <cell r="H12" t="str">
            <v>Cajero</v>
          </cell>
          <cell r="I12">
            <v>3</v>
          </cell>
          <cell r="J12">
            <v>123406280</v>
          </cell>
        </row>
        <row r="13">
          <cell r="C13" t="str">
            <v>50OSP</v>
          </cell>
          <cell r="D13" t="str">
            <v>OKM-San Pascual</v>
          </cell>
          <cell r="E13" t="str">
            <v>No</v>
          </cell>
          <cell r="F13" t="str">
            <v>16143706-9</v>
          </cell>
          <cell r="G13" t="str">
            <v>Garcia Duarte Jose Antonio</v>
          </cell>
          <cell r="H13" t="str">
            <v>Cajero</v>
          </cell>
          <cell r="I13">
            <v>3</v>
          </cell>
          <cell r="J13">
            <v>123406280</v>
          </cell>
        </row>
        <row r="14">
          <cell r="C14" t="str">
            <v>50OSP</v>
          </cell>
          <cell r="D14" t="str">
            <v>OKM-San Pascual</v>
          </cell>
          <cell r="E14" t="str">
            <v>No</v>
          </cell>
          <cell r="F14" t="str">
            <v>19481639-1</v>
          </cell>
          <cell r="G14" t="str">
            <v>Soto Saavedra Macarena Del Carmen</v>
          </cell>
          <cell r="H14" t="str">
            <v>Cajero</v>
          </cell>
          <cell r="I14">
            <v>3</v>
          </cell>
          <cell r="J14">
            <v>123406280</v>
          </cell>
        </row>
        <row r="15">
          <cell r="C15" t="str">
            <v>50OSP</v>
          </cell>
          <cell r="D15" t="str">
            <v>OKM-San Pascual</v>
          </cell>
          <cell r="E15" t="str">
            <v>No</v>
          </cell>
          <cell r="F15" t="str">
            <v>25449425-9</v>
          </cell>
          <cell r="G15" t="str">
            <v>Arenas Gonzalez Miguel</v>
          </cell>
          <cell r="H15" t="str">
            <v>Jefe De Sala</v>
          </cell>
          <cell r="I15">
            <v>2</v>
          </cell>
          <cell r="J15">
            <v>123406280</v>
          </cell>
        </row>
        <row r="16">
          <cell r="C16" t="str">
            <v>50OSP</v>
          </cell>
          <cell r="D16" t="str">
            <v>OKM-San Pascual</v>
          </cell>
          <cell r="E16" t="str">
            <v>No</v>
          </cell>
          <cell r="F16" t="str">
            <v>26303731-6</v>
          </cell>
          <cell r="G16" t="str">
            <v>Urquiaga Julcahuanga Leydi Esthefany</v>
          </cell>
          <cell r="H16" t="str">
            <v>Jefe De Sala</v>
          </cell>
          <cell r="I16">
            <v>2</v>
          </cell>
          <cell r="J16">
            <v>123406280</v>
          </cell>
        </row>
        <row r="17">
          <cell r="C17" t="str">
            <v>50OSP</v>
          </cell>
          <cell r="D17" t="str">
            <v>OKM-San Pascual</v>
          </cell>
          <cell r="E17" t="str">
            <v>No</v>
          </cell>
          <cell r="F17" t="str">
            <v>26951873-1</v>
          </cell>
          <cell r="G17" t="str">
            <v>Rojas Flores Indira Auxiliadora</v>
          </cell>
          <cell r="H17" t="str">
            <v>Lider</v>
          </cell>
          <cell r="I17">
            <v>1</v>
          </cell>
          <cell r="J17">
            <v>123406280</v>
          </cell>
        </row>
        <row r="18">
          <cell r="C18" t="str">
            <v>50OSP</v>
          </cell>
          <cell r="D18" t="str">
            <v>OKM-San Pascual</v>
          </cell>
          <cell r="E18" t="str">
            <v>No</v>
          </cell>
          <cell r="F18" t="str">
            <v>27781418-8</v>
          </cell>
          <cell r="G18" t="str">
            <v>Francia Diaz Jaazay</v>
          </cell>
          <cell r="H18" t="str">
            <v>Cajero</v>
          </cell>
          <cell r="I18">
            <v>3</v>
          </cell>
          <cell r="J18">
            <v>123406280</v>
          </cell>
        </row>
        <row r="19">
          <cell r="C19" t="str">
            <v>50OSP</v>
          </cell>
          <cell r="D19" t="str">
            <v>OKM-San Pascual</v>
          </cell>
          <cell r="E19" t="str">
            <v>No</v>
          </cell>
          <cell r="F19" t="str">
            <v>27829219-3</v>
          </cell>
          <cell r="G19" t="str">
            <v>Cuervo Roa Anggie Viviana</v>
          </cell>
          <cell r="H19" t="str">
            <v>Cajero</v>
          </cell>
          <cell r="I19">
            <v>3</v>
          </cell>
          <cell r="J19">
            <v>123406280</v>
          </cell>
        </row>
        <row r="20">
          <cell r="C20" t="str">
            <v>50OSP</v>
          </cell>
          <cell r="D20" t="str">
            <v>OKM-San Pascual</v>
          </cell>
          <cell r="E20" t="str">
            <v>No</v>
          </cell>
          <cell r="F20" t="str">
            <v>27924257-2</v>
          </cell>
          <cell r="G20" t="str">
            <v>Guzman Blandin Jose Enrique</v>
          </cell>
          <cell r="H20" t="str">
            <v>Cajero</v>
          </cell>
          <cell r="I20">
            <v>3</v>
          </cell>
          <cell r="J20">
            <v>123406280</v>
          </cell>
        </row>
        <row r="21">
          <cell r="C21" t="str">
            <v>50OSP</v>
          </cell>
          <cell r="D21" t="str">
            <v>OKM-San Pascual</v>
          </cell>
          <cell r="E21" t="str">
            <v>No</v>
          </cell>
          <cell r="F21" t="str">
            <v>28047021-K</v>
          </cell>
          <cell r="G21" t="str">
            <v>Sequera Hernandez Lishet Esperanza</v>
          </cell>
          <cell r="H21" t="str">
            <v>Cajero</v>
          </cell>
          <cell r="I21">
            <v>3</v>
          </cell>
          <cell r="J21">
            <v>123406280</v>
          </cell>
        </row>
        <row r="22">
          <cell r="C22" t="str">
            <v>50OLI</v>
          </cell>
          <cell r="D22" t="str">
            <v>OKM-Libertad</v>
          </cell>
          <cell r="E22" t="str">
            <v>No</v>
          </cell>
          <cell r="F22" t="str">
            <v>11826274-3</v>
          </cell>
          <cell r="G22" t="str">
            <v>Caceres Bahamondes Carola Leontina</v>
          </cell>
          <cell r="H22" t="str">
            <v>Jefe De Sala</v>
          </cell>
          <cell r="I22">
            <v>2</v>
          </cell>
          <cell r="J22">
            <v>96650097</v>
          </cell>
        </row>
        <row r="23">
          <cell r="C23" t="str">
            <v>50OLI</v>
          </cell>
          <cell r="D23" t="str">
            <v>OKM-Libertad</v>
          </cell>
          <cell r="E23" t="str">
            <v>No</v>
          </cell>
          <cell r="F23" t="str">
            <v>18996117-0</v>
          </cell>
          <cell r="G23" t="str">
            <v>Renteria Mandiola Gustavo Antonio</v>
          </cell>
          <cell r="H23" t="str">
            <v>Cajero</v>
          </cell>
          <cell r="I23">
            <v>3</v>
          </cell>
          <cell r="J23">
            <v>96650097</v>
          </cell>
        </row>
        <row r="24">
          <cell r="C24" t="str">
            <v>50OLI</v>
          </cell>
          <cell r="D24" t="str">
            <v>OKM-Libertad</v>
          </cell>
          <cell r="E24" t="str">
            <v>No</v>
          </cell>
          <cell r="F24" t="str">
            <v>19328328-4</v>
          </cell>
          <cell r="G24" t="str">
            <v>Jofre Cavieres Deyanira Paula</v>
          </cell>
          <cell r="H24" t="str">
            <v>Cajero</v>
          </cell>
          <cell r="I24">
            <v>3</v>
          </cell>
          <cell r="J24">
            <v>96650097</v>
          </cell>
        </row>
        <row r="25">
          <cell r="C25" t="str">
            <v>50OLI</v>
          </cell>
          <cell r="D25" t="str">
            <v>OKM-Libertad</v>
          </cell>
          <cell r="E25" t="str">
            <v>No</v>
          </cell>
          <cell r="F25" t="str">
            <v>19490158-5</v>
          </cell>
          <cell r="G25" t="str">
            <v>Guerra Gonzalez Claudia</v>
          </cell>
          <cell r="H25" t="str">
            <v>Lider</v>
          </cell>
          <cell r="I25">
            <v>1</v>
          </cell>
          <cell r="J25">
            <v>96650097</v>
          </cell>
        </row>
        <row r="26">
          <cell r="C26" t="str">
            <v>50OLI</v>
          </cell>
          <cell r="D26" t="str">
            <v>OKM-Libertad</v>
          </cell>
          <cell r="E26" t="str">
            <v>No</v>
          </cell>
          <cell r="F26" t="str">
            <v>19774521-5</v>
          </cell>
          <cell r="G26" t="str">
            <v>Saldivar Navarro Sofia</v>
          </cell>
          <cell r="H26" t="str">
            <v>Cajero</v>
          </cell>
          <cell r="I26">
            <v>3</v>
          </cell>
          <cell r="J26">
            <v>96650097</v>
          </cell>
        </row>
        <row r="27">
          <cell r="C27" t="str">
            <v>50OLI</v>
          </cell>
          <cell r="D27" t="str">
            <v>OKM-Libertad</v>
          </cell>
          <cell r="E27" t="str">
            <v>No</v>
          </cell>
          <cell r="F27" t="str">
            <v>19803211-5</v>
          </cell>
          <cell r="G27" t="str">
            <v>Herrera Villegas Romina</v>
          </cell>
          <cell r="H27" t="str">
            <v>Cajero</v>
          </cell>
          <cell r="I27">
            <v>3</v>
          </cell>
          <cell r="J27">
            <v>96650097</v>
          </cell>
        </row>
        <row r="28">
          <cell r="C28" t="str">
            <v>50OLI</v>
          </cell>
          <cell r="D28" t="str">
            <v>OKM-Libertad</v>
          </cell>
          <cell r="E28" t="str">
            <v>No</v>
          </cell>
          <cell r="F28" t="str">
            <v>27403837-3</v>
          </cell>
          <cell r="G28" t="str">
            <v>Acosta Sucre Alejandro Jose</v>
          </cell>
          <cell r="H28" t="str">
            <v>Jefe De Sala</v>
          </cell>
          <cell r="I28">
            <v>2</v>
          </cell>
          <cell r="J28">
            <v>96650097</v>
          </cell>
        </row>
        <row r="29">
          <cell r="C29" t="str">
            <v>50OPI</v>
          </cell>
          <cell r="D29" t="str">
            <v>OKM-Plaza Italia</v>
          </cell>
          <cell r="E29" t="str">
            <v>No</v>
          </cell>
          <cell r="F29" t="str">
            <v>16043794-4</v>
          </cell>
          <cell r="G29" t="str">
            <v>Ravanal Oyarzo Daniela Jeannette</v>
          </cell>
          <cell r="H29" t="str">
            <v>Cajero</v>
          </cell>
          <cell r="I29">
            <v>3</v>
          </cell>
          <cell r="J29">
            <v>93197902</v>
          </cell>
        </row>
        <row r="30">
          <cell r="C30" t="str">
            <v>50OPI</v>
          </cell>
          <cell r="D30" t="str">
            <v>OKM-Plaza Italia</v>
          </cell>
          <cell r="E30" t="str">
            <v>No</v>
          </cell>
          <cell r="F30" t="str">
            <v>17755077-9</v>
          </cell>
          <cell r="G30" t="str">
            <v>Morales Sandoval Marcela Alejandra</v>
          </cell>
          <cell r="H30" t="str">
            <v>Cajero</v>
          </cell>
          <cell r="I30">
            <v>3</v>
          </cell>
          <cell r="J30">
            <v>93197902</v>
          </cell>
        </row>
        <row r="31">
          <cell r="C31" t="str">
            <v>50OPI</v>
          </cell>
          <cell r="D31" t="str">
            <v>OKM-Plaza Italia</v>
          </cell>
          <cell r="E31" t="str">
            <v>No</v>
          </cell>
          <cell r="F31" t="str">
            <v>18696088-2</v>
          </cell>
          <cell r="G31" t="str">
            <v>Melgarejo Porras Genesis Tabita</v>
          </cell>
          <cell r="H31" t="str">
            <v>Cajero</v>
          </cell>
          <cell r="I31">
            <v>3</v>
          </cell>
          <cell r="J31">
            <v>93197902</v>
          </cell>
        </row>
        <row r="32">
          <cell r="C32" t="str">
            <v>50OPI</v>
          </cell>
          <cell r="D32" t="str">
            <v>OKM-Plaza Italia</v>
          </cell>
          <cell r="E32" t="str">
            <v>No</v>
          </cell>
          <cell r="F32" t="str">
            <v>20279117-4</v>
          </cell>
          <cell r="G32" t="str">
            <v>Navarro Leiva Nayareth Jesus</v>
          </cell>
          <cell r="H32" t="str">
            <v>Jefe De Sala</v>
          </cell>
          <cell r="I32">
            <v>2</v>
          </cell>
          <cell r="J32">
            <v>93197902</v>
          </cell>
        </row>
        <row r="33">
          <cell r="C33" t="str">
            <v>50OPI</v>
          </cell>
          <cell r="D33" t="str">
            <v>OKM-Plaza Italia</v>
          </cell>
          <cell r="E33" t="str">
            <v>No</v>
          </cell>
          <cell r="F33" t="str">
            <v>25407526-4</v>
          </cell>
          <cell r="G33" t="str">
            <v>Figueroa Esquivel Francisco Miguel</v>
          </cell>
          <cell r="H33" t="str">
            <v>Cajero</v>
          </cell>
          <cell r="I33">
            <v>3</v>
          </cell>
          <cell r="J33">
            <v>93197902</v>
          </cell>
        </row>
        <row r="34">
          <cell r="C34" t="str">
            <v>50OPI</v>
          </cell>
          <cell r="D34" t="str">
            <v>OKM-Plaza Italia</v>
          </cell>
          <cell r="E34" t="str">
            <v>No</v>
          </cell>
          <cell r="F34" t="str">
            <v>26342443-3</v>
          </cell>
          <cell r="G34" t="str">
            <v>Paredes Marquez Maria Teresa</v>
          </cell>
          <cell r="H34" t="str">
            <v>Cajero</v>
          </cell>
          <cell r="I34">
            <v>3</v>
          </cell>
          <cell r="J34">
            <v>93197902</v>
          </cell>
        </row>
        <row r="35">
          <cell r="C35" t="str">
            <v>50OPI</v>
          </cell>
          <cell r="D35" t="str">
            <v>OKM-Plaza Italia</v>
          </cell>
          <cell r="E35" t="str">
            <v>No</v>
          </cell>
          <cell r="F35" t="str">
            <v>26689388-4</v>
          </cell>
          <cell r="G35" t="str">
            <v>Silva Lopez Solandi Del Valle</v>
          </cell>
          <cell r="H35" t="str">
            <v>Lider</v>
          </cell>
          <cell r="I35">
            <v>1</v>
          </cell>
          <cell r="J35">
            <v>93197902</v>
          </cell>
        </row>
        <row r="36">
          <cell r="C36" t="str">
            <v>50OPI</v>
          </cell>
          <cell r="D36" t="str">
            <v>OKM-Plaza Italia</v>
          </cell>
          <cell r="E36" t="str">
            <v>No</v>
          </cell>
          <cell r="F36" t="str">
            <v>26880207-K</v>
          </cell>
          <cell r="G36" t="str">
            <v>Salazar . Valery Alejandra</v>
          </cell>
          <cell r="H36" t="str">
            <v>Jefe De Sala</v>
          </cell>
          <cell r="I36">
            <v>2</v>
          </cell>
          <cell r="J36">
            <v>93197902</v>
          </cell>
        </row>
        <row r="37">
          <cell r="C37" t="str">
            <v>50OPI</v>
          </cell>
          <cell r="D37" t="str">
            <v>OKM-Plaza Italia</v>
          </cell>
          <cell r="E37" t="str">
            <v>No</v>
          </cell>
          <cell r="F37" t="str">
            <v>27829630-K</v>
          </cell>
          <cell r="G37" t="str">
            <v>Lopez Moreno Marllin Tatiana</v>
          </cell>
          <cell r="H37" t="str">
            <v>Jefe De Sala</v>
          </cell>
          <cell r="I37">
            <v>2</v>
          </cell>
          <cell r="J37">
            <v>93197902</v>
          </cell>
        </row>
        <row r="38">
          <cell r="C38" t="str">
            <v>50OMC</v>
          </cell>
          <cell r="D38" t="str">
            <v>OXXO-Macul</v>
          </cell>
          <cell r="E38" t="str">
            <v>No</v>
          </cell>
          <cell r="F38" t="str">
            <v>15720565-K</v>
          </cell>
          <cell r="G38" t="str">
            <v>Correa Inostroza Gabriela</v>
          </cell>
          <cell r="H38" t="str">
            <v>Cajero</v>
          </cell>
          <cell r="I38">
            <v>3</v>
          </cell>
          <cell r="J38">
            <v>93105690</v>
          </cell>
        </row>
        <row r="39">
          <cell r="C39" t="str">
            <v>50OMC</v>
          </cell>
          <cell r="D39" t="str">
            <v>OXXO-Macul</v>
          </cell>
          <cell r="E39" t="str">
            <v>No</v>
          </cell>
          <cell r="F39" t="str">
            <v>15805581-3</v>
          </cell>
          <cell r="G39" t="str">
            <v>Vasquez Vasquez Daisy Carolina</v>
          </cell>
          <cell r="H39" t="str">
            <v>Cajero</v>
          </cell>
          <cell r="I39">
            <v>3</v>
          </cell>
          <cell r="J39">
            <v>93105690</v>
          </cell>
        </row>
        <row r="40">
          <cell r="C40" t="str">
            <v>50OMC</v>
          </cell>
          <cell r="D40" t="str">
            <v>OXXO-Macul</v>
          </cell>
          <cell r="E40" t="str">
            <v>No</v>
          </cell>
          <cell r="F40" t="str">
            <v>16959140-7</v>
          </cell>
          <cell r="G40" t="str">
            <v>Pasten Molina Sanny</v>
          </cell>
          <cell r="H40" t="str">
            <v>Cajero</v>
          </cell>
          <cell r="I40">
            <v>3</v>
          </cell>
          <cell r="J40">
            <v>93105690</v>
          </cell>
        </row>
        <row r="41">
          <cell r="C41" t="str">
            <v>50OMC</v>
          </cell>
          <cell r="D41" t="str">
            <v>OXXO-Macul</v>
          </cell>
          <cell r="E41" t="str">
            <v>No</v>
          </cell>
          <cell r="F41" t="str">
            <v>17664563-6</v>
          </cell>
          <cell r="G41" t="str">
            <v>Ramirez Bruna Sabine Melanie</v>
          </cell>
          <cell r="H41" t="str">
            <v>Jefe De Sala</v>
          </cell>
          <cell r="I41">
            <v>2</v>
          </cell>
          <cell r="J41">
            <v>93105690</v>
          </cell>
        </row>
        <row r="42">
          <cell r="C42" t="str">
            <v>50OMC</v>
          </cell>
          <cell r="D42" t="str">
            <v>OXXO-Macul</v>
          </cell>
          <cell r="E42" t="str">
            <v>No</v>
          </cell>
          <cell r="F42" t="str">
            <v>19174644-9</v>
          </cell>
          <cell r="G42" t="str">
            <v>Reyes Araya Nicole Alejandra</v>
          </cell>
          <cell r="H42" t="str">
            <v>Cajero</v>
          </cell>
          <cell r="I42">
            <v>3</v>
          </cell>
          <cell r="J42">
            <v>93105690</v>
          </cell>
        </row>
        <row r="43">
          <cell r="C43" t="str">
            <v>50OMC</v>
          </cell>
          <cell r="D43" t="str">
            <v>OXXO-Macul</v>
          </cell>
          <cell r="E43" t="str">
            <v>No</v>
          </cell>
          <cell r="F43" t="str">
            <v>20786539-7</v>
          </cell>
          <cell r="G43" t="str">
            <v>Hurtado Painen Fernanda Ignacia</v>
          </cell>
          <cell r="H43" t="str">
            <v>Cajero</v>
          </cell>
          <cell r="I43">
            <v>3</v>
          </cell>
          <cell r="J43">
            <v>93105690</v>
          </cell>
        </row>
        <row r="44">
          <cell r="C44" t="str">
            <v>50OMC</v>
          </cell>
          <cell r="D44" t="str">
            <v>OXXO-Macul</v>
          </cell>
          <cell r="E44" t="str">
            <v>No</v>
          </cell>
          <cell r="F44" t="str">
            <v>20789549-0</v>
          </cell>
          <cell r="G44" t="str">
            <v>Silva Albornoz Ambar Victoria</v>
          </cell>
          <cell r="H44" t="str">
            <v>Cajero</v>
          </cell>
          <cell r="I44">
            <v>3</v>
          </cell>
          <cell r="J44">
            <v>93105690</v>
          </cell>
        </row>
        <row r="45">
          <cell r="C45" t="str">
            <v>50OMC</v>
          </cell>
          <cell r="D45" t="str">
            <v>OXXO-Macul</v>
          </cell>
          <cell r="E45" t="str">
            <v>No</v>
          </cell>
          <cell r="F45" t="str">
            <v>26078479-K</v>
          </cell>
          <cell r="G45" t="str">
            <v>Colmenares Barrera Yuliana Lisbeth</v>
          </cell>
          <cell r="H45" t="str">
            <v>Lider</v>
          </cell>
          <cell r="I45">
            <v>1</v>
          </cell>
          <cell r="J45">
            <v>93105690</v>
          </cell>
        </row>
        <row r="46">
          <cell r="C46" t="str">
            <v>50OMC</v>
          </cell>
          <cell r="D46" t="str">
            <v>OXXO-Macul</v>
          </cell>
          <cell r="E46" t="str">
            <v>No</v>
          </cell>
          <cell r="F46" t="str">
            <v>26985163-5</v>
          </cell>
          <cell r="G46" t="str">
            <v>Macabi Solis Angel Andres</v>
          </cell>
          <cell r="H46" t="str">
            <v>Jefe De Sala</v>
          </cell>
          <cell r="I46">
            <v>2</v>
          </cell>
          <cell r="J46">
            <v>93105690</v>
          </cell>
        </row>
        <row r="47">
          <cell r="C47" t="str">
            <v>50RNT</v>
          </cell>
          <cell r="D47" t="str">
            <v>OXXO-Rosario Norte</v>
          </cell>
          <cell r="E47" t="str">
            <v>No</v>
          </cell>
          <cell r="F47" t="str">
            <v>13714970-2</v>
          </cell>
          <cell r="G47" t="str">
            <v>Cadenas Miranda Pablo Cesar</v>
          </cell>
          <cell r="H47" t="str">
            <v>Cajero</v>
          </cell>
          <cell r="I47">
            <v>3</v>
          </cell>
          <cell r="J47">
            <v>90384535</v>
          </cell>
        </row>
        <row r="48">
          <cell r="C48" t="str">
            <v>50RNT</v>
          </cell>
          <cell r="D48" t="str">
            <v>OXXO-Rosario Norte</v>
          </cell>
          <cell r="E48" t="str">
            <v>No</v>
          </cell>
          <cell r="F48" t="str">
            <v>16686595-6</v>
          </cell>
          <cell r="G48" t="str">
            <v>Barraza Farias Katherine Victoria</v>
          </cell>
          <cell r="H48" t="str">
            <v>Cajero</v>
          </cell>
          <cell r="I48">
            <v>3</v>
          </cell>
          <cell r="J48">
            <v>90384535</v>
          </cell>
        </row>
        <row r="49">
          <cell r="C49" t="str">
            <v>50RNT</v>
          </cell>
          <cell r="D49" t="str">
            <v>OXXO-Rosario Norte</v>
          </cell>
          <cell r="E49" t="str">
            <v>No</v>
          </cell>
          <cell r="F49" t="str">
            <v>24173756-K</v>
          </cell>
          <cell r="G49" t="str">
            <v>Medina Romani Gloria Gladis</v>
          </cell>
          <cell r="H49" t="str">
            <v>Lider</v>
          </cell>
          <cell r="I49">
            <v>1</v>
          </cell>
          <cell r="J49">
            <v>90384535</v>
          </cell>
        </row>
        <row r="50">
          <cell r="C50" t="str">
            <v>50RNT</v>
          </cell>
          <cell r="D50" t="str">
            <v>OXXO-Rosario Norte</v>
          </cell>
          <cell r="E50" t="str">
            <v>No</v>
          </cell>
          <cell r="F50" t="str">
            <v>27221148-5</v>
          </cell>
          <cell r="G50" t="str">
            <v>Rondon Cabrera Gabriela Andreina</v>
          </cell>
          <cell r="H50" t="str">
            <v>Cajero</v>
          </cell>
          <cell r="I50">
            <v>3</v>
          </cell>
          <cell r="J50">
            <v>90384535</v>
          </cell>
        </row>
        <row r="51">
          <cell r="C51" t="str">
            <v>50RNT</v>
          </cell>
          <cell r="D51" t="str">
            <v>OXXO-Rosario Norte</v>
          </cell>
          <cell r="E51" t="str">
            <v>No</v>
          </cell>
          <cell r="F51" t="str">
            <v>27699634-7</v>
          </cell>
          <cell r="G51" t="str">
            <v>Chin Lopez Rowild Jesus</v>
          </cell>
          <cell r="H51" t="str">
            <v>Jefe De Sala</v>
          </cell>
          <cell r="I51">
            <v>2</v>
          </cell>
          <cell r="J51">
            <v>90384535</v>
          </cell>
        </row>
        <row r="52">
          <cell r="C52" t="str">
            <v>50RNT</v>
          </cell>
          <cell r="D52" t="str">
            <v>OXXO-Rosario Norte</v>
          </cell>
          <cell r="E52" t="str">
            <v>No</v>
          </cell>
          <cell r="F52" t="str">
            <v>27708943-2</v>
          </cell>
          <cell r="G52" t="str">
            <v>Lopez Salcedo Greylimar Jose</v>
          </cell>
          <cell r="H52" t="str">
            <v>Cajero</v>
          </cell>
          <cell r="I52">
            <v>3</v>
          </cell>
          <cell r="J52">
            <v>90384535</v>
          </cell>
        </row>
        <row r="53">
          <cell r="C53" t="str">
            <v>50RNT</v>
          </cell>
          <cell r="D53" t="str">
            <v>OXXO-Rosario Norte</v>
          </cell>
          <cell r="E53" t="str">
            <v>No</v>
          </cell>
          <cell r="F53" t="str">
            <v>27871703-8</v>
          </cell>
          <cell r="G53" t="str">
            <v>Tovar Toro Marisabel Del Valle</v>
          </cell>
          <cell r="H53" t="str">
            <v>Jefe De Sala</v>
          </cell>
          <cell r="I53">
            <v>2</v>
          </cell>
          <cell r="J53">
            <v>90384535</v>
          </cell>
        </row>
        <row r="54">
          <cell r="C54" t="str">
            <v>50RNT</v>
          </cell>
          <cell r="D54" t="str">
            <v>OXXO-Rosario Norte</v>
          </cell>
          <cell r="E54" t="str">
            <v>No</v>
          </cell>
          <cell r="F54" t="str">
            <v>27954055-7</v>
          </cell>
          <cell r="G54" t="str">
            <v>Villa Alarcon Rocio Del Pilar</v>
          </cell>
          <cell r="H54" t="str">
            <v>Cajero</v>
          </cell>
          <cell r="I54">
            <v>3</v>
          </cell>
          <cell r="J54">
            <v>90384535</v>
          </cell>
        </row>
        <row r="55">
          <cell r="C55" t="str">
            <v>50GBU</v>
          </cell>
          <cell r="D55" t="str">
            <v>OXXO-Francisco De Aguirre</v>
          </cell>
          <cell r="E55" t="str">
            <v>No</v>
          </cell>
          <cell r="F55" t="str">
            <v>18484513-K</v>
          </cell>
          <cell r="G55" t="str">
            <v>Fernandez Veliz Alex Gonzalo</v>
          </cell>
          <cell r="H55" t="str">
            <v>Cajero</v>
          </cell>
          <cell r="I55">
            <v>3</v>
          </cell>
          <cell r="J55">
            <v>89704826</v>
          </cell>
        </row>
        <row r="56">
          <cell r="C56" t="str">
            <v>50GBU</v>
          </cell>
          <cell r="D56" t="str">
            <v>OXXO-Francisco De Aguirre</v>
          </cell>
          <cell r="E56" t="str">
            <v>No</v>
          </cell>
          <cell r="F56" t="str">
            <v>19645061-0</v>
          </cell>
          <cell r="G56" t="str">
            <v>Dote Arriagada Ricardo Antai</v>
          </cell>
          <cell r="H56" t="str">
            <v>Cajero</v>
          </cell>
          <cell r="I56">
            <v>3</v>
          </cell>
          <cell r="J56">
            <v>89704826</v>
          </cell>
        </row>
        <row r="57">
          <cell r="C57" t="str">
            <v>50GBU</v>
          </cell>
          <cell r="D57" t="str">
            <v>OXXO-Francisco De Aguirre</v>
          </cell>
          <cell r="E57" t="str">
            <v>No</v>
          </cell>
          <cell r="F57" t="str">
            <v>20142076-8</v>
          </cell>
          <cell r="G57" t="str">
            <v>Mora Neira Alejandra Francisca</v>
          </cell>
          <cell r="H57" t="str">
            <v>Cajero</v>
          </cell>
          <cell r="I57">
            <v>3</v>
          </cell>
          <cell r="J57">
            <v>89704826</v>
          </cell>
        </row>
        <row r="58">
          <cell r="C58" t="str">
            <v>50GBU</v>
          </cell>
          <cell r="D58" t="str">
            <v>OXXO-Francisco De Aguirre</v>
          </cell>
          <cell r="E58" t="str">
            <v>No</v>
          </cell>
          <cell r="F58" t="str">
            <v>20258134-K</v>
          </cell>
          <cell r="G58" t="str">
            <v>Soto Catalan Ignacio Andres</v>
          </cell>
          <cell r="H58" t="str">
            <v>Cajero</v>
          </cell>
          <cell r="I58">
            <v>3</v>
          </cell>
          <cell r="J58">
            <v>89704826</v>
          </cell>
        </row>
        <row r="59">
          <cell r="C59" t="str">
            <v>50GBU</v>
          </cell>
          <cell r="D59" t="str">
            <v>OXXO-Francisco De Aguirre</v>
          </cell>
          <cell r="E59" t="str">
            <v>No</v>
          </cell>
          <cell r="F59" t="str">
            <v>20331018-8</v>
          </cell>
          <cell r="G59" t="str">
            <v>Quintre Henriquez Constanza Javiera</v>
          </cell>
          <cell r="H59" t="str">
            <v>Cajero</v>
          </cell>
          <cell r="I59">
            <v>3</v>
          </cell>
          <cell r="J59">
            <v>89704826</v>
          </cell>
        </row>
        <row r="60">
          <cell r="C60" t="str">
            <v>50GBU</v>
          </cell>
          <cell r="D60" t="str">
            <v>OXXO-Francisco De Aguirre</v>
          </cell>
          <cell r="E60" t="str">
            <v>No</v>
          </cell>
          <cell r="F60" t="str">
            <v>21718326-K</v>
          </cell>
          <cell r="G60" t="str">
            <v>Aguilar Diaz Tokyo</v>
          </cell>
          <cell r="H60" t="str">
            <v>Cajero</v>
          </cell>
          <cell r="I60">
            <v>3</v>
          </cell>
          <cell r="J60">
            <v>89704826</v>
          </cell>
        </row>
        <row r="61">
          <cell r="C61" t="str">
            <v>50GBU</v>
          </cell>
          <cell r="D61" t="str">
            <v>OXXO-Francisco De Aguirre</v>
          </cell>
          <cell r="E61" t="str">
            <v>No</v>
          </cell>
          <cell r="F61" t="str">
            <v>22138952-2</v>
          </cell>
          <cell r="G61" t="str">
            <v>Santos Celestino Evelyn Esthefany</v>
          </cell>
          <cell r="H61" t="str">
            <v>Cajero</v>
          </cell>
          <cell r="I61">
            <v>3</v>
          </cell>
          <cell r="J61">
            <v>89704826</v>
          </cell>
        </row>
        <row r="62">
          <cell r="C62" t="str">
            <v>50GBU</v>
          </cell>
          <cell r="D62" t="str">
            <v>OXXO-Francisco De Aguirre</v>
          </cell>
          <cell r="E62" t="str">
            <v>No</v>
          </cell>
          <cell r="F62" t="str">
            <v>23177191-3</v>
          </cell>
          <cell r="G62" t="str">
            <v>Nuñez Puma Marcio Giovanny</v>
          </cell>
          <cell r="H62" t="str">
            <v>Cajero</v>
          </cell>
          <cell r="I62">
            <v>3</v>
          </cell>
          <cell r="J62">
            <v>89704826</v>
          </cell>
        </row>
        <row r="63">
          <cell r="C63" t="str">
            <v>50GBU</v>
          </cell>
          <cell r="D63" t="str">
            <v>OXXO-Francisco De Aguirre</v>
          </cell>
          <cell r="E63" t="str">
            <v>No</v>
          </cell>
          <cell r="F63" t="str">
            <v>25042283-0</v>
          </cell>
          <cell r="G63" t="str">
            <v>Elias Cienfuegos Juan Carlos</v>
          </cell>
          <cell r="H63" t="str">
            <v>Cajero</v>
          </cell>
          <cell r="I63">
            <v>3</v>
          </cell>
          <cell r="J63">
            <v>89704826</v>
          </cell>
        </row>
        <row r="64">
          <cell r="C64" t="str">
            <v>50GBU</v>
          </cell>
          <cell r="D64" t="str">
            <v>OXXO-Francisco De Aguirre</v>
          </cell>
          <cell r="E64" t="str">
            <v>No</v>
          </cell>
          <cell r="F64" t="str">
            <v>25593205-5</v>
          </cell>
          <cell r="G64" t="str">
            <v>Tenorio Jaramillo Juliana Andrea</v>
          </cell>
          <cell r="H64" t="str">
            <v>Cajero</v>
          </cell>
          <cell r="I64">
            <v>3</v>
          </cell>
          <cell r="J64">
            <v>89704826</v>
          </cell>
        </row>
        <row r="65">
          <cell r="C65" t="str">
            <v>50GBU</v>
          </cell>
          <cell r="D65" t="str">
            <v>OXXO-Francisco De Aguirre</v>
          </cell>
          <cell r="E65" t="str">
            <v>No</v>
          </cell>
          <cell r="F65" t="str">
            <v>25977103-K</v>
          </cell>
          <cell r="G65" t="str">
            <v>Arias Gutierrez Jose</v>
          </cell>
          <cell r="H65" t="str">
            <v>Cajero</v>
          </cell>
          <cell r="I65">
            <v>3</v>
          </cell>
          <cell r="J65">
            <v>89704826</v>
          </cell>
        </row>
        <row r="66">
          <cell r="C66" t="str">
            <v>50GBU</v>
          </cell>
          <cell r="D66" t="str">
            <v>OXXO-Francisco De Aguirre</v>
          </cell>
          <cell r="E66" t="str">
            <v>No</v>
          </cell>
          <cell r="F66" t="str">
            <v>26271062-9</v>
          </cell>
          <cell r="G66" t="str">
            <v>Ramirez Ovallos Jesse Nathaly</v>
          </cell>
          <cell r="H66" t="str">
            <v>Lider</v>
          </cell>
          <cell r="I66">
            <v>1</v>
          </cell>
          <cell r="J66">
            <v>89704826</v>
          </cell>
        </row>
        <row r="67">
          <cell r="C67" t="str">
            <v>50GBU</v>
          </cell>
          <cell r="D67" t="str">
            <v>OXXO-Francisco De Aguirre</v>
          </cell>
          <cell r="E67" t="str">
            <v>No</v>
          </cell>
          <cell r="F67" t="str">
            <v>27704392-0</v>
          </cell>
          <cell r="G67" t="str">
            <v>Ortiz Hernandez Felipe</v>
          </cell>
          <cell r="H67" t="str">
            <v>Cajero</v>
          </cell>
          <cell r="I67">
            <v>3</v>
          </cell>
          <cell r="J67">
            <v>89704826</v>
          </cell>
        </row>
        <row r="68">
          <cell r="C68" t="str">
            <v>50GBU</v>
          </cell>
          <cell r="D68" t="str">
            <v>OXXO-Francisco De Aguirre</v>
          </cell>
          <cell r="E68" t="str">
            <v>No</v>
          </cell>
          <cell r="F68" t="str">
            <v>27958563-1</v>
          </cell>
          <cell r="G68" t="str">
            <v>Suarez Rondon Maria Antonia</v>
          </cell>
          <cell r="H68" t="str">
            <v>Cajero</v>
          </cell>
          <cell r="I68">
            <v>3</v>
          </cell>
          <cell r="J68">
            <v>89704826</v>
          </cell>
        </row>
        <row r="69">
          <cell r="C69" t="str">
            <v>50GBU</v>
          </cell>
          <cell r="D69" t="str">
            <v>OXXO-Francisco De Aguirre</v>
          </cell>
          <cell r="E69" t="str">
            <v>No</v>
          </cell>
          <cell r="F69" t="str">
            <v>28110398-9</v>
          </cell>
          <cell r="G69" t="str">
            <v>Tejeda Hernández Yenisell</v>
          </cell>
          <cell r="H69" t="str">
            <v>Cajero</v>
          </cell>
          <cell r="I69">
            <v>3</v>
          </cell>
          <cell r="J69">
            <v>89704826</v>
          </cell>
        </row>
        <row r="70">
          <cell r="C70" t="str">
            <v>50OMQ</v>
          </cell>
          <cell r="D70" t="str">
            <v>OXXO-Manquehue</v>
          </cell>
          <cell r="E70" t="str">
            <v>No</v>
          </cell>
          <cell r="F70" t="str">
            <v>12668250-6</v>
          </cell>
          <cell r="G70" t="str">
            <v>Lobos Gonzalez Hugo Antonio</v>
          </cell>
          <cell r="H70" t="str">
            <v>Jefe De Sala</v>
          </cell>
          <cell r="I70">
            <v>2</v>
          </cell>
          <cell r="J70">
            <v>87069742</v>
          </cell>
        </row>
        <row r="71">
          <cell r="C71" t="str">
            <v>50OMQ</v>
          </cell>
          <cell r="D71" t="str">
            <v>OXXO-Manquehue</v>
          </cell>
          <cell r="E71" t="str">
            <v>No</v>
          </cell>
          <cell r="F71" t="str">
            <v>18096123-2</v>
          </cell>
          <cell r="G71" t="str">
            <v>Vasquez Nuñez Mauricio Alberto</v>
          </cell>
          <cell r="H71" t="str">
            <v>Cajero</v>
          </cell>
          <cell r="I71">
            <v>3</v>
          </cell>
          <cell r="J71">
            <v>87069742</v>
          </cell>
        </row>
        <row r="72">
          <cell r="C72" t="str">
            <v>50OMQ</v>
          </cell>
          <cell r="D72" t="str">
            <v>OXXO-Manquehue</v>
          </cell>
          <cell r="E72" t="str">
            <v>No</v>
          </cell>
          <cell r="F72" t="str">
            <v>20763360-7</v>
          </cell>
          <cell r="G72" t="str">
            <v>Llevilao Marihuan Jayson Fabian</v>
          </cell>
          <cell r="H72" t="str">
            <v>Cajero</v>
          </cell>
          <cell r="I72">
            <v>3</v>
          </cell>
          <cell r="J72">
            <v>87069742</v>
          </cell>
        </row>
        <row r="73">
          <cell r="C73" t="str">
            <v>50OMQ</v>
          </cell>
          <cell r="D73" t="str">
            <v>OXXO-Manquehue</v>
          </cell>
          <cell r="E73" t="str">
            <v>No</v>
          </cell>
          <cell r="F73" t="str">
            <v>22295792-3</v>
          </cell>
          <cell r="G73" t="str">
            <v>Carvajal Martinez Matias Antonio</v>
          </cell>
          <cell r="H73" t="str">
            <v>Cajero</v>
          </cell>
          <cell r="I73">
            <v>3</v>
          </cell>
          <cell r="J73">
            <v>87069742</v>
          </cell>
        </row>
        <row r="74">
          <cell r="C74" t="str">
            <v>50OMQ</v>
          </cell>
          <cell r="D74" t="str">
            <v>OXXO-Manquehue</v>
          </cell>
          <cell r="E74" t="str">
            <v>No</v>
          </cell>
          <cell r="F74" t="str">
            <v>26395901-9</v>
          </cell>
          <cell r="G74" t="str">
            <v>Parra Gonzalez Yubisay Sermira</v>
          </cell>
          <cell r="H74" t="str">
            <v>Lider</v>
          </cell>
          <cell r="I74">
            <v>1</v>
          </cell>
          <cell r="J74">
            <v>87069742</v>
          </cell>
        </row>
        <row r="75">
          <cell r="C75" t="str">
            <v>50OMQ</v>
          </cell>
          <cell r="D75" t="str">
            <v>OXXO-Manquehue</v>
          </cell>
          <cell r="E75" t="str">
            <v>No</v>
          </cell>
          <cell r="F75" t="str">
            <v>26580294-K</v>
          </cell>
          <cell r="G75" t="str">
            <v>Blanco Blanco Anais Marianela</v>
          </cell>
          <cell r="H75" t="str">
            <v>Cajero</v>
          </cell>
          <cell r="I75">
            <v>3</v>
          </cell>
          <cell r="J75">
            <v>87069742</v>
          </cell>
        </row>
        <row r="76">
          <cell r="C76" t="str">
            <v>50OMQ</v>
          </cell>
          <cell r="D76" t="str">
            <v>OXXO-Manquehue</v>
          </cell>
          <cell r="E76" t="str">
            <v>No</v>
          </cell>
          <cell r="F76" t="str">
            <v>27872212-0</v>
          </cell>
          <cell r="G76" t="str">
            <v>Fernandez Quintero Alonso</v>
          </cell>
          <cell r="H76" t="str">
            <v>Cajero</v>
          </cell>
          <cell r="I76">
            <v>3</v>
          </cell>
          <cell r="J76">
            <v>87069742</v>
          </cell>
        </row>
        <row r="77">
          <cell r="C77" t="str">
            <v>50OMQ</v>
          </cell>
          <cell r="D77" t="str">
            <v>OXXO-Manquehue</v>
          </cell>
          <cell r="E77" t="str">
            <v>No</v>
          </cell>
          <cell r="F77" t="str">
            <v>27930597-3</v>
          </cell>
          <cell r="G77" t="str">
            <v>Jarrin Candell Keren Osmara</v>
          </cell>
          <cell r="H77" t="str">
            <v>Cajero</v>
          </cell>
          <cell r="I77">
            <v>3</v>
          </cell>
          <cell r="J77">
            <v>87069742</v>
          </cell>
        </row>
        <row r="78">
          <cell r="C78" t="str">
            <v>50OMQ</v>
          </cell>
          <cell r="D78" t="str">
            <v>OXXO-Manquehue</v>
          </cell>
          <cell r="E78" t="str">
            <v>No</v>
          </cell>
          <cell r="F78" t="str">
            <v>28079823-1</v>
          </cell>
          <cell r="G78" t="str">
            <v>Velasquez Moncayo Jose Gregorio</v>
          </cell>
          <cell r="H78" t="str">
            <v>Cajero</v>
          </cell>
          <cell r="I78">
            <v>3</v>
          </cell>
          <cell r="J78">
            <v>87069742</v>
          </cell>
        </row>
        <row r="79">
          <cell r="C79" t="str">
            <v>50OMQ</v>
          </cell>
          <cell r="D79" t="str">
            <v>OXXO-Manquehue</v>
          </cell>
          <cell r="E79" t="str">
            <v>No</v>
          </cell>
          <cell r="F79" t="str">
            <v>28470670-6</v>
          </cell>
          <cell r="G79" t="str">
            <v>Celin Fernandez Susana</v>
          </cell>
          <cell r="H79" t="str">
            <v>Cajero</v>
          </cell>
          <cell r="I79">
            <v>3</v>
          </cell>
          <cell r="J79">
            <v>87069742</v>
          </cell>
        </row>
        <row r="80">
          <cell r="C80" t="str">
            <v>50NRA</v>
          </cell>
          <cell r="D80" t="str">
            <v>OXXO-Apoquindo 2</v>
          </cell>
          <cell r="E80" t="str">
            <v>No</v>
          </cell>
          <cell r="F80" t="str">
            <v>17384269-4</v>
          </cell>
          <cell r="G80" t="str">
            <v>Parada Caceres Ruben Alejandro</v>
          </cell>
          <cell r="H80" t="str">
            <v>Cajero</v>
          </cell>
          <cell r="I80">
            <v>3</v>
          </cell>
          <cell r="J80">
            <v>82687889</v>
          </cell>
        </row>
        <row r="81">
          <cell r="C81" t="str">
            <v>50NRA</v>
          </cell>
          <cell r="D81" t="str">
            <v>OXXO-Apoquindo 2</v>
          </cell>
          <cell r="E81" t="str">
            <v>No</v>
          </cell>
          <cell r="F81" t="str">
            <v>20319072-7</v>
          </cell>
          <cell r="G81" t="str">
            <v>Valenzuela Verdugo Cristian Ignacio</v>
          </cell>
          <cell r="H81" t="str">
            <v>Cajero</v>
          </cell>
          <cell r="I81">
            <v>3</v>
          </cell>
          <cell r="J81">
            <v>82687889</v>
          </cell>
        </row>
        <row r="82">
          <cell r="C82" t="str">
            <v>50NRA</v>
          </cell>
          <cell r="D82" t="str">
            <v>OXXO-Apoquindo 2</v>
          </cell>
          <cell r="E82" t="str">
            <v>No</v>
          </cell>
          <cell r="F82" t="str">
            <v>21192555-8</v>
          </cell>
          <cell r="G82" t="str">
            <v>Cerda Coronado Jessica</v>
          </cell>
          <cell r="H82" t="str">
            <v>Cajero</v>
          </cell>
          <cell r="I82">
            <v>3</v>
          </cell>
          <cell r="J82">
            <v>82687889</v>
          </cell>
        </row>
        <row r="83">
          <cell r="C83" t="str">
            <v>50NRA</v>
          </cell>
          <cell r="D83" t="str">
            <v>OXXO-Apoquindo 2</v>
          </cell>
          <cell r="E83" t="str">
            <v>No</v>
          </cell>
          <cell r="F83" t="str">
            <v>23423033-6</v>
          </cell>
          <cell r="G83" t="str">
            <v>Mantilla Rodriguez Eida Merary</v>
          </cell>
          <cell r="H83" t="str">
            <v>Cajero</v>
          </cell>
          <cell r="I83">
            <v>3</v>
          </cell>
          <cell r="J83">
            <v>82687889</v>
          </cell>
        </row>
        <row r="84">
          <cell r="C84" t="str">
            <v>50NRA</v>
          </cell>
          <cell r="D84" t="str">
            <v>OXXO-Apoquindo 2</v>
          </cell>
          <cell r="E84" t="str">
            <v>No</v>
          </cell>
          <cell r="F84" t="str">
            <v>26569690-2</v>
          </cell>
          <cell r="G84" t="str">
            <v>Navarro Tomala Addis Elian</v>
          </cell>
          <cell r="H84" t="str">
            <v>Jefe De Sala</v>
          </cell>
          <cell r="I84">
            <v>2</v>
          </cell>
          <cell r="J84">
            <v>82687889</v>
          </cell>
        </row>
        <row r="85">
          <cell r="C85" t="str">
            <v>50NRA</v>
          </cell>
          <cell r="D85" t="str">
            <v>OXXO-Apoquindo 2</v>
          </cell>
          <cell r="E85" t="str">
            <v>No</v>
          </cell>
          <cell r="F85" t="str">
            <v>26971374-7</v>
          </cell>
          <cell r="G85" t="str">
            <v>Quintero Bermudez Laura Mercedes</v>
          </cell>
          <cell r="H85" t="str">
            <v>Lider</v>
          </cell>
          <cell r="I85">
            <v>1</v>
          </cell>
          <cell r="J85">
            <v>82687889</v>
          </cell>
        </row>
        <row r="86">
          <cell r="C86" t="str">
            <v>50NRA</v>
          </cell>
          <cell r="D86" t="str">
            <v>OXXO-Apoquindo 2</v>
          </cell>
          <cell r="E86" t="str">
            <v>No</v>
          </cell>
          <cell r="F86" t="str">
            <v>27868868-2</v>
          </cell>
          <cell r="G86" t="str">
            <v>Torres Caceres Karanodakasayi</v>
          </cell>
          <cell r="H86" t="str">
            <v>Jefe De Sala</v>
          </cell>
          <cell r="I86">
            <v>2</v>
          </cell>
          <cell r="J86">
            <v>82687889</v>
          </cell>
        </row>
        <row r="87">
          <cell r="C87" t="str">
            <v>50OPM</v>
          </cell>
          <cell r="D87" t="str">
            <v>OKM-Metro Plaza Maipú</v>
          </cell>
          <cell r="E87" t="str">
            <v>No</v>
          </cell>
          <cell r="F87" t="str">
            <v>19289537-5</v>
          </cell>
          <cell r="G87" t="str">
            <v>Jiménez Alarcón Javier Hernan</v>
          </cell>
          <cell r="H87" t="str">
            <v>Cajero</v>
          </cell>
          <cell r="I87">
            <v>3</v>
          </cell>
          <cell r="J87">
            <v>82489276</v>
          </cell>
        </row>
        <row r="88">
          <cell r="C88" t="str">
            <v>50OPM</v>
          </cell>
          <cell r="D88" t="str">
            <v>OKM-Metro Plaza Maipú</v>
          </cell>
          <cell r="E88" t="str">
            <v>No</v>
          </cell>
          <cell r="F88" t="str">
            <v>27515583-7</v>
          </cell>
          <cell r="G88" t="str">
            <v>Piñango Medina Eucaris Johemir</v>
          </cell>
          <cell r="H88" t="str">
            <v>Lider</v>
          </cell>
          <cell r="I88">
            <v>1</v>
          </cell>
          <cell r="J88">
            <v>82489276</v>
          </cell>
        </row>
        <row r="89">
          <cell r="C89" t="str">
            <v>50OPM</v>
          </cell>
          <cell r="D89" t="str">
            <v>OKM-Metro Plaza Maipú</v>
          </cell>
          <cell r="E89" t="str">
            <v>No</v>
          </cell>
          <cell r="F89" t="str">
            <v>27733023-7</v>
          </cell>
          <cell r="G89" t="str">
            <v>Rodriguez De Marti Doris Cristina</v>
          </cell>
          <cell r="H89" t="str">
            <v>Jefe De Sala</v>
          </cell>
          <cell r="I89">
            <v>2</v>
          </cell>
          <cell r="J89">
            <v>82489276</v>
          </cell>
        </row>
        <row r="90">
          <cell r="C90" t="str">
            <v>50OPM</v>
          </cell>
          <cell r="D90" t="str">
            <v>OKM-Metro Plaza Maipú</v>
          </cell>
          <cell r="E90" t="str">
            <v>No</v>
          </cell>
          <cell r="F90" t="str">
            <v>27852726-3</v>
          </cell>
          <cell r="G90" t="str">
            <v>Reyes Salaya Mariana De Los Angeles</v>
          </cell>
          <cell r="H90" t="str">
            <v>Cajero</v>
          </cell>
          <cell r="I90">
            <v>3</v>
          </cell>
          <cell r="J90">
            <v>82489276</v>
          </cell>
        </row>
        <row r="91">
          <cell r="C91" t="str">
            <v>50HIS</v>
          </cell>
          <cell r="D91" t="str">
            <v>OXXO-Plaza Sotomayor - Valparaiso</v>
          </cell>
          <cell r="E91" t="str">
            <v>No</v>
          </cell>
          <cell r="F91" t="str">
            <v>12496249-8</v>
          </cell>
          <cell r="G91" t="str">
            <v>Benavides Castillo Gloria Angelica</v>
          </cell>
          <cell r="H91" t="str">
            <v>Cajero</v>
          </cell>
          <cell r="I91">
            <v>3</v>
          </cell>
          <cell r="J91">
            <v>81801964</v>
          </cell>
        </row>
        <row r="92">
          <cell r="C92" t="str">
            <v>50HIS</v>
          </cell>
          <cell r="D92" t="str">
            <v>OXXO-Plaza Sotomayor - Valparaiso</v>
          </cell>
          <cell r="E92" t="str">
            <v>No</v>
          </cell>
          <cell r="F92" t="str">
            <v>17139702-2</v>
          </cell>
          <cell r="G92" t="str">
            <v>Quezada Núñez Jacqueline Stefani</v>
          </cell>
          <cell r="H92" t="str">
            <v>Cajero</v>
          </cell>
          <cell r="I92">
            <v>3</v>
          </cell>
          <cell r="J92">
            <v>81801964</v>
          </cell>
        </row>
        <row r="93">
          <cell r="C93" t="str">
            <v>50HIS</v>
          </cell>
          <cell r="D93" t="str">
            <v>OXXO-Plaza Sotomayor - Valparaiso</v>
          </cell>
          <cell r="E93" t="str">
            <v>No</v>
          </cell>
          <cell r="F93" t="str">
            <v>17142038-5</v>
          </cell>
          <cell r="G93" t="str">
            <v>Martínez Ávalos Roxana Andrea</v>
          </cell>
          <cell r="H93" t="str">
            <v>Cajero</v>
          </cell>
          <cell r="I93">
            <v>3</v>
          </cell>
          <cell r="J93">
            <v>81801964</v>
          </cell>
        </row>
        <row r="94">
          <cell r="C94" t="str">
            <v>50HIS</v>
          </cell>
          <cell r="D94" t="str">
            <v>OXXO-Plaza Sotomayor - Valparaiso</v>
          </cell>
          <cell r="E94" t="str">
            <v>No</v>
          </cell>
          <cell r="F94" t="str">
            <v>19013941-7</v>
          </cell>
          <cell r="G94" t="str">
            <v>Molina Molina Jordan Giovanny</v>
          </cell>
          <cell r="H94" t="str">
            <v>Cajero</v>
          </cell>
          <cell r="I94">
            <v>3</v>
          </cell>
          <cell r="J94">
            <v>81801964</v>
          </cell>
        </row>
        <row r="95">
          <cell r="C95" t="str">
            <v>50HIS</v>
          </cell>
          <cell r="D95" t="str">
            <v>OXXO-Plaza Sotomayor - Valparaiso</v>
          </cell>
          <cell r="E95" t="str">
            <v>No</v>
          </cell>
          <cell r="F95" t="str">
            <v>19176527-3</v>
          </cell>
          <cell r="G95" t="str">
            <v>Gonzalez Sepulveda David Vicente</v>
          </cell>
          <cell r="H95" t="str">
            <v>Cajero</v>
          </cell>
          <cell r="I95">
            <v>3</v>
          </cell>
          <cell r="J95">
            <v>81801964</v>
          </cell>
        </row>
        <row r="96">
          <cell r="C96" t="str">
            <v>50HIS</v>
          </cell>
          <cell r="D96" t="str">
            <v>OXXO-Plaza Sotomayor - Valparaiso</v>
          </cell>
          <cell r="E96" t="str">
            <v>No</v>
          </cell>
          <cell r="F96" t="str">
            <v>19940068-1</v>
          </cell>
          <cell r="G96" t="str">
            <v>Maynou Balladares Nicole Andrea</v>
          </cell>
          <cell r="H96" t="str">
            <v>Cajero</v>
          </cell>
          <cell r="I96">
            <v>3</v>
          </cell>
          <cell r="J96">
            <v>81801964</v>
          </cell>
        </row>
        <row r="97">
          <cell r="C97" t="str">
            <v>50HIS</v>
          </cell>
          <cell r="D97" t="str">
            <v>OXXO-Plaza Sotomayor - Valparaiso</v>
          </cell>
          <cell r="E97" t="str">
            <v>No</v>
          </cell>
          <cell r="F97" t="str">
            <v>20478464-7</v>
          </cell>
          <cell r="G97" t="str">
            <v>Altamirano Villarroel Javiera Valentina</v>
          </cell>
          <cell r="H97" t="str">
            <v>Jefe De Sala</v>
          </cell>
          <cell r="I97">
            <v>2</v>
          </cell>
          <cell r="J97">
            <v>81801964</v>
          </cell>
        </row>
        <row r="98">
          <cell r="C98" t="str">
            <v>50HIS</v>
          </cell>
          <cell r="D98" t="str">
            <v>OXXO-Plaza Sotomayor - Valparaiso</v>
          </cell>
          <cell r="E98" t="str">
            <v>No</v>
          </cell>
          <cell r="F98" t="str">
            <v>26409540-9</v>
          </cell>
          <cell r="G98" t="str">
            <v>Romero Barrios Adriana Manuella</v>
          </cell>
          <cell r="H98" t="str">
            <v>Lider</v>
          </cell>
          <cell r="I98">
            <v>1</v>
          </cell>
          <cell r="J98">
            <v>81801964</v>
          </cell>
        </row>
        <row r="99">
          <cell r="C99" t="str">
            <v>50HIS</v>
          </cell>
          <cell r="D99" t="str">
            <v>OXXO-Plaza Sotomayor - Valparaiso</v>
          </cell>
          <cell r="E99" t="str">
            <v>No</v>
          </cell>
          <cell r="F99" t="str">
            <v>26422147-1</v>
          </cell>
          <cell r="G99" t="str">
            <v>Madrid Lopez Santo Domingo</v>
          </cell>
          <cell r="H99" t="str">
            <v>Jefe De Sala</v>
          </cell>
          <cell r="I99">
            <v>2</v>
          </cell>
          <cell r="J99">
            <v>81801964</v>
          </cell>
        </row>
        <row r="100">
          <cell r="C100" t="str">
            <v>50GJS</v>
          </cell>
          <cell r="D100" t="str">
            <v>OXXO-Metro Los Leones</v>
          </cell>
          <cell r="E100" t="str">
            <v>No</v>
          </cell>
          <cell r="F100" t="str">
            <v>19494542-6</v>
          </cell>
          <cell r="G100" t="str">
            <v>De La Vega Sandoval Allysson</v>
          </cell>
          <cell r="H100" t="str">
            <v>Jefe De Sala</v>
          </cell>
          <cell r="I100">
            <v>2</v>
          </cell>
          <cell r="J100">
            <v>81273463</v>
          </cell>
        </row>
        <row r="101">
          <cell r="C101" t="str">
            <v>50GJS</v>
          </cell>
          <cell r="D101" t="str">
            <v>OXXO-Metro Los Leones</v>
          </cell>
          <cell r="E101" t="str">
            <v>No</v>
          </cell>
          <cell r="F101" t="str">
            <v>27918001-1</v>
          </cell>
          <cell r="G101" t="str">
            <v>Obregon Matienzo Julio</v>
          </cell>
          <cell r="H101" t="str">
            <v>Lider</v>
          </cell>
          <cell r="I101">
            <v>1</v>
          </cell>
          <cell r="J101">
            <v>81273463</v>
          </cell>
        </row>
        <row r="102">
          <cell r="C102" t="str">
            <v>50OMS</v>
          </cell>
          <cell r="D102" t="str">
            <v>OXXO-Manuel De La Lastra</v>
          </cell>
          <cell r="E102" t="str">
            <v>No</v>
          </cell>
          <cell r="F102" t="str">
            <v>12881756-5</v>
          </cell>
          <cell r="G102" t="str">
            <v>Gonzalez Pino Cristian Segundo</v>
          </cell>
          <cell r="H102" t="str">
            <v>Cajero</v>
          </cell>
          <cell r="I102">
            <v>3</v>
          </cell>
          <cell r="J102">
            <v>80988737</v>
          </cell>
        </row>
        <row r="103">
          <cell r="C103" t="str">
            <v>50OMS</v>
          </cell>
          <cell r="D103" t="str">
            <v>OXXO-Manuel De La Lastra</v>
          </cell>
          <cell r="E103" t="str">
            <v>No</v>
          </cell>
          <cell r="F103" t="str">
            <v>17057478-8</v>
          </cell>
          <cell r="G103" t="str">
            <v>Melin Huircan Sebastiana</v>
          </cell>
          <cell r="H103" t="str">
            <v>Jefe De Sala</v>
          </cell>
          <cell r="I103">
            <v>2</v>
          </cell>
          <cell r="J103">
            <v>80988737</v>
          </cell>
        </row>
        <row r="104">
          <cell r="C104" t="str">
            <v>50OMS</v>
          </cell>
          <cell r="D104" t="str">
            <v>OXXO-Manuel De La Lastra</v>
          </cell>
          <cell r="E104" t="str">
            <v>No</v>
          </cell>
          <cell r="F104" t="str">
            <v>17919776-6</v>
          </cell>
          <cell r="G104" t="str">
            <v>Perez Navarrete Nicole De Lourdes</v>
          </cell>
          <cell r="H104" t="str">
            <v>Cajero</v>
          </cell>
          <cell r="I104">
            <v>3</v>
          </cell>
          <cell r="J104">
            <v>80988737</v>
          </cell>
        </row>
        <row r="105">
          <cell r="C105" t="str">
            <v>50OMS</v>
          </cell>
          <cell r="D105" t="str">
            <v>OXXO-Manuel De La Lastra</v>
          </cell>
          <cell r="E105" t="str">
            <v>No</v>
          </cell>
          <cell r="F105" t="str">
            <v>19306989-4</v>
          </cell>
          <cell r="G105" t="str">
            <v>Bracchitta Chavarri Tomas</v>
          </cell>
          <cell r="H105" t="str">
            <v>Cajero</v>
          </cell>
          <cell r="I105">
            <v>3</v>
          </cell>
          <cell r="J105">
            <v>80988737</v>
          </cell>
        </row>
        <row r="106">
          <cell r="C106" t="str">
            <v>50OMS</v>
          </cell>
          <cell r="D106" t="str">
            <v>OXXO-Manuel De La Lastra</v>
          </cell>
          <cell r="E106" t="str">
            <v>No</v>
          </cell>
          <cell r="F106" t="str">
            <v>21189834-8</v>
          </cell>
          <cell r="G106" t="str">
            <v>Sepulveda Paredes Yasmin Carolina</v>
          </cell>
          <cell r="H106" t="str">
            <v>Cajero</v>
          </cell>
          <cell r="I106">
            <v>3</v>
          </cell>
          <cell r="J106">
            <v>80988737</v>
          </cell>
        </row>
        <row r="107">
          <cell r="C107" t="str">
            <v>50OMS</v>
          </cell>
          <cell r="D107" t="str">
            <v>OXXO-Manuel De La Lastra</v>
          </cell>
          <cell r="E107" t="str">
            <v>No</v>
          </cell>
          <cell r="F107" t="str">
            <v>25907082-1</v>
          </cell>
          <cell r="G107" t="str">
            <v>Peñaloza Roa Alexandra</v>
          </cell>
          <cell r="H107" t="str">
            <v>Lider</v>
          </cell>
          <cell r="I107">
            <v>1</v>
          </cell>
          <cell r="J107">
            <v>80988737</v>
          </cell>
        </row>
        <row r="108">
          <cell r="C108" t="str">
            <v>50OMS</v>
          </cell>
          <cell r="D108" t="str">
            <v>OXXO-Manuel De La Lastra</v>
          </cell>
          <cell r="E108" t="str">
            <v>No</v>
          </cell>
          <cell r="F108" t="str">
            <v>26985221-6</v>
          </cell>
          <cell r="G108" t="str">
            <v>Mendoza Marcano Andres Eduardo</v>
          </cell>
          <cell r="H108" t="str">
            <v>Cajero</v>
          </cell>
          <cell r="I108">
            <v>3</v>
          </cell>
          <cell r="J108">
            <v>80988737</v>
          </cell>
        </row>
        <row r="109">
          <cell r="C109" t="str">
            <v>50OMS</v>
          </cell>
          <cell r="D109" t="str">
            <v>OXXO-Manuel De La Lastra</v>
          </cell>
          <cell r="E109" t="str">
            <v>No</v>
          </cell>
          <cell r="F109" t="str">
            <v>27807984-8</v>
          </cell>
          <cell r="G109" t="str">
            <v>Velasquez Aguilera Romy</v>
          </cell>
          <cell r="H109" t="str">
            <v>Jefe De Sala</v>
          </cell>
          <cell r="I109">
            <v>2</v>
          </cell>
          <cell r="J109">
            <v>80988737</v>
          </cell>
        </row>
        <row r="110">
          <cell r="C110" t="str">
            <v>50OMS</v>
          </cell>
          <cell r="D110" t="str">
            <v>OXXO-Manuel De La Lastra</v>
          </cell>
          <cell r="E110" t="str">
            <v>No</v>
          </cell>
          <cell r="F110" t="str">
            <v>28133300-3</v>
          </cell>
          <cell r="G110" t="str">
            <v>Castro Gomez Carlos Alberto</v>
          </cell>
          <cell r="H110" t="str">
            <v>Cajero</v>
          </cell>
          <cell r="I110">
            <v>3</v>
          </cell>
          <cell r="J110">
            <v>80988737</v>
          </cell>
        </row>
        <row r="111">
          <cell r="C111" t="str">
            <v>50OMS</v>
          </cell>
          <cell r="D111" t="str">
            <v>OXXO-Manuel De La Lastra</v>
          </cell>
          <cell r="E111" t="str">
            <v>No</v>
          </cell>
          <cell r="F111" t="str">
            <v>28231770-2</v>
          </cell>
          <cell r="G111" t="str">
            <v>Leon Castaño Cristal</v>
          </cell>
          <cell r="H111" t="str">
            <v>Cajero</v>
          </cell>
          <cell r="I111">
            <v>3</v>
          </cell>
          <cell r="J111">
            <v>80988737</v>
          </cell>
        </row>
        <row r="112">
          <cell r="C112" t="str">
            <v>50HCL</v>
          </cell>
          <cell r="D112" t="str">
            <v>OXXO-Alcantara 2</v>
          </cell>
          <cell r="E112" t="str">
            <v>No</v>
          </cell>
          <cell r="F112" t="str">
            <v>07773119-9</v>
          </cell>
          <cell r="G112" t="str">
            <v>Arroyo Sazo Rosa Maria</v>
          </cell>
          <cell r="H112" t="str">
            <v>Cajero</v>
          </cell>
          <cell r="I112">
            <v>3</v>
          </cell>
          <cell r="J112">
            <v>80816024</v>
          </cell>
        </row>
        <row r="113">
          <cell r="C113" t="str">
            <v>50HCL</v>
          </cell>
          <cell r="D113" t="str">
            <v>OXXO-Alcantara 2</v>
          </cell>
          <cell r="E113" t="str">
            <v>No</v>
          </cell>
          <cell r="F113" t="str">
            <v>13232556-1</v>
          </cell>
          <cell r="G113" t="str">
            <v>Espinoza Marchant Fernando Andres</v>
          </cell>
          <cell r="H113" t="str">
            <v>Jefe De Sala</v>
          </cell>
          <cell r="I113">
            <v>2</v>
          </cell>
          <cell r="J113">
            <v>80816024</v>
          </cell>
        </row>
        <row r="114">
          <cell r="C114" t="str">
            <v>50HCL</v>
          </cell>
          <cell r="D114" t="str">
            <v>OXXO-Alcantara 2</v>
          </cell>
          <cell r="E114" t="str">
            <v>No</v>
          </cell>
          <cell r="F114" t="str">
            <v>23110733-9</v>
          </cell>
          <cell r="G114" t="str">
            <v>Deudor Ponce Edmundo</v>
          </cell>
          <cell r="H114" t="str">
            <v>Lider</v>
          </cell>
          <cell r="I114">
            <v>1</v>
          </cell>
          <cell r="J114">
            <v>80816024</v>
          </cell>
        </row>
        <row r="115">
          <cell r="C115" t="str">
            <v>50HCL</v>
          </cell>
          <cell r="D115" t="str">
            <v>OXXO-Alcantara 2</v>
          </cell>
          <cell r="E115" t="str">
            <v>No</v>
          </cell>
          <cell r="F115" t="str">
            <v>26332324-6</v>
          </cell>
          <cell r="G115" t="str">
            <v>Gil Echandia Miguel Angel</v>
          </cell>
          <cell r="H115" t="str">
            <v>Cajero</v>
          </cell>
          <cell r="I115">
            <v>3</v>
          </cell>
          <cell r="J115">
            <v>80816024</v>
          </cell>
        </row>
        <row r="116">
          <cell r="C116" t="str">
            <v>50HCL</v>
          </cell>
          <cell r="D116" t="str">
            <v>OXXO-Alcantara 2</v>
          </cell>
          <cell r="E116" t="str">
            <v>No</v>
          </cell>
          <cell r="F116" t="str">
            <v>27449381-K</v>
          </cell>
          <cell r="G116" t="str">
            <v>Luzardo Olivares Siriana Del Carmen</v>
          </cell>
          <cell r="H116" t="str">
            <v>Jefe De Sala</v>
          </cell>
          <cell r="I116">
            <v>2</v>
          </cell>
          <cell r="J116">
            <v>80816024</v>
          </cell>
        </row>
        <row r="117">
          <cell r="C117" t="str">
            <v>50HCL</v>
          </cell>
          <cell r="D117" t="str">
            <v>OXXO-Alcantara 2</v>
          </cell>
          <cell r="E117" t="str">
            <v>No</v>
          </cell>
          <cell r="F117" t="str">
            <v>27455446-0</v>
          </cell>
          <cell r="G117" t="str">
            <v>Medina Orozco Lisbeth Sofia</v>
          </cell>
          <cell r="H117" t="str">
            <v>Cajero</v>
          </cell>
          <cell r="I117">
            <v>3</v>
          </cell>
          <cell r="J117">
            <v>80816024</v>
          </cell>
        </row>
        <row r="118">
          <cell r="C118" t="str">
            <v>50HCL</v>
          </cell>
          <cell r="D118" t="str">
            <v>OXXO-Alcantara 2</v>
          </cell>
          <cell r="E118" t="str">
            <v>No</v>
          </cell>
          <cell r="F118" t="str">
            <v>27837117-4</v>
          </cell>
          <cell r="G118" t="str">
            <v>Mendez Moreno Raiza Josefina</v>
          </cell>
          <cell r="H118" t="str">
            <v>Cajero</v>
          </cell>
          <cell r="I118">
            <v>3</v>
          </cell>
          <cell r="J118">
            <v>80816024</v>
          </cell>
        </row>
        <row r="119">
          <cell r="C119" t="str">
            <v>50RBP</v>
          </cell>
          <cell r="D119" t="str">
            <v>OXXO-Limache - Viana</v>
          </cell>
          <cell r="E119" t="str">
            <v>No</v>
          </cell>
          <cell r="F119" t="str">
            <v>10458393-8</v>
          </cell>
          <cell r="G119" t="str">
            <v>Pinilla Matamala Jorge Omar</v>
          </cell>
          <cell r="H119" t="str">
            <v>Cajero</v>
          </cell>
          <cell r="I119">
            <v>3</v>
          </cell>
          <cell r="J119">
            <v>78988091</v>
          </cell>
        </row>
        <row r="120">
          <cell r="C120" t="str">
            <v>50RBP</v>
          </cell>
          <cell r="D120" t="str">
            <v>OXXO-Limache - Viana</v>
          </cell>
          <cell r="E120" t="str">
            <v>No</v>
          </cell>
          <cell r="F120" t="str">
            <v>15572225-8</v>
          </cell>
          <cell r="G120" t="str">
            <v>Mena Zepeda Karla</v>
          </cell>
          <cell r="H120" t="str">
            <v>Cajero</v>
          </cell>
          <cell r="I120">
            <v>3</v>
          </cell>
          <cell r="J120">
            <v>78988091</v>
          </cell>
        </row>
        <row r="121">
          <cell r="C121" t="str">
            <v>50RBP</v>
          </cell>
          <cell r="D121" t="str">
            <v>OXXO-Limache - Viana</v>
          </cell>
          <cell r="E121" t="str">
            <v>No</v>
          </cell>
          <cell r="F121" t="str">
            <v>18380088-4</v>
          </cell>
          <cell r="G121" t="str">
            <v>Pereira Espinoza Sebastian</v>
          </cell>
          <cell r="H121" t="str">
            <v>Cajero</v>
          </cell>
          <cell r="I121">
            <v>3</v>
          </cell>
          <cell r="J121">
            <v>78988091</v>
          </cell>
        </row>
        <row r="122">
          <cell r="C122" t="str">
            <v>50RBP</v>
          </cell>
          <cell r="D122" t="str">
            <v>OXXO-Limache - Viana</v>
          </cell>
          <cell r="E122" t="str">
            <v>No</v>
          </cell>
          <cell r="F122" t="str">
            <v>20249147-2</v>
          </cell>
          <cell r="G122" t="str">
            <v>Puschel Palomino Abigail Esther</v>
          </cell>
          <cell r="H122" t="str">
            <v>Cajero</v>
          </cell>
          <cell r="I122">
            <v>3</v>
          </cell>
          <cell r="J122">
            <v>78988091</v>
          </cell>
        </row>
        <row r="123">
          <cell r="C123" t="str">
            <v>50RBP</v>
          </cell>
          <cell r="D123" t="str">
            <v>OXXO-Limache - Viana</v>
          </cell>
          <cell r="E123" t="str">
            <v>No</v>
          </cell>
          <cell r="F123" t="str">
            <v>20482367-7</v>
          </cell>
          <cell r="G123" t="str">
            <v>Martinez Burgos Hashley Alejandra</v>
          </cell>
          <cell r="H123" t="str">
            <v>Cajero</v>
          </cell>
          <cell r="I123">
            <v>3</v>
          </cell>
          <cell r="J123">
            <v>78988091</v>
          </cell>
        </row>
        <row r="124">
          <cell r="C124" t="str">
            <v>50RBP</v>
          </cell>
          <cell r="D124" t="str">
            <v>OXXO-Limache - Viana</v>
          </cell>
          <cell r="E124" t="str">
            <v>No</v>
          </cell>
          <cell r="F124" t="str">
            <v>20816768-5</v>
          </cell>
          <cell r="G124" t="str">
            <v>Maturana Araya Rayen Monserrath</v>
          </cell>
          <cell r="H124" t="str">
            <v>Cajero</v>
          </cell>
          <cell r="I124">
            <v>3</v>
          </cell>
          <cell r="J124">
            <v>78988091</v>
          </cell>
        </row>
        <row r="125">
          <cell r="C125" t="str">
            <v>50RBP</v>
          </cell>
          <cell r="D125" t="str">
            <v>OXXO-Limache - Viana</v>
          </cell>
          <cell r="E125" t="str">
            <v>No</v>
          </cell>
          <cell r="F125" t="str">
            <v>25810650-4</v>
          </cell>
          <cell r="G125" t="str">
            <v>Betancur Sanchez Carmen Yuliana</v>
          </cell>
          <cell r="H125" t="str">
            <v>Lider</v>
          </cell>
          <cell r="I125">
            <v>1</v>
          </cell>
          <cell r="J125">
            <v>78988091</v>
          </cell>
        </row>
        <row r="126">
          <cell r="C126" t="str">
            <v>50RBP</v>
          </cell>
          <cell r="D126" t="str">
            <v>OXXO-Limache - Viana</v>
          </cell>
          <cell r="E126" t="str">
            <v>No</v>
          </cell>
          <cell r="F126" t="str">
            <v>27390638-K</v>
          </cell>
          <cell r="G126" t="str">
            <v>Gimenez Cañete Deyanira Elizabeth</v>
          </cell>
          <cell r="H126" t="str">
            <v>Jefe De Sala</v>
          </cell>
          <cell r="I126">
            <v>2</v>
          </cell>
          <cell r="J126">
            <v>78988091</v>
          </cell>
        </row>
        <row r="127">
          <cell r="C127" t="str">
            <v>50DSH</v>
          </cell>
          <cell r="D127" t="str">
            <v>OXXO-Metro Ñuñoa</v>
          </cell>
          <cell r="E127" t="str">
            <v>No</v>
          </cell>
          <cell r="F127" t="str">
            <v>07362123-2</v>
          </cell>
          <cell r="G127" t="str">
            <v>Solis Castiilo Rodolfo</v>
          </cell>
          <cell r="H127" t="str">
            <v>Cajero</v>
          </cell>
          <cell r="I127">
            <v>3</v>
          </cell>
          <cell r="J127">
            <v>78359624</v>
          </cell>
        </row>
        <row r="128">
          <cell r="C128" t="str">
            <v>50DSH</v>
          </cell>
          <cell r="D128" t="str">
            <v>OXXO-Metro Ñuñoa</v>
          </cell>
          <cell r="E128" t="str">
            <v>No</v>
          </cell>
          <cell r="F128" t="str">
            <v>15905637-6</v>
          </cell>
          <cell r="G128" t="str">
            <v>Destefano Yermani Gabriel Antonio</v>
          </cell>
          <cell r="H128" t="str">
            <v>Cajero</v>
          </cell>
          <cell r="I128">
            <v>3</v>
          </cell>
          <cell r="J128">
            <v>78359624</v>
          </cell>
        </row>
        <row r="129">
          <cell r="C129" t="str">
            <v>50DSH</v>
          </cell>
          <cell r="D129" t="str">
            <v>OXXO-Metro Ñuñoa</v>
          </cell>
          <cell r="E129" t="str">
            <v>No</v>
          </cell>
          <cell r="F129" t="str">
            <v>18436532-4</v>
          </cell>
          <cell r="G129" t="str">
            <v>Benavides Jaque Daniela</v>
          </cell>
          <cell r="H129" t="str">
            <v>Jefe De Sala</v>
          </cell>
          <cell r="I129">
            <v>2</v>
          </cell>
          <cell r="J129">
            <v>78359624</v>
          </cell>
        </row>
        <row r="130">
          <cell r="C130" t="str">
            <v>50DSH</v>
          </cell>
          <cell r="D130" t="str">
            <v>OXXO-Metro Ñuñoa</v>
          </cell>
          <cell r="E130" t="str">
            <v>No</v>
          </cell>
          <cell r="F130" t="str">
            <v>18497060-0</v>
          </cell>
          <cell r="G130" t="str">
            <v>Zuñiga Santana Marlene</v>
          </cell>
          <cell r="H130" t="str">
            <v>Lider</v>
          </cell>
          <cell r="I130">
            <v>1</v>
          </cell>
          <cell r="J130">
            <v>78359624</v>
          </cell>
        </row>
        <row r="131">
          <cell r="C131" t="str">
            <v>50DSH</v>
          </cell>
          <cell r="D131" t="str">
            <v>OXXO-Metro Ñuñoa</v>
          </cell>
          <cell r="E131" t="str">
            <v>No</v>
          </cell>
          <cell r="F131" t="str">
            <v>19753402-8</v>
          </cell>
          <cell r="G131" t="str">
            <v>Diaz Namuncura Yamilet Angelina</v>
          </cell>
          <cell r="H131" t="str">
            <v>Cajero</v>
          </cell>
          <cell r="I131">
            <v>3</v>
          </cell>
          <cell r="J131">
            <v>78359624</v>
          </cell>
        </row>
        <row r="132">
          <cell r="C132" t="str">
            <v>50DSH</v>
          </cell>
          <cell r="D132" t="str">
            <v>OXXO-Metro Ñuñoa</v>
          </cell>
          <cell r="E132" t="str">
            <v>No</v>
          </cell>
          <cell r="F132" t="str">
            <v>20560373-5</v>
          </cell>
          <cell r="G132" t="str">
            <v>Silva Pichicona Leticia De Lourdes</v>
          </cell>
          <cell r="H132" t="str">
            <v>Jefe De Sala</v>
          </cell>
          <cell r="I132">
            <v>2</v>
          </cell>
          <cell r="J132">
            <v>78359624</v>
          </cell>
        </row>
        <row r="133">
          <cell r="C133" t="str">
            <v>50DSH</v>
          </cell>
          <cell r="D133" t="str">
            <v>OXXO-Metro Ñuñoa</v>
          </cell>
          <cell r="E133" t="str">
            <v>No</v>
          </cell>
          <cell r="F133" t="str">
            <v>21286453-6</v>
          </cell>
          <cell r="G133" t="str">
            <v>Lopez Lucas Ana</v>
          </cell>
          <cell r="H133" t="str">
            <v>Cajero</v>
          </cell>
          <cell r="I133">
            <v>3</v>
          </cell>
          <cell r="J133">
            <v>78359624</v>
          </cell>
        </row>
        <row r="134">
          <cell r="C134" t="str">
            <v>50DSH</v>
          </cell>
          <cell r="D134" t="str">
            <v>OXXO-Metro Ñuñoa</v>
          </cell>
          <cell r="E134" t="str">
            <v>No</v>
          </cell>
          <cell r="F134" t="str">
            <v>26787816-1</v>
          </cell>
          <cell r="G134" t="str">
            <v>Flores Flores Noryn Damelis</v>
          </cell>
          <cell r="H134" t="str">
            <v>Cajero</v>
          </cell>
          <cell r="I134">
            <v>3</v>
          </cell>
          <cell r="J134">
            <v>78359624</v>
          </cell>
        </row>
        <row r="135">
          <cell r="C135" t="str">
            <v>50OSC</v>
          </cell>
          <cell r="D135" t="str">
            <v>OKM-Santa Blanca</v>
          </cell>
          <cell r="E135" t="str">
            <v>No</v>
          </cell>
          <cell r="F135" t="str">
            <v>14777206-8</v>
          </cell>
          <cell r="G135" t="str">
            <v>Torres Quezada Christopher Franks</v>
          </cell>
          <cell r="H135" t="str">
            <v>Cajero</v>
          </cell>
          <cell r="I135">
            <v>3</v>
          </cell>
          <cell r="J135">
            <v>77807776</v>
          </cell>
        </row>
        <row r="136">
          <cell r="C136" t="str">
            <v>50OSC</v>
          </cell>
          <cell r="D136" t="str">
            <v>OKM-Santa Blanca</v>
          </cell>
          <cell r="E136" t="str">
            <v>No</v>
          </cell>
          <cell r="F136" t="str">
            <v>16642475-5</v>
          </cell>
          <cell r="G136" t="str">
            <v>Saldias Acuña Daniela Soledad</v>
          </cell>
          <cell r="H136" t="str">
            <v>Cajero</v>
          </cell>
          <cell r="I136">
            <v>3</v>
          </cell>
          <cell r="J136">
            <v>77807776</v>
          </cell>
        </row>
        <row r="137">
          <cell r="C137" t="str">
            <v>50OSC</v>
          </cell>
          <cell r="D137" t="str">
            <v>OKM-Santa Blanca</v>
          </cell>
          <cell r="E137" t="str">
            <v>No</v>
          </cell>
          <cell r="F137" t="str">
            <v>18496972-6</v>
          </cell>
          <cell r="G137" t="str">
            <v>Flores Leiva Lissette Carolina</v>
          </cell>
          <cell r="H137" t="str">
            <v>Lider</v>
          </cell>
          <cell r="I137">
            <v>1</v>
          </cell>
          <cell r="J137">
            <v>77807776</v>
          </cell>
        </row>
        <row r="138">
          <cell r="C138" t="str">
            <v>50OSC</v>
          </cell>
          <cell r="D138" t="str">
            <v>OKM-Santa Blanca</v>
          </cell>
          <cell r="E138" t="str">
            <v>No</v>
          </cell>
          <cell r="F138" t="str">
            <v>19856594-6</v>
          </cell>
          <cell r="G138" t="str">
            <v>Legal Araya Anibal Ernesto</v>
          </cell>
          <cell r="H138" t="str">
            <v>Cajero</v>
          </cell>
          <cell r="I138">
            <v>3</v>
          </cell>
          <cell r="J138">
            <v>77807776</v>
          </cell>
        </row>
        <row r="139">
          <cell r="C139" t="str">
            <v>50OSC</v>
          </cell>
          <cell r="D139" t="str">
            <v>OKM-Santa Blanca</v>
          </cell>
          <cell r="E139" t="str">
            <v>No</v>
          </cell>
          <cell r="F139" t="str">
            <v>23510112-2</v>
          </cell>
          <cell r="G139" t="str">
            <v>Paredes Garcia Juan Joel</v>
          </cell>
          <cell r="H139" t="str">
            <v>Cajero</v>
          </cell>
          <cell r="I139">
            <v>3</v>
          </cell>
          <cell r="J139">
            <v>77807776</v>
          </cell>
        </row>
        <row r="140">
          <cell r="C140" t="str">
            <v>50OSC</v>
          </cell>
          <cell r="D140" t="str">
            <v>OKM-Santa Blanca</v>
          </cell>
          <cell r="E140" t="str">
            <v>No</v>
          </cell>
          <cell r="F140" t="str">
            <v>27165617-3</v>
          </cell>
          <cell r="G140" t="str">
            <v>Raphael . Shernande</v>
          </cell>
          <cell r="H140" t="str">
            <v>Cajero</v>
          </cell>
          <cell r="I140">
            <v>3</v>
          </cell>
          <cell r="J140">
            <v>77807776</v>
          </cell>
        </row>
        <row r="141">
          <cell r="C141" t="str">
            <v>50VOP</v>
          </cell>
          <cell r="D141" t="str">
            <v>OXXO-San Damian</v>
          </cell>
          <cell r="E141" t="str">
            <v>No</v>
          </cell>
          <cell r="F141" t="str">
            <v>19902526-0</v>
          </cell>
          <cell r="G141" t="str">
            <v>Silva Ahumada Felipe Ignacio</v>
          </cell>
          <cell r="H141" t="str">
            <v>Cajero</v>
          </cell>
          <cell r="I141">
            <v>3</v>
          </cell>
          <cell r="J141">
            <v>75944037</v>
          </cell>
        </row>
        <row r="142">
          <cell r="C142" t="str">
            <v>50VOP</v>
          </cell>
          <cell r="D142" t="str">
            <v>OXXO-San Damian</v>
          </cell>
          <cell r="E142" t="str">
            <v>No</v>
          </cell>
          <cell r="F142" t="str">
            <v>20200527-6</v>
          </cell>
          <cell r="G142" t="str">
            <v>Lastra Inostroza Simon Andres</v>
          </cell>
          <cell r="H142" t="str">
            <v>Cajero</v>
          </cell>
          <cell r="I142">
            <v>3</v>
          </cell>
          <cell r="J142">
            <v>75944037</v>
          </cell>
        </row>
        <row r="143">
          <cell r="C143" t="str">
            <v>50VOP</v>
          </cell>
          <cell r="D143" t="str">
            <v>OXXO-San Damian</v>
          </cell>
          <cell r="E143" t="str">
            <v>No</v>
          </cell>
          <cell r="F143" t="str">
            <v>20623543-8</v>
          </cell>
          <cell r="G143" t="str">
            <v>Cartes Villagra Maria Fernanda</v>
          </cell>
          <cell r="H143" t="str">
            <v>Cajero</v>
          </cell>
          <cell r="I143">
            <v>3</v>
          </cell>
          <cell r="J143">
            <v>75944037</v>
          </cell>
        </row>
        <row r="144">
          <cell r="C144" t="str">
            <v>50VOP</v>
          </cell>
          <cell r="D144" t="str">
            <v>OXXO-San Damian</v>
          </cell>
          <cell r="E144" t="str">
            <v>No</v>
          </cell>
          <cell r="F144" t="str">
            <v>20996769-3</v>
          </cell>
          <cell r="G144" t="str">
            <v>Manquirquez Vega Estrella Jesus</v>
          </cell>
          <cell r="H144" t="str">
            <v>Cajero</v>
          </cell>
          <cell r="I144">
            <v>3</v>
          </cell>
          <cell r="J144">
            <v>75944037</v>
          </cell>
        </row>
        <row r="145">
          <cell r="C145" t="str">
            <v>50VOP</v>
          </cell>
          <cell r="D145" t="str">
            <v>OXXO-San Damian</v>
          </cell>
          <cell r="E145" t="str">
            <v>No</v>
          </cell>
          <cell r="F145" t="str">
            <v>24918352-0</v>
          </cell>
          <cell r="G145" t="str">
            <v>Valdivieso Rosas Gabi</v>
          </cell>
          <cell r="H145" t="str">
            <v>Cajero</v>
          </cell>
          <cell r="I145">
            <v>3</v>
          </cell>
          <cell r="J145">
            <v>75944037</v>
          </cell>
        </row>
        <row r="146">
          <cell r="C146" t="str">
            <v>50VOP</v>
          </cell>
          <cell r="D146" t="str">
            <v>OXXO-San Damian</v>
          </cell>
          <cell r="E146" t="str">
            <v>No</v>
          </cell>
          <cell r="F146" t="str">
            <v>26510015-5</v>
          </cell>
          <cell r="G146" t="str">
            <v>Casquino Cordova Wendy Geraldine</v>
          </cell>
          <cell r="H146" t="str">
            <v>Cajero</v>
          </cell>
          <cell r="I146">
            <v>3</v>
          </cell>
          <cell r="J146">
            <v>75944037</v>
          </cell>
        </row>
        <row r="147">
          <cell r="C147" t="str">
            <v>50VOP</v>
          </cell>
          <cell r="D147" t="str">
            <v>OXXO-San Damian</v>
          </cell>
          <cell r="E147" t="str">
            <v>No</v>
          </cell>
          <cell r="F147" t="str">
            <v>26711137-5</v>
          </cell>
          <cell r="G147" t="str">
            <v>Castro Fernandez Jose Gregorio</v>
          </cell>
          <cell r="H147" t="str">
            <v>Lider</v>
          </cell>
          <cell r="I147">
            <v>1</v>
          </cell>
          <cell r="J147">
            <v>75944037</v>
          </cell>
        </row>
        <row r="148">
          <cell r="C148" t="str">
            <v>50VOP</v>
          </cell>
          <cell r="D148" t="str">
            <v>OXXO-San Damian</v>
          </cell>
          <cell r="E148" t="str">
            <v>No</v>
          </cell>
          <cell r="F148" t="str">
            <v>27034261-2</v>
          </cell>
          <cell r="G148" t="str">
            <v>Ramirez Villamizar Elizabeth Orguenyely</v>
          </cell>
          <cell r="H148" t="str">
            <v>Jefe De Sala</v>
          </cell>
          <cell r="I148">
            <v>2</v>
          </cell>
          <cell r="J148">
            <v>75944037</v>
          </cell>
        </row>
        <row r="149">
          <cell r="C149" t="str">
            <v>50VOP</v>
          </cell>
          <cell r="D149" t="str">
            <v>OXXO-San Damian</v>
          </cell>
          <cell r="E149" t="str">
            <v>No</v>
          </cell>
          <cell r="F149" t="str">
            <v>27481186-2</v>
          </cell>
          <cell r="G149" t="str">
            <v>Serna Ladino Sharen</v>
          </cell>
          <cell r="H149" t="str">
            <v>Cajero</v>
          </cell>
          <cell r="I149">
            <v>3</v>
          </cell>
          <cell r="J149">
            <v>75944037</v>
          </cell>
        </row>
        <row r="150">
          <cell r="C150" t="str">
            <v>50OTP</v>
          </cell>
          <cell r="D150" t="str">
            <v>OXXO-Tobalaba 1</v>
          </cell>
          <cell r="E150" t="str">
            <v>No</v>
          </cell>
          <cell r="F150" t="str">
            <v>15021732-6</v>
          </cell>
          <cell r="G150" t="str">
            <v>Rojas Rojas Cynthia Isabel</v>
          </cell>
          <cell r="H150" t="str">
            <v>Jefe De Sala</v>
          </cell>
          <cell r="I150">
            <v>2</v>
          </cell>
          <cell r="J150">
            <v>74330640</v>
          </cell>
        </row>
        <row r="151">
          <cell r="C151" t="str">
            <v>50OTP</v>
          </cell>
          <cell r="D151" t="str">
            <v>OXXO-Tobalaba 1</v>
          </cell>
          <cell r="E151" t="str">
            <v>No</v>
          </cell>
          <cell r="F151" t="str">
            <v>18670386-3</v>
          </cell>
          <cell r="G151" t="str">
            <v>Gomez Romero Juan</v>
          </cell>
          <cell r="H151" t="str">
            <v>Jefe De Sala</v>
          </cell>
          <cell r="I151">
            <v>2</v>
          </cell>
          <cell r="J151">
            <v>74330640</v>
          </cell>
        </row>
        <row r="152">
          <cell r="C152" t="str">
            <v>50OTP</v>
          </cell>
          <cell r="D152" t="str">
            <v>OXXO-Tobalaba 1</v>
          </cell>
          <cell r="E152" t="str">
            <v>No</v>
          </cell>
          <cell r="F152" t="str">
            <v>19528545-4</v>
          </cell>
          <cell r="G152" t="str">
            <v>Paredes Parra Arianne Constanza</v>
          </cell>
          <cell r="H152" t="str">
            <v>Lider</v>
          </cell>
          <cell r="I152">
            <v>1</v>
          </cell>
          <cell r="J152">
            <v>74330640</v>
          </cell>
        </row>
        <row r="153">
          <cell r="C153" t="str">
            <v>50OTP</v>
          </cell>
          <cell r="D153" t="str">
            <v>OXXO-Tobalaba 1</v>
          </cell>
          <cell r="E153" t="str">
            <v>No</v>
          </cell>
          <cell r="F153" t="str">
            <v>25643483-0</v>
          </cell>
          <cell r="G153" t="str">
            <v>Angel Navas Fabiana Victoria</v>
          </cell>
          <cell r="H153" t="str">
            <v>Cajero</v>
          </cell>
          <cell r="I153">
            <v>3</v>
          </cell>
          <cell r="J153">
            <v>74330640</v>
          </cell>
        </row>
        <row r="154">
          <cell r="C154" t="str">
            <v>50OTP</v>
          </cell>
          <cell r="D154" t="str">
            <v>OXXO-Tobalaba 1</v>
          </cell>
          <cell r="E154" t="str">
            <v>No</v>
          </cell>
          <cell r="F154" t="str">
            <v>27074092-8</v>
          </cell>
          <cell r="G154" t="str">
            <v>Gomez Evans Arabelis</v>
          </cell>
          <cell r="H154" t="str">
            <v>Cajero</v>
          </cell>
          <cell r="I154">
            <v>3</v>
          </cell>
          <cell r="J154">
            <v>74330640</v>
          </cell>
        </row>
        <row r="155">
          <cell r="C155" t="str">
            <v>50OTP</v>
          </cell>
          <cell r="D155" t="str">
            <v>OXXO-Tobalaba 1</v>
          </cell>
          <cell r="E155" t="str">
            <v>No</v>
          </cell>
          <cell r="F155" t="str">
            <v>27187779-K</v>
          </cell>
          <cell r="G155" t="str">
            <v>Wueffer Marin Joncire Eliza</v>
          </cell>
          <cell r="H155" t="str">
            <v>Cajero</v>
          </cell>
          <cell r="I155">
            <v>3</v>
          </cell>
          <cell r="J155">
            <v>74330640</v>
          </cell>
        </row>
        <row r="156">
          <cell r="C156" t="str">
            <v>50ORC</v>
          </cell>
          <cell r="D156" t="str">
            <v>OKM-Recreo</v>
          </cell>
          <cell r="E156" t="str">
            <v>No</v>
          </cell>
          <cell r="F156" t="str">
            <v>15974849-9</v>
          </cell>
          <cell r="G156" t="str">
            <v>Aguayo Cabezas Carolina Andrea</v>
          </cell>
          <cell r="H156" t="str">
            <v>Lider</v>
          </cell>
          <cell r="I156">
            <v>1</v>
          </cell>
          <cell r="J156">
            <v>74108522</v>
          </cell>
        </row>
        <row r="157">
          <cell r="C157" t="str">
            <v>50ORC</v>
          </cell>
          <cell r="D157" t="str">
            <v>OKM-Recreo</v>
          </cell>
          <cell r="E157" t="str">
            <v>No</v>
          </cell>
          <cell r="F157" t="str">
            <v>17549689-0</v>
          </cell>
          <cell r="G157" t="str">
            <v>Suarez Berrios Katalina Ignacia</v>
          </cell>
          <cell r="H157" t="str">
            <v>Jefe De Sala</v>
          </cell>
          <cell r="I157">
            <v>2</v>
          </cell>
          <cell r="J157">
            <v>74108522</v>
          </cell>
        </row>
        <row r="158">
          <cell r="C158" t="str">
            <v>50ORC</v>
          </cell>
          <cell r="D158" t="str">
            <v>OKM-Recreo</v>
          </cell>
          <cell r="E158" t="str">
            <v>No</v>
          </cell>
          <cell r="F158" t="str">
            <v>18704774-9</v>
          </cell>
          <cell r="G158" t="str">
            <v>Fernandez Velasquez Alicia Margarita</v>
          </cell>
          <cell r="H158" t="str">
            <v>Jefe De Sala</v>
          </cell>
          <cell r="I158">
            <v>2</v>
          </cell>
          <cell r="J158">
            <v>74108522</v>
          </cell>
        </row>
        <row r="159">
          <cell r="C159" t="str">
            <v>50ORC</v>
          </cell>
          <cell r="D159" t="str">
            <v>OKM-Recreo</v>
          </cell>
          <cell r="E159" t="str">
            <v>No</v>
          </cell>
          <cell r="F159" t="str">
            <v>20057899-6</v>
          </cell>
          <cell r="G159" t="str">
            <v>Orellana Verdugo Camila Fernanda</v>
          </cell>
          <cell r="H159" t="str">
            <v>Cajero</v>
          </cell>
          <cell r="I159">
            <v>3</v>
          </cell>
          <cell r="J159">
            <v>74108522</v>
          </cell>
        </row>
        <row r="160">
          <cell r="C160" t="str">
            <v>50ORC</v>
          </cell>
          <cell r="D160" t="str">
            <v>OKM-Recreo</v>
          </cell>
          <cell r="E160" t="str">
            <v>No</v>
          </cell>
          <cell r="F160" t="str">
            <v>20368186-0</v>
          </cell>
          <cell r="G160" t="str">
            <v>Medina Espinoza Benjamin Fernando</v>
          </cell>
          <cell r="H160" t="str">
            <v>Cajero</v>
          </cell>
          <cell r="I160">
            <v>3</v>
          </cell>
          <cell r="J160">
            <v>74108522</v>
          </cell>
        </row>
        <row r="161">
          <cell r="C161" t="str">
            <v>50OEY</v>
          </cell>
          <cell r="D161" t="str">
            <v>OXXO-Eliodoro Yañez 2</v>
          </cell>
          <cell r="E161" t="str">
            <v>No</v>
          </cell>
          <cell r="F161" t="str">
            <v>19800511-8</v>
          </cell>
          <cell r="G161" t="str">
            <v>Turedo Chamorro Jose Eduardo</v>
          </cell>
          <cell r="H161" t="str">
            <v>Jefe De Sala</v>
          </cell>
          <cell r="I161">
            <v>2</v>
          </cell>
          <cell r="J161">
            <v>73951542</v>
          </cell>
        </row>
        <row r="162">
          <cell r="C162" t="str">
            <v>50OEY</v>
          </cell>
          <cell r="D162" t="str">
            <v>OXXO-Eliodoro Yañez 2</v>
          </cell>
          <cell r="E162" t="str">
            <v>No</v>
          </cell>
          <cell r="F162" t="str">
            <v>20730130-2</v>
          </cell>
          <cell r="G162" t="str">
            <v>Reyes Gonzalez Javiera Ignacia</v>
          </cell>
          <cell r="H162" t="str">
            <v>Cajero</v>
          </cell>
          <cell r="I162">
            <v>3</v>
          </cell>
          <cell r="J162">
            <v>73951542</v>
          </cell>
        </row>
        <row r="163">
          <cell r="C163" t="str">
            <v>50OEY</v>
          </cell>
          <cell r="D163" t="str">
            <v>OXXO-Eliodoro Yañez 2</v>
          </cell>
          <cell r="E163" t="str">
            <v>No</v>
          </cell>
          <cell r="F163" t="str">
            <v>20955452-6</v>
          </cell>
          <cell r="G163" t="str">
            <v>Ramirez Alzamora Alexandra Andrea</v>
          </cell>
          <cell r="H163" t="str">
            <v>Cajero</v>
          </cell>
          <cell r="I163">
            <v>3</v>
          </cell>
          <cell r="J163">
            <v>73951542</v>
          </cell>
        </row>
        <row r="164">
          <cell r="C164" t="str">
            <v>50OEY</v>
          </cell>
          <cell r="D164" t="str">
            <v>OXXO-Eliodoro Yañez 2</v>
          </cell>
          <cell r="E164" t="str">
            <v>No</v>
          </cell>
          <cell r="F164" t="str">
            <v>25596664-2</v>
          </cell>
          <cell r="G164" t="str">
            <v>Mata Salazar Rosingry Del Valle</v>
          </cell>
          <cell r="H164" t="str">
            <v>Cajero</v>
          </cell>
          <cell r="I164">
            <v>3</v>
          </cell>
          <cell r="J164">
            <v>73951542</v>
          </cell>
        </row>
        <row r="165">
          <cell r="C165" t="str">
            <v>50OEY</v>
          </cell>
          <cell r="D165" t="str">
            <v>OXXO-Eliodoro Yañez 2</v>
          </cell>
          <cell r="E165" t="str">
            <v>No</v>
          </cell>
          <cell r="F165" t="str">
            <v>26536153-6</v>
          </cell>
          <cell r="G165" t="str">
            <v>Puerta Montiel Jhonattan Andres</v>
          </cell>
          <cell r="H165" t="str">
            <v>Lider</v>
          </cell>
          <cell r="I165">
            <v>1</v>
          </cell>
          <cell r="J165">
            <v>73951542</v>
          </cell>
        </row>
        <row r="166">
          <cell r="C166" t="str">
            <v>50OEY</v>
          </cell>
          <cell r="D166" t="str">
            <v>OXXO-Eliodoro Yañez 2</v>
          </cell>
          <cell r="E166" t="str">
            <v>No</v>
          </cell>
          <cell r="F166" t="str">
            <v>26688722-1</v>
          </cell>
          <cell r="G166" t="str">
            <v>Perez Silva Angelo Gabriel</v>
          </cell>
          <cell r="H166" t="str">
            <v>Cajero</v>
          </cell>
          <cell r="I166">
            <v>3</v>
          </cell>
          <cell r="J166">
            <v>73951542</v>
          </cell>
        </row>
        <row r="167">
          <cell r="C167" t="str">
            <v>50OEY</v>
          </cell>
          <cell r="D167" t="str">
            <v>OXXO-Eliodoro Yañez 2</v>
          </cell>
          <cell r="E167" t="str">
            <v>No</v>
          </cell>
          <cell r="F167" t="str">
            <v>27246768-4</v>
          </cell>
          <cell r="G167" t="str">
            <v>Garcia Garcia Moises Aaron</v>
          </cell>
          <cell r="H167" t="str">
            <v>Cajero</v>
          </cell>
          <cell r="I167">
            <v>3</v>
          </cell>
          <cell r="J167">
            <v>73951542</v>
          </cell>
        </row>
        <row r="168">
          <cell r="C168" t="str">
            <v>50OEY</v>
          </cell>
          <cell r="D168" t="str">
            <v>OXXO-Eliodoro Yañez 2</v>
          </cell>
          <cell r="E168" t="str">
            <v>No</v>
          </cell>
          <cell r="F168" t="str">
            <v>28152003-2</v>
          </cell>
          <cell r="G168" t="str">
            <v>Ruiz Moreno Sara Marcela</v>
          </cell>
          <cell r="H168" t="str">
            <v>Cajero</v>
          </cell>
          <cell r="I168">
            <v>3</v>
          </cell>
          <cell r="J168">
            <v>73951542</v>
          </cell>
        </row>
        <row r="169">
          <cell r="C169" t="str">
            <v>50OAV</v>
          </cell>
          <cell r="D169" t="str">
            <v>OXXO-Antonio Varas</v>
          </cell>
          <cell r="E169" t="str">
            <v>No</v>
          </cell>
          <cell r="F169" t="str">
            <v>15900828-2</v>
          </cell>
          <cell r="G169" t="str">
            <v>Aguirre Alvarez Loreto Isabel</v>
          </cell>
          <cell r="H169" t="str">
            <v>Jefe De Sala</v>
          </cell>
          <cell r="I169">
            <v>2</v>
          </cell>
          <cell r="J169">
            <v>73680723</v>
          </cell>
        </row>
        <row r="170">
          <cell r="C170" t="str">
            <v>50OAV</v>
          </cell>
          <cell r="D170" t="str">
            <v>OXXO-Antonio Varas</v>
          </cell>
          <cell r="E170" t="str">
            <v>No</v>
          </cell>
          <cell r="F170" t="str">
            <v>20398565-7</v>
          </cell>
          <cell r="G170" t="str">
            <v>Carreño Peña Jordan Michael</v>
          </cell>
          <cell r="H170" t="str">
            <v>Cajero</v>
          </cell>
          <cell r="I170">
            <v>3</v>
          </cell>
          <cell r="J170">
            <v>73680723</v>
          </cell>
        </row>
        <row r="171">
          <cell r="C171" t="str">
            <v>50OAV</v>
          </cell>
          <cell r="D171" t="str">
            <v>OXXO-Antonio Varas</v>
          </cell>
          <cell r="E171" t="str">
            <v>No</v>
          </cell>
          <cell r="F171" t="str">
            <v>22734969-7</v>
          </cell>
          <cell r="G171" t="str">
            <v>Romero Vera Noemi Leonor</v>
          </cell>
          <cell r="H171" t="str">
            <v>Lider</v>
          </cell>
          <cell r="I171">
            <v>1</v>
          </cell>
          <cell r="J171">
            <v>73680723</v>
          </cell>
        </row>
        <row r="172">
          <cell r="C172" t="str">
            <v>50OAV</v>
          </cell>
          <cell r="D172" t="str">
            <v>OXXO-Antonio Varas</v>
          </cell>
          <cell r="E172" t="str">
            <v>No</v>
          </cell>
          <cell r="F172" t="str">
            <v>26316958-1</v>
          </cell>
          <cell r="G172" t="str">
            <v>Tiamo Gomez Jose Gabriel</v>
          </cell>
          <cell r="H172" t="str">
            <v>Jefe De Sala</v>
          </cell>
          <cell r="I172">
            <v>2</v>
          </cell>
          <cell r="J172">
            <v>73680723</v>
          </cell>
        </row>
        <row r="173">
          <cell r="C173" t="str">
            <v>50OAV</v>
          </cell>
          <cell r="D173" t="str">
            <v>OXXO-Antonio Varas</v>
          </cell>
          <cell r="E173" t="str">
            <v>No</v>
          </cell>
          <cell r="F173" t="str">
            <v>28305562-0</v>
          </cell>
          <cell r="G173" t="str">
            <v>Rivera Santamaria Randhal Estiven</v>
          </cell>
          <cell r="H173" t="str">
            <v>Cajero</v>
          </cell>
          <cell r="I173">
            <v>3</v>
          </cell>
          <cell r="J173">
            <v>73680723</v>
          </cell>
        </row>
        <row r="174">
          <cell r="C174" t="str">
            <v>50OAV</v>
          </cell>
          <cell r="D174" t="str">
            <v>OXXO-Antonio Varas</v>
          </cell>
          <cell r="E174" t="str">
            <v>No</v>
          </cell>
          <cell r="F174" t="str">
            <v>28316718-6</v>
          </cell>
          <cell r="G174" t="str">
            <v>Cavero Parodi Sara</v>
          </cell>
          <cell r="H174" t="str">
            <v>Cajero</v>
          </cell>
          <cell r="I174">
            <v>3</v>
          </cell>
          <cell r="J174">
            <v>73680723</v>
          </cell>
        </row>
        <row r="175">
          <cell r="C175" t="str">
            <v>508R8</v>
          </cell>
          <cell r="D175" t="str">
            <v>OXXO-Metro Tobalaba</v>
          </cell>
          <cell r="E175" t="str">
            <v>No</v>
          </cell>
          <cell r="F175" t="str">
            <v>26332707-1</v>
          </cell>
          <cell r="G175" t="str">
            <v>Hernandez Caldera Yusbelys Alejandra</v>
          </cell>
          <cell r="H175" t="str">
            <v>Jefe De Sala</v>
          </cell>
          <cell r="I175">
            <v>2</v>
          </cell>
          <cell r="J175">
            <v>72970028</v>
          </cell>
        </row>
        <row r="176">
          <cell r="C176" t="str">
            <v>508R8</v>
          </cell>
          <cell r="D176" t="str">
            <v>OXXO-Metro Tobalaba</v>
          </cell>
          <cell r="E176" t="str">
            <v>No</v>
          </cell>
          <cell r="F176" t="str">
            <v>26573936-9</v>
          </cell>
          <cell r="G176" t="str">
            <v>Orta Ortuño Angelica</v>
          </cell>
          <cell r="H176" t="str">
            <v>Cajero</v>
          </cell>
          <cell r="I176">
            <v>3</v>
          </cell>
          <cell r="J176">
            <v>72970028</v>
          </cell>
        </row>
        <row r="177">
          <cell r="C177" t="str">
            <v>508R8</v>
          </cell>
          <cell r="D177" t="str">
            <v>OXXO-Metro Tobalaba</v>
          </cell>
          <cell r="E177" t="str">
            <v>No</v>
          </cell>
          <cell r="F177" t="str">
            <v>26881173-7</v>
          </cell>
          <cell r="G177" t="str">
            <v>Echenique Ramirez Ariannys Paola</v>
          </cell>
          <cell r="H177" t="str">
            <v>Lider</v>
          </cell>
          <cell r="I177">
            <v>1</v>
          </cell>
          <cell r="J177">
            <v>72970028</v>
          </cell>
        </row>
        <row r="178">
          <cell r="C178" t="str">
            <v>50OQH</v>
          </cell>
          <cell r="D178" t="str">
            <v>OKM-Quinchamali</v>
          </cell>
          <cell r="E178" t="str">
            <v>No</v>
          </cell>
          <cell r="F178" t="str">
            <v>16641463-6</v>
          </cell>
          <cell r="G178" t="str">
            <v>Concha Pacheco Stephanie Lisset</v>
          </cell>
          <cell r="H178" t="str">
            <v>Cajero</v>
          </cell>
          <cell r="I178">
            <v>3</v>
          </cell>
          <cell r="J178">
            <v>71704003</v>
          </cell>
        </row>
        <row r="179">
          <cell r="C179" t="str">
            <v>50OQH</v>
          </cell>
          <cell r="D179" t="str">
            <v>OKM-Quinchamali</v>
          </cell>
          <cell r="E179" t="str">
            <v>No</v>
          </cell>
          <cell r="F179" t="str">
            <v>21002731-9</v>
          </cell>
          <cell r="G179" t="str">
            <v>Morales Huisca Valentina Luisa</v>
          </cell>
          <cell r="H179" t="str">
            <v>Cajero</v>
          </cell>
          <cell r="I179">
            <v>3</v>
          </cell>
          <cell r="J179">
            <v>71704003</v>
          </cell>
        </row>
        <row r="180">
          <cell r="C180" t="str">
            <v>50OQH</v>
          </cell>
          <cell r="D180" t="str">
            <v>OKM-Quinchamali</v>
          </cell>
          <cell r="E180" t="str">
            <v>No</v>
          </cell>
          <cell r="F180" t="str">
            <v>21035735-1</v>
          </cell>
          <cell r="G180" t="str">
            <v>Viera Robles Geraldine Sofia</v>
          </cell>
          <cell r="H180" t="str">
            <v>Jefe De Sala</v>
          </cell>
          <cell r="I180">
            <v>2</v>
          </cell>
          <cell r="J180">
            <v>71704003</v>
          </cell>
        </row>
        <row r="181">
          <cell r="C181" t="str">
            <v>50VKK</v>
          </cell>
          <cell r="D181" t="str">
            <v>OXXO-Alcantara 1</v>
          </cell>
          <cell r="E181" t="str">
            <v>No</v>
          </cell>
          <cell r="F181" t="str">
            <v>18049109-0</v>
          </cell>
          <cell r="G181" t="str">
            <v>Toloza Guerrero Jenniffer Nicole</v>
          </cell>
          <cell r="H181" t="str">
            <v>Jefe De Sala</v>
          </cell>
          <cell r="I181">
            <v>2</v>
          </cell>
          <cell r="J181">
            <v>71054430</v>
          </cell>
        </row>
        <row r="182">
          <cell r="C182" t="str">
            <v>50VKK</v>
          </cell>
          <cell r="D182" t="str">
            <v>OXXO-Alcantara 1</v>
          </cell>
          <cell r="E182" t="str">
            <v>No</v>
          </cell>
          <cell r="F182" t="str">
            <v>19001160-7</v>
          </cell>
          <cell r="G182" t="str">
            <v>Conejeros Cuellar Constanza Carolina</v>
          </cell>
          <cell r="H182" t="str">
            <v>Lider</v>
          </cell>
          <cell r="I182">
            <v>1</v>
          </cell>
          <cell r="J182">
            <v>71054430</v>
          </cell>
        </row>
        <row r="183">
          <cell r="C183" t="str">
            <v>50VKK</v>
          </cell>
          <cell r="D183" t="str">
            <v>OXXO-Alcantara 1</v>
          </cell>
          <cell r="E183" t="str">
            <v>No</v>
          </cell>
          <cell r="F183" t="str">
            <v>20299163-7</v>
          </cell>
          <cell r="G183" t="str">
            <v>Guerrero Carreño Matias Alejandro</v>
          </cell>
          <cell r="H183" t="str">
            <v>Cajero</v>
          </cell>
          <cell r="I183">
            <v>3</v>
          </cell>
          <cell r="J183">
            <v>71054430</v>
          </cell>
        </row>
        <row r="184">
          <cell r="C184" t="str">
            <v>50VKK</v>
          </cell>
          <cell r="D184" t="str">
            <v>OXXO-Alcantara 1</v>
          </cell>
          <cell r="E184" t="str">
            <v>No</v>
          </cell>
          <cell r="F184" t="str">
            <v>20744509-6</v>
          </cell>
          <cell r="G184" t="str">
            <v>Salas Rodriguez Natalia Bernardita</v>
          </cell>
          <cell r="H184" t="str">
            <v>Cajero</v>
          </cell>
          <cell r="I184">
            <v>3</v>
          </cell>
          <cell r="J184">
            <v>71054430</v>
          </cell>
        </row>
        <row r="185">
          <cell r="C185" t="str">
            <v>50VKK</v>
          </cell>
          <cell r="D185" t="str">
            <v>OXXO-Alcantara 1</v>
          </cell>
          <cell r="E185" t="str">
            <v>No</v>
          </cell>
          <cell r="F185" t="str">
            <v>21073493-7</v>
          </cell>
          <cell r="G185" t="str">
            <v>Cruz Mardones Jhon Figeral</v>
          </cell>
          <cell r="H185" t="str">
            <v>Jefe De Sala</v>
          </cell>
          <cell r="I185">
            <v>2</v>
          </cell>
          <cell r="J185">
            <v>71054430</v>
          </cell>
        </row>
        <row r="186">
          <cell r="C186" t="str">
            <v>50VKK</v>
          </cell>
          <cell r="D186" t="str">
            <v>OXXO-Alcantara 1</v>
          </cell>
          <cell r="E186" t="str">
            <v>No</v>
          </cell>
          <cell r="F186" t="str">
            <v>26767137-0</v>
          </cell>
          <cell r="G186" t="str">
            <v>Briceño Hernandez Carlos Moises</v>
          </cell>
          <cell r="H186" t="str">
            <v>Cajero</v>
          </cell>
          <cell r="I186">
            <v>3</v>
          </cell>
          <cell r="J186">
            <v>71054430</v>
          </cell>
        </row>
        <row r="187">
          <cell r="C187" t="str">
            <v>50VKK</v>
          </cell>
          <cell r="D187" t="str">
            <v>OXXO-Alcantara 1</v>
          </cell>
          <cell r="E187" t="str">
            <v>No</v>
          </cell>
          <cell r="F187" t="str">
            <v>27841711-5</v>
          </cell>
          <cell r="G187" t="str">
            <v>Guerra Prada Bernardo  Agustin</v>
          </cell>
          <cell r="H187" t="str">
            <v>Cajero</v>
          </cell>
          <cell r="I187">
            <v>3</v>
          </cell>
          <cell r="J187">
            <v>71054430</v>
          </cell>
        </row>
        <row r="188">
          <cell r="C188" t="str">
            <v>50CQD</v>
          </cell>
          <cell r="D188" t="str">
            <v>OXXO-Marchant Pereira</v>
          </cell>
          <cell r="E188" t="str">
            <v>No</v>
          </cell>
          <cell r="F188" t="str">
            <v>19954531-0</v>
          </cell>
          <cell r="G188" t="str">
            <v>Soto Banda Yeniel Berioska</v>
          </cell>
          <cell r="H188" t="str">
            <v>Cajero</v>
          </cell>
          <cell r="I188">
            <v>3</v>
          </cell>
          <cell r="J188">
            <v>70466373</v>
          </cell>
        </row>
        <row r="189">
          <cell r="C189" t="str">
            <v>50CQD</v>
          </cell>
          <cell r="D189" t="str">
            <v>OXXO-Marchant Pereira</v>
          </cell>
          <cell r="E189" t="str">
            <v>No</v>
          </cell>
          <cell r="F189" t="str">
            <v>24756070-K</v>
          </cell>
          <cell r="G189" t="str">
            <v>Ortellado Gonzalez Senon</v>
          </cell>
          <cell r="H189" t="str">
            <v>Lider</v>
          </cell>
          <cell r="I189">
            <v>1</v>
          </cell>
          <cell r="J189">
            <v>70466373</v>
          </cell>
        </row>
        <row r="190">
          <cell r="C190" t="str">
            <v>50CQD</v>
          </cell>
          <cell r="D190" t="str">
            <v>OXXO-Marchant Pereira</v>
          </cell>
          <cell r="E190" t="str">
            <v>No</v>
          </cell>
          <cell r="F190" t="str">
            <v>26962612-7</v>
          </cell>
          <cell r="G190" t="str">
            <v>Franco Almarza Luisana</v>
          </cell>
          <cell r="H190" t="str">
            <v>Jefe De Sala</v>
          </cell>
          <cell r="I190">
            <v>2</v>
          </cell>
          <cell r="J190">
            <v>70466373</v>
          </cell>
        </row>
        <row r="191">
          <cell r="C191" t="str">
            <v>50CQD</v>
          </cell>
          <cell r="D191" t="str">
            <v>OXXO-Marchant Pereira</v>
          </cell>
          <cell r="E191" t="str">
            <v>No</v>
          </cell>
          <cell r="F191" t="str">
            <v>27208390-8</v>
          </cell>
          <cell r="G191" t="str">
            <v>Camacho Ramirez Alix Maria</v>
          </cell>
          <cell r="H191" t="str">
            <v>Cajero</v>
          </cell>
          <cell r="I191">
            <v>3</v>
          </cell>
          <cell r="J191">
            <v>70466373</v>
          </cell>
        </row>
        <row r="192">
          <cell r="C192" t="str">
            <v>50CQD</v>
          </cell>
          <cell r="D192" t="str">
            <v>OXXO-Marchant Pereira</v>
          </cell>
          <cell r="E192" t="str">
            <v>No</v>
          </cell>
          <cell r="F192" t="str">
            <v>27838133-1</v>
          </cell>
          <cell r="G192" t="str">
            <v>Huala Recillo Helen Madeline</v>
          </cell>
          <cell r="H192" t="str">
            <v>Jefe De Sala</v>
          </cell>
          <cell r="I192">
            <v>2</v>
          </cell>
          <cell r="J192">
            <v>70466373</v>
          </cell>
        </row>
        <row r="193">
          <cell r="C193" t="str">
            <v>50UMT</v>
          </cell>
          <cell r="D193" t="str">
            <v>OXXO-Lyon 3</v>
          </cell>
          <cell r="E193" t="str">
            <v>No</v>
          </cell>
          <cell r="F193" t="str">
            <v>12155261-2</v>
          </cell>
          <cell r="G193" t="str">
            <v>Ruiz Gonzalez Pamela Raquel</v>
          </cell>
          <cell r="H193" t="str">
            <v>Cajero</v>
          </cell>
          <cell r="I193">
            <v>3</v>
          </cell>
          <cell r="J193">
            <v>70237597</v>
          </cell>
        </row>
        <row r="194">
          <cell r="C194" t="str">
            <v>50UMT</v>
          </cell>
          <cell r="D194" t="str">
            <v>OXXO-Lyon 3</v>
          </cell>
          <cell r="E194" t="str">
            <v>No</v>
          </cell>
          <cell r="F194" t="str">
            <v>20129728-1</v>
          </cell>
          <cell r="G194" t="str">
            <v>Montoya Becerra Fernando Antonio</v>
          </cell>
          <cell r="H194" t="str">
            <v>Cajero</v>
          </cell>
          <cell r="I194">
            <v>3</v>
          </cell>
          <cell r="J194">
            <v>70237597</v>
          </cell>
        </row>
        <row r="195">
          <cell r="C195" t="str">
            <v>50UMT</v>
          </cell>
          <cell r="D195" t="str">
            <v>OXXO-Lyon 3</v>
          </cell>
          <cell r="E195" t="str">
            <v>No</v>
          </cell>
          <cell r="F195" t="str">
            <v>20496368-1</v>
          </cell>
          <cell r="G195" t="str">
            <v>Ortiz Nanjari Raul Andres</v>
          </cell>
          <cell r="H195" t="str">
            <v>Cajero</v>
          </cell>
          <cell r="I195">
            <v>3</v>
          </cell>
          <cell r="J195">
            <v>70237597</v>
          </cell>
        </row>
        <row r="196">
          <cell r="C196" t="str">
            <v>50UMT</v>
          </cell>
          <cell r="D196" t="str">
            <v>OXXO-Lyon 3</v>
          </cell>
          <cell r="E196" t="str">
            <v>No</v>
          </cell>
          <cell r="F196" t="str">
            <v>25929220-4</v>
          </cell>
          <cell r="G196" t="str">
            <v>Sinisterra Grueso Aydenis</v>
          </cell>
          <cell r="H196" t="str">
            <v>Cajero</v>
          </cell>
          <cell r="I196">
            <v>3</v>
          </cell>
          <cell r="J196">
            <v>70237597</v>
          </cell>
        </row>
        <row r="197">
          <cell r="C197" t="str">
            <v>50UMT</v>
          </cell>
          <cell r="D197" t="str">
            <v>OXXO-Lyon 3</v>
          </cell>
          <cell r="E197" t="str">
            <v>No</v>
          </cell>
          <cell r="F197" t="str">
            <v>26069924-5</v>
          </cell>
          <cell r="G197" t="str">
            <v>Hernandez Barriga Frederic Leandro</v>
          </cell>
          <cell r="H197" t="str">
            <v>Lider</v>
          </cell>
          <cell r="I197">
            <v>1</v>
          </cell>
          <cell r="J197">
            <v>70237597</v>
          </cell>
        </row>
        <row r="198">
          <cell r="C198" t="str">
            <v>50UMT</v>
          </cell>
          <cell r="D198" t="str">
            <v>OXXO-Lyon 3</v>
          </cell>
          <cell r="E198" t="str">
            <v>No</v>
          </cell>
          <cell r="F198" t="str">
            <v>27025377-6</v>
          </cell>
          <cell r="G198" t="str">
            <v>Betancourt Villamizar Kiannys Nicole</v>
          </cell>
          <cell r="H198" t="str">
            <v>Cajero</v>
          </cell>
          <cell r="I198">
            <v>3</v>
          </cell>
          <cell r="J198">
            <v>70237597</v>
          </cell>
        </row>
        <row r="199">
          <cell r="C199" t="str">
            <v>50UMT</v>
          </cell>
          <cell r="D199" t="str">
            <v>OXXO-Lyon 3</v>
          </cell>
          <cell r="E199" t="str">
            <v>No</v>
          </cell>
          <cell r="F199" t="str">
            <v>28194411-8</v>
          </cell>
          <cell r="G199" t="str">
            <v>Padron Vargas Derek Jose</v>
          </cell>
          <cell r="H199" t="str">
            <v>Jefe De Sala</v>
          </cell>
          <cell r="I199">
            <v>2</v>
          </cell>
          <cell r="J199">
            <v>70237597</v>
          </cell>
        </row>
        <row r="200">
          <cell r="C200" t="str">
            <v>50UMT</v>
          </cell>
          <cell r="D200" t="str">
            <v>OXXO-Lyon 3</v>
          </cell>
          <cell r="E200" t="str">
            <v>No</v>
          </cell>
          <cell r="F200" t="str">
            <v>28225285-6</v>
          </cell>
          <cell r="G200" t="str">
            <v>Resurreccion Del Castillo Susana Victori</v>
          </cell>
          <cell r="H200" t="str">
            <v>Cajero</v>
          </cell>
          <cell r="I200">
            <v>3</v>
          </cell>
          <cell r="J200">
            <v>70237597</v>
          </cell>
        </row>
        <row r="201">
          <cell r="C201" t="str">
            <v>50BRI</v>
          </cell>
          <cell r="D201" t="str">
            <v>OXXO-Las Brisas</v>
          </cell>
          <cell r="E201" t="str">
            <v>No</v>
          </cell>
          <cell r="F201" t="str">
            <v>13259583-6</v>
          </cell>
          <cell r="G201" t="str">
            <v>Pizarro Cisterna Carolina</v>
          </cell>
          <cell r="H201" t="str">
            <v>Lider</v>
          </cell>
          <cell r="I201">
            <v>1</v>
          </cell>
          <cell r="J201">
            <v>68900812</v>
          </cell>
        </row>
        <row r="202">
          <cell r="C202" t="str">
            <v>50BRI</v>
          </cell>
          <cell r="D202" t="str">
            <v>OXXO-Las Brisas</v>
          </cell>
          <cell r="E202" t="str">
            <v>No</v>
          </cell>
          <cell r="F202" t="str">
            <v>19165471-4</v>
          </cell>
          <cell r="G202" t="str">
            <v>Bustamante Monroy Carlos Daniel</v>
          </cell>
          <cell r="H202" t="str">
            <v>Cajero</v>
          </cell>
          <cell r="I202">
            <v>3</v>
          </cell>
          <cell r="J202">
            <v>68900812</v>
          </cell>
        </row>
        <row r="203">
          <cell r="C203" t="str">
            <v>50BRI</v>
          </cell>
          <cell r="D203" t="str">
            <v>OXXO-Las Brisas</v>
          </cell>
          <cell r="E203" t="str">
            <v>No</v>
          </cell>
          <cell r="F203" t="str">
            <v>20849229-2</v>
          </cell>
          <cell r="G203" t="str">
            <v>Bustamante Fernández Melisa Carolina</v>
          </cell>
          <cell r="H203" t="str">
            <v>Cajero</v>
          </cell>
          <cell r="I203">
            <v>3</v>
          </cell>
          <cell r="J203">
            <v>68900812</v>
          </cell>
        </row>
        <row r="204">
          <cell r="C204" t="str">
            <v>50BRI</v>
          </cell>
          <cell r="D204" t="str">
            <v>OXXO-Las Brisas</v>
          </cell>
          <cell r="E204" t="str">
            <v>No</v>
          </cell>
          <cell r="F204" t="str">
            <v>21416154-0</v>
          </cell>
          <cell r="G204" t="str">
            <v>Vega Melo Matías Alejandro</v>
          </cell>
          <cell r="H204" t="str">
            <v>Cajero</v>
          </cell>
          <cell r="I204">
            <v>3</v>
          </cell>
          <cell r="J204">
            <v>68900812</v>
          </cell>
        </row>
        <row r="205">
          <cell r="C205" t="str">
            <v>50BRI</v>
          </cell>
          <cell r="D205" t="str">
            <v>OXXO-Las Brisas</v>
          </cell>
          <cell r="E205" t="str">
            <v>No</v>
          </cell>
          <cell r="F205" t="str">
            <v>21737963-6</v>
          </cell>
          <cell r="G205" t="str">
            <v>Flores Gutierrez Emilin Yenny</v>
          </cell>
          <cell r="H205" t="str">
            <v>Cajero</v>
          </cell>
          <cell r="I205">
            <v>3</v>
          </cell>
          <cell r="J205">
            <v>68900812</v>
          </cell>
        </row>
        <row r="206">
          <cell r="C206" t="str">
            <v>50BRI</v>
          </cell>
          <cell r="D206" t="str">
            <v>OXXO-Las Brisas</v>
          </cell>
          <cell r="E206" t="str">
            <v>No</v>
          </cell>
          <cell r="F206" t="str">
            <v>21953067-6</v>
          </cell>
          <cell r="G206" t="str">
            <v>Salinas Daza Willyams Vincent</v>
          </cell>
          <cell r="H206" t="str">
            <v>Cajero</v>
          </cell>
          <cell r="I206">
            <v>3</v>
          </cell>
          <cell r="J206">
            <v>68900812</v>
          </cell>
        </row>
        <row r="207">
          <cell r="C207" t="str">
            <v>50BRI</v>
          </cell>
          <cell r="D207" t="str">
            <v>OXXO-Las Brisas</v>
          </cell>
          <cell r="E207" t="str">
            <v>No</v>
          </cell>
          <cell r="F207" t="str">
            <v>25226362-4</v>
          </cell>
          <cell r="G207" t="str">
            <v>Villaman Canela Fabiola Jose</v>
          </cell>
          <cell r="H207" t="str">
            <v>Cajero</v>
          </cell>
          <cell r="I207">
            <v>3</v>
          </cell>
          <cell r="J207">
            <v>68900812</v>
          </cell>
        </row>
        <row r="208">
          <cell r="C208" t="str">
            <v>50BRI</v>
          </cell>
          <cell r="D208" t="str">
            <v>OXXO-Las Brisas</v>
          </cell>
          <cell r="E208" t="str">
            <v>No</v>
          </cell>
          <cell r="F208" t="str">
            <v>27935693-4</v>
          </cell>
          <cell r="G208" t="str">
            <v>Leguizamon Bareño Dora Patricia</v>
          </cell>
          <cell r="H208" t="str">
            <v>Cajero</v>
          </cell>
          <cell r="I208">
            <v>3</v>
          </cell>
          <cell r="J208">
            <v>68900812</v>
          </cell>
        </row>
        <row r="209">
          <cell r="C209" t="str">
            <v>50OAL</v>
          </cell>
          <cell r="D209" t="str">
            <v>OXXO-Alameda 1</v>
          </cell>
          <cell r="E209" t="str">
            <v>No</v>
          </cell>
          <cell r="F209" t="str">
            <v>21163377-8</v>
          </cell>
          <cell r="G209" t="str">
            <v>Lagos Zamorano Sebastian Roberto</v>
          </cell>
          <cell r="H209" t="str">
            <v>Cajero</v>
          </cell>
          <cell r="I209">
            <v>3</v>
          </cell>
          <cell r="J209">
            <v>68008535</v>
          </cell>
        </row>
        <row r="210">
          <cell r="C210" t="str">
            <v>50OAL</v>
          </cell>
          <cell r="D210" t="str">
            <v>OXXO-Alameda 1</v>
          </cell>
          <cell r="E210" t="str">
            <v>No</v>
          </cell>
          <cell r="F210" t="str">
            <v>24091976-1</v>
          </cell>
          <cell r="G210" t="str">
            <v>Arenas Mejia Robinson</v>
          </cell>
          <cell r="H210" t="str">
            <v>Lider</v>
          </cell>
          <cell r="I210">
            <v>1</v>
          </cell>
          <cell r="J210">
            <v>68008535</v>
          </cell>
        </row>
        <row r="211">
          <cell r="C211" t="str">
            <v>50OAL</v>
          </cell>
          <cell r="D211" t="str">
            <v>OXXO-Alameda 1</v>
          </cell>
          <cell r="E211" t="str">
            <v>No</v>
          </cell>
          <cell r="F211" t="str">
            <v>26750205-6</v>
          </cell>
          <cell r="G211" t="str">
            <v>Davila Juarez Junior Alexander</v>
          </cell>
          <cell r="H211" t="str">
            <v>Cajero</v>
          </cell>
          <cell r="I211">
            <v>3</v>
          </cell>
          <cell r="J211">
            <v>68008535</v>
          </cell>
        </row>
        <row r="212">
          <cell r="C212" t="str">
            <v>50OAL</v>
          </cell>
          <cell r="D212" t="str">
            <v>OXXO-Alameda 1</v>
          </cell>
          <cell r="E212" t="str">
            <v>No</v>
          </cell>
          <cell r="F212" t="str">
            <v>27062494-4</v>
          </cell>
          <cell r="G212" t="str">
            <v>Urdaneta Medina Juan Carlos</v>
          </cell>
          <cell r="H212" t="str">
            <v>Jefe De Sala</v>
          </cell>
          <cell r="I212">
            <v>2</v>
          </cell>
          <cell r="J212">
            <v>68008535</v>
          </cell>
        </row>
        <row r="213">
          <cell r="C213" t="str">
            <v>50OAL</v>
          </cell>
          <cell r="D213" t="str">
            <v>OXXO-Alameda 1</v>
          </cell>
          <cell r="E213" t="str">
            <v>No</v>
          </cell>
          <cell r="F213" t="str">
            <v>27601006-9</v>
          </cell>
          <cell r="G213" t="str">
            <v>Zorrilla Stackpole Robert Alexander</v>
          </cell>
          <cell r="H213" t="str">
            <v>Cajero</v>
          </cell>
          <cell r="I213">
            <v>3</v>
          </cell>
          <cell r="J213">
            <v>68008535</v>
          </cell>
        </row>
        <row r="214">
          <cell r="C214" t="str">
            <v>50KOA</v>
          </cell>
          <cell r="D214" t="str">
            <v>OXXO-Luis Pasteur</v>
          </cell>
          <cell r="E214" t="str">
            <v>No</v>
          </cell>
          <cell r="F214" t="str">
            <v>13913558-K</v>
          </cell>
          <cell r="G214" t="str">
            <v>Inostroza Galdame Ariel Alejandro</v>
          </cell>
          <cell r="H214" t="str">
            <v>Cajero</v>
          </cell>
          <cell r="I214">
            <v>3</v>
          </cell>
          <cell r="J214">
            <v>66380751</v>
          </cell>
        </row>
        <row r="215">
          <cell r="C215" t="str">
            <v>50KOA</v>
          </cell>
          <cell r="D215" t="str">
            <v>OXXO-Luis Pasteur</v>
          </cell>
          <cell r="E215" t="str">
            <v>No</v>
          </cell>
          <cell r="F215" t="str">
            <v>16543212-6</v>
          </cell>
          <cell r="G215" t="str">
            <v>Neculpan Arangui Lucy</v>
          </cell>
          <cell r="H215" t="str">
            <v>Lider</v>
          </cell>
          <cell r="I215">
            <v>1</v>
          </cell>
          <cell r="J215">
            <v>66380751</v>
          </cell>
        </row>
        <row r="216">
          <cell r="C216" t="str">
            <v>50KOA</v>
          </cell>
          <cell r="D216" t="str">
            <v>OXXO-Luis Pasteur</v>
          </cell>
          <cell r="E216" t="str">
            <v>No</v>
          </cell>
          <cell r="F216" t="str">
            <v>17414833-3</v>
          </cell>
          <cell r="G216" t="str">
            <v>Fuentes Olivares Jose Alfredo</v>
          </cell>
          <cell r="H216" t="str">
            <v>Cajero</v>
          </cell>
          <cell r="I216">
            <v>3</v>
          </cell>
          <cell r="J216">
            <v>66380751</v>
          </cell>
        </row>
        <row r="217">
          <cell r="C217" t="str">
            <v>50KOA</v>
          </cell>
          <cell r="D217" t="str">
            <v>OXXO-Luis Pasteur</v>
          </cell>
          <cell r="E217" t="str">
            <v>No</v>
          </cell>
          <cell r="F217" t="str">
            <v>18707781-8</v>
          </cell>
          <cell r="G217" t="str">
            <v>Fariña Osorio Alejandra</v>
          </cell>
          <cell r="H217" t="str">
            <v>Jefe De Sala</v>
          </cell>
          <cell r="I217">
            <v>2</v>
          </cell>
          <cell r="J217">
            <v>66380751</v>
          </cell>
        </row>
        <row r="218">
          <cell r="C218" t="str">
            <v>50KOA</v>
          </cell>
          <cell r="D218" t="str">
            <v>OXXO-Luis Pasteur</v>
          </cell>
          <cell r="E218" t="str">
            <v>No</v>
          </cell>
          <cell r="F218" t="str">
            <v>20836822-2</v>
          </cell>
          <cell r="G218" t="str">
            <v>Herrera Reyes Silvana Stefania</v>
          </cell>
          <cell r="H218" t="str">
            <v>Cajero</v>
          </cell>
          <cell r="I218">
            <v>3</v>
          </cell>
          <cell r="J218">
            <v>66380751</v>
          </cell>
        </row>
        <row r="219">
          <cell r="C219" t="str">
            <v>50KOA</v>
          </cell>
          <cell r="D219" t="str">
            <v>OXXO-Luis Pasteur</v>
          </cell>
          <cell r="E219" t="str">
            <v>No</v>
          </cell>
          <cell r="F219" t="str">
            <v>20996619-0</v>
          </cell>
          <cell r="G219" t="str">
            <v>Allen Martinez Nicolas Jacob</v>
          </cell>
          <cell r="H219" t="str">
            <v>Cajero</v>
          </cell>
          <cell r="I219">
            <v>3</v>
          </cell>
          <cell r="J219">
            <v>66380751</v>
          </cell>
        </row>
        <row r="220">
          <cell r="C220" t="str">
            <v>50KOA</v>
          </cell>
          <cell r="D220" t="str">
            <v>OXXO-Luis Pasteur</v>
          </cell>
          <cell r="E220" t="str">
            <v>No</v>
          </cell>
          <cell r="F220" t="str">
            <v>21076558-1</v>
          </cell>
          <cell r="G220" t="str">
            <v>Altuna Mena Maria Jose</v>
          </cell>
          <cell r="H220" t="str">
            <v>Cajero</v>
          </cell>
          <cell r="I220">
            <v>3</v>
          </cell>
          <cell r="J220">
            <v>66380751</v>
          </cell>
        </row>
        <row r="221">
          <cell r="C221" t="str">
            <v>50OGD</v>
          </cell>
          <cell r="D221" t="str">
            <v>OXXO-Gral. Del Canto 11 De Sept.</v>
          </cell>
          <cell r="E221" t="str">
            <v>No</v>
          </cell>
          <cell r="F221" t="str">
            <v>18066148-4</v>
          </cell>
          <cell r="G221" t="str">
            <v>Cabrera Salgado Ignacio Andres</v>
          </cell>
          <cell r="H221" t="str">
            <v>Jefe De Sala</v>
          </cell>
          <cell r="I221">
            <v>2</v>
          </cell>
          <cell r="J221">
            <v>66119765</v>
          </cell>
        </row>
        <row r="222">
          <cell r="C222" t="str">
            <v>50OGD</v>
          </cell>
          <cell r="D222" t="str">
            <v>OXXO-Gral. Del Canto 11 De Sept.</v>
          </cell>
          <cell r="E222" t="str">
            <v>No</v>
          </cell>
          <cell r="F222" t="str">
            <v>20100015-7</v>
          </cell>
          <cell r="G222" t="str">
            <v>Poblete Hernandez Martina Arantza</v>
          </cell>
          <cell r="H222" t="str">
            <v>Cajero</v>
          </cell>
          <cell r="I222">
            <v>3</v>
          </cell>
          <cell r="J222">
            <v>66119765</v>
          </cell>
        </row>
        <row r="223">
          <cell r="C223" t="str">
            <v>50OGD</v>
          </cell>
          <cell r="D223" t="str">
            <v>OXXO-Gral. Del Canto 11 De Sept.</v>
          </cell>
          <cell r="E223" t="str">
            <v>No</v>
          </cell>
          <cell r="F223" t="str">
            <v>26030970-6</v>
          </cell>
          <cell r="G223" t="str">
            <v>Castillo Parra Natacha Isabel</v>
          </cell>
          <cell r="H223" t="str">
            <v>Jefe De Sala</v>
          </cell>
          <cell r="I223">
            <v>2</v>
          </cell>
          <cell r="J223">
            <v>66119765</v>
          </cell>
        </row>
        <row r="224">
          <cell r="C224" t="str">
            <v>50OGD</v>
          </cell>
          <cell r="D224" t="str">
            <v>OXXO-Gral. Del Canto 11 De Sept.</v>
          </cell>
          <cell r="E224" t="str">
            <v>No</v>
          </cell>
          <cell r="F224" t="str">
            <v>27730426-0</v>
          </cell>
          <cell r="G224" t="str">
            <v>Peñalver Ynagas Yosimi Carolina</v>
          </cell>
          <cell r="H224" t="str">
            <v>Lider</v>
          </cell>
          <cell r="I224">
            <v>1</v>
          </cell>
          <cell r="J224">
            <v>66119765</v>
          </cell>
        </row>
        <row r="225">
          <cell r="C225" t="str">
            <v>50OGD</v>
          </cell>
          <cell r="D225" t="str">
            <v>OXXO-Gral. Del Canto 11 De Sept.</v>
          </cell>
          <cell r="E225" t="str">
            <v>No</v>
          </cell>
          <cell r="F225" t="str">
            <v>27867918-7</v>
          </cell>
          <cell r="G225" t="str">
            <v>Hernandez Yolange Yebery</v>
          </cell>
          <cell r="H225" t="str">
            <v>Cajero</v>
          </cell>
          <cell r="I225">
            <v>3</v>
          </cell>
          <cell r="J225">
            <v>66119765</v>
          </cell>
        </row>
        <row r="226">
          <cell r="C226" t="str">
            <v>50DKO</v>
          </cell>
          <cell r="D226" t="str">
            <v>OXXO-Metro Franklin</v>
          </cell>
          <cell r="E226" t="str">
            <v>No</v>
          </cell>
          <cell r="F226" t="str">
            <v>13916451-2</v>
          </cell>
          <cell r="G226" t="str">
            <v>Espinoza Caceres Carlos</v>
          </cell>
          <cell r="H226" t="str">
            <v>Cajero</v>
          </cell>
          <cell r="I226">
            <v>3</v>
          </cell>
          <cell r="J226">
            <v>66021771</v>
          </cell>
        </row>
        <row r="227">
          <cell r="C227" t="str">
            <v>50DKO</v>
          </cell>
          <cell r="D227" t="str">
            <v>OXXO-Metro Franklin</v>
          </cell>
          <cell r="E227" t="str">
            <v>No</v>
          </cell>
          <cell r="F227" t="str">
            <v>18695593-5</v>
          </cell>
          <cell r="G227" t="str">
            <v>Gonzalez Vega Ana Maria</v>
          </cell>
          <cell r="H227" t="str">
            <v>Cajero</v>
          </cell>
          <cell r="I227">
            <v>3</v>
          </cell>
          <cell r="J227">
            <v>66021771</v>
          </cell>
        </row>
        <row r="228">
          <cell r="C228" t="str">
            <v>50DKO</v>
          </cell>
          <cell r="D228" t="str">
            <v>OXXO-Metro Franklin</v>
          </cell>
          <cell r="E228" t="str">
            <v>No</v>
          </cell>
          <cell r="F228" t="str">
            <v>19417848-4</v>
          </cell>
          <cell r="G228" t="str">
            <v>Escamilla Pinilla Nayareth Andrea</v>
          </cell>
          <cell r="H228" t="str">
            <v>Jefe De Sala</v>
          </cell>
          <cell r="I228">
            <v>2</v>
          </cell>
          <cell r="J228">
            <v>66021771</v>
          </cell>
        </row>
        <row r="229">
          <cell r="C229" t="str">
            <v>50DKO</v>
          </cell>
          <cell r="D229" t="str">
            <v>OXXO-Metro Franklin</v>
          </cell>
          <cell r="E229" t="str">
            <v>No</v>
          </cell>
          <cell r="F229" t="str">
            <v>19420343-8</v>
          </cell>
          <cell r="G229" t="str">
            <v>Rojas Jorquera Sarai Ester</v>
          </cell>
          <cell r="H229" t="str">
            <v>Cajero</v>
          </cell>
          <cell r="I229">
            <v>3</v>
          </cell>
          <cell r="J229">
            <v>66021771</v>
          </cell>
        </row>
        <row r="230">
          <cell r="C230" t="str">
            <v>50DKO</v>
          </cell>
          <cell r="D230" t="str">
            <v>OXXO-Metro Franklin</v>
          </cell>
          <cell r="E230" t="str">
            <v>No</v>
          </cell>
          <cell r="F230" t="str">
            <v>20145477-8</v>
          </cell>
          <cell r="G230" t="str">
            <v>Escárate Alvarez Maria Francisca</v>
          </cell>
          <cell r="H230" t="str">
            <v>Cajero</v>
          </cell>
          <cell r="I230">
            <v>3</v>
          </cell>
          <cell r="J230">
            <v>66021771</v>
          </cell>
        </row>
        <row r="231">
          <cell r="C231" t="str">
            <v>50DKO</v>
          </cell>
          <cell r="D231" t="str">
            <v>OXXO-Metro Franklin</v>
          </cell>
          <cell r="E231" t="str">
            <v>No</v>
          </cell>
          <cell r="F231" t="str">
            <v>21199376-6</v>
          </cell>
          <cell r="G231" t="str">
            <v>Lorca Cofre Jeremy Francisco</v>
          </cell>
          <cell r="H231" t="str">
            <v>Cajero</v>
          </cell>
          <cell r="I231">
            <v>3</v>
          </cell>
          <cell r="J231">
            <v>66021771</v>
          </cell>
        </row>
        <row r="232">
          <cell r="C232" t="str">
            <v>50DKO</v>
          </cell>
          <cell r="D232" t="str">
            <v>OXXO-Metro Franklin</v>
          </cell>
          <cell r="E232" t="str">
            <v>No</v>
          </cell>
          <cell r="F232" t="str">
            <v>23341887-0</v>
          </cell>
          <cell r="G232" t="str">
            <v>Guayao Bazan Oscar</v>
          </cell>
          <cell r="H232" t="str">
            <v>Lider</v>
          </cell>
          <cell r="I232">
            <v>1</v>
          </cell>
          <cell r="J232">
            <v>66021771</v>
          </cell>
        </row>
        <row r="233">
          <cell r="C233" t="str">
            <v>50DKO</v>
          </cell>
          <cell r="D233" t="str">
            <v>OXXO-Metro Franklin</v>
          </cell>
          <cell r="E233" t="str">
            <v>No</v>
          </cell>
          <cell r="F233" t="str">
            <v>27848697-4</v>
          </cell>
          <cell r="G233" t="str">
            <v>Guzman Cabello Thammy</v>
          </cell>
          <cell r="H233" t="str">
            <v>Jefe De Sala</v>
          </cell>
          <cell r="I233">
            <v>2</v>
          </cell>
          <cell r="J233">
            <v>66021771</v>
          </cell>
        </row>
        <row r="234">
          <cell r="C234" t="str">
            <v>50BJT</v>
          </cell>
          <cell r="D234" t="str">
            <v>OXXO-Huechuraba</v>
          </cell>
          <cell r="E234" t="str">
            <v>No</v>
          </cell>
          <cell r="F234" t="str">
            <v>18858147-1</v>
          </cell>
          <cell r="G234" t="str">
            <v>Peñaloza Mora Patricia Paola</v>
          </cell>
          <cell r="H234" t="str">
            <v>Jefe De Sala</v>
          </cell>
          <cell r="I234">
            <v>2</v>
          </cell>
          <cell r="J234">
            <v>65954082</v>
          </cell>
        </row>
        <row r="235">
          <cell r="C235" t="str">
            <v>50BJT</v>
          </cell>
          <cell r="D235" t="str">
            <v>OXXO-Huechuraba</v>
          </cell>
          <cell r="E235" t="str">
            <v>No</v>
          </cell>
          <cell r="F235" t="str">
            <v>20329015-2</v>
          </cell>
          <cell r="G235" t="str">
            <v>Nahuelñir Alvarado Javiera Ignacia</v>
          </cell>
          <cell r="H235" t="str">
            <v>Cajero</v>
          </cell>
          <cell r="I235">
            <v>3</v>
          </cell>
          <cell r="J235">
            <v>65954082</v>
          </cell>
        </row>
        <row r="236">
          <cell r="C236" t="str">
            <v>50BJT</v>
          </cell>
          <cell r="D236" t="str">
            <v>OXXO-Huechuraba</v>
          </cell>
          <cell r="E236" t="str">
            <v>No</v>
          </cell>
          <cell r="F236" t="str">
            <v>20819897-1</v>
          </cell>
          <cell r="G236" t="str">
            <v>Aburto Toro Matias Sebastian</v>
          </cell>
          <cell r="H236" t="str">
            <v>Cajero</v>
          </cell>
          <cell r="I236">
            <v>3</v>
          </cell>
          <cell r="J236">
            <v>65954082</v>
          </cell>
        </row>
        <row r="237">
          <cell r="C237" t="str">
            <v>50BJT</v>
          </cell>
          <cell r="D237" t="str">
            <v>OXXO-Huechuraba</v>
          </cell>
          <cell r="E237" t="str">
            <v>No</v>
          </cell>
          <cell r="F237" t="str">
            <v>22613223-6</v>
          </cell>
          <cell r="G237" t="str">
            <v>Erazo Gomes Monica Yris</v>
          </cell>
          <cell r="H237" t="str">
            <v>Jefe De Sala</v>
          </cell>
          <cell r="I237">
            <v>2</v>
          </cell>
          <cell r="J237">
            <v>65954082</v>
          </cell>
        </row>
        <row r="238">
          <cell r="C238" t="str">
            <v>50BJT</v>
          </cell>
          <cell r="D238" t="str">
            <v>OXXO-Huechuraba</v>
          </cell>
          <cell r="E238" t="str">
            <v>No</v>
          </cell>
          <cell r="F238" t="str">
            <v>24191828-9</v>
          </cell>
          <cell r="G238" t="str">
            <v>Cespedes . Juana Milagros</v>
          </cell>
          <cell r="H238" t="str">
            <v>Cajero</v>
          </cell>
          <cell r="I238">
            <v>3</v>
          </cell>
          <cell r="J238">
            <v>65954082</v>
          </cell>
        </row>
        <row r="239">
          <cell r="C239" t="str">
            <v>50BJT</v>
          </cell>
          <cell r="D239" t="str">
            <v>OXXO-Huechuraba</v>
          </cell>
          <cell r="E239" t="str">
            <v>No</v>
          </cell>
          <cell r="F239" t="str">
            <v>26776317-8</v>
          </cell>
          <cell r="G239" t="str">
            <v>Blasco Delgado Oscar Enrique</v>
          </cell>
          <cell r="H239" t="str">
            <v>Lider</v>
          </cell>
          <cell r="I239">
            <v>1</v>
          </cell>
          <cell r="J239">
            <v>65954082</v>
          </cell>
        </row>
        <row r="240">
          <cell r="C240" t="str">
            <v>50OPE</v>
          </cell>
          <cell r="D240" t="str">
            <v>OKM-El Parque C.Empre.Ii</v>
          </cell>
          <cell r="E240" t="str">
            <v>No</v>
          </cell>
          <cell r="F240" t="str">
            <v>11682890-1</v>
          </cell>
          <cell r="G240" t="str">
            <v>Alegria Rubio Doris Mireya</v>
          </cell>
          <cell r="H240" t="str">
            <v>Jefe De Sala</v>
          </cell>
          <cell r="I240">
            <v>2</v>
          </cell>
          <cell r="J240">
            <v>65832113</v>
          </cell>
        </row>
        <row r="241">
          <cell r="C241" t="str">
            <v>50OPE</v>
          </cell>
          <cell r="D241" t="str">
            <v>OKM-El Parque C.Empre.Ii</v>
          </cell>
          <cell r="E241" t="str">
            <v>No</v>
          </cell>
          <cell r="F241" t="str">
            <v>18088984-1</v>
          </cell>
          <cell r="G241" t="str">
            <v>Lopez Espinoza Marcelo Pablo</v>
          </cell>
          <cell r="H241" t="str">
            <v>Cajero</v>
          </cell>
          <cell r="I241">
            <v>3</v>
          </cell>
          <cell r="J241">
            <v>65832113</v>
          </cell>
        </row>
        <row r="242">
          <cell r="C242" t="str">
            <v>50OPE</v>
          </cell>
          <cell r="D242" t="str">
            <v>OKM-El Parque C.Empre.Ii</v>
          </cell>
          <cell r="E242" t="str">
            <v>No</v>
          </cell>
          <cell r="F242" t="str">
            <v>20304117-9</v>
          </cell>
          <cell r="G242" t="str">
            <v>Madrid Peralta Gabriela Catalina</v>
          </cell>
          <cell r="H242" t="str">
            <v>Cajero</v>
          </cell>
          <cell r="I242">
            <v>3</v>
          </cell>
          <cell r="J242">
            <v>65832113</v>
          </cell>
        </row>
        <row r="243">
          <cell r="C243" t="str">
            <v>50OPE</v>
          </cell>
          <cell r="D243" t="str">
            <v>OKM-El Parque C.Empre.Ii</v>
          </cell>
          <cell r="E243" t="str">
            <v>No</v>
          </cell>
          <cell r="F243" t="str">
            <v>21464037-6</v>
          </cell>
          <cell r="G243" t="str">
            <v>Vergara Moya Jabier Antonio</v>
          </cell>
          <cell r="H243" t="str">
            <v>Cajero</v>
          </cell>
          <cell r="I243">
            <v>3</v>
          </cell>
          <cell r="J243">
            <v>65832113</v>
          </cell>
        </row>
        <row r="244">
          <cell r="C244" t="str">
            <v>50OPE</v>
          </cell>
          <cell r="D244" t="str">
            <v>OKM-El Parque C.Empre.Ii</v>
          </cell>
          <cell r="E244" t="str">
            <v>No</v>
          </cell>
          <cell r="F244" t="str">
            <v>21948132-2</v>
          </cell>
          <cell r="G244" t="str">
            <v>Montoya Donoso Monserratt Alejandra</v>
          </cell>
          <cell r="H244" t="str">
            <v>Cajero</v>
          </cell>
          <cell r="I244">
            <v>3</v>
          </cell>
          <cell r="J244">
            <v>65832113</v>
          </cell>
        </row>
        <row r="245">
          <cell r="C245" t="str">
            <v>50OPE</v>
          </cell>
          <cell r="D245" t="str">
            <v>OKM-El Parque C.Empre.Ii</v>
          </cell>
          <cell r="E245" t="str">
            <v>No</v>
          </cell>
          <cell r="F245" t="str">
            <v>24776611-1</v>
          </cell>
          <cell r="G245" t="str">
            <v>Pereira Cespedes Jhosselin Celene</v>
          </cell>
          <cell r="H245" t="str">
            <v>Jefe De Sala</v>
          </cell>
          <cell r="I245">
            <v>2</v>
          </cell>
          <cell r="J245">
            <v>65832113</v>
          </cell>
        </row>
        <row r="246">
          <cell r="C246" t="str">
            <v>50OPE</v>
          </cell>
          <cell r="D246" t="str">
            <v>OKM-El Parque C.Empre.Ii</v>
          </cell>
          <cell r="E246" t="str">
            <v>No</v>
          </cell>
          <cell r="F246" t="str">
            <v>26412824-2</v>
          </cell>
          <cell r="G246" t="str">
            <v>Ortega Bustamante Maria Celeste</v>
          </cell>
          <cell r="H246" t="str">
            <v>Lider</v>
          </cell>
          <cell r="I246">
            <v>1</v>
          </cell>
          <cell r="J246">
            <v>65832113</v>
          </cell>
        </row>
        <row r="247">
          <cell r="C247" t="str">
            <v>50OEP</v>
          </cell>
          <cell r="D247" t="str">
            <v>OKM-Eliecer Parada Tob.</v>
          </cell>
          <cell r="E247" t="str">
            <v>No</v>
          </cell>
          <cell r="F247" t="str">
            <v>17879493-0</v>
          </cell>
          <cell r="G247" t="str">
            <v>Cardenas Castro Sebastian Ariel</v>
          </cell>
          <cell r="H247" t="str">
            <v>Lider</v>
          </cell>
          <cell r="I247">
            <v>1</v>
          </cell>
          <cell r="J247">
            <v>65766095</v>
          </cell>
        </row>
        <row r="248">
          <cell r="C248" t="str">
            <v>50OEP</v>
          </cell>
          <cell r="D248" t="str">
            <v>OKM-Eliecer Parada Tob.</v>
          </cell>
          <cell r="E248" t="str">
            <v>No</v>
          </cell>
          <cell r="F248" t="str">
            <v>18245702-7</v>
          </cell>
          <cell r="G248" t="str">
            <v>Vergara Maldonado Solange Andrea</v>
          </cell>
          <cell r="H248" t="str">
            <v>Jefe De Sala</v>
          </cell>
          <cell r="I248">
            <v>2</v>
          </cell>
          <cell r="J248">
            <v>65766095</v>
          </cell>
        </row>
        <row r="249">
          <cell r="C249" t="str">
            <v>50OEP</v>
          </cell>
          <cell r="D249" t="str">
            <v>OKM-Eliecer Parada Tob.</v>
          </cell>
          <cell r="E249" t="str">
            <v>No</v>
          </cell>
          <cell r="F249" t="str">
            <v>20239471-K</v>
          </cell>
          <cell r="G249" t="str">
            <v>Sothers Cortes Marcelo Ignacio</v>
          </cell>
          <cell r="H249" t="str">
            <v>Cajero</v>
          </cell>
          <cell r="I249">
            <v>3</v>
          </cell>
          <cell r="J249">
            <v>65766095</v>
          </cell>
        </row>
        <row r="250">
          <cell r="C250" t="str">
            <v>50OEP</v>
          </cell>
          <cell r="D250" t="str">
            <v>OKM-Eliecer Parada Tob.</v>
          </cell>
          <cell r="E250" t="str">
            <v>No</v>
          </cell>
          <cell r="F250" t="str">
            <v>21549984-7</v>
          </cell>
          <cell r="G250" t="str">
            <v>Alvarez Diaz Lorenzo David Adolfo</v>
          </cell>
          <cell r="H250" t="str">
            <v>Jefe De Sala</v>
          </cell>
          <cell r="I250">
            <v>2</v>
          </cell>
          <cell r="J250">
            <v>65766095</v>
          </cell>
        </row>
        <row r="251">
          <cell r="C251" t="str">
            <v>50OEP</v>
          </cell>
          <cell r="D251" t="str">
            <v>OKM-Eliecer Parada Tob.</v>
          </cell>
          <cell r="E251" t="str">
            <v>No</v>
          </cell>
          <cell r="F251" t="str">
            <v>22606983-6</v>
          </cell>
          <cell r="G251" t="str">
            <v>Villanueva Caceres Karen Sarai</v>
          </cell>
          <cell r="H251" t="str">
            <v>Jefe De Sala</v>
          </cell>
          <cell r="I251">
            <v>2</v>
          </cell>
          <cell r="J251">
            <v>65766095</v>
          </cell>
        </row>
        <row r="252">
          <cell r="C252" t="str">
            <v>50OEP</v>
          </cell>
          <cell r="D252" t="str">
            <v>OKM-Eliecer Parada Tob.</v>
          </cell>
          <cell r="E252" t="str">
            <v>No</v>
          </cell>
          <cell r="F252" t="str">
            <v>23542218-2</v>
          </cell>
          <cell r="G252" t="str">
            <v>Sanchez Mananita Cledy Lizet</v>
          </cell>
          <cell r="H252" t="str">
            <v>Cajero</v>
          </cell>
          <cell r="I252">
            <v>3</v>
          </cell>
          <cell r="J252">
            <v>65766095</v>
          </cell>
        </row>
        <row r="253">
          <cell r="C253" t="str">
            <v>50OPH</v>
          </cell>
          <cell r="D253" t="str">
            <v>OXXO-Guardia Vieja</v>
          </cell>
          <cell r="E253" t="str">
            <v>No</v>
          </cell>
          <cell r="F253" t="str">
            <v>18209950-3</v>
          </cell>
          <cell r="G253" t="str">
            <v>Muñoz Guajardo Valentina Sofia</v>
          </cell>
          <cell r="H253" t="str">
            <v>Cajero</v>
          </cell>
          <cell r="I253">
            <v>3</v>
          </cell>
          <cell r="J253">
            <v>65241207</v>
          </cell>
        </row>
        <row r="254">
          <cell r="C254" t="str">
            <v>50OPH</v>
          </cell>
          <cell r="D254" t="str">
            <v>OXXO-Guardia Vieja</v>
          </cell>
          <cell r="E254" t="str">
            <v>No</v>
          </cell>
          <cell r="F254" t="str">
            <v>21130926-1</v>
          </cell>
          <cell r="G254" t="str">
            <v>Campuzano Muñoz Josefa De Jesus</v>
          </cell>
          <cell r="H254" t="str">
            <v>Cajero</v>
          </cell>
          <cell r="I254">
            <v>3</v>
          </cell>
          <cell r="J254">
            <v>65241207</v>
          </cell>
        </row>
        <row r="255">
          <cell r="C255" t="str">
            <v>50OPH</v>
          </cell>
          <cell r="D255" t="str">
            <v>OXXO-Guardia Vieja</v>
          </cell>
          <cell r="E255" t="str">
            <v>No</v>
          </cell>
          <cell r="F255" t="str">
            <v>23440968-9</v>
          </cell>
          <cell r="G255" t="str">
            <v>Diaz Baurista Maria De Los Angeles</v>
          </cell>
          <cell r="H255" t="str">
            <v>Cajero</v>
          </cell>
          <cell r="I255">
            <v>3</v>
          </cell>
          <cell r="J255">
            <v>65241207</v>
          </cell>
        </row>
        <row r="256">
          <cell r="C256" t="str">
            <v>50OPH</v>
          </cell>
          <cell r="D256" t="str">
            <v>OXXO-Guardia Vieja</v>
          </cell>
          <cell r="E256" t="str">
            <v>No</v>
          </cell>
          <cell r="F256" t="str">
            <v>25328696-2</v>
          </cell>
          <cell r="G256" t="str">
            <v>Salazar . Geraldine</v>
          </cell>
          <cell r="H256" t="str">
            <v>Lider</v>
          </cell>
          <cell r="I256">
            <v>1</v>
          </cell>
          <cell r="J256">
            <v>65241207</v>
          </cell>
        </row>
        <row r="257">
          <cell r="C257" t="str">
            <v>50OPH</v>
          </cell>
          <cell r="D257" t="str">
            <v>OXXO-Guardia Vieja</v>
          </cell>
          <cell r="E257" t="str">
            <v>No</v>
          </cell>
          <cell r="F257" t="str">
            <v>27144028-6</v>
          </cell>
          <cell r="G257" t="str">
            <v>Sequera De Rodriguez Cioiris Danyelis</v>
          </cell>
          <cell r="H257" t="str">
            <v>Cajero</v>
          </cell>
          <cell r="I257">
            <v>3</v>
          </cell>
          <cell r="J257">
            <v>65241207</v>
          </cell>
        </row>
        <row r="258">
          <cell r="C258" t="str">
            <v>50OPH</v>
          </cell>
          <cell r="D258" t="str">
            <v>OXXO-Guardia Vieja</v>
          </cell>
          <cell r="E258" t="str">
            <v>No</v>
          </cell>
          <cell r="F258" t="str">
            <v>27917720-7</v>
          </cell>
          <cell r="G258" t="str">
            <v>Hernandez Benjasmin Alexander David</v>
          </cell>
          <cell r="H258" t="str">
            <v>Cajero</v>
          </cell>
          <cell r="I258">
            <v>3</v>
          </cell>
          <cell r="J258">
            <v>65241207</v>
          </cell>
        </row>
        <row r="259">
          <cell r="C259" t="str">
            <v>50JIO</v>
          </cell>
          <cell r="D259" t="str">
            <v>OXXO-Apoquindo 7</v>
          </cell>
          <cell r="E259" t="str">
            <v>No</v>
          </cell>
          <cell r="F259" t="str">
            <v>19958926-1</v>
          </cell>
          <cell r="G259" t="str">
            <v>Muñoz Aguirre Sebastian Felipe</v>
          </cell>
          <cell r="H259" t="str">
            <v>Cajero</v>
          </cell>
          <cell r="I259">
            <v>3</v>
          </cell>
          <cell r="J259">
            <v>64976983</v>
          </cell>
        </row>
        <row r="260">
          <cell r="C260" t="str">
            <v>50JIO</v>
          </cell>
          <cell r="D260" t="str">
            <v>OXXO-Apoquindo 7</v>
          </cell>
          <cell r="E260" t="str">
            <v>No</v>
          </cell>
          <cell r="F260" t="str">
            <v>20000180-K</v>
          </cell>
          <cell r="G260" t="str">
            <v>Domenech Lopez Stefania Alejandra</v>
          </cell>
          <cell r="H260" t="str">
            <v>Cajero</v>
          </cell>
          <cell r="I260">
            <v>3</v>
          </cell>
          <cell r="J260">
            <v>64976983</v>
          </cell>
        </row>
        <row r="261">
          <cell r="C261" t="str">
            <v>50JIO</v>
          </cell>
          <cell r="D261" t="str">
            <v>OXXO-Apoquindo 7</v>
          </cell>
          <cell r="E261" t="str">
            <v>No</v>
          </cell>
          <cell r="F261" t="str">
            <v>25630549-6</v>
          </cell>
          <cell r="G261" t="str">
            <v>Cadillo Alvarado Diana Celestina</v>
          </cell>
          <cell r="H261" t="str">
            <v>Jefe De Sala</v>
          </cell>
          <cell r="I261">
            <v>2</v>
          </cell>
          <cell r="J261">
            <v>64976983</v>
          </cell>
        </row>
        <row r="262">
          <cell r="C262" t="str">
            <v>50JIO</v>
          </cell>
          <cell r="D262" t="str">
            <v>OXXO-Apoquindo 7</v>
          </cell>
          <cell r="E262" t="str">
            <v>No</v>
          </cell>
          <cell r="F262" t="str">
            <v>26030522-0</v>
          </cell>
          <cell r="G262" t="str">
            <v>Rodriguez Espiritu Roxana Elizabet</v>
          </cell>
          <cell r="H262" t="str">
            <v>Cajero</v>
          </cell>
          <cell r="I262">
            <v>3</v>
          </cell>
          <cell r="J262">
            <v>64976983</v>
          </cell>
        </row>
        <row r="263">
          <cell r="C263" t="str">
            <v>50JIO</v>
          </cell>
          <cell r="D263" t="str">
            <v>OXXO-Apoquindo 7</v>
          </cell>
          <cell r="E263" t="str">
            <v>No</v>
          </cell>
          <cell r="F263" t="str">
            <v>27296301-0</v>
          </cell>
          <cell r="G263" t="str">
            <v>Guerra Vasquez Naudy Joan</v>
          </cell>
          <cell r="H263" t="str">
            <v>Cajero</v>
          </cell>
          <cell r="I263">
            <v>3</v>
          </cell>
          <cell r="J263">
            <v>64976983</v>
          </cell>
        </row>
        <row r="264">
          <cell r="C264" t="str">
            <v>50JIO</v>
          </cell>
          <cell r="D264" t="str">
            <v>OXXO-Apoquindo 7</v>
          </cell>
          <cell r="E264" t="str">
            <v>No</v>
          </cell>
          <cell r="F264" t="str">
            <v>27799794-0</v>
          </cell>
          <cell r="G264" t="str">
            <v>Valencia Cardona Jorge</v>
          </cell>
          <cell r="H264" t="str">
            <v>Lider</v>
          </cell>
          <cell r="I264">
            <v>1</v>
          </cell>
          <cell r="J264">
            <v>64976983</v>
          </cell>
        </row>
        <row r="265">
          <cell r="C265" t="str">
            <v>50JIO</v>
          </cell>
          <cell r="D265" t="str">
            <v>OXXO-Apoquindo 7</v>
          </cell>
          <cell r="E265" t="str">
            <v>No</v>
          </cell>
          <cell r="F265" t="str">
            <v>28162316-8</v>
          </cell>
          <cell r="G265" t="str">
            <v>Muniz De Morais Bruno</v>
          </cell>
          <cell r="H265" t="str">
            <v>Cajero</v>
          </cell>
          <cell r="I265">
            <v>3</v>
          </cell>
          <cell r="J265">
            <v>64976983</v>
          </cell>
        </row>
        <row r="266">
          <cell r="C266" t="str">
            <v>50OJJ</v>
          </cell>
          <cell r="D266" t="str">
            <v>OXXO-Badajoz</v>
          </cell>
          <cell r="E266" t="str">
            <v>No</v>
          </cell>
          <cell r="F266" t="str">
            <v>18823082-2</v>
          </cell>
          <cell r="G266" t="str">
            <v>Nuñez Leyton Dayana</v>
          </cell>
          <cell r="H266" t="str">
            <v>Cajero</v>
          </cell>
          <cell r="I266">
            <v>3</v>
          </cell>
          <cell r="J266">
            <v>64944243</v>
          </cell>
        </row>
        <row r="267">
          <cell r="C267" t="str">
            <v>50OJJ</v>
          </cell>
          <cell r="D267" t="str">
            <v>OXXO-Badajoz</v>
          </cell>
          <cell r="E267" t="str">
            <v>No</v>
          </cell>
          <cell r="F267" t="str">
            <v>23382918-8</v>
          </cell>
          <cell r="G267" t="str">
            <v>Leal Gonzalez Katherine</v>
          </cell>
          <cell r="H267" t="str">
            <v>Jefe De Sala</v>
          </cell>
          <cell r="I267">
            <v>2</v>
          </cell>
          <cell r="J267">
            <v>64944243</v>
          </cell>
        </row>
        <row r="268">
          <cell r="C268" t="str">
            <v>50OJJ</v>
          </cell>
          <cell r="D268" t="str">
            <v>OXXO-Badajoz</v>
          </cell>
          <cell r="E268" t="str">
            <v>No</v>
          </cell>
          <cell r="F268" t="str">
            <v>24757786-6</v>
          </cell>
          <cell r="G268" t="str">
            <v>Justiniano Romero Nicole</v>
          </cell>
          <cell r="H268" t="str">
            <v>Cajero</v>
          </cell>
          <cell r="I268">
            <v>3</v>
          </cell>
          <cell r="J268">
            <v>64944243</v>
          </cell>
        </row>
        <row r="269">
          <cell r="C269" t="str">
            <v>50OJJ</v>
          </cell>
          <cell r="D269" t="str">
            <v>OXXO-Badajoz</v>
          </cell>
          <cell r="E269" t="str">
            <v>No</v>
          </cell>
          <cell r="F269" t="str">
            <v>27032606-4</v>
          </cell>
          <cell r="G269" t="str">
            <v>Moreno Lanz Carlos Alfredo</v>
          </cell>
          <cell r="H269" t="str">
            <v>Cajero</v>
          </cell>
          <cell r="I269">
            <v>3</v>
          </cell>
          <cell r="J269">
            <v>64944243</v>
          </cell>
        </row>
        <row r="270">
          <cell r="C270" t="str">
            <v>50OJJ</v>
          </cell>
          <cell r="D270" t="str">
            <v>OXXO-Badajoz</v>
          </cell>
          <cell r="E270" t="str">
            <v>No</v>
          </cell>
          <cell r="F270" t="str">
            <v>27308785-0</v>
          </cell>
          <cell r="G270" t="str">
            <v>Diaz Castellanos Jose Antonio</v>
          </cell>
          <cell r="H270" t="str">
            <v>Cajero</v>
          </cell>
          <cell r="I270">
            <v>3</v>
          </cell>
          <cell r="J270">
            <v>64944243</v>
          </cell>
        </row>
        <row r="271">
          <cell r="C271" t="str">
            <v>50OJJ</v>
          </cell>
          <cell r="D271" t="str">
            <v>OXXO-Badajoz</v>
          </cell>
          <cell r="E271" t="str">
            <v>No</v>
          </cell>
          <cell r="F271" t="str">
            <v>27434656-6</v>
          </cell>
          <cell r="G271" t="str">
            <v>Ortiz Atencio Josefa Elina</v>
          </cell>
          <cell r="H271" t="str">
            <v>Lider</v>
          </cell>
          <cell r="I271">
            <v>1</v>
          </cell>
          <cell r="J271">
            <v>64944243</v>
          </cell>
        </row>
        <row r="272">
          <cell r="C272" t="str">
            <v>50OJJ</v>
          </cell>
          <cell r="D272" t="str">
            <v>OXXO-Badajoz</v>
          </cell>
          <cell r="E272" t="str">
            <v>No</v>
          </cell>
          <cell r="F272" t="str">
            <v>27967601-7</v>
          </cell>
          <cell r="G272" t="str">
            <v>Mendoza Perez Daniel Ricardo</v>
          </cell>
          <cell r="H272" t="str">
            <v>Jefe De Sala</v>
          </cell>
          <cell r="I272">
            <v>2</v>
          </cell>
          <cell r="J272">
            <v>64944243</v>
          </cell>
        </row>
        <row r="273">
          <cell r="C273" t="str">
            <v>50MPC</v>
          </cell>
          <cell r="D273" t="str">
            <v>OXXO-Metro Cal Y Canto</v>
          </cell>
          <cell r="E273" t="str">
            <v>No</v>
          </cell>
          <cell r="F273" t="str">
            <v>11168231-3</v>
          </cell>
          <cell r="G273" t="str">
            <v>Acuña San Martin Ximena</v>
          </cell>
          <cell r="H273" t="str">
            <v>Cajero</v>
          </cell>
          <cell r="I273">
            <v>3</v>
          </cell>
          <cell r="J273">
            <v>63258468</v>
          </cell>
        </row>
        <row r="274">
          <cell r="C274" t="str">
            <v>50MPC</v>
          </cell>
          <cell r="D274" t="str">
            <v>OXXO-Metro Cal Y Canto</v>
          </cell>
          <cell r="E274" t="str">
            <v>No</v>
          </cell>
          <cell r="F274" t="str">
            <v>16931687-2</v>
          </cell>
          <cell r="G274" t="str">
            <v>Agurto Pozo Cinthia Nicole</v>
          </cell>
          <cell r="H274" t="str">
            <v>Cajero</v>
          </cell>
          <cell r="I274">
            <v>3</v>
          </cell>
          <cell r="J274">
            <v>63258468</v>
          </cell>
        </row>
        <row r="275">
          <cell r="C275" t="str">
            <v>50MPC</v>
          </cell>
          <cell r="D275" t="str">
            <v>OXXO-Metro Cal Y Canto</v>
          </cell>
          <cell r="E275" t="str">
            <v>No</v>
          </cell>
          <cell r="F275" t="str">
            <v>18465584-5</v>
          </cell>
          <cell r="G275" t="str">
            <v>Sapiain Arenas Silvia Samara</v>
          </cell>
          <cell r="H275" t="str">
            <v>Cajero</v>
          </cell>
          <cell r="I275">
            <v>3</v>
          </cell>
          <cell r="J275">
            <v>63258468</v>
          </cell>
        </row>
        <row r="276">
          <cell r="C276" t="str">
            <v>50MPC</v>
          </cell>
          <cell r="D276" t="str">
            <v>OXXO-Metro Cal Y Canto</v>
          </cell>
          <cell r="E276" t="str">
            <v>No</v>
          </cell>
          <cell r="F276" t="str">
            <v>18626801-6</v>
          </cell>
          <cell r="G276" t="str">
            <v>Sagredo Muñoz Franco Andres</v>
          </cell>
          <cell r="H276" t="str">
            <v>Lider</v>
          </cell>
          <cell r="I276">
            <v>1</v>
          </cell>
          <cell r="J276">
            <v>63258468</v>
          </cell>
        </row>
        <row r="277">
          <cell r="C277" t="str">
            <v>50MPC</v>
          </cell>
          <cell r="D277" t="str">
            <v>OXXO-Metro Cal Y Canto</v>
          </cell>
          <cell r="E277" t="str">
            <v>No</v>
          </cell>
          <cell r="F277" t="str">
            <v>27191824-0</v>
          </cell>
          <cell r="G277" t="str">
            <v>Pineda Marcano Iraxy</v>
          </cell>
          <cell r="H277" t="str">
            <v>Jefe De Sala</v>
          </cell>
          <cell r="I277">
            <v>2</v>
          </cell>
          <cell r="J277">
            <v>63258468</v>
          </cell>
        </row>
        <row r="278">
          <cell r="C278" t="str">
            <v>50MPC</v>
          </cell>
          <cell r="D278" t="str">
            <v>OXXO-Metro Cal Y Canto</v>
          </cell>
          <cell r="E278" t="str">
            <v>No</v>
          </cell>
          <cell r="F278" t="str">
            <v>27447800-4</v>
          </cell>
          <cell r="G278" t="str">
            <v>Garcia Centeno Geraldine Nicolle</v>
          </cell>
          <cell r="H278" t="str">
            <v>Jefe De Sala</v>
          </cell>
          <cell r="I278">
            <v>2</v>
          </cell>
          <cell r="J278">
            <v>63258468</v>
          </cell>
        </row>
        <row r="279">
          <cell r="C279" t="str">
            <v>50MPC</v>
          </cell>
          <cell r="D279" t="str">
            <v>OXXO-Metro Cal Y Canto</v>
          </cell>
          <cell r="E279" t="str">
            <v>No</v>
          </cell>
          <cell r="F279" t="str">
            <v>27457042-3</v>
          </cell>
          <cell r="G279" t="str">
            <v>Barrozo Murillo Blanca Aurora</v>
          </cell>
          <cell r="H279" t="str">
            <v>Cajero</v>
          </cell>
          <cell r="I279">
            <v>3</v>
          </cell>
          <cell r="J279">
            <v>63258468</v>
          </cell>
        </row>
        <row r="280">
          <cell r="C280" t="str">
            <v>50ONC</v>
          </cell>
          <cell r="D280" t="str">
            <v>OXXO-Nataniel Cox 2</v>
          </cell>
          <cell r="E280" t="str">
            <v>No</v>
          </cell>
          <cell r="F280" t="str">
            <v>14610293-K</v>
          </cell>
          <cell r="G280" t="str">
            <v>Venegas Galarce Solange Scarlet</v>
          </cell>
          <cell r="H280" t="str">
            <v>Jefe De Sala</v>
          </cell>
          <cell r="I280">
            <v>2</v>
          </cell>
          <cell r="J280">
            <v>62735941</v>
          </cell>
        </row>
        <row r="281">
          <cell r="C281" t="str">
            <v>50ONC</v>
          </cell>
          <cell r="D281" t="str">
            <v>OXXO-Nataniel Cox 2</v>
          </cell>
          <cell r="E281" t="str">
            <v>No</v>
          </cell>
          <cell r="F281" t="str">
            <v>18765578-1</v>
          </cell>
          <cell r="G281" t="str">
            <v>Soto Alvarez Allyson Fernanda</v>
          </cell>
          <cell r="H281" t="str">
            <v>Lider</v>
          </cell>
          <cell r="I281">
            <v>1</v>
          </cell>
          <cell r="J281">
            <v>62735941</v>
          </cell>
        </row>
        <row r="282">
          <cell r="C282" t="str">
            <v>50ONC</v>
          </cell>
          <cell r="D282" t="str">
            <v>OXXO-Nataniel Cox 2</v>
          </cell>
          <cell r="E282" t="str">
            <v>No</v>
          </cell>
          <cell r="F282" t="str">
            <v>19830249-K</v>
          </cell>
          <cell r="G282" t="str">
            <v>Cabezas Abarzua Jazmin Alejandra</v>
          </cell>
          <cell r="H282" t="str">
            <v>Jefe De Sala</v>
          </cell>
          <cell r="I282">
            <v>2</v>
          </cell>
          <cell r="J282">
            <v>62735941</v>
          </cell>
        </row>
        <row r="283">
          <cell r="C283" t="str">
            <v>50ONC</v>
          </cell>
          <cell r="D283" t="str">
            <v>OXXO-Nataniel Cox 2</v>
          </cell>
          <cell r="E283" t="str">
            <v>No</v>
          </cell>
          <cell r="F283" t="str">
            <v>20954179-3</v>
          </cell>
          <cell r="G283" t="str">
            <v>Avila Clein Maximus Eyen</v>
          </cell>
          <cell r="H283" t="str">
            <v>Cajero</v>
          </cell>
          <cell r="I283">
            <v>3</v>
          </cell>
          <cell r="J283">
            <v>62735941</v>
          </cell>
        </row>
        <row r="284">
          <cell r="C284" t="str">
            <v>50ONC</v>
          </cell>
          <cell r="D284" t="str">
            <v>OXXO-Nataniel Cox 2</v>
          </cell>
          <cell r="E284" t="str">
            <v>No</v>
          </cell>
          <cell r="F284" t="str">
            <v>26275927-K</v>
          </cell>
          <cell r="G284" t="str">
            <v>Desbouquets. . Girlmy</v>
          </cell>
          <cell r="H284" t="str">
            <v>Cajero</v>
          </cell>
          <cell r="I284">
            <v>3</v>
          </cell>
          <cell r="J284">
            <v>62735941</v>
          </cell>
        </row>
        <row r="285">
          <cell r="C285" t="str">
            <v>50ONC</v>
          </cell>
          <cell r="D285" t="str">
            <v>OXXO-Nataniel Cox 2</v>
          </cell>
          <cell r="E285" t="str">
            <v>No</v>
          </cell>
          <cell r="F285" t="str">
            <v>26522872-0</v>
          </cell>
          <cell r="G285" t="str">
            <v>Alvarado Jordan Veruzka Linnet</v>
          </cell>
          <cell r="H285" t="str">
            <v>Cajero</v>
          </cell>
          <cell r="I285">
            <v>3</v>
          </cell>
          <cell r="J285">
            <v>62735941</v>
          </cell>
        </row>
        <row r="286">
          <cell r="C286" t="str">
            <v>50ONC</v>
          </cell>
          <cell r="D286" t="str">
            <v>OXXO-Nataniel Cox 2</v>
          </cell>
          <cell r="E286" t="str">
            <v>No</v>
          </cell>
          <cell r="F286" t="str">
            <v>27032849-0</v>
          </cell>
          <cell r="G286" t="str">
            <v>Atencio Salazar Keren</v>
          </cell>
          <cell r="H286" t="str">
            <v>Cajero</v>
          </cell>
          <cell r="I286">
            <v>3</v>
          </cell>
          <cell r="J286">
            <v>62735941</v>
          </cell>
        </row>
        <row r="287">
          <cell r="C287" t="str">
            <v>50ONC</v>
          </cell>
          <cell r="D287" t="str">
            <v>OXXO-Nataniel Cox 2</v>
          </cell>
          <cell r="E287" t="str">
            <v>No</v>
          </cell>
          <cell r="F287" t="str">
            <v>27149747-4</v>
          </cell>
          <cell r="G287" t="str">
            <v>Garcia Cohen Edgar Benito</v>
          </cell>
          <cell r="H287" t="str">
            <v>Cajero</v>
          </cell>
          <cell r="I287">
            <v>3</v>
          </cell>
          <cell r="J287">
            <v>62735941</v>
          </cell>
        </row>
        <row r="288">
          <cell r="C288" t="str">
            <v>50SLM</v>
          </cell>
          <cell r="D288" t="str">
            <v>OXXO-Apoquindo 4</v>
          </cell>
          <cell r="E288" t="str">
            <v>No</v>
          </cell>
          <cell r="F288" t="str">
            <v>15202533-5</v>
          </cell>
          <cell r="G288" t="str">
            <v>Parra Calfiqueo Cristian</v>
          </cell>
          <cell r="H288" t="str">
            <v>Lider</v>
          </cell>
          <cell r="I288">
            <v>1</v>
          </cell>
          <cell r="J288">
            <v>62231995</v>
          </cell>
        </row>
        <row r="289">
          <cell r="C289" t="str">
            <v>50SLM</v>
          </cell>
          <cell r="D289" t="str">
            <v>OXXO-Apoquindo 4</v>
          </cell>
          <cell r="E289" t="str">
            <v>No</v>
          </cell>
          <cell r="F289" t="str">
            <v>15210808-7</v>
          </cell>
          <cell r="G289" t="str">
            <v>Muñoz Zambrano Lorena Andrea</v>
          </cell>
          <cell r="H289" t="str">
            <v>Jefe De Sala</v>
          </cell>
          <cell r="I289">
            <v>2</v>
          </cell>
          <cell r="J289">
            <v>62231995</v>
          </cell>
        </row>
        <row r="290">
          <cell r="C290" t="str">
            <v>50SLM</v>
          </cell>
          <cell r="D290" t="str">
            <v>OXXO-Apoquindo 4</v>
          </cell>
          <cell r="E290" t="str">
            <v>No</v>
          </cell>
          <cell r="F290" t="str">
            <v>15715346-3</v>
          </cell>
          <cell r="G290" t="str">
            <v>Valdebenito Bastias Angelina</v>
          </cell>
          <cell r="H290" t="str">
            <v>Jefe De Sala</v>
          </cell>
          <cell r="I290">
            <v>2</v>
          </cell>
          <cell r="J290">
            <v>62231995</v>
          </cell>
        </row>
        <row r="291">
          <cell r="C291" t="str">
            <v>50SLM</v>
          </cell>
          <cell r="D291" t="str">
            <v>OXXO-Apoquindo 4</v>
          </cell>
          <cell r="E291" t="str">
            <v>No</v>
          </cell>
          <cell r="F291" t="str">
            <v>19353884-3</v>
          </cell>
          <cell r="G291" t="str">
            <v>Maldonado Velez Conzuelo Paz</v>
          </cell>
          <cell r="H291" t="str">
            <v>Cajero</v>
          </cell>
          <cell r="I291">
            <v>3</v>
          </cell>
          <cell r="J291">
            <v>62231995</v>
          </cell>
        </row>
        <row r="292">
          <cell r="C292" t="str">
            <v>50SLM</v>
          </cell>
          <cell r="D292" t="str">
            <v>OXXO-Apoquindo 4</v>
          </cell>
          <cell r="E292" t="str">
            <v>No</v>
          </cell>
          <cell r="F292" t="str">
            <v>26603051-7</v>
          </cell>
          <cell r="G292" t="str">
            <v>Gonzalez Diaz Jose Leonardo</v>
          </cell>
          <cell r="H292" t="str">
            <v>Cajero</v>
          </cell>
          <cell r="I292">
            <v>3</v>
          </cell>
          <cell r="J292">
            <v>62231995</v>
          </cell>
        </row>
        <row r="293">
          <cell r="C293" t="str">
            <v>50SLM</v>
          </cell>
          <cell r="D293" t="str">
            <v>OXXO-Apoquindo 4</v>
          </cell>
          <cell r="E293" t="str">
            <v>No</v>
          </cell>
          <cell r="F293" t="str">
            <v>28160389-2</v>
          </cell>
          <cell r="G293" t="str">
            <v>Aguilera Abreu Edwin Jose</v>
          </cell>
          <cell r="H293" t="str">
            <v>Cajero</v>
          </cell>
          <cell r="I293">
            <v>3</v>
          </cell>
          <cell r="J293">
            <v>62231995</v>
          </cell>
        </row>
        <row r="294">
          <cell r="C294" t="str">
            <v>50ORP</v>
          </cell>
          <cell r="D294" t="str">
            <v>OXXO-Republica</v>
          </cell>
          <cell r="E294" t="str">
            <v>No</v>
          </cell>
          <cell r="F294" t="str">
            <v>13665378-4</v>
          </cell>
          <cell r="G294" t="str">
            <v>Diaz Garcia Maximiliano Oracio</v>
          </cell>
          <cell r="H294" t="str">
            <v>Cajero</v>
          </cell>
          <cell r="I294">
            <v>3</v>
          </cell>
          <cell r="J294">
            <v>62042592</v>
          </cell>
        </row>
        <row r="295">
          <cell r="C295" t="str">
            <v>50ORP</v>
          </cell>
          <cell r="D295" t="str">
            <v>OXXO-Republica</v>
          </cell>
          <cell r="E295" t="str">
            <v>No</v>
          </cell>
          <cell r="F295" t="str">
            <v>18365495-0</v>
          </cell>
          <cell r="G295" t="str">
            <v>Bugueño Pizarro Miguel</v>
          </cell>
          <cell r="H295" t="str">
            <v>Cajero</v>
          </cell>
          <cell r="I295">
            <v>3</v>
          </cell>
          <cell r="J295">
            <v>62042592</v>
          </cell>
        </row>
        <row r="296">
          <cell r="C296" t="str">
            <v>50ORP</v>
          </cell>
          <cell r="D296" t="str">
            <v>OXXO-Republica</v>
          </cell>
          <cell r="E296" t="str">
            <v>No</v>
          </cell>
          <cell r="F296" t="str">
            <v>25873736-9</v>
          </cell>
          <cell r="G296" t="str">
            <v>Botero Cuesta Lady Johana</v>
          </cell>
          <cell r="H296" t="str">
            <v>Cajero</v>
          </cell>
          <cell r="I296">
            <v>3</v>
          </cell>
          <cell r="J296">
            <v>62042592</v>
          </cell>
        </row>
        <row r="297">
          <cell r="C297" t="str">
            <v>50ORP</v>
          </cell>
          <cell r="D297" t="str">
            <v>OXXO-Republica</v>
          </cell>
          <cell r="E297" t="str">
            <v>No</v>
          </cell>
          <cell r="F297" t="str">
            <v>26173179-7</v>
          </cell>
          <cell r="G297" t="str">
            <v>Palomeque Guacho Iveth Adriana</v>
          </cell>
          <cell r="H297" t="str">
            <v>Jefe De Sala</v>
          </cell>
          <cell r="I297">
            <v>2</v>
          </cell>
          <cell r="J297">
            <v>62042592</v>
          </cell>
        </row>
        <row r="298">
          <cell r="C298" t="str">
            <v>50ORP</v>
          </cell>
          <cell r="D298" t="str">
            <v>OXXO-Republica</v>
          </cell>
          <cell r="E298" t="str">
            <v>No</v>
          </cell>
          <cell r="F298" t="str">
            <v>27086289-6</v>
          </cell>
          <cell r="G298" t="str">
            <v>Castro Contreras Veronica Anabel</v>
          </cell>
          <cell r="H298" t="str">
            <v>Lider</v>
          </cell>
          <cell r="I298">
            <v>1</v>
          </cell>
          <cell r="J298">
            <v>62042592</v>
          </cell>
        </row>
        <row r="299">
          <cell r="C299" t="str">
            <v>50ORP</v>
          </cell>
          <cell r="D299" t="str">
            <v>OXXO-Republica</v>
          </cell>
          <cell r="E299" t="str">
            <v>No</v>
          </cell>
          <cell r="F299" t="str">
            <v>28056311-0</v>
          </cell>
          <cell r="G299" t="str">
            <v>Graterol Casseres Liliannys</v>
          </cell>
          <cell r="H299" t="str">
            <v>Cajero</v>
          </cell>
          <cell r="I299">
            <v>3</v>
          </cell>
          <cell r="J299">
            <v>62042592</v>
          </cell>
        </row>
        <row r="300">
          <cell r="C300" t="str">
            <v>50ORP</v>
          </cell>
          <cell r="D300" t="str">
            <v>OXXO-Republica</v>
          </cell>
          <cell r="E300" t="str">
            <v>No</v>
          </cell>
          <cell r="F300" t="str">
            <v>28762050-0</v>
          </cell>
          <cell r="G300" t="str">
            <v>Rosendo Guanipa Fabian Josue</v>
          </cell>
          <cell r="H300" t="str">
            <v>Cajero</v>
          </cell>
          <cell r="I300">
            <v>3</v>
          </cell>
          <cell r="J300">
            <v>62042592</v>
          </cell>
        </row>
        <row r="301">
          <cell r="C301" t="str">
            <v>50CRX</v>
          </cell>
          <cell r="D301" t="str">
            <v>OXXO-Apoquindo 6</v>
          </cell>
          <cell r="E301" t="str">
            <v>No</v>
          </cell>
          <cell r="F301" t="str">
            <v>20050796-7</v>
          </cell>
          <cell r="G301" t="str">
            <v>Rojas Diaz Rosa Melisa Belen</v>
          </cell>
          <cell r="H301" t="str">
            <v>Lider</v>
          </cell>
          <cell r="I301">
            <v>1</v>
          </cell>
          <cell r="J301">
            <v>61737229</v>
          </cell>
        </row>
        <row r="302">
          <cell r="C302" t="str">
            <v>50CRX</v>
          </cell>
          <cell r="D302" t="str">
            <v>OXXO-Apoquindo 6</v>
          </cell>
          <cell r="E302" t="str">
            <v>No</v>
          </cell>
          <cell r="F302" t="str">
            <v>26692865-3</v>
          </cell>
          <cell r="G302" t="str">
            <v>Medina Rojas Jesus Daniel</v>
          </cell>
          <cell r="H302" t="str">
            <v>Jefe De Sala</v>
          </cell>
          <cell r="I302">
            <v>2</v>
          </cell>
          <cell r="J302">
            <v>61737229</v>
          </cell>
        </row>
        <row r="303">
          <cell r="C303" t="str">
            <v>50CRX</v>
          </cell>
          <cell r="D303" t="str">
            <v>OXXO-Apoquindo 6</v>
          </cell>
          <cell r="E303" t="str">
            <v>No</v>
          </cell>
          <cell r="F303" t="str">
            <v>27024572-2</v>
          </cell>
          <cell r="G303" t="str">
            <v>Castillo Gonzalez Adriana Carolina</v>
          </cell>
          <cell r="H303" t="str">
            <v>Cajero</v>
          </cell>
          <cell r="I303">
            <v>3</v>
          </cell>
          <cell r="J303">
            <v>61737229</v>
          </cell>
        </row>
        <row r="304">
          <cell r="C304" t="str">
            <v>50CRX</v>
          </cell>
          <cell r="D304" t="str">
            <v>OXXO-Apoquindo 6</v>
          </cell>
          <cell r="E304" t="str">
            <v>No</v>
          </cell>
          <cell r="F304" t="str">
            <v>27925678-6</v>
          </cell>
          <cell r="G304" t="str">
            <v>Paredes Carballo Alejandria</v>
          </cell>
          <cell r="H304" t="str">
            <v>Jefe De Sala</v>
          </cell>
          <cell r="I304">
            <v>2</v>
          </cell>
          <cell r="J304">
            <v>61737229</v>
          </cell>
        </row>
        <row r="305">
          <cell r="C305" t="str">
            <v>50CRX</v>
          </cell>
          <cell r="D305" t="str">
            <v>OXXO-Apoquindo 6</v>
          </cell>
          <cell r="E305" t="str">
            <v>No</v>
          </cell>
          <cell r="F305" t="str">
            <v>28133049-7</v>
          </cell>
          <cell r="G305" t="str">
            <v>Quiroz . Nirvida Rosa</v>
          </cell>
          <cell r="H305" t="str">
            <v>Cajero</v>
          </cell>
          <cell r="I305">
            <v>3</v>
          </cell>
          <cell r="J305">
            <v>61737229</v>
          </cell>
        </row>
        <row r="306">
          <cell r="C306" t="str">
            <v>50OCO</v>
          </cell>
          <cell r="D306" t="str">
            <v>OKM-Chicureo</v>
          </cell>
          <cell r="E306" t="str">
            <v>No</v>
          </cell>
          <cell r="F306" t="str">
            <v>13804198-0</v>
          </cell>
          <cell r="G306" t="str">
            <v>Silva Campos Yoanna Alejandra</v>
          </cell>
          <cell r="H306" t="str">
            <v>Cajero</v>
          </cell>
          <cell r="I306">
            <v>3</v>
          </cell>
          <cell r="J306">
            <v>61457805</v>
          </cell>
        </row>
        <row r="307">
          <cell r="C307" t="str">
            <v>50OCO</v>
          </cell>
          <cell r="D307" t="str">
            <v>OKM-Chicureo</v>
          </cell>
          <cell r="E307" t="str">
            <v>No</v>
          </cell>
          <cell r="F307" t="str">
            <v>15386393-8</v>
          </cell>
          <cell r="G307" t="str">
            <v>Arancibia González Carina Del Carmen</v>
          </cell>
          <cell r="H307" t="str">
            <v>Jefe De Sala</v>
          </cell>
          <cell r="I307">
            <v>2</v>
          </cell>
          <cell r="J307">
            <v>61457805</v>
          </cell>
        </row>
        <row r="308">
          <cell r="C308" t="str">
            <v>50OCO</v>
          </cell>
          <cell r="D308" t="str">
            <v>OKM-Chicureo</v>
          </cell>
          <cell r="E308" t="str">
            <v>No</v>
          </cell>
          <cell r="F308" t="str">
            <v>16275393-2</v>
          </cell>
          <cell r="G308" t="str">
            <v>Retamal Silva Luz Amalia</v>
          </cell>
          <cell r="H308" t="str">
            <v>Cajero</v>
          </cell>
          <cell r="I308">
            <v>3</v>
          </cell>
          <cell r="J308">
            <v>61457805</v>
          </cell>
        </row>
        <row r="309">
          <cell r="C309" t="str">
            <v>50OCO</v>
          </cell>
          <cell r="D309" t="str">
            <v>OKM-Chicureo</v>
          </cell>
          <cell r="E309" t="str">
            <v>No</v>
          </cell>
          <cell r="F309" t="str">
            <v>16803590-K</v>
          </cell>
          <cell r="G309" t="str">
            <v>Araya Bravo Astrid Del Carmen</v>
          </cell>
          <cell r="H309" t="str">
            <v>Cajero</v>
          </cell>
          <cell r="I309">
            <v>3</v>
          </cell>
          <cell r="J309">
            <v>61457805</v>
          </cell>
        </row>
        <row r="310">
          <cell r="C310" t="str">
            <v>50OCO</v>
          </cell>
          <cell r="D310" t="str">
            <v>OKM-Chicureo</v>
          </cell>
          <cell r="E310" t="str">
            <v>No</v>
          </cell>
          <cell r="F310" t="str">
            <v>20927251-2</v>
          </cell>
          <cell r="G310" t="str">
            <v>Tramolao Rebolledo Angela Danitza</v>
          </cell>
          <cell r="H310" t="str">
            <v>Cajero</v>
          </cell>
          <cell r="I310">
            <v>3</v>
          </cell>
          <cell r="J310">
            <v>61457805</v>
          </cell>
        </row>
        <row r="311">
          <cell r="C311" t="str">
            <v>50OCO</v>
          </cell>
          <cell r="D311" t="str">
            <v>OKM-Chicureo</v>
          </cell>
          <cell r="E311" t="str">
            <v>No</v>
          </cell>
          <cell r="F311" t="str">
            <v>21384583-7</v>
          </cell>
          <cell r="G311" t="str">
            <v>Jaque Poblete Cristopher Alexandrr</v>
          </cell>
          <cell r="H311" t="str">
            <v>Cajero</v>
          </cell>
          <cell r="I311">
            <v>3</v>
          </cell>
          <cell r="J311">
            <v>61457805</v>
          </cell>
        </row>
        <row r="312">
          <cell r="C312" t="str">
            <v>50OCO</v>
          </cell>
          <cell r="D312" t="str">
            <v>OKM-Chicureo</v>
          </cell>
          <cell r="E312" t="str">
            <v>No</v>
          </cell>
          <cell r="F312" t="str">
            <v>26224713-9</v>
          </cell>
          <cell r="G312" t="str">
            <v>Condori Garcia Jackeline Erika</v>
          </cell>
          <cell r="H312" t="str">
            <v>Lider</v>
          </cell>
          <cell r="I312">
            <v>1</v>
          </cell>
          <cell r="J312">
            <v>61457805</v>
          </cell>
        </row>
        <row r="313">
          <cell r="C313" t="str">
            <v>50POS</v>
          </cell>
          <cell r="D313" t="str">
            <v>OXXO-Colon 2</v>
          </cell>
          <cell r="E313" t="str">
            <v>No</v>
          </cell>
          <cell r="F313" t="str">
            <v>17383329-6</v>
          </cell>
          <cell r="G313" t="str">
            <v>Cubillos Valenzuela Macarena Valeria</v>
          </cell>
          <cell r="H313" t="str">
            <v>Jefe De Sala</v>
          </cell>
          <cell r="I313">
            <v>2</v>
          </cell>
          <cell r="J313">
            <v>60976750</v>
          </cell>
        </row>
        <row r="314">
          <cell r="C314" t="str">
            <v>50POS</v>
          </cell>
          <cell r="D314" t="str">
            <v>OXXO-Colon 2</v>
          </cell>
          <cell r="E314" t="str">
            <v>No</v>
          </cell>
          <cell r="F314" t="str">
            <v>18124074-1</v>
          </cell>
          <cell r="G314" t="str">
            <v>Pacheco Aguilera Diego Ignacio</v>
          </cell>
          <cell r="H314" t="str">
            <v>Jefe De Sala</v>
          </cell>
          <cell r="I314">
            <v>2</v>
          </cell>
          <cell r="J314">
            <v>60976750</v>
          </cell>
        </row>
        <row r="315">
          <cell r="C315" t="str">
            <v>50POS</v>
          </cell>
          <cell r="D315" t="str">
            <v>OXXO-Colon 2</v>
          </cell>
          <cell r="E315" t="str">
            <v>No</v>
          </cell>
          <cell r="F315" t="str">
            <v>18956105-9</v>
          </cell>
          <cell r="G315" t="str">
            <v>Ibaceta Perez Rosa Maria</v>
          </cell>
          <cell r="H315" t="str">
            <v>Cajero</v>
          </cell>
          <cell r="I315">
            <v>3</v>
          </cell>
          <cell r="J315">
            <v>60976750</v>
          </cell>
        </row>
        <row r="316">
          <cell r="C316" t="str">
            <v>50POS</v>
          </cell>
          <cell r="D316" t="str">
            <v>OXXO-Colon 2</v>
          </cell>
          <cell r="E316" t="str">
            <v>No</v>
          </cell>
          <cell r="F316" t="str">
            <v>19977277-5</v>
          </cell>
          <cell r="G316" t="str">
            <v>Valenzuela Pasten Andres Felipe</v>
          </cell>
          <cell r="H316" t="str">
            <v>Cajero</v>
          </cell>
          <cell r="I316">
            <v>3</v>
          </cell>
          <cell r="J316">
            <v>60976750</v>
          </cell>
        </row>
        <row r="317">
          <cell r="C317" t="str">
            <v>50POS</v>
          </cell>
          <cell r="D317" t="str">
            <v>OXXO-Colon 2</v>
          </cell>
          <cell r="E317" t="str">
            <v>No</v>
          </cell>
          <cell r="F317" t="str">
            <v>27113391-K</v>
          </cell>
          <cell r="G317" t="str">
            <v>Gomez Iriarte Humberto Alejandro</v>
          </cell>
          <cell r="H317" t="str">
            <v>Cajero</v>
          </cell>
          <cell r="I317">
            <v>3</v>
          </cell>
          <cell r="J317">
            <v>60976750</v>
          </cell>
        </row>
        <row r="318">
          <cell r="C318" t="str">
            <v>50POS</v>
          </cell>
          <cell r="D318" t="str">
            <v>OXXO-Colon 2</v>
          </cell>
          <cell r="E318" t="str">
            <v>No</v>
          </cell>
          <cell r="F318" t="str">
            <v>27974257-5</v>
          </cell>
          <cell r="G318" t="str">
            <v>Avelino Ponce Erika Polett</v>
          </cell>
          <cell r="H318" t="str">
            <v>Cajero</v>
          </cell>
          <cell r="I318">
            <v>3</v>
          </cell>
          <cell r="J318">
            <v>60976750</v>
          </cell>
        </row>
        <row r="319">
          <cell r="C319" t="str">
            <v>50KJP</v>
          </cell>
          <cell r="D319" t="str">
            <v>OXXO-Metro Hospital El Pino</v>
          </cell>
          <cell r="E319" t="str">
            <v>No</v>
          </cell>
          <cell r="F319" t="str">
            <v>13299323-8</v>
          </cell>
          <cell r="G319" t="str">
            <v>Sanhueza Flores Natalia</v>
          </cell>
          <cell r="H319" t="str">
            <v>Lider</v>
          </cell>
          <cell r="I319">
            <v>1</v>
          </cell>
          <cell r="J319">
            <v>59048516</v>
          </cell>
        </row>
        <row r="320">
          <cell r="C320" t="str">
            <v>50KJP</v>
          </cell>
          <cell r="D320" t="str">
            <v>OXXO-Metro Hospital El Pino</v>
          </cell>
          <cell r="E320" t="str">
            <v>No</v>
          </cell>
          <cell r="F320" t="str">
            <v>16852295-9</v>
          </cell>
          <cell r="G320" t="str">
            <v>Moran Waemckhams Eduardo Atilio</v>
          </cell>
          <cell r="H320" t="str">
            <v>Jefe De Sala</v>
          </cell>
          <cell r="I320">
            <v>2</v>
          </cell>
          <cell r="J320">
            <v>59048516</v>
          </cell>
        </row>
        <row r="321">
          <cell r="C321" t="str">
            <v>50KJP</v>
          </cell>
          <cell r="D321" t="str">
            <v>OXXO-Metro Hospital El Pino</v>
          </cell>
          <cell r="E321" t="str">
            <v>No</v>
          </cell>
          <cell r="F321" t="str">
            <v>19384147-3</v>
          </cell>
          <cell r="G321" t="str">
            <v>Jorquera Jorquera Eduardo Alexis</v>
          </cell>
          <cell r="H321" t="str">
            <v>Cajero</v>
          </cell>
          <cell r="I321">
            <v>3</v>
          </cell>
          <cell r="J321">
            <v>59048516</v>
          </cell>
        </row>
        <row r="322">
          <cell r="C322" t="str">
            <v>50KJP</v>
          </cell>
          <cell r="D322" t="str">
            <v>OXXO-Metro Hospital El Pino</v>
          </cell>
          <cell r="E322" t="str">
            <v>No</v>
          </cell>
          <cell r="F322" t="str">
            <v>20204413-1</v>
          </cell>
          <cell r="G322" t="str">
            <v>Rozas Diaz Francisca Valentina</v>
          </cell>
          <cell r="H322" t="str">
            <v>Cajero</v>
          </cell>
          <cell r="I322">
            <v>3</v>
          </cell>
          <cell r="J322">
            <v>59048516</v>
          </cell>
        </row>
        <row r="323">
          <cell r="C323" t="str">
            <v>50KJP</v>
          </cell>
          <cell r="D323" t="str">
            <v>OXXO-Metro Hospital El Pino</v>
          </cell>
          <cell r="E323" t="str">
            <v>No</v>
          </cell>
          <cell r="F323" t="str">
            <v>21597303-4</v>
          </cell>
          <cell r="G323" t="str">
            <v>Matthews Vargas Gabriela Antonia</v>
          </cell>
          <cell r="H323" t="str">
            <v>Cajero</v>
          </cell>
          <cell r="I323">
            <v>3</v>
          </cell>
          <cell r="J323">
            <v>59048516</v>
          </cell>
        </row>
        <row r="324">
          <cell r="C324" t="str">
            <v>50KJP</v>
          </cell>
          <cell r="D324" t="str">
            <v>OXXO-Metro Hospital El Pino</v>
          </cell>
          <cell r="E324" t="str">
            <v>No</v>
          </cell>
          <cell r="F324" t="str">
            <v>27456686-8</v>
          </cell>
          <cell r="G324" t="str">
            <v>Lora Taveras Enmanuel Rafael</v>
          </cell>
          <cell r="H324" t="str">
            <v>Jefe De Sala</v>
          </cell>
          <cell r="I324">
            <v>2</v>
          </cell>
          <cell r="J324">
            <v>59048516</v>
          </cell>
        </row>
        <row r="325">
          <cell r="C325" t="str">
            <v>50XQO</v>
          </cell>
          <cell r="D325" t="str">
            <v>OXXO-Napoleon</v>
          </cell>
          <cell r="E325" t="str">
            <v>No</v>
          </cell>
          <cell r="F325" t="str">
            <v>17993217-2</v>
          </cell>
          <cell r="G325" t="str">
            <v>Vivar Vargas Arielle Andrea</v>
          </cell>
          <cell r="H325" t="str">
            <v>Cajero</v>
          </cell>
          <cell r="I325">
            <v>3</v>
          </cell>
          <cell r="J325">
            <v>58716841</v>
          </cell>
        </row>
        <row r="326">
          <cell r="C326" t="str">
            <v>50XQO</v>
          </cell>
          <cell r="D326" t="str">
            <v>OXXO-Napoleon</v>
          </cell>
          <cell r="E326" t="str">
            <v>No</v>
          </cell>
          <cell r="F326" t="str">
            <v>25447050-3</v>
          </cell>
          <cell r="G326" t="str">
            <v>Barrios Arroyave Leydi Andrea</v>
          </cell>
          <cell r="H326" t="str">
            <v>Lider</v>
          </cell>
          <cell r="I326">
            <v>1</v>
          </cell>
          <cell r="J326">
            <v>58716841</v>
          </cell>
        </row>
        <row r="327">
          <cell r="C327" t="str">
            <v>50XQO</v>
          </cell>
          <cell r="D327" t="str">
            <v>OXXO-Napoleon</v>
          </cell>
          <cell r="E327" t="str">
            <v>No</v>
          </cell>
          <cell r="F327" t="str">
            <v>26665124-4</v>
          </cell>
          <cell r="G327" t="str">
            <v>Suarez Marquez Anibal David</v>
          </cell>
          <cell r="H327" t="str">
            <v>Jefe De Sala</v>
          </cell>
          <cell r="I327">
            <v>2</v>
          </cell>
          <cell r="J327">
            <v>58716841</v>
          </cell>
        </row>
        <row r="328">
          <cell r="C328" t="str">
            <v>50XQO</v>
          </cell>
          <cell r="D328" t="str">
            <v>OXXO-Napoleon</v>
          </cell>
          <cell r="E328" t="str">
            <v>No</v>
          </cell>
          <cell r="F328" t="str">
            <v>26867596-5</v>
          </cell>
          <cell r="G328" t="str">
            <v>Paul . Michael</v>
          </cell>
          <cell r="H328" t="str">
            <v>Cajero</v>
          </cell>
          <cell r="I328">
            <v>3</v>
          </cell>
          <cell r="J328">
            <v>58716841</v>
          </cell>
        </row>
        <row r="329">
          <cell r="C329" t="str">
            <v>50XQO</v>
          </cell>
          <cell r="D329" t="str">
            <v>OXXO-Napoleon</v>
          </cell>
          <cell r="E329" t="str">
            <v>No</v>
          </cell>
          <cell r="F329" t="str">
            <v>27339845-7</v>
          </cell>
          <cell r="G329" t="str">
            <v>Magallanes Oyoque Keiry Yaribeth</v>
          </cell>
          <cell r="H329" t="str">
            <v>Jefe De Sala</v>
          </cell>
          <cell r="I329">
            <v>2</v>
          </cell>
          <cell r="J329">
            <v>58716841</v>
          </cell>
        </row>
        <row r="330">
          <cell r="C330" t="str">
            <v>50ONL</v>
          </cell>
          <cell r="D330" t="str">
            <v>OXXO-Nueva Las Condes 2</v>
          </cell>
          <cell r="E330" t="str">
            <v>No</v>
          </cell>
          <cell r="F330" t="str">
            <v>20199860-3</v>
          </cell>
          <cell r="G330" t="str">
            <v>Troncoso Cordova Diana Catalina</v>
          </cell>
          <cell r="H330" t="str">
            <v>Jefe De Sala</v>
          </cell>
          <cell r="I330">
            <v>2</v>
          </cell>
          <cell r="J330">
            <v>58573870</v>
          </cell>
        </row>
        <row r="331">
          <cell r="C331" t="str">
            <v>50ONL</v>
          </cell>
          <cell r="D331" t="str">
            <v>OXXO-Nueva Las Condes 2</v>
          </cell>
          <cell r="E331" t="str">
            <v>No</v>
          </cell>
          <cell r="F331" t="str">
            <v>21233139-2</v>
          </cell>
          <cell r="G331" t="str">
            <v>Muñoz Leiva Fernanda</v>
          </cell>
          <cell r="H331" t="str">
            <v>Cajero</v>
          </cell>
          <cell r="I331">
            <v>3</v>
          </cell>
          <cell r="J331">
            <v>58573870</v>
          </cell>
        </row>
        <row r="332">
          <cell r="C332" t="str">
            <v>50DGG</v>
          </cell>
          <cell r="D332" t="str">
            <v>OXXO-Hernando De Aguirre</v>
          </cell>
          <cell r="E332" t="str">
            <v>No</v>
          </cell>
          <cell r="F332" t="str">
            <v>15708520-4</v>
          </cell>
          <cell r="G332" t="str">
            <v>Valle Poblete Daniel Alejandro</v>
          </cell>
          <cell r="H332" t="str">
            <v>Cajero</v>
          </cell>
          <cell r="I332">
            <v>3</v>
          </cell>
          <cell r="J332">
            <v>57909314</v>
          </cell>
        </row>
        <row r="333">
          <cell r="C333" t="str">
            <v>50DGG</v>
          </cell>
          <cell r="D333" t="str">
            <v>OXXO-Hernando De Aguirre</v>
          </cell>
          <cell r="E333" t="str">
            <v>No</v>
          </cell>
          <cell r="F333" t="str">
            <v>20391983-2</v>
          </cell>
          <cell r="G333" t="str">
            <v>Pardo Aburto Cristopher Yoel</v>
          </cell>
          <cell r="H333" t="str">
            <v>Cajero</v>
          </cell>
          <cell r="I333">
            <v>3</v>
          </cell>
          <cell r="J333">
            <v>57909314</v>
          </cell>
        </row>
        <row r="334">
          <cell r="C334" t="str">
            <v>50DGG</v>
          </cell>
          <cell r="D334" t="str">
            <v>OXXO-Hernando De Aguirre</v>
          </cell>
          <cell r="E334" t="str">
            <v>No</v>
          </cell>
          <cell r="F334" t="str">
            <v>21668444-3</v>
          </cell>
          <cell r="G334" t="str">
            <v>Muñoz Guzman Fernanda Andrea</v>
          </cell>
          <cell r="H334" t="str">
            <v>Cajero</v>
          </cell>
          <cell r="I334">
            <v>3</v>
          </cell>
          <cell r="J334">
            <v>57909314</v>
          </cell>
        </row>
        <row r="335">
          <cell r="C335" t="str">
            <v>50DGG</v>
          </cell>
          <cell r="D335" t="str">
            <v>OXXO-Hernando De Aguirre</v>
          </cell>
          <cell r="E335" t="str">
            <v>No</v>
          </cell>
          <cell r="F335" t="str">
            <v>27409560-1</v>
          </cell>
          <cell r="G335" t="str">
            <v>Hernandez Muñoz Maria Elena</v>
          </cell>
          <cell r="H335" t="str">
            <v>Jefe De Sala</v>
          </cell>
          <cell r="I335">
            <v>2</v>
          </cell>
          <cell r="J335">
            <v>57909314</v>
          </cell>
        </row>
        <row r="336">
          <cell r="C336" t="str">
            <v>50DGG</v>
          </cell>
          <cell r="D336" t="str">
            <v>OXXO-Hernando De Aguirre</v>
          </cell>
          <cell r="E336" t="str">
            <v>No</v>
          </cell>
          <cell r="F336" t="str">
            <v>27463841-9</v>
          </cell>
          <cell r="G336" t="str">
            <v>Leon De Corzo Lorena Virginia</v>
          </cell>
          <cell r="H336" t="str">
            <v>Jefe De Sala</v>
          </cell>
          <cell r="I336">
            <v>2</v>
          </cell>
          <cell r="J336">
            <v>57909314</v>
          </cell>
        </row>
        <row r="337">
          <cell r="C337" t="str">
            <v>50DGG</v>
          </cell>
          <cell r="D337" t="str">
            <v>OXXO-Hernando De Aguirre</v>
          </cell>
          <cell r="E337" t="str">
            <v>No</v>
          </cell>
          <cell r="F337" t="str">
            <v>27832239-4</v>
          </cell>
          <cell r="G337" t="str">
            <v>Torrealba Cambero Rocio Graciela</v>
          </cell>
          <cell r="H337" t="str">
            <v>Lider</v>
          </cell>
          <cell r="I337">
            <v>1</v>
          </cell>
          <cell r="J337">
            <v>57909314</v>
          </cell>
        </row>
        <row r="338">
          <cell r="C338" t="str">
            <v>50ARD</v>
          </cell>
          <cell r="D338" t="str">
            <v>OXXO-Ñuñoa</v>
          </cell>
          <cell r="E338" t="str">
            <v>No</v>
          </cell>
          <cell r="F338" t="str">
            <v>15900224-1</v>
          </cell>
          <cell r="G338" t="str">
            <v>Gangas Triviño Tamara Francesca</v>
          </cell>
          <cell r="H338" t="str">
            <v>Cajero</v>
          </cell>
          <cell r="I338">
            <v>3</v>
          </cell>
          <cell r="J338">
            <v>57363029</v>
          </cell>
        </row>
        <row r="339">
          <cell r="C339" t="str">
            <v>50ARD</v>
          </cell>
          <cell r="D339" t="str">
            <v>OXXO-Ñuñoa</v>
          </cell>
          <cell r="E339" t="str">
            <v>No</v>
          </cell>
          <cell r="F339" t="str">
            <v>18064054-1</v>
          </cell>
          <cell r="G339" t="str">
            <v>Valenzuela Alvarez Sebastian Ignacio</v>
          </cell>
          <cell r="H339" t="str">
            <v>Jefe De Sala</v>
          </cell>
          <cell r="I339">
            <v>2</v>
          </cell>
          <cell r="J339">
            <v>57363029</v>
          </cell>
        </row>
        <row r="340">
          <cell r="C340" t="str">
            <v>50ARD</v>
          </cell>
          <cell r="D340" t="str">
            <v>OXXO-Ñuñoa</v>
          </cell>
          <cell r="E340" t="str">
            <v>No</v>
          </cell>
          <cell r="F340" t="str">
            <v>18335735-2</v>
          </cell>
          <cell r="G340" t="str">
            <v>Nuñez Nuñez Sebastian Esteban</v>
          </cell>
          <cell r="H340" t="str">
            <v>Cajero</v>
          </cell>
          <cell r="I340">
            <v>3</v>
          </cell>
          <cell r="J340">
            <v>57363029</v>
          </cell>
        </row>
        <row r="341">
          <cell r="C341" t="str">
            <v>50ARD</v>
          </cell>
          <cell r="D341" t="str">
            <v>OXXO-Ñuñoa</v>
          </cell>
          <cell r="E341" t="str">
            <v>No</v>
          </cell>
          <cell r="F341" t="str">
            <v>19877250-K</v>
          </cell>
          <cell r="G341" t="str">
            <v>Silva Lazo Thalia Naomi</v>
          </cell>
          <cell r="H341" t="str">
            <v>Jefe De Sala</v>
          </cell>
          <cell r="I341">
            <v>2</v>
          </cell>
          <cell r="J341">
            <v>57363029</v>
          </cell>
        </row>
        <row r="342">
          <cell r="C342" t="str">
            <v>50ARD</v>
          </cell>
          <cell r="D342" t="str">
            <v>OXXO-Ñuñoa</v>
          </cell>
          <cell r="E342" t="str">
            <v>No</v>
          </cell>
          <cell r="F342" t="str">
            <v>21322150-7</v>
          </cell>
          <cell r="G342" t="str">
            <v>Gonzalez Arroyo Carla Alejandra</v>
          </cell>
          <cell r="H342" t="str">
            <v>Cajero</v>
          </cell>
          <cell r="I342">
            <v>3</v>
          </cell>
          <cell r="J342">
            <v>57363029</v>
          </cell>
        </row>
        <row r="343">
          <cell r="C343" t="str">
            <v>50TKS</v>
          </cell>
          <cell r="D343" t="str">
            <v>OXXO-Los Trapenses</v>
          </cell>
          <cell r="E343" t="str">
            <v>No</v>
          </cell>
          <cell r="F343" t="str">
            <v>20681385-7</v>
          </cell>
          <cell r="G343" t="str">
            <v>Herrera Muñoz Paulina Belen</v>
          </cell>
          <cell r="H343" t="str">
            <v>Cajero</v>
          </cell>
          <cell r="I343">
            <v>3</v>
          </cell>
          <cell r="J343">
            <v>57318229</v>
          </cell>
        </row>
        <row r="344">
          <cell r="C344" t="str">
            <v>50TKS</v>
          </cell>
          <cell r="D344" t="str">
            <v>OXXO-Los Trapenses</v>
          </cell>
          <cell r="E344" t="str">
            <v>No</v>
          </cell>
          <cell r="F344" t="str">
            <v>21028100-2</v>
          </cell>
          <cell r="G344" t="str">
            <v>Silva Campos Maria Soledad</v>
          </cell>
          <cell r="H344" t="str">
            <v>Cajero</v>
          </cell>
          <cell r="I344">
            <v>3</v>
          </cell>
          <cell r="J344">
            <v>57318229</v>
          </cell>
        </row>
        <row r="345">
          <cell r="C345" t="str">
            <v>50TKS</v>
          </cell>
          <cell r="D345" t="str">
            <v>OXXO-Los Trapenses</v>
          </cell>
          <cell r="E345" t="str">
            <v>No</v>
          </cell>
          <cell r="F345" t="str">
            <v>25289327-K</v>
          </cell>
          <cell r="G345" t="str">
            <v>Reina Urdaneta Jenniffer Julieth</v>
          </cell>
          <cell r="H345" t="str">
            <v>Cajero</v>
          </cell>
          <cell r="I345">
            <v>3</v>
          </cell>
          <cell r="J345">
            <v>57318229</v>
          </cell>
        </row>
        <row r="346">
          <cell r="C346" t="str">
            <v>50TKS</v>
          </cell>
          <cell r="D346" t="str">
            <v>OXXO-Los Trapenses</v>
          </cell>
          <cell r="E346" t="str">
            <v>No</v>
          </cell>
          <cell r="F346" t="str">
            <v>25871998-0</v>
          </cell>
          <cell r="G346" t="str">
            <v>Alarcon Gutierrez Milagros Coromoto</v>
          </cell>
          <cell r="H346" t="str">
            <v>Cajero</v>
          </cell>
          <cell r="I346">
            <v>3</v>
          </cell>
          <cell r="J346">
            <v>57318229</v>
          </cell>
        </row>
        <row r="347">
          <cell r="C347" t="str">
            <v>50TKS</v>
          </cell>
          <cell r="D347" t="str">
            <v>OXXO-Los Trapenses</v>
          </cell>
          <cell r="E347" t="str">
            <v>No</v>
          </cell>
          <cell r="F347" t="str">
            <v>27118799-8</v>
          </cell>
          <cell r="G347" t="str">
            <v>Castrillon Bolivar Fabio Andres</v>
          </cell>
          <cell r="H347" t="str">
            <v>Cajero</v>
          </cell>
          <cell r="I347">
            <v>3</v>
          </cell>
          <cell r="J347">
            <v>57318229</v>
          </cell>
        </row>
        <row r="348">
          <cell r="C348" t="str">
            <v>50TKS</v>
          </cell>
          <cell r="D348" t="str">
            <v>OXXO-Los Trapenses</v>
          </cell>
          <cell r="E348" t="str">
            <v>No</v>
          </cell>
          <cell r="F348" t="str">
            <v>27131513-9</v>
          </cell>
          <cell r="G348" t="str">
            <v>Cedeño Sanabria Lina Fernanda</v>
          </cell>
          <cell r="H348" t="str">
            <v>Lider</v>
          </cell>
          <cell r="I348">
            <v>1</v>
          </cell>
          <cell r="J348">
            <v>57318229</v>
          </cell>
        </row>
        <row r="349">
          <cell r="C349" t="str">
            <v>50OLS</v>
          </cell>
          <cell r="D349" t="str">
            <v>OXXO-Luis Carrera</v>
          </cell>
          <cell r="E349" t="str">
            <v>No</v>
          </cell>
          <cell r="F349" t="str">
            <v>07686795-K</v>
          </cell>
          <cell r="G349" t="str">
            <v>Quitral Oyarce Maria Eliana</v>
          </cell>
          <cell r="H349" t="str">
            <v>Cajero</v>
          </cell>
          <cell r="I349">
            <v>3</v>
          </cell>
          <cell r="J349">
            <v>57315080</v>
          </cell>
        </row>
        <row r="350">
          <cell r="C350" t="str">
            <v>50OLS</v>
          </cell>
          <cell r="D350" t="str">
            <v>OXXO-Luis Carrera</v>
          </cell>
          <cell r="E350" t="str">
            <v>No</v>
          </cell>
          <cell r="F350" t="str">
            <v>14109883-7</v>
          </cell>
          <cell r="G350" t="str">
            <v>Videla Amengual Sara Armonia</v>
          </cell>
          <cell r="H350" t="str">
            <v>Cajero</v>
          </cell>
          <cell r="I350">
            <v>3</v>
          </cell>
          <cell r="J350">
            <v>57315080</v>
          </cell>
        </row>
        <row r="351">
          <cell r="C351" t="str">
            <v>50OLS</v>
          </cell>
          <cell r="D351" t="str">
            <v>OXXO-Luis Carrera</v>
          </cell>
          <cell r="E351" t="str">
            <v>No</v>
          </cell>
          <cell r="F351" t="str">
            <v>15957554-3</v>
          </cell>
          <cell r="G351" t="str">
            <v>Guzman Arias Mitzy Alejandra</v>
          </cell>
          <cell r="H351" t="str">
            <v>Cajero</v>
          </cell>
          <cell r="I351">
            <v>3</v>
          </cell>
          <cell r="J351">
            <v>57315080</v>
          </cell>
        </row>
        <row r="352">
          <cell r="C352" t="str">
            <v>50OLS</v>
          </cell>
          <cell r="D352" t="str">
            <v>OXXO-Luis Carrera</v>
          </cell>
          <cell r="E352" t="str">
            <v>No</v>
          </cell>
          <cell r="F352" t="str">
            <v>18945873-8</v>
          </cell>
          <cell r="G352" t="str">
            <v>Gonzalez Henriquez Hector Ignacio</v>
          </cell>
          <cell r="H352" t="str">
            <v>Cajero</v>
          </cell>
          <cell r="I352">
            <v>3</v>
          </cell>
          <cell r="J352">
            <v>57315080</v>
          </cell>
        </row>
        <row r="353">
          <cell r="C353" t="str">
            <v>50OLS</v>
          </cell>
          <cell r="D353" t="str">
            <v>OXXO-Luis Carrera</v>
          </cell>
          <cell r="E353" t="str">
            <v>No</v>
          </cell>
          <cell r="F353" t="str">
            <v>25951628-5</v>
          </cell>
          <cell r="G353" t="str">
            <v>Navarro Rodriguez Irma Carolina</v>
          </cell>
          <cell r="H353" t="str">
            <v>Lider</v>
          </cell>
          <cell r="I353">
            <v>1</v>
          </cell>
          <cell r="J353">
            <v>57315080</v>
          </cell>
        </row>
        <row r="354">
          <cell r="C354" t="str">
            <v>50OCT</v>
          </cell>
          <cell r="D354" t="str">
            <v>OXXO-Noruega</v>
          </cell>
          <cell r="E354" t="str">
            <v>No</v>
          </cell>
          <cell r="F354" t="str">
            <v>23514556-1</v>
          </cell>
          <cell r="G354" t="str">
            <v>Valverde Castro Kenny Shirley</v>
          </cell>
          <cell r="H354" t="str">
            <v>Cajero</v>
          </cell>
          <cell r="I354">
            <v>3</v>
          </cell>
          <cell r="J354">
            <v>57043289</v>
          </cell>
        </row>
        <row r="355">
          <cell r="C355" t="str">
            <v>50OCT</v>
          </cell>
          <cell r="D355" t="str">
            <v>OXXO-Noruega</v>
          </cell>
          <cell r="E355" t="str">
            <v>No</v>
          </cell>
          <cell r="F355" t="str">
            <v>25618045-6</v>
          </cell>
          <cell r="G355" t="str">
            <v>Parco Calderon Ana Lucia</v>
          </cell>
          <cell r="H355" t="str">
            <v>Lider</v>
          </cell>
          <cell r="I355">
            <v>1</v>
          </cell>
          <cell r="J355">
            <v>57043289</v>
          </cell>
        </row>
        <row r="356">
          <cell r="C356" t="str">
            <v>50OCT</v>
          </cell>
          <cell r="D356" t="str">
            <v>OXXO-Noruega</v>
          </cell>
          <cell r="E356" t="str">
            <v>No</v>
          </cell>
          <cell r="F356" t="str">
            <v>26647754-6</v>
          </cell>
          <cell r="G356" t="str">
            <v>Serrano Villanueva Ana Karina</v>
          </cell>
          <cell r="H356" t="str">
            <v>Jefe De Sala</v>
          </cell>
          <cell r="I356">
            <v>2</v>
          </cell>
          <cell r="J356">
            <v>57043289</v>
          </cell>
        </row>
        <row r="357">
          <cell r="C357" t="str">
            <v>50OCT</v>
          </cell>
          <cell r="D357" t="str">
            <v>OXXO-Noruega</v>
          </cell>
          <cell r="E357" t="str">
            <v>No</v>
          </cell>
          <cell r="F357" t="str">
            <v>27097449-K</v>
          </cell>
          <cell r="G357" t="str">
            <v>Zambrano Larrial Nhain Del Valle</v>
          </cell>
          <cell r="H357" t="str">
            <v>Cajero</v>
          </cell>
          <cell r="I357">
            <v>3</v>
          </cell>
          <cell r="J357">
            <v>57043289</v>
          </cell>
        </row>
        <row r="358">
          <cell r="C358" t="str">
            <v>50OCT</v>
          </cell>
          <cell r="D358" t="str">
            <v>OXXO-Noruega</v>
          </cell>
          <cell r="E358" t="str">
            <v>No</v>
          </cell>
          <cell r="F358" t="str">
            <v>27923952-0</v>
          </cell>
          <cell r="G358" t="str">
            <v>Almeida Marchena Yarleska Tibisai</v>
          </cell>
          <cell r="H358" t="str">
            <v>Jefe De Sala</v>
          </cell>
          <cell r="I358">
            <v>2</v>
          </cell>
          <cell r="J358">
            <v>57043289</v>
          </cell>
        </row>
        <row r="359">
          <cell r="C359" t="str">
            <v>50OCT</v>
          </cell>
          <cell r="D359" t="str">
            <v>OXXO-Noruega</v>
          </cell>
          <cell r="E359" t="str">
            <v>No</v>
          </cell>
          <cell r="F359" t="str">
            <v>28553092-K</v>
          </cell>
          <cell r="G359" t="str">
            <v>Rojas Mata Yuri Samuel</v>
          </cell>
          <cell r="H359" t="str">
            <v>Cajero</v>
          </cell>
          <cell r="I359">
            <v>3</v>
          </cell>
          <cell r="J359">
            <v>57043289</v>
          </cell>
        </row>
        <row r="360">
          <cell r="C360" t="str">
            <v>50KJI</v>
          </cell>
          <cell r="D360" t="str">
            <v>OXXO-Simon Bolivar - Hamburgo</v>
          </cell>
          <cell r="E360" t="str">
            <v>No</v>
          </cell>
          <cell r="F360" t="str">
            <v>15480649-0</v>
          </cell>
          <cell r="G360" t="str">
            <v>Castillo Ancamil Abraham Enrique</v>
          </cell>
          <cell r="H360" t="str">
            <v>Lider</v>
          </cell>
          <cell r="I360">
            <v>1</v>
          </cell>
          <cell r="J360">
            <v>56760875</v>
          </cell>
        </row>
        <row r="361">
          <cell r="C361" t="str">
            <v>50KJI</v>
          </cell>
          <cell r="D361" t="str">
            <v>OXXO-Simon Bolivar - Hamburgo</v>
          </cell>
          <cell r="E361" t="str">
            <v>No</v>
          </cell>
          <cell r="F361" t="str">
            <v>16141624-K</v>
          </cell>
          <cell r="G361" t="str">
            <v>Rodriguez Acuña Matias Ignacio</v>
          </cell>
          <cell r="H361" t="str">
            <v>Jefe De Sala</v>
          </cell>
          <cell r="I361">
            <v>2</v>
          </cell>
          <cell r="J361">
            <v>56760875</v>
          </cell>
        </row>
        <row r="362">
          <cell r="C362" t="str">
            <v>50KJI</v>
          </cell>
          <cell r="D362" t="str">
            <v>OXXO-Simon Bolivar - Hamburgo</v>
          </cell>
          <cell r="E362" t="str">
            <v>No</v>
          </cell>
          <cell r="F362" t="str">
            <v>18830683-7</v>
          </cell>
          <cell r="G362" t="str">
            <v>San Martin Zamora Luis David</v>
          </cell>
          <cell r="H362" t="str">
            <v>Cajero</v>
          </cell>
          <cell r="I362">
            <v>3</v>
          </cell>
          <cell r="J362">
            <v>56760875</v>
          </cell>
        </row>
        <row r="363">
          <cell r="C363" t="str">
            <v>50KJI</v>
          </cell>
          <cell r="D363" t="str">
            <v>OXXO-Simon Bolivar - Hamburgo</v>
          </cell>
          <cell r="E363" t="str">
            <v>No</v>
          </cell>
          <cell r="F363" t="str">
            <v>20198937-K</v>
          </cell>
          <cell r="G363" t="str">
            <v>Fernandez Salazar Paula</v>
          </cell>
          <cell r="H363" t="str">
            <v>Cajero</v>
          </cell>
          <cell r="I363">
            <v>3</v>
          </cell>
          <cell r="J363">
            <v>56760875</v>
          </cell>
        </row>
        <row r="364">
          <cell r="C364" t="str">
            <v>50KJI</v>
          </cell>
          <cell r="D364" t="str">
            <v>OXXO-Simon Bolivar - Hamburgo</v>
          </cell>
          <cell r="E364" t="str">
            <v>No</v>
          </cell>
          <cell r="F364" t="str">
            <v>26055399-2</v>
          </cell>
          <cell r="G364" t="str">
            <v>Gonzalez Perozo Maria Carolina</v>
          </cell>
          <cell r="H364" t="str">
            <v>Jefe De Sala</v>
          </cell>
          <cell r="I364">
            <v>2</v>
          </cell>
          <cell r="J364">
            <v>56760875</v>
          </cell>
        </row>
        <row r="365">
          <cell r="C365" t="str">
            <v>50UCH</v>
          </cell>
          <cell r="D365" t="str">
            <v>OXXO-Metro U De Chile</v>
          </cell>
          <cell r="E365" t="str">
            <v>No</v>
          </cell>
          <cell r="F365" t="str">
            <v>16790064-K</v>
          </cell>
          <cell r="G365" t="str">
            <v>Castillo Azocar Liliana</v>
          </cell>
          <cell r="H365" t="str">
            <v>Cajero</v>
          </cell>
          <cell r="I365">
            <v>3</v>
          </cell>
          <cell r="J365">
            <v>56662361</v>
          </cell>
        </row>
        <row r="366">
          <cell r="C366" t="str">
            <v>50UCH</v>
          </cell>
          <cell r="D366" t="str">
            <v>OXXO-Metro U De Chile</v>
          </cell>
          <cell r="E366" t="str">
            <v>No</v>
          </cell>
          <cell r="F366" t="str">
            <v>25225087-5</v>
          </cell>
          <cell r="G366" t="str">
            <v>Diaz Galeano Emmily</v>
          </cell>
          <cell r="H366" t="str">
            <v>Jefe De Sala</v>
          </cell>
          <cell r="I366">
            <v>2</v>
          </cell>
          <cell r="J366">
            <v>56662361</v>
          </cell>
        </row>
        <row r="367">
          <cell r="C367" t="str">
            <v>50UCH</v>
          </cell>
          <cell r="D367" t="str">
            <v>OXXO-Metro U De Chile</v>
          </cell>
          <cell r="E367" t="str">
            <v>No</v>
          </cell>
          <cell r="F367" t="str">
            <v>26808499-1</v>
          </cell>
          <cell r="G367" t="str">
            <v>Longart De Rodriguez Yurman Luisa</v>
          </cell>
          <cell r="H367" t="str">
            <v>Cajero</v>
          </cell>
          <cell r="I367">
            <v>3</v>
          </cell>
          <cell r="J367">
            <v>56662361</v>
          </cell>
        </row>
        <row r="368">
          <cell r="C368" t="str">
            <v>50UCH</v>
          </cell>
          <cell r="D368" t="str">
            <v>OXXO-Metro U De Chile</v>
          </cell>
          <cell r="E368" t="str">
            <v>No</v>
          </cell>
          <cell r="F368" t="str">
            <v>26981574-4</v>
          </cell>
          <cell r="G368" t="str">
            <v>Lopez Mendoza Ligia Elena</v>
          </cell>
          <cell r="H368" t="str">
            <v>Jefe De Sala</v>
          </cell>
          <cell r="I368">
            <v>2</v>
          </cell>
          <cell r="J368">
            <v>56662361</v>
          </cell>
        </row>
        <row r="369">
          <cell r="C369" t="str">
            <v>50UCH</v>
          </cell>
          <cell r="D369" t="str">
            <v>OXXO-Metro U De Chile</v>
          </cell>
          <cell r="E369" t="str">
            <v>No</v>
          </cell>
          <cell r="F369" t="str">
            <v>27118705-K</v>
          </cell>
          <cell r="G369" t="str">
            <v>Leon Albarracin Jazmin Lucrecia</v>
          </cell>
          <cell r="H369" t="str">
            <v>Cajero</v>
          </cell>
          <cell r="I369">
            <v>3</v>
          </cell>
          <cell r="J369">
            <v>56662361</v>
          </cell>
        </row>
        <row r="370">
          <cell r="C370" t="str">
            <v>50UCH</v>
          </cell>
          <cell r="D370" t="str">
            <v>OXXO-Metro U De Chile</v>
          </cell>
          <cell r="E370" t="str">
            <v>No</v>
          </cell>
          <cell r="F370" t="str">
            <v>27485248-8</v>
          </cell>
          <cell r="G370" t="str">
            <v>Tejada Rivas Aminta Gertrudis</v>
          </cell>
          <cell r="H370" t="str">
            <v>Lider</v>
          </cell>
          <cell r="I370">
            <v>1</v>
          </cell>
          <cell r="J370">
            <v>56662361</v>
          </cell>
        </row>
        <row r="371">
          <cell r="C371" t="str">
            <v>50UCH</v>
          </cell>
          <cell r="D371" t="str">
            <v>OXXO-Metro U De Chile</v>
          </cell>
          <cell r="E371" t="str">
            <v>No</v>
          </cell>
          <cell r="F371" t="str">
            <v>27728917-2</v>
          </cell>
          <cell r="G371" t="str">
            <v>Bermudez Cova Carmen Teresa</v>
          </cell>
          <cell r="H371" t="str">
            <v>Cajero</v>
          </cell>
          <cell r="I371">
            <v>3</v>
          </cell>
          <cell r="J371">
            <v>56662361</v>
          </cell>
        </row>
        <row r="372">
          <cell r="C372" t="str">
            <v>50OCR</v>
          </cell>
          <cell r="D372" t="str">
            <v>OKM-Chesterton</v>
          </cell>
          <cell r="E372" t="str">
            <v>No</v>
          </cell>
          <cell r="F372" t="str">
            <v>20647062-3</v>
          </cell>
          <cell r="G372" t="str">
            <v>Riquelme Gonzalez Kevin Tomas</v>
          </cell>
          <cell r="H372" t="str">
            <v>Cajero</v>
          </cell>
          <cell r="I372">
            <v>3</v>
          </cell>
          <cell r="J372">
            <v>56372402</v>
          </cell>
        </row>
        <row r="373">
          <cell r="C373" t="str">
            <v>50OCR</v>
          </cell>
          <cell r="D373" t="str">
            <v>OKM-Chesterton</v>
          </cell>
          <cell r="E373" t="str">
            <v>No</v>
          </cell>
          <cell r="F373" t="str">
            <v>26490593-1</v>
          </cell>
          <cell r="G373" t="str">
            <v>Belandria Davila Jaides Josue</v>
          </cell>
          <cell r="H373" t="str">
            <v>Cajero</v>
          </cell>
          <cell r="I373">
            <v>3</v>
          </cell>
          <cell r="J373">
            <v>56372402</v>
          </cell>
        </row>
        <row r="374">
          <cell r="C374" t="str">
            <v>50OCR</v>
          </cell>
          <cell r="D374" t="str">
            <v>OKM-Chesterton</v>
          </cell>
          <cell r="E374" t="str">
            <v>No</v>
          </cell>
          <cell r="F374" t="str">
            <v>27664620-6</v>
          </cell>
          <cell r="G374" t="str">
            <v>Perdomo Perez Katherine Victoria</v>
          </cell>
          <cell r="H374" t="str">
            <v>Lider</v>
          </cell>
          <cell r="I374">
            <v>1</v>
          </cell>
          <cell r="J374">
            <v>56372402</v>
          </cell>
        </row>
        <row r="375">
          <cell r="C375" t="str">
            <v>50OUV</v>
          </cell>
          <cell r="D375" t="str">
            <v>OXXO-Unab Viña</v>
          </cell>
          <cell r="E375" t="str">
            <v>No</v>
          </cell>
          <cell r="F375" t="str">
            <v>09886545-4</v>
          </cell>
          <cell r="G375" t="str">
            <v>Cano Rojas Marina Olvis</v>
          </cell>
          <cell r="H375" t="str">
            <v>Cajero</v>
          </cell>
          <cell r="I375">
            <v>3</v>
          </cell>
          <cell r="J375">
            <v>55772582</v>
          </cell>
        </row>
        <row r="376">
          <cell r="C376" t="str">
            <v>50OUV</v>
          </cell>
          <cell r="D376" t="str">
            <v>OXXO-Unab Viña</v>
          </cell>
          <cell r="E376" t="str">
            <v>No</v>
          </cell>
          <cell r="F376" t="str">
            <v>14000862-1</v>
          </cell>
          <cell r="G376" t="str">
            <v>Diaz Cisterna Yessica Solange</v>
          </cell>
          <cell r="H376" t="str">
            <v>Lider</v>
          </cell>
          <cell r="I376">
            <v>1</v>
          </cell>
          <cell r="J376">
            <v>55772582</v>
          </cell>
        </row>
        <row r="377">
          <cell r="C377" t="str">
            <v>50OUV</v>
          </cell>
          <cell r="D377" t="str">
            <v>OXXO-Unab Viña</v>
          </cell>
          <cell r="E377" t="str">
            <v>No</v>
          </cell>
          <cell r="F377" t="str">
            <v>16130206-6</v>
          </cell>
          <cell r="G377" t="str">
            <v>Muñoz Castillo Carla Andrea</v>
          </cell>
          <cell r="H377" t="str">
            <v>Jefe De Sala</v>
          </cell>
          <cell r="I377">
            <v>2</v>
          </cell>
          <cell r="J377">
            <v>55772582</v>
          </cell>
        </row>
        <row r="378">
          <cell r="C378" t="str">
            <v>50OUV</v>
          </cell>
          <cell r="D378" t="str">
            <v>OXXO-Unab Viña</v>
          </cell>
          <cell r="E378" t="str">
            <v>No</v>
          </cell>
          <cell r="F378" t="str">
            <v>18996279-7</v>
          </cell>
          <cell r="G378" t="str">
            <v>Jeria Flores Valeska Andrea</v>
          </cell>
          <cell r="H378" t="str">
            <v>Jefe De Sala</v>
          </cell>
          <cell r="I378">
            <v>2</v>
          </cell>
          <cell r="J378">
            <v>55772582</v>
          </cell>
        </row>
        <row r="379">
          <cell r="C379" t="str">
            <v>50OUV</v>
          </cell>
          <cell r="D379" t="str">
            <v>OXXO-Unab Viña</v>
          </cell>
          <cell r="E379" t="str">
            <v>No</v>
          </cell>
          <cell r="F379" t="str">
            <v>23842775-4</v>
          </cell>
          <cell r="G379" t="str">
            <v>Morales Velez Harold Stiven</v>
          </cell>
          <cell r="H379" t="str">
            <v>Cajero</v>
          </cell>
          <cell r="I379">
            <v>3</v>
          </cell>
          <cell r="J379">
            <v>55772582</v>
          </cell>
        </row>
        <row r="380">
          <cell r="C380" t="str">
            <v>50OUV</v>
          </cell>
          <cell r="D380" t="str">
            <v>OXXO-Unab Viña</v>
          </cell>
          <cell r="E380" t="str">
            <v>No</v>
          </cell>
          <cell r="F380" t="str">
            <v>25203370-K</v>
          </cell>
          <cell r="G380" t="str">
            <v>Ramos Pinzon Juan David</v>
          </cell>
          <cell r="H380" t="str">
            <v>Cajero</v>
          </cell>
          <cell r="I380">
            <v>3</v>
          </cell>
          <cell r="J380">
            <v>55772582</v>
          </cell>
        </row>
        <row r="381">
          <cell r="C381" t="str">
            <v>50LOT</v>
          </cell>
          <cell r="D381" t="str">
            <v>OXXO-Huerfanos</v>
          </cell>
          <cell r="E381" t="str">
            <v>No</v>
          </cell>
          <cell r="F381" t="str">
            <v>12845867-0</v>
          </cell>
          <cell r="G381" t="str">
            <v>Diaz Quiñones Gerardo</v>
          </cell>
          <cell r="H381" t="str">
            <v>Cajero</v>
          </cell>
          <cell r="I381">
            <v>3</v>
          </cell>
          <cell r="J381">
            <v>55642114</v>
          </cell>
        </row>
        <row r="382">
          <cell r="C382" t="str">
            <v>50LOT</v>
          </cell>
          <cell r="D382" t="str">
            <v>OXXO-Huerfanos</v>
          </cell>
          <cell r="E382" t="str">
            <v>No</v>
          </cell>
          <cell r="F382" t="str">
            <v>18343196-K</v>
          </cell>
          <cell r="G382" t="str">
            <v>Zagal Bruna Amanda Aracely</v>
          </cell>
          <cell r="H382" t="str">
            <v>Cajero</v>
          </cell>
          <cell r="I382">
            <v>3</v>
          </cell>
          <cell r="J382">
            <v>55642114</v>
          </cell>
        </row>
        <row r="383">
          <cell r="C383" t="str">
            <v>50LOT</v>
          </cell>
          <cell r="D383" t="str">
            <v>OXXO-Huerfanos</v>
          </cell>
          <cell r="E383" t="str">
            <v>No</v>
          </cell>
          <cell r="F383" t="str">
            <v>20836389-1</v>
          </cell>
          <cell r="G383" t="str">
            <v>Tapia Vargas Cesar</v>
          </cell>
          <cell r="H383" t="str">
            <v>Cajero</v>
          </cell>
          <cell r="I383">
            <v>3</v>
          </cell>
          <cell r="J383">
            <v>55642114</v>
          </cell>
        </row>
        <row r="384">
          <cell r="C384" t="str">
            <v>50LOT</v>
          </cell>
          <cell r="D384" t="str">
            <v>OXXO-Huerfanos</v>
          </cell>
          <cell r="E384" t="str">
            <v>No</v>
          </cell>
          <cell r="F384" t="str">
            <v>21748458-8</v>
          </cell>
          <cell r="G384" t="str">
            <v>Flores Vigo Richard Gustavo</v>
          </cell>
          <cell r="H384" t="str">
            <v>Cajero</v>
          </cell>
          <cell r="I384">
            <v>3</v>
          </cell>
          <cell r="J384">
            <v>55642114</v>
          </cell>
        </row>
        <row r="385">
          <cell r="C385" t="str">
            <v>50LOT</v>
          </cell>
          <cell r="D385" t="str">
            <v>OXXO-Huerfanos</v>
          </cell>
          <cell r="E385" t="str">
            <v>No</v>
          </cell>
          <cell r="F385" t="str">
            <v>25984262-K</v>
          </cell>
          <cell r="G385" t="str">
            <v>Leal Jimenez Gysbert Alberty</v>
          </cell>
          <cell r="H385" t="str">
            <v>Lider</v>
          </cell>
          <cell r="I385">
            <v>1</v>
          </cell>
          <cell r="J385">
            <v>55642114</v>
          </cell>
        </row>
        <row r="386">
          <cell r="C386" t="str">
            <v>50LOT</v>
          </cell>
          <cell r="D386" t="str">
            <v>OXXO-Huerfanos</v>
          </cell>
          <cell r="E386" t="str">
            <v>No</v>
          </cell>
          <cell r="F386" t="str">
            <v>26818652-2</v>
          </cell>
          <cell r="G386" t="str">
            <v>Rodriguez Santiago Aurimar</v>
          </cell>
          <cell r="H386" t="str">
            <v>Jefe De Sala</v>
          </cell>
          <cell r="I386">
            <v>2</v>
          </cell>
          <cell r="J386">
            <v>55642114</v>
          </cell>
        </row>
        <row r="387">
          <cell r="C387" t="str">
            <v>50HXH</v>
          </cell>
          <cell r="D387" t="str">
            <v>OXXO-World Trade Center</v>
          </cell>
          <cell r="E387" t="str">
            <v>No</v>
          </cell>
          <cell r="F387" t="str">
            <v>20081580-7</v>
          </cell>
          <cell r="G387" t="str">
            <v>Alarcón Moraga Thomas Emilio</v>
          </cell>
          <cell r="H387" t="str">
            <v>Cajero</v>
          </cell>
          <cell r="I387">
            <v>3</v>
          </cell>
          <cell r="J387">
            <v>55193795</v>
          </cell>
        </row>
        <row r="388">
          <cell r="C388" t="str">
            <v>50HXH</v>
          </cell>
          <cell r="D388" t="str">
            <v>OXXO-World Trade Center</v>
          </cell>
          <cell r="E388" t="str">
            <v>No</v>
          </cell>
          <cell r="F388" t="str">
            <v>26715049-4</v>
          </cell>
          <cell r="G388" t="str">
            <v>Mosquera Garcia Robert Alejandro</v>
          </cell>
          <cell r="H388" t="str">
            <v>Jefe De Sala</v>
          </cell>
          <cell r="I388">
            <v>2</v>
          </cell>
          <cell r="J388">
            <v>55193795</v>
          </cell>
        </row>
        <row r="389">
          <cell r="C389" t="str">
            <v>50CPN</v>
          </cell>
          <cell r="D389" t="str">
            <v>OXXO-Carlos Peña</v>
          </cell>
          <cell r="E389" t="str">
            <v>No</v>
          </cell>
          <cell r="F389" t="str">
            <v>15468248-1</v>
          </cell>
          <cell r="G389" t="str">
            <v>Muñoz Candia Elizabeth Magdalena</v>
          </cell>
          <cell r="H389" t="str">
            <v>Cajero</v>
          </cell>
          <cell r="I389">
            <v>3</v>
          </cell>
          <cell r="J389">
            <v>55146464</v>
          </cell>
        </row>
        <row r="390">
          <cell r="C390" t="str">
            <v>50CPN</v>
          </cell>
          <cell r="D390" t="str">
            <v>OXXO-Carlos Peña</v>
          </cell>
          <cell r="E390" t="str">
            <v>No</v>
          </cell>
          <cell r="F390" t="str">
            <v>16911423-4</v>
          </cell>
          <cell r="G390" t="str">
            <v>Loyola Carpenter German Ignacio</v>
          </cell>
          <cell r="H390" t="str">
            <v>Cajero</v>
          </cell>
          <cell r="I390">
            <v>3</v>
          </cell>
          <cell r="J390">
            <v>55146464</v>
          </cell>
        </row>
        <row r="391">
          <cell r="C391" t="str">
            <v>50CPN</v>
          </cell>
          <cell r="D391" t="str">
            <v>OXXO-Carlos Peña</v>
          </cell>
          <cell r="E391" t="str">
            <v>No</v>
          </cell>
          <cell r="F391" t="str">
            <v>26027401-5</v>
          </cell>
          <cell r="G391" t="str">
            <v>Ortiz Perez Zhorayde Leynys</v>
          </cell>
          <cell r="H391" t="str">
            <v>Cajero</v>
          </cell>
          <cell r="I391">
            <v>3</v>
          </cell>
          <cell r="J391">
            <v>55146464</v>
          </cell>
        </row>
        <row r="392">
          <cell r="C392" t="str">
            <v>50CPN</v>
          </cell>
          <cell r="D392" t="str">
            <v>OXXO-Carlos Peña</v>
          </cell>
          <cell r="E392" t="str">
            <v>No</v>
          </cell>
          <cell r="F392" t="str">
            <v>27035592-7</v>
          </cell>
          <cell r="G392" t="str">
            <v>Briñez Rangel Gustavo Adolfo</v>
          </cell>
          <cell r="H392" t="str">
            <v>Cajero</v>
          </cell>
          <cell r="I392">
            <v>3</v>
          </cell>
          <cell r="J392">
            <v>55146464</v>
          </cell>
        </row>
        <row r="393">
          <cell r="C393" t="str">
            <v>50CPN</v>
          </cell>
          <cell r="D393" t="str">
            <v>OXXO-Carlos Peña</v>
          </cell>
          <cell r="E393" t="str">
            <v>No</v>
          </cell>
          <cell r="F393" t="str">
            <v>27120522-8</v>
          </cell>
          <cell r="G393" t="str">
            <v>Castro Salazar Nerio Joel</v>
          </cell>
          <cell r="H393" t="str">
            <v>Jefe De Sala</v>
          </cell>
          <cell r="I393">
            <v>2</v>
          </cell>
          <cell r="J393">
            <v>55146464</v>
          </cell>
        </row>
        <row r="394">
          <cell r="C394" t="str">
            <v>50AQC</v>
          </cell>
          <cell r="D394" t="str">
            <v>OXXO-Von Schroeder</v>
          </cell>
          <cell r="E394" t="str">
            <v>No</v>
          </cell>
          <cell r="F394" t="str">
            <v>15751573-K</v>
          </cell>
          <cell r="G394" t="str">
            <v>Torres Herrera Katterin Marcela</v>
          </cell>
          <cell r="H394" t="str">
            <v>Jefe De Sala</v>
          </cell>
          <cell r="I394">
            <v>2</v>
          </cell>
          <cell r="J394">
            <v>55086553</v>
          </cell>
        </row>
        <row r="395">
          <cell r="C395" t="str">
            <v>50AQC</v>
          </cell>
          <cell r="D395" t="str">
            <v>OXXO-Von Schroeder</v>
          </cell>
          <cell r="E395" t="str">
            <v>No</v>
          </cell>
          <cell r="F395" t="str">
            <v>17273027-2</v>
          </cell>
          <cell r="G395" t="str">
            <v>Figueroa Araya Jose Miguel</v>
          </cell>
          <cell r="H395" t="str">
            <v>Cajero</v>
          </cell>
          <cell r="I395">
            <v>3</v>
          </cell>
          <cell r="J395">
            <v>55086553</v>
          </cell>
        </row>
        <row r="396">
          <cell r="C396" t="str">
            <v>50AQC</v>
          </cell>
          <cell r="D396" t="str">
            <v>OXXO-Von Schroeder</v>
          </cell>
          <cell r="E396" t="str">
            <v>No</v>
          </cell>
          <cell r="F396" t="str">
            <v>20183278-0</v>
          </cell>
          <cell r="G396" t="str">
            <v>Gallardo Silva Luis Alberto</v>
          </cell>
          <cell r="H396" t="str">
            <v>Cajero</v>
          </cell>
          <cell r="I396">
            <v>3</v>
          </cell>
          <cell r="J396">
            <v>55086553</v>
          </cell>
        </row>
        <row r="397">
          <cell r="C397" t="str">
            <v>50AQC</v>
          </cell>
          <cell r="D397" t="str">
            <v>OXXO-Von Schroeder</v>
          </cell>
          <cell r="E397" t="str">
            <v>No</v>
          </cell>
          <cell r="F397" t="str">
            <v>20656719-8</v>
          </cell>
          <cell r="G397" t="str">
            <v>Rojas Silva Felipe Ignacio</v>
          </cell>
          <cell r="H397" t="str">
            <v>Cajero</v>
          </cell>
          <cell r="I397">
            <v>3</v>
          </cell>
          <cell r="J397">
            <v>55086553</v>
          </cell>
        </row>
        <row r="398">
          <cell r="C398" t="str">
            <v>50AQC</v>
          </cell>
          <cell r="D398" t="str">
            <v>OXXO-Von Schroeder</v>
          </cell>
          <cell r="E398" t="str">
            <v>No</v>
          </cell>
          <cell r="F398" t="str">
            <v>20689174-2</v>
          </cell>
          <cell r="G398" t="str">
            <v>Corvalan Jimenez Yulitza Estefan</v>
          </cell>
          <cell r="H398" t="str">
            <v>Cajero</v>
          </cell>
          <cell r="I398">
            <v>3</v>
          </cell>
          <cell r="J398">
            <v>55086553</v>
          </cell>
        </row>
        <row r="399">
          <cell r="C399" t="str">
            <v>50AQC</v>
          </cell>
          <cell r="D399" t="str">
            <v>OXXO-Von Schroeder</v>
          </cell>
          <cell r="E399" t="str">
            <v>No</v>
          </cell>
          <cell r="F399" t="str">
            <v>21445459-9</v>
          </cell>
          <cell r="G399" t="str">
            <v>Ojier Leiva Karen Paola</v>
          </cell>
          <cell r="H399" t="str">
            <v>Jefe De Sala</v>
          </cell>
          <cell r="I399">
            <v>2</v>
          </cell>
          <cell r="J399">
            <v>55086553</v>
          </cell>
        </row>
        <row r="400">
          <cell r="C400" t="str">
            <v>50AQC</v>
          </cell>
          <cell r="D400" t="str">
            <v>OXXO-Von Schroeder</v>
          </cell>
          <cell r="E400" t="str">
            <v>No</v>
          </cell>
          <cell r="F400" t="str">
            <v>26960519-7</v>
          </cell>
          <cell r="G400" t="str">
            <v>Forero Losada Julian Andres</v>
          </cell>
          <cell r="H400" t="str">
            <v>Cajero</v>
          </cell>
          <cell r="I400">
            <v>3</v>
          </cell>
          <cell r="J400">
            <v>55086553</v>
          </cell>
        </row>
        <row r="401">
          <cell r="C401" t="str">
            <v>50AQC</v>
          </cell>
          <cell r="D401" t="str">
            <v>OXXO-Von Schroeder</v>
          </cell>
          <cell r="E401" t="str">
            <v>No</v>
          </cell>
          <cell r="F401" t="str">
            <v>27216788-5</v>
          </cell>
          <cell r="G401" t="str">
            <v>Corredor Garcia Williams Jesus</v>
          </cell>
          <cell r="H401" t="str">
            <v>Lider</v>
          </cell>
          <cell r="I401">
            <v>1</v>
          </cell>
          <cell r="J401">
            <v>55086553</v>
          </cell>
        </row>
        <row r="402">
          <cell r="C402" t="str">
            <v>50SWS</v>
          </cell>
          <cell r="D402" t="str">
            <v>OXXO-Simon Bolivar</v>
          </cell>
          <cell r="E402" t="str">
            <v>No</v>
          </cell>
          <cell r="F402" t="str">
            <v>11107086-5</v>
          </cell>
          <cell r="G402" t="str">
            <v>Pinto Urzua Ximena De Los Angele</v>
          </cell>
          <cell r="H402" t="str">
            <v>Jefe De Sala</v>
          </cell>
          <cell r="I402">
            <v>2</v>
          </cell>
          <cell r="J402">
            <v>54965206</v>
          </cell>
        </row>
        <row r="403">
          <cell r="C403" t="str">
            <v>50SWS</v>
          </cell>
          <cell r="D403" t="str">
            <v>OXXO-Simon Bolivar</v>
          </cell>
          <cell r="E403" t="str">
            <v>No</v>
          </cell>
          <cell r="F403" t="str">
            <v>19557099-K</v>
          </cell>
          <cell r="G403" t="str">
            <v>Curinao Arancibia Juan Andres</v>
          </cell>
          <cell r="H403" t="str">
            <v>Cajero</v>
          </cell>
          <cell r="I403">
            <v>3</v>
          </cell>
          <cell r="J403">
            <v>54965206</v>
          </cell>
        </row>
        <row r="404">
          <cell r="C404" t="str">
            <v>50SWS</v>
          </cell>
          <cell r="D404" t="str">
            <v>OXXO-Simon Bolivar</v>
          </cell>
          <cell r="E404" t="str">
            <v>No</v>
          </cell>
          <cell r="F404" t="str">
            <v>20112364-K</v>
          </cell>
          <cell r="G404" t="str">
            <v>Hernandez Lopez Francisca Patricia</v>
          </cell>
          <cell r="H404" t="str">
            <v>Cajero</v>
          </cell>
          <cell r="I404">
            <v>3</v>
          </cell>
          <cell r="J404">
            <v>54965206</v>
          </cell>
        </row>
        <row r="405">
          <cell r="C405" t="str">
            <v>50SWS</v>
          </cell>
          <cell r="D405" t="str">
            <v>OXXO-Simon Bolivar</v>
          </cell>
          <cell r="E405" t="str">
            <v>No</v>
          </cell>
          <cell r="F405" t="str">
            <v>21566300-0</v>
          </cell>
          <cell r="G405" t="str">
            <v>Valdes Cespedes Camila</v>
          </cell>
          <cell r="H405" t="str">
            <v>Cajero</v>
          </cell>
          <cell r="I405">
            <v>3</v>
          </cell>
          <cell r="J405">
            <v>54965206</v>
          </cell>
        </row>
        <row r="406">
          <cell r="C406" t="str">
            <v>50SWS</v>
          </cell>
          <cell r="D406" t="str">
            <v>OXXO-Simon Bolivar</v>
          </cell>
          <cell r="E406" t="str">
            <v>No</v>
          </cell>
          <cell r="F406" t="str">
            <v>25578888-4</v>
          </cell>
          <cell r="G406" t="str">
            <v>Mendoza Cervantes Keyko Jaritza</v>
          </cell>
          <cell r="H406" t="str">
            <v>Lider</v>
          </cell>
          <cell r="I406">
            <v>1</v>
          </cell>
          <cell r="J406">
            <v>54965206</v>
          </cell>
        </row>
        <row r="407">
          <cell r="C407" t="str">
            <v>50ORM</v>
          </cell>
          <cell r="D407" t="str">
            <v>OXXO-Reñaca</v>
          </cell>
          <cell r="E407" t="str">
            <v>No</v>
          </cell>
          <cell r="F407" t="str">
            <v>16717144-3</v>
          </cell>
          <cell r="G407" t="str">
            <v>Aguilera Jerez Hugo Manuel</v>
          </cell>
          <cell r="H407" t="str">
            <v>Cajero</v>
          </cell>
          <cell r="I407">
            <v>3</v>
          </cell>
          <cell r="J407">
            <v>54232375</v>
          </cell>
        </row>
        <row r="408">
          <cell r="C408" t="str">
            <v>50ORM</v>
          </cell>
          <cell r="D408" t="str">
            <v>OXXO-Reñaca</v>
          </cell>
          <cell r="E408" t="str">
            <v>No</v>
          </cell>
          <cell r="F408" t="str">
            <v>18036368-8</v>
          </cell>
          <cell r="G408" t="str">
            <v>Muñoz Tapia Cesar Jacobo</v>
          </cell>
          <cell r="H408" t="str">
            <v>Cajero</v>
          </cell>
          <cell r="I408">
            <v>3</v>
          </cell>
          <cell r="J408">
            <v>54232375</v>
          </cell>
        </row>
        <row r="409">
          <cell r="C409" t="str">
            <v>50ORM</v>
          </cell>
          <cell r="D409" t="str">
            <v>OXXO-Reñaca</v>
          </cell>
          <cell r="E409" t="str">
            <v>No</v>
          </cell>
          <cell r="F409" t="str">
            <v>18457900-6</v>
          </cell>
          <cell r="G409" t="str">
            <v>Fuentealba Caceres Jose Antonio</v>
          </cell>
          <cell r="H409" t="str">
            <v>Cajero</v>
          </cell>
          <cell r="I409">
            <v>3</v>
          </cell>
          <cell r="J409">
            <v>54232375</v>
          </cell>
        </row>
        <row r="410">
          <cell r="C410" t="str">
            <v>50ORM</v>
          </cell>
          <cell r="D410" t="str">
            <v>OXXO-Reñaca</v>
          </cell>
          <cell r="E410" t="str">
            <v>No</v>
          </cell>
          <cell r="F410" t="str">
            <v>20105213-0</v>
          </cell>
          <cell r="G410" t="str">
            <v>Diaz Medina Carlos Matias</v>
          </cell>
          <cell r="H410" t="str">
            <v>Lider</v>
          </cell>
          <cell r="I410">
            <v>1</v>
          </cell>
          <cell r="J410">
            <v>54232375</v>
          </cell>
        </row>
        <row r="411">
          <cell r="C411" t="str">
            <v>50ORM</v>
          </cell>
          <cell r="D411" t="str">
            <v>OXXO-Reñaca</v>
          </cell>
          <cell r="E411" t="str">
            <v>No</v>
          </cell>
          <cell r="F411" t="str">
            <v>20598359-7</v>
          </cell>
          <cell r="G411" t="str">
            <v>Urbina Urbina Barbara</v>
          </cell>
          <cell r="H411" t="str">
            <v>Cajero</v>
          </cell>
          <cell r="I411">
            <v>3</v>
          </cell>
          <cell r="J411">
            <v>54232375</v>
          </cell>
        </row>
        <row r="412">
          <cell r="C412" t="str">
            <v>50ORM</v>
          </cell>
          <cell r="D412" t="str">
            <v>OXXO-Reñaca</v>
          </cell>
          <cell r="E412" t="str">
            <v>No</v>
          </cell>
          <cell r="F412" t="str">
            <v>21136805-5</v>
          </cell>
          <cell r="G412" t="str">
            <v>Cordero Villar Constanza Patricia</v>
          </cell>
          <cell r="H412" t="str">
            <v>Cajero</v>
          </cell>
          <cell r="I412">
            <v>3</v>
          </cell>
          <cell r="J412">
            <v>54232375</v>
          </cell>
        </row>
        <row r="413">
          <cell r="C413" t="str">
            <v>50ORM</v>
          </cell>
          <cell r="D413" t="str">
            <v>OXXO-Reñaca</v>
          </cell>
          <cell r="E413" t="str">
            <v>No</v>
          </cell>
          <cell r="F413" t="str">
            <v>22298037-2</v>
          </cell>
          <cell r="G413" t="str">
            <v>Escobar Fuster Maite Monserrat</v>
          </cell>
          <cell r="H413" t="str">
            <v>Cajero</v>
          </cell>
          <cell r="I413">
            <v>3</v>
          </cell>
          <cell r="J413">
            <v>54232375</v>
          </cell>
        </row>
        <row r="414">
          <cell r="C414" t="str">
            <v>50HPU</v>
          </cell>
          <cell r="D414" t="str">
            <v>OXXO-Luis Thayer Ojeda</v>
          </cell>
          <cell r="E414" t="str">
            <v>No</v>
          </cell>
          <cell r="F414" t="str">
            <v>19063842-1</v>
          </cell>
          <cell r="G414" t="str">
            <v>Cantillana Martínez Ariel Matias</v>
          </cell>
          <cell r="H414" t="str">
            <v>Cajero</v>
          </cell>
          <cell r="I414">
            <v>3</v>
          </cell>
          <cell r="J414">
            <v>54093313</v>
          </cell>
        </row>
        <row r="415">
          <cell r="C415" t="str">
            <v>50HPU</v>
          </cell>
          <cell r="D415" t="str">
            <v>OXXO-Luis Thayer Ojeda</v>
          </cell>
          <cell r="E415" t="str">
            <v>No</v>
          </cell>
          <cell r="F415" t="str">
            <v>20386663-1</v>
          </cell>
          <cell r="G415" t="str">
            <v>Llancaleo Huechucoy Lesli De Las Mercede</v>
          </cell>
          <cell r="H415" t="str">
            <v>Lider</v>
          </cell>
          <cell r="I415">
            <v>1</v>
          </cell>
          <cell r="J415">
            <v>54093313</v>
          </cell>
        </row>
        <row r="416">
          <cell r="C416" t="str">
            <v>50HPU</v>
          </cell>
          <cell r="D416" t="str">
            <v>OXXO-Luis Thayer Ojeda</v>
          </cell>
          <cell r="E416" t="str">
            <v>No</v>
          </cell>
          <cell r="F416" t="str">
            <v>23916414-5</v>
          </cell>
          <cell r="G416" t="str">
            <v>Hurtado Aburto Yesenia Emperatriz</v>
          </cell>
          <cell r="H416" t="str">
            <v>Cajero</v>
          </cell>
          <cell r="I416">
            <v>3</v>
          </cell>
          <cell r="J416">
            <v>54093313</v>
          </cell>
        </row>
        <row r="417">
          <cell r="C417" t="str">
            <v>50HPU</v>
          </cell>
          <cell r="D417" t="str">
            <v>OXXO-Luis Thayer Ojeda</v>
          </cell>
          <cell r="E417" t="str">
            <v>No</v>
          </cell>
          <cell r="F417" t="str">
            <v>25936859-6</v>
          </cell>
          <cell r="G417" t="str">
            <v>Romero Agudelo Jessica Alejandra</v>
          </cell>
          <cell r="H417" t="str">
            <v>Cajero</v>
          </cell>
          <cell r="I417">
            <v>3</v>
          </cell>
          <cell r="J417">
            <v>54093313</v>
          </cell>
        </row>
        <row r="418">
          <cell r="C418" t="str">
            <v>50HPU</v>
          </cell>
          <cell r="D418" t="str">
            <v>OXXO-Luis Thayer Ojeda</v>
          </cell>
          <cell r="E418" t="str">
            <v>No</v>
          </cell>
          <cell r="F418" t="str">
            <v>26714836-8</v>
          </cell>
          <cell r="G418" t="str">
            <v>Silva Lopez Maria De Los Angeles</v>
          </cell>
          <cell r="H418" t="str">
            <v>Cajero</v>
          </cell>
          <cell r="I418">
            <v>3</v>
          </cell>
          <cell r="J418">
            <v>54093313</v>
          </cell>
        </row>
        <row r="419">
          <cell r="C419" t="str">
            <v>50HSP</v>
          </cell>
          <cell r="D419" t="str">
            <v>OXXO-Hospitales</v>
          </cell>
          <cell r="E419" t="str">
            <v>No</v>
          </cell>
          <cell r="F419" t="str">
            <v>10650405-9</v>
          </cell>
          <cell r="G419" t="str">
            <v>Cubillos Pavez Pamela Loreto</v>
          </cell>
          <cell r="H419" t="str">
            <v>Lider</v>
          </cell>
          <cell r="I419">
            <v>1</v>
          </cell>
          <cell r="J419">
            <v>54029254</v>
          </cell>
        </row>
        <row r="420">
          <cell r="C420" t="str">
            <v>50HSP</v>
          </cell>
          <cell r="D420" t="str">
            <v>OXXO-Hospitales</v>
          </cell>
          <cell r="E420" t="str">
            <v>No</v>
          </cell>
          <cell r="F420" t="str">
            <v>17766871-0</v>
          </cell>
          <cell r="G420" t="str">
            <v>Orellana Gallardo Choice Carolina</v>
          </cell>
          <cell r="H420" t="str">
            <v>Jefe De Sala</v>
          </cell>
          <cell r="I420">
            <v>2</v>
          </cell>
          <cell r="J420">
            <v>54029254</v>
          </cell>
        </row>
        <row r="421">
          <cell r="C421" t="str">
            <v>50HSP</v>
          </cell>
          <cell r="D421" t="str">
            <v>OXXO-Hospitales</v>
          </cell>
          <cell r="E421" t="str">
            <v>No</v>
          </cell>
          <cell r="F421" t="str">
            <v>21069969-4</v>
          </cell>
          <cell r="G421" t="str">
            <v>Bugueño Bugueño Fabiola Noelia</v>
          </cell>
          <cell r="H421" t="str">
            <v>Cajero</v>
          </cell>
          <cell r="I421">
            <v>3</v>
          </cell>
          <cell r="J421">
            <v>54029254</v>
          </cell>
        </row>
        <row r="422">
          <cell r="C422" t="str">
            <v>50HSP</v>
          </cell>
          <cell r="D422" t="str">
            <v>OXXO-Hospitales</v>
          </cell>
          <cell r="E422" t="str">
            <v>No</v>
          </cell>
          <cell r="F422" t="str">
            <v>22042190-2</v>
          </cell>
          <cell r="G422" t="str">
            <v>Zelada Quiñones Sharon Lisseth</v>
          </cell>
          <cell r="H422" t="str">
            <v>Cajero</v>
          </cell>
          <cell r="I422">
            <v>3</v>
          </cell>
          <cell r="J422">
            <v>54029254</v>
          </cell>
        </row>
        <row r="423">
          <cell r="C423" t="str">
            <v>50HSP</v>
          </cell>
          <cell r="D423" t="str">
            <v>OXXO-Hospitales</v>
          </cell>
          <cell r="E423" t="str">
            <v>No</v>
          </cell>
          <cell r="F423" t="str">
            <v>24613595-9</v>
          </cell>
          <cell r="G423" t="str">
            <v>Mamani Gutierrez Judith Nataly</v>
          </cell>
          <cell r="H423" t="str">
            <v>Cajero</v>
          </cell>
          <cell r="I423">
            <v>3</v>
          </cell>
          <cell r="J423">
            <v>54029254</v>
          </cell>
        </row>
        <row r="424">
          <cell r="C424" t="str">
            <v>50HSP</v>
          </cell>
          <cell r="D424" t="str">
            <v>OXXO-Hospitales</v>
          </cell>
          <cell r="E424" t="str">
            <v>No</v>
          </cell>
          <cell r="F424" t="str">
            <v>24904400-8</v>
          </cell>
          <cell r="G424" t="str">
            <v>Caldas Matta Nerida Jaquelin</v>
          </cell>
          <cell r="H424" t="str">
            <v>Cajero</v>
          </cell>
          <cell r="I424">
            <v>3</v>
          </cell>
          <cell r="J424">
            <v>54029254</v>
          </cell>
        </row>
        <row r="425">
          <cell r="C425" t="str">
            <v>50COL</v>
          </cell>
          <cell r="D425" t="str">
            <v>OXXO-Cerro Colorado</v>
          </cell>
          <cell r="E425" t="str">
            <v>No</v>
          </cell>
          <cell r="F425" t="str">
            <v>20179129-4</v>
          </cell>
          <cell r="G425" t="str">
            <v>González Madariaga Luna Isidora</v>
          </cell>
          <cell r="H425" t="str">
            <v>Cajero</v>
          </cell>
          <cell r="I425">
            <v>3</v>
          </cell>
          <cell r="J425">
            <v>53560655</v>
          </cell>
        </row>
        <row r="426">
          <cell r="C426" t="str">
            <v>50COL</v>
          </cell>
          <cell r="D426" t="str">
            <v>OXXO-Cerro Colorado</v>
          </cell>
          <cell r="E426" t="str">
            <v>No</v>
          </cell>
          <cell r="F426" t="str">
            <v>23687124-K</v>
          </cell>
          <cell r="G426" t="str">
            <v>Laulate Zumaeta Carlos Alberto</v>
          </cell>
          <cell r="H426" t="str">
            <v>Cajero</v>
          </cell>
          <cell r="I426">
            <v>3</v>
          </cell>
          <cell r="J426">
            <v>53560655</v>
          </cell>
        </row>
        <row r="427">
          <cell r="C427" t="str">
            <v>50COL</v>
          </cell>
          <cell r="D427" t="str">
            <v>OXXO-Cerro Colorado</v>
          </cell>
          <cell r="E427" t="str">
            <v>No</v>
          </cell>
          <cell r="F427" t="str">
            <v>24750466-4</v>
          </cell>
          <cell r="G427" t="str">
            <v>Chaparro Baez Cristian Enrique</v>
          </cell>
          <cell r="H427" t="str">
            <v>Cajero</v>
          </cell>
          <cell r="I427">
            <v>3</v>
          </cell>
          <cell r="J427">
            <v>53560655</v>
          </cell>
        </row>
        <row r="428">
          <cell r="C428" t="str">
            <v>50COL</v>
          </cell>
          <cell r="D428" t="str">
            <v>OXXO-Cerro Colorado</v>
          </cell>
          <cell r="E428" t="str">
            <v>No</v>
          </cell>
          <cell r="F428" t="str">
            <v>25929373-1</v>
          </cell>
          <cell r="G428" t="str">
            <v>Leon Guzman Laura Isabel</v>
          </cell>
          <cell r="H428" t="str">
            <v>Cajero</v>
          </cell>
          <cell r="I428">
            <v>3</v>
          </cell>
          <cell r="J428">
            <v>53560655</v>
          </cell>
        </row>
        <row r="429">
          <cell r="C429" t="str">
            <v>50COL</v>
          </cell>
          <cell r="D429" t="str">
            <v>OXXO-Cerro Colorado</v>
          </cell>
          <cell r="E429" t="str">
            <v>No</v>
          </cell>
          <cell r="F429" t="str">
            <v>27364877-1</v>
          </cell>
          <cell r="G429" t="str">
            <v>Gonzalez Colina Anibal Jesus</v>
          </cell>
          <cell r="H429" t="str">
            <v>Jefe De Sala</v>
          </cell>
          <cell r="I429">
            <v>2</v>
          </cell>
          <cell r="J429">
            <v>53560655</v>
          </cell>
        </row>
        <row r="430">
          <cell r="C430" t="str">
            <v>50Q3X</v>
          </cell>
          <cell r="D430" t="str">
            <v>OXXO-Patio Bellavista</v>
          </cell>
          <cell r="E430" t="str">
            <v>No</v>
          </cell>
          <cell r="F430" t="str">
            <v>19564536-1</v>
          </cell>
          <cell r="G430" t="str">
            <v>Osorio Sepúlveda Lila Amancay</v>
          </cell>
          <cell r="H430" t="str">
            <v>Cajero</v>
          </cell>
          <cell r="I430">
            <v>3</v>
          </cell>
          <cell r="J430">
            <v>52337502</v>
          </cell>
        </row>
        <row r="431">
          <cell r="C431" t="str">
            <v>50Q3X</v>
          </cell>
          <cell r="D431" t="str">
            <v>OXXO-Patio Bellavista</v>
          </cell>
          <cell r="E431" t="str">
            <v>No</v>
          </cell>
          <cell r="F431" t="str">
            <v>20034583-5</v>
          </cell>
          <cell r="G431" t="str">
            <v>Montoya Silva Bryan Jesus</v>
          </cell>
          <cell r="H431" t="str">
            <v>Cajero</v>
          </cell>
          <cell r="I431">
            <v>3</v>
          </cell>
          <cell r="J431">
            <v>52337502</v>
          </cell>
        </row>
        <row r="432">
          <cell r="C432" t="str">
            <v>50Q3X</v>
          </cell>
          <cell r="D432" t="str">
            <v>OXXO-Patio Bellavista</v>
          </cell>
          <cell r="E432" t="str">
            <v>No</v>
          </cell>
          <cell r="F432" t="str">
            <v>25550066-K</v>
          </cell>
          <cell r="G432" t="str">
            <v>Romero Diaz Michelle Katherine</v>
          </cell>
          <cell r="H432" t="str">
            <v>Lider</v>
          </cell>
          <cell r="I432">
            <v>1</v>
          </cell>
          <cell r="J432">
            <v>52337502</v>
          </cell>
        </row>
        <row r="433">
          <cell r="C433" t="str">
            <v>50Q3X</v>
          </cell>
          <cell r="D433" t="str">
            <v>OXXO-Patio Bellavista</v>
          </cell>
          <cell r="E433" t="str">
            <v>No</v>
          </cell>
          <cell r="F433" t="str">
            <v>26774519-6</v>
          </cell>
          <cell r="G433" t="str">
            <v>Garcia Pulido Xiomara Alejandra</v>
          </cell>
          <cell r="H433" t="str">
            <v>Cajero</v>
          </cell>
          <cell r="I433">
            <v>3</v>
          </cell>
          <cell r="J433">
            <v>52337502</v>
          </cell>
        </row>
        <row r="434">
          <cell r="C434" t="str">
            <v>50Q3X</v>
          </cell>
          <cell r="D434" t="str">
            <v>OXXO-Patio Bellavista</v>
          </cell>
          <cell r="E434" t="str">
            <v>No</v>
          </cell>
          <cell r="F434" t="str">
            <v>27045112-8</v>
          </cell>
          <cell r="G434" t="str">
            <v>Rivero Matute Odinmar Dolores</v>
          </cell>
          <cell r="H434" t="str">
            <v>Jefe De Sala</v>
          </cell>
          <cell r="I434">
            <v>2</v>
          </cell>
          <cell r="J434">
            <v>52337502</v>
          </cell>
        </row>
        <row r="435">
          <cell r="C435" t="str">
            <v>50Q3X</v>
          </cell>
          <cell r="D435" t="str">
            <v>OXXO-Patio Bellavista</v>
          </cell>
          <cell r="E435" t="str">
            <v>No</v>
          </cell>
          <cell r="F435" t="str">
            <v>28115091-K</v>
          </cell>
          <cell r="G435" t="str">
            <v>Ortega Maldonado Kathleen</v>
          </cell>
          <cell r="H435" t="str">
            <v>Cajero</v>
          </cell>
          <cell r="I435">
            <v>3</v>
          </cell>
          <cell r="J435">
            <v>52337502</v>
          </cell>
        </row>
        <row r="436">
          <cell r="C436" t="str">
            <v>50ARE</v>
          </cell>
          <cell r="D436" t="str">
            <v>OXXO-Colon 1</v>
          </cell>
          <cell r="E436" t="str">
            <v>No</v>
          </cell>
          <cell r="F436" t="str">
            <v>13693571-2</v>
          </cell>
          <cell r="G436" t="str">
            <v>Castillo Hidalgo Elizabeth Pamela</v>
          </cell>
          <cell r="H436" t="str">
            <v>Cajero</v>
          </cell>
          <cell r="I436">
            <v>3</v>
          </cell>
          <cell r="J436">
            <v>52142423</v>
          </cell>
        </row>
        <row r="437">
          <cell r="C437" t="str">
            <v>50ARE</v>
          </cell>
          <cell r="D437" t="str">
            <v>OXXO-Colon 1</v>
          </cell>
          <cell r="E437" t="str">
            <v>No</v>
          </cell>
          <cell r="F437" t="str">
            <v>17923132-8</v>
          </cell>
          <cell r="G437" t="str">
            <v>Alcayaga Ibarra Francisca</v>
          </cell>
          <cell r="H437" t="str">
            <v>Jefe De Sala</v>
          </cell>
          <cell r="I437">
            <v>2</v>
          </cell>
          <cell r="J437">
            <v>52142423</v>
          </cell>
        </row>
        <row r="438">
          <cell r="C438" t="str">
            <v>50ARE</v>
          </cell>
          <cell r="D438" t="str">
            <v>OXXO-Colon 1</v>
          </cell>
          <cell r="E438" t="str">
            <v>No</v>
          </cell>
          <cell r="F438" t="str">
            <v>18725703-4</v>
          </cell>
          <cell r="G438" t="str">
            <v>Tobar Figueroa Carla Daniela</v>
          </cell>
          <cell r="H438" t="str">
            <v>Cajero</v>
          </cell>
          <cell r="I438">
            <v>3</v>
          </cell>
          <cell r="J438">
            <v>52142423</v>
          </cell>
        </row>
        <row r="439">
          <cell r="C439" t="str">
            <v>50ARE</v>
          </cell>
          <cell r="D439" t="str">
            <v>OXXO-Colon 1</v>
          </cell>
          <cell r="E439" t="str">
            <v>No</v>
          </cell>
          <cell r="F439" t="str">
            <v>19756115-7</v>
          </cell>
          <cell r="G439" t="str">
            <v>Alday Rodriguez Jean Michel</v>
          </cell>
          <cell r="H439" t="str">
            <v>Cajero</v>
          </cell>
          <cell r="I439">
            <v>3</v>
          </cell>
          <cell r="J439">
            <v>52142423</v>
          </cell>
        </row>
        <row r="440">
          <cell r="C440" t="str">
            <v>50ARE</v>
          </cell>
          <cell r="D440" t="str">
            <v>OXXO-Colon 1</v>
          </cell>
          <cell r="E440" t="str">
            <v>No</v>
          </cell>
          <cell r="F440" t="str">
            <v>20004019-8</v>
          </cell>
          <cell r="G440" t="str">
            <v>Diaz Lee Vicente</v>
          </cell>
          <cell r="H440" t="str">
            <v>Cajero</v>
          </cell>
          <cell r="I440">
            <v>3</v>
          </cell>
          <cell r="J440">
            <v>52142423</v>
          </cell>
        </row>
        <row r="441">
          <cell r="C441" t="str">
            <v>50ARE</v>
          </cell>
          <cell r="D441" t="str">
            <v>OXXO-Colon 1</v>
          </cell>
          <cell r="E441" t="str">
            <v>No</v>
          </cell>
          <cell r="F441" t="str">
            <v>23043446-8</v>
          </cell>
          <cell r="G441" t="str">
            <v>Miranda Valleto Francisco Javier</v>
          </cell>
          <cell r="H441" t="str">
            <v>Jefe De Sala</v>
          </cell>
          <cell r="I441">
            <v>2</v>
          </cell>
          <cell r="J441">
            <v>52142423</v>
          </cell>
        </row>
        <row r="442">
          <cell r="C442" t="str">
            <v>50ARE</v>
          </cell>
          <cell r="D442" t="str">
            <v>OXXO-Colon 1</v>
          </cell>
          <cell r="E442" t="str">
            <v>No</v>
          </cell>
          <cell r="F442" t="str">
            <v>26551442-1</v>
          </cell>
          <cell r="G442" t="str">
            <v>Osorio Gereda Anthoni Javier</v>
          </cell>
          <cell r="H442" t="str">
            <v>Lider</v>
          </cell>
          <cell r="I442">
            <v>1</v>
          </cell>
          <cell r="J442">
            <v>52142423</v>
          </cell>
        </row>
        <row r="443">
          <cell r="C443" t="str">
            <v>50TSA</v>
          </cell>
          <cell r="D443" t="str">
            <v>OXXO-Bandera</v>
          </cell>
          <cell r="E443" t="str">
            <v>No</v>
          </cell>
          <cell r="F443" t="str">
            <v>21898585-8</v>
          </cell>
          <cell r="G443" t="str">
            <v>Palma Quiñones Catalina Millaray</v>
          </cell>
          <cell r="H443" t="str">
            <v>Cajero</v>
          </cell>
          <cell r="I443">
            <v>3</v>
          </cell>
          <cell r="J443">
            <v>52104159</v>
          </cell>
        </row>
        <row r="444">
          <cell r="C444" t="str">
            <v>50TSA</v>
          </cell>
          <cell r="D444" t="str">
            <v>OXXO-Bandera</v>
          </cell>
          <cell r="E444" t="str">
            <v>No</v>
          </cell>
          <cell r="F444" t="str">
            <v>25310944-0</v>
          </cell>
          <cell r="G444" t="str">
            <v>Lozano Bustamante Diana Elizabeth</v>
          </cell>
          <cell r="H444" t="str">
            <v>Jefe De Sala</v>
          </cell>
          <cell r="I444">
            <v>2</v>
          </cell>
          <cell r="J444">
            <v>52104159</v>
          </cell>
        </row>
        <row r="445">
          <cell r="C445" t="str">
            <v>50TSA</v>
          </cell>
          <cell r="D445" t="str">
            <v>OXXO-Bandera</v>
          </cell>
          <cell r="E445" t="str">
            <v>No</v>
          </cell>
          <cell r="F445" t="str">
            <v>26344324-1</v>
          </cell>
          <cell r="G445" t="str">
            <v>Alayo Urquiza Diego Eduardo</v>
          </cell>
          <cell r="H445" t="str">
            <v>Jefe De Sala</v>
          </cell>
          <cell r="I445">
            <v>2</v>
          </cell>
          <cell r="J445">
            <v>52104159</v>
          </cell>
        </row>
        <row r="446">
          <cell r="C446" t="str">
            <v>50TSA</v>
          </cell>
          <cell r="D446" t="str">
            <v>OXXO-Bandera</v>
          </cell>
          <cell r="E446" t="str">
            <v>No</v>
          </cell>
          <cell r="F446" t="str">
            <v>26868981-8</v>
          </cell>
          <cell r="G446" t="str">
            <v>Vidal Jimenez Astrid Marianny</v>
          </cell>
          <cell r="H446" t="str">
            <v>Lider</v>
          </cell>
          <cell r="I446">
            <v>1</v>
          </cell>
          <cell r="J446">
            <v>52104159</v>
          </cell>
        </row>
        <row r="447">
          <cell r="C447" t="str">
            <v>50OCS</v>
          </cell>
          <cell r="D447" t="str">
            <v>OKM-Carmen Silva</v>
          </cell>
          <cell r="E447" t="str">
            <v>No</v>
          </cell>
          <cell r="F447" t="str">
            <v>10168494-6</v>
          </cell>
          <cell r="G447" t="str">
            <v>Valdes Steffens Fresia</v>
          </cell>
          <cell r="H447" t="str">
            <v>Cajero</v>
          </cell>
          <cell r="I447">
            <v>3</v>
          </cell>
          <cell r="J447">
            <v>52035135</v>
          </cell>
        </row>
        <row r="448">
          <cell r="C448" t="str">
            <v>50OCS</v>
          </cell>
          <cell r="D448" t="str">
            <v>OKM-Carmen Silva</v>
          </cell>
          <cell r="E448" t="str">
            <v>No</v>
          </cell>
          <cell r="F448" t="str">
            <v>16407224-K</v>
          </cell>
          <cell r="G448" t="str">
            <v>Fernandez Leon Lidia Elcira</v>
          </cell>
          <cell r="H448" t="str">
            <v>Cajero</v>
          </cell>
          <cell r="I448">
            <v>3</v>
          </cell>
          <cell r="J448">
            <v>52035135</v>
          </cell>
        </row>
        <row r="449">
          <cell r="C449" t="str">
            <v>50OCS</v>
          </cell>
          <cell r="D449" t="str">
            <v>OKM-Carmen Silva</v>
          </cell>
          <cell r="E449" t="str">
            <v>No</v>
          </cell>
          <cell r="F449" t="str">
            <v>17063552-3</v>
          </cell>
          <cell r="G449" t="str">
            <v>Salinas Ponce Jorge David</v>
          </cell>
          <cell r="H449" t="str">
            <v>Jefe De Sala</v>
          </cell>
          <cell r="I449">
            <v>2</v>
          </cell>
          <cell r="J449">
            <v>52035135</v>
          </cell>
        </row>
        <row r="450">
          <cell r="C450" t="str">
            <v>50OCS</v>
          </cell>
          <cell r="D450" t="str">
            <v>OKM-Carmen Silva</v>
          </cell>
          <cell r="E450" t="str">
            <v>No</v>
          </cell>
          <cell r="F450" t="str">
            <v>20228373-K</v>
          </cell>
          <cell r="G450" t="str">
            <v>Castillo Gallardo Constanza Lilith</v>
          </cell>
          <cell r="H450" t="str">
            <v>Cajero</v>
          </cell>
          <cell r="I450">
            <v>3</v>
          </cell>
          <cell r="J450">
            <v>52035135</v>
          </cell>
        </row>
        <row r="451">
          <cell r="C451" t="str">
            <v>50OCS</v>
          </cell>
          <cell r="D451" t="str">
            <v>OKM-Carmen Silva</v>
          </cell>
          <cell r="E451" t="str">
            <v>No</v>
          </cell>
          <cell r="F451" t="str">
            <v>25984249-2</v>
          </cell>
          <cell r="G451" t="str">
            <v>Acosta Rivas Jonnathan Jose</v>
          </cell>
          <cell r="H451" t="str">
            <v>Lider</v>
          </cell>
          <cell r="I451">
            <v>1</v>
          </cell>
          <cell r="J451">
            <v>52035135</v>
          </cell>
        </row>
        <row r="452">
          <cell r="C452" t="str">
            <v>50OCS</v>
          </cell>
          <cell r="D452" t="str">
            <v>OKM-Carmen Silva</v>
          </cell>
          <cell r="E452" t="str">
            <v>No</v>
          </cell>
          <cell r="F452" t="str">
            <v>26983227-4</v>
          </cell>
          <cell r="G452" t="str">
            <v>Porras Barrios Francisco Javier</v>
          </cell>
          <cell r="H452" t="str">
            <v>Cajero</v>
          </cell>
          <cell r="I452">
            <v>3</v>
          </cell>
          <cell r="J452">
            <v>52035135</v>
          </cell>
        </row>
        <row r="453">
          <cell r="C453" t="str">
            <v>50UKP</v>
          </cell>
          <cell r="D453" t="str">
            <v>OXXO-Metro Plaza Puente Alto</v>
          </cell>
          <cell r="E453" t="str">
            <v>No</v>
          </cell>
          <cell r="F453" t="str">
            <v>15839344-1</v>
          </cell>
          <cell r="G453" t="str">
            <v>Moccia Godoy Nathalie Veronica</v>
          </cell>
          <cell r="H453" t="str">
            <v>Jefe De Sala</v>
          </cell>
          <cell r="I453">
            <v>2</v>
          </cell>
          <cell r="J453">
            <v>52012618</v>
          </cell>
        </row>
        <row r="454">
          <cell r="C454" t="str">
            <v>50UKP</v>
          </cell>
          <cell r="D454" t="str">
            <v>OXXO-Metro Plaza Puente Alto</v>
          </cell>
          <cell r="E454" t="str">
            <v>No</v>
          </cell>
          <cell r="F454" t="str">
            <v>18609019-5</v>
          </cell>
          <cell r="G454" t="str">
            <v>San Martin Pino Ignacio Arturo</v>
          </cell>
          <cell r="H454" t="str">
            <v>Lider</v>
          </cell>
          <cell r="I454">
            <v>1</v>
          </cell>
          <cell r="J454">
            <v>52012618</v>
          </cell>
        </row>
        <row r="455">
          <cell r="C455" t="str">
            <v>50UKP</v>
          </cell>
          <cell r="D455" t="str">
            <v>OXXO-Metro Plaza Puente Alto</v>
          </cell>
          <cell r="E455" t="str">
            <v>No</v>
          </cell>
          <cell r="F455" t="str">
            <v>20443878-1</v>
          </cell>
          <cell r="G455" t="str">
            <v>Arce Ramirez Francisco Andres</v>
          </cell>
          <cell r="H455" t="str">
            <v>Cajero</v>
          </cell>
          <cell r="I455">
            <v>3</v>
          </cell>
          <cell r="J455">
            <v>52012618</v>
          </cell>
        </row>
        <row r="456">
          <cell r="C456" t="str">
            <v>50UKP</v>
          </cell>
          <cell r="D456" t="str">
            <v>OXXO-Metro Plaza Puente Alto</v>
          </cell>
          <cell r="E456" t="str">
            <v>No</v>
          </cell>
          <cell r="F456" t="str">
            <v>21107350-0</v>
          </cell>
          <cell r="G456" t="str">
            <v>Gomez Coa Gabriela Alejandra</v>
          </cell>
          <cell r="H456" t="str">
            <v>Jefe De Sala</v>
          </cell>
          <cell r="I456">
            <v>2</v>
          </cell>
          <cell r="J456">
            <v>52012618</v>
          </cell>
        </row>
        <row r="457">
          <cell r="C457" t="str">
            <v>50UKP</v>
          </cell>
          <cell r="D457" t="str">
            <v>OXXO-Metro Plaza Puente Alto</v>
          </cell>
          <cell r="E457" t="str">
            <v>No</v>
          </cell>
          <cell r="F457" t="str">
            <v>26924448-8</v>
          </cell>
          <cell r="G457" t="str">
            <v>Parraga Mora Zoilynsmar Karolina</v>
          </cell>
          <cell r="H457" t="str">
            <v>Cajero</v>
          </cell>
          <cell r="I457">
            <v>3</v>
          </cell>
          <cell r="J457">
            <v>52012618</v>
          </cell>
        </row>
        <row r="458">
          <cell r="C458" t="str">
            <v>50OSL</v>
          </cell>
          <cell r="D458" t="str">
            <v>OXXO-Strip Larrain</v>
          </cell>
          <cell r="E458" t="str">
            <v>No</v>
          </cell>
          <cell r="F458" t="str">
            <v>18063787-7</v>
          </cell>
          <cell r="G458" t="str">
            <v>Acevedo Maturana Jenny Daniela</v>
          </cell>
          <cell r="H458" t="str">
            <v>Lider</v>
          </cell>
          <cell r="I458">
            <v>1</v>
          </cell>
          <cell r="J458">
            <v>51877686</v>
          </cell>
        </row>
        <row r="459">
          <cell r="C459" t="str">
            <v>50OSL</v>
          </cell>
          <cell r="D459" t="str">
            <v>OXXO-Strip Larrain</v>
          </cell>
          <cell r="E459" t="str">
            <v>No</v>
          </cell>
          <cell r="F459" t="str">
            <v>20496000-3</v>
          </cell>
          <cell r="G459" t="str">
            <v>Flores Fuentes Maira Stephanny</v>
          </cell>
          <cell r="H459" t="str">
            <v>Jefe De Sala</v>
          </cell>
          <cell r="I459">
            <v>2</v>
          </cell>
          <cell r="J459">
            <v>51877686</v>
          </cell>
        </row>
        <row r="460">
          <cell r="C460" t="str">
            <v>50OSL</v>
          </cell>
          <cell r="D460" t="str">
            <v>OXXO-Strip Larrain</v>
          </cell>
          <cell r="E460" t="str">
            <v>No</v>
          </cell>
          <cell r="F460" t="str">
            <v>27806986-9</v>
          </cell>
          <cell r="G460" t="str">
            <v>Castrillon Serna Brenda Yulieth</v>
          </cell>
          <cell r="H460" t="str">
            <v>Cajero</v>
          </cell>
          <cell r="I460">
            <v>3</v>
          </cell>
          <cell r="J460">
            <v>51877686</v>
          </cell>
        </row>
        <row r="461">
          <cell r="C461" t="str">
            <v>50CLC</v>
          </cell>
          <cell r="D461" t="str">
            <v>OXXO-Clinica Las Condes</v>
          </cell>
          <cell r="E461" t="str">
            <v>No</v>
          </cell>
          <cell r="F461" t="str">
            <v>13343673-1</v>
          </cell>
          <cell r="G461" t="str">
            <v>Pino Vergara Carmen</v>
          </cell>
          <cell r="H461" t="str">
            <v>Cajero</v>
          </cell>
          <cell r="I461">
            <v>3</v>
          </cell>
          <cell r="J461">
            <v>51762405</v>
          </cell>
        </row>
        <row r="462">
          <cell r="C462" t="str">
            <v>50CLC</v>
          </cell>
          <cell r="D462" t="str">
            <v>OXXO-Clinica Las Condes</v>
          </cell>
          <cell r="E462" t="str">
            <v>No</v>
          </cell>
          <cell r="F462" t="str">
            <v>13929390-8</v>
          </cell>
          <cell r="G462" t="str">
            <v>Mariangel Arias Barbara</v>
          </cell>
          <cell r="H462" t="str">
            <v>Lider</v>
          </cell>
          <cell r="I462">
            <v>1</v>
          </cell>
          <cell r="J462">
            <v>51762405</v>
          </cell>
        </row>
        <row r="463">
          <cell r="C463" t="str">
            <v>50CLC</v>
          </cell>
          <cell r="D463" t="str">
            <v>OXXO-Clinica Las Condes</v>
          </cell>
          <cell r="E463" t="str">
            <v>No</v>
          </cell>
          <cell r="F463" t="str">
            <v>26777940-6</v>
          </cell>
          <cell r="G463" t="str">
            <v>Briceño Cacerez Efrain Alberto</v>
          </cell>
          <cell r="H463" t="str">
            <v>Cajero</v>
          </cell>
          <cell r="I463">
            <v>3</v>
          </cell>
          <cell r="J463">
            <v>51762405</v>
          </cell>
        </row>
        <row r="464">
          <cell r="C464" t="str">
            <v>50CLC</v>
          </cell>
          <cell r="D464" t="str">
            <v>OXXO-Clinica Las Condes</v>
          </cell>
          <cell r="E464" t="str">
            <v>No</v>
          </cell>
          <cell r="F464" t="str">
            <v>28191594-0</v>
          </cell>
          <cell r="G464" t="str">
            <v>Mora Moreno Anthony Martin</v>
          </cell>
          <cell r="H464" t="str">
            <v>Jefe De Sala</v>
          </cell>
          <cell r="I464">
            <v>2</v>
          </cell>
          <cell r="J464">
            <v>51762405</v>
          </cell>
        </row>
        <row r="465">
          <cell r="C465" t="str">
            <v>50CLC</v>
          </cell>
          <cell r="D465" t="str">
            <v>OXXO-Clinica Las Condes</v>
          </cell>
          <cell r="E465" t="str">
            <v>No</v>
          </cell>
          <cell r="F465" t="str">
            <v>28191884-2</v>
          </cell>
          <cell r="G465" t="str">
            <v>Espina Flores Alejandra Patricia</v>
          </cell>
          <cell r="H465" t="str">
            <v>Cajero</v>
          </cell>
          <cell r="I465">
            <v>3</v>
          </cell>
          <cell r="J465">
            <v>51762405</v>
          </cell>
        </row>
        <row r="466">
          <cell r="C466" t="str">
            <v>50CLC</v>
          </cell>
          <cell r="D466" t="str">
            <v>OXXO-Clinica Las Condes</v>
          </cell>
          <cell r="E466" t="str">
            <v>No</v>
          </cell>
          <cell r="F466" t="str">
            <v>28336888-2</v>
          </cell>
          <cell r="G466" t="str">
            <v>Prin Mata Gabriel Enrique</v>
          </cell>
          <cell r="H466" t="str">
            <v>Cajero</v>
          </cell>
          <cell r="I466">
            <v>3</v>
          </cell>
          <cell r="J466">
            <v>51762405</v>
          </cell>
        </row>
        <row r="467">
          <cell r="C467" t="str">
            <v>50XRJ</v>
          </cell>
          <cell r="D467" t="str">
            <v>OXXO-Los Militares</v>
          </cell>
          <cell r="E467" t="str">
            <v>No</v>
          </cell>
          <cell r="F467" t="str">
            <v>17579358-5</v>
          </cell>
          <cell r="G467" t="str">
            <v>Olivares Bravo Cristian Alejandro</v>
          </cell>
          <cell r="H467" t="str">
            <v>Cajero</v>
          </cell>
          <cell r="I467">
            <v>3</v>
          </cell>
          <cell r="J467">
            <v>51668439</v>
          </cell>
        </row>
        <row r="468">
          <cell r="C468" t="str">
            <v>50XRJ</v>
          </cell>
          <cell r="D468" t="str">
            <v>OXXO-Los Militares</v>
          </cell>
          <cell r="E468" t="str">
            <v>No</v>
          </cell>
          <cell r="F468" t="str">
            <v>17941245-4</v>
          </cell>
          <cell r="G468" t="str">
            <v>Pereira Carrasco Ana Valeria</v>
          </cell>
          <cell r="H468" t="str">
            <v>Jefe De Sala</v>
          </cell>
          <cell r="I468">
            <v>2</v>
          </cell>
          <cell r="J468">
            <v>51668439</v>
          </cell>
        </row>
        <row r="469">
          <cell r="C469" t="str">
            <v>50XRJ</v>
          </cell>
          <cell r="D469" t="str">
            <v>OXXO-Los Militares</v>
          </cell>
          <cell r="E469" t="str">
            <v>No</v>
          </cell>
          <cell r="F469" t="str">
            <v>21156946-8</v>
          </cell>
          <cell r="G469" t="str">
            <v>Flores Leon Maria Fernanda</v>
          </cell>
          <cell r="H469" t="str">
            <v>Cajero</v>
          </cell>
          <cell r="I469">
            <v>3</v>
          </cell>
          <cell r="J469">
            <v>51668439</v>
          </cell>
        </row>
        <row r="470">
          <cell r="C470" t="str">
            <v>50XRJ</v>
          </cell>
          <cell r="D470" t="str">
            <v>OXXO-Los Militares</v>
          </cell>
          <cell r="E470" t="str">
            <v>No</v>
          </cell>
          <cell r="F470" t="str">
            <v>27048630-4</v>
          </cell>
          <cell r="G470" t="str">
            <v>Niño De Guzman Cardenas Jose Luis</v>
          </cell>
          <cell r="H470" t="str">
            <v>Jefe De Sala</v>
          </cell>
          <cell r="I470">
            <v>2</v>
          </cell>
          <cell r="J470">
            <v>51668439</v>
          </cell>
        </row>
        <row r="471">
          <cell r="C471" t="str">
            <v>50XRJ</v>
          </cell>
          <cell r="D471" t="str">
            <v>OXXO-Los Militares</v>
          </cell>
          <cell r="E471" t="str">
            <v>No</v>
          </cell>
          <cell r="F471" t="str">
            <v>28532727-K</v>
          </cell>
          <cell r="G471" t="str">
            <v>Lugo Van Der Biest Jesus David</v>
          </cell>
          <cell r="H471" t="str">
            <v>Cajero</v>
          </cell>
          <cell r="I471">
            <v>3</v>
          </cell>
          <cell r="J471">
            <v>51668439</v>
          </cell>
        </row>
        <row r="472">
          <cell r="C472" t="str">
            <v>50OJM</v>
          </cell>
          <cell r="D472" t="str">
            <v>OXXO-Jorge Matte</v>
          </cell>
          <cell r="E472" t="str">
            <v>No</v>
          </cell>
          <cell r="F472" t="str">
            <v>12611038-3</v>
          </cell>
          <cell r="G472" t="str">
            <v>Muñoz Leyton Marycarmen</v>
          </cell>
          <cell r="H472" t="str">
            <v>Cajero</v>
          </cell>
          <cell r="I472">
            <v>3</v>
          </cell>
          <cell r="J472">
            <v>51451131</v>
          </cell>
        </row>
        <row r="473">
          <cell r="C473" t="str">
            <v>50OJM</v>
          </cell>
          <cell r="D473" t="str">
            <v>OXXO-Jorge Matte</v>
          </cell>
          <cell r="E473" t="str">
            <v>No</v>
          </cell>
          <cell r="F473" t="str">
            <v>14188230-9</v>
          </cell>
          <cell r="G473" t="str">
            <v>Contreras Cortez Eduardo</v>
          </cell>
          <cell r="H473" t="str">
            <v>Lider</v>
          </cell>
          <cell r="I473">
            <v>1</v>
          </cell>
          <cell r="J473">
            <v>51451131</v>
          </cell>
        </row>
        <row r="474">
          <cell r="C474" t="str">
            <v>50OJM</v>
          </cell>
          <cell r="D474" t="str">
            <v>OXXO-Jorge Matte</v>
          </cell>
          <cell r="E474" t="str">
            <v>No</v>
          </cell>
          <cell r="F474" t="str">
            <v>26313697-7</v>
          </cell>
          <cell r="G474" t="str">
            <v>Carrera Briones Briam Fernando</v>
          </cell>
          <cell r="H474" t="str">
            <v>Jefe De Sala</v>
          </cell>
          <cell r="I474">
            <v>2</v>
          </cell>
          <cell r="J474">
            <v>51451131</v>
          </cell>
        </row>
        <row r="475">
          <cell r="C475" t="str">
            <v>50OJM</v>
          </cell>
          <cell r="D475" t="str">
            <v>OXXO-Jorge Matte</v>
          </cell>
          <cell r="E475" t="str">
            <v>No</v>
          </cell>
          <cell r="F475" t="str">
            <v>26623464-3</v>
          </cell>
          <cell r="G475" t="str">
            <v>Flores Mendoza Yohander Jose</v>
          </cell>
          <cell r="H475" t="str">
            <v>Cajero</v>
          </cell>
          <cell r="I475">
            <v>3</v>
          </cell>
          <cell r="J475">
            <v>51451131</v>
          </cell>
        </row>
        <row r="476">
          <cell r="C476" t="str">
            <v>50OJM</v>
          </cell>
          <cell r="D476" t="str">
            <v>OXXO-Jorge Matte</v>
          </cell>
          <cell r="E476" t="str">
            <v>No</v>
          </cell>
          <cell r="F476" t="str">
            <v>27858103-9</v>
          </cell>
          <cell r="G476" t="str">
            <v>Vargas Ordoñez Angee Rocio</v>
          </cell>
          <cell r="H476" t="str">
            <v>Cajero</v>
          </cell>
          <cell r="I476">
            <v>3</v>
          </cell>
          <cell r="J476">
            <v>51451131</v>
          </cell>
        </row>
        <row r="477">
          <cell r="C477" t="str">
            <v>50OJM</v>
          </cell>
          <cell r="D477" t="str">
            <v>OXXO-Jorge Matte</v>
          </cell>
          <cell r="E477" t="str">
            <v>No</v>
          </cell>
          <cell r="F477" t="str">
            <v>28664898-3</v>
          </cell>
          <cell r="G477" t="str">
            <v>Pereira Gutierrez Loriennys Yoselin</v>
          </cell>
          <cell r="H477" t="str">
            <v>Cajero</v>
          </cell>
          <cell r="I477">
            <v>3</v>
          </cell>
          <cell r="J477">
            <v>51451131</v>
          </cell>
        </row>
        <row r="478">
          <cell r="C478" t="str">
            <v>50SQ0</v>
          </cell>
          <cell r="D478" t="str">
            <v>OXXO-Metro Plaza Egaña</v>
          </cell>
          <cell r="E478" t="str">
            <v>No</v>
          </cell>
          <cell r="F478" t="str">
            <v>20648300-8</v>
          </cell>
          <cell r="G478" t="str">
            <v>Valdebenito Hernandez Joseph Ignacio</v>
          </cell>
          <cell r="H478" t="str">
            <v>Cajero</v>
          </cell>
          <cell r="I478">
            <v>3</v>
          </cell>
          <cell r="J478">
            <v>51283513</v>
          </cell>
        </row>
        <row r="479">
          <cell r="C479" t="str">
            <v>50SQ0</v>
          </cell>
          <cell r="D479" t="str">
            <v>OXXO-Metro Plaza Egaña</v>
          </cell>
          <cell r="E479" t="str">
            <v>No</v>
          </cell>
          <cell r="F479" t="str">
            <v>27075469-4</v>
          </cell>
          <cell r="G479" t="str">
            <v>Rios Vetencourt Jessica Josefina</v>
          </cell>
          <cell r="H479" t="str">
            <v>Cajero</v>
          </cell>
          <cell r="I479">
            <v>3</v>
          </cell>
          <cell r="J479">
            <v>51283513</v>
          </cell>
        </row>
        <row r="480">
          <cell r="C480" t="str">
            <v>50SQ0</v>
          </cell>
          <cell r="D480" t="str">
            <v>OXXO-Metro Plaza Egaña</v>
          </cell>
          <cell r="E480" t="str">
            <v>No</v>
          </cell>
          <cell r="F480" t="str">
            <v>27799616-2</v>
          </cell>
          <cell r="G480" t="str">
            <v>Palomino Espinoza Jennifer</v>
          </cell>
          <cell r="H480" t="str">
            <v>Cajero</v>
          </cell>
          <cell r="I480">
            <v>3</v>
          </cell>
          <cell r="J480">
            <v>51283513</v>
          </cell>
        </row>
        <row r="481">
          <cell r="C481" t="str">
            <v>50OFN</v>
          </cell>
          <cell r="D481" t="str">
            <v>OXXO-El Bosque Norte</v>
          </cell>
          <cell r="E481" t="str">
            <v>No</v>
          </cell>
          <cell r="F481" t="str">
            <v>08452193-0</v>
          </cell>
          <cell r="G481" t="str">
            <v>Lobos Avello Marcia Lorena</v>
          </cell>
          <cell r="H481" t="str">
            <v>Jefe De Sala</v>
          </cell>
          <cell r="I481">
            <v>2</v>
          </cell>
          <cell r="J481">
            <v>51061766</v>
          </cell>
        </row>
        <row r="482">
          <cell r="C482" t="str">
            <v>50OFN</v>
          </cell>
          <cell r="D482" t="str">
            <v>OXXO-El Bosque Norte</v>
          </cell>
          <cell r="E482" t="str">
            <v>No</v>
          </cell>
          <cell r="F482" t="str">
            <v>18136684-2</v>
          </cell>
          <cell r="G482" t="str">
            <v>Alvarez Castillo Javier Bastian</v>
          </cell>
          <cell r="H482" t="str">
            <v>Cajero</v>
          </cell>
          <cell r="I482">
            <v>3</v>
          </cell>
          <cell r="J482">
            <v>51061766</v>
          </cell>
        </row>
        <row r="483">
          <cell r="C483" t="str">
            <v>50OFN</v>
          </cell>
          <cell r="D483" t="str">
            <v>OXXO-El Bosque Norte</v>
          </cell>
          <cell r="E483" t="str">
            <v>No</v>
          </cell>
          <cell r="F483" t="str">
            <v>18409324-3</v>
          </cell>
          <cell r="G483" t="str">
            <v>Mizon Fuentes Cristian</v>
          </cell>
          <cell r="H483" t="str">
            <v>Cajero</v>
          </cell>
          <cell r="I483">
            <v>3</v>
          </cell>
          <cell r="J483">
            <v>51061766</v>
          </cell>
        </row>
        <row r="484">
          <cell r="C484" t="str">
            <v>50OFN</v>
          </cell>
          <cell r="D484" t="str">
            <v>OXXO-El Bosque Norte</v>
          </cell>
          <cell r="E484" t="str">
            <v>No</v>
          </cell>
          <cell r="F484" t="str">
            <v>26405531-8</v>
          </cell>
          <cell r="G484" t="str">
            <v>Arrieta Sanchez Dianys</v>
          </cell>
          <cell r="H484" t="str">
            <v>Lider</v>
          </cell>
          <cell r="I484">
            <v>1</v>
          </cell>
          <cell r="J484">
            <v>51061766</v>
          </cell>
        </row>
        <row r="485">
          <cell r="C485" t="str">
            <v>50OFN</v>
          </cell>
          <cell r="D485" t="str">
            <v>OXXO-El Bosque Norte</v>
          </cell>
          <cell r="E485" t="str">
            <v>No</v>
          </cell>
          <cell r="F485" t="str">
            <v>27847610-3</v>
          </cell>
          <cell r="G485" t="str">
            <v>Maluche Hernandez Esteban</v>
          </cell>
          <cell r="H485" t="str">
            <v>Cajero</v>
          </cell>
          <cell r="I485">
            <v>3</v>
          </cell>
          <cell r="J485">
            <v>51061766</v>
          </cell>
        </row>
        <row r="486">
          <cell r="C486" t="str">
            <v>50W0N</v>
          </cell>
          <cell r="D486" t="str">
            <v>OXXO-Santiago Downtown</v>
          </cell>
          <cell r="E486" t="str">
            <v>No</v>
          </cell>
          <cell r="F486" t="str">
            <v>25638552-K</v>
          </cell>
          <cell r="G486" t="str">
            <v>Silva Ruiz Marife Del Valle</v>
          </cell>
          <cell r="H486" t="str">
            <v>Jefe De Sala</v>
          </cell>
          <cell r="I486">
            <v>2</v>
          </cell>
          <cell r="J486">
            <v>50935738</v>
          </cell>
        </row>
        <row r="487">
          <cell r="C487" t="str">
            <v>50W0N</v>
          </cell>
          <cell r="D487" t="str">
            <v>OXXO-Santiago Downtown</v>
          </cell>
          <cell r="E487" t="str">
            <v>No</v>
          </cell>
          <cell r="F487" t="str">
            <v>26440715-K</v>
          </cell>
          <cell r="G487" t="str">
            <v>Sanchez Baudet Yeripzta Del Valle</v>
          </cell>
          <cell r="H487" t="str">
            <v>Cajero</v>
          </cell>
          <cell r="I487">
            <v>3</v>
          </cell>
          <cell r="J487">
            <v>50935738</v>
          </cell>
        </row>
        <row r="488">
          <cell r="C488" t="str">
            <v>50W0N</v>
          </cell>
          <cell r="D488" t="str">
            <v>OXXO-Santiago Downtown</v>
          </cell>
          <cell r="E488" t="str">
            <v>No</v>
          </cell>
          <cell r="F488" t="str">
            <v>26950542-7</v>
          </cell>
          <cell r="G488" t="str">
            <v>Layton Baron Liz Rosselyn</v>
          </cell>
          <cell r="H488" t="str">
            <v>Cajero</v>
          </cell>
          <cell r="I488">
            <v>3</v>
          </cell>
          <cell r="J488">
            <v>50935738</v>
          </cell>
        </row>
        <row r="489">
          <cell r="C489" t="str">
            <v>50W0N</v>
          </cell>
          <cell r="D489" t="str">
            <v>OXXO-Santiago Downtown</v>
          </cell>
          <cell r="E489" t="str">
            <v>No</v>
          </cell>
          <cell r="F489" t="str">
            <v>27826868-3</v>
          </cell>
          <cell r="G489" t="str">
            <v>Salazar Delgado Aixarys Johanny</v>
          </cell>
          <cell r="H489" t="str">
            <v>Lider</v>
          </cell>
          <cell r="I489">
            <v>1</v>
          </cell>
          <cell r="J489">
            <v>50935738</v>
          </cell>
        </row>
        <row r="490">
          <cell r="C490" t="str">
            <v>50W0N</v>
          </cell>
          <cell r="D490" t="str">
            <v>OXXO-Santiago Downtown</v>
          </cell>
          <cell r="E490" t="str">
            <v>No</v>
          </cell>
          <cell r="F490" t="str">
            <v>27850764-5</v>
          </cell>
          <cell r="G490" t="str">
            <v>Diaz Nazareno Nicolle Lorena</v>
          </cell>
          <cell r="H490" t="str">
            <v>Jefe De Sala</v>
          </cell>
          <cell r="I490">
            <v>2</v>
          </cell>
          <cell r="J490">
            <v>50935738</v>
          </cell>
        </row>
        <row r="491">
          <cell r="C491" t="str">
            <v>50W0N</v>
          </cell>
          <cell r="D491" t="str">
            <v>OXXO-Santiago Downtown</v>
          </cell>
          <cell r="E491" t="str">
            <v>No</v>
          </cell>
          <cell r="F491" t="str">
            <v>28758511-K</v>
          </cell>
          <cell r="G491" t="str">
            <v>Marcano . Edmidia Josefina</v>
          </cell>
          <cell r="H491" t="str">
            <v>Cajero</v>
          </cell>
          <cell r="I491">
            <v>3</v>
          </cell>
          <cell r="J491">
            <v>50935738</v>
          </cell>
        </row>
        <row r="492">
          <cell r="C492" t="str">
            <v>50GKR</v>
          </cell>
          <cell r="D492" t="str">
            <v>OXXO-Pedro De Valdivia 3</v>
          </cell>
          <cell r="E492" t="str">
            <v>No</v>
          </cell>
          <cell r="F492" t="str">
            <v>18847870-0</v>
          </cell>
          <cell r="G492" t="str">
            <v>Huenchual Palacios Ximena Del Carmen</v>
          </cell>
          <cell r="H492" t="str">
            <v>Cajero</v>
          </cell>
          <cell r="I492">
            <v>3</v>
          </cell>
          <cell r="J492">
            <v>50927335</v>
          </cell>
        </row>
        <row r="493">
          <cell r="C493" t="str">
            <v>50GKR</v>
          </cell>
          <cell r="D493" t="str">
            <v>OXXO-Pedro De Valdivia 3</v>
          </cell>
          <cell r="E493" t="str">
            <v>No</v>
          </cell>
          <cell r="F493" t="str">
            <v>20334157-1</v>
          </cell>
          <cell r="G493" t="str">
            <v>Retamal Peralta Madeline Alejandra</v>
          </cell>
          <cell r="H493" t="str">
            <v>Cajero</v>
          </cell>
          <cell r="I493">
            <v>3</v>
          </cell>
          <cell r="J493">
            <v>50927335</v>
          </cell>
        </row>
        <row r="494">
          <cell r="C494" t="str">
            <v>50GKR</v>
          </cell>
          <cell r="D494" t="str">
            <v>OXXO-Pedro De Valdivia 3</v>
          </cell>
          <cell r="E494" t="str">
            <v>No</v>
          </cell>
          <cell r="F494" t="str">
            <v>25917477-5</v>
          </cell>
          <cell r="G494" t="str">
            <v>Castañeda Acosta Veronica Beatriz</v>
          </cell>
          <cell r="H494" t="str">
            <v>Jefe De Sala</v>
          </cell>
          <cell r="I494">
            <v>2</v>
          </cell>
          <cell r="J494">
            <v>50927335</v>
          </cell>
        </row>
        <row r="495">
          <cell r="C495" t="str">
            <v>50GKR</v>
          </cell>
          <cell r="D495" t="str">
            <v>OXXO-Pedro De Valdivia 3</v>
          </cell>
          <cell r="E495" t="str">
            <v>No</v>
          </cell>
          <cell r="F495" t="str">
            <v>26330544-2</v>
          </cell>
          <cell r="G495" t="str">
            <v>Garcia Maiz Carlos Alberto</v>
          </cell>
          <cell r="H495" t="str">
            <v>Lider</v>
          </cell>
          <cell r="I495">
            <v>1</v>
          </cell>
          <cell r="J495">
            <v>50927335</v>
          </cell>
        </row>
        <row r="496">
          <cell r="C496" t="str">
            <v>50GKR</v>
          </cell>
          <cell r="D496" t="str">
            <v>OXXO-Pedro De Valdivia 3</v>
          </cell>
          <cell r="E496" t="str">
            <v>No</v>
          </cell>
          <cell r="F496" t="str">
            <v>26771858-K</v>
          </cell>
          <cell r="G496" t="str">
            <v>Domond . Emmaniese</v>
          </cell>
          <cell r="H496" t="str">
            <v>Cajero</v>
          </cell>
          <cell r="I496">
            <v>3</v>
          </cell>
          <cell r="J496">
            <v>50927335</v>
          </cell>
        </row>
        <row r="497">
          <cell r="C497" t="str">
            <v>50GKR</v>
          </cell>
          <cell r="D497" t="str">
            <v>OXXO-Pedro De Valdivia 3</v>
          </cell>
          <cell r="E497" t="str">
            <v>No</v>
          </cell>
          <cell r="F497" t="str">
            <v>27493704-1</v>
          </cell>
          <cell r="G497" t="str">
            <v>Machado . Doanny  Del Rosario</v>
          </cell>
          <cell r="H497" t="str">
            <v>Cajero</v>
          </cell>
          <cell r="I497">
            <v>3</v>
          </cell>
          <cell r="J497">
            <v>50927335</v>
          </cell>
        </row>
        <row r="498">
          <cell r="C498" t="str">
            <v>50MAI</v>
          </cell>
          <cell r="D498" t="str">
            <v>OXXO-Plaza Maipu</v>
          </cell>
          <cell r="E498" t="str">
            <v>No</v>
          </cell>
          <cell r="F498" t="str">
            <v>12647376-1</v>
          </cell>
          <cell r="G498" t="str">
            <v>Venegas Muñoz Veronica Patricia</v>
          </cell>
          <cell r="H498" t="str">
            <v>Cajero</v>
          </cell>
          <cell r="I498">
            <v>3</v>
          </cell>
          <cell r="J498">
            <v>50683285</v>
          </cell>
        </row>
        <row r="499">
          <cell r="C499" t="str">
            <v>50MAI</v>
          </cell>
          <cell r="D499" t="str">
            <v>OXXO-Plaza Maipu</v>
          </cell>
          <cell r="E499" t="str">
            <v>No</v>
          </cell>
          <cell r="F499" t="str">
            <v>16889334-5</v>
          </cell>
          <cell r="G499" t="str">
            <v>Contreras Lara Yaneth Alexandra</v>
          </cell>
          <cell r="H499" t="str">
            <v>Jefe De Sala</v>
          </cell>
          <cell r="I499">
            <v>2</v>
          </cell>
          <cell r="J499">
            <v>50683285</v>
          </cell>
        </row>
        <row r="500">
          <cell r="C500" t="str">
            <v>50MAI</v>
          </cell>
          <cell r="D500" t="str">
            <v>OXXO-Plaza Maipu</v>
          </cell>
          <cell r="E500" t="str">
            <v>No</v>
          </cell>
          <cell r="F500" t="str">
            <v>27012199-3</v>
          </cell>
          <cell r="G500" t="str">
            <v>Oviol De Carrasquero Carolina Karitza</v>
          </cell>
          <cell r="H500" t="str">
            <v>Jefe De Sala</v>
          </cell>
          <cell r="I500">
            <v>2</v>
          </cell>
          <cell r="J500">
            <v>50683285</v>
          </cell>
        </row>
        <row r="501">
          <cell r="C501" t="str">
            <v>50MAI</v>
          </cell>
          <cell r="D501" t="str">
            <v>OXXO-Plaza Maipu</v>
          </cell>
          <cell r="E501" t="str">
            <v>No</v>
          </cell>
          <cell r="F501" t="str">
            <v>27114298-6</v>
          </cell>
          <cell r="G501" t="str">
            <v>Arape Sanchez Gledimar</v>
          </cell>
          <cell r="H501" t="str">
            <v>Cajero</v>
          </cell>
          <cell r="I501">
            <v>3</v>
          </cell>
          <cell r="J501">
            <v>50683285</v>
          </cell>
        </row>
        <row r="502">
          <cell r="C502" t="str">
            <v>50MAI</v>
          </cell>
          <cell r="D502" t="str">
            <v>OXXO-Plaza Maipu</v>
          </cell>
          <cell r="E502" t="str">
            <v>No</v>
          </cell>
          <cell r="F502" t="str">
            <v>27917250-7</v>
          </cell>
          <cell r="G502" t="str">
            <v>Sanchez Sanchez Diana</v>
          </cell>
          <cell r="H502" t="str">
            <v>Cajero</v>
          </cell>
          <cell r="I502">
            <v>3</v>
          </cell>
          <cell r="J502">
            <v>50683285</v>
          </cell>
        </row>
        <row r="503">
          <cell r="C503" t="str">
            <v>50OCA</v>
          </cell>
          <cell r="D503" t="str">
            <v>OKM-Chacabuco</v>
          </cell>
          <cell r="E503" t="str">
            <v>No</v>
          </cell>
          <cell r="F503" t="str">
            <v>11496453-0</v>
          </cell>
          <cell r="G503" t="str">
            <v>Navarrete Fraile Maria</v>
          </cell>
          <cell r="H503" t="str">
            <v>Lider</v>
          </cell>
          <cell r="I503">
            <v>1</v>
          </cell>
          <cell r="J503">
            <v>50502995</v>
          </cell>
        </row>
        <row r="504">
          <cell r="C504" t="str">
            <v>50OCA</v>
          </cell>
          <cell r="D504" t="str">
            <v>OKM-Chacabuco</v>
          </cell>
          <cell r="E504" t="str">
            <v>No</v>
          </cell>
          <cell r="F504" t="str">
            <v>16222805-6</v>
          </cell>
          <cell r="G504" t="str">
            <v>Gamonal Novoa Leslie</v>
          </cell>
          <cell r="H504" t="str">
            <v>Jefe De Sala</v>
          </cell>
          <cell r="I504">
            <v>2</v>
          </cell>
          <cell r="J504">
            <v>50502995</v>
          </cell>
        </row>
        <row r="505">
          <cell r="C505" t="str">
            <v>50OCA</v>
          </cell>
          <cell r="D505" t="str">
            <v>OKM-Chacabuco</v>
          </cell>
          <cell r="E505" t="str">
            <v>No</v>
          </cell>
          <cell r="F505" t="str">
            <v>19598250-3</v>
          </cell>
          <cell r="G505" t="str">
            <v>Gonzalez Rivera Francisca Alexis</v>
          </cell>
          <cell r="H505" t="str">
            <v>Cajero</v>
          </cell>
          <cell r="I505">
            <v>3</v>
          </cell>
          <cell r="J505">
            <v>50502995</v>
          </cell>
        </row>
        <row r="506">
          <cell r="C506" t="str">
            <v>50OCA</v>
          </cell>
          <cell r="D506" t="str">
            <v>OKM-Chacabuco</v>
          </cell>
          <cell r="E506" t="str">
            <v>No</v>
          </cell>
          <cell r="F506" t="str">
            <v>20179052-2</v>
          </cell>
          <cell r="G506" t="str">
            <v>Medel Vargas Nicol Ignacia</v>
          </cell>
          <cell r="H506" t="str">
            <v>Cajero</v>
          </cell>
          <cell r="I506">
            <v>3</v>
          </cell>
          <cell r="J506">
            <v>50502995</v>
          </cell>
        </row>
        <row r="507">
          <cell r="C507" t="str">
            <v>50OTA</v>
          </cell>
          <cell r="D507" t="str">
            <v>OXXO-Terminal Alameda</v>
          </cell>
          <cell r="E507" t="str">
            <v>No</v>
          </cell>
          <cell r="F507" t="str">
            <v>15482262-3</v>
          </cell>
          <cell r="G507" t="str">
            <v>Lillo Diaz Rosario Del Carmen</v>
          </cell>
          <cell r="H507" t="str">
            <v>Lider</v>
          </cell>
          <cell r="I507">
            <v>1</v>
          </cell>
          <cell r="J507">
            <v>50457956</v>
          </cell>
        </row>
        <row r="508">
          <cell r="C508" t="str">
            <v>50OTA</v>
          </cell>
          <cell r="D508" t="str">
            <v>OXXO-Terminal Alameda</v>
          </cell>
          <cell r="E508" t="str">
            <v>No</v>
          </cell>
          <cell r="F508" t="str">
            <v>18165925-4</v>
          </cell>
          <cell r="G508" t="str">
            <v>Shields Gonzalez Camila Marlen</v>
          </cell>
          <cell r="H508" t="str">
            <v>Jefe De Sala</v>
          </cell>
          <cell r="I508">
            <v>2</v>
          </cell>
          <cell r="J508">
            <v>50457956</v>
          </cell>
        </row>
        <row r="509">
          <cell r="C509" t="str">
            <v>50OTA</v>
          </cell>
          <cell r="D509" t="str">
            <v>OXXO-Terminal Alameda</v>
          </cell>
          <cell r="E509" t="str">
            <v>No</v>
          </cell>
          <cell r="F509" t="str">
            <v>19025969-2</v>
          </cell>
          <cell r="G509" t="str">
            <v>Carmona Gamboa Betsabe Alejandra</v>
          </cell>
          <cell r="H509" t="str">
            <v>Cajero</v>
          </cell>
          <cell r="I509">
            <v>3</v>
          </cell>
          <cell r="J509">
            <v>50457956</v>
          </cell>
        </row>
        <row r="510">
          <cell r="C510" t="str">
            <v>50OTA</v>
          </cell>
          <cell r="D510" t="str">
            <v>OXXO-Terminal Alameda</v>
          </cell>
          <cell r="E510" t="str">
            <v>No</v>
          </cell>
          <cell r="F510" t="str">
            <v>26301886-9</v>
          </cell>
          <cell r="G510" t="str">
            <v>Soirissaint Soirissaint Olson</v>
          </cell>
          <cell r="H510" t="str">
            <v>Cajero</v>
          </cell>
          <cell r="I510">
            <v>3</v>
          </cell>
          <cell r="J510">
            <v>50457956</v>
          </cell>
        </row>
        <row r="511">
          <cell r="C511" t="str">
            <v>50OTA</v>
          </cell>
          <cell r="D511" t="str">
            <v>OXXO-Terminal Alameda</v>
          </cell>
          <cell r="E511" t="str">
            <v>No</v>
          </cell>
          <cell r="F511" t="str">
            <v>27591243-3</v>
          </cell>
          <cell r="G511" t="str">
            <v>Moreno Orozco Maylin Stefany</v>
          </cell>
          <cell r="H511" t="str">
            <v>Jefe De Sala</v>
          </cell>
          <cell r="I511">
            <v>2</v>
          </cell>
          <cell r="J511">
            <v>50457956</v>
          </cell>
        </row>
        <row r="512">
          <cell r="C512" t="str">
            <v>50OTA</v>
          </cell>
          <cell r="D512" t="str">
            <v>OXXO-Terminal Alameda</v>
          </cell>
          <cell r="E512" t="str">
            <v>No</v>
          </cell>
          <cell r="F512" t="str">
            <v>28230185-7</v>
          </cell>
          <cell r="G512" t="str">
            <v>Bernal Parra Karen Juliani</v>
          </cell>
          <cell r="H512" t="str">
            <v>Jefe De Sala</v>
          </cell>
          <cell r="I512">
            <v>2</v>
          </cell>
          <cell r="J512">
            <v>50457956</v>
          </cell>
        </row>
        <row r="513">
          <cell r="C513" t="str">
            <v>50NMT</v>
          </cell>
          <cell r="D513" t="str">
            <v>OXXO-El Golf</v>
          </cell>
          <cell r="E513" t="str">
            <v>No</v>
          </cell>
          <cell r="F513" t="str">
            <v>26004522-9</v>
          </cell>
          <cell r="G513" t="str">
            <v>Gutierrez Viloria Wilmer Antonio</v>
          </cell>
          <cell r="H513" t="str">
            <v>Lider</v>
          </cell>
          <cell r="I513">
            <v>1</v>
          </cell>
          <cell r="J513">
            <v>50149910</v>
          </cell>
        </row>
        <row r="514">
          <cell r="C514" t="str">
            <v>50NMT</v>
          </cell>
          <cell r="D514" t="str">
            <v>OXXO-El Golf</v>
          </cell>
          <cell r="E514" t="str">
            <v>No</v>
          </cell>
          <cell r="F514" t="str">
            <v>26566755-4</v>
          </cell>
          <cell r="G514" t="str">
            <v>Garcia Delgado Rosa Marisol</v>
          </cell>
          <cell r="H514" t="str">
            <v>Jefe De Sala</v>
          </cell>
          <cell r="I514">
            <v>2</v>
          </cell>
          <cell r="J514">
            <v>50149910</v>
          </cell>
        </row>
        <row r="515">
          <cell r="C515" t="str">
            <v>50NMT</v>
          </cell>
          <cell r="D515" t="str">
            <v>OXXO-El Golf</v>
          </cell>
          <cell r="E515" t="str">
            <v>No</v>
          </cell>
          <cell r="F515" t="str">
            <v>26584918-0</v>
          </cell>
          <cell r="G515" t="str">
            <v>Villalba Castro Gelinoth Charlotte</v>
          </cell>
          <cell r="H515" t="str">
            <v>Jefe De Sala</v>
          </cell>
          <cell r="I515">
            <v>2</v>
          </cell>
          <cell r="J515">
            <v>50149910</v>
          </cell>
        </row>
        <row r="516">
          <cell r="C516" t="str">
            <v>50NMT</v>
          </cell>
          <cell r="D516" t="str">
            <v>OXXO-El Golf</v>
          </cell>
          <cell r="E516" t="str">
            <v>No</v>
          </cell>
          <cell r="F516" t="str">
            <v>26623504-6</v>
          </cell>
          <cell r="G516" t="str">
            <v>Ramirez Bolaño Maria Solveya</v>
          </cell>
          <cell r="H516" t="str">
            <v>Cajero</v>
          </cell>
          <cell r="I516">
            <v>3</v>
          </cell>
          <cell r="J516">
            <v>50149910</v>
          </cell>
        </row>
        <row r="517">
          <cell r="C517" t="str">
            <v>50NMT</v>
          </cell>
          <cell r="D517" t="str">
            <v>OXXO-El Golf</v>
          </cell>
          <cell r="E517" t="str">
            <v>No</v>
          </cell>
          <cell r="F517" t="str">
            <v>27941762-3</v>
          </cell>
          <cell r="G517" t="str">
            <v>Ortiz Blas Rosario Marjorin</v>
          </cell>
          <cell r="H517" t="str">
            <v>Jefe De Sala</v>
          </cell>
          <cell r="I517">
            <v>2</v>
          </cell>
          <cell r="J517">
            <v>50149910</v>
          </cell>
        </row>
        <row r="518">
          <cell r="C518" t="str">
            <v>50NMT</v>
          </cell>
          <cell r="D518" t="str">
            <v>OXXO-El Golf</v>
          </cell>
          <cell r="E518" t="str">
            <v>No</v>
          </cell>
          <cell r="F518" t="str">
            <v>28380158-6</v>
          </cell>
          <cell r="G518" t="str">
            <v>Perdomo Herran Edwin Jesus</v>
          </cell>
          <cell r="H518" t="str">
            <v>Cajero</v>
          </cell>
          <cell r="I518">
            <v>3</v>
          </cell>
          <cell r="J518">
            <v>50149910</v>
          </cell>
        </row>
        <row r="519">
          <cell r="C519" t="str">
            <v>50EFO</v>
          </cell>
          <cell r="D519" t="str">
            <v>OXXO-Enrique Foster</v>
          </cell>
          <cell r="E519" t="str">
            <v>No</v>
          </cell>
          <cell r="F519" t="str">
            <v>11643062-2</v>
          </cell>
          <cell r="G519" t="str">
            <v>Barrera Gutierrez Nubia Isabel</v>
          </cell>
          <cell r="H519" t="str">
            <v>Jefe De Sala</v>
          </cell>
          <cell r="I519">
            <v>2</v>
          </cell>
          <cell r="J519">
            <v>50141503</v>
          </cell>
        </row>
        <row r="520">
          <cell r="C520" t="str">
            <v>50EFO</v>
          </cell>
          <cell r="D520" t="str">
            <v>OXXO-Enrique Foster</v>
          </cell>
          <cell r="E520" t="str">
            <v>No</v>
          </cell>
          <cell r="F520" t="str">
            <v>21127365-8</v>
          </cell>
          <cell r="G520" t="str">
            <v>Quintana Mendez Ishtar</v>
          </cell>
          <cell r="H520" t="str">
            <v>Cajero</v>
          </cell>
          <cell r="I520">
            <v>3</v>
          </cell>
          <cell r="J520">
            <v>50141503</v>
          </cell>
        </row>
        <row r="521">
          <cell r="C521" t="str">
            <v>50EFO</v>
          </cell>
          <cell r="D521" t="str">
            <v>OXXO-Enrique Foster</v>
          </cell>
          <cell r="E521" t="str">
            <v>No</v>
          </cell>
          <cell r="F521" t="str">
            <v>21529218-5</v>
          </cell>
          <cell r="G521" t="str">
            <v>Bailey Gomez Matias Eduardo</v>
          </cell>
          <cell r="H521" t="str">
            <v>Cajero</v>
          </cell>
          <cell r="I521">
            <v>3</v>
          </cell>
          <cell r="J521">
            <v>50141503</v>
          </cell>
        </row>
        <row r="522">
          <cell r="C522" t="str">
            <v>50EFO</v>
          </cell>
          <cell r="D522" t="str">
            <v>OXXO-Enrique Foster</v>
          </cell>
          <cell r="E522" t="str">
            <v>No</v>
          </cell>
          <cell r="F522" t="str">
            <v>27224774-9</v>
          </cell>
          <cell r="G522" t="str">
            <v>Pacella Pimentel Emma Geraldine</v>
          </cell>
          <cell r="H522" t="str">
            <v>Lider</v>
          </cell>
          <cell r="I522">
            <v>1</v>
          </cell>
          <cell r="J522">
            <v>50141503</v>
          </cell>
        </row>
        <row r="523">
          <cell r="C523" t="str">
            <v>50EFO</v>
          </cell>
          <cell r="D523" t="str">
            <v>OXXO-Enrique Foster</v>
          </cell>
          <cell r="E523" t="str">
            <v>No</v>
          </cell>
          <cell r="F523" t="str">
            <v>27315817-0</v>
          </cell>
          <cell r="G523" t="str">
            <v>Guzman Mejias Lilian Coromoto</v>
          </cell>
          <cell r="H523" t="str">
            <v>Cajero</v>
          </cell>
          <cell r="I523">
            <v>3</v>
          </cell>
          <cell r="J523">
            <v>50141503</v>
          </cell>
        </row>
        <row r="524">
          <cell r="C524" t="str">
            <v>50EFO</v>
          </cell>
          <cell r="D524" t="str">
            <v>OXXO-Enrique Foster</v>
          </cell>
          <cell r="E524" t="str">
            <v>No</v>
          </cell>
          <cell r="F524" t="str">
            <v>27885106-0</v>
          </cell>
          <cell r="G524" t="str">
            <v>Ruiz Flores William Orlando</v>
          </cell>
          <cell r="H524" t="str">
            <v>Jefe De Sala</v>
          </cell>
          <cell r="I524">
            <v>2</v>
          </cell>
          <cell r="J524">
            <v>50141503</v>
          </cell>
        </row>
        <row r="525">
          <cell r="C525" t="str">
            <v>50QKJ</v>
          </cell>
          <cell r="D525" t="str">
            <v>OXXO-Lyon 2</v>
          </cell>
          <cell r="E525" t="str">
            <v>No</v>
          </cell>
          <cell r="F525" t="str">
            <v>19174040-8</v>
          </cell>
          <cell r="G525" t="str">
            <v>Chodiman Muñoz Cristian Alberto</v>
          </cell>
          <cell r="H525" t="str">
            <v>Cajero</v>
          </cell>
          <cell r="I525">
            <v>3</v>
          </cell>
          <cell r="J525">
            <v>49815616</v>
          </cell>
        </row>
        <row r="526">
          <cell r="C526" t="str">
            <v>50QKJ</v>
          </cell>
          <cell r="D526" t="str">
            <v>OXXO-Lyon 2</v>
          </cell>
          <cell r="E526" t="str">
            <v>No</v>
          </cell>
          <cell r="F526" t="str">
            <v>19705971-0</v>
          </cell>
          <cell r="G526" t="str">
            <v>Cerda Estay Josefina Danae</v>
          </cell>
          <cell r="H526" t="str">
            <v>Lider</v>
          </cell>
          <cell r="I526">
            <v>1</v>
          </cell>
          <cell r="J526">
            <v>49815616</v>
          </cell>
        </row>
        <row r="527">
          <cell r="C527" t="str">
            <v>50QKJ</v>
          </cell>
          <cell r="D527" t="str">
            <v>OXXO-Lyon 2</v>
          </cell>
          <cell r="E527" t="str">
            <v>No</v>
          </cell>
          <cell r="F527" t="str">
            <v>26716877-6</v>
          </cell>
          <cell r="G527" t="str">
            <v>Mata Sugaya Mathias</v>
          </cell>
          <cell r="H527" t="str">
            <v>Cajero</v>
          </cell>
          <cell r="I527">
            <v>3</v>
          </cell>
          <cell r="J527">
            <v>49815616</v>
          </cell>
        </row>
        <row r="528">
          <cell r="C528" t="str">
            <v>50QKJ</v>
          </cell>
          <cell r="D528" t="str">
            <v>OXXO-Lyon 2</v>
          </cell>
          <cell r="E528" t="str">
            <v>No</v>
          </cell>
          <cell r="F528" t="str">
            <v>26802649-5</v>
          </cell>
          <cell r="G528" t="str">
            <v>Monrroy De Cesaris Patricia</v>
          </cell>
          <cell r="H528" t="str">
            <v>Cajero</v>
          </cell>
          <cell r="I528">
            <v>3</v>
          </cell>
          <cell r="J528">
            <v>49815616</v>
          </cell>
        </row>
        <row r="529">
          <cell r="C529" t="str">
            <v>50QKJ</v>
          </cell>
          <cell r="D529" t="str">
            <v>OXXO-Lyon 2</v>
          </cell>
          <cell r="E529" t="str">
            <v>No</v>
          </cell>
          <cell r="F529" t="str">
            <v>27214290-4</v>
          </cell>
          <cell r="G529" t="str">
            <v>Molina Bochaga Kenneth Stuarst</v>
          </cell>
          <cell r="H529" t="str">
            <v>Cajero</v>
          </cell>
          <cell r="I529">
            <v>3</v>
          </cell>
          <cell r="J529">
            <v>49815616</v>
          </cell>
        </row>
        <row r="530">
          <cell r="C530" t="str">
            <v>50QKJ</v>
          </cell>
          <cell r="D530" t="str">
            <v>OXXO-Lyon 2</v>
          </cell>
          <cell r="E530" t="str">
            <v>No</v>
          </cell>
          <cell r="F530" t="str">
            <v>27962088-7</v>
          </cell>
          <cell r="G530" t="str">
            <v>Foronda Gutierrez Janeth Zulema</v>
          </cell>
          <cell r="H530" t="str">
            <v>Cajero</v>
          </cell>
          <cell r="I530">
            <v>3</v>
          </cell>
          <cell r="J530">
            <v>49815616</v>
          </cell>
        </row>
        <row r="531">
          <cell r="C531" t="str">
            <v>50OTL</v>
          </cell>
          <cell r="D531" t="str">
            <v>OXXO-Toledo 1</v>
          </cell>
          <cell r="E531" t="str">
            <v>No</v>
          </cell>
          <cell r="F531" t="str">
            <v>17611723-0</v>
          </cell>
          <cell r="G531" t="str">
            <v>Pezoa Gonzalez Macarena Andrea</v>
          </cell>
          <cell r="H531" t="str">
            <v>Jefe De Sala</v>
          </cell>
          <cell r="I531">
            <v>2</v>
          </cell>
          <cell r="J531">
            <v>49644473</v>
          </cell>
        </row>
        <row r="532">
          <cell r="C532" t="str">
            <v>50OTL</v>
          </cell>
          <cell r="D532" t="str">
            <v>OXXO-Toledo 1</v>
          </cell>
          <cell r="E532" t="str">
            <v>No</v>
          </cell>
          <cell r="F532" t="str">
            <v>18481260-6</v>
          </cell>
          <cell r="G532" t="str">
            <v>Arrue Alvarez Nicolas Eugenio</v>
          </cell>
          <cell r="H532" t="str">
            <v>Cajero</v>
          </cell>
          <cell r="I532">
            <v>3</v>
          </cell>
          <cell r="J532">
            <v>49644473</v>
          </cell>
        </row>
        <row r="533">
          <cell r="C533" t="str">
            <v>50OTL</v>
          </cell>
          <cell r="D533" t="str">
            <v>OXXO-Toledo 1</v>
          </cell>
          <cell r="E533" t="str">
            <v>No</v>
          </cell>
          <cell r="F533" t="str">
            <v>20552324-3</v>
          </cell>
          <cell r="G533" t="str">
            <v>Riquelme Gonzalez Yerko Ignacio</v>
          </cell>
          <cell r="H533" t="str">
            <v>Cajero</v>
          </cell>
          <cell r="I533">
            <v>3</v>
          </cell>
          <cell r="J533">
            <v>49644473</v>
          </cell>
        </row>
        <row r="534">
          <cell r="C534" t="str">
            <v>50OTL</v>
          </cell>
          <cell r="D534" t="str">
            <v>OXXO-Toledo 1</v>
          </cell>
          <cell r="E534" t="str">
            <v>No</v>
          </cell>
          <cell r="F534" t="str">
            <v>25809292-9</v>
          </cell>
          <cell r="G534" t="str">
            <v>Lopez Lopez Mariam Carolina</v>
          </cell>
          <cell r="H534" t="str">
            <v>Lider</v>
          </cell>
          <cell r="I534">
            <v>1</v>
          </cell>
          <cell r="J534">
            <v>49644473</v>
          </cell>
        </row>
        <row r="535">
          <cell r="C535" t="str">
            <v>50OTL</v>
          </cell>
          <cell r="D535" t="str">
            <v>OXXO-Toledo 1</v>
          </cell>
          <cell r="E535" t="str">
            <v>No</v>
          </cell>
          <cell r="F535" t="str">
            <v>28746237-9</v>
          </cell>
          <cell r="G535" t="str">
            <v>Silva Ledo Lara Ailen</v>
          </cell>
          <cell r="H535" t="str">
            <v>Cajero</v>
          </cell>
          <cell r="I535">
            <v>3</v>
          </cell>
          <cell r="J535">
            <v>49644473</v>
          </cell>
        </row>
        <row r="536">
          <cell r="C536" t="str">
            <v>50OVL</v>
          </cell>
          <cell r="D536" t="str">
            <v>OKM-Villuco</v>
          </cell>
          <cell r="E536" t="str">
            <v>No</v>
          </cell>
          <cell r="F536" t="str">
            <v>15590802-5</v>
          </cell>
          <cell r="G536" t="str">
            <v>Pradenas Mondaca Nelly Scarlette</v>
          </cell>
          <cell r="H536" t="str">
            <v>Cajero</v>
          </cell>
          <cell r="I536">
            <v>3</v>
          </cell>
          <cell r="J536">
            <v>49160619</v>
          </cell>
        </row>
        <row r="537">
          <cell r="C537" t="str">
            <v>50OVL</v>
          </cell>
          <cell r="D537" t="str">
            <v>OKM-Villuco</v>
          </cell>
          <cell r="E537" t="str">
            <v>No</v>
          </cell>
          <cell r="F537" t="str">
            <v>17617038-7</v>
          </cell>
          <cell r="G537" t="str">
            <v>Sanhueza Escobar Rebeca</v>
          </cell>
          <cell r="H537" t="str">
            <v>Cajero</v>
          </cell>
          <cell r="I537">
            <v>3</v>
          </cell>
          <cell r="J537">
            <v>49160619</v>
          </cell>
        </row>
        <row r="538">
          <cell r="C538" t="str">
            <v>50OVL</v>
          </cell>
          <cell r="D538" t="str">
            <v>OKM-Villuco</v>
          </cell>
          <cell r="E538" t="str">
            <v>No</v>
          </cell>
          <cell r="F538" t="str">
            <v>17843064-5</v>
          </cell>
          <cell r="G538" t="str">
            <v>Jara Alvez Julio Cesar</v>
          </cell>
          <cell r="H538" t="str">
            <v>Jefe De Sala</v>
          </cell>
          <cell r="I538">
            <v>2</v>
          </cell>
          <cell r="J538">
            <v>49160619</v>
          </cell>
        </row>
        <row r="539">
          <cell r="C539" t="str">
            <v>50OVL</v>
          </cell>
          <cell r="D539" t="str">
            <v>OKM-Villuco</v>
          </cell>
          <cell r="E539" t="str">
            <v>No</v>
          </cell>
          <cell r="F539" t="str">
            <v>18419701-4</v>
          </cell>
          <cell r="G539" t="str">
            <v>Maldonado Valenzuela Diego Antonio</v>
          </cell>
          <cell r="H539" t="str">
            <v>Cajero</v>
          </cell>
          <cell r="I539">
            <v>3</v>
          </cell>
          <cell r="J539">
            <v>49160619</v>
          </cell>
        </row>
        <row r="540">
          <cell r="C540" t="str">
            <v>50OVL</v>
          </cell>
          <cell r="D540" t="str">
            <v>OKM-Villuco</v>
          </cell>
          <cell r="E540" t="str">
            <v>No</v>
          </cell>
          <cell r="F540" t="str">
            <v>26210617-9</v>
          </cell>
          <cell r="G540" t="str">
            <v>Delgado Herrera Juleisy Melianny</v>
          </cell>
          <cell r="H540" t="str">
            <v>Lider</v>
          </cell>
          <cell r="I540">
            <v>1</v>
          </cell>
          <cell r="J540">
            <v>49160619</v>
          </cell>
        </row>
        <row r="541">
          <cell r="C541" t="str">
            <v>50OVL</v>
          </cell>
          <cell r="D541" t="str">
            <v>OKM-Villuco</v>
          </cell>
          <cell r="E541" t="str">
            <v>No</v>
          </cell>
          <cell r="F541" t="str">
            <v>27370190-7</v>
          </cell>
          <cell r="G541" t="str">
            <v>Hernandez Cardenas Leidy Yohana</v>
          </cell>
          <cell r="H541" t="str">
            <v>Jefe De Sala</v>
          </cell>
          <cell r="I541">
            <v>2</v>
          </cell>
          <cell r="J541">
            <v>49160619</v>
          </cell>
        </row>
        <row r="542">
          <cell r="C542" t="str">
            <v>50EDF</v>
          </cell>
          <cell r="D542" t="str">
            <v>OXXO-Ejercito - Alameda</v>
          </cell>
          <cell r="E542" t="str">
            <v>No</v>
          </cell>
          <cell r="F542" t="str">
            <v>22075248-8</v>
          </cell>
          <cell r="G542" t="str">
            <v>Peralta Rivera Bridgeth Linnet</v>
          </cell>
          <cell r="H542" t="str">
            <v>Cajero</v>
          </cell>
          <cell r="I542">
            <v>3</v>
          </cell>
          <cell r="J542">
            <v>48741259</v>
          </cell>
        </row>
        <row r="543">
          <cell r="C543" t="str">
            <v>50EDF</v>
          </cell>
          <cell r="D543" t="str">
            <v>OXXO-Ejercito - Alameda</v>
          </cell>
          <cell r="E543" t="str">
            <v>No</v>
          </cell>
          <cell r="F543" t="str">
            <v>25470671-K</v>
          </cell>
          <cell r="G543" t="str">
            <v>Troconis Meza Natacha Paola</v>
          </cell>
          <cell r="H543" t="str">
            <v>Lider</v>
          </cell>
          <cell r="I543">
            <v>1</v>
          </cell>
          <cell r="J543">
            <v>48741259</v>
          </cell>
        </row>
        <row r="544">
          <cell r="C544" t="str">
            <v>50EDF</v>
          </cell>
          <cell r="D544" t="str">
            <v>OXXO-Ejercito - Alameda</v>
          </cell>
          <cell r="E544" t="str">
            <v>No</v>
          </cell>
          <cell r="F544" t="str">
            <v>26545240-K</v>
          </cell>
          <cell r="G544" t="str">
            <v>Arenas Espinoza Nelli</v>
          </cell>
          <cell r="H544" t="str">
            <v>Cajero</v>
          </cell>
          <cell r="I544">
            <v>3</v>
          </cell>
          <cell r="J544">
            <v>48741259</v>
          </cell>
        </row>
        <row r="545">
          <cell r="C545" t="str">
            <v>50EDF</v>
          </cell>
          <cell r="D545" t="str">
            <v>OXXO-Ejercito - Alameda</v>
          </cell>
          <cell r="E545" t="str">
            <v>No</v>
          </cell>
          <cell r="F545" t="str">
            <v>27086202-0</v>
          </cell>
          <cell r="G545" t="str">
            <v>Vazquez Espinoza Maria Jose</v>
          </cell>
          <cell r="H545" t="str">
            <v>Cajero</v>
          </cell>
          <cell r="I545">
            <v>3</v>
          </cell>
          <cell r="J545">
            <v>48741259</v>
          </cell>
        </row>
        <row r="546">
          <cell r="C546" t="str">
            <v>50EDF</v>
          </cell>
          <cell r="D546" t="str">
            <v>OXXO-Ejercito - Alameda</v>
          </cell>
          <cell r="E546" t="str">
            <v>No</v>
          </cell>
          <cell r="F546" t="str">
            <v>27803987-0</v>
          </cell>
          <cell r="G546" t="str">
            <v>Gonzalez Marcano Nieves</v>
          </cell>
          <cell r="H546" t="str">
            <v>Jefe De Sala</v>
          </cell>
          <cell r="I546">
            <v>2</v>
          </cell>
          <cell r="J546">
            <v>48741259</v>
          </cell>
        </row>
        <row r="547">
          <cell r="C547" t="str">
            <v>50OST</v>
          </cell>
          <cell r="D547" t="str">
            <v>OKM-Subcentro</v>
          </cell>
          <cell r="E547" t="str">
            <v>No</v>
          </cell>
          <cell r="F547" t="str">
            <v>20648331-8</v>
          </cell>
          <cell r="G547" t="str">
            <v>Nuñez Pino Maria Paz</v>
          </cell>
          <cell r="H547" t="str">
            <v>Cajero</v>
          </cell>
          <cell r="I547">
            <v>3</v>
          </cell>
          <cell r="J547">
            <v>48491307</v>
          </cell>
        </row>
        <row r="548">
          <cell r="C548" t="str">
            <v>50OST</v>
          </cell>
          <cell r="D548" t="str">
            <v>OKM-Subcentro</v>
          </cell>
          <cell r="E548" t="str">
            <v>No</v>
          </cell>
          <cell r="F548" t="str">
            <v>27441982-2</v>
          </cell>
          <cell r="G548" t="str">
            <v>Hernandez Duarte Yanet Esmorelly</v>
          </cell>
          <cell r="H548" t="str">
            <v>Cajero</v>
          </cell>
          <cell r="I548">
            <v>3</v>
          </cell>
          <cell r="J548">
            <v>48491307</v>
          </cell>
        </row>
        <row r="549">
          <cell r="C549" t="str">
            <v>50OST</v>
          </cell>
          <cell r="D549" t="str">
            <v>OKM-Subcentro</v>
          </cell>
          <cell r="E549" t="str">
            <v>No</v>
          </cell>
          <cell r="F549" t="str">
            <v>27632250-8</v>
          </cell>
          <cell r="G549" t="str">
            <v>Carrion Sanchez Keyla Pamela</v>
          </cell>
          <cell r="H549" t="str">
            <v>Lider</v>
          </cell>
          <cell r="I549">
            <v>1</v>
          </cell>
          <cell r="J549">
            <v>48491307</v>
          </cell>
        </row>
        <row r="550">
          <cell r="C550" t="str">
            <v>50VLX</v>
          </cell>
          <cell r="D550" t="str">
            <v>OXXO-Apoquindo 1</v>
          </cell>
          <cell r="E550" t="str">
            <v>No</v>
          </cell>
          <cell r="F550" t="str">
            <v>20327713-K</v>
          </cell>
          <cell r="G550" t="str">
            <v>Robles Quiroz Jessica Alejandra</v>
          </cell>
          <cell r="H550" t="str">
            <v>Cajero</v>
          </cell>
          <cell r="I550">
            <v>3</v>
          </cell>
          <cell r="J550">
            <v>48439556</v>
          </cell>
        </row>
        <row r="551">
          <cell r="C551" t="str">
            <v>50VLX</v>
          </cell>
          <cell r="D551" t="str">
            <v>OXXO-Apoquindo 1</v>
          </cell>
          <cell r="E551" t="str">
            <v>No</v>
          </cell>
          <cell r="F551" t="str">
            <v>20685764-1</v>
          </cell>
          <cell r="G551" t="str">
            <v>Vallejos Vallejos Jamie Andrea</v>
          </cell>
          <cell r="H551" t="str">
            <v>Jefe De Sala</v>
          </cell>
          <cell r="I551">
            <v>2</v>
          </cell>
          <cell r="J551">
            <v>48439556</v>
          </cell>
        </row>
        <row r="552">
          <cell r="C552" t="str">
            <v>50VLX</v>
          </cell>
          <cell r="D552" t="str">
            <v>OXXO-Apoquindo 1</v>
          </cell>
          <cell r="E552" t="str">
            <v>No</v>
          </cell>
          <cell r="F552" t="str">
            <v>26132278-1</v>
          </cell>
          <cell r="G552" t="str">
            <v>Alvarez Monagas Maria Victoria</v>
          </cell>
          <cell r="H552" t="str">
            <v>Lider</v>
          </cell>
          <cell r="I552">
            <v>1</v>
          </cell>
          <cell r="J552">
            <v>48439556</v>
          </cell>
        </row>
        <row r="553">
          <cell r="C553" t="str">
            <v>50VLX</v>
          </cell>
          <cell r="D553" t="str">
            <v>OXXO-Apoquindo 1</v>
          </cell>
          <cell r="E553" t="str">
            <v>No</v>
          </cell>
          <cell r="F553" t="str">
            <v>26810709-6</v>
          </cell>
          <cell r="G553" t="str">
            <v>Nava Rodriguez Sonia Del Carmen</v>
          </cell>
          <cell r="H553" t="str">
            <v>Cajero</v>
          </cell>
          <cell r="I553">
            <v>3</v>
          </cell>
          <cell r="J553">
            <v>48439556</v>
          </cell>
        </row>
        <row r="554">
          <cell r="C554" t="str">
            <v>50VLX</v>
          </cell>
          <cell r="D554" t="str">
            <v>OXXO-Apoquindo 1</v>
          </cell>
          <cell r="E554" t="str">
            <v>No</v>
          </cell>
          <cell r="F554" t="str">
            <v>27124262-K</v>
          </cell>
          <cell r="G554" t="str">
            <v>Arcila Hidalgo Yeinaibeth</v>
          </cell>
          <cell r="H554" t="str">
            <v>Cajero</v>
          </cell>
          <cell r="I554">
            <v>3</v>
          </cell>
          <cell r="J554">
            <v>48439556</v>
          </cell>
        </row>
        <row r="555">
          <cell r="C555" t="str">
            <v>50VLX</v>
          </cell>
          <cell r="D555" t="str">
            <v>OXXO-Apoquindo 1</v>
          </cell>
          <cell r="E555" t="str">
            <v>No</v>
          </cell>
          <cell r="F555" t="str">
            <v>27914524-0</v>
          </cell>
          <cell r="G555" t="str">
            <v>Mujica Carrero Humberto Jose</v>
          </cell>
          <cell r="H555" t="str">
            <v>Jefe De Sala</v>
          </cell>
          <cell r="I555">
            <v>2</v>
          </cell>
          <cell r="J555">
            <v>48439556</v>
          </cell>
        </row>
        <row r="556">
          <cell r="C556" t="str">
            <v>50ORS</v>
          </cell>
          <cell r="D556" t="str">
            <v>OXXO-Rosario Sur 2</v>
          </cell>
          <cell r="E556" t="str">
            <v>No</v>
          </cell>
          <cell r="F556" t="str">
            <v>18994358-K</v>
          </cell>
          <cell r="G556" t="str">
            <v>Villarroel Escobar Katiuska</v>
          </cell>
          <cell r="H556" t="str">
            <v>Cajero</v>
          </cell>
          <cell r="I556">
            <v>3</v>
          </cell>
          <cell r="J556">
            <v>48176820</v>
          </cell>
        </row>
        <row r="557">
          <cell r="C557" t="str">
            <v>50ORS</v>
          </cell>
          <cell r="D557" t="str">
            <v>OXXO-Rosario Sur 2</v>
          </cell>
          <cell r="E557" t="str">
            <v>No</v>
          </cell>
          <cell r="F557" t="str">
            <v>23675457-K</v>
          </cell>
          <cell r="G557" t="str">
            <v>Cruz Vasquez Susana Mayde</v>
          </cell>
          <cell r="H557" t="str">
            <v>Cajero</v>
          </cell>
          <cell r="I557">
            <v>3</v>
          </cell>
          <cell r="J557">
            <v>48176820</v>
          </cell>
        </row>
        <row r="558">
          <cell r="C558" t="str">
            <v>50ORS</v>
          </cell>
          <cell r="D558" t="str">
            <v>OXXO-Rosario Sur 2</v>
          </cell>
          <cell r="E558" t="str">
            <v>No</v>
          </cell>
          <cell r="F558" t="str">
            <v>25951000-7</v>
          </cell>
          <cell r="G558" t="str">
            <v>Uzcategui Leal Elena Del Carmen</v>
          </cell>
          <cell r="H558" t="str">
            <v>Jefe De Sala</v>
          </cell>
          <cell r="I558">
            <v>2</v>
          </cell>
          <cell r="J558">
            <v>48176820</v>
          </cell>
        </row>
        <row r="559">
          <cell r="C559" t="str">
            <v>50ORS</v>
          </cell>
          <cell r="D559" t="str">
            <v>OXXO-Rosario Sur 2</v>
          </cell>
          <cell r="E559" t="str">
            <v>No</v>
          </cell>
          <cell r="F559" t="str">
            <v>27034663-4</v>
          </cell>
          <cell r="G559" t="str">
            <v>Rojas Segovia Ariam Daniela</v>
          </cell>
          <cell r="H559" t="str">
            <v>Lider</v>
          </cell>
          <cell r="I559">
            <v>1</v>
          </cell>
          <cell r="J559">
            <v>48176820</v>
          </cell>
        </row>
        <row r="560">
          <cell r="C560" t="str">
            <v>50ORS</v>
          </cell>
          <cell r="D560" t="str">
            <v>OXXO-Rosario Sur 2</v>
          </cell>
          <cell r="E560" t="str">
            <v>No</v>
          </cell>
          <cell r="F560" t="str">
            <v>27113497-5</v>
          </cell>
          <cell r="G560" t="str">
            <v>Barreto Franco Angel Antonio</v>
          </cell>
          <cell r="H560" t="str">
            <v>Jefe De Sala</v>
          </cell>
          <cell r="I560">
            <v>2</v>
          </cell>
          <cell r="J560">
            <v>48176820</v>
          </cell>
        </row>
        <row r="561">
          <cell r="C561" t="str">
            <v>50LRA</v>
          </cell>
          <cell r="D561" t="str">
            <v>OXXO-Lira 43</v>
          </cell>
          <cell r="E561" t="str">
            <v>No</v>
          </cell>
          <cell r="F561" t="str">
            <v>13587179-6</v>
          </cell>
          <cell r="G561" t="str">
            <v>Medina Gutierrez Carolina Andrea</v>
          </cell>
          <cell r="H561" t="str">
            <v>Cajero</v>
          </cell>
          <cell r="I561">
            <v>3</v>
          </cell>
          <cell r="J561">
            <v>47738510</v>
          </cell>
        </row>
        <row r="562">
          <cell r="C562" t="str">
            <v>50LRA</v>
          </cell>
          <cell r="D562" t="str">
            <v>OXXO-Lira 43</v>
          </cell>
          <cell r="E562" t="str">
            <v>No</v>
          </cell>
          <cell r="F562" t="str">
            <v>26899100-K</v>
          </cell>
          <cell r="G562" t="str">
            <v>Castillo Rodriguez Marian Roselin</v>
          </cell>
          <cell r="H562" t="str">
            <v>Lider</v>
          </cell>
          <cell r="I562">
            <v>1</v>
          </cell>
          <cell r="J562">
            <v>47738510</v>
          </cell>
        </row>
        <row r="563">
          <cell r="C563" t="str">
            <v>50LRA</v>
          </cell>
          <cell r="D563" t="str">
            <v>OXXO-Lira 43</v>
          </cell>
          <cell r="E563" t="str">
            <v>No</v>
          </cell>
          <cell r="F563" t="str">
            <v>27162465-4</v>
          </cell>
          <cell r="G563" t="str">
            <v>Nuñez Aliza Alondra Maria</v>
          </cell>
          <cell r="H563" t="str">
            <v>Jefe De Sala</v>
          </cell>
          <cell r="I563">
            <v>2</v>
          </cell>
          <cell r="J563">
            <v>47738510</v>
          </cell>
        </row>
        <row r="564">
          <cell r="C564" t="str">
            <v>50LRA</v>
          </cell>
          <cell r="D564" t="str">
            <v>OXXO-Lira 43</v>
          </cell>
          <cell r="E564" t="str">
            <v>No</v>
          </cell>
          <cell r="F564" t="str">
            <v>27898465-6</v>
          </cell>
          <cell r="G564" t="str">
            <v>Fragoza Acosta Barbara Victoria</v>
          </cell>
          <cell r="H564" t="str">
            <v>Cajero</v>
          </cell>
          <cell r="I564">
            <v>3</v>
          </cell>
          <cell r="J564">
            <v>47738510</v>
          </cell>
        </row>
        <row r="565">
          <cell r="C565" t="str">
            <v>50LRA</v>
          </cell>
          <cell r="D565" t="str">
            <v>OXXO-Lira 43</v>
          </cell>
          <cell r="E565" t="str">
            <v>No</v>
          </cell>
          <cell r="F565" t="str">
            <v>28112983-K</v>
          </cell>
          <cell r="G565" t="str">
            <v>Gil Urdaneta Duglianny</v>
          </cell>
          <cell r="H565" t="str">
            <v>Cajero</v>
          </cell>
          <cell r="I565">
            <v>3</v>
          </cell>
          <cell r="J565">
            <v>47738510</v>
          </cell>
        </row>
        <row r="566">
          <cell r="C566" t="str">
            <v>50863</v>
          </cell>
          <cell r="D566" t="str">
            <v>OXXO-Concha Y Toro</v>
          </cell>
          <cell r="E566" t="str">
            <v>No</v>
          </cell>
          <cell r="F566" t="str">
            <v>10309241-8</v>
          </cell>
          <cell r="G566" t="str">
            <v>Donoso Gonzalez Jacqueline Silvia</v>
          </cell>
          <cell r="H566" t="str">
            <v>Jefe De Sala</v>
          </cell>
          <cell r="I566">
            <v>2</v>
          </cell>
          <cell r="J566">
            <v>47160917</v>
          </cell>
        </row>
        <row r="567">
          <cell r="C567" t="str">
            <v>50863</v>
          </cell>
          <cell r="D567" t="str">
            <v>OXXO-Concha Y Toro</v>
          </cell>
          <cell r="E567" t="str">
            <v>No</v>
          </cell>
          <cell r="F567" t="str">
            <v>13035551-K</v>
          </cell>
          <cell r="G567" t="str">
            <v>Zepeda Inostroza Marcela Alejandra</v>
          </cell>
          <cell r="H567" t="str">
            <v>Lider</v>
          </cell>
          <cell r="I567">
            <v>1</v>
          </cell>
          <cell r="J567">
            <v>47160917</v>
          </cell>
        </row>
        <row r="568">
          <cell r="C568" t="str">
            <v>50863</v>
          </cell>
          <cell r="D568" t="str">
            <v>OXXO-Concha Y Toro</v>
          </cell>
          <cell r="E568" t="str">
            <v>No</v>
          </cell>
          <cell r="F568" t="str">
            <v>13705432-9</v>
          </cell>
          <cell r="G568" t="str">
            <v>Alegria Orellana Karen Raquel</v>
          </cell>
          <cell r="H568" t="str">
            <v>Cajero</v>
          </cell>
          <cell r="I568">
            <v>3</v>
          </cell>
          <cell r="J568">
            <v>47160917</v>
          </cell>
        </row>
        <row r="569">
          <cell r="C569" t="str">
            <v>50863</v>
          </cell>
          <cell r="D569" t="str">
            <v>OXXO-Concha Y Toro</v>
          </cell>
          <cell r="E569" t="str">
            <v>No</v>
          </cell>
          <cell r="F569" t="str">
            <v>14671964-3</v>
          </cell>
          <cell r="G569" t="str">
            <v>De Luzia Rodriguez Pamila Helena</v>
          </cell>
          <cell r="H569" t="str">
            <v>Cajero</v>
          </cell>
          <cell r="I569">
            <v>3</v>
          </cell>
          <cell r="J569">
            <v>47160917</v>
          </cell>
        </row>
        <row r="570">
          <cell r="C570" t="str">
            <v>50863</v>
          </cell>
          <cell r="D570" t="str">
            <v>OXXO-Concha Y Toro</v>
          </cell>
          <cell r="E570" t="str">
            <v>No</v>
          </cell>
          <cell r="F570" t="str">
            <v>19223371-2</v>
          </cell>
          <cell r="G570" t="str">
            <v>Sanchez Cornejo Matias Anibal</v>
          </cell>
          <cell r="H570" t="str">
            <v>Jefe De Sala</v>
          </cell>
          <cell r="I570">
            <v>2</v>
          </cell>
          <cell r="J570">
            <v>47160917</v>
          </cell>
        </row>
        <row r="571">
          <cell r="C571" t="str">
            <v>50OPD</v>
          </cell>
          <cell r="D571" t="str">
            <v>OKM-Providencia</v>
          </cell>
          <cell r="E571" t="str">
            <v>No</v>
          </cell>
          <cell r="F571" t="str">
            <v>16130940-0</v>
          </cell>
          <cell r="G571" t="str">
            <v>Gomez Gonzalez Marcia Andrea</v>
          </cell>
          <cell r="H571" t="str">
            <v>Lider</v>
          </cell>
          <cell r="I571">
            <v>1</v>
          </cell>
          <cell r="J571">
            <v>47107049</v>
          </cell>
        </row>
        <row r="572">
          <cell r="C572" t="str">
            <v>50OPD</v>
          </cell>
          <cell r="D572" t="str">
            <v>OKM-Providencia</v>
          </cell>
          <cell r="E572" t="str">
            <v>No</v>
          </cell>
          <cell r="F572" t="str">
            <v>18529178-2</v>
          </cell>
          <cell r="G572" t="str">
            <v>Riquelme Meza Camila Veronica</v>
          </cell>
          <cell r="H572" t="str">
            <v>Cajero</v>
          </cell>
          <cell r="I572">
            <v>3</v>
          </cell>
          <cell r="J572">
            <v>47107049</v>
          </cell>
        </row>
        <row r="573">
          <cell r="C573" t="str">
            <v>50OPD</v>
          </cell>
          <cell r="D573" t="str">
            <v>OKM-Providencia</v>
          </cell>
          <cell r="E573" t="str">
            <v>No</v>
          </cell>
          <cell r="F573" t="str">
            <v>19025031-8</v>
          </cell>
          <cell r="G573" t="str">
            <v>Garrido Tapia Ana Maria</v>
          </cell>
          <cell r="H573" t="str">
            <v>Jefe De Sala</v>
          </cell>
          <cell r="I573">
            <v>2</v>
          </cell>
          <cell r="J573">
            <v>47107049</v>
          </cell>
        </row>
        <row r="574">
          <cell r="C574" t="str">
            <v>50OPD</v>
          </cell>
          <cell r="D574" t="str">
            <v>OKM-Providencia</v>
          </cell>
          <cell r="E574" t="str">
            <v>No</v>
          </cell>
          <cell r="F574" t="str">
            <v>21090695-9</v>
          </cell>
          <cell r="G574" t="str">
            <v>Bustamante Donoso Ian Aaron</v>
          </cell>
          <cell r="H574" t="str">
            <v>Cajero</v>
          </cell>
          <cell r="I574">
            <v>3</v>
          </cell>
          <cell r="J574">
            <v>47107049</v>
          </cell>
        </row>
        <row r="575">
          <cell r="C575" t="str">
            <v>50OPD</v>
          </cell>
          <cell r="D575" t="str">
            <v>OKM-Providencia</v>
          </cell>
          <cell r="E575" t="str">
            <v>No</v>
          </cell>
          <cell r="F575" t="str">
            <v>27907921-3</v>
          </cell>
          <cell r="G575" t="str">
            <v>Caguaripano Risso Jesus</v>
          </cell>
          <cell r="H575" t="str">
            <v>Jefe De Sala</v>
          </cell>
          <cell r="I575">
            <v>2</v>
          </cell>
          <cell r="J575">
            <v>47107049</v>
          </cell>
        </row>
        <row r="576">
          <cell r="C576" t="str">
            <v>5019M</v>
          </cell>
          <cell r="D576" t="str">
            <v>OXXO-Los Militares 2</v>
          </cell>
          <cell r="E576" t="str">
            <v>No</v>
          </cell>
          <cell r="F576" t="str">
            <v>14514141-9</v>
          </cell>
          <cell r="G576" t="str">
            <v>Roldan Celis Jeannethe Elizabeth</v>
          </cell>
          <cell r="H576" t="str">
            <v>Cajero</v>
          </cell>
          <cell r="I576">
            <v>3</v>
          </cell>
          <cell r="J576">
            <v>46952426</v>
          </cell>
        </row>
        <row r="577">
          <cell r="C577" t="str">
            <v>5019M</v>
          </cell>
          <cell r="D577" t="str">
            <v>OXXO-Los Militares 2</v>
          </cell>
          <cell r="E577" t="str">
            <v>No</v>
          </cell>
          <cell r="F577" t="str">
            <v>17970571-0</v>
          </cell>
          <cell r="G577" t="str">
            <v>Barahona Puingan Laura Macarena</v>
          </cell>
          <cell r="H577" t="str">
            <v>Lider</v>
          </cell>
          <cell r="I577">
            <v>1</v>
          </cell>
          <cell r="J577">
            <v>46952426</v>
          </cell>
        </row>
        <row r="578">
          <cell r="C578" t="str">
            <v>5019M</v>
          </cell>
          <cell r="D578" t="str">
            <v>OXXO-Los Militares 2</v>
          </cell>
          <cell r="E578" t="str">
            <v>No</v>
          </cell>
          <cell r="F578" t="str">
            <v>18993303-7</v>
          </cell>
          <cell r="G578" t="str">
            <v>Inostroza Aguilar Bryan Martin</v>
          </cell>
          <cell r="H578" t="str">
            <v>Jefe De Sala</v>
          </cell>
          <cell r="I578">
            <v>2</v>
          </cell>
          <cell r="J578">
            <v>46952426</v>
          </cell>
        </row>
        <row r="579">
          <cell r="C579" t="str">
            <v>5019M</v>
          </cell>
          <cell r="D579" t="str">
            <v>OXXO-Los Militares 2</v>
          </cell>
          <cell r="E579" t="str">
            <v>No</v>
          </cell>
          <cell r="F579" t="str">
            <v>19063456-6</v>
          </cell>
          <cell r="G579" t="str">
            <v>Campos Contreras Francisca Carolina</v>
          </cell>
          <cell r="H579" t="str">
            <v>Cajero</v>
          </cell>
          <cell r="I579">
            <v>3</v>
          </cell>
          <cell r="J579">
            <v>46952426</v>
          </cell>
        </row>
        <row r="580">
          <cell r="C580" t="str">
            <v>5019M</v>
          </cell>
          <cell r="D580" t="str">
            <v>OXXO-Los Militares 2</v>
          </cell>
          <cell r="E580" t="str">
            <v>No</v>
          </cell>
          <cell r="F580" t="str">
            <v>21813420-3</v>
          </cell>
          <cell r="G580" t="str">
            <v>Arana Espinoza Maria Guadalupe</v>
          </cell>
          <cell r="H580" t="str">
            <v>Jefe De Sala</v>
          </cell>
          <cell r="I580">
            <v>2</v>
          </cell>
          <cell r="J580">
            <v>46952426</v>
          </cell>
        </row>
        <row r="581">
          <cell r="C581" t="str">
            <v>50AAF</v>
          </cell>
          <cell r="D581" t="str">
            <v>OXXO-Piedra Roja</v>
          </cell>
          <cell r="E581" t="str">
            <v>No</v>
          </cell>
          <cell r="F581" t="str">
            <v>15451461-9</v>
          </cell>
          <cell r="G581" t="str">
            <v>Vera Henriquez Romina Flor</v>
          </cell>
          <cell r="H581" t="str">
            <v>Jefe De Sala</v>
          </cell>
          <cell r="I581">
            <v>2</v>
          </cell>
          <cell r="J581">
            <v>46802513</v>
          </cell>
        </row>
        <row r="582">
          <cell r="C582" t="str">
            <v>50AAF</v>
          </cell>
          <cell r="D582" t="str">
            <v>OXXO-Piedra Roja</v>
          </cell>
          <cell r="E582" t="str">
            <v>No</v>
          </cell>
          <cell r="F582" t="str">
            <v>17285412-5</v>
          </cell>
          <cell r="G582" t="str">
            <v>Saumontt Santibañez Katiuska Andrea</v>
          </cell>
          <cell r="H582" t="str">
            <v>Cajero</v>
          </cell>
          <cell r="I582">
            <v>3</v>
          </cell>
          <cell r="J582">
            <v>46802513</v>
          </cell>
        </row>
        <row r="583">
          <cell r="C583" t="str">
            <v>50AAF</v>
          </cell>
          <cell r="D583" t="str">
            <v>OXXO-Piedra Roja</v>
          </cell>
          <cell r="E583" t="str">
            <v>No</v>
          </cell>
          <cell r="F583" t="str">
            <v>19755068-6</v>
          </cell>
          <cell r="G583" t="str">
            <v>Acuña Aspee Claudio</v>
          </cell>
          <cell r="H583" t="str">
            <v>Lider</v>
          </cell>
          <cell r="I583">
            <v>1</v>
          </cell>
          <cell r="J583">
            <v>46802513</v>
          </cell>
        </row>
        <row r="584">
          <cell r="C584" t="str">
            <v>50AAF</v>
          </cell>
          <cell r="D584" t="str">
            <v>OXXO-Piedra Roja</v>
          </cell>
          <cell r="E584" t="str">
            <v>No</v>
          </cell>
          <cell r="F584" t="str">
            <v>20496843-8</v>
          </cell>
          <cell r="G584" t="str">
            <v>Cruz Mancilla Yamilet Estefanía</v>
          </cell>
          <cell r="H584" t="str">
            <v>Cajero</v>
          </cell>
          <cell r="I584">
            <v>3</v>
          </cell>
          <cell r="J584">
            <v>46802513</v>
          </cell>
        </row>
        <row r="585">
          <cell r="C585" t="str">
            <v>50AAF</v>
          </cell>
          <cell r="D585" t="str">
            <v>OXXO-Piedra Roja</v>
          </cell>
          <cell r="E585" t="str">
            <v>No</v>
          </cell>
          <cell r="F585" t="str">
            <v>21021567-0</v>
          </cell>
          <cell r="G585" t="str">
            <v>Rojas Vasquez Ricardo Antonio</v>
          </cell>
          <cell r="H585" t="str">
            <v>Jefe De Sala</v>
          </cell>
          <cell r="I585">
            <v>2</v>
          </cell>
          <cell r="J585">
            <v>46802513</v>
          </cell>
        </row>
        <row r="586">
          <cell r="C586" t="str">
            <v>50ISI</v>
          </cell>
          <cell r="D586" t="str">
            <v>OXXO-Isidora 2</v>
          </cell>
          <cell r="E586" t="str">
            <v>No</v>
          </cell>
          <cell r="F586" t="str">
            <v>17627677-0</v>
          </cell>
          <cell r="G586" t="str">
            <v>Alvarado Peñaloza Eduardo Andres</v>
          </cell>
          <cell r="H586" t="str">
            <v>Lider</v>
          </cell>
          <cell r="I586">
            <v>1</v>
          </cell>
          <cell r="J586">
            <v>46288171</v>
          </cell>
        </row>
        <row r="587">
          <cell r="C587" t="str">
            <v>50ISI</v>
          </cell>
          <cell r="D587" t="str">
            <v>OXXO-Isidora 2</v>
          </cell>
          <cell r="E587" t="str">
            <v>No</v>
          </cell>
          <cell r="F587" t="str">
            <v>19558311-0</v>
          </cell>
          <cell r="G587" t="str">
            <v>Arancibia Espinoza Javiera</v>
          </cell>
          <cell r="H587" t="str">
            <v>Cajero</v>
          </cell>
          <cell r="I587">
            <v>3</v>
          </cell>
          <cell r="J587">
            <v>46288171</v>
          </cell>
        </row>
        <row r="588">
          <cell r="C588" t="str">
            <v>50ISI</v>
          </cell>
          <cell r="D588" t="str">
            <v>OXXO-Isidora 2</v>
          </cell>
          <cell r="E588" t="str">
            <v>No</v>
          </cell>
          <cell r="F588" t="str">
            <v>21679606-3</v>
          </cell>
          <cell r="G588" t="str">
            <v>Rivera Alvarado Sebastian Andres</v>
          </cell>
          <cell r="H588" t="str">
            <v>Cajero</v>
          </cell>
          <cell r="I588">
            <v>3</v>
          </cell>
          <cell r="J588">
            <v>46288171</v>
          </cell>
        </row>
        <row r="589">
          <cell r="C589" t="str">
            <v>50ISI</v>
          </cell>
          <cell r="D589" t="str">
            <v>OXXO-Isidora 2</v>
          </cell>
          <cell r="E589" t="str">
            <v>No</v>
          </cell>
          <cell r="F589" t="str">
            <v>25388527-0</v>
          </cell>
          <cell r="G589" t="str">
            <v>Zavala Tafur Brissa Elisabeth</v>
          </cell>
          <cell r="H589" t="str">
            <v>Cajero</v>
          </cell>
          <cell r="I589">
            <v>3</v>
          </cell>
          <cell r="J589">
            <v>46288171</v>
          </cell>
        </row>
        <row r="590">
          <cell r="C590" t="str">
            <v>50ISI</v>
          </cell>
          <cell r="D590" t="str">
            <v>OXXO-Isidora 2</v>
          </cell>
          <cell r="E590" t="str">
            <v>No</v>
          </cell>
          <cell r="F590" t="str">
            <v>27558719-2</v>
          </cell>
          <cell r="G590" t="str">
            <v>Longares De Urquiola Yubiri Salame</v>
          </cell>
          <cell r="H590" t="str">
            <v>Cajero</v>
          </cell>
          <cell r="I590">
            <v>3</v>
          </cell>
          <cell r="J590">
            <v>46288171</v>
          </cell>
        </row>
        <row r="591">
          <cell r="C591" t="str">
            <v>50TQB</v>
          </cell>
          <cell r="D591" t="str">
            <v>OXXO-Paseo Estado Moneda</v>
          </cell>
          <cell r="E591" t="str">
            <v>No</v>
          </cell>
          <cell r="F591" t="str">
            <v>21040217-9</v>
          </cell>
          <cell r="G591" t="str">
            <v>Parrao Alarcon Trinidad Antonia</v>
          </cell>
          <cell r="H591" t="str">
            <v>Jefe De Sala</v>
          </cell>
          <cell r="I591">
            <v>2</v>
          </cell>
          <cell r="J591">
            <v>45821947</v>
          </cell>
        </row>
        <row r="592">
          <cell r="C592" t="str">
            <v>50TQB</v>
          </cell>
          <cell r="D592" t="str">
            <v>OXXO-Paseo Estado Moneda</v>
          </cell>
          <cell r="E592" t="str">
            <v>No</v>
          </cell>
          <cell r="F592" t="str">
            <v>25873735-0</v>
          </cell>
          <cell r="G592" t="str">
            <v>Gonzalez Botero Valentina</v>
          </cell>
          <cell r="H592" t="str">
            <v>Cajero</v>
          </cell>
          <cell r="I592">
            <v>3</v>
          </cell>
          <cell r="J592">
            <v>45821947</v>
          </cell>
        </row>
        <row r="593">
          <cell r="C593" t="str">
            <v>50TQB</v>
          </cell>
          <cell r="D593" t="str">
            <v>OXXO-Paseo Estado Moneda</v>
          </cell>
          <cell r="E593" t="str">
            <v>No</v>
          </cell>
          <cell r="F593" t="str">
            <v>26963040-K</v>
          </cell>
          <cell r="G593" t="str">
            <v>Villegas Gonzalez Jeannyher Eleana</v>
          </cell>
          <cell r="H593" t="str">
            <v>Jefe De Sala</v>
          </cell>
          <cell r="I593">
            <v>2</v>
          </cell>
          <cell r="J593">
            <v>45821947</v>
          </cell>
        </row>
        <row r="594">
          <cell r="C594" t="str">
            <v>50TQB</v>
          </cell>
          <cell r="D594" t="str">
            <v>OXXO-Paseo Estado Moneda</v>
          </cell>
          <cell r="E594" t="str">
            <v>No</v>
          </cell>
          <cell r="F594" t="str">
            <v>27007659-9</v>
          </cell>
          <cell r="G594" t="str">
            <v>Rosales Loaiza Neiro Jose</v>
          </cell>
          <cell r="H594" t="str">
            <v>Cajero</v>
          </cell>
          <cell r="I594">
            <v>3</v>
          </cell>
          <cell r="J594">
            <v>45821947</v>
          </cell>
        </row>
        <row r="595">
          <cell r="C595" t="str">
            <v>50TQB</v>
          </cell>
          <cell r="D595" t="str">
            <v>OXXO-Paseo Estado Moneda</v>
          </cell>
          <cell r="E595" t="str">
            <v>No</v>
          </cell>
          <cell r="F595" t="str">
            <v>27033020-7</v>
          </cell>
          <cell r="G595" t="str">
            <v>Gaubeca Cabrera Benohary De Los Angeles</v>
          </cell>
          <cell r="H595" t="str">
            <v>Lider</v>
          </cell>
          <cell r="I595">
            <v>1</v>
          </cell>
          <cell r="J595">
            <v>45821947</v>
          </cell>
        </row>
        <row r="596">
          <cell r="C596" t="str">
            <v>50OCH</v>
          </cell>
          <cell r="D596" t="str">
            <v>OXXO-Cachagua</v>
          </cell>
          <cell r="E596" t="str">
            <v>No</v>
          </cell>
          <cell r="F596" t="str">
            <v>18224897-5</v>
          </cell>
          <cell r="G596" t="str">
            <v>Torreblanca Aguirre Jessica Alejandra</v>
          </cell>
          <cell r="H596" t="str">
            <v>Cajero</v>
          </cell>
          <cell r="I596">
            <v>3</v>
          </cell>
          <cell r="J596">
            <v>45804383</v>
          </cell>
        </row>
        <row r="597">
          <cell r="C597" t="str">
            <v>50OCH</v>
          </cell>
          <cell r="D597" t="str">
            <v>OXXO-Cachagua</v>
          </cell>
          <cell r="E597" t="str">
            <v>No</v>
          </cell>
          <cell r="F597" t="str">
            <v>18916959-0</v>
          </cell>
          <cell r="G597" t="str">
            <v>Perez Alballay Tifany Andrea</v>
          </cell>
          <cell r="H597" t="str">
            <v>Lider</v>
          </cell>
          <cell r="I597">
            <v>1</v>
          </cell>
          <cell r="J597">
            <v>45804383</v>
          </cell>
        </row>
        <row r="598">
          <cell r="C598" t="str">
            <v>50OCH</v>
          </cell>
          <cell r="D598" t="str">
            <v>OXXO-Cachagua</v>
          </cell>
          <cell r="E598" t="str">
            <v>No</v>
          </cell>
          <cell r="F598" t="str">
            <v>20497467-5</v>
          </cell>
          <cell r="G598" t="str">
            <v>Gamboa Orostica Maximiliano Antonio</v>
          </cell>
          <cell r="H598" t="str">
            <v>Cajero</v>
          </cell>
          <cell r="I598">
            <v>3</v>
          </cell>
          <cell r="J598">
            <v>45804383</v>
          </cell>
        </row>
        <row r="599">
          <cell r="C599" t="str">
            <v>50OCH</v>
          </cell>
          <cell r="D599" t="str">
            <v>OXXO-Cachagua</v>
          </cell>
          <cell r="E599" t="str">
            <v>No</v>
          </cell>
          <cell r="F599" t="str">
            <v>20646591-3</v>
          </cell>
          <cell r="G599" t="str">
            <v>Lillo Neira Evelyn</v>
          </cell>
          <cell r="H599" t="str">
            <v>Jefe De Sala</v>
          </cell>
          <cell r="I599">
            <v>2</v>
          </cell>
          <cell r="J599">
            <v>45804383</v>
          </cell>
        </row>
        <row r="600">
          <cell r="C600" t="str">
            <v>50OCH</v>
          </cell>
          <cell r="D600" t="str">
            <v>OXXO-Cachagua</v>
          </cell>
          <cell r="E600" t="str">
            <v>No</v>
          </cell>
          <cell r="F600" t="str">
            <v>21558243-4</v>
          </cell>
          <cell r="G600" t="str">
            <v>Andrades Gonzalez Catalina</v>
          </cell>
          <cell r="H600" t="str">
            <v>Cajero</v>
          </cell>
          <cell r="I600">
            <v>3</v>
          </cell>
          <cell r="J600">
            <v>45804383</v>
          </cell>
        </row>
        <row r="601">
          <cell r="C601" t="str">
            <v>50OCH</v>
          </cell>
          <cell r="D601" t="str">
            <v>OXXO-Cachagua</v>
          </cell>
          <cell r="E601" t="str">
            <v>No</v>
          </cell>
          <cell r="F601" t="str">
            <v>27424162-4</v>
          </cell>
          <cell r="G601" t="str">
            <v>Colihuinca Irarrazaval Katherine</v>
          </cell>
          <cell r="H601" t="str">
            <v>Cajero</v>
          </cell>
          <cell r="I601">
            <v>3</v>
          </cell>
          <cell r="J601">
            <v>45804383</v>
          </cell>
        </row>
        <row r="602">
          <cell r="C602" t="str">
            <v>5026M</v>
          </cell>
          <cell r="D602" t="str">
            <v>OXXO-Plaza Vergara - Viña Del Mar</v>
          </cell>
          <cell r="E602" t="str">
            <v>No</v>
          </cell>
          <cell r="F602" t="str">
            <v>10185106-0</v>
          </cell>
          <cell r="G602" t="str">
            <v>Frias Flores Maria Virginia</v>
          </cell>
          <cell r="H602" t="str">
            <v>Cajero</v>
          </cell>
          <cell r="I602">
            <v>3</v>
          </cell>
          <cell r="J602">
            <v>45678028</v>
          </cell>
        </row>
        <row r="603">
          <cell r="C603" t="str">
            <v>5026M</v>
          </cell>
          <cell r="D603" t="str">
            <v>OXXO-Plaza Vergara - Viña Del Mar</v>
          </cell>
          <cell r="E603" t="str">
            <v>No</v>
          </cell>
          <cell r="F603" t="str">
            <v>15695306-7</v>
          </cell>
          <cell r="G603" t="str">
            <v>Fernandez Ayca Yesenia Macarena</v>
          </cell>
          <cell r="H603" t="str">
            <v>Jefe De Sala</v>
          </cell>
          <cell r="I603">
            <v>2</v>
          </cell>
          <cell r="J603">
            <v>45678028</v>
          </cell>
        </row>
        <row r="604">
          <cell r="C604" t="str">
            <v>5026M</v>
          </cell>
          <cell r="D604" t="str">
            <v>OXXO-Plaza Vergara - Viña Del Mar</v>
          </cell>
          <cell r="E604" t="str">
            <v>No</v>
          </cell>
          <cell r="F604" t="str">
            <v>18996699-7</v>
          </cell>
          <cell r="G604" t="str">
            <v>Stuardo Diaz Jaricksa Nicol</v>
          </cell>
          <cell r="H604" t="str">
            <v>Cajero</v>
          </cell>
          <cell r="I604">
            <v>3</v>
          </cell>
          <cell r="J604">
            <v>45678028</v>
          </cell>
        </row>
        <row r="605">
          <cell r="C605" t="str">
            <v>5026M</v>
          </cell>
          <cell r="D605" t="str">
            <v>OXXO-Plaza Vergara - Viña Del Mar</v>
          </cell>
          <cell r="E605" t="str">
            <v>No</v>
          </cell>
          <cell r="F605" t="str">
            <v>21002290-2</v>
          </cell>
          <cell r="G605" t="str">
            <v>Huerta Maureira Rashel Antonella</v>
          </cell>
          <cell r="H605" t="str">
            <v>Cajero</v>
          </cell>
          <cell r="I605">
            <v>3</v>
          </cell>
          <cell r="J605">
            <v>45678028</v>
          </cell>
        </row>
        <row r="606">
          <cell r="C606" t="str">
            <v>5026M</v>
          </cell>
          <cell r="D606" t="str">
            <v>OXXO-Plaza Vergara - Viña Del Mar</v>
          </cell>
          <cell r="E606" t="str">
            <v>No</v>
          </cell>
          <cell r="F606" t="str">
            <v>27240059-8</v>
          </cell>
          <cell r="G606" t="str">
            <v>Diaz Villasmil Jineth Del Carmen</v>
          </cell>
          <cell r="H606" t="str">
            <v>Lider</v>
          </cell>
          <cell r="I606">
            <v>1</v>
          </cell>
          <cell r="J606">
            <v>45678028</v>
          </cell>
        </row>
        <row r="607">
          <cell r="C607" t="str">
            <v>5026M</v>
          </cell>
          <cell r="D607" t="str">
            <v>OXXO-Plaza Vergara - Viña Del Mar</v>
          </cell>
          <cell r="E607" t="str">
            <v>No</v>
          </cell>
          <cell r="F607" t="str">
            <v>27352226-3</v>
          </cell>
          <cell r="G607" t="str">
            <v>Gil Brazzoduro Jonas Enrrique</v>
          </cell>
          <cell r="H607" t="str">
            <v>Jefe De Sala</v>
          </cell>
          <cell r="I607">
            <v>2</v>
          </cell>
          <cell r="J607">
            <v>45678028</v>
          </cell>
        </row>
        <row r="608">
          <cell r="C608" t="str">
            <v>50OLY</v>
          </cell>
          <cell r="D608" t="str">
            <v>OKM-Lincoyan</v>
          </cell>
          <cell r="E608" t="str">
            <v>No</v>
          </cell>
          <cell r="F608" t="str">
            <v>13159434-8</v>
          </cell>
          <cell r="G608" t="str">
            <v>Zurita Riffo Fabiola</v>
          </cell>
          <cell r="H608" t="str">
            <v>Jefe De Sala</v>
          </cell>
          <cell r="I608">
            <v>2</v>
          </cell>
          <cell r="J608">
            <v>45530436</v>
          </cell>
        </row>
        <row r="609">
          <cell r="C609" t="str">
            <v>50OLY</v>
          </cell>
          <cell r="D609" t="str">
            <v>OKM-Lincoyan</v>
          </cell>
          <cell r="E609" t="str">
            <v>No</v>
          </cell>
          <cell r="F609" t="str">
            <v>13511281-K</v>
          </cell>
          <cell r="G609" t="str">
            <v>Concha Morales Carmen Gloria</v>
          </cell>
          <cell r="H609" t="str">
            <v>Jefe De Sala</v>
          </cell>
          <cell r="I609">
            <v>2</v>
          </cell>
          <cell r="J609">
            <v>45530436</v>
          </cell>
        </row>
        <row r="610">
          <cell r="C610" t="str">
            <v>50OLY</v>
          </cell>
          <cell r="D610" t="str">
            <v>OKM-Lincoyan</v>
          </cell>
          <cell r="E610" t="str">
            <v>No</v>
          </cell>
          <cell r="F610" t="str">
            <v>15617343-6</v>
          </cell>
          <cell r="G610" t="str">
            <v>Muñoz Olave Marisol Eugenia</v>
          </cell>
          <cell r="H610" t="str">
            <v>Lider</v>
          </cell>
          <cell r="I610">
            <v>1</v>
          </cell>
          <cell r="J610">
            <v>45530436</v>
          </cell>
        </row>
        <row r="611">
          <cell r="C611" t="str">
            <v>50OLY</v>
          </cell>
          <cell r="D611" t="str">
            <v>OKM-Lincoyan</v>
          </cell>
          <cell r="E611" t="str">
            <v>No</v>
          </cell>
          <cell r="F611" t="str">
            <v>20053011-K</v>
          </cell>
          <cell r="G611" t="str">
            <v>Llanquilef González Maria Paz</v>
          </cell>
          <cell r="H611" t="str">
            <v>Cajero</v>
          </cell>
          <cell r="I611">
            <v>3</v>
          </cell>
          <cell r="J611">
            <v>45530436</v>
          </cell>
        </row>
        <row r="612">
          <cell r="C612" t="str">
            <v>50OLY</v>
          </cell>
          <cell r="D612" t="str">
            <v>OKM-Lincoyan</v>
          </cell>
          <cell r="E612" t="str">
            <v>No</v>
          </cell>
          <cell r="F612" t="str">
            <v>20195496-7</v>
          </cell>
          <cell r="G612" t="str">
            <v>Provoste Mariqueo Ely Nassly</v>
          </cell>
          <cell r="H612" t="str">
            <v>Cajero</v>
          </cell>
          <cell r="I612">
            <v>3</v>
          </cell>
          <cell r="J612">
            <v>45530436</v>
          </cell>
        </row>
        <row r="613">
          <cell r="C613" t="str">
            <v>50QO5</v>
          </cell>
          <cell r="D613" t="str">
            <v>OXXO-Mall Plaza Egaña 2</v>
          </cell>
          <cell r="E613" t="str">
            <v>No</v>
          </cell>
          <cell r="F613" t="str">
            <v>06692996-5</v>
          </cell>
          <cell r="G613" t="str">
            <v>Arrau Raurich Leoncio Gonzalo</v>
          </cell>
          <cell r="H613" t="str">
            <v>Cajero</v>
          </cell>
          <cell r="I613">
            <v>3</v>
          </cell>
          <cell r="J613">
            <v>45462465</v>
          </cell>
        </row>
        <row r="614">
          <cell r="C614" t="str">
            <v>50QO5</v>
          </cell>
          <cell r="D614" t="str">
            <v>OXXO-Mall Plaza Egaña 2</v>
          </cell>
          <cell r="E614" t="str">
            <v>No</v>
          </cell>
          <cell r="F614" t="str">
            <v>20058873-8</v>
          </cell>
          <cell r="G614" t="str">
            <v>Calderon Oyanedel Thiare Daniela</v>
          </cell>
          <cell r="H614" t="str">
            <v>Lider</v>
          </cell>
          <cell r="I614">
            <v>1</v>
          </cell>
          <cell r="J614">
            <v>45462465</v>
          </cell>
        </row>
        <row r="615">
          <cell r="C615" t="str">
            <v>50QO5</v>
          </cell>
          <cell r="D615" t="str">
            <v>OXXO-Mall Plaza Egaña 2</v>
          </cell>
          <cell r="E615" t="str">
            <v>No</v>
          </cell>
          <cell r="F615" t="str">
            <v>21120229-7</v>
          </cell>
          <cell r="G615" t="str">
            <v>Carbajal Pocco Doris Cristina</v>
          </cell>
          <cell r="H615" t="str">
            <v>Cajero</v>
          </cell>
          <cell r="I615">
            <v>3</v>
          </cell>
          <cell r="J615">
            <v>45462465</v>
          </cell>
        </row>
        <row r="616">
          <cell r="C616" t="str">
            <v>50QO5</v>
          </cell>
          <cell r="D616" t="str">
            <v>OXXO-Mall Plaza Egaña 2</v>
          </cell>
          <cell r="E616" t="str">
            <v>No</v>
          </cell>
          <cell r="F616" t="str">
            <v>21219779-3</v>
          </cell>
          <cell r="G616" t="str">
            <v>Aguilera Flores Pablo Javier</v>
          </cell>
          <cell r="H616" t="str">
            <v>Cajero</v>
          </cell>
          <cell r="I616">
            <v>3</v>
          </cell>
          <cell r="J616">
            <v>45462465</v>
          </cell>
        </row>
        <row r="617">
          <cell r="C617" t="str">
            <v>50QO5</v>
          </cell>
          <cell r="D617" t="str">
            <v>OXXO-Mall Plaza Egaña 2</v>
          </cell>
          <cell r="E617" t="str">
            <v>No</v>
          </cell>
          <cell r="F617" t="str">
            <v>27851176-6</v>
          </cell>
          <cell r="G617" t="str">
            <v>Alzamora Nizama Alexandra</v>
          </cell>
          <cell r="H617" t="str">
            <v>Jefe De Sala</v>
          </cell>
          <cell r="I617">
            <v>2</v>
          </cell>
          <cell r="J617">
            <v>45462465</v>
          </cell>
        </row>
        <row r="618">
          <cell r="C618" t="str">
            <v>50HZO</v>
          </cell>
          <cell r="D618" t="str">
            <v>OXXO-Tristan Matta</v>
          </cell>
          <cell r="E618" t="str">
            <v>No</v>
          </cell>
          <cell r="F618" t="str">
            <v>19919285-K</v>
          </cell>
          <cell r="G618" t="str">
            <v>Guajardo Lemuñir Julian Paolo</v>
          </cell>
          <cell r="H618" t="str">
            <v>Jefe De Sala</v>
          </cell>
          <cell r="I618">
            <v>2</v>
          </cell>
          <cell r="J618">
            <v>44851667</v>
          </cell>
        </row>
        <row r="619">
          <cell r="C619" t="str">
            <v>50HZO</v>
          </cell>
          <cell r="D619" t="str">
            <v>OXXO-Tristan Matta</v>
          </cell>
          <cell r="E619" t="str">
            <v>No</v>
          </cell>
          <cell r="F619" t="str">
            <v>26503471-3</v>
          </cell>
          <cell r="G619" t="str">
            <v>Peña Vetencourt Yokasta Veronica</v>
          </cell>
          <cell r="H619" t="str">
            <v>Jefe De Sala</v>
          </cell>
          <cell r="I619">
            <v>2</v>
          </cell>
          <cell r="J619">
            <v>44851667</v>
          </cell>
        </row>
        <row r="620">
          <cell r="C620" t="str">
            <v>50HZO</v>
          </cell>
          <cell r="D620" t="str">
            <v>OXXO-Tristan Matta</v>
          </cell>
          <cell r="E620" t="str">
            <v>No</v>
          </cell>
          <cell r="F620" t="str">
            <v>26518798-6</v>
          </cell>
          <cell r="G620" t="str">
            <v>Ramirez Tomedes Joselin Alexandra</v>
          </cell>
          <cell r="H620" t="str">
            <v>Cajero</v>
          </cell>
          <cell r="I620">
            <v>3</v>
          </cell>
          <cell r="J620">
            <v>44851667</v>
          </cell>
        </row>
        <row r="621">
          <cell r="C621" t="str">
            <v>50HZO</v>
          </cell>
          <cell r="D621" t="str">
            <v>OXXO-Tristan Matta</v>
          </cell>
          <cell r="E621" t="str">
            <v>No</v>
          </cell>
          <cell r="F621" t="str">
            <v>27864069-8</v>
          </cell>
          <cell r="G621" t="str">
            <v>Montiel Mendez Ronald Javier</v>
          </cell>
          <cell r="H621" t="str">
            <v>Cajero</v>
          </cell>
          <cell r="I621">
            <v>3</v>
          </cell>
          <cell r="J621">
            <v>44851667</v>
          </cell>
        </row>
        <row r="622">
          <cell r="C622" t="str">
            <v>50HZO</v>
          </cell>
          <cell r="D622" t="str">
            <v>OXXO-Tristan Matta</v>
          </cell>
          <cell r="E622" t="str">
            <v>No</v>
          </cell>
          <cell r="F622" t="str">
            <v>27869574-3</v>
          </cell>
          <cell r="G622" t="str">
            <v>Zambrano Peña Belkis Yileni</v>
          </cell>
          <cell r="H622" t="str">
            <v>Lider</v>
          </cell>
          <cell r="I622">
            <v>1</v>
          </cell>
          <cell r="J622">
            <v>44851667</v>
          </cell>
        </row>
        <row r="623">
          <cell r="C623" t="str">
            <v>50OBN</v>
          </cell>
          <cell r="D623" t="str">
            <v>OXXO-Brown Norte</v>
          </cell>
          <cell r="E623" t="str">
            <v>No</v>
          </cell>
          <cell r="F623" t="str">
            <v>16323050-K</v>
          </cell>
          <cell r="G623" t="str">
            <v>Jimenez Rojas Maria Paz</v>
          </cell>
          <cell r="H623" t="str">
            <v>Cajero</v>
          </cell>
          <cell r="I623">
            <v>3</v>
          </cell>
          <cell r="J623">
            <v>44754820</v>
          </cell>
        </row>
        <row r="624">
          <cell r="C624" t="str">
            <v>50OBN</v>
          </cell>
          <cell r="D624" t="str">
            <v>OXXO-Brown Norte</v>
          </cell>
          <cell r="E624" t="str">
            <v>No</v>
          </cell>
          <cell r="F624" t="str">
            <v>19133130-3</v>
          </cell>
          <cell r="G624" t="str">
            <v>Vejar Miranda Carmen Paz</v>
          </cell>
          <cell r="H624" t="str">
            <v>Jefe De Sala</v>
          </cell>
          <cell r="I624">
            <v>2</v>
          </cell>
          <cell r="J624">
            <v>44754820</v>
          </cell>
        </row>
        <row r="625">
          <cell r="C625" t="str">
            <v>50OBN</v>
          </cell>
          <cell r="D625" t="str">
            <v>OXXO-Brown Norte</v>
          </cell>
          <cell r="E625" t="str">
            <v>No</v>
          </cell>
          <cell r="F625" t="str">
            <v>26074299-K</v>
          </cell>
          <cell r="G625" t="str">
            <v>Urquiola Longares Juvier Jesus</v>
          </cell>
          <cell r="H625" t="str">
            <v>Lider</v>
          </cell>
          <cell r="I625">
            <v>1</v>
          </cell>
          <cell r="J625">
            <v>44754820</v>
          </cell>
        </row>
        <row r="626">
          <cell r="C626" t="str">
            <v>50OBN</v>
          </cell>
          <cell r="D626" t="str">
            <v>OXXO-Brown Norte</v>
          </cell>
          <cell r="E626" t="str">
            <v>No</v>
          </cell>
          <cell r="F626" t="str">
            <v>26563185-1</v>
          </cell>
          <cell r="G626" t="str">
            <v>Pedroza Sequera Luis Ramon</v>
          </cell>
          <cell r="H626" t="str">
            <v>Cajero</v>
          </cell>
          <cell r="I626">
            <v>3</v>
          </cell>
          <cell r="J626">
            <v>44754820</v>
          </cell>
        </row>
        <row r="627">
          <cell r="C627" t="str">
            <v>50OBN</v>
          </cell>
          <cell r="D627" t="str">
            <v>OXXO-Brown Norte</v>
          </cell>
          <cell r="E627" t="str">
            <v>No</v>
          </cell>
          <cell r="F627" t="str">
            <v>28094844-6</v>
          </cell>
          <cell r="G627" t="str">
            <v>Ramirez Toro Litzaida Del Carmen</v>
          </cell>
          <cell r="H627" t="str">
            <v>Cajero</v>
          </cell>
          <cell r="I627">
            <v>3</v>
          </cell>
          <cell r="J627">
            <v>44754820</v>
          </cell>
        </row>
        <row r="628">
          <cell r="C628" t="str">
            <v>50HEN</v>
          </cell>
          <cell r="D628" t="str">
            <v>OXXO-Hendaya</v>
          </cell>
          <cell r="E628" t="str">
            <v>No</v>
          </cell>
          <cell r="F628" t="str">
            <v>15436361-0</v>
          </cell>
          <cell r="G628" t="str">
            <v>Melendez Gonzalez Carolina Andrea</v>
          </cell>
          <cell r="H628" t="str">
            <v>Cajero</v>
          </cell>
          <cell r="I628">
            <v>3</v>
          </cell>
          <cell r="J628">
            <v>44354605</v>
          </cell>
        </row>
        <row r="629">
          <cell r="C629" t="str">
            <v>50HEN</v>
          </cell>
          <cell r="D629" t="str">
            <v>OXXO-Hendaya</v>
          </cell>
          <cell r="E629" t="str">
            <v>No</v>
          </cell>
          <cell r="F629" t="str">
            <v>25602084-K</v>
          </cell>
          <cell r="G629" t="str">
            <v>Sanchez Puerta Daniel Ricardo</v>
          </cell>
          <cell r="H629" t="str">
            <v>Lider</v>
          </cell>
          <cell r="I629">
            <v>1</v>
          </cell>
          <cell r="J629">
            <v>44354605</v>
          </cell>
        </row>
        <row r="630">
          <cell r="C630" t="str">
            <v>50HEN</v>
          </cell>
          <cell r="D630" t="str">
            <v>OXXO-Hendaya</v>
          </cell>
          <cell r="E630" t="str">
            <v>No</v>
          </cell>
          <cell r="F630" t="str">
            <v>25824293-9</v>
          </cell>
          <cell r="G630" t="str">
            <v>Fuenmayor Cardenas Johana Chuquinquira</v>
          </cell>
          <cell r="H630" t="str">
            <v>Cajero</v>
          </cell>
          <cell r="I630">
            <v>3</v>
          </cell>
          <cell r="J630">
            <v>44354605</v>
          </cell>
        </row>
        <row r="631">
          <cell r="C631" t="str">
            <v>50HEN</v>
          </cell>
          <cell r="D631" t="str">
            <v>OXXO-Hendaya</v>
          </cell>
          <cell r="E631" t="str">
            <v>No</v>
          </cell>
          <cell r="F631" t="str">
            <v>26413680-6</v>
          </cell>
          <cell r="G631" t="str">
            <v>Arrieta Torres Eimy Julieth</v>
          </cell>
          <cell r="H631" t="str">
            <v>Cajero</v>
          </cell>
          <cell r="I631">
            <v>3</v>
          </cell>
          <cell r="J631">
            <v>44354605</v>
          </cell>
        </row>
        <row r="632">
          <cell r="C632" t="str">
            <v>50HEN</v>
          </cell>
          <cell r="D632" t="str">
            <v>OXXO-Hendaya</v>
          </cell>
          <cell r="E632" t="str">
            <v>No</v>
          </cell>
          <cell r="F632" t="str">
            <v>26954622-0</v>
          </cell>
          <cell r="G632" t="str">
            <v>Gutierrez Ramos Jeaneth Josefina</v>
          </cell>
          <cell r="H632" t="str">
            <v>Jefe De Sala</v>
          </cell>
          <cell r="I632">
            <v>2</v>
          </cell>
          <cell r="J632">
            <v>44354605</v>
          </cell>
        </row>
        <row r="633">
          <cell r="C633" t="str">
            <v>50HEN</v>
          </cell>
          <cell r="D633" t="str">
            <v>OXXO-Hendaya</v>
          </cell>
          <cell r="E633" t="str">
            <v>No</v>
          </cell>
          <cell r="F633" t="str">
            <v>27848805-5</v>
          </cell>
          <cell r="G633" t="str">
            <v>Aponte Rojas Elias Gustavo</v>
          </cell>
          <cell r="H633" t="str">
            <v>Cajero</v>
          </cell>
          <cell r="I633">
            <v>3</v>
          </cell>
          <cell r="J633">
            <v>44354605</v>
          </cell>
        </row>
        <row r="634">
          <cell r="C634" t="str">
            <v>50HEN</v>
          </cell>
          <cell r="D634" t="str">
            <v>OXXO-Hendaya</v>
          </cell>
          <cell r="E634" t="str">
            <v>No</v>
          </cell>
          <cell r="F634" t="str">
            <v>27913544-K</v>
          </cell>
          <cell r="G634" t="str">
            <v>Torres Guillen Thais Gabriela</v>
          </cell>
          <cell r="H634" t="str">
            <v>Cajero</v>
          </cell>
          <cell r="I634">
            <v>3</v>
          </cell>
          <cell r="J634">
            <v>44354605</v>
          </cell>
        </row>
        <row r="635">
          <cell r="C635" t="str">
            <v>50ORO</v>
          </cell>
          <cell r="D635" t="str">
            <v>OXXO-Capitan Orella</v>
          </cell>
          <cell r="E635" t="str">
            <v>No</v>
          </cell>
          <cell r="F635" t="str">
            <v>19290930-9</v>
          </cell>
          <cell r="G635" t="str">
            <v>Pereira Rios Patricio Genaro</v>
          </cell>
          <cell r="H635" t="str">
            <v>Cajero</v>
          </cell>
          <cell r="I635">
            <v>3</v>
          </cell>
          <cell r="J635">
            <v>44194190</v>
          </cell>
        </row>
        <row r="636">
          <cell r="C636" t="str">
            <v>50ORO</v>
          </cell>
          <cell r="D636" t="str">
            <v>OXXO-Capitan Orella</v>
          </cell>
          <cell r="E636" t="str">
            <v>No</v>
          </cell>
          <cell r="F636" t="str">
            <v>24161543-K</v>
          </cell>
          <cell r="G636" t="str">
            <v>Zuñiga Villarreal Maryuri</v>
          </cell>
          <cell r="H636" t="str">
            <v>Jefe De Sala</v>
          </cell>
          <cell r="I636">
            <v>2</v>
          </cell>
          <cell r="J636">
            <v>44194190</v>
          </cell>
        </row>
        <row r="637">
          <cell r="C637" t="str">
            <v>50ORO</v>
          </cell>
          <cell r="D637" t="str">
            <v>OXXO-Capitan Orella</v>
          </cell>
          <cell r="E637" t="str">
            <v>No</v>
          </cell>
          <cell r="F637" t="str">
            <v>26686864-2</v>
          </cell>
          <cell r="G637" t="str">
            <v>Martinez Astudillo Eva Luna</v>
          </cell>
          <cell r="H637" t="str">
            <v>Lider</v>
          </cell>
          <cell r="I637">
            <v>1</v>
          </cell>
          <cell r="J637">
            <v>44194190</v>
          </cell>
        </row>
        <row r="638">
          <cell r="C638" t="str">
            <v>50ORO</v>
          </cell>
          <cell r="D638" t="str">
            <v>OXXO-Capitan Orella</v>
          </cell>
          <cell r="E638" t="str">
            <v>No</v>
          </cell>
          <cell r="F638" t="str">
            <v>28175222-7</v>
          </cell>
          <cell r="G638" t="str">
            <v>Herazo Duran Paola Andreina</v>
          </cell>
          <cell r="H638" t="str">
            <v>Cajero</v>
          </cell>
          <cell r="I638">
            <v>3</v>
          </cell>
          <cell r="J638">
            <v>44194190</v>
          </cell>
        </row>
        <row r="639">
          <cell r="C639" t="str">
            <v>50XUH</v>
          </cell>
          <cell r="D639" t="str">
            <v>OXXO-Matte - Perez</v>
          </cell>
          <cell r="E639" t="str">
            <v>No</v>
          </cell>
          <cell r="F639" t="str">
            <v>18092937-1</v>
          </cell>
          <cell r="G639" t="str">
            <v>Sepulveda Maldonado Maria Paz</v>
          </cell>
          <cell r="H639" t="str">
            <v>Cajero</v>
          </cell>
          <cell r="I639">
            <v>3</v>
          </cell>
          <cell r="J639">
            <v>44117569</v>
          </cell>
        </row>
        <row r="640">
          <cell r="C640" t="str">
            <v>50XUH</v>
          </cell>
          <cell r="D640" t="str">
            <v>OXXO-Matte - Perez</v>
          </cell>
          <cell r="E640" t="str">
            <v>No</v>
          </cell>
          <cell r="F640" t="str">
            <v>25885637-6</v>
          </cell>
          <cell r="G640" t="str">
            <v>Camilo Camilo Gloria Patricia</v>
          </cell>
          <cell r="H640" t="str">
            <v>Cajero</v>
          </cell>
          <cell r="I640">
            <v>3</v>
          </cell>
          <cell r="J640">
            <v>44117569</v>
          </cell>
        </row>
        <row r="641">
          <cell r="C641" t="str">
            <v>50XUH</v>
          </cell>
          <cell r="D641" t="str">
            <v>OXXO-Matte - Perez</v>
          </cell>
          <cell r="E641" t="str">
            <v>No</v>
          </cell>
          <cell r="F641" t="str">
            <v>26975998-4</v>
          </cell>
          <cell r="G641" t="str">
            <v>Torres Manzanarez Veronica Gisel</v>
          </cell>
          <cell r="H641" t="str">
            <v>Jefe De Sala</v>
          </cell>
          <cell r="I641">
            <v>2</v>
          </cell>
          <cell r="J641">
            <v>44117569</v>
          </cell>
        </row>
        <row r="642">
          <cell r="C642" t="str">
            <v>50XUH</v>
          </cell>
          <cell r="D642" t="str">
            <v>OXXO-Matte - Perez</v>
          </cell>
          <cell r="E642" t="str">
            <v>No</v>
          </cell>
          <cell r="F642" t="str">
            <v>27428669-5</v>
          </cell>
          <cell r="G642" t="str">
            <v>Mavarez Flores Melanie</v>
          </cell>
          <cell r="H642" t="str">
            <v>Jefe De Sala</v>
          </cell>
          <cell r="I642">
            <v>2</v>
          </cell>
          <cell r="J642">
            <v>44117569</v>
          </cell>
        </row>
        <row r="643">
          <cell r="C643" t="str">
            <v>50XUH</v>
          </cell>
          <cell r="D643" t="str">
            <v>OXXO-Matte - Perez</v>
          </cell>
          <cell r="E643" t="str">
            <v>No</v>
          </cell>
          <cell r="F643" t="str">
            <v>28110401-2</v>
          </cell>
          <cell r="G643" t="str">
            <v>Guia Tejeda Brenda Rosa</v>
          </cell>
          <cell r="H643" t="str">
            <v>Cajero</v>
          </cell>
          <cell r="I643">
            <v>3</v>
          </cell>
          <cell r="J643">
            <v>44117569</v>
          </cell>
        </row>
        <row r="644">
          <cell r="C644" t="str">
            <v>5033F</v>
          </cell>
          <cell r="D644" t="str">
            <v>OXXO-Vitacura Riesco</v>
          </cell>
          <cell r="E644" t="str">
            <v>No</v>
          </cell>
          <cell r="F644" t="str">
            <v>11477466-9</v>
          </cell>
          <cell r="G644" t="str">
            <v>De Los Rios Villegas Maria</v>
          </cell>
          <cell r="H644" t="str">
            <v>Cajero</v>
          </cell>
          <cell r="I644">
            <v>3</v>
          </cell>
          <cell r="J644">
            <v>44014350</v>
          </cell>
        </row>
        <row r="645">
          <cell r="C645" t="str">
            <v>5033F</v>
          </cell>
          <cell r="D645" t="str">
            <v>OXXO-Vitacura Riesco</v>
          </cell>
          <cell r="E645" t="str">
            <v>No</v>
          </cell>
          <cell r="F645" t="str">
            <v>17104599-1</v>
          </cell>
          <cell r="G645" t="str">
            <v>Muñoz Pacheco Elena Yessenia</v>
          </cell>
          <cell r="H645" t="str">
            <v>Cajero</v>
          </cell>
          <cell r="I645">
            <v>3</v>
          </cell>
          <cell r="J645">
            <v>44014350</v>
          </cell>
        </row>
        <row r="646">
          <cell r="C646" t="str">
            <v>5033F</v>
          </cell>
          <cell r="D646" t="str">
            <v>OXXO-Vitacura Riesco</v>
          </cell>
          <cell r="E646" t="str">
            <v>No</v>
          </cell>
          <cell r="F646" t="str">
            <v>20975505-K</v>
          </cell>
          <cell r="G646" t="str">
            <v>Rivera Concha Jorge Alberto</v>
          </cell>
          <cell r="H646" t="str">
            <v>Cajero</v>
          </cell>
          <cell r="I646">
            <v>3</v>
          </cell>
          <cell r="J646">
            <v>44014350</v>
          </cell>
        </row>
        <row r="647">
          <cell r="C647" t="str">
            <v>5033F</v>
          </cell>
          <cell r="D647" t="str">
            <v>OXXO-Vitacura Riesco</v>
          </cell>
          <cell r="E647" t="str">
            <v>No</v>
          </cell>
          <cell r="F647" t="str">
            <v>26374909-K</v>
          </cell>
          <cell r="G647" t="str">
            <v>Gomez Rodriguez Barbara</v>
          </cell>
          <cell r="H647" t="str">
            <v>Jefe De Sala</v>
          </cell>
          <cell r="I647">
            <v>2</v>
          </cell>
          <cell r="J647">
            <v>44014350</v>
          </cell>
        </row>
        <row r="648">
          <cell r="C648" t="str">
            <v>5033F</v>
          </cell>
          <cell r="D648" t="str">
            <v>OXXO-Vitacura Riesco</v>
          </cell>
          <cell r="E648" t="str">
            <v>No</v>
          </cell>
          <cell r="F648" t="str">
            <v>27102987-K</v>
          </cell>
          <cell r="G648" t="str">
            <v>Marquez Pacheco Geannath Paola</v>
          </cell>
          <cell r="H648" t="str">
            <v>Lider</v>
          </cell>
          <cell r="I648">
            <v>1</v>
          </cell>
          <cell r="J648">
            <v>44014350</v>
          </cell>
        </row>
        <row r="649">
          <cell r="C649" t="str">
            <v>5033F</v>
          </cell>
          <cell r="D649" t="str">
            <v>OXXO-Vitacura Riesco</v>
          </cell>
          <cell r="E649" t="str">
            <v>No</v>
          </cell>
          <cell r="F649" t="str">
            <v>27925406-6</v>
          </cell>
          <cell r="G649" t="str">
            <v>Ponce Medina Adriana Alexandra</v>
          </cell>
          <cell r="H649" t="str">
            <v>Jefe De Sala</v>
          </cell>
          <cell r="I649">
            <v>2</v>
          </cell>
          <cell r="J649">
            <v>44014350</v>
          </cell>
        </row>
        <row r="650">
          <cell r="C650" t="str">
            <v>50VNA</v>
          </cell>
          <cell r="D650" t="str">
            <v>OXXO-Viana</v>
          </cell>
          <cell r="E650" t="str">
            <v>No</v>
          </cell>
          <cell r="F650" t="str">
            <v>13685101-2</v>
          </cell>
          <cell r="G650" t="str">
            <v>Briceño Allad Valeska</v>
          </cell>
          <cell r="H650" t="str">
            <v>Cajero</v>
          </cell>
          <cell r="I650">
            <v>3</v>
          </cell>
          <cell r="J650">
            <v>43954260</v>
          </cell>
        </row>
        <row r="651">
          <cell r="C651" t="str">
            <v>50VNA</v>
          </cell>
          <cell r="D651" t="str">
            <v>OXXO-Viana</v>
          </cell>
          <cell r="E651" t="str">
            <v>No</v>
          </cell>
          <cell r="F651" t="str">
            <v>16502511-3</v>
          </cell>
          <cell r="G651" t="str">
            <v>Fuentealba Caceres Robinson Miguel</v>
          </cell>
          <cell r="H651" t="str">
            <v>Cajero</v>
          </cell>
          <cell r="I651">
            <v>3</v>
          </cell>
          <cell r="J651">
            <v>43954260</v>
          </cell>
        </row>
        <row r="652">
          <cell r="C652" t="str">
            <v>50VNA</v>
          </cell>
          <cell r="D652" t="str">
            <v>OXXO-Viana</v>
          </cell>
          <cell r="E652" t="str">
            <v>No</v>
          </cell>
          <cell r="F652" t="str">
            <v>19774827-3</v>
          </cell>
          <cell r="G652" t="str">
            <v>Morales Varela Alana Belen</v>
          </cell>
          <cell r="H652" t="str">
            <v>Jefe De Sala</v>
          </cell>
          <cell r="I652">
            <v>2</v>
          </cell>
          <cell r="J652">
            <v>43954260</v>
          </cell>
        </row>
        <row r="653">
          <cell r="C653" t="str">
            <v>50VNA</v>
          </cell>
          <cell r="D653" t="str">
            <v>OXXO-Viana</v>
          </cell>
          <cell r="E653" t="str">
            <v>No</v>
          </cell>
          <cell r="F653" t="str">
            <v>26443968-K</v>
          </cell>
          <cell r="G653" t="str">
            <v>Castellanos Godoy Rosibel Alejandra</v>
          </cell>
          <cell r="H653" t="str">
            <v>Lider</v>
          </cell>
          <cell r="I653">
            <v>1</v>
          </cell>
          <cell r="J653">
            <v>43954260</v>
          </cell>
        </row>
        <row r="654">
          <cell r="C654" t="str">
            <v>50NC0</v>
          </cell>
          <cell r="D654" t="str">
            <v>OXXO-El Faro</v>
          </cell>
          <cell r="E654" t="str">
            <v>No</v>
          </cell>
          <cell r="F654" t="str">
            <v>14904368-3</v>
          </cell>
          <cell r="G654" t="str">
            <v>Diaz Diaz Barbara</v>
          </cell>
          <cell r="H654" t="str">
            <v>Jefe De Sala</v>
          </cell>
          <cell r="I654">
            <v>2</v>
          </cell>
          <cell r="J654">
            <v>43707993</v>
          </cell>
        </row>
        <row r="655">
          <cell r="C655" t="str">
            <v>50NC0</v>
          </cell>
          <cell r="D655" t="str">
            <v>OXXO-El Faro</v>
          </cell>
          <cell r="E655" t="str">
            <v>No</v>
          </cell>
          <cell r="F655" t="str">
            <v>21122833-4</v>
          </cell>
          <cell r="G655" t="str">
            <v>Molina Rozas Miksu Cecilia</v>
          </cell>
          <cell r="H655" t="str">
            <v>Jefe De Sala</v>
          </cell>
          <cell r="I655">
            <v>2</v>
          </cell>
          <cell r="J655">
            <v>43707993</v>
          </cell>
        </row>
        <row r="656">
          <cell r="C656" t="str">
            <v>50NC0</v>
          </cell>
          <cell r="D656" t="str">
            <v>OXXO-El Faro</v>
          </cell>
          <cell r="E656" t="str">
            <v>No</v>
          </cell>
          <cell r="F656" t="str">
            <v>21352161-6</v>
          </cell>
          <cell r="G656" t="str">
            <v>Cardenas Cuevas Danitza Neruska</v>
          </cell>
          <cell r="H656" t="str">
            <v>Cajero</v>
          </cell>
          <cell r="I656">
            <v>3</v>
          </cell>
          <cell r="J656">
            <v>43707993</v>
          </cell>
        </row>
        <row r="657">
          <cell r="C657" t="str">
            <v>50NC0</v>
          </cell>
          <cell r="D657" t="str">
            <v>OXXO-El Faro</v>
          </cell>
          <cell r="E657" t="str">
            <v>No</v>
          </cell>
          <cell r="F657" t="str">
            <v>21813433-5</v>
          </cell>
          <cell r="G657" t="str">
            <v>Pacheco Martinez Elizabeth</v>
          </cell>
          <cell r="H657" t="str">
            <v>Cajero</v>
          </cell>
          <cell r="I657">
            <v>3</v>
          </cell>
          <cell r="J657">
            <v>43707993</v>
          </cell>
        </row>
        <row r="658">
          <cell r="C658" t="str">
            <v>50NC0</v>
          </cell>
          <cell r="D658" t="str">
            <v>OXXO-El Faro</v>
          </cell>
          <cell r="E658" t="str">
            <v>No</v>
          </cell>
          <cell r="F658" t="str">
            <v>27097156-3</v>
          </cell>
          <cell r="G658" t="str">
            <v>Antoima Garcia Delvis Eduardo</v>
          </cell>
          <cell r="H658" t="str">
            <v>Lider</v>
          </cell>
          <cell r="I658">
            <v>1</v>
          </cell>
          <cell r="J658">
            <v>43707993</v>
          </cell>
        </row>
        <row r="659">
          <cell r="C659" t="str">
            <v>50GDL</v>
          </cell>
          <cell r="D659" t="str">
            <v>OXXO-Los Coligues</v>
          </cell>
          <cell r="E659" t="str">
            <v>No</v>
          </cell>
          <cell r="F659" t="str">
            <v>19507769-K</v>
          </cell>
          <cell r="G659" t="str">
            <v>Contreras Fuentealba Yeritza Nicole</v>
          </cell>
          <cell r="H659" t="str">
            <v>Jefe De Sala</v>
          </cell>
          <cell r="I659">
            <v>2</v>
          </cell>
          <cell r="J659">
            <v>43587580</v>
          </cell>
        </row>
        <row r="660">
          <cell r="C660" t="str">
            <v>50GDL</v>
          </cell>
          <cell r="D660" t="str">
            <v>OXXO-Los Coligues</v>
          </cell>
          <cell r="E660" t="str">
            <v>No</v>
          </cell>
          <cell r="F660" t="str">
            <v>19738361-5</v>
          </cell>
          <cell r="G660" t="str">
            <v>Zepeda Oliva Roxana Nicole</v>
          </cell>
          <cell r="H660" t="str">
            <v>Cajero</v>
          </cell>
          <cell r="I660">
            <v>3</v>
          </cell>
          <cell r="J660">
            <v>43587580</v>
          </cell>
        </row>
        <row r="661">
          <cell r="C661" t="str">
            <v>50GDL</v>
          </cell>
          <cell r="D661" t="str">
            <v>OXXO-Los Coligues</v>
          </cell>
          <cell r="E661" t="str">
            <v>No</v>
          </cell>
          <cell r="F661" t="str">
            <v>21643171-5</v>
          </cell>
          <cell r="G661" t="str">
            <v>Contreras Cespedes Nicolas Benjamin</v>
          </cell>
          <cell r="H661" t="str">
            <v>Cajero</v>
          </cell>
          <cell r="I661">
            <v>3</v>
          </cell>
          <cell r="J661">
            <v>43587580</v>
          </cell>
        </row>
        <row r="662">
          <cell r="C662" t="str">
            <v>50GDL</v>
          </cell>
          <cell r="D662" t="str">
            <v>OXXO-Los Coligues</v>
          </cell>
          <cell r="E662" t="str">
            <v>No</v>
          </cell>
          <cell r="F662" t="str">
            <v>24595090-K</v>
          </cell>
          <cell r="G662" t="str">
            <v>Suyon Zapata Nathaly Lizbeth</v>
          </cell>
          <cell r="H662" t="str">
            <v>Jefe De Sala</v>
          </cell>
          <cell r="I662">
            <v>2</v>
          </cell>
          <cell r="J662">
            <v>43587580</v>
          </cell>
        </row>
        <row r="663">
          <cell r="C663" t="str">
            <v>50GDL</v>
          </cell>
          <cell r="D663" t="str">
            <v>OXXO-Los Coligues</v>
          </cell>
          <cell r="E663" t="str">
            <v>No</v>
          </cell>
          <cell r="F663" t="str">
            <v>27198065-5</v>
          </cell>
          <cell r="G663" t="str">
            <v>Raphael . Cheldalie</v>
          </cell>
          <cell r="H663" t="str">
            <v>Jefe De Sala</v>
          </cell>
          <cell r="I663">
            <v>2</v>
          </cell>
          <cell r="J663">
            <v>43587580</v>
          </cell>
        </row>
        <row r="664">
          <cell r="C664" t="str">
            <v>50GDL</v>
          </cell>
          <cell r="D664" t="str">
            <v>OXXO-Los Coligues</v>
          </cell>
          <cell r="E664" t="str">
            <v>No</v>
          </cell>
          <cell r="F664" t="str">
            <v>27829028-K</v>
          </cell>
          <cell r="G664" t="str">
            <v>Bencomo Hernandez Jaiker Jose</v>
          </cell>
          <cell r="H664" t="str">
            <v>Lider</v>
          </cell>
          <cell r="I664">
            <v>1</v>
          </cell>
          <cell r="J664">
            <v>43587580</v>
          </cell>
        </row>
        <row r="665">
          <cell r="C665" t="str">
            <v>50ZIR</v>
          </cell>
          <cell r="D665" t="str">
            <v>OXXO-Vicuña Diagonal</v>
          </cell>
          <cell r="E665" t="str">
            <v>No</v>
          </cell>
          <cell r="F665" t="str">
            <v>21136274-K</v>
          </cell>
          <cell r="G665" t="str">
            <v>Molina Saavedra Stephanie Scarlett</v>
          </cell>
          <cell r="H665" t="str">
            <v>Cajero</v>
          </cell>
          <cell r="I665">
            <v>3</v>
          </cell>
          <cell r="J665">
            <v>43581751</v>
          </cell>
        </row>
        <row r="666">
          <cell r="C666" t="str">
            <v>50ZIR</v>
          </cell>
          <cell r="D666" t="str">
            <v>OXXO-Vicuña Diagonal</v>
          </cell>
          <cell r="E666" t="str">
            <v>No</v>
          </cell>
          <cell r="F666" t="str">
            <v>26862276-4</v>
          </cell>
          <cell r="G666" t="str">
            <v>Briceño Contreras Yuleisy</v>
          </cell>
          <cell r="H666" t="str">
            <v>Lider</v>
          </cell>
          <cell r="I666">
            <v>1</v>
          </cell>
          <cell r="J666">
            <v>43581751</v>
          </cell>
        </row>
        <row r="667">
          <cell r="C667" t="str">
            <v>50ZIR</v>
          </cell>
          <cell r="D667" t="str">
            <v>OXXO-Vicuña Diagonal</v>
          </cell>
          <cell r="E667" t="str">
            <v>No</v>
          </cell>
          <cell r="F667" t="str">
            <v>27960535-7</v>
          </cell>
          <cell r="G667" t="str">
            <v>Rodriguez Colmenares Adriana Patricia</v>
          </cell>
          <cell r="H667" t="str">
            <v>Jefe De Sala</v>
          </cell>
          <cell r="I667">
            <v>2</v>
          </cell>
          <cell r="J667">
            <v>43581751</v>
          </cell>
        </row>
        <row r="668">
          <cell r="C668" t="str">
            <v>50KUF</v>
          </cell>
          <cell r="D668" t="str">
            <v>OXXO-Camino El Alba</v>
          </cell>
          <cell r="E668" t="str">
            <v>No</v>
          </cell>
          <cell r="F668" t="str">
            <v>18912359-0</v>
          </cell>
          <cell r="G668" t="str">
            <v>Romero Blanco Mariana Susana</v>
          </cell>
          <cell r="H668" t="str">
            <v>Cajero</v>
          </cell>
          <cell r="I668">
            <v>3</v>
          </cell>
          <cell r="J668">
            <v>43520680</v>
          </cell>
        </row>
        <row r="669">
          <cell r="C669" t="str">
            <v>50KUF</v>
          </cell>
          <cell r="D669" t="str">
            <v>OXXO-Camino El Alba</v>
          </cell>
          <cell r="E669" t="str">
            <v>No</v>
          </cell>
          <cell r="F669" t="str">
            <v>20221552-1</v>
          </cell>
          <cell r="G669" t="str">
            <v>Valenzuela Espinoza Catalina Alejandra</v>
          </cell>
          <cell r="H669" t="str">
            <v>Cajero</v>
          </cell>
          <cell r="I669">
            <v>3</v>
          </cell>
          <cell r="J669">
            <v>43520680</v>
          </cell>
        </row>
        <row r="670">
          <cell r="C670" t="str">
            <v>50KUF</v>
          </cell>
          <cell r="D670" t="str">
            <v>OXXO-Camino El Alba</v>
          </cell>
          <cell r="E670" t="str">
            <v>No</v>
          </cell>
          <cell r="F670" t="str">
            <v>21740240-9</v>
          </cell>
          <cell r="G670" t="str">
            <v>Tudela Valencia Isidora Carolina</v>
          </cell>
          <cell r="H670" t="str">
            <v>Cajero</v>
          </cell>
          <cell r="I670">
            <v>3</v>
          </cell>
          <cell r="J670">
            <v>43520680</v>
          </cell>
        </row>
        <row r="671">
          <cell r="C671" t="str">
            <v>50KUF</v>
          </cell>
          <cell r="D671" t="str">
            <v>OXXO-Camino El Alba</v>
          </cell>
          <cell r="E671" t="str">
            <v>No</v>
          </cell>
          <cell r="F671" t="str">
            <v>26181563-K</v>
          </cell>
          <cell r="G671" t="str">
            <v>Cardenas Sectifer Vanessa</v>
          </cell>
          <cell r="H671" t="str">
            <v>Cajero</v>
          </cell>
          <cell r="I671">
            <v>3</v>
          </cell>
          <cell r="J671">
            <v>43520680</v>
          </cell>
        </row>
        <row r="672">
          <cell r="C672" t="str">
            <v>50KUF</v>
          </cell>
          <cell r="D672" t="str">
            <v>OXXO-Camino El Alba</v>
          </cell>
          <cell r="E672" t="str">
            <v>No</v>
          </cell>
          <cell r="F672" t="str">
            <v>26888974-4</v>
          </cell>
          <cell r="G672" t="str">
            <v>Galaviz Montañez Sonia Aybrint</v>
          </cell>
          <cell r="H672" t="str">
            <v>Lider</v>
          </cell>
          <cell r="I672">
            <v>1</v>
          </cell>
          <cell r="J672">
            <v>43520680</v>
          </cell>
        </row>
        <row r="673">
          <cell r="C673" t="str">
            <v>50KUF</v>
          </cell>
          <cell r="D673" t="str">
            <v>OXXO-Camino El Alba</v>
          </cell>
          <cell r="E673" t="str">
            <v>No</v>
          </cell>
          <cell r="F673" t="str">
            <v>26956191-2</v>
          </cell>
          <cell r="G673" t="str">
            <v>Loor Villamar Edison Luis</v>
          </cell>
          <cell r="H673" t="str">
            <v>Cajero</v>
          </cell>
          <cell r="I673">
            <v>3</v>
          </cell>
          <cell r="J673">
            <v>43520680</v>
          </cell>
        </row>
        <row r="674">
          <cell r="C674" t="str">
            <v>50KUF</v>
          </cell>
          <cell r="D674" t="str">
            <v>OXXO-Camino El Alba</v>
          </cell>
          <cell r="E674" t="str">
            <v>No</v>
          </cell>
          <cell r="F674" t="str">
            <v>28372186-8</v>
          </cell>
          <cell r="G674" t="str">
            <v>Hernandez Rodriguez Yanelis</v>
          </cell>
          <cell r="H674" t="str">
            <v>Cajero</v>
          </cell>
          <cell r="I674">
            <v>3</v>
          </cell>
          <cell r="J674">
            <v>43520680</v>
          </cell>
        </row>
        <row r="675">
          <cell r="C675" t="str">
            <v>50VHN</v>
          </cell>
          <cell r="D675" t="str">
            <v>OXXO-La Concepcion</v>
          </cell>
          <cell r="E675" t="str">
            <v>No</v>
          </cell>
          <cell r="F675" t="str">
            <v>21230036-5</v>
          </cell>
          <cell r="G675" t="str">
            <v>Pizarro Gonzalez Francisca Ignacia</v>
          </cell>
          <cell r="H675" t="str">
            <v>Cajero</v>
          </cell>
          <cell r="I675">
            <v>3</v>
          </cell>
          <cell r="J675">
            <v>43508979</v>
          </cell>
        </row>
        <row r="676">
          <cell r="C676" t="str">
            <v>50VHN</v>
          </cell>
          <cell r="D676" t="str">
            <v>OXXO-La Concepcion</v>
          </cell>
          <cell r="E676" t="str">
            <v>No</v>
          </cell>
          <cell r="F676" t="str">
            <v>26153608-0</v>
          </cell>
          <cell r="G676" t="str">
            <v>Zambrano Bello Gabriela</v>
          </cell>
          <cell r="H676" t="str">
            <v>Lider</v>
          </cell>
          <cell r="I676">
            <v>1</v>
          </cell>
          <cell r="J676">
            <v>43508979</v>
          </cell>
        </row>
        <row r="677">
          <cell r="C677" t="str">
            <v>50VHN</v>
          </cell>
          <cell r="D677" t="str">
            <v>OXXO-La Concepcion</v>
          </cell>
          <cell r="E677" t="str">
            <v>No</v>
          </cell>
          <cell r="F677" t="str">
            <v>26887955-2</v>
          </cell>
          <cell r="G677" t="str">
            <v>Lopez Gutierrez Luisana Nathaly</v>
          </cell>
          <cell r="H677" t="str">
            <v>Jefe De Sala</v>
          </cell>
          <cell r="I677">
            <v>2</v>
          </cell>
          <cell r="J677">
            <v>43508979</v>
          </cell>
        </row>
        <row r="678">
          <cell r="C678" t="str">
            <v>50VHN</v>
          </cell>
          <cell r="D678" t="str">
            <v>OXXO-La Concepcion</v>
          </cell>
          <cell r="E678" t="str">
            <v>No</v>
          </cell>
          <cell r="F678" t="str">
            <v>27152885-K</v>
          </cell>
          <cell r="G678" t="str">
            <v>Pasquez Gonzalez Ica Mariela</v>
          </cell>
          <cell r="H678" t="str">
            <v>Cajero</v>
          </cell>
          <cell r="I678">
            <v>3</v>
          </cell>
          <cell r="J678">
            <v>43508979</v>
          </cell>
        </row>
        <row r="679">
          <cell r="C679" t="str">
            <v>50VHN</v>
          </cell>
          <cell r="D679" t="str">
            <v>OXXO-La Concepcion</v>
          </cell>
          <cell r="E679" t="str">
            <v>No</v>
          </cell>
          <cell r="F679" t="str">
            <v>28097470-6</v>
          </cell>
          <cell r="G679" t="str">
            <v>Diaz Escalona Cesar</v>
          </cell>
          <cell r="H679" t="str">
            <v>Cajero</v>
          </cell>
          <cell r="I679">
            <v>3</v>
          </cell>
          <cell r="J679">
            <v>43508979</v>
          </cell>
        </row>
        <row r="680">
          <cell r="C680" t="str">
            <v>5032O</v>
          </cell>
          <cell r="D680" t="str">
            <v>OXXO-Barros Borgoño</v>
          </cell>
          <cell r="E680" t="str">
            <v>No</v>
          </cell>
          <cell r="F680" t="str">
            <v>21037282-2</v>
          </cell>
          <cell r="G680" t="str">
            <v>Venegas Navarro Thomas Benjamin</v>
          </cell>
          <cell r="H680" t="str">
            <v>Cajero</v>
          </cell>
          <cell r="I680">
            <v>3</v>
          </cell>
          <cell r="J680">
            <v>43374876</v>
          </cell>
        </row>
        <row r="681">
          <cell r="C681" t="str">
            <v>5032O</v>
          </cell>
          <cell r="D681" t="str">
            <v>OXXO-Barros Borgoño</v>
          </cell>
          <cell r="E681" t="str">
            <v>No</v>
          </cell>
          <cell r="F681" t="str">
            <v>26492886-9</v>
          </cell>
          <cell r="G681" t="str">
            <v>Rios Berrios Luz Adriana</v>
          </cell>
          <cell r="H681" t="str">
            <v>Jefe De Sala</v>
          </cell>
          <cell r="I681">
            <v>2</v>
          </cell>
          <cell r="J681">
            <v>43374876</v>
          </cell>
        </row>
        <row r="682">
          <cell r="C682" t="str">
            <v>5032O</v>
          </cell>
          <cell r="D682" t="str">
            <v>OXXO-Barros Borgoño</v>
          </cell>
          <cell r="E682" t="str">
            <v>No</v>
          </cell>
          <cell r="F682" t="str">
            <v>26555395-8</v>
          </cell>
          <cell r="G682" t="str">
            <v>Gonzalez . Maria</v>
          </cell>
          <cell r="H682" t="str">
            <v>Cajero</v>
          </cell>
          <cell r="I682">
            <v>3</v>
          </cell>
          <cell r="J682">
            <v>43374876</v>
          </cell>
        </row>
        <row r="683">
          <cell r="C683" t="str">
            <v>5032O</v>
          </cell>
          <cell r="D683" t="str">
            <v>OXXO-Barros Borgoño</v>
          </cell>
          <cell r="E683" t="str">
            <v>No</v>
          </cell>
          <cell r="F683" t="str">
            <v>27187842-7</v>
          </cell>
          <cell r="G683" t="str">
            <v>Mendoza Salas Lizneidy Andreina</v>
          </cell>
          <cell r="H683" t="str">
            <v>Cajero</v>
          </cell>
          <cell r="I683">
            <v>3</v>
          </cell>
          <cell r="J683">
            <v>43374876</v>
          </cell>
        </row>
        <row r="684">
          <cell r="C684" t="str">
            <v>50CLM</v>
          </cell>
          <cell r="D684" t="str">
            <v>OXXO-Lomas De San Sebastian</v>
          </cell>
          <cell r="E684" t="str">
            <v>No</v>
          </cell>
          <cell r="F684" t="str">
            <v>20209049-4</v>
          </cell>
          <cell r="G684" t="str">
            <v>Peña Toloza Ingrid Ivonne</v>
          </cell>
          <cell r="H684" t="str">
            <v>Cajero</v>
          </cell>
          <cell r="I684">
            <v>3</v>
          </cell>
          <cell r="J684">
            <v>43094525</v>
          </cell>
        </row>
        <row r="685">
          <cell r="C685" t="str">
            <v>50CLM</v>
          </cell>
          <cell r="D685" t="str">
            <v>OXXO-Lomas De San Sebastian</v>
          </cell>
          <cell r="E685" t="str">
            <v>No</v>
          </cell>
          <cell r="F685" t="str">
            <v>20415356-6</v>
          </cell>
          <cell r="G685" t="str">
            <v>Avila Diaz Paulina Andrea</v>
          </cell>
          <cell r="H685" t="str">
            <v>Cajero</v>
          </cell>
          <cell r="I685">
            <v>3</v>
          </cell>
          <cell r="J685">
            <v>43094525</v>
          </cell>
        </row>
        <row r="686">
          <cell r="C686" t="str">
            <v>50CLM</v>
          </cell>
          <cell r="D686" t="str">
            <v>OXXO-Lomas De San Sebastian</v>
          </cell>
          <cell r="E686" t="str">
            <v>No</v>
          </cell>
          <cell r="F686" t="str">
            <v>25935491-9</v>
          </cell>
          <cell r="G686" t="str">
            <v>Garcia Perez Lizzeth Oscarely</v>
          </cell>
          <cell r="H686" t="str">
            <v>Cajero</v>
          </cell>
          <cell r="I686">
            <v>3</v>
          </cell>
          <cell r="J686">
            <v>43094525</v>
          </cell>
        </row>
        <row r="687">
          <cell r="C687" t="str">
            <v>50CLM</v>
          </cell>
          <cell r="D687" t="str">
            <v>OXXO-Lomas De San Sebastian</v>
          </cell>
          <cell r="E687" t="str">
            <v>No</v>
          </cell>
          <cell r="F687" t="str">
            <v>26659184-5</v>
          </cell>
          <cell r="G687" t="str">
            <v>Espinoza Davila Karol Yumari</v>
          </cell>
          <cell r="H687" t="str">
            <v>Jefe De Sala</v>
          </cell>
          <cell r="I687">
            <v>2</v>
          </cell>
          <cell r="J687">
            <v>43094525</v>
          </cell>
        </row>
        <row r="688">
          <cell r="C688" t="str">
            <v>50CLM</v>
          </cell>
          <cell r="D688" t="str">
            <v>OXXO-Lomas De San Sebastian</v>
          </cell>
          <cell r="E688" t="str">
            <v>No</v>
          </cell>
          <cell r="F688" t="str">
            <v>26731577-9</v>
          </cell>
          <cell r="G688" t="str">
            <v>Guevara Rivero Yoleida Coromoto</v>
          </cell>
          <cell r="H688" t="str">
            <v>Lider</v>
          </cell>
          <cell r="I688">
            <v>1</v>
          </cell>
          <cell r="J688">
            <v>43094525</v>
          </cell>
        </row>
        <row r="689">
          <cell r="C689" t="str">
            <v>50OKA</v>
          </cell>
          <cell r="D689" t="str">
            <v>OKM-Acacios</v>
          </cell>
          <cell r="E689" t="str">
            <v>No</v>
          </cell>
          <cell r="F689" t="str">
            <v>10010227-7</v>
          </cell>
          <cell r="G689" t="str">
            <v>Bravo Almendra Carmen</v>
          </cell>
          <cell r="H689" t="str">
            <v>Cajero</v>
          </cell>
          <cell r="I689">
            <v>3</v>
          </cell>
          <cell r="J689">
            <v>43064010</v>
          </cell>
        </row>
        <row r="690">
          <cell r="C690" t="str">
            <v>50OKA</v>
          </cell>
          <cell r="D690" t="str">
            <v>OKM-Acacios</v>
          </cell>
          <cell r="E690" t="str">
            <v>No</v>
          </cell>
          <cell r="F690" t="str">
            <v>12529125-2</v>
          </cell>
          <cell r="G690" t="str">
            <v>Montero Sanhueza Juana Haydee</v>
          </cell>
          <cell r="H690" t="str">
            <v>Cajero</v>
          </cell>
          <cell r="I690">
            <v>3</v>
          </cell>
          <cell r="J690">
            <v>43064010</v>
          </cell>
        </row>
        <row r="691">
          <cell r="C691" t="str">
            <v>50OKA</v>
          </cell>
          <cell r="D691" t="str">
            <v>OKM-Acacios</v>
          </cell>
          <cell r="E691" t="str">
            <v>No</v>
          </cell>
          <cell r="F691" t="str">
            <v>12560573-7</v>
          </cell>
          <cell r="G691" t="str">
            <v>Bizama De La Rosa Ingrid Del Pilar</v>
          </cell>
          <cell r="H691" t="str">
            <v>Cajero</v>
          </cell>
          <cell r="I691">
            <v>3</v>
          </cell>
          <cell r="J691">
            <v>43064010</v>
          </cell>
        </row>
        <row r="692">
          <cell r="C692" t="str">
            <v>50OKA</v>
          </cell>
          <cell r="D692" t="str">
            <v>OKM-Acacios</v>
          </cell>
          <cell r="E692" t="str">
            <v>No</v>
          </cell>
          <cell r="F692" t="str">
            <v>15615627-2</v>
          </cell>
          <cell r="G692" t="str">
            <v>Cisterna Gonzalez Veronica</v>
          </cell>
          <cell r="H692" t="str">
            <v>Lider</v>
          </cell>
          <cell r="I692">
            <v>1</v>
          </cell>
          <cell r="J692">
            <v>43064010</v>
          </cell>
        </row>
        <row r="693">
          <cell r="C693" t="str">
            <v>50OKA</v>
          </cell>
          <cell r="D693" t="str">
            <v>OKM-Acacios</v>
          </cell>
          <cell r="E693" t="str">
            <v>No</v>
          </cell>
          <cell r="F693" t="str">
            <v>21002832-3</v>
          </cell>
          <cell r="G693" t="str">
            <v>Mendoza Bizama Ahijara Fernanda</v>
          </cell>
          <cell r="H693" t="str">
            <v>Cajero</v>
          </cell>
          <cell r="I693">
            <v>3</v>
          </cell>
          <cell r="J693">
            <v>43064010</v>
          </cell>
        </row>
        <row r="694">
          <cell r="C694" t="str">
            <v>50REU</v>
          </cell>
          <cell r="D694" t="str">
            <v>OXXO-Colon - Pontevedra</v>
          </cell>
          <cell r="E694" t="str">
            <v>No</v>
          </cell>
          <cell r="F694" t="str">
            <v>17920923-3</v>
          </cell>
          <cell r="G694" t="str">
            <v>Verdugo Muñoz Mauricio Alexis</v>
          </cell>
          <cell r="H694" t="str">
            <v>Cajero</v>
          </cell>
          <cell r="I694">
            <v>3</v>
          </cell>
          <cell r="J694">
            <v>43002505</v>
          </cell>
        </row>
        <row r="695">
          <cell r="C695" t="str">
            <v>50REU</v>
          </cell>
          <cell r="D695" t="str">
            <v>OXXO-Colon - Pontevedra</v>
          </cell>
          <cell r="E695" t="str">
            <v>No</v>
          </cell>
          <cell r="F695" t="str">
            <v>18767646-0</v>
          </cell>
          <cell r="G695" t="str">
            <v>Catalan Canio Claudio</v>
          </cell>
          <cell r="H695" t="str">
            <v>Cajero</v>
          </cell>
          <cell r="I695">
            <v>3</v>
          </cell>
          <cell r="J695">
            <v>43002505</v>
          </cell>
        </row>
        <row r="696">
          <cell r="C696" t="str">
            <v>50REU</v>
          </cell>
          <cell r="D696" t="str">
            <v>OXXO-Colon - Pontevedra</v>
          </cell>
          <cell r="E696" t="str">
            <v>No</v>
          </cell>
          <cell r="F696" t="str">
            <v>20398661-0</v>
          </cell>
          <cell r="G696" t="str">
            <v>Barrera Castillo Sasha Sofia</v>
          </cell>
          <cell r="H696" t="str">
            <v>Jefe De Sala</v>
          </cell>
          <cell r="I696">
            <v>2</v>
          </cell>
          <cell r="J696">
            <v>43002505</v>
          </cell>
        </row>
        <row r="697">
          <cell r="C697" t="str">
            <v>50REU</v>
          </cell>
          <cell r="D697" t="str">
            <v>OXXO-Colon - Pontevedra</v>
          </cell>
          <cell r="E697" t="str">
            <v>No</v>
          </cell>
          <cell r="F697" t="str">
            <v>25660620-8</v>
          </cell>
          <cell r="G697" t="str">
            <v>Parrales Moran Tatiana  Veronica</v>
          </cell>
          <cell r="H697" t="str">
            <v>Lider</v>
          </cell>
          <cell r="I697">
            <v>1</v>
          </cell>
          <cell r="J697">
            <v>43002505</v>
          </cell>
        </row>
        <row r="698">
          <cell r="C698" t="str">
            <v>50REU</v>
          </cell>
          <cell r="D698" t="str">
            <v>OXXO-Colon - Pontevedra</v>
          </cell>
          <cell r="E698" t="str">
            <v>No</v>
          </cell>
          <cell r="F698" t="str">
            <v>26709408-K</v>
          </cell>
          <cell r="G698" t="str">
            <v>Maza Maza Lusbelis Del Valle</v>
          </cell>
          <cell r="H698" t="str">
            <v>Jefe De Sala</v>
          </cell>
          <cell r="I698">
            <v>2</v>
          </cell>
          <cell r="J698">
            <v>43002505</v>
          </cell>
        </row>
        <row r="699">
          <cell r="C699" t="str">
            <v>50QVX</v>
          </cell>
          <cell r="D699" t="str">
            <v>OXXO-Costa Montemar</v>
          </cell>
          <cell r="E699" t="str">
            <v>No</v>
          </cell>
          <cell r="F699" t="str">
            <v>13995102-6</v>
          </cell>
          <cell r="G699" t="str">
            <v>Carter De Prada Cristian Andres</v>
          </cell>
          <cell r="H699" t="str">
            <v>Cajero</v>
          </cell>
          <cell r="I699">
            <v>3</v>
          </cell>
          <cell r="J699">
            <v>42871074</v>
          </cell>
        </row>
        <row r="700">
          <cell r="C700" t="str">
            <v>50QVX</v>
          </cell>
          <cell r="D700" t="str">
            <v>OXXO-Costa Montemar</v>
          </cell>
          <cell r="E700" t="str">
            <v>No</v>
          </cell>
          <cell r="F700" t="str">
            <v>17356174-1</v>
          </cell>
          <cell r="G700" t="str">
            <v>Guerra Gonzalez Elias Aaron</v>
          </cell>
          <cell r="H700" t="str">
            <v>Lider</v>
          </cell>
          <cell r="I700">
            <v>1</v>
          </cell>
          <cell r="J700">
            <v>42871074</v>
          </cell>
        </row>
        <row r="701">
          <cell r="C701" t="str">
            <v>50QVX</v>
          </cell>
          <cell r="D701" t="str">
            <v>OXXO-Costa Montemar</v>
          </cell>
          <cell r="E701" t="str">
            <v>No</v>
          </cell>
          <cell r="F701" t="str">
            <v>18586281-K</v>
          </cell>
          <cell r="G701" t="str">
            <v>Arroyo Molina Natalia Estefania</v>
          </cell>
          <cell r="H701" t="str">
            <v>Cajero</v>
          </cell>
          <cell r="I701">
            <v>3</v>
          </cell>
          <cell r="J701">
            <v>42871074</v>
          </cell>
        </row>
        <row r="702">
          <cell r="C702" t="str">
            <v>50QVX</v>
          </cell>
          <cell r="D702" t="str">
            <v>OXXO-Costa Montemar</v>
          </cell>
          <cell r="E702" t="str">
            <v>No</v>
          </cell>
          <cell r="F702" t="str">
            <v>18704907-5</v>
          </cell>
          <cell r="G702" t="str">
            <v>Castillo Robles Nicolas Alberto</v>
          </cell>
          <cell r="H702" t="str">
            <v>Jefe De Sala</v>
          </cell>
          <cell r="I702">
            <v>2</v>
          </cell>
          <cell r="J702">
            <v>42871074</v>
          </cell>
        </row>
        <row r="703">
          <cell r="C703" t="str">
            <v>50QVX</v>
          </cell>
          <cell r="D703" t="str">
            <v>OXXO-Costa Montemar</v>
          </cell>
          <cell r="E703" t="str">
            <v>No</v>
          </cell>
          <cell r="F703" t="str">
            <v>21876127-5</v>
          </cell>
          <cell r="G703" t="str">
            <v>Monsalve Iturriaga Isidora Dominique</v>
          </cell>
          <cell r="H703" t="str">
            <v>Cajero</v>
          </cell>
          <cell r="I703">
            <v>3</v>
          </cell>
          <cell r="J703">
            <v>42871074</v>
          </cell>
        </row>
        <row r="704">
          <cell r="C704" t="str">
            <v>50QVX</v>
          </cell>
          <cell r="D704" t="str">
            <v>OXXO-Costa Montemar</v>
          </cell>
          <cell r="E704" t="str">
            <v>No</v>
          </cell>
          <cell r="F704" t="str">
            <v>26519608-K</v>
          </cell>
          <cell r="G704" t="str">
            <v>Garanton Torrealba Jackson</v>
          </cell>
          <cell r="H704" t="str">
            <v>Cajero</v>
          </cell>
          <cell r="I704">
            <v>3</v>
          </cell>
          <cell r="J704">
            <v>42871074</v>
          </cell>
        </row>
        <row r="705">
          <cell r="C705" t="str">
            <v>50UXA</v>
          </cell>
          <cell r="D705" t="str">
            <v>OXXO-La Plaza</v>
          </cell>
          <cell r="E705" t="str">
            <v>No</v>
          </cell>
          <cell r="F705" t="str">
            <v>18875377-9</v>
          </cell>
          <cell r="G705" t="str">
            <v>Pereira Inostroza Carla Andrea</v>
          </cell>
          <cell r="H705" t="str">
            <v>Jefe De Sala</v>
          </cell>
          <cell r="I705">
            <v>2</v>
          </cell>
          <cell r="J705">
            <v>42782407</v>
          </cell>
        </row>
        <row r="706">
          <cell r="C706" t="str">
            <v>50UXA</v>
          </cell>
          <cell r="D706" t="str">
            <v>OXXO-La Plaza</v>
          </cell>
          <cell r="E706" t="str">
            <v>No</v>
          </cell>
          <cell r="F706" t="str">
            <v>21067225-7</v>
          </cell>
          <cell r="G706" t="str">
            <v>Soza Merino Cristobal Ignacio</v>
          </cell>
          <cell r="H706" t="str">
            <v>Jefe De Sala</v>
          </cell>
          <cell r="I706">
            <v>2</v>
          </cell>
          <cell r="J706">
            <v>42782407</v>
          </cell>
        </row>
        <row r="707">
          <cell r="C707" t="str">
            <v>50UXA</v>
          </cell>
          <cell r="D707" t="str">
            <v>OXXO-La Plaza</v>
          </cell>
          <cell r="E707" t="str">
            <v>No</v>
          </cell>
          <cell r="F707" t="str">
            <v>21082612-2</v>
          </cell>
          <cell r="G707" t="str">
            <v>Maturana Ibarra Luciano Ignacio</v>
          </cell>
          <cell r="H707" t="str">
            <v>Cajero</v>
          </cell>
          <cell r="I707">
            <v>3</v>
          </cell>
          <cell r="J707">
            <v>42782407</v>
          </cell>
        </row>
        <row r="708">
          <cell r="C708" t="str">
            <v>50UXA</v>
          </cell>
          <cell r="D708" t="str">
            <v>OXXO-La Plaza</v>
          </cell>
          <cell r="E708" t="str">
            <v>No</v>
          </cell>
          <cell r="F708" t="str">
            <v>21467997-3</v>
          </cell>
          <cell r="G708" t="str">
            <v>Huecho Vasquez Kiara Francisca</v>
          </cell>
          <cell r="H708" t="str">
            <v>Cajero</v>
          </cell>
          <cell r="I708">
            <v>3</v>
          </cell>
          <cell r="J708">
            <v>42782407</v>
          </cell>
        </row>
        <row r="709">
          <cell r="C709" t="str">
            <v>50UXA</v>
          </cell>
          <cell r="D709" t="str">
            <v>OXXO-La Plaza</v>
          </cell>
          <cell r="E709" t="str">
            <v>No</v>
          </cell>
          <cell r="F709" t="str">
            <v>26893703-K</v>
          </cell>
          <cell r="G709" t="str">
            <v>Di Luca Brelio Esther Yamilet</v>
          </cell>
          <cell r="H709" t="str">
            <v>Lider</v>
          </cell>
          <cell r="I709">
            <v>1</v>
          </cell>
          <cell r="J709">
            <v>42782407</v>
          </cell>
        </row>
        <row r="710">
          <cell r="C710" t="str">
            <v>50SJS</v>
          </cell>
          <cell r="D710" t="str">
            <v>OXXO-San Jose De La Sierra</v>
          </cell>
          <cell r="E710" t="str">
            <v>No</v>
          </cell>
          <cell r="F710" t="str">
            <v>17642490-7</v>
          </cell>
          <cell r="G710" t="str">
            <v>Cabrera De La Piedra Jose Miguel</v>
          </cell>
          <cell r="H710" t="str">
            <v>Cajero</v>
          </cell>
          <cell r="I710">
            <v>3</v>
          </cell>
          <cell r="J710">
            <v>42754162</v>
          </cell>
        </row>
        <row r="711">
          <cell r="C711" t="str">
            <v>50SJS</v>
          </cell>
          <cell r="D711" t="str">
            <v>OXXO-San Jose De La Sierra</v>
          </cell>
          <cell r="E711" t="str">
            <v>No</v>
          </cell>
          <cell r="F711" t="str">
            <v>18780311-K</v>
          </cell>
          <cell r="G711" t="str">
            <v>Flores Muñoz Carla Soledad</v>
          </cell>
          <cell r="H711" t="str">
            <v>Jefe De Sala</v>
          </cell>
          <cell r="I711">
            <v>2</v>
          </cell>
          <cell r="J711">
            <v>42754162</v>
          </cell>
        </row>
        <row r="712">
          <cell r="C712" t="str">
            <v>50SJS</v>
          </cell>
          <cell r="D712" t="str">
            <v>OXXO-San Jose De La Sierra</v>
          </cell>
          <cell r="E712" t="str">
            <v>No</v>
          </cell>
          <cell r="F712" t="str">
            <v>20675873-2</v>
          </cell>
          <cell r="G712" t="str">
            <v>Vargas Pinto Maximiliano Israel</v>
          </cell>
          <cell r="H712" t="str">
            <v>Cajero</v>
          </cell>
          <cell r="I712">
            <v>3</v>
          </cell>
          <cell r="J712">
            <v>42754162</v>
          </cell>
        </row>
        <row r="713">
          <cell r="C713" t="str">
            <v>50SJS</v>
          </cell>
          <cell r="D713" t="str">
            <v>OXXO-San Jose De La Sierra</v>
          </cell>
          <cell r="E713" t="str">
            <v>No</v>
          </cell>
          <cell r="F713" t="str">
            <v>24746240-6</v>
          </cell>
          <cell r="G713" t="str">
            <v>Rosales Gomez Osman De Jesus</v>
          </cell>
          <cell r="H713" t="str">
            <v>Jefe De Sala</v>
          </cell>
          <cell r="I713">
            <v>2</v>
          </cell>
          <cell r="J713">
            <v>42754162</v>
          </cell>
        </row>
        <row r="714">
          <cell r="C714" t="str">
            <v>50SJS</v>
          </cell>
          <cell r="D714" t="str">
            <v>OXXO-San Jose De La Sierra</v>
          </cell>
          <cell r="E714" t="str">
            <v>No</v>
          </cell>
          <cell r="F714" t="str">
            <v>25926948-2</v>
          </cell>
          <cell r="G714" t="str">
            <v>Morin Soto Marco Antonio</v>
          </cell>
          <cell r="H714" t="str">
            <v>Lider</v>
          </cell>
          <cell r="I714">
            <v>1</v>
          </cell>
          <cell r="J714">
            <v>42754162</v>
          </cell>
        </row>
        <row r="715">
          <cell r="C715" t="str">
            <v>50XEV</v>
          </cell>
          <cell r="D715" t="str">
            <v>OXXO-Holanda - Pio X</v>
          </cell>
          <cell r="E715" t="str">
            <v>No</v>
          </cell>
          <cell r="F715" t="str">
            <v>19321194-1</v>
          </cell>
          <cell r="G715" t="str">
            <v>Aguilera Castro Pablo Andres</v>
          </cell>
          <cell r="H715" t="str">
            <v>Cajero</v>
          </cell>
          <cell r="I715">
            <v>3</v>
          </cell>
          <cell r="J715">
            <v>42394803</v>
          </cell>
        </row>
        <row r="716">
          <cell r="C716" t="str">
            <v>50XEV</v>
          </cell>
          <cell r="D716" t="str">
            <v>OXXO-Holanda - Pio X</v>
          </cell>
          <cell r="E716" t="str">
            <v>No</v>
          </cell>
          <cell r="F716" t="str">
            <v>20385848-5</v>
          </cell>
          <cell r="G716" t="str">
            <v>Angulo Muñoz Camilo Alejandro</v>
          </cell>
          <cell r="H716" t="str">
            <v>Lider</v>
          </cell>
          <cell r="I716">
            <v>1</v>
          </cell>
          <cell r="J716">
            <v>42394803</v>
          </cell>
        </row>
        <row r="717">
          <cell r="C717" t="str">
            <v>50XEV</v>
          </cell>
          <cell r="D717" t="str">
            <v>OXXO-Holanda - Pio X</v>
          </cell>
          <cell r="E717" t="str">
            <v>No</v>
          </cell>
          <cell r="F717" t="str">
            <v>27148685-5</v>
          </cell>
          <cell r="G717" t="str">
            <v>Caruci Manrique Yessica</v>
          </cell>
          <cell r="H717" t="str">
            <v>Cajero</v>
          </cell>
          <cell r="I717">
            <v>3</v>
          </cell>
          <cell r="J717">
            <v>42394803</v>
          </cell>
        </row>
        <row r="718">
          <cell r="C718" t="str">
            <v>50XEV</v>
          </cell>
          <cell r="D718" t="str">
            <v>OXXO-Holanda - Pio X</v>
          </cell>
          <cell r="E718" t="str">
            <v>No</v>
          </cell>
          <cell r="F718" t="str">
            <v>27227685-4</v>
          </cell>
          <cell r="G718" t="str">
            <v>Henriquez Romero Jose Manuel</v>
          </cell>
          <cell r="H718" t="str">
            <v>Cajero</v>
          </cell>
          <cell r="I718">
            <v>3</v>
          </cell>
          <cell r="J718">
            <v>42394803</v>
          </cell>
        </row>
        <row r="719">
          <cell r="C719" t="str">
            <v>50XEV</v>
          </cell>
          <cell r="D719" t="str">
            <v>OXXO-Holanda - Pio X</v>
          </cell>
          <cell r="E719" t="str">
            <v>No</v>
          </cell>
          <cell r="F719" t="str">
            <v>27228799-6</v>
          </cell>
          <cell r="G719" t="str">
            <v>Ojeda Ramirez Andrea Danielys</v>
          </cell>
          <cell r="H719" t="str">
            <v>Jefe De Sala</v>
          </cell>
          <cell r="I719">
            <v>2</v>
          </cell>
          <cell r="J719">
            <v>42394803</v>
          </cell>
        </row>
        <row r="720">
          <cell r="C720" t="str">
            <v>50OMZ</v>
          </cell>
          <cell r="D720" t="str">
            <v>OXXO-Martin De Zamora 2</v>
          </cell>
          <cell r="E720" t="str">
            <v>No</v>
          </cell>
          <cell r="F720" t="str">
            <v>09490185-5</v>
          </cell>
          <cell r="G720" t="str">
            <v>Astorga Arejula Enriqueta</v>
          </cell>
          <cell r="H720" t="str">
            <v>Cajero</v>
          </cell>
          <cell r="I720">
            <v>3</v>
          </cell>
          <cell r="J720">
            <v>42034927</v>
          </cell>
        </row>
        <row r="721">
          <cell r="C721" t="str">
            <v>50OMZ</v>
          </cell>
          <cell r="D721" t="str">
            <v>OXXO-Martin De Zamora 2</v>
          </cell>
          <cell r="E721" t="str">
            <v>No</v>
          </cell>
          <cell r="F721" t="str">
            <v>20107881-4</v>
          </cell>
          <cell r="G721" t="str">
            <v>Lay Lorca Mei Li</v>
          </cell>
          <cell r="H721" t="str">
            <v>Cajero</v>
          </cell>
          <cell r="I721">
            <v>3</v>
          </cell>
          <cell r="J721">
            <v>42034927</v>
          </cell>
        </row>
        <row r="722">
          <cell r="C722" t="str">
            <v>50OMZ</v>
          </cell>
          <cell r="D722" t="str">
            <v>OXXO-Martin De Zamora 2</v>
          </cell>
          <cell r="E722" t="str">
            <v>No</v>
          </cell>
          <cell r="F722" t="str">
            <v>25814880-0</v>
          </cell>
          <cell r="G722" t="str">
            <v>Gonzalez Frontado Wilmaris Lilianis</v>
          </cell>
          <cell r="H722" t="str">
            <v>Cajero</v>
          </cell>
          <cell r="I722">
            <v>3</v>
          </cell>
          <cell r="J722">
            <v>42034927</v>
          </cell>
        </row>
        <row r="723">
          <cell r="C723" t="str">
            <v>50OMZ</v>
          </cell>
          <cell r="D723" t="str">
            <v>OXXO-Martin De Zamora 2</v>
          </cell>
          <cell r="E723" t="str">
            <v>No</v>
          </cell>
          <cell r="F723" t="str">
            <v>25968135-9</v>
          </cell>
          <cell r="G723" t="str">
            <v>De La Rosa Carrasco Blanca Osveida</v>
          </cell>
          <cell r="H723" t="str">
            <v>Lider</v>
          </cell>
          <cell r="I723">
            <v>1</v>
          </cell>
          <cell r="J723">
            <v>42034927</v>
          </cell>
        </row>
        <row r="724">
          <cell r="C724" t="str">
            <v>50OAJ</v>
          </cell>
          <cell r="D724" t="str">
            <v>OXXO-Armando Jaramillo</v>
          </cell>
          <cell r="E724" t="str">
            <v>No</v>
          </cell>
          <cell r="F724" t="str">
            <v>25867985-7</v>
          </cell>
          <cell r="G724" t="str">
            <v>Blanco . Francois Guillermo</v>
          </cell>
          <cell r="H724" t="str">
            <v>Lider</v>
          </cell>
          <cell r="I724">
            <v>1</v>
          </cell>
          <cell r="J724">
            <v>41832523</v>
          </cell>
        </row>
        <row r="725">
          <cell r="C725" t="str">
            <v>50OAJ</v>
          </cell>
          <cell r="D725" t="str">
            <v>OXXO-Armando Jaramillo</v>
          </cell>
          <cell r="E725" t="str">
            <v>No</v>
          </cell>
          <cell r="F725" t="str">
            <v>27434610-8</v>
          </cell>
          <cell r="G725" t="str">
            <v>Urdaneta Piña Edison</v>
          </cell>
          <cell r="H725" t="str">
            <v>Jefe De Sala</v>
          </cell>
          <cell r="I725">
            <v>2</v>
          </cell>
          <cell r="J725">
            <v>41832523</v>
          </cell>
        </row>
        <row r="726">
          <cell r="C726" t="str">
            <v>50OAJ</v>
          </cell>
          <cell r="D726" t="str">
            <v>OXXO-Armando Jaramillo</v>
          </cell>
          <cell r="E726" t="str">
            <v>No</v>
          </cell>
          <cell r="F726" t="str">
            <v>28299875-0</v>
          </cell>
          <cell r="G726" t="str">
            <v>Rosell Mirabal Enrique</v>
          </cell>
          <cell r="H726" t="str">
            <v>Cajero</v>
          </cell>
          <cell r="I726">
            <v>3</v>
          </cell>
          <cell r="J726">
            <v>41832523</v>
          </cell>
        </row>
        <row r="727">
          <cell r="C727" t="str">
            <v>50DPR</v>
          </cell>
          <cell r="D727" t="str">
            <v>OXXO-Padre Mariano</v>
          </cell>
          <cell r="E727" t="str">
            <v>No</v>
          </cell>
          <cell r="F727" t="str">
            <v>24670418-K</v>
          </cell>
          <cell r="G727" t="str">
            <v>Narvaez Fernandez Diana Marcela</v>
          </cell>
          <cell r="H727" t="str">
            <v>Lider</v>
          </cell>
          <cell r="I727">
            <v>1</v>
          </cell>
          <cell r="J727">
            <v>41794062</v>
          </cell>
        </row>
        <row r="728">
          <cell r="C728" t="str">
            <v>50DPR</v>
          </cell>
          <cell r="D728" t="str">
            <v>OXXO-Padre Mariano</v>
          </cell>
          <cell r="E728" t="str">
            <v>No</v>
          </cell>
          <cell r="F728" t="str">
            <v>27099814-3</v>
          </cell>
          <cell r="G728" t="str">
            <v>Calderon Calderon Yusneidi Maria</v>
          </cell>
          <cell r="H728" t="str">
            <v>Jefe De Sala</v>
          </cell>
          <cell r="I728">
            <v>2</v>
          </cell>
          <cell r="J728">
            <v>41794062</v>
          </cell>
        </row>
        <row r="729">
          <cell r="C729" t="str">
            <v>50DPR</v>
          </cell>
          <cell r="D729" t="str">
            <v>OXXO-Padre Mariano</v>
          </cell>
          <cell r="E729" t="str">
            <v>No</v>
          </cell>
          <cell r="F729" t="str">
            <v>28260171-0</v>
          </cell>
          <cell r="G729" t="str">
            <v>Zapata . Valentina</v>
          </cell>
          <cell r="H729" t="str">
            <v>Cajero</v>
          </cell>
          <cell r="I729">
            <v>3</v>
          </cell>
          <cell r="J729">
            <v>41794062</v>
          </cell>
        </row>
        <row r="730">
          <cell r="C730" t="str">
            <v>50SKV</v>
          </cell>
          <cell r="D730" t="str">
            <v>OXXO-Isidora</v>
          </cell>
          <cell r="E730" t="str">
            <v>No</v>
          </cell>
          <cell r="F730" t="str">
            <v>10901584-9</v>
          </cell>
          <cell r="G730" t="str">
            <v>Sandoval Riquelme Ilse Pamela</v>
          </cell>
          <cell r="H730" t="str">
            <v>Jefe De Sala</v>
          </cell>
          <cell r="I730">
            <v>2</v>
          </cell>
          <cell r="J730">
            <v>41669687</v>
          </cell>
        </row>
        <row r="731">
          <cell r="C731" t="str">
            <v>50SKV</v>
          </cell>
          <cell r="D731" t="str">
            <v>OXXO-Isidora</v>
          </cell>
          <cell r="E731" t="str">
            <v>No</v>
          </cell>
          <cell r="F731" t="str">
            <v>21611178-8</v>
          </cell>
          <cell r="G731" t="str">
            <v>Ferrada Moyano Antonia Belen</v>
          </cell>
          <cell r="H731" t="str">
            <v>Cajero</v>
          </cell>
          <cell r="I731">
            <v>3</v>
          </cell>
          <cell r="J731">
            <v>41669687</v>
          </cell>
        </row>
        <row r="732">
          <cell r="C732" t="str">
            <v>50SKV</v>
          </cell>
          <cell r="D732" t="str">
            <v>OXXO-Isidora</v>
          </cell>
          <cell r="E732" t="str">
            <v>No</v>
          </cell>
          <cell r="F732" t="str">
            <v>26458877-4</v>
          </cell>
          <cell r="G732" t="str">
            <v>Galietta Parejo Marco</v>
          </cell>
          <cell r="H732" t="str">
            <v>Cajero</v>
          </cell>
          <cell r="I732">
            <v>3</v>
          </cell>
          <cell r="J732">
            <v>41669687</v>
          </cell>
        </row>
        <row r="733">
          <cell r="C733" t="str">
            <v>50SKV</v>
          </cell>
          <cell r="D733" t="str">
            <v>OXXO-Isidora</v>
          </cell>
          <cell r="E733" t="str">
            <v>No</v>
          </cell>
          <cell r="F733" t="str">
            <v>27191303-6</v>
          </cell>
          <cell r="G733" t="str">
            <v>Gamero Rojas Andrea Natalia</v>
          </cell>
          <cell r="H733" t="str">
            <v>Lider</v>
          </cell>
          <cell r="I733">
            <v>1</v>
          </cell>
          <cell r="J733">
            <v>41669687</v>
          </cell>
        </row>
        <row r="734">
          <cell r="C734" t="str">
            <v>50OIN</v>
          </cell>
          <cell r="D734" t="str">
            <v>OXXO-Los Ingleses</v>
          </cell>
          <cell r="E734" t="str">
            <v>No</v>
          </cell>
          <cell r="F734" t="str">
            <v>19143253-3</v>
          </cell>
          <cell r="G734" t="str">
            <v>Ortiz Barros Scarlette</v>
          </cell>
          <cell r="H734" t="str">
            <v>Cajero</v>
          </cell>
          <cell r="I734">
            <v>3</v>
          </cell>
          <cell r="J734">
            <v>41456510</v>
          </cell>
        </row>
        <row r="735">
          <cell r="C735" t="str">
            <v>50OIN</v>
          </cell>
          <cell r="D735" t="str">
            <v>OXXO-Los Ingleses</v>
          </cell>
          <cell r="E735" t="str">
            <v>No</v>
          </cell>
          <cell r="F735" t="str">
            <v>19707768-9</v>
          </cell>
          <cell r="G735" t="str">
            <v>Cariman Marilao Barbara Javiera</v>
          </cell>
          <cell r="H735" t="str">
            <v>Jefe De Sala</v>
          </cell>
          <cell r="I735">
            <v>2</v>
          </cell>
          <cell r="J735">
            <v>41456510</v>
          </cell>
        </row>
        <row r="736">
          <cell r="C736" t="str">
            <v>50OIN</v>
          </cell>
          <cell r="D736" t="str">
            <v>OXXO-Los Ingleses</v>
          </cell>
          <cell r="E736" t="str">
            <v>No</v>
          </cell>
          <cell r="F736" t="str">
            <v>19930018-0</v>
          </cell>
          <cell r="G736" t="str">
            <v>Cruzat Soto Karla Estefania</v>
          </cell>
          <cell r="H736" t="str">
            <v>Cajero</v>
          </cell>
          <cell r="I736">
            <v>3</v>
          </cell>
          <cell r="J736">
            <v>41456510</v>
          </cell>
        </row>
        <row r="737">
          <cell r="C737" t="str">
            <v>50OIN</v>
          </cell>
          <cell r="D737" t="str">
            <v>OXXO-Los Ingleses</v>
          </cell>
          <cell r="E737" t="str">
            <v>No</v>
          </cell>
          <cell r="F737" t="str">
            <v>21147109-3</v>
          </cell>
          <cell r="G737" t="str">
            <v>Torres Acuña Yoselin Torres</v>
          </cell>
          <cell r="H737" t="str">
            <v>Cajero</v>
          </cell>
          <cell r="I737">
            <v>3</v>
          </cell>
          <cell r="J737">
            <v>41456510</v>
          </cell>
        </row>
        <row r="738">
          <cell r="C738" t="str">
            <v>50OIN</v>
          </cell>
          <cell r="D738" t="str">
            <v>OXXO-Los Ingleses</v>
          </cell>
          <cell r="E738" t="str">
            <v>No</v>
          </cell>
          <cell r="F738" t="str">
            <v>24210742-K</v>
          </cell>
          <cell r="G738" t="str">
            <v>Herrera Velarde Abel Huascar</v>
          </cell>
          <cell r="H738" t="str">
            <v>Cajero</v>
          </cell>
          <cell r="I738">
            <v>3</v>
          </cell>
          <cell r="J738">
            <v>41456510</v>
          </cell>
        </row>
        <row r="739">
          <cell r="C739" t="str">
            <v>50OIN</v>
          </cell>
          <cell r="D739" t="str">
            <v>OXXO-Los Ingleses</v>
          </cell>
          <cell r="E739" t="str">
            <v>No</v>
          </cell>
          <cell r="F739" t="str">
            <v>27895037-9</v>
          </cell>
          <cell r="G739" t="str">
            <v>Gallardo Alvarez Juan Carlos</v>
          </cell>
          <cell r="H739" t="str">
            <v>Lider</v>
          </cell>
          <cell r="I739">
            <v>1</v>
          </cell>
          <cell r="J739">
            <v>41456510</v>
          </cell>
        </row>
        <row r="740">
          <cell r="C740" t="str">
            <v>506J4</v>
          </cell>
          <cell r="D740" t="str">
            <v>OXXO-Portugal</v>
          </cell>
          <cell r="E740" t="str">
            <v>No</v>
          </cell>
          <cell r="F740" t="str">
            <v>18467091-7</v>
          </cell>
          <cell r="G740" t="str">
            <v>Nielsen Oportus Mireya</v>
          </cell>
          <cell r="H740" t="str">
            <v>Cajero</v>
          </cell>
          <cell r="I740">
            <v>3</v>
          </cell>
          <cell r="J740">
            <v>41222353</v>
          </cell>
        </row>
        <row r="741">
          <cell r="C741" t="str">
            <v>506J4</v>
          </cell>
          <cell r="D741" t="str">
            <v>OXXO-Portugal</v>
          </cell>
          <cell r="E741" t="str">
            <v>No</v>
          </cell>
          <cell r="F741" t="str">
            <v>21040909-2</v>
          </cell>
          <cell r="G741" t="str">
            <v>Villalobos Zanni Valery Belen</v>
          </cell>
          <cell r="H741" t="str">
            <v>Cajero</v>
          </cell>
          <cell r="I741">
            <v>3</v>
          </cell>
          <cell r="J741">
            <v>41222353</v>
          </cell>
        </row>
        <row r="742">
          <cell r="C742" t="str">
            <v>506J4</v>
          </cell>
          <cell r="D742" t="str">
            <v>OXXO-Portugal</v>
          </cell>
          <cell r="E742" t="str">
            <v>No</v>
          </cell>
          <cell r="F742" t="str">
            <v>22126166-6</v>
          </cell>
          <cell r="G742" t="str">
            <v>Poemape Lazo Marcial Antonio</v>
          </cell>
          <cell r="H742" t="str">
            <v>Cajero</v>
          </cell>
          <cell r="I742">
            <v>3</v>
          </cell>
          <cell r="J742">
            <v>41222353</v>
          </cell>
        </row>
        <row r="743">
          <cell r="C743" t="str">
            <v>506J4</v>
          </cell>
          <cell r="D743" t="str">
            <v>OXXO-Portugal</v>
          </cell>
          <cell r="E743" t="str">
            <v>No</v>
          </cell>
          <cell r="F743" t="str">
            <v>25586878-0</v>
          </cell>
          <cell r="G743" t="str">
            <v>Villada Britel Blanca Lorena</v>
          </cell>
          <cell r="H743" t="str">
            <v>Lider</v>
          </cell>
          <cell r="I743">
            <v>1</v>
          </cell>
          <cell r="J743">
            <v>41222353</v>
          </cell>
        </row>
        <row r="744">
          <cell r="C744" t="str">
            <v>506J4</v>
          </cell>
          <cell r="D744" t="str">
            <v>OXXO-Portugal</v>
          </cell>
          <cell r="E744" t="str">
            <v>No</v>
          </cell>
          <cell r="F744" t="str">
            <v>26777829-9</v>
          </cell>
          <cell r="G744" t="str">
            <v>Caicedo Martinez Laura Mayela</v>
          </cell>
          <cell r="H744" t="str">
            <v>Cajero</v>
          </cell>
          <cell r="I744">
            <v>3</v>
          </cell>
          <cell r="J744">
            <v>41222353</v>
          </cell>
        </row>
        <row r="745">
          <cell r="C745" t="str">
            <v>506J4</v>
          </cell>
          <cell r="D745" t="str">
            <v>OXXO-Portugal</v>
          </cell>
          <cell r="E745" t="str">
            <v>No</v>
          </cell>
          <cell r="F745" t="str">
            <v>27949510-1</v>
          </cell>
          <cell r="G745" t="str">
            <v>Nuñez Arozena Elianny Yoscari</v>
          </cell>
          <cell r="H745" t="str">
            <v>Cajero</v>
          </cell>
          <cell r="I745">
            <v>3</v>
          </cell>
          <cell r="J745">
            <v>41222353</v>
          </cell>
        </row>
        <row r="746">
          <cell r="C746" t="str">
            <v>50OER</v>
          </cell>
          <cell r="D746" t="str">
            <v>OKM-El Rodeo</v>
          </cell>
          <cell r="E746" t="str">
            <v>No</v>
          </cell>
          <cell r="F746" t="str">
            <v>18045778-K</v>
          </cell>
          <cell r="G746" t="str">
            <v>Legal Araya Maria Nevenka</v>
          </cell>
          <cell r="H746" t="str">
            <v>Cajero</v>
          </cell>
          <cell r="I746">
            <v>3</v>
          </cell>
          <cell r="J746">
            <v>41213127</v>
          </cell>
        </row>
        <row r="747">
          <cell r="C747" t="str">
            <v>50OER</v>
          </cell>
          <cell r="D747" t="str">
            <v>OKM-El Rodeo</v>
          </cell>
          <cell r="E747" t="str">
            <v>No</v>
          </cell>
          <cell r="F747" t="str">
            <v>19378650-2</v>
          </cell>
          <cell r="G747" t="str">
            <v>Carrillo Carmona Boris Andres</v>
          </cell>
          <cell r="H747" t="str">
            <v>Jefe De Sala</v>
          </cell>
          <cell r="I747">
            <v>2</v>
          </cell>
          <cell r="J747">
            <v>41213127</v>
          </cell>
        </row>
        <row r="748">
          <cell r="C748" t="str">
            <v>50OER</v>
          </cell>
          <cell r="D748" t="str">
            <v>OKM-El Rodeo</v>
          </cell>
          <cell r="E748" t="str">
            <v>No</v>
          </cell>
          <cell r="F748" t="str">
            <v>25618074-K</v>
          </cell>
          <cell r="G748" t="str">
            <v>Ochoa Herrera Sor Milena</v>
          </cell>
          <cell r="H748" t="str">
            <v>Jefe De Sala</v>
          </cell>
          <cell r="I748">
            <v>2</v>
          </cell>
          <cell r="J748">
            <v>41213127</v>
          </cell>
        </row>
        <row r="749">
          <cell r="C749" t="str">
            <v>50OER</v>
          </cell>
          <cell r="D749" t="str">
            <v>OKM-El Rodeo</v>
          </cell>
          <cell r="E749" t="str">
            <v>No</v>
          </cell>
          <cell r="F749" t="str">
            <v>28026279-K</v>
          </cell>
          <cell r="G749" t="str">
            <v>Ayala Colmenares Jesus Alejandro</v>
          </cell>
          <cell r="H749" t="str">
            <v>Lider</v>
          </cell>
          <cell r="I749">
            <v>1</v>
          </cell>
          <cell r="J749">
            <v>41213127</v>
          </cell>
        </row>
        <row r="750">
          <cell r="C750" t="str">
            <v>50OIM</v>
          </cell>
          <cell r="D750" t="str">
            <v>OXXO-Juan Moya</v>
          </cell>
          <cell r="E750" t="str">
            <v>No</v>
          </cell>
          <cell r="F750" t="str">
            <v>10112766-4</v>
          </cell>
          <cell r="G750" t="str">
            <v>Muena Gonzalez Sabina Melania</v>
          </cell>
          <cell r="H750" t="str">
            <v>Cajero</v>
          </cell>
          <cell r="I750">
            <v>3</v>
          </cell>
          <cell r="J750">
            <v>41133590</v>
          </cell>
        </row>
        <row r="751">
          <cell r="C751" t="str">
            <v>50OIM</v>
          </cell>
          <cell r="D751" t="str">
            <v>OXXO-Juan Moya</v>
          </cell>
          <cell r="E751" t="str">
            <v>No</v>
          </cell>
          <cell r="F751" t="str">
            <v>12271417-9</v>
          </cell>
          <cell r="G751" t="str">
            <v>Llanten Camus Paulina Pamela</v>
          </cell>
          <cell r="H751" t="str">
            <v>Lider</v>
          </cell>
          <cell r="I751">
            <v>1</v>
          </cell>
          <cell r="J751">
            <v>41133590</v>
          </cell>
        </row>
        <row r="752">
          <cell r="C752" t="str">
            <v>50OIM</v>
          </cell>
          <cell r="D752" t="str">
            <v>OXXO-Juan Moya</v>
          </cell>
          <cell r="E752" t="str">
            <v>No</v>
          </cell>
          <cell r="F752" t="str">
            <v>18891771-2</v>
          </cell>
          <cell r="G752" t="str">
            <v>Torres Rozas Juan Antonio</v>
          </cell>
          <cell r="H752" t="str">
            <v>Cajero</v>
          </cell>
          <cell r="I752">
            <v>3</v>
          </cell>
          <cell r="J752">
            <v>41133590</v>
          </cell>
        </row>
        <row r="753">
          <cell r="C753" t="str">
            <v>50OIM</v>
          </cell>
          <cell r="D753" t="str">
            <v>OXXO-Juan Moya</v>
          </cell>
          <cell r="E753" t="str">
            <v>No</v>
          </cell>
          <cell r="F753" t="str">
            <v>19886593-1</v>
          </cell>
          <cell r="G753" t="str">
            <v>Fernandez Hermosilla Karina</v>
          </cell>
          <cell r="H753" t="str">
            <v>Cajero</v>
          </cell>
          <cell r="I753">
            <v>3</v>
          </cell>
          <cell r="J753">
            <v>41133590</v>
          </cell>
        </row>
        <row r="754">
          <cell r="C754" t="str">
            <v>50OIM</v>
          </cell>
          <cell r="D754" t="str">
            <v>OXXO-Juan Moya</v>
          </cell>
          <cell r="E754" t="str">
            <v>No</v>
          </cell>
          <cell r="F754" t="str">
            <v>20791575-0</v>
          </cell>
          <cell r="G754" t="str">
            <v>Zamorano Canales Yessenia Dayanna</v>
          </cell>
          <cell r="H754" t="str">
            <v>Jefe De Sala</v>
          </cell>
          <cell r="I754">
            <v>2</v>
          </cell>
          <cell r="J754">
            <v>41133590</v>
          </cell>
        </row>
        <row r="755">
          <cell r="C755" t="str">
            <v>50OIM</v>
          </cell>
          <cell r="D755" t="str">
            <v>OXXO-Juan Moya</v>
          </cell>
          <cell r="E755" t="str">
            <v>No</v>
          </cell>
          <cell r="F755" t="str">
            <v>27497851-1</v>
          </cell>
          <cell r="G755" t="str">
            <v>Bencomo Perdomo Leidy</v>
          </cell>
          <cell r="H755" t="str">
            <v>Cajero</v>
          </cell>
          <cell r="I755">
            <v>3</v>
          </cell>
          <cell r="J755">
            <v>41133590</v>
          </cell>
        </row>
        <row r="756">
          <cell r="C756" t="str">
            <v>50AQY</v>
          </cell>
          <cell r="D756" t="str">
            <v>OXXO-Pedro De Valdivia 9</v>
          </cell>
          <cell r="E756" t="str">
            <v>No</v>
          </cell>
          <cell r="F756" t="str">
            <v>19227574-1</v>
          </cell>
          <cell r="G756" t="str">
            <v>Marchant Vicencio Carla</v>
          </cell>
          <cell r="H756" t="str">
            <v>Cajero</v>
          </cell>
          <cell r="I756">
            <v>3</v>
          </cell>
          <cell r="J756">
            <v>41030681</v>
          </cell>
        </row>
        <row r="757">
          <cell r="C757" t="str">
            <v>50AQY</v>
          </cell>
          <cell r="D757" t="str">
            <v>OXXO-Pedro De Valdivia 9</v>
          </cell>
          <cell r="E757" t="str">
            <v>No</v>
          </cell>
          <cell r="F757" t="str">
            <v>20636372-K</v>
          </cell>
          <cell r="G757" t="str">
            <v>Sepulveda Leyton Javier Nicolas</v>
          </cell>
          <cell r="H757" t="str">
            <v>Cajero</v>
          </cell>
          <cell r="I757">
            <v>3</v>
          </cell>
          <cell r="J757">
            <v>41030681</v>
          </cell>
        </row>
        <row r="758">
          <cell r="C758" t="str">
            <v>50AQY</v>
          </cell>
          <cell r="D758" t="str">
            <v>OXXO-Pedro De Valdivia 9</v>
          </cell>
          <cell r="E758" t="str">
            <v>No</v>
          </cell>
          <cell r="F758" t="str">
            <v>25496919-2</v>
          </cell>
          <cell r="G758" t="str">
            <v>Mendez Peinado Ximena</v>
          </cell>
          <cell r="H758" t="str">
            <v>Cajero</v>
          </cell>
          <cell r="I758">
            <v>3</v>
          </cell>
          <cell r="J758">
            <v>41030681</v>
          </cell>
        </row>
        <row r="759">
          <cell r="C759" t="str">
            <v>50AQY</v>
          </cell>
          <cell r="D759" t="str">
            <v>OXXO-Pedro De Valdivia 9</v>
          </cell>
          <cell r="E759" t="str">
            <v>No</v>
          </cell>
          <cell r="F759" t="str">
            <v>26582766-7</v>
          </cell>
          <cell r="G759" t="str">
            <v>Rivero Gomez Luis Alfonso</v>
          </cell>
          <cell r="H759" t="str">
            <v>Lider</v>
          </cell>
          <cell r="I759">
            <v>1</v>
          </cell>
          <cell r="J759">
            <v>41030681</v>
          </cell>
        </row>
        <row r="760">
          <cell r="C760" t="str">
            <v>50AQY</v>
          </cell>
          <cell r="D760" t="str">
            <v>OXXO-Pedro De Valdivia 9</v>
          </cell>
          <cell r="E760" t="str">
            <v>No</v>
          </cell>
          <cell r="F760" t="str">
            <v>26873606-9</v>
          </cell>
          <cell r="G760" t="str">
            <v>Chaparro Bravo Leonardo Luis</v>
          </cell>
          <cell r="H760" t="str">
            <v>Jefe De Sala</v>
          </cell>
          <cell r="I760">
            <v>2</v>
          </cell>
          <cell r="J760">
            <v>41030681</v>
          </cell>
        </row>
        <row r="761">
          <cell r="C761" t="str">
            <v>50AQY</v>
          </cell>
          <cell r="D761" t="str">
            <v>OXXO-Pedro De Valdivia 9</v>
          </cell>
          <cell r="E761" t="str">
            <v>No</v>
          </cell>
          <cell r="F761" t="str">
            <v>28088114-7</v>
          </cell>
          <cell r="G761" t="str">
            <v>Cruz Arteta Narcisa Maria</v>
          </cell>
          <cell r="H761" t="str">
            <v>Jefe De Sala</v>
          </cell>
          <cell r="I761">
            <v>2</v>
          </cell>
          <cell r="J761">
            <v>41030681</v>
          </cell>
        </row>
        <row r="762">
          <cell r="C762" t="str">
            <v>50FKT</v>
          </cell>
          <cell r="D762" t="str">
            <v>OXXO-Barros Arana</v>
          </cell>
          <cell r="E762" t="str">
            <v>No</v>
          </cell>
          <cell r="F762" t="str">
            <v>13382511-8</v>
          </cell>
          <cell r="G762" t="str">
            <v>Parra Perez Paola Jeannette</v>
          </cell>
          <cell r="H762" t="str">
            <v>Jefe De Sala</v>
          </cell>
          <cell r="I762">
            <v>2</v>
          </cell>
          <cell r="J762">
            <v>40957776</v>
          </cell>
        </row>
        <row r="763">
          <cell r="C763" t="str">
            <v>50FKT</v>
          </cell>
          <cell r="D763" t="str">
            <v>OXXO-Barros Arana</v>
          </cell>
          <cell r="E763" t="str">
            <v>No</v>
          </cell>
          <cell r="F763" t="str">
            <v>14350629-0</v>
          </cell>
          <cell r="G763" t="str">
            <v>Diaz Poblete Antonieta Alejandra</v>
          </cell>
          <cell r="H763" t="str">
            <v>Jefe De Sala</v>
          </cell>
          <cell r="I763">
            <v>2</v>
          </cell>
          <cell r="J763">
            <v>40957776</v>
          </cell>
        </row>
        <row r="764">
          <cell r="C764" t="str">
            <v>50FKT</v>
          </cell>
          <cell r="D764" t="str">
            <v>OXXO-Barros Arana</v>
          </cell>
          <cell r="E764" t="str">
            <v>No</v>
          </cell>
          <cell r="F764" t="str">
            <v>17899027-6</v>
          </cell>
          <cell r="G764" t="str">
            <v>Cuevas Montero Claudia</v>
          </cell>
          <cell r="H764" t="str">
            <v>Cajero</v>
          </cell>
          <cell r="I764">
            <v>3</v>
          </cell>
          <cell r="J764">
            <v>40957776</v>
          </cell>
        </row>
        <row r="765">
          <cell r="C765" t="str">
            <v>50FKT</v>
          </cell>
          <cell r="D765" t="str">
            <v>OXXO-Barros Arana</v>
          </cell>
          <cell r="E765" t="str">
            <v>No</v>
          </cell>
          <cell r="F765" t="str">
            <v>18106253-3</v>
          </cell>
          <cell r="G765" t="str">
            <v>Provoste Cid Paulina</v>
          </cell>
          <cell r="H765" t="str">
            <v>Lider</v>
          </cell>
          <cell r="I765">
            <v>1</v>
          </cell>
          <cell r="J765">
            <v>40957776</v>
          </cell>
        </row>
        <row r="766">
          <cell r="C766" t="str">
            <v>50FKT</v>
          </cell>
          <cell r="D766" t="str">
            <v>OXXO-Barros Arana</v>
          </cell>
          <cell r="E766" t="str">
            <v>No</v>
          </cell>
          <cell r="F766" t="str">
            <v>25987753-9</v>
          </cell>
          <cell r="G766" t="str">
            <v>Palomino Araujo Oriel</v>
          </cell>
          <cell r="H766" t="str">
            <v>Cajero</v>
          </cell>
          <cell r="I766">
            <v>3</v>
          </cell>
          <cell r="J766">
            <v>40957776</v>
          </cell>
        </row>
        <row r="767">
          <cell r="C767" t="str">
            <v>50FKT</v>
          </cell>
          <cell r="D767" t="str">
            <v>OXXO-Barros Arana</v>
          </cell>
          <cell r="E767" t="str">
            <v>No</v>
          </cell>
          <cell r="F767" t="str">
            <v>27115427-5</v>
          </cell>
          <cell r="G767" t="str">
            <v>Prada Briceño Emilly Alexandra</v>
          </cell>
          <cell r="H767" t="str">
            <v>Cajero</v>
          </cell>
          <cell r="I767">
            <v>3</v>
          </cell>
          <cell r="J767">
            <v>40957776</v>
          </cell>
        </row>
        <row r="768">
          <cell r="C768" t="str">
            <v>50VLL</v>
          </cell>
          <cell r="D768" t="str">
            <v>OXXO-Mall Plaza Vespucio</v>
          </cell>
          <cell r="E768" t="str">
            <v>No</v>
          </cell>
          <cell r="F768" t="str">
            <v>20277966-2</v>
          </cell>
          <cell r="G768" t="str">
            <v>Abarca Vilchez Matias Ignacio</v>
          </cell>
          <cell r="H768" t="str">
            <v>Jefe De Sala</v>
          </cell>
          <cell r="I768">
            <v>2</v>
          </cell>
          <cell r="J768">
            <v>40514167</v>
          </cell>
        </row>
        <row r="769">
          <cell r="C769" t="str">
            <v>50VLL</v>
          </cell>
          <cell r="D769" t="str">
            <v>OXXO-Mall Plaza Vespucio</v>
          </cell>
          <cell r="E769" t="str">
            <v>No</v>
          </cell>
          <cell r="F769" t="str">
            <v>26014676-9</v>
          </cell>
          <cell r="G769" t="str">
            <v>Lugo Mijares Osdalys</v>
          </cell>
          <cell r="H769" t="str">
            <v>Cajero</v>
          </cell>
          <cell r="I769">
            <v>3</v>
          </cell>
          <cell r="J769">
            <v>40514167</v>
          </cell>
        </row>
        <row r="770">
          <cell r="C770" t="str">
            <v>50VLL</v>
          </cell>
          <cell r="D770" t="str">
            <v>OXXO-Mall Plaza Vespucio</v>
          </cell>
          <cell r="E770" t="str">
            <v>No</v>
          </cell>
          <cell r="F770" t="str">
            <v>26850646-2</v>
          </cell>
          <cell r="G770" t="str">
            <v>Rivero Diaz Andreina Coromoto</v>
          </cell>
          <cell r="H770" t="str">
            <v>Lider</v>
          </cell>
          <cell r="I770">
            <v>1</v>
          </cell>
          <cell r="J770">
            <v>40514167</v>
          </cell>
        </row>
        <row r="771">
          <cell r="C771" t="str">
            <v>50VLL</v>
          </cell>
          <cell r="D771" t="str">
            <v>OXXO-Mall Plaza Vespucio</v>
          </cell>
          <cell r="E771" t="str">
            <v>No</v>
          </cell>
          <cell r="F771" t="str">
            <v>27851592-3</v>
          </cell>
          <cell r="G771" t="str">
            <v>Trillos Gomez Daniel</v>
          </cell>
          <cell r="H771" t="str">
            <v>Jefe De Sala</v>
          </cell>
          <cell r="I771">
            <v>2</v>
          </cell>
          <cell r="J771">
            <v>40514167</v>
          </cell>
        </row>
        <row r="772">
          <cell r="C772" t="str">
            <v>50SBL</v>
          </cell>
          <cell r="D772" t="str">
            <v>OXXO-Pedro De Valdivia 2</v>
          </cell>
          <cell r="E772" t="str">
            <v>No</v>
          </cell>
          <cell r="F772" t="str">
            <v>16623843-9</v>
          </cell>
          <cell r="G772" t="str">
            <v>Martinez Ovalle Christopher</v>
          </cell>
          <cell r="H772" t="str">
            <v>Jefe De Sala</v>
          </cell>
          <cell r="I772">
            <v>2</v>
          </cell>
          <cell r="J772">
            <v>40392046</v>
          </cell>
        </row>
        <row r="773">
          <cell r="C773" t="str">
            <v>50SBL</v>
          </cell>
          <cell r="D773" t="str">
            <v>OXXO-Pedro De Valdivia 2</v>
          </cell>
          <cell r="E773" t="str">
            <v>No</v>
          </cell>
          <cell r="F773" t="str">
            <v>21078988-K</v>
          </cell>
          <cell r="G773" t="str">
            <v>Labra Navarrete Nicolas Alexander</v>
          </cell>
          <cell r="H773" t="str">
            <v>Cajero</v>
          </cell>
          <cell r="I773">
            <v>3</v>
          </cell>
          <cell r="J773">
            <v>40392046</v>
          </cell>
        </row>
        <row r="774">
          <cell r="C774" t="str">
            <v>50SBL</v>
          </cell>
          <cell r="D774" t="str">
            <v>OXXO-Pedro De Valdivia 2</v>
          </cell>
          <cell r="E774" t="str">
            <v>No</v>
          </cell>
          <cell r="F774" t="str">
            <v>26756892-8</v>
          </cell>
          <cell r="G774" t="str">
            <v>Mora Alvarez Ernesto Alonso</v>
          </cell>
          <cell r="H774" t="str">
            <v>Lider</v>
          </cell>
          <cell r="I774">
            <v>1</v>
          </cell>
          <cell r="J774">
            <v>40392046</v>
          </cell>
        </row>
        <row r="775">
          <cell r="C775" t="str">
            <v>50SBL</v>
          </cell>
          <cell r="D775" t="str">
            <v>OXXO-Pedro De Valdivia 2</v>
          </cell>
          <cell r="E775" t="str">
            <v>No</v>
          </cell>
          <cell r="F775" t="str">
            <v>28185091-1</v>
          </cell>
          <cell r="G775" t="str">
            <v>Rodriguez Lemus Viviana Paola</v>
          </cell>
          <cell r="H775" t="str">
            <v>Cajero</v>
          </cell>
          <cell r="I775">
            <v>3</v>
          </cell>
          <cell r="J775">
            <v>40392046</v>
          </cell>
        </row>
        <row r="776">
          <cell r="C776" t="str">
            <v>50MLM</v>
          </cell>
          <cell r="D776" t="str">
            <v>OXXO-Pio Xi</v>
          </cell>
          <cell r="E776" t="str">
            <v>No</v>
          </cell>
          <cell r="F776" t="str">
            <v>23538760-3</v>
          </cell>
          <cell r="G776" t="str">
            <v>Leal Gonzalez Mayherlin</v>
          </cell>
          <cell r="H776" t="str">
            <v>Jefe De Sala</v>
          </cell>
          <cell r="I776">
            <v>2</v>
          </cell>
          <cell r="J776">
            <v>39969065</v>
          </cell>
        </row>
        <row r="777">
          <cell r="C777" t="str">
            <v>50MLM</v>
          </cell>
          <cell r="D777" t="str">
            <v>OXXO-Pio Xi</v>
          </cell>
          <cell r="E777" t="str">
            <v>No</v>
          </cell>
          <cell r="F777" t="str">
            <v>25341912-1</v>
          </cell>
          <cell r="G777" t="str">
            <v>Alayon Farfan Nelson Guillermo</v>
          </cell>
          <cell r="H777" t="str">
            <v>Cajero</v>
          </cell>
          <cell r="I777">
            <v>3</v>
          </cell>
          <cell r="J777">
            <v>39969065</v>
          </cell>
        </row>
        <row r="778">
          <cell r="C778" t="str">
            <v>50MLM</v>
          </cell>
          <cell r="D778" t="str">
            <v>OXXO-Pio Xi</v>
          </cell>
          <cell r="E778" t="str">
            <v>No</v>
          </cell>
          <cell r="F778" t="str">
            <v>26542412-0</v>
          </cell>
          <cell r="G778" t="str">
            <v>Socarras Pinto Yusyelfi</v>
          </cell>
          <cell r="H778" t="str">
            <v>Cajero</v>
          </cell>
          <cell r="I778">
            <v>3</v>
          </cell>
          <cell r="J778">
            <v>39969065</v>
          </cell>
        </row>
        <row r="779">
          <cell r="C779" t="str">
            <v>50MLM</v>
          </cell>
          <cell r="D779" t="str">
            <v>OXXO-Pio Xi</v>
          </cell>
          <cell r="E779" t="str">
            <v>No</v>
          </cell>
          <cell r="F779" t="str">
            <v>26701456-6</v>
          </cell>
          <cell r="G779" t="str">
            <v>Garcia Mora Roxana Crisbel</v>
          </cell>
          <cell r="H779" t="str">
            <v>Lider</v>
          </cell>
          <cell r="I779">
            <v>1</v>
          </cell>
          <cell r="J779">
            <v>39969065</v>
          </cell>
        </row>
        <row r="780">
          <cell r="C780" t="str">
            <v>50MLM</v>
          </cell>
          <cell r="D780" t="str">
            <v>OXXO-Pio Xi</v>
          </cell>
          <cell r="E780" t="str">
            <v>No</v>
          </cell>
          <cell r="F780" t="str">
            <v>28043877-4</v>
          </cell>
          <cell r="G780" t="str">
            <v>Salomon Plazarte Alejandro Marcelo</v>
          </cell>
          <cell r="H780" t="str">
            <v>Cajero</v>
          </cell>
          <cell r="I780">
            <v>3</v>
          </cell>
          <cell r="J780">
            <v>39969065</v>
          </cell>
        </row>
        <row r="781">
          <cell r="C781" t="str">
            <v>505XC</v>
          </cell>
          <cell r="D781" t="str">
            <v>OXXO-Plaza Victoria</v>
          </cell>
          <cell r="E781" t="str">
            <v>No</v>
          </cell>
          <cell r="F781" t="str">
            <v>18035372-0</v>
          </cell>
          <cell r="G781" t="str">
            <v>Martinez Valencia Ariel Alexander</v>
          </cell>
          <cell r="H781" t="str">
            <v>Cajero</v>
          </cell>
          <cell r="I781">
            <v>3</v>
          </cell>
          <cell r="J781">
            <v>39835590</v>
          </cell>
        </row>
        <row r="782">
          <cell r="C782" t="str">
            <v>505XC</v>
          </cell>
          <cell r="D782" t="str">
            <v>OXXO-Plaza Victoria</v>
          </cell>
          <cell r="E782" t="str">
            <v>No</v>
          </cell>
          <cell r="F782" t="str">
            <v>19602877-3</v>
          </cell>
          <cell r="G782" t="str">
            <v>Gallardo Porra Jacqueline Isabel</v>
          </cell>
          <cell r="H782" t="str">
            <v>Jefe De Sala</v>
          </cell>
          <cell r="I782">
            <v>2</v>
          </cell>
          <cell r="J782">
            <v>39835590</v>
          </cell>
        </row>
        <row r="783">
          <cell r="C783" t="str">
            <v>505XC</v>
          </cell>
          <cell r="D783" t="str">
            <v>OXXO-Plaza Victoria</v>
          </cell>
          <cell r="E783" t="str">
            <v>No</v>
          </cell>
          <cell r="F783" t="str">
            <v>20011959-2</v>
          </cell>
          <cell r="G783" t="str">
            <v>Rojas Golsworthy Constanza Macarena</v>
          </cell>
          <cell r="H783" t="str">
            <v>Lider</v>
          </cell>
          <cell r="I783">
            <v>1</v>
          </cell>
          <cell r="J783">
            <v>39835590</v>
          </cell>
        </row>
        <row r="784">
          <cell r="C784" t="str">
            <v>505XC</v>
          </cell>
          <cell r="D784" t="str">
            <v>OXXO-Plaza Victoria</v>
          </cell>
          <cell r="E784" t="str">
            <v>No</v>
          </cell>
          <cell r="F784" t="str">
            <v>27598779-4</v>
          </cell>
          <cell r="G784" t="str">
            <v>Gutierrez Labarca Genesis Carolina</v>
          </cell>
          <cell r="H784" t="str">
            <v>Cajero</v>
          </cell>
          <cell r="I784">
            <v>3</v>
          </cell>
          <cell r="J784">
            <v>39835590</v>
          </cell>
        </row>
        <row r="785">
          <cell r="C785" t="str">
            <v>50OAM</v>
          </cell>
          <cell r="D785" t="str">
            <v>OKM-Arauco Maipu</v>
          </cell>
          <cell r="E785" t="str">
            <v>No</v>
          </cell>
          <cell r="F785" t="str">
            <v>16423044-9</v>
          </cell>
          <cell r="G785" t="str">
            <v>Miranda Veloso Andres Alonso</v>
          </cell>
          <cell r="H785" t="str">
            <v>Lider</v>
          </cell>
          <cell r="I785">
            <v>1</v>
          </cell>
          <cell r="J785">
            <v>39811882</v>
          </cell>
        </row>
        <row r="786">
          <cell r="C786" t="str">
            <v>50OAM</v>
          </cell>
          <cell r="D786" t="str">
            <v>OKM-Arauco Maipu</v>
          </cell>
          <cell r="E786" t="str">
            <v>No</v>
          </cell>
          <cell r="F786" t="str">
            <v>19681037-4</v>
          </cell>
          <cell r="G786" t="str">
            <v>Montesino Jopia Catherine</v>
          </cell>
          <cell r="H786" t="str">
            <v>Jefe De Sala</v>
          </cell>
          <cell r="I786">
            <v>2</v>
          </cell>
          <cell r="J786">
            <v>39811882</v>
          </cell>
        </row>
        <row r="787">
          <cell r="C787" t="str">
            <v>50OAM</v>
          </cell>
          <cell r="D787" t="str">
            <v>OKM-Arauco Maipu</v>
          </cell>
          <cell r="E787" t="str">
            <v>No</v>
          </cell>
          <cell r="F787" t="str">
            <v>20465135-3</v>
          </cell>
          <cell r="G787" t="str">
            <v>Urbina Lucero Catalina Paz</v>
          </cell>
          <cell r="H787" t="str">
            <v>Jefe De Sala</v>
          </cell>
          <cell r="I787">
            <v>2</v>
          </cell>
          <cell r="J787">
            <v>39811882</v>
          </cell>
        </row>
        <row r="788">
          <cell r="C788" t="str">
            <v>50OAM</v>
          </cell>
          <cell r="D788" t="str">
            <v>OKM-Arauco Maipu</v>
          </cell>
          <cell r="E788" t="str">
            <v>No</v>
          </cell>
          <cell r="F788" t="str">
            <v>27830373-K</v>
          </cell>
          <cell r="G788" t="str">
            <v>Cajas Facundo Johan Dastin</v>
          </cell>
          <cell r="H788" t="str">
            <v>Cajero</v>
          </cell>
          <cell r="I788">
            <v>3</v>
          </cell>
          <cell r="J788">
            <v>39811882</v>
          </cell>
        </row>
        <row r="789">
          <cell r="C789" t="str">
            <v>50BFI</v>
          </cell>
          <cell r="D789" t="str">
            <v>OXXO-Caupolican</v>
          </cell>
          <cell r="E789" t="str">
            <v>No</v>
          </cell>
          <cell r="F789" t="str">
            <v>11350283-5</v>
          </cell>
          <cell r="G789" t="str">
            <v>Neira Fierro Jacqueline</v>
          </cell>
          <cell r="H789" t="str">
            <v>Cajero</v>
          </cell>
          <cell r="I789">
            <v>3</v>
          </cell>
          <cell r="J789">
            <v>39550511</v>
          </cell>
        </row>
        <row r="790">
          <cell r="C790" t="str">
            <v>50BFI</v>
          </cell>
          <cell r="D790" t="str">
            <v>OXXO-Caupolican</v>
          </cell>
          <cell r="E790" t="str">
            <v>No</v>
          </cell>
          <cell r="F790" t="str">
            <v>17222289-7</v>
          </cell>
          <cell r="G790" t="str">
            <v>Mella Vergara Arlin Danae</v>
          </cell>
          <cell r="H790" t="str">
            <v>Jefe De Sala</v>
          </cell>
          <cell r="I790">
            <v>2</v>
          </cell>
          <cell r="J790">
            <v>39550511</v>
          </cell>
        </row>
        <row r="791">
          <cell r="C791" t="str">
            <v>50BFI</v>
          </cell>
          <cell r="D791" t="str">
            <v>OXXO-Caupolican</v>
          </cell>
          <cell r="E791" t="str">
            <v>No</v>
          </cell>
          <cell r="F791" t="str">
            <v>18410398-2</v>
          </cell>
          <cell r="G791" t="str">
            <v>Astorga Campos Valentina</v>
          </cell>
          <cell r="H791" t="str">
            <v>Lider</v>
          </cell>
          <cell r="I791">
            <v>1</v>
          </cell>
          <cell r="J791">
            <v>39550511</v>
          </cell>
        </row>
        <row r="792">
          <cell r="C792" t="str">
            <v>50BFI</v>
          </cell>
          <cell r="D792" t="str">
            <v>OXXO-Caupolican</v>
          </cell>
          <cell r="E792" t="str">
            <v>No</v>
          </cell>
          <cell r="F792" t="str">
            <v>20439537-3</v>
          </cell>
          <cell r="G792" t="str">
            <v>Arriagada Cereceda Francisca Cecilia</v>
          </cell>
          <cell r="H792" t="str">
            <v>Cajero</v>
          </cell>
          <cell r="I792">
            <v>3</v>
          </cell>
          <cell r="J792">
            <v>39550511</v>
          </cell>
        </row>
        <row r="793">
          <cell r="C793" t="str">
            <v>50BFI</v>
          </cell>
          <cell r="D793" t="str">
            <v>OXXO-Caupolican</v>
          </cell>
          <cell r="E793" t="str">
            <v>No</v>
          </cell>
          <cell r="F793" t="str">
            <v>20738959-5</v>
          </cell>
          <cell r="G793" t="str">
            <v>Barahona Torres Geraldine Belen</v>
          </cell>
          <cell r="H793" t="str">
            <v>Cajero</v>
          </cell>
          <cell r="I793">
            <v>3</v>
          </cell>
          <cell r="J793">
            <v>39550511</v>
          </cell>
        </row>
        <row r="794">
          <cell r="C794" t="str">
            <v>50BFI</v>
          </cell>
          <cell r="D794" t="str">
            <v>OXXO-Caupolican</v>
          </cell>
          <cell r="E794" t="str">
            <v>No</v>
          </cell>
          <cell r="F794" t="str">
            <v>21281464-4</v>
          </cell>
          <cell r="G794" t="str">
            <v>Guzman Gonzalez Claudio Matias</v>
          </cell>
          <cell r="H794" t="str">
            <v>Cajero</v>
          </cell>
          <cell r="I794">
            <v>3</v>
          </cell>
          <cell r="J794">
            <v>39550511</v>
          </cell>
        </row>
        <row r="795">
          <cell r="C795" t="str">
            <v>50BFI</v>
          </cell>
          <cell r="D795" t="str">
            <v>OXXO-Caupolican</v>
          </cell>
          <cell r="E795" t="str">
            <v>No</v>
          </cell>
          <cell r="F795" t="str">
            <v>26716234-4</v>
          </cell>
          <cell r="G795" t="str">
            <v>Suarez Diaz Daniel Alejandro</v>
          </cell>
          <cell r="H795" t="str">
            <v>Jefe De Sala</v>
          </cell>
          <cell r="I795">
            <v>2</v>
          </cell>
          <cell r="J795">
            <v>39550511</v>
          </cell>
        </row>
        <row r="796">
          <cell r="C796" t="str">
            <v>50ASM</v>
          </cell>
          <cell r="D796" t="str">
            <v>OXXO-Apoquindo - Santa Magdalena</v>
          </cell>
          <cell r="E796" t="str">
            <v>No</v>
          </cell>
          <cell r="F796" t="str">
            <v>17562913-0</v>
          </cell>
          <cell r="G796" t="str">
            <v>Carrion Garrido Juan Pedro</v>
          </cell>
          <cell r="H796" t="str">
            <v>Cajero</v>
          </cell>
          <cell r="I796">
            <v>3</v>
          </cell>
          <cell r="J796">
            <v>39477560</v>
          </cell>
        </row>
        <row r="797">
          <cell r="C797" t="str">
            <v>50ASM</v>
          </cell>
          <cell r="D797" t="str">
            <v>OXXO-Apoquindo - Santa Magdalena</v>
          </cell>
          <cell r="E797" t="str">
            <v>No</v>
          </cell>
          <cell r="F797" t="str">
            <v>23414177-5</v>
          </cell>
          <cell r="G797" t="str">
            <v>Henriquez Henriquez Miguelina Altagracia</v>
          </cell>
          <cell r="H797" t="str">
            <v>Cajero</v>
          </cell>
          <cell r="I797">
            <v>3</v>
          </cell>
          <cell r="J797">
            <v>39477560</v>
          </cell>
        </row>
        <row r="798">
          <cell r="C798" t="str">
            <v>50ASM</v>
          </cell>
          <cell r="D798" t="str">
            <v>OXXO-Apoquindo - Santa Magdalena</v>
          </cell>
          <cell r="E798" t="str">
            <v>No</v>
          </cell>
          <cell r="F798" t="str">
            <v>26925306-1</v>
          </cell>
          <cell r="G798" t="str">
            <v>Cortez Gomez Lisbeth</v>
          </cell>
          <cell r="H798" t="str">
            <v>Lider</v>
          </cell>
          <cell r="I798">
            <v>1</v>
          </cell>
          <cell r="J798">
            <v>39477560</v>
          </cell>
        </row>
        <row r="799">
          <cell r="C799" t="str">
            <v>50ASM</v>
          </cell>
          <cell r="D799" t="str">
            <v>OXXO-Apoquindo - Santa Magdalena</v>
          </cell>
          <cell r="E799" t="str">
            <v>No</v>
          </cell>
          <cell r="F799" t="str">
            <v>27194958-8</v>
          </cell>
          <cell r="G799" t="str">
            <v>Chacin Rincon Yrvis Eduardo</v>
          </cell>
          <cell r="H799" t="str">
            <v>Jefe De Sala</v>
          </cell>
          <cell r="I799">
            <v>2</v>
          </cell>
          <cell r="J799">
            <v>39477560</v>
          </cell>
        </row>
        <row r="800">
          <cell r="C800" t="str">
            <v>50ASM</v>
          </cell>
          <cell r="D800" t="str">
            <v>OXXO-Apoquindo - Santa Magdalena</v>
          </cell>
          <cell r="E800" t="str">
            <v>No</v>
          </cell>
          <cell r="F800" t="str">
            <v>28123363-7</v>
          </cell>
          <cell r="G800" t="str">
            <v>Lucas Diaz Maily Camila</v>
          </cell>
          <cell r="H800" t="str">
            <v>Cajero</v>
          </cell>
          <cell r="I800">
            <v>3</v>
          </cell>
          <cell r="J800">
            <v>39477560</v>
          </cell>
        </row>
        <row r="801">
          <cell r="C801" t="str">
            <v>50OLT</v>
          </cell>
          <cell r="D801" t="str">
            <v>OKM-Suecia-Lota</v>
          </cell>
          <cell r="E801" t="str">
            <v>No</v>
          </cell>
          <cell r="F801" t="str">
            <v>18046593-6</v>
          </cell>
          <cell r="G801" t="str">
            <v>Castillo Anticoy Katherine Rosa</v>
          </cell>
          <cell r="H801" t="str">
            <v>Lider</v>
          </cell>
          <cell r="I801">
            <v>1</v>
          </cell>
          <cell r="J801">
            <v>39349070</v>
          </cell>
        </row>
        <row r="802">
          <cell r="C802" t="str">
            <v>50OLT</v>
          </cell>
          <cell r="D802" t="str">
            <v>OKM-Suecia-Lota</v>
          </cell>
          <cell r="E802" t="str">
            <v>No</v>
          </cell>
          <cell r="F802" t="str">
            <v>18764616-2</v>
          </cell>
          <cell r="G802" t="str">
            <v>Castillo Valdebenito Michelle</v>
          </cell>
          <cell r="H802" t="str">
            <v>Cajero</v>
          </cell>
          <cell r="I802">
            <v>3</v>
          </cell>
          <cell r="J802">
            <v>39349070</v>
          </cell>
        </row>
        <row r="803">
          <cell r="C803" t="str">
            <v>50OLT</v>
          </cell>
          <cell r="D803" t="str">
            <v>OKM-Suecia-Lota</v>
          </cell>
          <cell r="E803" t="str">
            <v>No</v>
          </cell>
          <cell r="F803" t="str">
            <v>19439381-4</v>
          </cell>
          <cell r="G803" t="str">
            <v>Vallejos Acuña Abigail Belen</v>
          </cell>
          <cell r="H803" t="str">
            <v>Jefe De Sala</v>
          </cell>
          <cell r="I803">
            <v>2</v>
          </cell>
          <cell r="J803">
            <v>39349070</v>
          </cell>
        </row>
        <row r="804">
          <cell r="C804" t="str">
            <v>50OLT</v>
          </cell>
          <cell r="D804" t="str">
            <v>OKM-Suecia-Lota</v>
          </cell>
          <cell r="E804" t="str">
            <v>No</v>
          </cell>
          <cell r="F804" t="str">
            <v>27007308-5</v>
          </cell>
          <cell r="G804" t="str">
            <v>Soto Maldonado Yoscari Aimara</v>
          </cell>
          <cell r="H804" t="str">
            <v>Cajero</v>
          </cell>
          <cell r="I804">
            <v>3</v>
          </cell>
          <cell r="J804">
            <v>39349070</v>
          </cell>
        </row>
        <row r="805">
          <cell r="C805" t="str">
            <v>50OLT</v>
          </cell>
          <cell r="D805" t="str">
            <v>OKM-Suecia-Lota</v>
          </cell>
          <cell r="E805" t="str">
            <v>No</v>
          </cell>
          <cell r="F805" t="str">
            <v>27652766-5</v>
          </cell>
          <cell r="G805" t="str">
            <v>Castillo . Elizabeth Nakary</v>
          </cell>
          <cell r="H805" t="str">
            <v>Cajero</v>
          </cell>
          <cell r="I805">
            <v>3</v>
          </cell>
          <cell r="J805">
            <v>39349070</v>
          </cell>
        </row>
        <row r="806">
          <cell r="C806" t="str">
            <v>50OHM</v>
          </cell>
          <cell r="D806" t="str">
            <v>OKM-Hernando De Magallanes</v>
          </cell>
          <cell r="E806" t="str">
            <v>No</v>
          </cell>
          <cell r="F806" t="str">
            <v>13912195-3</v>
          </cell>
          <cell r="G806" t="str">
            <v>Saavedra Calisaya Marina Alejandra</v>
          </cell>
          <cell r="H806" t="str">
            <v>Lider</v>
          </cell>
          <cell r="I806">
            <v>1</v>
          </cell>
          <cell r="J806">
            <v>38857437</v>
          </cell>
        </row>
        <row r="807">
          <cell r="C807" t="str">
            <v>50OHM</v>
          </cell>
          <cell r="D807" t="str">
            <v>OKM-Hernando De Magallanes</v>
          </cell>
          <cell r="E807" t="str">
            <v>No</v>
          </cell>
          <cell r="F807" t="str">
            <v>15720867-5</v>
          </cell>
          <cell r="G807" t="str">
            <v>Galvez Guiñez Juan Manuel</v>
          </cell>
          <cell r="H807" t="str">
            <v>Cajero</v>
          </cell>
          <cell r="I807">
            <v>3</v>
          </cell>
          <cell r="J807">
            <v>38857437</v>
          </cell>
        </row>
        <row r="808">
          <cell r="C808" t="str">
            <v>50OHM</v>
          </cell>
          <cell r="D808" t="str">
            <v>OKM-Hernando De Magallanes</v>
          </cell>
          <cell r="E808" t="str">
            <v>No</v>
          </cell>
          <cell r="F808" t="str">
            <v>22673472-4</v>
          </cell>
          <cell r="G808" t="str">
            <v>Sanchez Chapoñan Renzo Alexander</v>
          </cell>
          <cell r="H808" t="str">
            <v>Cajero</v>
          </cell>
          <cell r="I808">
            <v>3</v>
          </cell>
          <cell r="J808">
            <v>38857437</v>
          </cell>
        </row>
        <row r="809">
          <cell r="C809" t="str">
            <v>50OHM</v>
          </cell>
          <cell r="D809" t="str">
            <v>OKM-Hernando De Magallanes</v>
          </cell>
          <cell r="E809" t="str">
            <v>No</v>
          </cell>
          <cell r="F809" t="str">
            <v>28241481-3</v>
          </cell>
          <cell r="G809" t="str">
            <v>Rincon Rivas Idania Soelis</v>
          </cell>
          <cell r="H809" t="str">
            <v>Cajero</v>
          </cell>
          <cell r="I809">
            <v>3</v>
          </cell>
          <cell r="J809">
            <v>38857437</v>
          </cell>
        </row>
        <row r="810">
          <cell r="C810" t="str">
            <v>50OHM</v>
          </cell>
          <cell r="D810" t="str">
            <v>OKM-Hernando De Magallanes</v>
          </cell>
          <cell r="E810" t="str">
            <v>No</v>
          </cell>
          <cell r="F810" t="str">
            <v>28259713-6</v>
          </cell>
          <cell r="G810" t="str">
            <v>Moyetones Olachea Ramon Antonio</v>
          </cell>
          <cell r="H810" t="str">
            <v>Jefe De Sala</v>
          </cell>
          <cell r="I810">
            <v>2</v>
          </cell>
          <cell r="J810">
            <v>38857437</v>
          </cell>
        </row>
        <row r="811">
          <cell r="C811" t="str">
            <v>50D6N</v>
          </cell>
          <cell r="D811" t="str">
            <v>OXXO-5 Norte</v>
          </cell>
          <cell r="E811" t="str">
            <v>No</v>
          </cell>
          <cell r="F811" t="str">
            <v>17793139-K</v>
          </cell>
          <cell r="G811" t="str">
            <v>Perez Araya Leslie Rode</v>
          </cell>
          <cell r="H811" t="str">
            <v>Lider</v>
          </cell>
          <cell r="I811">
            <v>1</v>
          </cell>
          <cell r="J811">
            <v>38754728</v>
          </cell>
        </row>
        <row r="812">
          <cell r="C812" t="str">
            <v>50D6N</v>
          </cell>
          <cell r="D812" t="str">
            <v>OXXO-5 Norte</v>
          </cell>
          <cell r="E812" t="str">
            <v>No</v>
          </cell>
          <cell r="F812" t="str">
            <v>18380911-3</v>
          </cell>
          <cell r="G812" t="str">
            <v>Lobos Jeria Camilo Andres</v>
          </cell>
          <cell r="H812" t="str">
            <v>Jefe De Sala</v>
          </cell>
          <cell r="I812">
            <v>2</v>
          </cell>
          <cell r="J812">
            <v>38754728</v>
          </cell>
        </row>
        <row r="813">
          <cell r="C813" t="str">
            <v>50D6N</v>
          </cell>
          <cell r="D813" t="str">
            <v>OXXO-5 Norte</v>
          </cell>
          <cell r="E813" t="str">
            <v>No</v>
          </cell>
          <cell r="F813" t="str">
            <v>18921842-7</v>
          </cell>
          <cell r="G813" t="str">
            <v>Lopez De Arechaga Olivares Felipe Alejan</v>
          </cell>
          <cell r="H813" t="str">
            <v>Cajero</v>
          </cell>
          <cell r="I813">
            <v>3</v>
          </cell>
          <cell r="J813">
            <v>38754728</v>
          </cell>
        </row>
        <row r="814">
          <cell r="C814" t="str">
            <v>50D6N</v>
          </cell>
          <cell r="D814" t="str">
            <v>OXXO-5 Norte</v>
          </cell>
          <cell r="E814" t="str">
            <v>No</v>
          </cell>
          <cell r="F814" t="str">
            <v>20843863-8</v>
          </cell>
          <cell r="G814" t="str">
            <v>Gonzalez Bustos Constanza Noemi</v>
          </cell>
          <cell r="H814" t="str">
            <v>Cajero</v>
          </cell>
          <cell r="I814">
            <v>3</v>
          </cell>
          <cell r="J814">
            <v>38754728</v>
          </cell>
        </row>
        <row r="815">
          <cell r="C815" t="str">
            <v>50D6N</v>
          </cell>
          <cell r="D815" t="str">
            <v>OXXO-5 Norte</v>
          </cell>
          <cell r="E815" t="str">
            <v>No</v>
          </cell>
          <cell r="F815" t="str">
            <v>21271742-8</v>
          </cell>
          <cell r="G815" t="str">
            <v>Basulado Villesca Barbara Valentina</v>
          </cell>
          <cell r="H815" t="str">
            <v>Jefe De Sala</v>
          </cell>
          <cell r="I815">
            <v>2</v>
          </cell>
          <cell r="J815">
            <v>38754728</v>
          </cell>
        </row>
        <row r="816">
          <cell r="C816" t="str">
            <v>50ARL</v>
          </cell>
          <cell r="D816" t="str">
            <v>OXXO-Arlegui</v>
          </cell>
          <cell r="E816" t="str">
            <v>No</v>
          </cell>
          <cell r="F816" t="str">
            <v>13343137-3</v>
          </cell>
          <cell r="G816" t="str">
            <v>Valenzuela Torres Maria Alejandra</v>
          </cell>
          <cell r="H816" t="str">
            <v>Cajero</v>
          </cell>
          <cell r="I816">
            <v>3</v>
          </cell>
          <cell r="J816">
            <v>38685948</v>
          </cell>
        </row>
        <row r="817">
          <cell r="C817" t="str">
            <v>50ARL</v>
          </cell>
          <cell r="D817" t="str">
            <v>OXXO-Arlegui</v>
          </cell>
          <cell r="E817" t="str">
            <v>No</v>
          </cell>
          <cell r="F817" t="str">
            <v>18703833-2</v>
          </cell>
          <cell r="G817" t="str">
            <v>Nuñez Vergara Fernanda Camila</v>
          </cell>
          <cell r="H817" t="str">
            <v>Jefe De Sala</v>
          </cell>
          <cell r="I817">
            <v>2</v>
          </cell>
          <cell r="J817">
            <v>38685948</v>
          </cell>
        </row>
        <row r="818">
          <cell r="C818" t="str">
            <v>50ARL</v>
          </cell>
          <cell r="D818" t="str">
            <v>OXXO-Arlegui</v>
          </cell>
          <cell r="E818" t="str">
            <v>No</v>
          </cell>
          <cell r="F818" t="str">
            <v>19614809-4</v>
          </cell>
          <cell r="G818" t="str">
            <v>Fernandez Navarro Maximiliano Esteban</v>
          </cell>
          <cell r="H818" t="str">
            <v>Jefe De Sala</v>
          </cell>
          <cell r="I818">
            <v>2</v>
          </cell>
          <cell r="J818">
            <v>38685948</v>
          </cell>
        </row>
        <row r="819">
          <cell r="C819" t="str">
            <v>50ARL</v>
          </cell>
          <cell r="D819" t="str">
            <v>OXXO-Arlegui</v>
          </cell>
          <cell r="E819" t="str">
            <v>No</v>
          </cell>
          <cell r="F819" t="str">
            <v>20013742-6</v>
          </cell>
          <cell r="G819" t="str">
            <v>Gallardo Nuñez Bastian Eduardo</v>
          </cell>
          <cell r="H819" t="str">
            <v>Cajero</v>
          </cell>
          <cell r="I819">
            <v>3</v>
          </cell>
          <cell r="J819">
            <v>38685948</v>
          </cell>
        </row>
        <row r="820">
          <cell r="C820" t="str">
            <v>50ARL</v>
          </cell>
          <cell r="D820" t="str">
            <v>OXXO-Arlegui</v>
          </cell>
          <cell r="E820" t="str">
            <v>No</v>
          </cell>
          <cell r="F820" t="str">
            <v>25757891-7</v>
          </cell>
          <cell r="G820" t="str">
            <v>Brito Martinez Arsenio Rafael</v>
          </cell>
          <cell r="H820" t="str">
            <v>Lider</v>
          </cell>
          <cell r="I820">
            <v>1</v>
          </cell>
          <cell r="J820">
            <v>38685948</v>
          </cell>
        </row>
        <row r="821">
          <cell r="C821" t="str">
            <v>50ARL</v>
          </cell>
          <cell r="D821" t="str">
            <v>OXXO-Arlegui</v>
          </cell>
          <cell r="E821" t="str">
            <v>No</v>
          </cell>
          <cell r="F821" t="str">
            <v>26972275-4</v>
          </cell>
          <cell r="G821" t="str">
            <v>Monedero Garcia Aldrin Jose</v>
          </cell>
          <cell r="H821" t="str">
            <v>Cajero</v>
          </cell>
          <cell r="I821">
            <v>3</v>
          </cell>
          <cell r="J821">
            <v>38685948</v>
          </cell>
        </row>
        <row r="822">
          <cell r="C822" t="str">
            <v>50LAF</v>
          </cell>
          <cell r="D822" t="str">
            <v>OXXO-Outlet La Florida</v>
          </cell>
          <cell r="E822" t="str">
            <v>No</v>
          </cell>
          <cell r="F822" t="str">
            <v>12437489-8</v>
          </cell>
          <cell r="G822" t="str">
            <v>Estay Estuardo Macarena</v>
          </cell>
          <cell r="H822" t="str">
            <v>Cajero</v>
          </cell>
          <cell r="I822">
            <v>3</v>
          </cell>
          <cell r="J822">
            <v>38675062</v>
          </cell>
        </row>
        <row r="823">
          <cell r="C823" t="str">
            <v>50LAF</v>
          </cell>
          <cell r="D823" t="str">
            <v>OXXO-Outlet La Florida</v>
          </cell>
          <cell r="E823" t="str">
            <v>No</v>
          </cell>
          <cell r="F823" t="str">
            <v>20604448-9</v>
          </cell>
          <cell r="G823" t="str">
            <v>Romero Medina Jesus Fernando</v>
          </cell>
          <cell r="H823" t="str">
            <v>Jefe De Sala</v>
          </cell>
          <cell r="I823">
            <v>2</v>
          </cell>
          <cell r="J823">
            <v>38675062</v>
          </cell>
        </row>
        <row r="824">
          <cell r="C824" t="str">
            <v>50LAF</v>
          </cell>
          <cell r="D824" t="str">
            <v>OXXO-Outlet La Florida</v>
          </cell>
          <cell r="E824" t="str">
            <v>No</v>
          </cell>
          <cell r="F824" t="str">
            <v>26220961-K</v>
          </cell>
          <cell r="G824" t="str">
            <v>Castellanos Castellanos Rosa Maria</v>
          </cell>
          <cell r="H824" t="str">
            <v>Lider</v>
          </cell>
          <cell r="I824">
            <v>1</v>
          </cell>
          <cell r="J824">
            <v>38675062</v>
          </cell>
        </row>
        <row r="825">
          <cell r="C825" t="str">
            <v>50VOR</v>
          </cell>
          <cell r="D825" t="str">
            <v>OXXO-Providencia 2</v>
          </cell>
          <cell r="E825" t="str">
            <v>No</v>
          </cell>
          <cell r="F825" t="str">
            <v>17030431-4</v>
          </cell>
          <cell r="G825" t="str">
            <v>Morales Ramos Solange</v>
          </cell>
          <cell r="H825" t="str">
            <v>Lider</v>
          </cell>
          <cell r="I825">
            <v>1</v>
          </cell>
          <cell r="J825">
            <v>38672932</v>
          </cell>
        </row>
        <row r="826">
          <cell r="C826" t="str">
            <v>50VOR</v>
          </cell>
          <cell r="D826" t="str">
            <v>OXXO-Providencia 2</v>
          </cell>
          <cell r="E826" t="str">
            <v>No</v>
          </cell>
          <cell r="F826" t="str">
            <v>25191542-3</v>
          </cell>
          <cell r="G826" t="str">
            <v>Hinojosa Avalos Jehan Carla</v>
          </cell>
          <cell r="H826" t="str">
            <v>Jefe De Sala</v>
          </cell>
          <cell r="I826">
            <v>2</v>
          </cell>
          <cell r="J826">
            <v>38672932</v>
          </cell>
        </row>
        <row r="827">
          <cell r="C827" t="str">
            <v>50VOR</v>
          </cell>
          <cell r="D827" t="str">
            <v>OXXO-Providencia 2</v>
          </cell>
          <cell r="E827" t="str">
            <v>No</v>
          </cell>
          <cell r="F827" t="str">
            <v>25873696-6</v>
          </cell>
          <cell r="G827" t="str">
            <v>Aguiño Bonilla Dumila</v>
          </cell>
          <cell r="H827" t="str">
            <v>Cajero</v>
          </cell>
          <cell r="I827">
            <v>3</v>
          </cell>
          <cell r="J827">
            <v>38672932</v>
          </cell>
        </row>
        <row r="828">
          <cell r="C828" t="str">
            <v>50VOR</v>
          </cell>
          <cell r="D828" t="str">
            <v>OXXO-Providencia 2</v>
          </cell>
          <cell r="E828" t="str">
            <v>No</v>
          </cell>
          <cell r="F828" t="str">
            <v>27128667-8</v>
          </cell>
          <cell r="G828" t="str">
            <v>Mogollon Avendaño Leyaneth Geraldin</v>
          </cell>
          <cell r="H828" t="str">
            <v>Jefe De Sala</v>
          </cell>
          <cell r="I828">
            <v>2</v>
          </cell>
          <cell r="J828">
            <v>38672932</v>
          </cell>
        </row>
        <row r="829">
          <cell r="C829" t="str">
            <v>50VOR</v>
          </cell>
          <cell r="D829" t="str">
            <v>OXXO-Providencia 2</v>
          </cell>
          <cell r="E829" t="str">
            <v>No</v>
          </cell>
          <cell r="F829" t="str">
            <v>27924889-9</v>
          </cell>
          <cell r="G829" t="str">
            <v>Ocampo Buritica Yuliana</v>
          </cell>
          <cell r="H829" t="str">
            <v>Cajero</v>
          </cell>
          <cell r="I829">
            <v>3</v>
          </cell>
          <cell r="J829">
            <v>38672932</v>
          </cell>
        </row>
        <row r="830">
          <cell r="C830" t="str">
            <v>50LJM</v>
          </cell>
          <cell r="D830" t="str">
            <v>OXXO-Metro Irarrazaval</v>
          </cell>
          <cell r="E830" t="str">
            <v>No</v>
          </cell>
          <cell r="F830" t="str">
            <v>25838086-K</v>
          </cell>
          <cell r="G830" t="str">
            <v>Alastre Rua Yelibeth</v>
          </cell>
          <cell r="H830" t="str">
            <v>Jefe De Sala</v>
          </cell>
          <cell r="I830">
            <v>2</v>
          </cell>
          <cell r="J830">
            <v>38588761</v>
          </cell>
        </row>
        <row r="831">
          <cell r="C831" t="str">
            <v>50LJM</v>
          </cell>
          <cell r="D831" t="str">
            <v>OXXO-Metro Irarrazaval</v>
          </cell>
          <cell r="E831" t="str">
            <v>No</v>
          </cell>
          <cell r="F831" t="str">
            <v>26458534-1</v>
          </cell>
          <cell r="G831" t="str">
            <v>Padilla Perez Aliana Valentina</v>
          </cell>
          <cell r="H831" t="str">
            <v>Lider</v>
          </cell>
          <cell r="I831">
            <v>1</v>
          </cell>
          <cell r="J831">
            <v>38588761</v>
          </cell>
        </row>
        <row r="832">
          <cell r="C832" t="str">
            <v>50LJM</v>
          </cell>
          <cell r="D832" t="str">
            <v>OXXO-Metro Irarrazaval</v>
          </cell>
          <cell r="E832" t="str">
            <v>No</v>
          </cell>
          <cell r="F832" t="str">
            <v>26618295-3</v>
          </cell>
          <cell r="G832" t="str">
            <v>Ferrer Medina Daniel</v>
          </cell>
          <cell r="H832" t="str">
            <v>Jefe De Sala</v>
          </cell>
          <cell r="I832">
            <v>2</v>
          </cell>
          <cell r="J832">
            <v>38588761</v>
          </cell>
        </row>
        <row r="833">
          <cell r="C833" t="str">
            <v>50LJM</v>
          </cell>
          <cell r="D833" t="str">
            <v>OXXO-Metro Irarrazaval</v>
          </cell>
          <cell r="E833" t="str">
            <v>No</v>
          </cell>
          <cell r="F833" t="str">
            <v>27633827-7</v>
          </cell>
          <cell r="G833" t="str">
            <v>Marichal Marcano Fabiola Elizabeth</v>
          </cell>
          <cell r="H833" t="str">
            <v>Cajero</v>
          </cell>
          <cell r="I833">
            <v>3</v>
          </cell>
          <cell r="J833">
            <v>38588761</v>
          </cell>
        </row>
        <row r="834">
          <cell r="C834" t="str">
            <v>50JAK</v>
          </cell>
          <cell r="D834" t="str">
            <v>OXXO-Santa Victoria</v>
          </cell>
          <cell r="E834" t="str">
            <v>No</v>
          </cell>
          <cell r="F834" t="str">
            <v>10072057-4</v>
          </cell>
          <cell r="G834" t="str">
            <v>Campos Ortiz Urzula Joanna</v>
          </cell>
          <cell r="H834" t="str">
            <v>Cajero</v>
          </cell>
          <cell r="I834">
            <v>3</v>
          </cell>
          <cell r="J834">
            <v>38587221</v>
          </cell>
        </row>
        <row r="835">
          <cell r="C835" t="str">
            <v>50JAK</v>
          </cell>
          <cell r="D835" t="str">
            <v>OXXO-Santa Victoria</v>
          </cell>
          <cell r="E835" t="str">
            <v>No</v>
          </cell>
          <cell r="F835" t="str">
            <v>26410025-9</v>
          </cell>
          <cell r="G835" t="str">
            <v>Lopez Chica Luisana Segunda</v>
          </cell>
          <cell r="H835" t="str">
            <v>Lider</v>
          </cell>
          <cell r="I835">
            <v>1</v>
          </cell>
          <cell r="J835">
            <v>38587221</v>
          </cell>
        </row>
        <row r="836">
          <cell r="C836" t="str">
            <v>50JAK</v>
          </cell>
          <cell r="D836" t="str">
            <v>OXXO-Santa Victoria</v>
          </cell>
          <cell r="E836" t="str">
            <v>No</v>
          </cell>
          <cell r="F836" t="str">
            <v>26478112-4</v>
          </cell>
          <cell r="G836" t="str">
            <v>Juarez Mendoza Maribeth Yeremi</v>
          </cell>
          <cell r="H836" t="str">
            <v>Cajero</v>
          </cell>
          <cell r="I836">
            <v>3</v>
          </cell>
          <cell r="J836">
            <v>38587221</v>
          </cell>
        </row>
        <row r="837">
          <cell r="C837" t="str">
            <v>50JAK</v>
          </cell>
          <cell r="D837" t="str">
            <v>OXXO-Santa Victoria</v>
          </cell>
          <cell r="E837" t="str">
            <v>No</v>
          </cell>
          <cell r="F837" t="str">
            <v>26734995-9</v>
          </cell>
          <cell r="G837" t="str">
            <v>Rodriguez Cubillan Rolyelis Gabriela</v>
          </cell>
          <cell r="H837" t="str">
            <v>Cajero</v>
          </cell>
          <cell r="I837">
            <v>3</v>
          </cell>
          <cell r="J837">
            <v>38587221</v>
          </cell>
        </row>
        <row r="838">
          <cell r="C838" t="str">
            <v>50JAK</v>
          </cell>
          <cell r="D838" t="str">
            <v>OXXO-Santa Victoria</v>
          </cell>
          <cell r="E838" t="str">
            <v>No</v>
          </cell>
          <cell r="F838" t="str">
            <v>27131541-4</v>
          </cell>
          <cell r="G838" t="str">
            <v>Barragan Cordero Laura Cristina</v>
          </cell>
          <cell r="H838" t="str">
            <v>Cajero</v>
          </cell>
          <cell r="I838">
            <v>3</v>
          </cell>
          <cell r="J838">
            <v>38587221</v>
          </cell>
        </row>
        <row r="839">
          <cell r="C839" t="str">
            <v>50JAK</v>
          </cell>
          <cell r="D839" t="str">
            <v>OXXO-Santa Victoria</v>
          </cell>
          <cell r="E839" t="str">
            <v>No</v>
          </cell>
          <cell r="F839" t="str">
            <v>27924932-1</v>
          </cell>
          <cell r="G839" t="str">
            <v>Martinez Lopez Yorgelis</v>
          </cell>
          <cell r="H839" t="str">
            <v>Jefe De Sala</v>
          </cell>
          <cell r="I839">
            <v>2</v>
          </cell>
          <cell r="J839">
            <v>38587221</v>
          </cell>
        </row>
        <row r="840">
          <cell r="C840" t="str">
            <v>508LO</v>
          </cell>
          <cell r="D840" t="str">
            <v>OXXO-Amunategui</v>
          </cell>
          <cell r="E840" t="str">
            <v>No</v>
          </cell>
          <cell r="F840" t="str">
            <v>16500187-7</v>
          </cell>
          <cell r="G840" t="str">
            <v>Ramirez Zamorano Haru</v>
          </cell>
          <cell r="H840" t="str">
            <v>Cajero</v>
          </cell>
          <cell r="I840">
            <v>3</v>
          </cell>
          <cell r="J840">
            <v>38492211</v>
          </cell>
        </row>
        <row r="841">
          <cell r="C841" t="str">
            <v>508LO</v>
          </cell>
          <cell r="D841" t="str">
            <v>OXXO-Amunategui</v>
          </cell>
          <cell r="E841" t="str">
            <v>No</v>
          </cell>
          <cell r="F841" t="str">
            <v>21923661-1</v>
          </cell>
          <cell r="G841" t="str">
            <v>Araya Romero Lucas Alonso</v>
          </cell>
          <cell r="H841" t="str">
            <v>Cajero</v>
          </cell>
          <cell r="I841">
            <v>3</v>
          </cell>
          <cell r="J841">
            <v>38492211</v>
          </cell>
        </row>
        <row r="842">
          <cell r="C842" t="str">
            <v>508LO</v>
          </cell>
          <cell r="D842" t="str">
            <v>OXXO-Amunategui</v>
          </cell>
          <cell r="E842" t="str">
            <v>No</v>
          </cell>
          <cell r="F842" t="str">
            <v>25829043-7</v>
          </cell>
          <cell r="G842" t="str">
            <v>Marrufo Martinez Leidy</v>
          </cell>
          <cell r="H842" t="str">
            <v>Jefe De Sala</v>
          </cell>
          <cell r="I842">
            <v>2</v>
          </cell>
          <cell r="J842">
            <v>38492211</v>
          </cell>
        </row>
        <row r="843">
          <cell r="C843" t="str">
            <v>508LO</v>
          </cell>
          <cell r="D843" t="str">
            <v>OXXO-Amunategui</v>
          </cell>
          <cell r="E843" t="str">
            <v>No</v>
          </cell>
          <cell r="F843" t="str">
            <v>25968090-5</v>
          </cell>
          <cell r="G843" t="str">
            <v>Ballesteros Colina Marianela</v>
          </cell>
          <cell r="H843" t="str">
            <v>Lider</v>
          </cell>
          <cell r="I843">
            <v>1</v>
          </cell>
          <cell r="J843">
            <v>38492211</v>
          </cell>
        </row>
        <row r="844">
          <cell r="C844" t="str">
            <v>508LO</v>
          </cell>
          <cell r="D844" t="str">
            <v>OXXO-Amunategui</v>
          </cell>
          <cell r="E844" t="str">
            <v>No</v>
          </cell>
          <cell r="F844" t="str">
            <v>27503871-7</v>
          </cell>
          <cell r="G844" t="str">
            <v>Roman Perez Ana</v>
          </cell>
          <cell r="H844" t="str">
            <v>Cajero</v>
          </cell>
          <cell r="I844">
            <v>3</v>
          </cell>
          <cell r="J844">
            <v>38492211</v>
          </cell>
        </row>
        <row r="845">
          <cell r="C845" t="str">
            <v>508LO</v>
          </cell>
          <cell r="D845" t="str">
            <v>OXXO-Amunategui</v>
          </cell>
          <cell r="E845" t="str">
            <v>No</v>
          </cell>
          <cell r="F845" t="str">
            <v>27806807-2</v>
          </cell>
          <cell r="G845" t="str">
            <v>Vieira Fonseca Yenireth</v>
          </cell>
          <cell r="H845" t="str">
            <v>Jefe De Sala</v>
          </cell>
          <cell r="I845">
            <v>2</v>
          </cell>
          <cell r="J845">
            <v>38492211</v>
          </cell>
        </row>
        <row r="846">
          <cell r="C846" t="str">
            <v>50ORN</v>
          </cell>
          <cell r="D846" t="str">
            <v>OXXO-Rosario Norte 2</v>
          </cell>
          <cell r="E846" t="str">
            <v>No</v>
          </cell>
          <cell r="F846" t="str">
            <v>13077247-1</v>
          </cell>
          <cell r="G846" t="str">
            <v>Ramirez Cid Marcia Carolina</v>
          </cell>
          <cell r="H846" t="str">
            <v>Jefe De Sala</v>
          </cell>
          <cell r="I846">
            <v>2</v>
          </cell>
          <cell r="J846">
            <v>38471129</v>
          </cell>
        </row>
        <row r="847">
          <cell r="C847" t="str">
            <v>50ORN</v>
          </cell>
          <cell r="D847" t="str">
            <v>OXXO-Rosario Norte 2</v>
          </cell>
          <cell r="E847" t="str">
            <v>No</v>
          </cell>
          <cell r="F847" t="str">
            <v>16646175-8</v>
          </cell>
          <cell r="G847" t="str">
            <v>Arias Garcias Carolina Lorena</v>
          </cell>
          <cell r="H847" t="str">
            <v>Cajero</v>
          </cell>
          <cell r="I847">
            <v>3</v>
          </cell>
          <cell r="J847">
            <v>38471129</v>
          </cell>
        </row>
        <row r="848">
          <cell r="C848" t="str">
            <v>50ORN</v>
          </cell>
          <cell r="D848" t="str">
            <v>OXXO-Rosario Norte 2</v>
          </cell>
          <cell r="E848" t="str">
            <v>No</v>
          </cell>
          <cell r="F848" t="str">
            <v>18081348-9</v>
          </cell>
          <cell r="G848" t="str">
            <v>Diaz Rodriguez Erick Daniel</v>
          </cell>
          <cell r="H848" t="str">
            <v>Lider</v>
          </cell>
          <cell r="I848">
            <v>1</v>
          </cell>
          <cell r="J848">
            <v>38471129</v>
          </cell>
        </row>
        <row r="849">
          <cell r="C849" t="str">
            <v>50ORN</v>
          </cell>
          <cell r="D849" t="str">
            <v>OXXO-Rosario Norte 2</v>
          </cell>
          <cell r="E849" t="str">
            <v>No</v>
          </cell>
          <cell r="F849" t="str">
            <v>18786626-K</v>
          </cell>
          <cell r="G849" t="str">
            <v>Salgado Escobar Wilfredo Jesus</v>
          </cell>
          <cell r="H849" t="str">
            <v>Cajero</v>
          </cell>
          <cell r="I849">
            <v>3</v>
          </cell>
          <cell r="J849">
            <v>38471129</v>
          </cell>
        </row>
        <row r="850">
          <cell r="C850" t="str">
            <v>50ORN</v>
          </cell>
          <cell r="D850" t="str">
            <v>OXXO-Rosario Norte 2</v>
          </cell>
          <cell r="E850" t="str">
            <v>No</v>
          </cell>
          <cell r="F850" t="str">
            <v>21060917-2</v>
          </cell>
          <cell r="G850" t="str">
            <v>Millar Riquelme Cristopher Matias</v>
          </cell>
          <cell r="H850" t="str">
            <v>Cajero</v>
          </cell>
          <cell r="I850">
            <v>3</v>
          </cell>
          <cell r="J850">
            <v>38471129</v>
          </cell>
        </row>
        <row r="851">
          <cell r="C851" t="str">
            <v>50ORN</v>
          </cell>
          <cell r="D851" t="str">
            <v>OXXO-Rosario Norte 2</v>
          </cell>
          <cell r="E851" t="str">
            <v>No</v>
          </cell>
          <cell r="F851" t="str">
            <v>22410146-5</v>
          </cell>
          <cell r="G851" t="str">
            <v>Urbano Rea Esther Abigail</v>
          </cell>
          <cell r="H851" t="str">
            <v>Cajero</v>
          </cell>
          <cell r="I851">
            <v>3</v>
          </cell>
          <cell r="J851">
            <v>38471129</v>
          </cell>
        </row>
        <row r="852">
          <cell r="C852" t="str">
            <v>50EER</v>
          </cell>
          <cell r="D852" t="str">
            <v>OXXO-Nva. Las Condes 1</v>
          </cell>
          <cell r="E852" t="str">
            <v>No</v>
          </cell>
          <cell r="F852" t="str">
            <v>19515155-5</v>
          </cell>
          <cell r="G852" t="str">
            <v>Velasquez Campos Esteban Andres</v>
          </cell>
          <cell r="H852" t="str">
            <v>Jefe De Sala</v>
          </cell>
          <cell r="I852">
            <v>2</v>
          </cell>
          <cell r="J852">
            <v>38241298</v>
          </cell>
        </row>
        <row r="853">
          <cell r="C853" t="str">
            <v>50EER</v>
          </cell>
          <cell r="D853" t="str">
            <v>OXXO-Nva. Las Condes 1</v>
          </cell>
          <cell r="E853" t="str">
            <v>No</v>
          </cell>
          <cell r="F853" t="str">
            <v>25487504-K</v>
          </cell>
          <cell r="G853" t="str">
            <v>Marin Erazo Luz Adriana</v>
          </cell>
          <cell r="H853" t="str">
            <v>Jefe De Sala</v>
          </cell>
          <cell r="I853">
            <v>2</v>
          </cell>
          <cell r="J853">
            <v>38241298</v>
          </cell>
        </row>
        <row r="854">
          <cell r="C854" t="str">
            <v>50EER</v>
          </cell>
          <cell r="D854" t="str">
            <v>OXXO-Nva. Las Condes 1</v>
          </cell>
          <cell r="E854" t="str">
            <v>No</v>
          </cell>
          <cell r="F854" t="str">
            <v>26684584-7</v>
          </cell>
          <cell r="G854" t="str">
            <v>Reyes Gonzalez Derwin Javier</v>
          </cell>
          <cell r="H854" t="str">
            <v>Lider</v>
          </cell>
          <cell r="I854">
            <v>1</v>
          </cell>
          <cell r="J854">
            <v>38241298</v>
          </cell>
        </row>
        <row r="855">
          <cell r="C855" t="str">
            <v>50EER</v>
          </cell>
          <cell r="D855" t="str">
            <v>OXXO-Nva. Las Condes 1</v>
          </cell>
          <cell r="E855" t="str">
            <v>No</v>
          </cell>
          <cell r="F855" t="str">
            <v>26708352-5</v>
          </cell>
          <cell r="G855" t="str">
            <v>Ramos Hidalgo Xiomara Elizabeth</v>
          </cell>
          <cell r="H855" t="str">
            <v>Cajero</v>
          </cell>
          <cell r="I855">
            <v>3</v>
          </cell>
          <cell r="J855">
            <v>38241298</v>
          </cell>
        </row>
        <row r="856">
          <cell r="C856" t="str">
            <v>50EER</v>
          </cell>
          <cell r="D856" t="str">
            <v>OXXO-Nva. Las Condes 1</v>
          </cell>
          <cell r="E856" t="str">
            <v>No</v>
          </cell>
          <cell r="F856" t="str">
            <v>27194185-4</v>
          </cell>
          <cell r="G856" t="str">
            <v>Duque Caicedo Arianna</v>
          </cell>
          <cell r="H856" t="str">
            <v>Cajero</v>
          </cell>
          <cell r="I856">
            <v>3</v>
          </cell>
          <cell r="J856">
            <v>38241298</v>
          </cell>
        </row>
        <row r="857">
          <cell r="C857" t="str">
            <v>50096</v>
          </cell>
          <cell r="D857" t="str">
            <v>OXXO-Infante</v>
          </cell>
          <cell r="E857" t="str">
            <v>No</v>
          </cell>
          <cell r="F857" t="str">
            <v>19811695-5</v>
          </cell>
          <cell r="G857" t="str">
            <v>Montero Bustos Macarena Andrea</v>
          </cell>
          <cell r="H857" t="str">
            <v>Cajero</v>
          </cell>
          <cell r="I857">
            <v>3</v>
          </cell>
          <cell r="J857">
            <v>37989846</v>
          </cell>
        </row>
        <row r="858">
          <cell r="C858" t="str">
            <v>50096</v>
          </cell>
          <cell r="D858" t="str">
            <v>OXXO-Infante</v>
          </cell>
          <cell r="E858" t="str">
            <v>No</v>
          </cell>
          <cell r="F858" t="str">
            <v>21014700-4</v>
          </cell>
          <cell r="G858" t="str">
            <v>Pavez Paredes Esperanza Valentina</v>
          </cell>
          <cell r="H858" t="str">
            <v>Cajero</v>
          </cell>
          <cell r="I858">
            <v>3</v>
          </cell>
          <cell r="J858">
            <v>37989846</v>
          </cell>
        </row>
        <row r="859">
          <cell r="C859" t="str">
            <v>50096</v>
          </cell>
          <cell r="D859" t="str">
            <v>OXXO-Infante</v>
          </cell>
          <cell r="E859" t="str">
            <v>No</v>
          </cell>
          <cell r="F859" t="str">
            <v>21158960-4</v>
          </cell>
          <cell r="G859" t="str">
            <v>Osorio Rodriguez Daniela Elizabeth</v>
          </cell>
          <cell r="H859" t="str">
            <v>Cajero</v>
          </cell>
          <cell r="I859">
            <v>3</v>
          </cell>
          <cell r="J859">
            <v>37989846</v>
          </cell>
        </row>
        <row r="860">
          <cell r="C860" t="str">
            <v>50096</v>
          </cell>
          <cell r="D860" t="str">
            <v>OXXO-Infante</v>
          </cell>
          <cell r="E860" t="str">
            <v>No</v>
          </cell>
          <cell r="F860" t="str">
            <v>26168539-6</v>
          </cell>
          <cell r="G860" t="str">
            <v>Padilla Garcia Leo Alex</v>
          </cell>
          <cell r="H860" t="str">
            <v>Cajero</v>
          </cell>
          <cell r="I860">
            <v>3</v>
          </cell>
          <cell r="J860">
            <v>37989846</v>
          </cell>
        </row>
        <row r="861">
          <cell r="C861" t="str">
            <v>50096</v>
          </cell>
          <cell r="D861" t="str">
            <v>OXXO-Infante</v>
          </cell>
          <cell r="E861" t="str">
            <v>No</v>
          </cell>
          <cell r="F861" t="str">
            <v>26801978-2</v>
          </cell>
          <cell r="G861" t="str">
            <v>Antoima Garcia Elvis Jose</v>
          </cell>
          <cell r="H861" t="str">
            <v>Jefe De Sala</v>
          </cell>
          <cell r="I861">
            <v>2</v>
          </cell>
          <cell r="J861">
            <v>37989846</v>
          </cell>
        </row>
        <row r="862">
          <cell r="C862" t="str">
            <v>50096</v>
          </cell>
          <cell r="D862" t="str">
            <v>OXXO-Infante</v>
          </cell>
          <cell r="E862" t="str">
            <v>No</v>
          </cell>
          <cell r="F862" t="str">
            <v>27027233-9</v>
          </cell>
          <cell r="G862" t="str">
            <v>Omaña . Ana Gabriel</v>
          </cell>
          <cell r="H862" t="str">
            <v>Lider</v>
          </cell>
          <cell r="I862">
            <v>1</v>
          </cell>
          <cell r="J862">
            <v>37989846</v>
          </cell>
        </row>
        <row r="863">
          <cell r="C863" t="str">
            <v>50GXO</v>
          </cell>
          <cell r="D863" t="str">
            <v>OXXO-Renato Sanchez</v>
          </cell>
          <cell r="E863" t="str">
            <v>No</v>
          </cell>
          <cell r="F863" t="str">
            <v>13273052-0</v>
          </cell>
          <cell r="G863" t="str">
            <v>Sepulveda Sanhueza Johana</v>
          </cell>
          <cell r="H863" t="str">
            <v>Jefe De Sala</v>
          </cell>
          <cell r="I863">
            <v>2</v>
          </cell>
          <cell r="J863">
            <v>37908678</v>
          </cell>
        </row>
        <row r="864">
          <cell r="C864" t="str">
            <v>50GXO</v>
          </cell>
          <cell r="D864" t="str">
            <v>OXXO-Renato Sanchez</v>
          </cell>
          <cell r="E864" t="str">
            <v>No</v>
          </cell>
          <cell r="F864" t="str">
            <v>19857101-6</v>
          </cell>
          <cell r="G864" t="str">
            <v>Gatica Quiroz Patrick</v>
          </cell>
          <cell r="H864" t="str">
            <v>Cajero</v>
          </cell>
          <cell r="I864">
            <v>3</v>
          </cell>
          <cell r="J864">
            <v>37908678</v>
          </cell>
        </row>
        <row r="865">
          <cell r="C865" t="str">
            <v>50GXO</v>
          </cell>
          <cell r="D865" t="str">
            <v>OXXO-Renato Sanchez</v>
          </cell>
          <cell r="E865" t="str">
            <v>No</v>
          </cell>
          <cell r="F865" t="str">
            <v>20226060-8</v>
          </cell>
          <cell r="G865" t="str">
            <v>Concha Urquiza Ofelia</v>
          </cell>
          <cell r="H865" t="str">
            <v>Cajero</v>
          </cell>
          <cell r="I865">
            <v>3</v>
          </cell>
          <cell r="J865">
            <v>37908678</v>
          </cell>
        </row>
        <row r="866">
          <cell r="C866" t="str">
            <v>50GXO</v>
          </cell>
          <cell r="D866" t="str">
            <v>OXXO-Renato Sanchez</v>
          </cell>
          <cell r="E866" t="str">
            <v>No</v>
          </cell>
          <cell r="F866" t="str">
            <v>27105803-9</v>
          </cell>
          <cell r="G866" t="str">
            <v>Sarmiento Mata Luznanyi De Los Angeles</v>
          </cell>
          <cell r="H866" t="str">
            <v>Lider</v>
          </cell>
          <cell r="I866">
            <v>1</v>
          </cell>
          <cell r="J866">
            <v>37908678</v>
          </cell>
        </row>
        <row r="867">
          <cell r="C867" t="str">
            <v>50ALM</v>
          </cell>
          <cell r="D867" t="str">
            <v>OXXO-Apoquindo - Los Militares</v>
          </cell>
          <cell r="E867" t="str">
            <v>No</v>
          </cell>
          <cell r="F867" t="str">
            <v>10371272-6</v>
          </cell>
          <cell r="G867" t="str">
            <v>Becker Schwazemberg Jose Enrique</v>
          </cell>
          <cell r="H867" t="str">
            <v>Cajero</v>
          </cell>
          <cell r="I867">
            <v>3</v>
          </cell>
          <cell r="J867">
            <v>37708964</v>
          </cell>
        </row>
        <row r="868">
          <cell r="C868" t="str">
            <v>50ALM</v>
          </cell>
          <cell r="D868" t="str">
            <v>OXXO-Apoquindo - Los Militares</v>
          </cell>
          <cell r="E868" t="str">
            <v>No</v>
          </cell>
          <cell r="F868" t="str">
            <v>21472748-K</v>
          </cell>
          <cell r="G868" t="str">
            <v>Leon Pizarro Cristian</v>
          </cell>
          <cell r="H868" t="str">
            <v>Cajero</v>
          </cell>
          <cell r="I868">
            <v>3</v>
          </cell>
          <cell r="J868">
            <v>37708964</v>
          </cell>
        </row>
        <row r="869">
          <cell r="C869" t="str">
            <v>50NBN</v>
          </cell>
          <cell r="D869" t="str">
            <v>OXXO-Bilbao - Montt</v>
          </cell>
          <cell r="E869" t="str">
            <v>No</v>
          </cell>
          <cell r="F869" t="str">
            <v>17612916-6</v>
          </cell>
          <cell r="G869" t="str">
            <v>Contreras Contreras Elizabeth Margarita</v>
          </cell>
          <cell r="H869" t="str">
            <v>Cajero</v>
          </cell>
          <cell r="I869">
            <v>3</v>
          </cell>
          <cell r="J869">
            <v>37703656</v>
          </cell>
        </row>
        <row r="870">
          <cell r="C870" t="str">
            <v>50NBN</v>
          </cell>
          <cell r="D870" t="str">
            <v>OXXO-Bilbao - Montt</v>
          </cell>
          <cell r="E870" t="str">
            <v>No</v>
          </cell>
          <cell r="F870" t="str">
            <v>18249150-0</v>
          </cell>
          <cell r="G870" t="str">
            <v>Fuentes Sanchez Jesenia Judith</v>
          </cell>
          <cell r="H870" t="str">
            <v>Cajero</v>
          </cell>
          <cell r="I870">
            <v>3</v>
          </cell>
          <cell r="J870">
            <v>37703656</v>
          </cell>
        </row>
        <row r="871">
          <cell r="C871" t="str">
            <v>50NBN</v>
          </cell>
          <cell r="D871" t="str">
            <v>OXXO-Bilbao - Montt</v>
          </cell>
          <cell r="E871" t="str">
            <v>No</v>
          </cell>
          <cell r="F871" t="str">
            <v>19294201-2</v>
          </cell>
          <cell r="G871" t="str">
            <v>Sepulveda Anabalon Gustavo</v>
          </cell>
          <cell r="H871" t="str">
            <v>Jefe De Sala</v>
          </cell>
          <cell r="I871">
            <v>2</v>
          </cell>
          <cell r="J871">
            <v>37703656</v>
          </cell>
        </row>
        <row r="872">
          <cell r="C872" t="str">
            <v>50NBN</v>
          </cell>
          <cell r="D872" t="str">
            <v>OXXO-Bilbao - Montt</v>
          </cell>
          <cell r="E872" t="str">
            <v>No</v>
          </cell>
          <cell r="F872" t="str">
            <v>20199684-8</v>
          </cell>
          <cell r="G872" t="str">
            <v>Cortes Armijo Maite Anais</v>
          </cell>
          <cell r="H872" t="str">
            <v>Cajero</v>
          </cell>
          <cell r="I872">
            <v>3</v>
          </cell>
          <cell r="J872">
            <v>37703656</v>
          </cell>
        </row>
        <row r="873">
          <cell r="C873" t="str">
            <v>50NBN</v>
          </cell>
          <cell r="D873" t="str">
            <v>OXXO-Bilbao - Montt</v>
          </cell>
          <cell r="E873" t="str">
            <v>No</v>
          </cell>
          <cell r="F873" t="str">
            <v>26115875-2</v>
          </cell>
          <cell r="G873" t="str">
            <v>Ortiz Arenas Dignora Maria</v>
          </cell>
          <cell r="H873" t="str">
            <v>Cajero</v>
          </cell>
          <cell r="I873">
            <v>3</v>
          </cell>
          <cell r="J873">
            <v>37703656</v>
          </cell>
        </row>
        <row r="874">
          <cell r="C874" t="str">
            <v>50NBN</v>
          </cell>
          <cell r="D874" t="str">
            <v>OXXO-Bilbao - Montt</v>
          </cell>
          <cell r="E874" t="str">
            <v>No</v>
          </cell>
          <cell r="F874" t="str">
            <v>26236878-5</v>
          </cell>
          <cell r="G874" t="str">
            <v>Quijada Rodriguez Carlos Ramon</v>
          </cell>
          <cell r="H874" t="str">
            <v>Lider</v>
          </cell>
          <cell r="I874">
            <v>1</v>
          </cell>
          <cell r="J874">
            <v>37703656</v>
          </cell>
        </row>
        <row r="875">
          <cell r="C875" t="str">
            <v>50OHU</v>
          </cell>
          <cell r="D875" t="str">
            <v>OKM-Huinganal Ii</v>
          </cell>
          <cell r="E875" t="str">
            <v>No</v>
          </cell>
          <cell r="F875" t="str">
            <v>21082211-9</v>
          </cell>
          <cell r="G875" t="str">
            <v>Cartes Villagra Isidora Belen</v>
          </cell>
          <cell r="H875" t="str">
            <v>Cajero</v>
          </cell>
          <cell r="I875">
            <v>3</v>
          </cell>
          <cell r="J875">
            <v>37607563</v>
          </cell>
        </row>
        <row r="876">
          <cell r="C876" t="str">
            <v>50OHU</v>
          </cell>
          <cell r="D876" t="str">
            <v>OKM-Huinganal Ii</v>
          </cell>
          <cell r="E876" t="str">
            <v>No</v>
          </cell>
          <cell r="F876" t="str">
            <v>22630524-6</v>
          </cell>
          <cell r="G876" t="str">
            <v>Valdez Rosas Estefani Alexandra</v>
          </cell>
          <cell r="H876" t="str">
            <v>Cajero</v>
          </cell>
          <cell r="I876">
            <v>3</v>
          </cell>
          <cell r="J876">
            <v>37607563</v>
          </cell>
        </row>
        <row r="877">
          <cell r="C877" t="str">
            <v>50FNM</v>
          </cell>
          <cell r="D877" t="str">
            <v>OXXO-O´Higgins</v>
          </cell>
          <cell r="E877" t="str">
            <v>No</v>
          </cell>
          <cell r="F877" t="str">
            <v>10709765-1</v>
          </cell>
          <cell r="G877" t="str">
            <v>Prieto Oliva Maria Pablina</v>
          </cell>
          <cell r="H877" t="str">
            <v>Jefe De Sala</v>
          </cell>
          <cell r="I877">
            <v>2</v>
          </cell>
          <cell r="J877">
            <v>37598901</v>
          </cell>
        </row>
        <row r="878">
          <cell r="C878" t="str">
            <v>50FNM</v>
          </cell>
          <cell r="D878" t="str">
            <v>OXXO-O´Higgins</v>
          </cell>
          <cell r="E878" t="str">
            <v>No</v>
          </cell>
          <cell r="F878" t="str">
            <v>17548325-K</v>
          </cell>
          <cell r="G878" t="str">
            <v>Alarcon Espinoza Diego Isaac</v>
          </cell>
          <cell r="H878" t="str">
            <v>Cajero</v>
          </cell>
          <cell r="I878">
            <v>3</v>
          </cell>
          <cell r="J878">
            <v>37598901</v>
          </cell>
        </row>
        <row r="879">
          <cell r="C879" t="str">
            <v>50FNM</v>
          </cell>
          <cell r="D879" t="str">
            <v>OXXO-O´Higgins</v>
          </cell>
          <cell r="E879" t="str">
            <v>No</v>
          </cell>
          <cell r="F879" t="str">
            <v>25963913-1</v>
          </cell>
          <cell r="G879" t="str">
            <v>Medina Sanchez Daicirys Isabel</v>
          </cell>
          <cell r="H879" t="str">
            <v>Lider</v>
          </cell>
          <cell r="I879">
            <v>1</v>
          </cell>
          <cell r="J879">
            <v>37598901</v>
          </cell>
        </row>
        <row r="880">
          <cell r="C880" t="str">
            <v>50FNM</v>
          </cell>
          <cell r="D880" t="str">
            <v>OXXO-O´Higgins</v>
          </cell>
          <cell r="E880" t="str">
            <v>No</v>
          </cell>
          <cell r="F880" t="str">
            <v>25966604-K</v>
          </cell>
          <cell r="G880" t="str">
            <v>Rodriguez Bernal Veronica Mercedes</v>
          </cell>
          <cell r="H880" t="str">
            <v>Jefe De Sala</v>
          </cell>
          <cell r="I880">
            <v>2</v>
          </cell>
          <cell r="J880">
            <v>37598901</v>
          </cell>
        </row>
        <row r="881">
          <cell r="C881" t="str">
            <v>50FNM</v>
          </cell>
          <cell r="D881" t="str">
            <v>OXXO-O´Higgins</v>
          </cell>
          <cell r="E881" t="str">
            <v>No</v>
          </cell>
          <cell r="F881" t="str">
            <v>27618860-7</v>
          </cell>
          <cell r="G881" t="str">
            <v>Jimenez Jimenez Evelin</v>
          </cell>
          <cell r="H881" t="str">
            <v>Cajero</v>
          </cell>
          <cell r="I881">
            <v>3</v>
          </cell>
          <cell r="J881">
            <v>37598901</v>
          </cell>
        </row>
        <row r="882">
          <cell r="C882" t="str">
            <v>50V5C</v>
          </cell>
          <cell r="D882" t="str">
            <v>OXXO-Estoril</v>
          </cell>
          <cell r="E882" t="str">
            <v>No</v>
          </cell>
          <cell r="F882" t="str">
            <v>18993203-0</v>
          </cell>
          <cell r="G882" t="str">
            <v>Alvear Alvear Jose Gabriel</v>
          </cell>
          <cell r="H882" t="str">
            <v>Jefe De Sala</v>
          </cell>
          <cell r="I882">
            <v>2</v>
          </cell>
          <cell r="J882">
            <v>37452775</v>
          </cell>
        </row>
        <row r="883">
          <cell r="C883" t="str">
            <v>50V5C</v>
          </cell>
          <cell r="D883" t="str">
            <v>OXXO-Estoril</v>
          </cell>
          <cell r="E883" t="str">
            <v>No</v>
          </cell>
          <cell r="F883" t="str">
            <v>20858223-2</v>
          </cell>
          <cell r="G883" t="str">
            <v>Barraza Gallegos Ivonne Andrea</v>
          </cell>
          <cell r="H883" t="str">
            <v>Jefe De Sala</v>
          </cell>
          <cell r="I883">
            <v>2</v>
          </cell>
          <cell r="J883">
            <v>37452775</v>
          </cell>
        </row>
        <row r="884">
          <cell r="C884" t="str">
            <v>50V5C</v>
          </cell>
          <cell r="D884" t="str">
            <v>OXXO-Estoril</v>
          </cell>
          <cell r="E884" t="str">
            <v>No</v>
          </cell>
          <cell r="F884" t="str">
            <v>27215704-9</v>
          </cell>
          <cell r="G884" t="str">
            <v>Bolaño De Zambrano Sol Cristal</v>
          </cell>
          <cell r="H884" t="str">
            <v>Cajero</v>
          </cell>
          <cell r="I884">
            <v>3</v>
          </cell>
          <cell r="J884">
            <v>37452775</v>
          </cell>
        </row>
        <row r="885">
          <cell r="C885" t="str">
            <v>50V5C</v>
          </cell>
          <cell r="D885" t="str">
            <v>OXXO-Estoril</v>
          </cell>
          <cell r="E885" t="str">
            <v>No</v>
          </cell>
          <cell r="F885" t="str">
            <v>28383540-5</v>
          </cell>
          <cell r="G885" t="str">
            <v>Salas Castillo Teo Isaac</v>
          </cell>
          <cell r="H885" t="str">
            <v>Cajero</v>
          </cell>
          <cell r="I885">
            <v>3</v>
          </cell>
          <cell r="J885">
            <v>37452775</v>
          </cell>
        </row>
        <row r="886">
          <cell r="C886" t="str">
            <v>50OJC</v>
          </cell>
          <cell r="D886" t="str">
            <v>OXXO-Jose Dgo. Cañas</v>
          </cell>
          <cell r="E886" t="str">
            <v>No</v>
          </cell>
          <cell r="F886" t="str">
            <v>16919693-1</v>
          </cell>
          <cell r="G886" t="str">
            <v>Pezoa Hernandez Sebastian Esteban</v>
          </cell>
          <cell r="H886" t="str">
            <v>Cajero</v>
          </cell>
          <cell r="I886">
            <v>3</v>
          </cell>
          <cell r="J886">
            <v>37441505</v>
          </cell>
        </row>
        <row r="887">
          <cell r="C887" t="str">
            <v>50OJC</v>
          </cell>
          <cell r="D887" t="str">
            <v>OXXO-Jose Dgo. Cañas</v>
          </cell>
          <cell r="E887" t="str">
            <v>No</v>
          </cell>
          <cell r="F887" t="str">
            <v>17664309-9</v>
          </cell>
          <cell r="G887" t="str">
            <v>Cabello Astete Mitzi Maira Pilar</v>
          </cell>
          <cell r="H887" t="str">
            <v>Lider</v>
          </cell>
          <cell r="I887">
            <v>1</v>
          </cell>
          <cell r="J887">
            <v>37441505</v>
          </cell>
        </row>
        <row r="888">
          <cell r="C888" t="str">
            <v>50OJC</v>
          </cell>
          <cell r="D888" t="str">
            <v>OXXO-Jose Dgo. Cañas</v>
          </cell>
          <cell r="E888" t="str">
            <v>No</v>
          </cell>
          <cell r="F888" t="str">
            <v>19448516-6</v>
          </cell>
          <cell r="G888" t="str">
            <v>Astudillo Aguilera Camila Alejandra</v>
          </cell>
          <cell r="H888" t="str">
            <v>Cajero</v>
          </cell>
          <cell r="I888">
            <v>3</v>
          </cell>
          <cell r="J888">
            <v>37441505</v>
          </cell>
        </row>
        <row r="889">
          <cell r="C889" t="str">
            <v>50OJC</v>
          </cell>
          <cell r="D889" t="str">
            <v>OXXO-Jose Dgo. Cañas</v>
          </cell>
          <cell r="E889" t="str">
            <v>No</v>
          </cell>
          <cell r="F889" t="str">
            <v>19887688-7</v>
          </cell>
          <cell r="G889" t="str">
            <v>Castro Muñoz Carla Rocio</v>
          </cell>
          <cell r="H889" t="str">
            <v>Cajero</v>
          </cell>
          <cell r="I889">
            <v>3</v>
          </cell>
          <cell r="J889">
            <v>37441505</v>
          </cell>
        </row>
        <row r="890">
          <cell r="C890" t="str">
            <v>50OJC</v>
          </cell>
          <cell r="D890" t="str">
            <v>OXXO-Jose Dgo. Cañas</v>
          </cell>
          <cell r="E890" t="str">
            <v>No</v>
          </cell>
          <cell r="F890" t="str">
            <v>26116389-6</v>
          </cell>
          <cell r="G890" t="str">
            <v>Sanchez Rengel Yadeivis Daniela</v>
          </cell>
          <cell r="H890" t="str">
            <v>Cajero</v>
          </cell>
          <cell r="I890">
            <v>3</v>
          </cell>
          <cell r="J890">
            <v>37441505</v>
          </cell>
        </row>
        <row r="891">
          <cell r="C891" t="str">
            <v>50OJC</v>
          </cell>
          <cell r="D891" t="str">
            <v>OXXO-Jose Dgo. Cañas</v>
          </cell>
          <cell r="E891" t="str">
            <v>No</v>
          </cell>
          <cell r="F891" t="str">
            <v>26500780-5</v>
          </cell>
          <cell r="G891" t="str">
            <v>Hernandez Urrieta Ramon Enrique</v>
          </cell>
          <cell r="H891" t="str">
            <v>Jefe De Sala</v>
          </cell>
          <cell r="I891">
            <v>2</v>
          </cell>
          <cell r="J891">
            <v>37441505</v>
          </cell>
        </row>
        <row r="892">
          <cell r="C892" t="str">
            <v>50FF5</v>
          </cell>
          <cell r="D892" t="str">
            <v>OXXO-Metro Gruta Lourdes</v>
          </cell>
          <cell r="E892" t="str">
            <v>No</v>
          </cell>
          <cell r="F892" t="str">
            <v>17598006-7</v>
          </cell>
          <cell r="G892" t="str">
            <v>Gomez Romero Moises Enrique</v>
          </cell>
          <cell r="H892" t="str">
            <v>Jefe De Sala</v>
          </cell>
          <cell r="I892">
            <v>2</v>
          </cell>
          <cell r="J892">
            <v>37163184</v>
          </cell>
        </row>
        <row r="893">
          <cell r="C893" t="str">
            <v>50FF5</v>
          </cell>
          <cell r="D893" t="str">
            <v>OXXO-Metro Gruta Lourdes</v>
          </cell>
          <cell r="E893" t="str">
            <v>No</v>
          </cell>
          <cell r="F893" t="str">
            <v>26952608-4</v>
          </cell>
          <cell r="G893" t="str">
            <v>Garcia Mojica Ada Yolermar</v>
          </cell>
          <cell r="H893" t="str">
            <v>Cajero</v>
          </cell>
          <cell r="I893">
            <v>3</v>
          </cell>
          <cell r="J893">
            <v>37163184</v>
          </cell>
        </row>
        <row r="894">
          <cell r="C894" t="str">
            <v>50FF5</v>
          </cell>
          <cell r="D894" t="str">
            <v>OXXO-Metro Gruta Lourdes</v>
          </cell>
          <cell r="E894" t="str">
            <v>No</v>
          </cell>
          <cell r="F894" t="str">
            <v>26983198-7</v>
          </cell>
          <cell r="G894" t="str">
            <v>Lopez Rojas Neibelin De Jesus</v>
          </cell>
          <cell r="H894" t="str">
            <v>Cajero</v>
          </cell>
          <cell r="I894">
            <v>3</v>
          </cell>
          <cell r="J894">
            <v>37163184</v>
          </cell>
        </row>
        <row r="895">
          <cell r="C895" t="str">
            <v>50FF5</v>
          </cell>
          <cell r="D895" t="str">
            <v>OXXO-Metro Gruta Lourdes</v>
          </cell>
          <cell r="E895" t="str">
            <v>No</v>
          </cell>
          <cell r="F895" t="str">
            <v>27723560-9</v>
          </cell>
          <cell r="G895" t="str">
            <v>Arias Liendo Lice Trinidad</v>
          </cell>
          <cell r="H895" t="str">
            <v>Jefe De Sala</v>
          </cell>
          <cell r="I895">
            <v>2</v>
          </cell>
          <cell r="J895">
            <v>37163184</v>
          </cell>
        </row>
        <row r="896">
          <cell r="C896" t="str">
            <v>50FF5</v>
          </cell>
          <cell r="D896" t="str">
            <v>OXXO-Metro Gruta Lourdes</v>
          </cell>
          <cell r="E896" t="str">
            <v>No</v>
          </cell>
          <cell r="F896" t="str">
            <v>27837857-8</v>
          </cell>
          <cell r="G896" t="str">
            <v>Olivares Borjas Gladysbelia</v>
          </cell>
          <cell r="H896" t="str">
            <v>Lider</v>
          </cell>
          <cell r="I896">
            <v>1</v>
          </cell>
          <cell r="J896">
            <v>37163184</v>
          </cell>
        </row>
        <row r="897">
          <cell r="C897" t="str">
            <v>50FF5</v>
          </cell>
          <cell r="D897" t="str">
            <v>OXXO-Metro Gruta Lourdes</v>
          </cell>
          <cell r="E897" t="str">
            <v>No</v>
          </cell>
          <cell r="F897" t="str">
            <v>28458066-4</v>
          </cell>
          <cell r="G897" t="str">
            <v>Arzuza Fajardo Aldri Miguel</v>
          </cell>
          <cell r="H897" t="str">
            <v>Cajero</v>
          </cell>
          <cell r="I897">
            <v>3</v>
          </cell>
          <cell r="J897">
            <v>37163184</v>
          </cell>
        </row>
        <row r="898">
          <cell r="C898" t="str">
            <v>505WD</v>
          </cell>
          <cell r="D898" t="str">
            <v>OXXO-Partenon 2</v>
          </cell>
          <cell r="E898" t="str">
            <v>No</v>
          </cell>
          <cell r="F898" t="str">
            <v>18562145-6</v>
          </cell>
          <cell r="G898" t="str">
            <v>Herrera Espinoza Gabriel Andres</v>
          </cell>
          <cell r="H898" t="str">
            <v>Cajero</v>
          </cell>
          <cell r="I898">
            <v>3</v>
          </cell>
          <cell r="J898">
            <v>37059779</v>
          </cell>
        </row>
        <row r="899">
          <cell r="C899" t="str">
            <v>505WD</v>
          </cell>
          <cell r="D899" t="str">
            <v>OXXO-Partenon 2</v>
          </cell>
          <cell r="E899" t="str">
            <v>No</v>
          </cell>
          <cell r="F899" t="str">
            <v>19517336-2</v>
          </cell>
          <cell r="G899" t="str">
            <v>Tapia Neida Pablo Fernando</v>
          </cell>
          <cell r="H899" t="str">
            <v>Cajero</v>
          </cell>
          <cell r="I899">
            <v>3</v>
          </cell>
          <cell r="J899">
            <v>37059779</v>
          </cell>
        </row>
        <row r="900">
          <cell r="C900" t="str">
            <v>505WD</v>
          </cell>
          <cell r="D900" t="str">
            <v>OXXO-Partenon 2</v>
          </cell>
          <cell r="E900" t="str">
            <v>No</v>
          </cell>
          <cell r="F900" t="str">
            <v>26767032-3</v>
          </cell>
          <cell r="G900" t="str">
            <v>Albornoz Castillo Ana Karina</v>
          </cell>
          <cell r="H900" t="str">
            <v>Lider</v>
          </cell>
          <cell r="I900">
            <v>1</v>
          </cell>
          <cell r="J900">
            <v>37059779</v>
          </cell>
        </row>
        <row r="901">
          <cell r="C901" t="str">
            <v>505WD</v>
          </cell>
          <cell r="D901" t="str">
            <v>OXXO-Partenon 2</v>
          </cell>
          <cell r="E901" t="str">
            <v>No</v>
          </cell>
          <cell r="F901" t="str">
            <v>27307283-7</v>
          </cell>
          <cell r="G901" t="str">
            <v>Ospina Mejia Analida</v>
          </cell>
          <cell r="H901" t="str">
            <v>Cajero</v>
          </cell>
          <cell r="I901">
            <v>3</v>
          </cell>
          <cell r="J901">
            <v>37059779</v>
          </cell>
        </row>
        <row r="902">
          <cell r="C902" t="str">
            <v>505WD</v>
          </cell>
          <cell r="D902" t="str">
            <v>OXXO-Partenon 2</v>
          </cell>
          <cell r="E902" t="str">
            <v>No</v>
          </cell>
          <cell r="F902" t="str">
            <v>28029806-9</v>
          </cell>
          <cell r="G902" t="str">
            <v>Busque Quinde Maycol Styven</v>
          </cell>
          <cell r="H902" t="str">
            <v>Jefe De Sala</v>
          </cell>
          <cell r="I902">
            <v>2</v>
          </cell>
          <cell r="J902">
            <v>37059779</v>
          </cell>
        </row>
        <row r="903">
          <cell r="C903" t="str">
            <v>50ORI</v>
          </cell>
          <cell r="D903" t="str">
            <v>OXXO-Riesco 2</v>
          </cell>
          <cell r="E903" t="str">
            <v>No</v>
          </cell>
          <cell r="F903" t="str">
            <v>10874077-9</v>
          </cell>
          <cell r="G903" t="str">
            <v>Mura Carrasco Blanca Oliva</v>
          </cell>
          <cell r="H903" t="str">
            <v>Lider</v>
          </cell>
          <cell r="I903">
            <v>1</v>
          </cell>
          <cell r="J903">
            <v>36572685</v>
          </cell>
        </row>
        <row r="904">
          <cell r="C904" t="str">
            <v>50ORI</v>
          </cell>
          <cell r="D904" t="str">
            <v>OXXO-Riesco 2</v>
          </cell>
          <cell r="E904" t="str">
            <v>No</v>
          </cell>
          <cell r="F904" t="str">
            <v>14160244-6</v>
          </cell>
          <cell r="G904" t="str">
            <v>Gonzalez Alvarez Katherin De Los Angeles</v>
          </cell>
          <cell r="H904" t="str">
            <v>Cajero</v>
          </cell>
          <cell r="I904">
            <v>3</v>
          </cell>
          <cell r="J904">
            <v>36572685</v>
          </cell>
        </row>
        <row r="905">
          <cell r="C905" t="str">
            <v>50ORI</v>
          </cell>
          <cell r="D905" t="str">
            <v>OXXO-Riesco 2</v>
          </cell>
          <cell r="E905" t="str">
            <v>No</v>
          </cell>
          <cell r="F905" t="str">
            <v>26176272-2</v>
          </cell>
          <cell r="G905" t="str">
            <v>Montilla Guarepe Eduardo Andres</v>
          </cell>
          <cell r="H905" t="str">
            <v>Cajero</v>
          </cell>
          <cell r="I905">
            <v>3</v>
          </cell>
          <cell r="J905">
            <v>36572685</v>
          </cell>
        </row>
        <row r="906">
          <cell r="C906" t="str">
            <v>50ORI</v>
          </cell>
          <cell r="D906" t="str">
            <v>OXXO-Riesco 2</v>
          </cell>
          <cell r="E906" t="str">
            <v>No</v>
          </cell>
          <cell r="F906" t="str">
            <v>26813021-7</v>
          </cell>
          <cell r="G906" t="str">
            <v>Gonzalez Flores Luis Andres</v>
          </cell>
          <cell r="H906" t="str">
            <v>Cajero</v>
          </cell>
          <cell r="I906">
            <v>3</v>
          </cell>
          <cell r="J906">
            <v>36572685</v>
          </cell>
        </row>
        <row r="907">
          <cell r="C907" t="str">
            <v>50ORI</v>
          </cell>
          <cell r="D907" t="str">
            <v>OXXO-Riesco 2</v>
          </cell>
          <cell r="E907" t="str">
            <v>No</v>
          </cell>
          <cell r="F907" t="str">
            <v>27820214-3</v>
          </cell>
          <cell r="G907" t="str">
            <v>Rivero Alvarado Vanessa Coromoto</v>
          </cell>
          <cell r="H907" t="str">
            <v>Jefe De Sala</v>
          </cell>
          <cell r="I907">
            <v>2</v>
          </cell>
          <cell r="J907">
            <v>36572685</v>
          </cell>
        </row>
        <row r="908">
          <cell r="C908" t="str">
            <v>505F3</v>
          </cell>
          <cell r="D908" t="str">
            <v>OXXO-Outlet La Fabrica</v>
          </cell>
          <cell r="E908" t="str">
            <v>No</v>
          </cell>
          <cell r="F908" t="str">
            <v>13927701-5</v>
          </cell>
          <cell r="G908" t="str">
            <v>Riquelme Calderon Solange Elisabeth</v>
          </cell>
          <cell r="H908" t="str">
            <v>Cajero</v>
          </cell>
          <cell r="I908">
            <v>3</v>
          </cell>
          <cell r="J908">
            <v>36455425</v>
          </cell>
        </row>
        <row r="909">
          <cell r="C909" t="str">
            <v>505F3</v>
          </cell>
          <cell r="D909" t="str">
            <v>OXXO-Outlet La Fabrica</v>
          </cell>
          <cell r="E909" t="str">
            <v>No</v>
          </cell>
          <cell r="F909" t="str">
            <v>19228279-9</v>
          </cell>
          <cell r="G909" t="str">
            <v>Bevar Parra Blanca</v>
          </cell>
          <cell r="H909" t="str">
            <v>Cajero</v>
          </cell>
          <cell r="I909">
            <v>3</v>
          </cell>
          <cell r="J909">
            <v>36455425</v>
          </cell>
        </row>
        <row r="910">
          <cell r="C910" t="str">
            <v>505F3</v>
          </cell>
          <cell r="D910" t="str">
            <v>OXXO-Outlet La Fabrica</v>
          </cell>
          <cell r="E910" t="str">
            <v>No</v>
          </cell>
          <cell r="F910" t="str">
            <v>26628634-1</v>
          </cell>
          <cell r="G910" t="str">
            <v>Zerega Sivira Nohelia Yohanna</v>
          </cell>
          <cell r="H910" t="str">
            <v>Lider</v>
          </cell>
          <cell r="I910">
            <v>1</v>
          </cell>
          <cell r="J910">
            <v>36455425</v>
          </cell>
        </row>
        <row r="911">
          <cell r="C911" t="str">
            <v>505F3</v>
          </cell>
          <cell r="D911" t="str">
            <v>OXXO-Outlet La Fabrica</v>
          </cell>
          <cell r="E911" t="str">
            <v>No</v>
          </cell>
          <cell r="F911" t="str">
            <v>27209573-6</v>
          </cell>
          <cell r="G911" t="str">
            <v>Noguera Figueredo Analia Maria Del Carme</v>
          </cell>
          <cell r="H911" t="str">
            <v>Jefe De Sala</v>
          </cell>
          <cell r="I911">
            <v>2</v>
          </cell>
          <cell r="J911">
            <v>36455425</v>
          </cell>
        </row>
        <row r="912">
          <cell r="C912" t="str">
            <v>505F3</v>
          </cell>
          <cell r="D912" t="str">
            <v>OXXO-Outlet La Fabrica</v>
          </cell>
          <cell r="E912" t="str">
            <v>No</v>
          </cell>
          <cell r="F912" t="str">
            <v>27863147-8</v>
          </cell>
          <cell r="G912" t="str">
            <v>Dominguez Gallardo Aaron Alexander</v>
          </cell>
          <cell r="H912" t="str">
            <v>Cajero</v>
          </cell>
          <cell r="I912">
            <v>3</v>
          </cell>
          <cell r="J912">
            <v>36455425</v>
          </cell>
        </row>
        <row r="913">
          <cell r="C913" t="str">
            <v>50OQU</v>
          </cell>
          <cell r="D913" t="str">
            <v>OKM-Quinta</v>
          </cell>
          <cell r="E913" t="str">
            <v>No</v>
          </cell>
          <cell r="F913" t="str">
            <v>12947207-3</v>
          </cell>
          <cell r="G913" t="str">
            <v>Rubilar Rubilar Carmen</v>
          </cell>
          <cell r="H913" t="str">
            <v>Lider</v>
          </cell>
          <cell r="I913">
            <v>1</v>
          </cell>
          <cell r="J913">
            <v>36410894</v>
          </cell>
        </row>
        <row r="914">
          <cell r="C914" t="str">
            <v>50OQU</v>
          </cell>
          <cell r="D914" t="str">
            <v>OKM-Quinta</v>
          </cell>
          <cell r="E914" t="str">
            <v>No</v>
          </cell>
          <cell r="F914" t="str">
            <v>13229572-7</v>
          </cell>
          <cell r="G914" t="str">
            <v>Lazcano Melo Yasna Paola</v>
          </cell>
          <cell r="H914" t="str">
            <v>Jefe De Sala</v>
          </cell>
          <cell r="I914">
            <v>2</v>
          </cell>
          <cell r="J914">
            <v>36410894</v>
          </cell>
        </row>
        <row r="915">
          <cell r="C915" t="str">
            <v>50OQU</v>
          </cell>
          <cell r="D915" t="str">
            <v>OKM-Quinta</v>
          </cell>
          <cell r="E915" t="str">
            <v>No</v>
          </cell>
          <cell r="F915" t="str">
            <v>16574496-9</v>
          </cell>
          <cell r="G915" t="str">
            <v>Poblete Jorquera Alejandro</v>
          </cell>
          <cell r="H915" t="str">
            <v>Cajero</v>
          </cell>
          <cell r="I915">
            <v>3</v>
          </cell>
          <cell r="J915">
            <v>36410894</v>
          </cell>
        </row>
        <row r="916">
          <cell r="C916" t="str">
            <v>50OQU</v>
          </cell>
          <cell r="D916" t="str">
            <v>OKM-Quinta</v>
          </cell>
          <cell r="E916" t="str">
            <v>No</v>
          </cell>
          <cell r="F916" t="str">
            <v>19377691-4</v>
          </cell>
          <cell r="G916" t="str">
            <v>Berland Berland Constanza Guianinna</v>
          </cell>
          <cell r="H916" t="str">
            <v>Jefe De Sala</v>
          </cell>
          <cell r="I916">
            <v>2</v>
          </cell>
          <cell r="J916">
            <v>36410894</v>
          </cell>
        </row>
        <row r="917">
          <cell r="C917" t="str">
            <v>50OQU</v>
          </cell>
          <cell r="D917" t="str">
            <v>OKM-Quinta</v>
          </cell>
          <cell r="E917" t="str">
            <v>No</v>
          </cell>
          <cell r="F917" t="str">
            <v>20361161-7</v>
          </cell>
          <cell r="G917" t="str">
            <v>Guzman Valenzuela Rodrigo Ignacio</v>
          </cell>
          <cell r="H917" t="str">
            <v>Cajero</v>
          </cell>
          <cell r="I917">
            <v>3</v>
          </cell>
          <cell r="J917">
            <v>36410894</v>
          </cell>
        </row>
        <row r="918">
          <cell r="C918" t="str">
            <v>50OQU</v>
          </cell>
          <cell r="D918" t="str">
            <v>OKM-Quinta</v>
          </cell>
          <cell r="E918" t="str">
            <v>No</v>
          </cell>
          <cell r="F918" t="str">
            <v>27194803-4</v>
          </cell>
          <cell r="G918" t="str">
            <v>Fernandez Uribe Donny Andres</v>
          </cell>
          <cell r="H918" t="str">
            <v>Cajero</v>
          </cell>
          <cell r="I918">
            <v>3</v>
          </cell>
          <cell r="J918">
            <v>36410894</v>
          </cell>
        </row>
        <row r="919">
          <cell r="C919" t="str">
            <v>50OVN</v>
          </cell>
          <cell r="D919" t="str">
            <v>OXXO-Antonio Bellet</v>
          </cell>
          <cell r="E919" t="str">
            <v>No</v>
          </cell>
          <cell r="F919" t="str">
            <v>14699104-1</v>
          </cell>
          <cell r="G919" t="str">
            <v>Ogosi Tomailla Angelica</v>
          </cell>
          <cell r="H919" t="str">
            <v>Cajero</v>
          </cell>
          <cell r="I919">
            <v>3</v>
          </cell>
          <cell r="J919">
            <v>35928490</v>
          </cell>
        </row>
        <row r="920">
          <cell r="C920" t="str">
            <v>50OVN</v>
          </cell>
          <cell r="D920" t="str">
            <v>OXXO-Antonio Bellet</v>
          </cell>
          <cell r="E920" t="str">
            <v>No</v>
          </cell>
          <cell r="F920" t="str">
            <v>19802257-8</v>
          </cell>
          <cell r="G920" t="str">
            <v>Corvalan Valencia Catalina</v>
          </cell>
          <cell r="H920" t="str">
            <v>Cajero</v>
          </cell>
          <cell r="I920">
            <v>3</v>
          </cell>
          <cell r="J920">
            <v>35928490</v>
          </cell>
        </row>
        <row r="921">
          <cell r="C921" t="str">
            <v>50OVN</v>
          </cell>
          <cell r="D921" t="str">
            <v>OXXO-Antonio Bellet</v>
          </cell>
          <cell r="E921" t="str">
            <v>No</v>
          </cell>
          <cell r="F921" t="str">
            <v>26077145-0</v>
          </cell>
          <cell r="G921" t="str">
            <v>Baltodano Jara Judith Cristina</v>
          </cell>
          <cell r="H921" t="str">
            <v>Lider</v>
          </cell>
          <cell r="I921">
            <v>1</v>
          </cell>
          <cell r="J921">
            <v>35928490</v>
          </cell>
        </row>
        <row r="922">
          <cell r="C922" t="str">
            <v>50OVN</v>
          </cell>
          <cell r="D922" t="str">
            <v>OXXO-Antonio Bellet</v>
          </cell>
          <cell r="E922" t="str">
            <v>No</v>
          </cell>
          <cell r="F922" t="str">
            <v>26887458-5</v>
          </cell>
          <cell r="G922" t="str">
            <v>Escalona Silva Milanyela</v>
          </cell>
          <cell r="H922" t="str">
            <v>Jefe De Sala</v>
          </cell>
          <cell r="I922">
            <v>2</v>
          </cell>
          <cell r="J922">
            <v>35928490</v>
          </cell>
        </row>
        <row r="923">
          <cell r="C923" t="str">
            <v>50XLL</v>
          </cell>
          <cell r="D923" t="str">
            <v>OXXO-Manuel Montt 1</v>
          </cell>
          <cell r="E923" t="str">
            <v>No</v>
          </cell>
          <cell r="F923" t="str">
            <v>21000995-7</v>
          </cell>
          <cell r="G923" t="str">
            <v>Verdugo Silva Danilo Andres</v>
          </cell>
          <cell r="H923" t="str">
            <v>Jefe De Sala</v>
          </cell>
          <cell r="I923">
            <v>2</v>
          </cell>
          <cell r="J923">
            <v>35822896</v>
          </cell>
        </row>
        <row r="924">
          <cell r="C924" t="str">
            <v>50XLL</v>
          </cell>
          <cell r="D924" t="str">
            <v>OXXO-Manuel Montt 1</v>
          </cell>
          <cell r="E924" t="str">
            <v>No</v>
          </cell>
          <cell r="F924" t="str">
            <v>26059006-5</v>
          </cell>
          <cell r="G924" t="str">
            <v>Palacios Iruyari Paola</v>
          </cell>
          <cell r="H924" t="str">
            <v>Cajero</v>
          </cell>
          <cell r="I924">
            <v>3</v>
          </cell>
          <cell r="J924">
            <v>35822896</v>
          </cell>
        </row>
        <row r="925">
          <cell r="C925" t="str">
            <v>50XLL</v>
          </cell>
          <cell r="D925" t="str">
            <v>OXXO-Manuel Montt 1</v>
          </cell>
          <cell r="E925" t="str">
            <v>No</v>
          </cell>
          <cell r="F925" t="str">
            <v>26455663-5</v>
          </cell>
          <cell r="G925" t="str">
            <v>Rodriguez Bolaño Carmen Victoria</v>
          </cell>
          <cell r="H925" t="str">
            <v>Lider</v>
          </cell>
          <cell r="I925">
            <v>1</v>
          </cell>
          <cell r="J925">
            <v>35822896</v>
          </cell>
        </row>
        <row r="926">
          <cell r="C926" t="str">
            <v>50XLL</v>
          </cell>
          <cell r="D926" t="str">
            <v>OXXO-Manuel Montt 1</v>
          </cell>
          <cell r="E926" t="str">
            <v>No</v>
          </cell>
          <cell r="F926" t="str">
            <v>28165865-4</v>
          </cell>
          <cell r="G926" t="str">
            <v>Quintero Armas Peter Koegel</v>
          </cell>
          <cell r="H926" t="str">
            <v>Jefe De Sala</v>
          </cell>
          <cell r="I926">
            <v>2</v>
          </cell>
          <cell r="J926">
            <v>35822896</v>
          </cell>
        </row>
        <row r="927">
          <cell r="C927" t="str">
            <v>50OPN</v>
          </cell>
          <cell r="D927" t="str">
            <v>OXXO-Plaza Egaña</v>
          </cell>
          <cell r="E927" t="str">
            <v>No</v>
          </cell>
          <cell r="F927" t="str">
            <v>12642192-3</v>
          </cell>
          <cell r="G927" t="str">
            <v>Puga Cortes Luis Fernando</v>
          </cell>
          <cell r="H927" t="str">
            <v>Cajero</v>
          </cell>
          <cell r="I927">
            <v>3</v>
          </cell>
          <cell r="J927">
            <v>35814028</v>
          </cell>
        </row>
        <row r="928">
          <cell r="C928" t="str">
            <v>50OPN</v>
          </cell>
          <cell r="D928" t="str">
            <v>OXXO-Plaza Egaña</v>
          </cell>
          <cell r="E928" t="str">
            <v>No</v>
          </cell>
          <cell r="F928" t="str">
            <v>19422815-5</v>
          </cell>
          <cell r="G928" t="str">
            <v>Vejar Miranda Constanza Luz</v>
          </cell>
          <cell r="H928" t="str">
            <v>Lider</v>
          </cell>
          <cell r="I928">
            <v>1</v>
          </cell>
          <cell r="J928">
            <v>35814028</v>
          </cell>
        </row>
        <row r="929">
          <cell r="C929" t="str">
            <v>50OPN</v>
          </cell>
          <cell r="D929" t="str">
            <v>OXXO-Plaza Egaña</v>
          </cell>
          <cell r="E929" t="str">
            <v>No</v>
          </cell>
          <cell r="F929" t="str">
            <v>21227809-2</v>
          </cell>
          <cell r="G929" t="str">
            <v>Perez Morales Carolina Montserrat</v>
          </cell>
          <cell r="H929" t="str">
            <v>Jefe De Sala</v>
          </cell>
          <cell r="I929">
            <v>2</v>
          </cell>
          <cell r="J929">
            <v>35814028</v>
          </cell>
        </row>
        <row r="930">
          <cell r="C930" t="str">
            <v>50OPN</v>
          </cell>
          <cell r="D930" t="str">
            <v>OXXO-Plaza Egaña</v>
          </cell>
          <cell r="E930" t="str">
            <v>No</v>
          </cell>
          <cell r="F930" t="str">
            <v>27957153-3</v>
          </cell>
          <cell r="G930" t="str">
            <v>Lopez Rojas Williana Beatriz</v>
          </cell>
          <cell r="H930" t="str">
            <v>Cajero</v>
          </cell>
          <cell r="I930">
            <v>3</v>
          </cell>
          <cell r="J930">
            <v>35814028</v>
          </cell>
        </row>
        <row r="931">
          <cell r="C931" t="str">
            <v>50F4M</v>
          </cell>
          <cell r="D931" t="str">
            <v>OXXO-San Antonio</v>
          </cell>
          <cell r="E931" t="str">
            <v>No</v>
          </cell>
          <cell r="F931" t="str">
            <v>16246728-K</v>
          </cell>
          <cell r="G931" t="str">
            <v>Mendez Maldonado Jefferson Cliff</v>
          </cell>
          <cell r="H931" t="str">
            <v>Lider</v>
          </cell>
          <cell r="I931">
            <v>1</v>
          </cell>
          <cell r="J931">
            <v>35587542</v>
          </cell>
        </row>
        <row r="932">
          <cell r="C932" t="str">
            <v>50F4M</v>
          </cell>
          <cell r="D932" t="str">
            <v>OXXO-San Antonio</v>
          </cell>
          <cell r="E932" t="str">
            <v>No</v>
          </cell>
          <cell r="F932" t="str">
            <v>18904272-8</v>
          </cell>
          <cell r="G932" t="str">
            <v>Manriquez Sandoval Ivon</v>
          </cell>
          <cell r="H932" t="str">
            <v>Cajero</v>
          </cell>
          <cell r="I932">
            <v>3</v>
          </cell>
          <cell r="J932">
            <v>35587542</v>
          </cell>
        </row>
        <row r="933">
          <cell r="C933" t="str">
            <v>50F4M</v>
          </cell>
          <cell r="D933" t="str">
            <v>OXXO-San Antonio</v>
          </cell>
          <cell r="E933" t="str">
            <v>No</v>
          </cell>
          <cell r="F933" t="str">
            <v>21321619-8</v>
          </cell>
          <cell r="G933" t="str">
            <v>Rossi Cortes Gael</v>
          </cell>
          <cell r="H933" t="str">
            <v>Jefe De Sala</v>
          </cell>
          <cell r="I933">
            <v>2</v>
          </cell>
          <cell r="J933">
            <v>35587542</v>
          </cell>
        </row>
        <row r="934">
          <cell r="C934" t="str">
            <v>50F4M</v>
          </cell>
          <cell r="D934" t="str">
            <v>OXXO-San Antonio</v>
          </cell>
          <cell r="E934" t="str">
            <v>No</v>
          </cell>
          <cell r="F934" t="str">
            <v>21401867-5</v>
          </cell>
          <cell r="G934" t="str">
            <v>Alfaro Fuentes Elizabeth Alejandra</v>
          </cell>
          <cell r="H934" t="str">
            <v>Jefe De Sala</v>
          </cell>
          <cell r="I934">
            <v>2</v>
          </cell>
          <cell r="J934">
            <v>35587542</v>
          </cell>
        </row>
        <row r="935">
          <cell r="C935" t="str">
            <v>50F4M</v>
          </cell>
          <cell r="D935" t="str">
            <v>OXXO-San Antonio</v>
          </cell>
          <cell r="E935" t="str">
            <v>No</v>
          </cell>
          <cell r="F935" t="str">
            <v>27471058-6</v>
          </cell>
          <cell r="G935" t="str">
            <v>Agreda Bencomo Ronny</v>
          </cell>
          <cell r="H935" t="str">
            <v>Cajero</v>
          </cell>
          <cell r="I935">
            <v>3</v>
          </cell>
          <cell r="J935">
            <v>35587542</v>
          </cell>
        </row>
        <row r="936">
          <cell r="C936" t="str">
            <v>50APO</v>
          </cell>
          <cell r="D936" t="str">
            <v>OXXO-Apoquindo 8</v>
          </cell>
          <cell r="E936" t="str">
            <v>No</v>
          </cell>
          <cell r="F936" t="str">
            <v>24825058-5</v>
          </cell>
          <cell r="G936" t="str">
            <v>Cruz Chuquihuanga Idelsa</v>
          </cell>
          <cell r="H936" t="str">
            <v>Cajero</v>
          </cell>
          <cell r="I936">
            <v>3</v>
          </cell>
          <cell r="J936">
            <v>35454477</v>
          </cell>
        </row>
        <row r="937">
          <cell r="C937" t="str">
            <v>50APO</v>
          </cell>
          <cell r="D937" t="str">
            <v>OXXO-Apoquindo 8</v>
          </cell>
          <cell r="E937" t="str">
            <v>No</v>
          </cell>
          <cell r="F937" t="str">
            <v>25926787-0</v>
          </cell>
          <cell r="G937" t="str">
            <v>Toro Alvarez Dairy Yelimar</v>
          </cell>
          <cell r="H937" t="str">
            <v>Cajero</v>
          </cell>
          <cell r="I937">
            <v>3</v>
          </cell>
          <cell r="J937">
            <v>35454477</v>
          </cell>
        </row>
        <row r="938">
          <cell r="C938" t="str">
            <v>50APO</v>
          </cell>
          <cell r="D938" t="str">
            <v>OXXO-Apoquindo 8</v>
          </cell>
          <cell r="E938" t="str">
            <v>No</v>
          </cell>
          <cell r="F938" t="str">
            <v>26895791-K</v>
          </cell>
          <cell r="G938" t="str">
            <v>Fernandez Villarreal Ericka Giovanna</v>
          </cell>
          <cell r="H938" t="str">
            <v>Lider</v>
          </cell>
          <cell r="I938">
            <v>1</v>
          </cell>
          <cell r="J938">
            <v>35454477</v>
          </cell>
        </row>
        <row r="939">
          <cell r="C939" t="str">
            <v>50APO</v>
          </cell>
          <cell r="D939" t="str">
            <v>OXXO-Apoquindo 8</v>
          </cell>
          <cell r="E939" t="str">
            <v>No</v>
          </cell>
          <cell r="F939" t="str">
            <v>27130816-7</v>
          </cell>
          <cell r="G939" t="str">
            <v>Flores Cordero Ana Sofia</v>
          </cell>
          <cell r="H939" t="str">
            <v>Jefe De Sala</v>
          </cell>
          <cell r="I939">
            <v>2</v>
          </cell>
          <cell r="J939">
            <v>35454477</v>
          </cell>
        </row>
        <row r="940">
          <cell r="C940" t="str">
            <v>50APO</v>
          </cell>
          <cell r="D940" t="str">
            <v>OXXO-Apoquindo 8</v>
          </cell>
          <cell r="E940" t="str">
            <v>No</v>
          </cell>
          <cell r="F940" t="str">
            <v>27927435-0</v>
          </cell>
          <cell r="G940" t="str">
            <v>Oropeza Triviño Douglimar Gabriela</v>
          </cell>
          <cell r="H940" t="str">
            <v>Cajero</v>
          </cell>
          <cell r="I940">
            <v>3</v>
          </cell>
          <cell r="J940">
            <v>35454477</v>
          </cell>
        </row>
        <row r="941">
          <cell r="C941" t="str">
            <v>50LVH</v>
          </cell>
          <cell r="D941" t="str">
            <v>OXXO-San Martin 6 Poniente</v>
          </cell>
          <cell r="E941" t="str">
            <v>No</v>
          </cell>
          <cell r="F941" t="str">
            <v>19939682-K</v>
          </cell>
          <cell r="G941" t="str">
            <v>Riquelme Maureira Melanye Shannon</v>
          </cell>
          <cell r="H941" t="str">
            <v>Cajero</v>
          </cell>
          <cell r="I941">
            <v>3</v>
          </cell>
          <cell r="J941">
            <v>35452506</v>
          </cell>
        </row>
        <row r="942">
          <cell r="C942" t="str">
            <v>50LVH</v>
          </cell>
          <cell r="D942" t="str">
            <v>OXXO-San Martin 6 Poniente</v>
          </cell>
          <cell r="E942" t="str">
            <v>No</v>
          </cell>
          <cell r="F942" t="str">
            <v>20173991-8</v>
          </cell>
          <cell r="G942" t="str">
            <v>Miranda Rios Tiare Franchesca</v>
          </cell>
          <cell r="H942" t="str">
            <v>Cajero</v>
          </cell>
          <cell r="I942">
            <v>3</v>
          </cell>
          <cell r="J942">
            <v>35452506</v>
          </cell>
        </row>
        <row r="943">
          <cell r="C943" t="str">
            <v>50LVH</v>
          </cell>
          <cell r="D943" t="str">
            <v>OXXO-San Martin 6 Poniente</v>
          </cell>
          <cell r="E943" t="str">
            <v>No</v>
          </cell>
          <cell r="F943" t="str">
            <v>20974800-2</v>
          </cell>
          <cell r="G943" t="str">
            <v>Labra Soto Constanza Valentina</v>
          </cell>
          <cell r="H943" t="str">
            <v>Cajero</v>
          </cell>
          <cell r="I943">
            <v>3</v>
          </cell>
          <cell r="J943">
            <v>35452506</v>
          </cell>
        </row>
        <row r="944">
          <cell r="C944" t="str">
            <v>50LVH</v>
          </cell>
          <cell r="D944" t="str">
            <v>OXXO-San Martin 6 Poniente</v>
          </cell>
          <cell r="E944" t="str">
            <v>No</v>
          </cell>
          <cell r="F944" t="str">
            <v>26609831-6</v>
          </cell>
          <cell r="G944" t="str">
            <v>Strippoli Aristigueta Genesis</v>
          </cell>
          <cell r="H944" t="str">
            <v>Lider</v>
          </cell>
          <cell r="I944">
            <v>1</v>
          </cell>
          <cell r="J944">
            <v>35452506</v>
          </cell>
        </row>
        <row r="945">
          <cell r="C945" t="str">
            <v>50LVH</v>
          </cell>
          <cell r="D945" t="str">
            <v>OXXO-San Martin 6 Poniente</v>
          </cell>
          <cell r="E945" t="str">
            <v>No</v>
          </cell>
          <cell r="F945" t="str">
            <v>28054453-1</v>
          </cell>
          <cell r="G945" t="str">
            <v>Laucho Francis Carlos Eduardo</v>
          </cell>
          <cell r="H945" t="str">
            <v>Jefe De Sala</v>
          </cell>
          <cell r="I945">
            <v>2</v>
          </cell>
          <cell r="J945">
            <v>35452506</v>
          </cell>
        </row>
        <row r="946">
          <cell r="C946" t="str">
            <v>50PUF</v>
          </cell>
          <cell r="D946" t="str">
            <v>OXXO-Agustinas - San Martin</v>
          </cell>
          <cell r="E946" t="str">
            <v>No</v>
          </cell>
          <cell r="F946" t="str">
            <v>20817811-3</v>
          </cell>
          <cell r="G946" t="str">
            <v>Reyes Muñoz Juan Ignacio</v>
          </cell>
          <cell r="H946" t="str">
            <v>Cajero</v>
          </cell>
          <cell r="I946">
            <v>3</v>
          </cell>
          <cell r="J946">
            <v>34642971</v>
          </cell>
        </row>
        <row r="947">
          <cell r="C947" t="str">
            <v>50PUF</v>
          </cell>
          <cell r="D947" t="str">
            <v>OXXO-Agustinas - San Martin</v>
          </cell>
          <cell r="E947" t="str">
            <v>No</v>
          </cell>
          <cell r="F947" t="str">
            <v>22231661-8</v>
          </cell>
          <cell r="G947" t="str">
            <v>Carrasco Avila Alfredo Alejandro</v>
          </cell>
          <cell r="H947" t="str">
            <v>Jefe De Sala</v>
          </cell>
          <cell r="I947">
            <v>2</v>
          </cell>
          <cell r="J947">
            <v>34642971</v>
          </cell>
        </row>
        <row r="948">
          <cell r="C948" t="str">
            <v>50PUF</v>
          </cell>
          <cell r="D948" t="str">
            <v>OXXO-Agustinas - San Martin</v>
          </cell>
          <cell r="E948" t="str">
            <v>No</v>
          </cell>
          <cell r="F948" t="str">
            <v>25953837-8</v>
          </cell>
          <cell r="G948" t="str">
            <v>Agudelo Osorio Sandra Milena</v>
          </cell>
          <cell r="H948" t="str">
            <v>Cajero</v>
          </cell>
          <cell r="I948">
            <v>3</v>
          </cell>
          <cell r="J948">
            <v>34642971</v>
          </cell>
        </row>
        <row r="949">
          <cell r="C949" t="str">
            <v>50PUF</v>
          </cell>
          <cell r="D949" t="str">
            <v>OXXO-Agustinas - San Martin</v>
          </cell>
          <cell r="E949" t="str">
            <v>No</v>
          </cell>
          <cell r="F949" t="str">
            <v>27706514-2</v>
          </cell>
          <cell r="G949" t="str">
            <v>Arzolay Chacon Liliana Carolina</v>
          </cell>
          <cell r="H949" t="str">
            <v>Lider</v>
          </cell>
          <cell r="I949">
            <v>1</v>
          </cell>
          <cell r="J949">
            <v>34642971</v>
          </cell>
        </row>
        <row r="950">
          <cell r="C950" t="str">
            <v>50H7X</v>
          </cell>
          <cell r="D950" t="str">
            <v>OXXO-Work La Dehesa</v>
          </cell>
          <cell r="E950" t="str">
            <v>No</v>
          </cell>
          <cell r="F950" t="str">
            <v>20004288-3</v>
          </cell>
          <cell r="G950" t="str">
            <v>Matamala Ulloa Francisca De Las Mercedes</v>
          </cell>
          <cell r="H950" t="str">
            <v>Lider</v>
          </cell>
          <cell r="I950">
            <v>1</v>
          </cell>
          <cell r="J950">
            <v>34059938</v>
          </cell>
        </row>
        <row r="951">
          <cell r="C951" t="str">
            <v>50H7X</v>
          </cell>
          <cell r="D951" t="str">
            <v>OXXO-Work La Dehesa</v>
          </cell>
          <cell r="E951" t="str">
            <v>No</v>
          </cell>
          <cell r="F951" t="str">
            <v>20269722-4</v>
          </cell>
          <cell r="G951" t="str">
            <v>Silva Sepulveda Veronica Andrea</v>
          </cell>
          <cell r="H951" t="str">
            <v>Cajero</v>
          </cell>
          <cell r="I951">
            <v>3</v>
          </cell>
          <cell r="J951">
            <v>34059938</v>
          </cell>
        </row>
        <row r="952">
          <cell r="C952" t="str">
            <v>50H7X</v>
          </cell>
          <cell r="D952" t="str">
            <v>OXXO-Work La Dehesa</v>
          </cell>
          <cell r="E952" t="str">
            <v>No</v>
          </cell>
          <cell r="F952" t="str">
            <v>20455399-8</v>
          </cell>
          <cell r="G952" t="str">
            <v>Nuñez Rios Deremy Pamela</v>
          </cell>
          <cell r="H952" t="str">
            <v>Cajero</v>
          </cell>
          <cell r="I952">
            <v>3</v>
          </cell>
          <cell r="J952">
            <v>34059938</v>
          </cell>
        </row>
        <row r="953">
          <cell r="C953" t="str">
            <v>50H7X</v>
          </cell>
          <cell r="D953" t="str">
            <v>OXXO-Work La Dehesa</v>
          </cell>
          <cell r="E953" t="str">
            <v>No</v>
          </cell>
          <cell r="F953" t="str">
            <v>27925564-K</v>
          </cell>
          <cell r="G953" t="str">
            <v>Jordan Landaeta Maria Fernanda</v>
          </cell>
          <cell r="H953" t="str">
            <v>Jefe De Sala</v>
          </cell>
          <cell r="I953">
            <v>2</v>
          </cell>
          <cell r="J953">
            <v>34059938</v>
          </cell>
        </row>
        <row r="954">
          <cell r="C954" t="str">
            <v>50H7X</v>
          </cell>
          <cell r="D954" t="str">
            <v>OXXO-Work La Dehesa</v>
          </cell>
          <cell r="E954" t="str">
            <v>No</v>
          </cell>
          <cell r="F954" t="str">
            <v>28028241-3</v>
          </cell>
          <cell r="G954" t="str">
            <v>Olivera Llajarula Alessandro</v>
          </cell>
          <cell r="H954" t="str">
            <v>Jefe De Sala</v>
          </cell>
          <cell r="I954">
            <v>2</v>
          </cell>
          <cell r="J954">
            <v>34059938</v>
          </cell>
        </row>
        <row r="955">
          <cell r="C955" t="str">
            <v>50BM6</v>
          </cell>
          <cell r="D955" t="str">
            <v>OXXO-Josefina Edwards</v>
          </cell>
          <cell r="E955" t="str">
            <v>No</v>
          </cell>
          <cell r="F955" t="str">
            <v>18832935-7</v>
          </cell>
          <cell r="G955" t="str">
            <v>Larrain Flores Dominique</v>
          </cell>
          <cell r="H955" t="str">
            <v>Jefe De Sala</v>
          </cell>
          <cell r="I955">
            <v>2</v>
          </cell>
          <cell r="J955">
            <v>34021823</v>
          </cell>
        </row>
        <row r="956">
          <cell r="C956" t="str">
            <v>50BM6</v>
          </cell>
          <cell r="D956" t="str">
            <v>OXXO-Josefina Edwards</v>
          </cell>
          <cell r="E956" t="str">
            <v>No</v>
          </cell>
          <cell r="F956" t="str">
            <v>19031542-8</v>
          </cell>
          <cell r="G956" t="str">
            <v>Delgado Calderon Katherine</v>
          </cell>
          <cell r="H956" t="str">
            <v>Cajero</v>
          </cell>
          <cell r="I956">
            <v>3</v>
          </cell>
          <cell r="J956">
            <v>34021823</v>
          </cell>
        </row>
        <row r="957">
          <cell r="C957" t="str">
            <v>50BM6</v>
          </cell>
          <cell r="D957" t="str">
            <v>OXXO-Josefina Edwards</v>
          </cell>
          <cell r="E957" t="str">
            <v>No</v>
          </cell>
          <cell r="F957" t="str">
            <v>24925463-0</v>
          </cell>
          <cell r="G957" t="str">
            <v>Zelada Vargas Rosario</v>
          </cell>
          <cell r="H957" t="str">
            <v>Lider</v>
          </cell>
          <cell r="I957">
            <v>1</v>
          </cell>
          <cell r="J957">
            <v>34021823</v>
          </cell>
        </row>
        <row r="958">
          <cell r="C958" t="str">
            <v>50BM6</v>
          </cell>
          <cell r="D958" t="str">
            <v>OXXO-Josefina Edwards</v>
          </cell>
          <cell r="E958" t="str">
            <v>No</v>
          </cell>
          <cell r="F958" t="str">
            <v>27835332-K</v>
          </cell>
          <cell r="G958" t="str">
            <v>Gonzalez Cedeño Yanmar</v>
          </cell>
          <cell r="H958" t="str">
            <v>Jefe De Sala</v>
          </cell>
          <cell r="I958">
            <v>2</v>
          </cell>
          <cell r="J958">
            <v>34021823</v>
          </cell>
        </row>
        <row r="959">
          <cell r="C959" t="str">
            <v>50AQL</v>
          </cell>
          <cell r="D959" t="str">
            <v>OXXO-Ebro</v>
          </cell>
          <cell r="E959" t="str">
            <v>No</v>
          </cell>
          <cell r="F959" t="str">
            <v>19679891-9</v>
          </cell>
          <cell r="G959" t="str">
            <v>Castillo Fuenzalida Camila Fernanda</v>
          </cell>
          <cell r="H959" t="str">
            <v>Cajero</v>
          </cell>
          <cell r="I959">
            <v>3</v>
          </cell>
          <cell r="J959">
            <v>33916651</v>
          </cell>
        </row>
        <row r="960">
          <cell r="C960" t="str">
            <v>50AQL</v>
          </cell>
          <cell r="D960" t="str">
            <v>OXXO-Ebro</v>
          </cell>
          <cell r="E960" t="str">
            <v>No</v>
          </cell>
          <cell r="F960" t="str">
            <v>25724457-1</v>
          </cell>
          <cell r="G960" t="str">
            <v>Estrada Alvarez Nesmary Carolina</v>
          </cell>
          <cell r="H960" t="str">
            <v>Jefe De Sala</v>
          </cell>
          <cell r="I960">
            <v>2</v>
          </cell>
          <cell r="J960">
            <v>33916651</v>
          </cell>
        </row>
        <row r="961">
          <cell r="C961" t="str">
            <v>50AQL</v>
          </cell>
          <cell r="D961" t="str">
            <v>OXXO-Ebro</v>
          </cell>
          <cell r="E961" t="str">
            <v>No</v>
          </cell>
          <cell r="F961" t="str">
            <v>26369726-K</v>
          </cell>
          <cell r="G961" t="str">
            <v>Fernandez Gonzalez Daniel Alejandro</v>
          </cell>
          <cell r="H961" t="str">
            <v>Cajero</v>
          </cell>
          <cell r="I961">
            <v>3</v>
          </cell>
          <cell r="J961">
            <v>33916651</v>
          </cell>
        </row>
        <row r="962">
          <cell r="C962" t="str">
            <v>50AQL</v>
          </cell>
          <cell r="D962" t="str">
            <v>OXXO-Ebro</v>
          </cell>
          <cell r="E962" t="str">
            <v>No</v>
          </cell>
          <cell r="F962" t="str">
            <v>26627625-7</v>
          </cell>
          <cell r="G962" t="str">
            <v>Perdomo . Yelimar Osmery</v>
          </cell>
          <cell r="H962" t="str">
            <v>Lider</v>
          </cell>
          <cell r="I962">
            <v>1</v>
          </cell>
          <cell r="J962">
            <v>33916651</v>
          </cell>
        </row>
        <row r="963">
          <cell r="C963" t="str">
            <v>50AQL</v>
          </cell>
          <cell r="D963" t="str">
            <v>OXXO-Ebro</v>
          </cell>
          <cell r="E963" t="str">
            <v>No</v>
          </cell>
          <cell r="F963" t="str">
            <v>27416040-3</v>
          </cell>
          <cell r="G963" t="str">
            <v>Paez Bonilla Francelis Elena</v>
          </cell>
          <cell r="H963" t="str">
            <v>Cajero</v>
          </cell>
          <cell r="I963">
            <v>3</v>
          </cell>
          <cell r="J963">
            <v>33916651</v>
          </cell>
        </row>
        <row r="964">
          <cell r="C964" t="str">
            <v>50OMO</v>
          </cell>
          <cell r="D964" t="str">
            <v>OXXO-Manuel Montt 2</v>
          </cell>
          <cell r="E964" t="str">
            <v>No</v>
          </cell>
          <cell r="F964" t="str">
            <v>11845159-7</v>
          </cell>
          <cell r="G964" t="str">
            <v>Valenzuela Cuevas Alejandra</v>
          </cell>
          <cell r="H964" t="str">
            <v>Jefe De Sala</v>
          </cell>
          <cell r="I964">
            <v>2</v>
          </cell>
          <cell r="J964">
            <v>33893762</v>
          </cell>
        </row>
        <row r="965">
          <cell r="C965" t="str">
            <v>50OMO</v>
          </cell>
          <cell r="D965" t="str">
            <v>OXXO-Manuel Montt 2</v>
          </cell>
          <cell r="E965" t="str">
            <v>No</v>
          </cell>
          <cell r="F965" t="str">
            <v>17099055-2</v>
          </cell>
          <cell r="G965" t="str">
            <v>Baeza Reyes Manuel Alberto</v>
          </cell>
          <cell r="H965" t="str">
            <v>Cajero</v>
          </cell>
          <cell r="I965">
            <v>3</v>
          </cell>
          <cell r="J965">
            <v>33893762</v>
          </cell>
        </row>
        <row r="966">
          <cell r="C966" t="str">
            <v>50OMO</v>
          </cell>
          <cell r="D966" t="str">
            <v>OXXO-Manuel Montt 2</v>
          </cell>
          <cell r="E966" t="str">
            <v>No</v>
          </cell>
          <cell r="F966" t="str">
            <v>21098532-8</v>
          </cell>
          <cell r="G966" t="str">
            <v>Garrido Rebolledo Carla Flor</v>
          </cell>
          <cell r="H966" t="str">
            <v>Cajero</v>
          </cell>
          <cell r="I966">
            <v>3</v>
          </cell>
          <cell r="J966">
            <v>33893762</v>
          </cell>
        </row>
        <row r="967">
          <cell r="C967" t="str">
            <v>50OMO</v>
          </cell>
          <cell r="D967" t="str">
            <v>OXXO-Manuel Montt 2</v>
          </cell>
          <cell r="E967" t="str">
            <v>No</v>
          </cell>
          <cell r="F967" t="str">
            <v>26288010-9</v>
          </cell>
          <cell r="G967" t="str">
            <v>Hernandez Rivero Maiba Del Carmen</v>
          </cell>
          <cell r="H967" t="str">
            <v>Lider</v>
          </cell>
          <cell r="I967">
            <v>1</v>
          </cell>
          <cell r="J967">
            <v>33893762</v>
          </cell>
        </row>
        <row r="968">
          <cell r="C968" t="str">
            <v>50OMO</v>
          </cell>
          <cell r="D968" t="str">
            <v>OXXO-Manuel Montt 2</v>
          </cell>
          <cell r="E968" t="str">
            <v>No</v>
          </cell>
          <cell r="F968" t="str">
            <v>27412944-1</v>
          </cell>
          <cell r="G968" t="str">
            <v>Gomez Arias Jean Luis</v>
          </cell>
          <cell r="H968" t="str">
            <v>Jefe De Sala</v>
          </cell>
          <cell r="I968">
            <v>2</v>
          </cell>
          <cell r="J968">
            <v>33893762</v>
          </cell>
        </row>
        <row r="969">
          <cell r="C969" t="str">
            <v>50H1H</v>
          </cell>
          <cell r="D969" t="str">
            <v>OXXO-Mall San Bernardo</v>
          </cell>
          <cell r="E969" t="str">
            <v>No</v>
          </cell>
          <cell r="F969" t="str">
            <v>17927675-5</v>
          </cell>
          <cell r="G969" t="str">
            <v>Saez Mardones Jasna Debora</v>
          </cell>
          <cell r="H969" t="str">
            <v>Lider</v>
          </cell>
          <cell r="I969">
            <v>1</v>
          </cell>
          <cell r="J969">
            <v>33876159</v>
          </cell>
        </row>
        <row r="970">
          <cell r="C970" t="str">
            <v>50H1H</v>
          </cell>
          <cell r="D970" t="str">
            <v>OXXO-Mall San Bernardo</v>
          </cell>
          <cell r="E970" t="str">
            <v>No</v>
          </cell>
          <cell r="F970" t="str">
            <v>18628921-8</v>
          </cell>
          <cell r="G970" t="str">
            <v>Rain Monsalve Jorge Francisco</v>
          </cell>
          <cell r="H970" t="str">
            <v>Cajero</v>
          </cell>
          <cell r="I970">
            <v>3</v>
          </cell>
          <cell r="J970">
            <v>33876159</v>
          </cell>
        </row>
        <row r="971">
          <cell r="C971" t="str">
            <v>50H1H</v>
          </cell>
          <cell r="D971" t="str">
            <v>OXXO-Mall San Bernardo</v>
          </cell>
          <cell r="E971" t="str">
            <v>No</v>
          </cell>
          <cell r="F971" t="str">
            <v>18748336-0</v>
          </cell>
          <cell r="G971" t="str">
            <v>Miqueles Rojas Clara Alejandra</v>
          </cell>
          <cell r="H971" t="str">
            <v>Cajero</v>
          </cell>
          <cell r="I971">
            <v>3</v>
          </cell>
          <cell r="J971">
            <v>33876159</v>
          </cell>
        </row>
        <row r="972">
          <cell r="C972" t="str">
            <v>50H1H</v>
          </cell>
          <cell r="D972" t="str">
            <v>OXXO-Mall San Bernardo</v>
          </cell>
          <cell r="E972" t="str">
            <v>No</v>
          </cell>
          <cell r="F972" t="str">
            <v>21283919-1</v>
          </cell>
          <cell r="G972" t="str">
            <v>Soto Rubilar Escarlett Ailyn</v>
          </cell>
          <cell r="H972" t="str">
            <v>Jefe De Sala</v>
          </cell>
          <cell r="I972">
            <v>2</v>
          </cell>
          <cell r="J972">
            <v>33876159</v>
          </cell>
        </row>
        <row r="973">
          <cell r="C973" t="str">
            <v>50SEJ</v>
          </cell>
          <cell r="D973" t="str">
            <v>OXXO-Metro Moneda</v>
          </cell>
          <cell r="E973" t="str">
            <v>No</v>
          </cell>
          <cell r="F973" t="str">
            <v>21544164-4</v>
          </cell>
          <cell r="G973" t="str">
            <v>Cruz Carbajal Kenyi Luigui</v>
          </cell>
          <cell r="H973" t="str">
            <v>Cajero</v>
          </cell>
          <cell r="I973">
            <v>3</v>
          </cell>
          <cell r="J973">
            <v>33709885</v>
          </cell>
        </row>
        <row r="974">
          <cell r="C974" t="str">
            <v>50SEJ</v>
          </cell>
          <cell r="D974" t="str">
            <v>OXXO-Metro Moneda</v>
          </cell>
          <cell r="E974" t="str">
            <v>No</v>
          </cell>
          <cell r="F974" t="str">
            <v>22524055-8</v>
          </cell>
          <cell r="G974" t="str">
            <v>Huarhua Coaquira Vilma</v>
          </cell>
          <cell r="H974" t="str">
            <v>Jefe De Sala</v>
          </cell>
          <cell r="I974">
            <v>2</v>
          </cell>
          <cell r="J974">
            <v>33709885</v>
          </cell>
        </row>
        <row r="975">
          <cell r="C975" t="str">
            <v>50SEJ</v>
          </cell>
          <cell r="D975" t="str">
            <v>OXXO-Metro Moneda</v>
          </cell>
          <cell r="E975" t="str">
            <v>No</v>
          </cell>
          <cell r="F975" t="str">
            <v>26006337-5</v>
          </cell>
          <cell r="G975" t="str">
            <v>Guerrero Borja Tanmy</v>
          </cell>
          <cell r="H975" t="str">
            <v>Cajero</v>
          </cell>
          <cell r="I975">
            <v>3</v>
          </cell>
          <cell r="J975">
            <v>33709885</v>
          </cell>
        </row>
        <row r="976">
          <cell r="C976" t="str">
            <v>50SEJ</v>
          </cell>
          <cell r="D976" t="str">
            <v>OXXO-Metro Moneda</v>
          </cell>
          <cell r="E976" t="str">
            <v>No</v>
          </cell>
          <cell r="F976" t="str">
            <v>28005534-4</v>
          </cell>
          <cell r="G976" t="str">
            <v>Coronado Moscote Edward Orlando</v>
          </cell>
          <cell r="H976" t="str">
            <v>Cajero</v>
          </cell>
          <cell r="I976">
            <v>3</v>
          </cell>
          <cell r="J976">
            <v>33709885</v>
          </cell>
        </row>
        <row r="977">
          <cell r="C977" t="str">
            <v>50SEJ</v>
          </cell>
          <cell r="D977" t="str">
            <v>OXXO-Metro Moneda</v>
          </cell>
          <cell r="E977" t="str">
            <v>No</v>
          </cell>
          <cell r="F977" t="str">
            <v>28554619-2</v>
          </cell>
          <cell r="G977" t="str">
            <v>Rodriguez España Lissette Daniela</v>
          </cell>
          <cell r="H977" t="str">
            <v>Cajero</v>
          </cell>
          <cell r="I977">
            <v>3</v>
          </cell>
          <cell r="J977">
            <v>33709885</v>
          </cell>
        </row>
        <row r="978">
          <cell r="C978" t="str">
            <v>50MAD</v>
          </cell>
          <cell r="D978" t="str">
            <v>OXXO-Metro Bio Bio</v>
          </cell>
          <cell r="E978" t="str">
            <v>No</v>
          </cell>
          <cell r="F978" t="str">
            <v>19265875-6</v>
          </cell>
          <cell r="G978" t="str">
            <v>Barrios Saavedra Kimberly Denisse</v>
          </cell>
          <cell r="H978" t="str">
            <v>Cajero</v>
          </cell>
          <cell r="I978">
            <v>3</v>
          </cell>
          <cell r="J978">
            <v>33336003</v>
          </cell>
        </row>
        <row r="979">
          <cell r="C979" t="str">
            <v>50MAD</v>
          </cell>
          <cell r="D979" t="str">
            <v>OXXO-Metro Bio Bio</v>
          </cell>
          <cell r="E979" t="str">
            <v>No</v>
          </cell>
          <cell r="F979" t="str">
            <v>23610582-2</v>
          </cell>
          <cell r="G979" t="str">
            <v>Castañeda Quiroz Fernando</v>
          </cell>
          <cell r="H979" t="str">
            <v>Jefe De Sala</v>
          </cell>
          <cell r="I979">
            <v>2</v>
          </cell>
          <cell r="J979">
            <v>33336003</v>
          </cell>
        </row>
        <row r="980">
          <cell r="C980" t="str">
            <v>50MAD</v>
          </cell>
          <cell r="D980" t="str">
            <v>OXXO-Metro Bio Bio</v>
          </cell>
          <cell r="E980" t="str">
            <v>No</v>
          </cell>
          <cell r="F980" t="str">
            <v>24911157-0</v>
          </cell>
          <cell r="G980" t="str">
            <v>Pinillos Mendoza Lorena Alynson</v>
          </cell>
          <cell r="H980" t="str">
            <v>Cajero</v>
          </cell>
          <cell r="I980">
            <v>3</v>
          </cell>
          <cell r="J980">
            <v>33336003</v>
          </cell>
        </row>
        <row r="981">
          <cell r="C981" t="str">
            <v>50MAD</v>
          </cell>
          <cell r="D981" t="str">
            <v>OXXO-Metro Bio Bio</v>
          </cell>
          <cell r="E981" t="str">
            <v>No</v>
          </cell>
          <cell r="F981" t="str">
            <v>26118321-8</v>
          </cell>
          <cell r="G981" t="str">
            <v>Blanco . Francy Mily</v>
          </cell>
          <cell r="H981" t="str">
            <v>Lider</v>
          </cell>
          <cell r="I981">
            <v>1</v>
          </cell>
          <cell r="J981">
            <v>33336003</v>
          </cell>
        </row>
        <row r="982">
          <cell r="C982" t="str">
            <v>50MAD</v>
          </cell>
          <cell r="D982" t="str">
            <v>OXXO-Metro Bio Bio</v>
          </cell>
          <cell r="E982" t="str">
            <v>No</v>
          </cell>
          <cell r="F982" t="str">
            <v>26826970-3</v>
          </cell>
          <cell r="G982" t="str">
            <v>Parra Moran Marco</v>
          </cell>
          <cell r="H982" t="str">
            <v>Cajero</v>
          </cell>
          <cell r="I982">
            <v>3</v>
          </cell>
          <cell r="J982">
            <v>33336003</v>
          </cell>
        </row>
        <row r="983">
          <cell r="C983" t="str">
            <v>50FLP</v>
          </cell>
          <cell r="D983" t="str">
            <v>OXXO-La Foresta - Viña Del Mar</v>
          </cell>
          <cell r="E983" t="str">
            <v>No</v>
          </cell>
          <cell r="F983" t="str">
            <v>15727692-1</v>
          </cell>
          <cell r="G983" t="str">
            <v>Moraga Lassnibatt Karem Viviana</v>
          </cell>
          <cell r="H983" t="str">
            <v>Lider</v>
          </cell>
          <cell r="I983">
            <v>1</v>
          </cell>
          <cell r="J983">
            <v>33114675</v>
          </cell>
        </row>
        <row r="984">
          <cell r="C984" t="str">
            <v>50FLP</v>
          </cell>
          <cell r="D984" t="str">
            <v>OXXO-La Foresta - Viña Del Mar</v>
          </cell>
          <cell r="E984" t="str">
            <v>No</v>
          </cell>
          <cell r="F984" t="str">
            <v>18782651-9</v>
          </cell>
          <cell r="G984" t="str">
            <v>Cere Bustos Constanza Belen</v>
          </cell>
          <cell r="H984" t="str">
            <v>Cajero</v>
          </cell>
          <cell r="I984">
            <v>3</v>
          </cell>
          <cell r="J984">
            <v>33114675</v>
          </cell>
        </row>
        <row r="985">
          <cell r="C985" t="str">
            <v>50FLP</v>
          </cell>
          <cell r="D985" t="str">
            <v>OXXO-La Foresta - Viña Del Mar</v>
          </cell>
          <cell r="E985" t="str">
            <v>No</v>
          </cell>
          <cell r="F985" t="str">
            <v>19614265-7</v>
          </cell>
          <cell r="G985" t="str">
            <v>Navarro De La Fuente Sebastián Alberto</v>
          </cell>
          <cell r="H985" t="str">
            <v>Cajero</v>
          </cell>
          <cell r="I985">
            <v>3</v>
          </cell>
          <cell r="J985">
            <v>33114675</v>
          </cell>
        </row>
        <row r="986">
          <cell r="C986" t="str">
            <v>50FLP</v>
          </cell>
          <cell r="D986" t="str">
            <v>OXXO-La Foresta - Viña Del Mar</v>
          </cell>
          <cell r="E986" t="str">
            <v>No</v>
          </cell>
          <cell r="F986" t="str">
            <v>19619989-6</v>
          </cell>
          <cell r="G986" t="str">
            <v>Navarro Valdivia Scarlet Alison</v>
          </cell>
          <cell r="H986" t="str">
            <v>Jefe De Sala</v>
          </cell>
          <cell r="I986">
            <v>2</v>
          </cell>
          <cell r="J986">
            <v>33114675</v>
          </cell>
        </row>
        <row r="987">
          <cell r="C987" t="str">
            <v>50FLP</v>
          </cell>
          <cell r="D987" t="str">
            <v>OXXO-La Foresta - Viña Del Mar</v>
          </cell>
          <cell r="E987" t="str">
            <v>No</v>
          </cell>
          <cell r="F987" t="str">
            <v>19781619-8</v>
          </cell>
          <cell r="G987" t="str">
            <v>Román Albornoz Benjamín Alberto</v>
          </cell>
          <cell r="H987" t="str">
            <v>Cajero</v>
          </cell>
          <cell r="I987">
            <v>3</v>
          </cell>
          <cell r="J987">
            <v>33114675</v>
          </cell>
        </row>
        <row r="988">
          <cell r="C988" t="str">
            <v>50FLP</v>
          </cell>
          <cell r="D988" t="str">
            <v>OXXO-La Foresta - Viña Del Mar</v>
          </cell>
          <cell r="E988" t="str">
            <v>No</v>
          </cell>
          <cell r="F988" t="str">
            <v>26565488-6</v>
          </cell>
          <cell r="G988" t="str">
            <v>Ramos Gomez Veronica Del Valle</v>
          </cell>
          <cell r="H988" t="str">
            <v>Cajero</v>
          </cell>
          <cell r="I988">
            <v>3</v>
          </cell>
          <cell r="J988">
            <v>33114675</v>
          </cell>
        </row>
        <row r="989">
          <cell r="C989" t="str">
            <v>50LAE</v>
          </cell>
          <cell r="D989" t="str">
            <v>OXXO-Concon - Reñaca</v>
          </cell>
          <cell r="E989" t="str">
            <v>No</v>
          </cell>
          <cell r="F989" t="str">
            <v>18383090-2</v>
          </cell>
          <cell r="G989" t="str">
            <v>Farias Espejo Katherine Ayleen</v>
          </cell>
          <cell r="H989" t="str">
            <v>Cajero</v>
          </cell>
          <cell r="I989">
            <v>3</v>
          </cell>
          <cell r="J989">
            <v>32803768</v>
          </cell>
        </row>
        <row r="990">
          <cell r="C990" t="str">
            <v>50LAE</v>
          </cell>
          <cell r="D990" t="str">
            <v>OXXO-Concon - Reñaca</v>
          </cell>
          <cell r="E990" t="str">
            <v>No</v>
          </cell>
          <cell r="F990" t="str">
            <v>19642867-4</v>
          </cell>
          <cell r="G990" t="str">
            <v>Brito Collao Javiera Andrea</v>
          </cell>
          <cell r="H990" t="str">
            <v>Jefe De Sala</v>
          </cell>
          <cell r="I990">
            <v>2</v>
          </cell>
          <cell r="J990">
            <v>32803768</v>
          </cell>
        </row>
        <row r="991">
          <cell r="C991" t="str">
            <v>50LAE</v>
          </cell>
          <cell r="D991" t="str">
            <v>OXXO-Concon - Reñaca</v>
          </cell>
          <cell r="E991" t="str">
            <v>No</v>
          </cell>
          <cell r="F991" t="str">
            <v>19775544-K</v>
          </cell>
          <cell r="G991" t="str">
            <v>Salazar Lopez Valentina</v>
          </cell>
          <cell r="H991" t="str">
            <v>Lider</v>
          </cell>
          <cell r="I991">
            <v>1</v>
          </cell>
          <cell r="J991">
            <v>32803768</v>
          </cell>
        </row>
        <row r="992">
          <cell r="C992" t="str">
            <v>50LAE</v>
          </cell>
          <cell r="D992" t="str">
            <v>OXXO-Concon - Reñaca</v>
          </cell>
          <cell r="E992" t="str">
            <v>No</v>
          </cell>
          <cell r="F992" t="str">
            <v>20707327-K</v>
          </cell>
          <cell r="G992" t="str">
            <v>Retamal Muga Josefina</v>
          </cell>
          <cell r="H992" t="str">
            <v>Cajero</v>
          </cell>
          <cell r="I992">
            <v>3</v>
          </cell>
          <cell r="J992">
            <v>32803768</v>
          </cell>
        </row>
        <row r="993">
          <cell r="C993" t="str">
            <v>50LAE</v>
          </cell>
          <cell r="D993" t="str">
            <v>OXXO-Concon - Reñaca</v>
          </cell>
          <cell r="E993" t="str">
            <v>No</v>
          </cell>
          <cell r="F993" t="str">
            <v>26165121-1</v>
          </cell>
          <cell r="G993" t="str">
            <v>Salazar Valdivieso Rossalyn</v>
          </cell>
          <cell r="H993" t="str">
            <v>Jefe De Sala</v>
          </cell>
          <cell r="I993">
            <v>2</v>
          </cell>
          <cell r="J993">
            <v>32803768</v>
          </cell>
        </row>
        <row r="994">
          <cell r="C994" t="str">
            <v>50AVA</v>
          </cell>
          <cell r="D994" t="str">
            <v>OXXO-San Diego - Coquimbo</v>
          </cell>
          <cell r="E994" t="str">
            <v>No</v>
          </cell>
          <cell r="F994" t="str">
            <v>26897326-5</v>
          </cell>
          <cell r="G994" t="str">
            <v>Brito Piña Samuel</v>
          </cell>
          <cell r="H994" t="str">
            <v>Cajero</v>
          </cell>
          <cell r="I994">
            <v>3</v>
          </cell>
          <cell r="J994">
            <v>32363133</v>
          </cell>
        </row>
        <row r="995">
          <cell r="C995" t="str">
            <v>50AVA</v>
          </cell>
          <cell r="D995" t="str">
            <v>OXXO-San Diego - Coquimbo</v>
          </cell>
          <cell r="E995" t="str">
            <v>No</v>
          </cell>
          <cell r="F995" t="str">
            <v>26913979-K</v>
          </cell>
          <cell r="G995" t="str">
            <v>Mendez Rondon Franjoelys Juneiris</v>
          </cell>
          <cell r="H995" t="str">
            <v>Cajero</v>
          </cell>
          <cell r="I995">
            <v>3</v>
          </cell>
          <cell r="J995">
            <v>32363133</v>
          </cell>
        </row>
        <row r="996">
          <cell r="C996" t="str">
            <v>50AVA</v>
          </cell>
          <cell r="D996" t="str">
            <v>OXXO-San Diego - Coquimbo</v>
          </cell>
          <cell r="E996" t="str">
            <v>No</v>
          </cell>
          <cell r="F996" t="str">
            <v>27087603-K</v>
          </cell>
          <cell r="G996" t="str">
            <v>Barrios Mejias Jorge Manuel</v>
          </cell>
          <cell r="H996" t="str">
            <v>Cajero</v>
          </cell>
          <cell r="I996">
            <v>3</v>
          </cell>
          <cell r="J996">
            <v>32363133</v>
          </cell>
        </row>
        <row r="997">
          <cell r="C997" t="str">
            <v>506HQ</v>
          </cell>
          <cell r="D997" t="str">
            <v>OXXO-Cantagallo</v>
          </cell>
          <cell r="E997" t="str">
            <v>No</v>
          </cell>
          <cell r="F997" t="str">
            <v>17030774-7</v>
          </cell>
          <cell r="G997" t="str">
            <v>Portales Roberts Maria Jose</v>
          </cell>
          <cell r="H997" t="str">
            <v>Cajero</v>
          </cell>
          <cell r="I997">
            <v>3</v>
          </cell>
          <cell r="J997">
            <v>32303261</v>
          </cell>
        </row>
        <row r="998">
          <cell r="C998" t="str">
            <v>506HQ</v>
          </cell>
          <cell r="D998" t="str">
            <v>OXXO-Cantagallo</v>
          </cell>
          <cell r="E998" t="str">
            <v>No</v>
          </cell>
          <cell r="F998" t="str">
            <v>21246832-0</v>
          </cell>
          <cell r="G998" t="str">
            <v>Candia Espinola Gabriel Ernesto</v>
          </cell>
          <cell r="H998" t="str">
            <v>Cajero</v>
          </cell>
          <cell r="I998">
            <v>3</v>
          </cell>
          <cell r="J998">
            <v>32303261</v>
          </cell>
        </row>
        <row r="999">
          <cell r="C999" t="str">
            <v>506HQ</v>
          </cell>
          <cell r="D999" t="str">
            <v>OXXO-Cantagallo</v>
          </cell>
          <cell r="E999" t="str">
            <v>No</v>
          </cell>
          <cell r="F999" t="str">
            <v>22630537-8</v>
          </cell>
          <cell r="G999" t="str">
            <v>Valdez Rosas Jose Fernando</v>
          </cell>
          <cell r="H999" t="str">
            <v>Jefe De Sala</v>
          </cell>
          <cell r="I999">
            <v>2</v>
          </cell>
          <cell r="J999">
            <v>32303261</v>
          </cell>
        </row>
        <row r="1000">
          <cell r="C1000" t="str">
            <v>506HQ</v>
          </cell>
          <cell r="D1000" t="str">
            <v>OXXO-Cantagallo</v>
          </cell>
          <cell r="E1000" t="str">
            <v>No</v>
          </cell>
          <cell r="F1000" t="str">
            <v>27212354-3</v>
          </cell>
          <cell r="G1000" t="str">
            <v>Perez Reyes Lourdes De La Guadalupe</v>
          </cell>
          <cell r="H1000" t="str">
            <v>Lider</v>
          </cell>
          <cell r="I1000">
            <v>1</v>
          </cell>
          <cell r="J1000">
            <v>32303261</v>
          </cell>
        </row>
        <row r="1001">
          <cell r="C1001" t="str">
            <v>506HQ</v>
          </cell>
          <cell r="D1001" t="str">
            <v>OXXO-Cantagallo</v>
          </cell>
          <cell r="E1001" t="str">
            <v>No</v>
          </cell>
          <cell r="F1001" t="str">
            <v>27334201-K</v>
          </cell>
          <cell r="G1001" t="str">
            <v>Da Silva Martins Danilo</v>
          </cell>
          <cell r="H1001" t="str">
            <v>Jefe De Sala</v>
          </cell>
          <cell r="I1001">
            <v>2</v>
          </cell>
          <cell r="J1001">
            <v>32303261</v>
          </cell>
        </row>
        <row r="1002">
          <cell r="C1002" t="str">
            <v>506RS</v>
          </cell>
          <cell r="D1002" t="str">
            <v>OXXO-Metro La Cisterna</v>
          </cell>
          <cell r="E1002" t="str">
            <v>No</v>
          </cell>
          <cell r="F1002" t="str">
            <v>17925800-5</v>
          </cell>
          <cell r="G1002" t="str">
            <v>Guzman Ellis Angela Soledad</v>
          </cell>
          <cell r="H1002" t="str">
            <v>Cajero</v>
          </cell>
          <cell r="I1002">
            <v>3</v>
          </cell>
          <cell r="J1002">
            <v>32214942</v>
          </cell>
        </row>
        <row r="1003">
          <cell r="C1003" t="str">
            <v>506RS</v>
          </cell>
          <cell r="D1003" t="str">
            <v>OXXO-Metro La Cisterna</v>
          </cell>
          <cell r="E1003" t="str">
            <v>No</v>
          </cell>
          <cell r="F1003" t="str">
            <v>18119861-3</v>
          </cell>
          <cell r="G1003" t="str">
            <v>Pavez Castañeda Cristobal Ignacio</v>
          </cell>
          <cell r="H1003" t="str">
            <v>Cajero</v>
          </cell>
          <cell r="I1003">
            <v>3</v>
          </cell>
          <cell r="J1003">
            <v>32214942</v>
          </cell>
        </row>
        <row r="1004">
          <cell r="C1004" t="str">
            <v>506RS</v>
          </cell>
          <cell r="D1004" t="str">
            <v>OXXO-Metro La Cisterna</v>
          </cell>
          <cell r="E1004" t="str">
            <v>No</v>
          </cell>
          <cell r="F1004" t="str">
            <v>18726295-K</v>
          </cell>
          <cell r="G1004" t="str">
            <v>Marquez Jauregui Adonis Andres</v>
          </cell>
          <cell r="H1004" t="str">
            <v>Lider</v>
          </cell>
          <cell r="I1004">
            <v>1</v>
          </cell>
          <cell r="J1004">
            <v>32214942</v>
          </cell>
        </row>
        <row r="1005">
          <cell r="C1005" t="str">
            <v>506RS</v>
          </cell>
          <cell r="D1005" t="str">
            <v>OXXO-Metro La Cisterna</v>
          </cell>
          <cell r="E1005" t="str">
            <v>No</v>
          </cell>
          <cell r="F1005" t="str">
            <v>20228267-9</v>
          </cell>
          <cell r="G1005" t="str">
            <v>Ñancufil Pinto Annix Constanza</v>
          </cell>
          <cell r="H1005" t="str">
            <v>Cajero</v>
          </cell>
          <cell r="I1005">
            <v>3</v>
          </cell>
          <cell r="J1005">
            <v>32214942</v>
          </cell>
        </row>
        <row r="1006">
          <cell r="C1006" t="str">
            <v>506RS</v>
          </cell>
          <cell r="D1006" t="str">
            <v>OXXO-Metro La Cisterna</v>
          </cell>
          <cell r="E1006" t="str">
            <v>No</v>
          </cell>
          <cell r="F1006" t="str">
            <v>21531800-1</v>
          </cell>
          <cell r="G1006" t="str">
            <v>Lobos Jara Constanza Andrea</v>
          </cell>
          <cell r="H1006" t="str">
            <v>Cajero</v>
          </cell>
          <cell r="I1006">
            <v>3</v>
          </cell>
          <cell r="J1006">
            <v>32214942</v>
          </cell>
        </row>
        <row r="1007">
          <cell r="C1007" t="str">
            <v>506RS</v>
          </cell>
          <cell r="D1007" t="str">
            <v>OXXO-Metro La Cisterna</v>
          </cell>
          <cell r="E1007" t="str">
            <v>No</v>
          </cell>
          <cell r="F1007" t="str">
            <v>26169703-3</v>
          </cell>
          <cell r="G1007" t="str">
            <v>Moy Sotillo Duveilis</v>
          </cell>
          <cell r="H1007" t="str">
            <v>Jefe De Sala</v>
          </cell>
          <cell r="I1007">
            <v>2</v>
          </cell>
          <cell r="J1007">
            <v>32214942</v>
          </cell>
        </row>
        <row r="1008">
          <cell r="C1008" t="str">
            <v>50OLH</v>
          </cell>
          <cell r="D1008" t="str">
            <v>OXXO-Las Hualtatas</v>
          </cell>
          <cell r="E1008" t="str">
            <v>No</v>
          </cell>
          <cell r="F1008" t="str">
            <v>18088420-3</v>
          </cell>
          <cell r="G1008" t="str">
            <v>Gallegos Aguirre Denisse</v>
          </cell>
          <cell r="H1008" t="str">
            <v>Cajero</v>
          </cell>
          <cell r="I1008">
            <v>3</v>
          </cell>
          <cell r="J1008">
            <v>31941124</v>
          </cell>
        </row>
        <row r="1009">
          <cell r="C1009" t="str">
            <v>50OLH</v>
          </cell>
          <cell r="D1009" t="str">
            <v>OXXO-Las Hualtatas</v>
          </cell>
          <cell r="E1009" t="str">
            <v>No</v>
          </cell>
          <cell r="F1009" t="str">
            <v>18089806-9</v>
          </cell>
          <cell r="G1009" t="str">
            <v>Orellana Villegas Claudia Lorena</v>
          </cell>
          <cell r="H1009" t="str">
            <v>Jefe De Sala</v>
          </cell>
          <cell r="I1009">
            <v>2</v>
          </cell>
          <cell r="J1009">
            <v>31941124</v>
          </cell>
        </row>
        <row r="1010">
          <cell r="C1010" t="str">
            <v>50OLH</v>
          </cell>
          <cell r="D1010" t="str">
            <v>OXXO-Las Hualtatas</v>
          </cell>
          <cell r="E1010" t="str">
            <v>No</v>
          </cell>
          <cell r="F1010" t="str">
            <v>26056223-1</v>
          </cell>
          <cell r="G1010" t="str">
            <v>Gutierrez Gonzalez Mariela</v>
          </cell>
          <cell r="H1010" t="str">
            <v>Jefe De Sala</v>
          </cell>
          <cell r="I1010">
            <v>2</v>
          </cell>
          <cell r="J1010">
            <v>31941124</v>
          </cell>
        </row>
        <row r="1011">
          <cell r="C1011" t="str">
            <v>50OLH</v>
          </cell>
          <cell r="D1011" t="str">
            <v>OXXO-Las Hualtatas</v>
          </cell>
          <cell r="E1011" t="str">
            <v>No</v>
          </cell>
          <cell r="F1011" t="str">
            <v>26757711-0</v>
          </cell>
          <cell r="G1011" t="str">
            <v>Aguilar Goyeneche Gabriela Fernanda</v>
          </cell>
          <cell r="H1011" t="str">
            <v>Cajero</v>
          </cell>
          <cell r="I1011">
            <v>3</v>
          </cell>
          <cell r="J1011">
            <v>31941124</v>
          </cell>
        </row>
        <row r="1012">
          <cell r="C1012" t="str">
            <v>50OLH</v>
          </cell>
          <cell r="D1012" t="str">
            <v>OXXO-Las Hualtatas</v>
          </cell>
          <cell r="E1012" t="str">
            <v>No</v>
          </cell>
          <cell r="F1012" t="str">
            <v>27263128-K</v>
          </cell>
          <cell r="G1012" t="str">
            <v>Romero Gonzalez Daniel Antonio</v>
          </cell>
          <cell r="H1012" t="str">
            <v>Lider</v>
          </cell>
          <cell r="I1012">
            <v>1</v>
          </cell>
          <cell r="J1012">
            <v>31941124</v>
          </cell>
        </row>
        <row r="1013">
          <cell r="C1013" t="str">
            <v>50OLH</v>
          </cell>
          <cell r="D1013" t="str">
            <v>OXXO-Las Hualtatas</v>
          </cell>
          <cell r="E1013" t="str">
            <v>No</v>
          </cell>
          <cell r="F1013" t="str">
            <v>27670279-3</v>
          </cell>
          <cell r="G1013" t="str">
            <v>Arias Diaz Diana Valentina</v>
          </cell>
          <cell r="H1013" t="str">
            <v>Jefe De Sala</v>
          </cell>
          <cell r="I1013">
            <v>2</v>
          </cell>
          <cell r="J1013">
            <v>31941124</v>
          </cell>
        </row>
        <row r="1014">
          <cell r="C1014" t="str">
            <v>50LIB</v>
          </cell>
          <cell r="D1014" t="str">
            <v>OXXO-Libertad 1</v>
          </cell>
          <cell r="E1014" t="str">
            <v>No</v>
          </cell>
          <cell r="F1014" t="str">
            <v>15752432-1</v>
          </cell>
          <cell r="G1014" t="str">
            <v>Salazar Vargas Daniela Andrea</v>
          </cell>
          <cell r="H1014" t="str">
            <v>Jefe De Sala</v>
          </cell>
          <cell r="I1014">
            <v>2</v>
          </cell>
          <cell r="J1014">
            <v>31935860</v>
          </cell>
        </row>
        <row r="1015">
          <cell r="C1015" t="str">
            <v>50LIB</v>
          </cell>
          <cell r="D1015" t="str">
            <v>OXXO-Libertad 1</v>
          </cell>
          <cell r="E1015" t="str">
            <v>No</v>
          </cell>
          <cell r="F1015" t="str">
            <v>19615701-8</v>
          </cell>
          <cell r="G1015" t="str">
            <v>Torres Gangas Javiera Andrea</v>
          </cell>
          <cell r="H1015" t="str">
            <v>Cajero</v>
          </cell>
          <cell r="I1015">
            <v>3</v>
          </cell>
          <cell r="J1015">
            <v>31935860</v>
          </cell>
        </row>
        <row r="1016">
          <cell r="C1016" t="str">
            <v>50LIB</v>
          </cell>
          <cell r="D1016" t="str">
            <v>OXXO-Libertad 1</v>
          </cell>
          <cell r="E1016" t="str">
            <v>No</v>
          </cell>
          <cell r="F1016" t="str">
            <v>20174364-8</v>
          </cell>
          <cell r="G1016" t="str">
            <v>Pavez Lopez Constanza Aracelli</v>
          </cell>
          <cell r="H1016" t="str">
            <v>Cajero</v>
          </cell>
          <cell r="I1016">
            <v>3</v>
          </cell>
          <cell r="J1016">
            <v>31935860</v>
          </cell>
        </row>
        <row r="1017">
          <cell r="C1017" t="str">
            <v>50LIB</v>
          </cell>
          <cell r="D1017" t="str">
            <v>OXXO-Libertad 1</v>
          </cell>
          <cell r="E1017" t="str">
            <v>No</v>
          </cell>
          <cell r="F1017" t="str">
            <v>26305961-1</v>
          </cell>
          <cell r="G1017" t="str">
            <v>Acosta Romero Maria Auxiliadora</v>
          </cell>
          <cell r="H1017" t="str">
            <v>Lider</v>
          </cell>
          <cell r="I1017">
            <v>1</v>
          </cell>
          <cell r="J1017">
            <v>31935860</v>
          </cell>
        </row>
        <row r="1018">
          <cell r="C1018" t="str">
            <v>50LIB</v>
          </cell>
          <cell r="D1018" t="str">
            <v>OXXO-Libertad 1</v>
          </cell>
          <cell r="E1018" t="str">
            <v>No</v>
          </cell>
          <cell r="F1018" t="str">
            <v>27590138-5</v>
          </cell>
          <cell r="G1018" t="str">
            <v>Rivas Rodriguez Damaris Daniela</v>
          </cell>
          <cell r="H1018" t="str">
            <v>Cajero</v>
          </cell>
          <cell r="I1018">
            <v>3</v>
          </cell>
          <cell r="J1018">
            <v>31935860</v>
          </cell>
        </row>
        <row r="1019">
          <cell r="C1019" t="str">
            <v>504A3</v>
          </cell>
          <cell r="D1019" t="str">
            <v>OXXO-Term. De Buses 2</v>
          </cell>
          <cell r="E1019" t="str">
            <v>No</v>
          </cell>
          <cell r="F1019" t="str">
            <v>13731267-0</v>
          </cell>
          <cell r="G1019" t="str">
            <v>Coronado Salazar Jenny Isabel</v>
          </cell>
          <cell r="H1019" t="str">
            <v>Jefe De Sala</v>
          </cell>
          <cell r="I1019">
            <v>2</v>
          </cell>
          <cell r="J1019">
            <v>31926314</v>
          </cell>
        </row>
        <row r="1020">
          <cell r="C1020" t="str">
            <v>504A3</v>
          </cell>
          <cell r="D1020" t="str">
            <v>OXXO-Term. De Buses 2</v>
          </cell>
          <cell r="E1020" t="str">
            <v>No</v>
          </cell>
          <cell r="F1020" t="str">
            <v>17319758-6</v>
          </cell>
          <cell r="G1020" t="str">
            <v>Gallardo Gomez Claudia</v>
          </cell>
          <cell r="H1020" t="str">
            <v>Cajero</v>
          </cell>
          <cell r="I1020">
            <v>3</v>
          </cell>
          <cell r="J1020">
            <v>31926314</v>
          </cell>
        </row>
        <row r="1021">
          <cell r="C1021" t="str">
            <v>504A3</v>
          </cell>
          <cell r="D1021" t="str">
            <v>OXXO-Term. De Buses 2</v>
          </cell>
          <cell r="E1021" t="str">
            <v>No</v>
          </cell>
          <cell r="F1021" t="str">
            <v>19224785-3</v>
          </cell>
          <cell r="G1021" t="str">
            <v>Chavez Mora Alejandra Elizabeth</v>
          </cell>
          <cell r="H1021" t="str">
            <v>Jefe De Sala</v>
          </cell>
          <cell r="I1021">
            <v>2</v>
          </cell>
          <cell r="J1021">
            <v>31926314</v>
          </cell>
        </row>
        <row r="1022">
          <cell r="C1022" t="str">
            <v>504A3</v>
          </cell>
          <cell r="D1022" t="str">
            <v>OXXO-Term. De Buses 2</v>
          </cell>
          <cell r="E1022" t="str">
            <v>No</v>
          </cell>
          <cell r="F1022" t="str">
            <v>21884788-9</v>
          </cell>
          <cell r="G1022" t="str">
            <v>Candia Vergara Catalina Anais</v>
          </cell>
          <cell r="H1022" t="str">
            <v>Cajero</v>
          </cell>
          <cell r="I1022">
            <v>3</v>
          </cell>
          <cell r="J1022">
            <v>31926314</v>
          </cell>
        </row>
        <row r="1023">
          <cell r="C1023" t="str">
            <v>504A3</v>
          </cell>
          <cell r="D1023" t="str">
            <v>OXXO-Term. De Buses 2</v>
          </cell>
          <cell r="E1023" t="str">
            <v>No</v>
          </cell>
          <cell r="F1023" t="str">
            <v>26647777-5</v>
          </cell>
          <cell r="G1023" t="str">
            <v>Garcia Maldonado Gerlin Yermyley</v>
          </cell>
          <cell r="H1023" t="str">
            <v>Lider</v>
          </cell>
          <cell r="I1023">
            <v>1</v>
          </cell>
          <cell r="J1023">
            <v>31926314</v>
          </cell>
        </row>
        <row r="1024">
          <cell r="C1024" t="str">
            <v>50Z8X</v>
          </cell>
          <cell r="D1024" t="str">
            <v>OXXO-Av. Argentina 2</v>
          </cell>
          <cell r="E1024" t="str">
            <v>No</v>
          </cell>
          <cell r="F1024" t="str">
            <v>20010783-7</v>
          </cell>
          <cell r="G1024" t="str">
            <v>Gonzalez Alonso Roxana Alejandra</v>
          </cell>
          <cell r="H1024" t="str">
            <v>Lider</v>
          </cell>
          <cell r="I1024">
            <v>1</v>
          </cell>
          <cell r="J1024">
            <v>31189680</v>
          </cell>
        </row>
        <row r="1025">
          <cell r="C1025" t="str">
            <v>50Z8X</v>
          </cell>
          <cell r="D1025" t="str">
            <v>OXXO-Av. Argentina 2</v>
          </cell>
          <cell r="E1025" t="str">
            <v>No</v>
          </cell>
          <cell r="F1025" t="str">
            <v>20326974-9</v>
          </cell>
          <cell r="G1025" t="str">
            <v>Astudillo Rojas Alessandra Beatriz</v>
          </cell>
          <cell r="H1025" t="str">
            <v>Cajero</v>
          </cell>
          <cell r="I1025">
            <v>3</v>
          </cell>
          <cell r="J1025">
            <v>31189680</v>
          </cell>
        </row>
        <row r="1026">
          <cell r="C1026" t="str">
            <v>50Z8X</v>
          </cell>
          <cell r="D1026" t="str">
            <v>OXXO-Av. Argentina 2</v>
          </cell>
          <cell r="E1026" t="str">
            <v>No</v>
          </cell>
          <cell r="F1026" t="str">
            <v>21417319-0</v>
          </cell>
          <cell r="G1026" t="str">
            <v>Valenzuela Werner Victoria Esperanza</v>
          </cell>
          <cell r="H1026" t="str">
            <v>Jefe De Sala</v>
          </cell>
          <cell r="I1026">
            <v>2</v>
          </cell>
          <cell r="J1026">
            <v>31189680</v>
          </cell>
        </row>
        <row r="1027">
          <cell r="C1027" t="str">
            <v>50Z8X</v>
          </cell>
          <cell r="D1027" t="str">
            <v>OXXO-Av. Argentina 2</v>
          </cell>
          <cell r="E1027" t="str">
            <v>No</v>
          </cell>
          <cell r="F1027" t="str">
            <v>28146460-4</v>
          </cell>
          <cell r="G1027" t="str">
            <v>Ibarreto Zorrilla Marife Del Jesus</v>
          </cell>
          <cell r="H1027" t="str">
            <v>Cajero</v>
          </cell>
          <cell r="I1027">
            <v>3</v>
          </cell>
          <cell r="J1027">
            <v>31189680</v>
          </cell>
        </row>
        <row r="1028">
          <cell r="C1028" t="str">
            <v>50DWS</v>
          </cell>
          <cell r="D1028" t="str">
            <v>OXXO-Irarrazabal - San Jorge</v>
          </cell>
          <cell r="E1028" t="str">
            <v>No</v>
          </cell>
          <cell r="F1028" t="str">
            <v>20277920-4</v>
          </cell>
          <cell r="G1028" t="str">
            <v>Jaña Barea Sofia Dayana</v>
          </cell>
          <cell r="H1028" t="str">
            <v>Cajero</v>
          </cell>
          <cell r="I1028">
            <v>3</v>
          </cell>
          <cell r="J1028">
            <v>31101652</v>
          </cell>
        </row>
        <row r="1029">
          <cell r="C1029" t="str">
            <v>50DWS</v>
          </cell>
          <cell r="D1029" t="str">
            <v>OXXO-Irarrazabal - San Jorge</v>
          </cell>
          <cell r="E1029" t="str">
            <v>No</v>
          </cell>
          <cell r="F1029" t="str">
            <v>26590684-2</v>
          </cell>
          <cell r="G1029" t="str">
            <v>Bravo Santillan Jorge</v>
          </cell>
          <cell r="H1029" t="str">
            <v>Cajero</v>
          </cell>
          <cell r="I1029">
            <v>3</v>
          </cell>
          <cell r="J1029">
            <v>31101652</v>
          </cell>
        </row>
        <row r="1030">
          <cell r="C1030" t="str">
            <v>50DWS</v>
          </cell>
          <cell r="D1030" t="str">
            <v>OXXO-Irarrazabal - San Jorge</v>
          </cell>
          <cell r="E1030" t="str">
            <v>No</v>
          </cell>
          <cell r="F1030" t="str">
            <v>26917625-3</v>
          </cell>
          <cell r="G1030" t="str">
            <v>Carrillo Atencio Karem María</v>
          </cell>
          <cell r="H1030" t="str">
            <v>Cajero</v>
          </cell>
          <cell r="I1030">
            <v>3</v>
          </cell>
          <cell r="J1030">
            <v>31101652</v>
          </cell>
        </row>
        <row r="1031">
          <cell r="C1031" t="str">
            <v>50DWS</v>
          </cell>
          <cell r="D1031" t="str">
            <v>OXXO-Irarrazabal - San Jorge</v>
          </cell>
          <cell r="E1031" t="str">
            <v>No</v>
          </cell>
          <cell r="F1031" t="str">
            <v>27048572-3</v>
          </cell>
          <cell r="G1031" t="str">
            <v>Fonseca Quiaragua Diego</v>
          </cell>
          <cell r="H1031" t="str">
            <v>Jefe De Sala</v>
          </cell>
          <cell r="I1031">
            <v>2</v>
          </cell>
          <cell r="J1031">
            <v>31101652</v>
          </cell>
        </row>
        <row r="1032">
          <cell r="C1032" t="str">
            <v>50DWS</v>
          </cell>
          <cell r="D1032" t="str">
            <v>OXXO-Irarrazabal - San Jorge</v>
          </cell>
          <cell r="E1032" t="str">
            <v>No</v>
          </cell>
          <cell r="F1032" t="str">
            <v>27236113-4</v>
          </cell>
          <cell r="G1032" t="str">
            <v>Ojeda Cabrera Jose Amabile</v>
          </cell>
          <cell r="H1032" t="str">
            <v>Cajero</v>
          </cell>
          <cell r="I1032">
            <v>3</v>
          </cell>
          <cell r="J1032">
            <v>31101652</v>
          </cell>
        </row>
        <row r="1033">
          <cell r="C1033" t="str">
            <v>50DWS</v>
          </cell>
          <cell r="D1033" t="str">
            <v>OXXO-Irarrazabal - San Jorge</v>
          </cell>
          <cell r="E1033" t="str">
            <v>No</v>
          </cell>
          <cell r="F1033" t="str">
            <v>27564138-3</v>
          </cell>
          <cell r="G1033" t="str">
            <v>Arenas Ruiz Ana Nayiber</v>
          </cell>
          <cell r="H1033" t="str">
            <v>Lider</v>
          </cell>
          <cell r="I1033">
            <v>1</v>
          </cell>
          <cell r="J1033">
            <v>31101652</v>
          </cell>
        </row>
        <row r="1034">
          <cell r="C1034" t="str">
            <v>50OZA</v>
          </cell>
          <cell r="D1034" t="str">
            <v>OXXO-Zapallar</v>
          </cell>
          <cell r="E1034" t="str">
            <v>No</v>
          </cell>
          <cell r="F1034" t="str">
            <v>16330314-0</v>
          </cell>
          <cell r="G1034" t="str">
            <v>Tapia Pasache Carlos Arturo</v>
          </cell>
          <cell r="H1034" t="str">
            <v>Cajero</v>
          </cell>
          <cell r="I1034">
            <v>3</v>
          </cell>
          <cell r="J1034">
            <v>31078430</v>
          </cell>
        </row>
        <row r="1035">
          <cell r="C1035" t="str">
            <v>50OZA</v>
          </cell>
          <cell r="D1035" t="str">
            <v>OXXO-Zapallar</v>
          </cell>
          <cell r="E1035" t="str">
            <v>No</v>
          </cell>
          <cell r="F1035" t="str">
            <v>18224576-3</v>
          </cell>
          <cell r="G1035" t="str">
            <v>Farfan Diaz Valentina Andrea</v>
          </cell>
          <cell r="H1035" t="str">
            <v>Cajero</v>
          </cell>
          <cell r="I1035">
            <v>3</v>
          </cell>
          <cell r="J1035">
            <v>31078430</v>
          </cell>
        </row>
        <row r="1036">
          <cell r="C1036" t="str">
            <v>50OZA</v>
          </cell>
          <cell r="D1036" t="str">
            <v>OXXO-Zapallar</v>
          </cell>
          <cell r="E1036" t="str">
            <v>No</v>
          </cell>
          <cell r="F1036" t="str">
            <v>19049259-1</v>
          </cell>
          <cell r="G1036" t="str">
            <v>Torreblanca Ortiz Lissette Margarita</v>
          </cell>
          <cell r="H1036" t="str">
            <v>Jefe De Sala</v>
          </cell>
          <cell r="I1036">
            <v>2</v>
          </cell>
          <cell r="J1036">
            <v>31078430</v>
          </cell>
        </row>
        <row r="1037">
          <cell r="C1037" t="str">
            <v>50OZA</v>
          </cell>
          <cell r="D1037" t="str">
            <v>OXXO-Zapallar</v>
          </cell>
          <cell r="E1037" t="str">
            <v>No</v>
          </cell>
          <cell r="F1037" t="str">
            <v>20280524-8</v>
          </cell>
          <cell r="G1037" t="str">
            <v>Hidalgo Pereira Nicole Ignacia</v>
          </cell>
          <cell r="H1037" t="str">
            <v>Lider</v>
          </cell>
          <cell r="I1037">
            <v>1</v>
          </cell>
          <cell r="J1037">
            <v>31078430</v>
          </cell>
        </row>
        <row r="1038">
          <cell r="C1038" t="str">
            <v>50OZA</v>
          </cell>
          <cell r="D1038" t="str">
            <v>OXXO-Zapallar</v>
          </cell>
          <cell r="E1038" t="str">
            <v>No</v>
          </cell>
          <cell r="F1038" t="str">
            <v>20857778-6</v>
          </cell>
          <cell r="G1038" t="str">
            <v>Quinteros Cataldo Felipe Hernan</v>
          </cell>
          <cell r="H1038" t="str">
            <v>Cajero</v>
          </cell>
          <cell r="I1038">
            <v>3</v>
          </cell>
          <cell r="J1038">
            <v>31078430</v>
          </cell>
        </row>
        <row r="1039">
          <cell r="C1039" t="str">
            <v>50OZA</v>
          </cell>
          <cell r="D1039" t="str">
            <v>OXXO-Zapallar</v>
          </cell>
          <cell r="E1039" t="str">
            <v>No</v>
          </cell>
          <cell r="F1039" t="str">
            <v>21128590-7</v>
          </cell>
          <cell r="G1039" t="str">
            <v>González Gaona Millaray Alejandra</v>
          </cell>
          <cell r="H1039" t="str">
            <v>Cajero</v>
          </cell>
          <cell r="I1039">
            <v>3</v>
          </cell>
          <cell r="J1039">
            <v>31078430</v>
          </cell>
        </row>
        <row r="1040">
          <cell r="C1040" t="str">
            <v>50AMA</v>
          </cell>
          <cell r="D1040" t="str">
            <v>OXXO-Balmoral - Alonso De Cordova</v>
          </cell>
          <cell r="E1040" t="str">
            <v>No</v>
          </cell>
          <cell r="F1040" t="str">
            <v>12487332-0</v>
          </cell>
          <cell r="G1040" t="str">
            <v>Gonzalez Yañez Leticia Angelica</v>
          </cell>
          <cell r="H1040" t="str">
            <v>Cajero</v>
          </cell>
          <cell r="I1040">
            <v>3</v>
          </cell>
          <cell r="J1040">
            <v>30838839</v>
          </cell>
        </row>
        <row r="1041">
          <cell r="C1041" t="str">
            <v>50AMA</v>
          </cell>
          <cell r="D1041" t="str">
            <v>OXXO-Balmoral - Alonso De Cordova</v>
          </cell>
          <cell r="E1041" t="str">
            <v>No</v>
          </cell>
          <cell r="F1041" t="str">
            <v>13078792-4</v>
          </cell>
          <cell r="G1041" t="str">
            <v>Martinez Herrera Lorena Del Carmen</v>
          </cell>
          <cell r="H1041" t="str">
            <v>Cajero</v>
          </cell>
          <cell r="I1041">
            <v>3</v>
          </cell>
          <cell r="J1041">
            <v>30838839</v>
          </cell>
        </row>
        <row r="1042">
          <cell r="C1042" t="str">
            <v>50AMA</v>
          </cell>
          <cell r="D1042" t="str">
            <v>OXXO-Balmoral - Alonso De Cordova</v>
          </cell>
          <cell r="E1042" t="str">
            <v>No</v>
          </cell>
          <cell r="F1042" t="str">
            <v>18868183-2</v>
          </cell>
          <cell r="G1042" t="str">
            <v>Antipe Antipe Catherine Jazmin</v>
          </cell>
          <cell r="H1042" t="str">
            <v>Cajero</v>
          </cell>
          <cell r="I1042">
            <v>3</v>
          </cell>
          <cell r="J1042">
            <v>30838839</v>
          </cell>
        </row>
        <row r="1043">
          <cell r="C1043" t="str">
            <v>50AMA</v>
          </cell>
          <cell r="D1043" t="str">
            <v>OXXO-Balmoral - Alonso De Cordova</v>
          </cell>
          <cell r="E1043" t="str">
            <v>No</v>
          </cell>
          <cell r="F1043" t="str">
            <v>20198662-1</v>
          </cell>
          <cell r="G1043" t="str">
            <v>Sepulveda Rivera Esteban Roberto</v>
          </cell>
          <cell r="H1043" t="str">
            <v>Jefe De Sala</v>
          </cell>
          <cell r="I1043">
            <v>2</v>
          </cell>
          <cell r="J1043">
            <v>30838839</v>
          </cell>
        </row>
        <row r="1044">
          <cell r="C1044" t="str">
            <v>50AMA</v>
          </cell>
          <cell r="D1044" t="str">
            <v>OXXO-Balmoral - Alonso De Cordova</v>
          </cell>
          <cell r="E1044" t="str">
            <v>No</v>
          </cell>
          <cell r="F1044" t="str">
            <v>20426894-0</v>
          </cell>
          <cell r="G1044" t="str">
            <v>Hitschfeld Henriquez Dominik</v>
          </cell>
          <cell r="H1044" t="str">
            <v>Cajero</v>
          </cell>
          <cell r="I1044">
            <v>3</v>
          </cell>
          <cell r="J1044">
            <v>30838839</v>
          </cell>
        </row>
        <row r="1045">
          <cell r="C1045" t="str">
            <v>50AMA</v>
          </cell>
          <cell r="D1045" t="str">
            <v>OXXO-Balmoral - Alonso De Cordova</v>
          </cell>
          <cell r="E1045" t="str">
            <v>No</v>
          </cell>
          <cell r="F1045" t="str">
            <v>24615726-K</v>
          </cell>
          <cell r="G1045" t="str">
            <v>Longa Saboya Cristina Elizabeth</v>
          </cell>
          <cell r="H1045" t="str">
            <v>Lider</v>
          </cell>
          <cell r="I1045">
            <v>1</v>
          </cell>
          <cell r="J1045">
            <v>30838839</v>
          </cell>
        </row>
        <row r="1046">
          <cell r="C1046" t="str">
            <v>50OCM</v>
          </cell>
          <cell r="D1046" t="str">
            <v>OXXO-Chamisero</v>
          </cell>
          <cell r="E1046" t="str">
            <v>No</v>
          </cell>
          <cell r="F1046" t="str">
            <v>14383546-4</v>
          </cell>
          <cell r="G1046" t="str">
            <v>Campusano Alarcon Ximena Del Carmen</v>
          </cell>
          <cell r="H1046" t="str">
            <v>Cajero</v>
          </cell>
          <cell r="I1046">
            <v>3</v>
          </cell>
          <cell r="J1046">
            <v>30827133</v>
          </cell>
        </row>
        <row r="1047">
          <cell r="C1047" t="str">
            <v>50OCM</v>
          </cell>
          <cell r="D1047" t="str">
            <v>OXXO-Chamisero</v>
          </cell>
          <cell r="E1047" t="str">
            <v>No</v>
          </cell>
          <cell r="F1047" t="str">
            <v>16458171-3</v>
          </cell>
          <cell r="G1047" t="str">
            <v>Sandoval Gomez Paula Andrea</v>
          </cell>
          <cell r="H1047" t="str">
            <v>Cajero</v>
          </cell>
          <cell r="I1047">
            <v>3</v>
          </cell>
          <cell r="J1047">
            <v>30827133</v>
          </cell>
        </row>
        <row r="1048">
          <cell r="C1048" t="str">
            <v>50OCM</v>
          </cell>
          <cell r="D1048" t="str">
            <v>OXXO-Chamisero</v>
          </cell>
          <cell r="E1048" t="str">
            <v>No</v>
          </cell>
          <cell r="F1048" t="str">
            <v>17728904-3</v>
          </cell>
          <cell r="G1048" t="str">
            <v>Garrido Gatica Rodrigo Antonio</v>
          </cell>
          <cell r="H1048" t="str">
            <v>Cajero</v>
          </cell>
          <cell r="I1048">
            <v>3</v>
          </cell>
          <cell r="J1048">
            <v>30827133</v>
          </cell>
        </row>
        <row r="1049">
          <cell r="C1049" t="str">
            <v>50OCM</v>
          </cell>
          <cell r="D1049" t="str">
            <v>OXXO-Chamisero</v>
          </cell>
          <cell r="E1049" t="str">
            <v>No</v>
          </cell>
          <cell r="F1049" t="str">
            <v>18357727-1</v>
          </cell>
          <cell r="G1049" t="str">
            <v>Sanhueza Perez Camila Fernanda</v>
          </cell>
          <cell r="H1049" t="str">
            <v>Cajero</v>
          </cell>
          <cell r="I1049">
            <v>3</v>
          </cell>
          <cell r="J1049">
            <v>30827133</v>
          </cell>
        </row>
        <row r="1050">
          <cell r="C1050" t="str">
            <v>50OCM</v>
          </cell>
          <cell r="D1050" t="str">
            <v>OXXO-Chamisero</v>
          </cell>
          <cell r="E1050" t="str">
            <v>No</v>
          </cell>
          <cell r="F1050" t="str">
            <v>20671193-0</v>
          </cell>
          <cell r="G1050" t="str">
            <v>Aravena Valenzuela Paz Belen</v>
          </cell>
          <cell r="H1050" t="str">
            <v>Cajero</v>
          </cell>
          <cell r="I1050">
            <v>3</v>
          </cell>
          <cell r="J1050">
            <v>30827133</v>
          </cell>
        </row>
        <row r="1051">
          <cell r="C1051" t="str">
            <v>50OCM</v>
          </cell>
          <cell r="D1051" t="str">
            <v>OXXO-Chamisero</v>
          </cell>
          <cell r="E1051" t="str">
            <v>No</v>
          </cell>
          <cell r="F1051" t="str">
            <v>26689925-4</v>
          </cell>
          <cell r="G1051" t="str">
            <v>Villalobos Morales Eduardo Andres</v>
          </cell>
          <cell r="H1051" t="str">
            <v>Lider</v>
          </cell>
          <cell r="I1051">
            <v>1</v>
          </cell>
          <cell r="J1051">
            <v>30827133</v>
          </cell>
        </row>
        <row r="1052">
          <cell r="C1052" t="str">
            <v>50FVZ</v>
          </cell>
          <cell r="D1052" t="str">
            <v>OXXO-Asturias</v>
          </cell>
          <cell r="E1052" t="str">
            <v>No</v>
          </cell>
          <cell r="F1052" t="str">
            <v>15345161-3</v>
          </cell>
          <cell r="G1052" t="str">
            <v>Migoni Avila Italo</v>
          </cell>
          <cell r="H1052" t="str">
            <v>Cajero</v>
          </cell>
          <cell r="I1052">
            <v>3</v>
          </cell>
          <cell r="J1052">
            <v>30781938</v>
          </cell>
        </row>
        <row r="1053">
          <cell r="C1053" t="str">
            <v>50FVZ</v>
          </cell>
          <cell r="D1053" t="str">
            <v>OXXO-Asturias</v>
          </cell>
          <cell r="E1053" t="str">
            <v>No</v>
          </cell>
          <cell r="F1053" t="str">
            <v>15617125-5</v>
          </cell>
          <cell r="G1053" t="str">
            <v>Fuentealba Rojas Cinthia Arlen</v>
          </cell>
          <cell r="H1053" t="str">
            <v>Jefe De Sala</v>
          </cell>
          <cell r="I1053">
            <v>2</v>
          </cell>
          <cell r="J1053">
            <v>30781938</v>
          </cell>
        </row>
        <row r="1054">
          <cell r="C1054" t="str">
            <v>50FVZ</v>
          </cell>
          <cell r="D1054" t="str">
            <v>OXXO-Asturias</v>
          </cell>
          <cell r="E1054" t="str">
            <v>No</v>
          </cell>
          <cell r="F1054" t="str">
            <v>16640709-5</v>
          </cell>
          <cell r="G1054" t="str">
            <v>Escobar Cueto Mariela Alejandra</v>
          </cell>
          <cell r="H1054" t="str">
            <v>Lider</v>
          </cell>
          <cell r="I1054">
            <v>1</v>
          </cell>
          <cell r="J1054">
            <v>30781938</v>
          </cell>
        </row>
        <row r="1055">
          <cell r="C1055" t="str">
            <v>50FVZ</v>
          </cell>
          <cell r="D1055" t="str">
            <v>OXXO-Asturias</v>
          </cell>
          <cell r="E1055" t="str">
            <v>No</v>
          </cell>
          <cell r="F1055" t="str">
            <v>22424836-9</v>
          </cell>
          <cell r="G1055" t="str">
            <v>Aruani Lagos Tiziano</v>
          </cell>
          <cell r="H1055" t="str">
            <v>Cajero</v>
          </cell>
          <cell r="I1055">
            <v>3</v>
          </cell>
          <cell r="J1055">
            <v>30781938</v>
          </cell>
        </row>
        <row r="1056">
          <cell r="C1056" t="str">
            <v>50FVZ</v>
          </cell>
          <cell r="D1056" t="str">
            <v>OXXO-Asturias</v>
          </cell>
          <cell r="E1056" t="str">
            <v>No</v>
          </cell>
          <cell r="F1056" t="str">
            <v>28446298-K</v>
          </cell>
          <cell r="G1056" t="str">
            <v>Licor Castillo Obed</v>
          </cell>
          <cell r="H1056" t="str">
            <v>Jefe De Sala</v>
          </cell>
          <cell r="I1056">
            <v>2</v>
          </cell>
          <cell r="J1056">
            <v>30781938</v>
          </cell>
        </row>
        <row r="1057">
          <cell r="C1057" t="str">
            <v>50SEM</v>
          </cell>
          <cell r="D1057" t="str">
            <v>OXXO-Seminario</v>
          </cell>
          <cell r="E1057" t="str">
            <v>No</v>
          </cell>
          <cell r="F1057" t="str">
            <v>11651925-9</v>
          </cell>
          <cell r="G1057" t="str">
            <v>Carrasco Rios Maria Veronica</v>
          </cell>
          <cell r="H1057" t="str">
            <v>Cajero</v>
          </cell>
          <cell r="I1057">
            <v>3</v>
          </cell>
          <cell r="J1057">
            <v>30476806</v>
          </cell>
        </row>
        <row r="1058">
          <cell r="C1058" t="str">
            <v>50SEM</v>
          </cell>
          <cell r="D1058" t="str">
            <v>OXXO-Seminario</v>
          </cell>
          <cell r="E1058" t="str">
            <v>No</v>
          </cell>
          <cell r="F1058" t="str">
            <v>18787803-9</v>
          </cell>
          <cell r="G1058" t="str">
            <v>Aceituno Pacheco Francisco Antonio</v>
          </cell>
          <cell r="H1058" t="str">
            <v>Cajero</v>
          </cell>
          <cell r="I1058">
            <v>3</v>
          </cell>
          <cell r="J1058">
            <v>30476806</v>
          </cell>
        </row>
        <row r="1059">
          <cell r="C1059" t="str">
            <v>50SEM</v>
          </cell>
          <cell r="D1059" t="str">
            <v>OXXO-Seminario</v>
          </cell>
          <cell r="E1059" t="str">
            <v>No</v>
          </cell>
          <cell r="F1059" t="str">
            <v>19430119-7</v>
          </cell>
          <cell r="G1059" t="str">
            <v>Paredes Moran Patricia Eliana</v>
          </cell>
          <cell r="H1059" t="str">
            <v>Cajero</v>
          </cell>
          <cell r="I1059">
            <v>3</v>
          </cell>
          <cell r="J1059">
            <v>30476806</v>
          </cell>
        </row>
        <row r="1060">
          <cell r="C1060" t="str">
            <v>50SEM</v>
          </cell>
          <cell r="D1060" t="str">
            <v>OXXO-Seminario</v>
          </cell>
          <cell r="E1060" t="str">
            <v>No</v>
          </cell>
          <cell r="F1060" t="str">
            <v>22260839-2</v>
          </cell>
          <cell r="G1060" t="str">
            <v>Lopez Perez Elizabeth Andrea</v>
          </cell>
          <cell r="H1060" t="str">
            <v>Cajero</v>
          </cell>
          <cell r="I1060">
            <v>3</v>
          </cell>
          <cell r="J1060">
            <v>30476806</v>
          </cell>
        </row>
        <row r="1061">
          <cell r="C1061" t="str">
            <v>50SEM</v>
          </cell>
          <cell r="D1061" t="str">
            <v>OXXO-Seminario</v>
          </cell>
          <cell r="E1061" t="str">
            <v>No</v>
          </cell>
          <cell r="F1061" t="str">
            <v>27193986-8</v>
          </cell>
          <cell r="G1061" t="str">
            <v>Chirinos Salas Alexander Jose</v>
          </cell>
          <cell r="H1061" t="str">
            <v>Lider</v>
          </cell>
          <cell r="I1061">
            <v>1</v>
          </cell>
          <cell r="J1061">
            <v>30476806</v>
          </cell>
        </row>
        <row r="1062">
          <cell r="C1062" t="str">
            <v>50UYZ</v>
          </cell>
          <cell r="D1062" t="str">
            <v>OXXO-Paseo El Tamarugo</v>
          </cell>
          <cell r="E1062" t="str">
            <v>No</v>
          </cell>
          <cell r="F1062" t="str">
            <v>17032483-8</v>
          </cell>
          <cell r="G1062" t="str">
            <v>Castillo Ruiz Ivanna Eileen</v>
          </cell>
          <cell r="H1062" t="str">
            <v>Lider</v>
          </cell>
          <cell r="I1062">
            <v>1</v>
          </cell>
          <cell r="J1062">
            <v>30074563</v>
          </cell>
        </row>
        <row r="1063">
          <cell r="C1063" t="str">
            <v>50UYZ</v>
          </cell>
          <cell r="D1063" t="str">
            <v>OXXO-Paseo El Tamarugo</v>
          </cell>
          <cell r="E1063" t="str">
            <v>No</v>
          </cell>
          <cell r="F1063" t="str">
            <v>17389569-0</v>
          </cell>
          <cell r="G1063" t="str">
            <v>Vega Alarcon Ximena Andrea</v>
          </cell>
          <cell r="H1063" t="str">
            <v>Cajero</v>
          </cell>
          <cell r="I1063">
            <v>3</v>
          </cell>
          <cell r="J1063">
            <v>30074563</v>
          </cell>
        </row>
        <row r="1064">
          <cell r="C1064" t="str">
            <v>50UYZ</v>
          </cell>
          <cell r="D1064" t="str">
            <v>OXXO-Paseo El Tamarugo</v>
          </cell>
          <cell r="E1064" t="str">
            <v>No</v>
          </cell>
          <cell r="F1064" t="str">
            <v>25941773-2</v>
          </cell>
          <cell r="G1064" t="str">
            <v>Pimentel Saldaña Mayury</v>
          </cell>
          <cell r="H1064" t="str">
            <v>Jefe De Sala</v>
          </cell>
          <cell r="I1064">
            <v>2</v>
          </cell>
          <cell r="J1064">
            <v>30074563</v>
          </cell>
        </row>
        <row r="1065">
          <cell r="C1065" t="str">
            <v>50UYZ</v>
          </cell>
          <cell r="D1065" t="str">
            <v>OXXO-Paseo El Tamarugo</v>
          </cell>
          <cell r="E1065" t="str">
            <v>No</v>
          </cell>
          <cell r="F1065" t="str">
            <v>26589698-7</v>
          </cell>
          <cell r="G1065" t="str">
            <v>Santiago Salcedo Adrian Jose</v>
          </cell>
          <cell r="H1065" t="str">
            <v>Cajero</v>
          </cell>
          <cell r="I1065">
            <v>3</v>
          </cell>
          <cell r="J1065">
            <v>30074563</v>
          </cell>
        </row>
        <row r="1066">
          <cell r="C1066" t="str">
            <v>50UYZ</v>
          </cell>
          <cell r="D1066" t="str">
            <v>OXXO-Paseo El Tamarugo</v>
          </cell>
          <cell r="E1066" t="str">
            <v>No</v>
          </cell>
          <cell r="F1066" t="str">
            <v>27051918-0</v>
          </cell>
          <cell r="G1066" t="str">
            <v>Araujo . Williams</v>
          </cell>
          <cell r="H1066" t="str">
            <v>Cajero</v>
          </cell>
          <cell r="I1066">
            <v>3</v>
          </cell>
          <cell r="J1066">
            <v>30074563</v>
          </cell>
        </row>
        <row r="1067">
          <cell r="C1067" t="str">
            <v>50ELY</v>
          </cell>
          <cell r="D1067" t="str">
            <v>OXXO-Eliodoro Yañez</v>
          </cell>
          <cell r="E1067" t="str">
            <v>No</v>
          </cell>
          <cell r="F1067" t="str">
            <v>21945861-4</v>
          </cell>
          <cell r="G1067" t="str">
            <v>Gonzalez San Martin Noemi Belen</v>
          </cell>
          <cell r="H1067" t="str">
            <v>Cajero</v>
          </cell>
          <cell r="I1067">
            <v>3</v>
          </cell>
          <cell r="J1067">
            <v>29922673</v>
          </cell>
        </row>
        <row r="1068">
          <cell r="C1068" t="str">
            <v>50ELY</v>
          </cell>
          <cell r="D1068" t="str">
            <v>OXXO-Eliodoro Yañez</v>
          </cell>
          <cell r="E1068" t="str">
            <v>No</v>
          </cell>
          <cell r="F1068" t="str">
            <v>24069357-7</v>
          </cell>
          <cell r="G1068" t="str">
            <v>Fajardo Vidal Asly Lorena</v>
          </cell>
          <cell r="H1068" t="str">
            <v>Cajero</v>
          </cell>
          <cell r="I1068">
            <v>3</v>
          </cell>
          <cell r="J1068">
            <v>29922673</v>
          </cell>
        </row>
        <row r="1069">
          <cell r="C1069" t="str">
            <v>50ELY</v>
          </cell>
          <cell r="D1069" t="str">
            <v>OXXO-Eliodoro Yañez</v>
          </cell>
          <cell r="E1069" t="str">
            <v>No</v>
          </cell>
          <cell r="F1069" t="str">
            <v>25686207-7</v>
          </cell>
          <cell r="G1069" t="str">
            <v>Rojas Triana Jose Ramon</v>
          </cell>
          <cell r="H1069" t="str">
            <v>Cajero</v>
          </cell>
          <cell r="I1069">
            <v>3</v>
          </cell>
          <cell r="J1069">
            <v>29922673</v>
          </cell>
        </row>
        <row r="1070">
          <cell r="C1070" t="str">
            <v>50ELY</v>
          </cell>
          <cell r="D1070" t="str">
            <v>OXXO-Eliodoro Yañez</v>
          </cell>
          <cell r="E1070" t="str">
            <v>No</v>
          </cell>
          <cell r="F1070" t="str">
            <v>26738107-0</v>
          </cell>
          <cell r="G1070" t="str">
            <v>Crocquer Crocquer Naomarelis Suliby</v>
          </cell>
          <cell r="H1070" t="str">
            <v>Jefe De Sala</v>
          </cell>
          <cell r="I1070">
            <v>2</v>
          </cell>
          <cell r="J1070">
            <v>29922673</v>
          </cell>
        </row>
        <row r="1071">
          <cell r="C1071" t="str">
            <v>50ELY</v>
          </cell>
          <cell r="D1071" t="str">
            <v>OXXO-Eliodoro Yañez</v>
          </cell>
          <cell r="E1071" t="str">
            <v>No</v>
          </cell>
          <cell r="F1071" t="str">
            <v>27049726-8</v>
          </cell>
          <cell r="G1071" t="str">
            <v>Gomez Rodriguez Adrian Enrique</v>
          </cell>
          <cell r="H1071" t="str">
            <v>Jefe De Sala</v>
          </cell>
          <cell r="I1071">
            <v>2</v>
          </cell>
          <cell r="J1071">
            <v>29922673</v>
          </cell>
        </row>
        <row r="1072">
          <cell r="C1072" t="str">
            <v>50ELY</v>
          </cell>
          <cell r="D1072" t="str">
            <v>OXXO-Eliodoro Yañez</v>
          </cell>
          <cell r="E1072" t="str">
            <v>No</v>
          </cell>
          <cell r="F1072" t="str">
            <v>27090064-K</v>
          </cell>
          <cell r="G1072" t="str">
            <v>Liscano Pernia Maria Elena</v>
          </cell>
          <cell r="H1072" t="str">
            <v>Lider</v>
          </cell>
          <cell r="I1072">
            <v>1</v>
          </cell>
          <cell r="J1072">
            <v>29922673</v>
          </cell>
        </row>
        <row r="1073">
          <cell r="C1073" t="str">
            <v>50ELY</v>
          </cell>
          <cell r="D1073" t="str">
            <v>OXXO-Eliodoro Yañez</v>
          </cell>
          <cell r="E1073" t="str">
            <v>No</v>
          </cell>
          <cell r="F1073" t="str">
            <v>27227794-K</v>
          </cell>
          <cell r="G1073" t="str">
            <v>Gonzalez De Betancourt Maira Josefina</v>
          </cell>
          <cell r="H1073" t="str">
            <v>Cajero</v>
          </cell>
          <cell r="I1073">
            <v>3</v>
          </cell>
          <cell r="J1073">
            <v>29922673</v>
          </cell>
        </row>
        <row r="1074">
          <cell r="C1074" t="str">
            <v>50BAR</v>
          </cell>
          <cell r="D1074" t="str">
            <v>OXXO-Alfredo Barros Errazuriz</v>
          </cell>
          <cell r="E1074" t="str">
            <v>No</v>
          </cell>
          <cell r="F1074" t="str">
            <v>10436941-3</v>
          </cell>
          <cell r="G1074" t="str">
            <v>Rodriguez Villarroel Maria Mercedes</v>
          </cell>
          <cell r="H1074" t="str">
            <v>Jefe De Sala</v>
          </cell>
          <cell r="I1074">
            <v>2</v>
          </cell>
          <cell r="J1074">
            <v>29407126</v>
          </cell>
        </row>
        <row r="1075">
          <cell r="C1075" t="str">
            <v>50BAR</v>
          </cell>
          <cell r="D1075" t="str">
            <v>OXXO-Alfredo Barros Errazuriz</v>
          </cell>
          <cell r="E1075" t="str">
            <v>No</v>
          </cell>
          <cell r="F1075" t="str">
            <v>15643111-7</v>
          </cell>
          <cell r="G1075" t="str">
            <v>Puga Phillips Rosario</v>
          </cell>
          <cell r="H1075" t="str">
            <v>Cajero</v>
          </cell>
          <cell r="I1075">
            <v>3</v>
          </cell>
          <cell r="J1075">
            <v>29407126</v>
          </cell>
        </row>
        <row r="1076">
          <cell r="C1076" t="str">
            <v>50BAR</v>
          </cell>
          <cell r="D1076" t="str">
            <v>OXXO-Alfredo Barros Errazuriz</v>
          </cell>
          <cell r="E1076" t="str">
            <v>No</v>
          </cell>
          <cell r="F1076" t="str">
            <v>27032065-1</v>
          </cell>
          <cell r="G1076" t="str">
            <v>Montiel Polanco Maribin Elisabet</v>
          </cell>
          <cell r="H1076" t="str">
            <v>Lider</v>
          </cell>
          <cell r="I1076">
            <v>1</v>
          </cell>
          <cell r="J1076">
            <v>29407126</v>
          </cell>
        </row>
        <row r="1077">
          <cell r="C1077" t="str">
            <v>50BAR</v>
          </cell>
          <cell r="D1077" t="str">
            <v>OXXO-Alfredo Barros Errazuriz</v>
          </cell>
          <cell r="E1077" t="str">
            <v>No</v>
          </cell>
          <cell r="F1077" t="str">
            <v>27863187-7</v>
          </cell>
          <cell r="G1077" t="str">
            <v>Gallardo Perez Eva Alexandra</v>
          </cell>
          <cell r="H1077" t="str">
            <v>Jefe De Sala</v>
          </cell>
          <cell r="I1077">
            <v>2</v>
          </cell>
          <cell r="J1077">
            <v>29407126</v>
          </cell>
        </row>
        <row r="1078">
          <cell r="C1078" t="str">
            <v>50724</v>
          </cell>
          <cell r="D1078" t="str">
            <v>OXXO-Llico</v>
          </cell>
          <cell r="E1078" t="str">
            <v>No</v>
          </cell>
          <cell r="F1078" t="str">
            <v>12908027-2</v>
          </cell>
          <cell r="G1078" t="str">
            <v>Gonzalez Levio Johanna</v>
          </cell>
          <cell r="H1078" t="str">
            <v>Lider</v>
          </cell>
          <cell r="I1078">
            <v>1</v>
          </cell>
          <cell r="J1078">
            <v>29280308</v>
          </cell>
        </row>
        <row r="1079">
          <cell r="C1079" t="str">
            <v>50724</v>
          </cell>
          <cell r="D1079" t="str">
            <v>OXXO-Llico</v>
          </cell>
          <cell r="E1079" t="str">
            <v>No</v>
          </cell>
          <cell r="F1079" t="str">
            <v>18199537-8</v>
          </cell>
          <cell r="G1079" t="str">
            <v>Lobos Castillo Felipe Ruben</v>
          </cell>
          <cell r="H1079" t="str">
            <v>Cajero</v>
          </cell>
          <cell r="I1079">
            <v>3</v>
          </cell>
          <cell r="J1079">
            <v>29280308</v>
          </cell>
        </row>
        <row r="1080">
          <cell r="C1080" t="str">
            <v>50724</v>
          </cell>
          <cell r="D1080" t="str">
            <v>OXXO-Llico</v>
          </cell>
          <cell r="E1080" t="str">
            <v>No</v>
          </cell>
          <cell r="F1080" t="str">
            <v>20379950-0</v>
          </cell>
          <cell r="G1080" t="str">
            <v>Arias Fernandez Estefany</v>
          </cell>
          <cell r="H1080" t="str">
            <v>Jefe De Sala</v>
          </cell>
          <cell r="I1080">
            <v>2</v>
          </cell>
          <cell r="J1080">
            <v>29280308</v>
          </cell>
        </row>
        <row r="1081">
          <cell r="C1081" t="str">
            <v>50724</v>
          </cell>
          <cell r="D1081" t="str">
            <v>OXXO-Llico</v>
          </cell>
          <cell r="E1081" t="str">
            <v>No</v>
          </cell>
          <cell r="F1081" t="str">
            <v>28097537-0</v>
          </cell>
          <cell r="G1081" t="str">
            <v>Diaz Escalona Ana Paula</v>
          </cell>
          <cell r="H1081" t="str">
            <v>Cajero</v>
          </cell>
          <cell r="I1081">
            <v>3</v>
          </cell>
          <cell r="J1081">
            <v>29280308</v>
          </cell>
        </row>
        <row r="1082">
          <cell r="C1082" t="str">
            <v>50OML</v>
          </cell>
          <cell r="D1082" t="str">
            <v>OKM-Metro Los Leones</v>
          </cell>
          <cell r="E1082" t="str">
            <v>No</v>
          </cell>
          <cell r="F1082" t="str">
            <v>16579101-0</v>
          </cell>
          <cell r="G1082" t="str">
            <v>Llaulen Purran Susana</v>
          </cell>
          <cell r="H1082" t="str">
            <v>Lider</v>
          </cell>
          <cell r="I1082">
            <v>1</v>
          </cell>
          <cell r="J1082">
            <v>29064368</v>
          </cell>
        </row>
        <row r="1083">
          <cell r="C1083" t="str">
            <v>50OML</v>
          </cell>
          <cell r="D1083" t="str">
            <v>OKM-Metro Los Leones</v>
          </cell>
          <cell r="E1083" t="str">
            <v>No</v>
          </cell>
          <cell r="F1083" t="str">
            <v>17415272-1</v>
          </cell>
          <cell r="G1083" t="str">
            <v>Acevedo Santibañez Ana Alicia</v>
          </cell>
          <cell r="H1083" t="str">
            <v>Cajero</v>
          </cell>
          <cell r="I1083">
            <v>3</v>
          </cell>
          <cell r="J1083">
            <v>29064368</v>
          </cell>
        </row>
        <row r="1084">
          <cell r="C1084" t="str">
            <v>50OML</v>
          </cell>
          <cell r="D1084" t="str">
            <v>OKM-Metro Los Leones</v>
          </cell>
          <cell r="E1084" t="str">
            <v>No</v>
          </cell>
          <cell r="F1084" t="str">
            <v>20932133-5</v>
          </cell>
          <cell r="G1084" t="str">
            <v>Pino Guzman Carlos Andres</v>
          </cell>
          <cell r="H1084" t="str">
            <v>Cajero</v>
          </cell>
          <cell r="I1084">
            <v>3</v>
          </cell>
          <cell r="J1084">
            <v>29064368</v>
          </cell>
        </row>
        <row r="1085">
          <cell r="C1085" t="str">
            <v>50OML</v>
          </cell>
          <cell r="D1085" t="str">
            <v>OKM-Metro Los Leones</v>
          </cell>
          <cell r="E1085" t="str">
            <v>No</v>
          </cell>
          <cell r="F1085" t="str">
            <v>24791012-3</v>
          </cell>
          <cell r="G1085" t="str">
            <v>Ramirez Marquez Dulce Maria</v>
          </cell>
          <cell r="H1085" t="str">
            <v>Cajero</v>
          </cell>
          <cell r="I1085">
            <v>3</v>
          </cell>
          <cell r="J1085">
            <v>29064368</v>
          </cell>
        </row>
        <row r="1086">
          <cell r="C1086" t="str">
            <v>50OML</v>
          </cell>
          <cell r="D1086" t="str">
            <v>OKM-Metro Los Leones</v>
          </cell>
          <cell r="E1086" t="str">
            <v>No</v>
          </cell>
          <cell r="F1086" t="str">
            <v>26638254-5</v>
          </cell>
          <cell r="G1086" t="str">
            <v>Clavo Ramirez Gabriel David</v>
          </cell>
          <cell r="H1086" t="str">
            <v>Cajero</v>
          </cell>
          <cell r="I1086">
            <v>3</v>
          </cell>
          <cell r="J1086">
            <v>29064368</v>
          </cell>
        </row>
        <row r="1087">
          <cell r="C1087" t="str">
            <v>50OSZ</v>
          </cell>
          <cell r="D1087" t="str">
            <v>OKM-Santa Beatriz</v>
          </cell>
          <cell r="E1087" t="str">
            <v>No</v>
          </cell>
          <cell r="F1087" t="str">
            <v>12876861-0</v>
          </cell>
          <cell r="G1087" t="str">
            <v>Morales Hernandez Viviana Del Carmen</v>
          </cell>
          <cell r="H1087" t="str">
            <v>Cajero</v>
          </cell>
          <cell r="I1087">
            <v>3</v>
          </cell>
          <cell r="J1087">
            <v>28917528</v>
          </cell>
        </row>
        <row r="1088">
          <cell r="C1088" t="str">
            <v>50OSZ</v>
          </cell>
          <cell r="D1088" t="str">
            <v>OKM-Santa Beatriz</v>
          </cell>
          <cell r="E1088" t="str">
            <v>No</v>
          </cell>
          <cell r="F1088" t="str">
            <v>17304100-4</v>
          </cell>
          <cell r="G1088" t="str">
            <v>Briones Urrutia Daniela Alejandra</v>
          </cell>
          <cell r="H1088" t="str">
            <v>Lider</v>
          </cell>
          <cell r="I1088">
            <v>1</v>
          </cell>
          <cell r="J1088">
            <v>28917528</v>
          </cell>
        </row>
        <row r="1089">
          <cell r="C1089" t="str">
            <v>50OSZ</v>
          </cell>
          <cell r="D1089" t="str">
            <v>OKM-Santa Beatriz</v>
          </cell>
          <cell r="E1089" t="str">
            <v>No</v>
          </cell>
          <cell r="F1089" t="str">
            <v>20474251-0</v>
          </cell>
          <cell r="G1089" t="str">
            <v>Jimenez Galvez Carlos Andres</v>
          </cell>
          <cell r="H1089" t="str">
            <v>Jefe De Sala</v>
          </cell>
          <cell r="I1089">
            <v>2</v>
          </cell>
          <cell r="J1089">
            <v>28917528</v>
          </cell>
        </row>
        <row r="1090">
          <cell r="C1090" t="str">
            <v>50OSZ</v>
          </cell>
          <cell r="D1090" t="str">
            <v>OKM-Santa Beatriz</v>
          </cell>
          <cell r="E1090" t="str">
            <v>No</v>
          </cell>
          <cell r="F1090" t="str">
            <v>26312290-9</v>
          </cell>
          <cell r="G1090" t="str">
            <v>Nieves Cabrera Florangel Josefina</v>
          </cell>
          <cell r="H1090" t="str">
            <v>Cajero</v>
          </cell>
          <cell r="I1090">
            <v>3</v>
          </cell>
          <cell r="J1090">
            <v>28917528</v>
          </cell>
        </row>
        <row r="1091">
          <cell r="C1091" t="str">
            <v>50OSZ</v>
          </cell>
          <cell r="D1091" t="str">
            <v>OKM-Santa Beatriz</v>
          </cell>
          <cell r="E1091" t="str">
            <v>No</v>
          </cell>
          <cell r="F1091" t="str">
            <v>27326218-0</v>
          </cell>
          <cell r="G1091" t="str">
            <v>Hernandez Mendoza Luz</v>
          </cell>
          <cell r="H1091" t="str">
            <v>Cajero</v>
          </cell>
          <cell r="I1091">
            <v>3</v>
          </cell>
          <cell r="J1091">
            <v>28917528</v>
          </cell>
        </row>
        <row r="1092">
          <cell r="C1092" t="str">
            <v>50SEA</v>
          </cell>
          <cell r="D1092" t="str">
            <v>OXXO-Outlet Patio Maipu</v>
          </cell>
          <cell r="E1092" t="str">
            <v>No</v>
          </cell>
          <cell r="F1092" t="str">
            <v>17981268-1</v>
          </cell>
          <cell r="G1092" t="str">
            <v>Rojas Lopez Pamela Del Carmen</v>
          </cell>
          <cell r="H1092" t="str">
            <v>Jefe De Sala</v>
          </cell>
          <cell r="I1092">
            <v>2</v>
          </cell>
          <cell r="J1092">
            <v>28711204</v>
          </cell>
        </row>
        <row r="1093">
          <cell r="C1093" t="str">
            <v>50SEA</v>
          </cell>
          <cell r="D1093" t="str">
            <v>OXXO-Outlet Patio Maipu</v>
          </cell>
          <cell r="E1093" t="str">
            <v>No</v>
          </cell>
          <cell r="F1093" t="str">
            <v>19828982-5</v>
          </cell>
          <cell r="G1093" t="str">
            <v>Hizaut Lopez Fernanda Javiera</v>
          </cell>
          <cell r="H1093" t="str">
            <v>Cajero</v>
          </cell>
          <cell r="I1093">
            <v>3</v>
          </cell>
          <cell r="J1093">
            <v>28711204</v>
          </cell>
        </row>
        <row r="1094">
          <cell r="C1094" t="str">
            <v>50SEA</v>
          </cell>
          <cell r="D1094" t="str">
            <v>OXXO-Outlet Patio Maipu</v>
          </cell>
          <cell r="E1094" t="str">
            <v>No</v>
          </cell>
          <cell r="F1094" t="str">
            <v>20977934-K</v>
          </cell>
          <cell r="G1094" t="str">
            <v>Gatica Bizama Milenka Javiera</v>
          </cell>
          <cell r="H1094" t="str">
            <v>Cajero</v>
          </cell>
          <cell r="I1094">
            <v>3</v>
          </cell>
          <cell r="J1094">
            <v>28711204</v>
          </cell>
        </row>
        <row r="1095">
          <cell r="C1095" t="str">
            <v>50SEA</v>
          </cell>
          <cell r="D1095" t="str">
            <v>OXXO-Outlet Patio Maipu</v>
          </cell>
          <cell r="E1095" t="str">
            <v>No</v>
          </cell>
          <cell r="F1095" t="str">
            <v>26127976-2</v>
          </cell>
          <cell r="G1095" t="str">
            <v>Lezama Arroyave Isabela</v>
          </cell>
          <cell r="H1095" t="str">
            <v>Cajero</v>
          </cell>
          <cell r="I1095">
            <v>3</v>
          </cell>
          <cell r="J1095">
            <v>28711204</v>
          </cell>
        </row>
        <row r="1096">
          <cell r="C1096" t="str">
            <v>50SEA</v>
          </cell>
          <cell r="D1096" t="str">
            <v>OXXO-Outlet Patio Maipu</v>
          </cell>
          <cell r="E1096" t="str">
            <v>No</v>
          </cell>
          <cell r="F1096" t="str">
            <v>26917150-2</v>
          </cell>
          <cell r="G1096" t="str">
            <v>Diaz Delfin Ana Yeli</v>
          </cell>
          <cell r="H1096" t="str">
            <v>Lider</v>
          </cell>
          <cell r="I1096">
            <v>1</v>
          </cell>
          <cell r="J1096">
            <v>28711204</v>
          </cell>
        </row>
        <row r="1097">
          <cell r="C1097" t="str">
            <v>50LT4</v>
          </cell>
          <cell r="D1097" t="str">
            <v>OXXO-Las Bellotas</v>
          </cell>
          <cell r="E1097" t="str">
            <v>Si</v>
          </cell>
          <cell r="F1097" t="str">
            <v>17840831-3</v>
          </cell>
          <cell r="G1097" t="str">
            <v>Peralta Moreno Claudio Andres</v>
          </cell>
          <cell r="H1097" t="str">
            <v>Jefe De Sala</v>
          </cell>
          <cell r="I1097">
            <v>2</v>
          </cell>
          <cell r="J1097">
            <v>28671379</v>
          </cell>
        </row>
        <row r="1098">
          <cell r="C1098" t="str">
            <v>50LT4</v>
          </cell>
          <cell r="D1098" t="str">
            <v>OXXO-Las Bellotas</v>
          </cell>
          <cell r="E1098" t="str">
            <v>Si</v>
          </cell>
          <cell r="F1098" t="str">
            <v>27324716-5</v>
          </cell>
          <cell r="G1098" t="str">
            <v>Quinteros Perez Leonel Alberto</v>
          </cell>
          <cell r="H1098" t="str">
            <v>Lider</v>
          </cell>
          <cell r="I1098">
            <v>1</v>
          </cell>
          <cell r="J1098">
            <v>28671379</v>
          </cell>
        </row>
        <row r="1099">
          <cell r="C1099" t="str">
            <v>50AC1</v>
          </cell>
          <cell r="D1099" t="str">
            <v>OXXO-Plaza Del Inca</v>
          </cell>
          <cell r="E1099" t="str">
            <v>No</v>
          </cell>
          <cell r="F1099" t="str">
            <v>14730718-7</v>
          </cell>
          <cell r="G1099" t="str">
            <v>Alayo Silva Laura Erleny</v>
          </cell>
          <cell r="H1099" t="str">
            <v>Jefe De Sala</v>
          </cell>
          <cell r="I1099">
            <v>2</v>
          </cell>
          <cell r="J1099">
            <v>28566135</v>
          </cell>
        </row>
        <row r="1100">
          <cell r="C1100" t="str">
            <v>50AC1</v>
          </cell>
          <cell r="D1100" t="str">
            <v>OXXO-Plaza Del Inca</v>
          </cell>
          <cell r="E1100" t="str">
            <v>No</v>
          </cell>
          <cell r="F1100" t="str">
            <v>17070983-7</v>
          </cell>
          <cell r="G1100" t="str">
            <v>Cifuentes Carvajal Soledad Andrea</v>
          </cell>
          <cell r="H1100" t="str">
            <v>Jefe De Sala</v>
          </cell>
          <cell r="I1100">
            <v>2</v>
          </cell>
          <cell r="J1100">
            <v>28566135</v>
          </cell>
        </row>
        <row r="1101">
          <cell r="C1101" t="str">
            <v>50AC1</v>
          </cell>
          <cell r="D1101" t="str">
            <v>OXXO-Plaza Del Inca</v>
          </cell>
          <cell r="E1101" t="str">
            <v>No</v>
          </cell>
          <cell r="F1101" t="str">
            <v>19801631-4</v>
          </cell>
          <cell r="G1101" t="str">
            <v>Silva Vega Dayanna Andrea</v>
          </cell>
          <cell r="H1101" t="str">
            <v>Cajero</v>
          </cell>
          <cell r="I1101">
            <v>3</v>
          </cell>
          <cell r="J1101">
            <v>28566135</v>
          </cell>
        </row>
        <row r="1102">
          <cell r="C1102" t="str">
            <v>50AC1</v>
          </cell>
          <cell r="D1102" t="str">
            <v>OXXO-Plaza Del Inca</v>
          </cell>
          <cell r="E1102" t="str">
            <v>No</v>
          </cell>
          <cell r="F1102" t="str">
            <v>27624585-6</v>
          </cell>
          <cell r="G1102" t="str">
            <v>Galan Diaz Angela Maria</v>
          </cell>
          <cell r="H1102" t="str">
            <v>Cajero</v>
          </cell>
          <cell r="I1102">
            <v>3</v>
          </cell>
          <cell r="J1102">
            <v>28566135</v>
          </cell>
        </row>
        <row r="1103">
          <cell r="C1103" t="str">
            <v>50VSD</v>
          </cell>
          <cell r="D1103" t="str">
            <v>OXXO-Mall Plaza Norte</v>
          </cell>
          <cell r="E1103" t="str">
            <v>No</v>
          </cell>
          <cell r="F1103" t="str">
            <v>17072546-8</v>
          </cell>
          <cell r="G1103" t="str">
            <v>Nuñez Donoso Paula Andrea</v>
          </cell>
          <cell r="H1103" t="str">
            <v>Cajero</v>
          </cell>
          <cell r="I1103">
            <v>3</v>
          </cell>
          <cell r="J1103">
            <v>28524914</v>
          </cell>
        </row>
        <row r="1104">
          <cell r="C1104" t="str">
            <v>50VSD</v>
          </cell>
          <cell r="D1104" t="str">
            <v>OXXO-Mall Plaza Norte</v>
          </cell>
          <cell r="E1104" t="str">
            <v>No</v>
          </cell>
          <cell r="F1104" t="str">
            <v>20919096-6</v>
          </cell>
          <cell r="G1104" t="str">
            <v>Angulo Mallea Javier Joao</v>
          </cell>
          <cell r="H1104" t="str">
            <v>Cajero</v>
          </cell>
          <cell r="I1104">
            <v>3</v>
          </cell>
          <cell r="J1104">
            <v>28524914</v>
          </cell>
        </row>
        <row r="1105">
          <cell r="C1105" t="str">
            <v>50VSD</v>
          </cell>
          <cell r="D1105" t="str">
            <v>OXXO-Mall Plaza Norte</v>
          </cell>
          <cell r="E1105" t="str">
            <v>No</v>
          </cell>
          <cell r="F1105" t="str">
            <v>21308639-1</v>
          </cell>
          <cell r="G1105" t="str">
            <v>Llebul Lara Benjamin Ismael Amaro</v>
          </cell>
          <cell r="H1105" t="str">
            <v>Jefe De Sala</v>
          </cell>
          <cell r="I1105">
            <v>2</v>
          </cell>
          <cell r="J1105">
            <v>28524914</v>
          </cell>
        </row>
        <row r="1106">
          <cell r="C1106" t="str">
            <v>50VSD</v>
          </cell>
          <cell r="D1106" t="str">
            <v>OXXO-Mall Plaza Norte</v>
          </cell>
          <cell r="E1106" t="str">
            <v>No</v>
          </cell>
          <cell r="F1106" t="str">
            <v>25087998-9</v>
          </cell>
          <cell r="G1106" t="str">
            <v>Mata Ramirez Glenda Rocio</v>
          </cell>
          <cell r="H1106" t="str">
            <v>Lider</v>
          </cell>
          <cell r="I1106">
            <v>1</v>
          </cell>
          <cell r="J1106">
            <v>28524914</v>
          </cell>
        </row>
        <row r="1107">
          <cell r="C1107" t="str">
            <v>50VSD</v>
          </cell>
          <cell r="D1107" t="str">
            <v>OXXO-Mall Plaza Norte</v>
          </cell>
          <cell r="E1107" t="str">
            <v>No</v>
          </cell>
          <cell r="F1107" t="str">
            <v>26621106-6</v>
          </cell>
          <cell r="G1107" t="str">
            <v>Lopez Sandoval Yesenia Sugey</v>
          </cell>
          <cell r="H1107" t="str">
            <v>Jefe De Sala</v>
          </cell>
          <cell r="I1107">
            <v>2</v>
          </cell>
          <cell r="J1107">
            <v>28524914</v>
          </cell>
        </row>
        <row r="1108">
          <cell r="C1108" t="str">
            <v>5033A</v>
          </cell>
          <cell r="D1108" t="str">
            <v>OXXO-Edmundo Eluchans</v>
          </cell>
          <cell r="E1108" t="str">
            <v>No</v>
          </cell>
          <cell r="F1108" t="str">
            <v>07096882-7</v>
          </cell>
          <cell r="G1108" t="str">
            <v>Garcia Saldivia Claudio Alfonso</v>
          </cell>
          <cell r="H1108" t="str">
            <v>Cajero</v>
          </cell>
          <cell r="I1108">
            <v>3</v>
          </cell>
          <cell r="J1108">
            <v>28514565</v>
          </cell>
        </row>
        <row r="1109">
          <cell r="C1109" t="str">
            <v>5033A</v>
          </cell>
          <cell r="D1109" t="str">
            <v>OXXO-Edmundo Eluchans</v>
          </cell>
          <cell r="E1109" t="str">
            <v>No</v>
          </cell>
          <cell r="F1109" t="str">
            <v>12115599-0</v>
          </cell>
          <cell r="G1109" t="str">
            <v>Nuñez Nuñez Carolina Alejandra</v>
          </cell>
          <cell r="H1109" t="str">
            <v>Cajero</v>
          </cell>
          <cell r="I1109">
            <v>3</v>
          </cell>
          <cell r="J1109">
            <v>28514565</v>
          </cell>
        </row>
        <row r="1110">
          <cell r="C1110" t="str">
            <v>5033A</v>
          </cell>
          <cell r="D1110" t="str">
            <v>OXXO-Edmundo Eluchans</v>
          </cell>
          <cell r="E1110" t="str">
            <v>No</v>
          </cell>
          <cell r="F1110" t="str">
            <v>17159972-5</v>
          </cell>
          <cell r="G1110" t="str">
            <v>Ponce Gutierrez Javiera Andrea</v>
          </cell>
          <cell r="H1110" t="str">
            <v>Cajero</v>
          </cell>
          <cell r="I1110">
            <v>3</v>
          </cell>
          <cell r="J1110">
            <v>28514565</v>
          </cell>
        </row>
        <row r="1111">
          <cell r="C1111" t="str">
            <v>5033A</v>
          </cell>
          <cell r="D1111" t="str">
            <v>OXXO-Edmundo Eluchans</v>
          </cell>
          <cell r="E1111" t="str">
            <v>No</v>
          </cell>
          <cell r="F1111" t="str">
            <v>19330842-2</v>
          </cell>
          <cell r="G1111" t="str">
            <v>Alarcon Araneda Katerine Alicia</v>
          </cell>
          <cell r="H1111" t="str">
            <v>Lider</v>
          </cell>
          <cell r="I1111">
            <v>1</v>
          </cell>
          <cell r="J1111">
            <v>28514565</v>
          </cell>
        </row>
        <row r="1112">
          <cell r="C1112" t="str">
            <v>5033A</v>
          </cell>
          <cell r="D1112" t="str">
            <v>OXXO-Edmundo Eluchans</v>
          </cell>
          <cell r="E1112" t="str">
            <v>No</v>
          </cell>
          <cell r="F1112" t="str">
            <v>26062649-3</v>
          </cell>
          <cell r="G1112" t="str">
            <v>Rios Gutierrez Simon Isaias</v>
          </cell>
          <cell r="H1112" t="str">
            <v>Cajero</v>
          </cell>
          <cell r="I1112">
            <v>3</v>
          </cell>
          <cell r="J1112">
            <v>28514565</v>
          </cell>
        </row>
        <row r="1113">
          <cell r="C1113" t="str">
            <v>50UD1</v>
          </cell>
          <cell r="D1113" t="str">
            <v>OXXO-Paseo Bulnes</v>
          </cell>
          <cell r="E1113" t="str">
            <v>No</v>
          </cell>
          <cell r="F1113" t="str">
            <v>15419841-5</v>
          </cell>
          <cell r="G1113" t="str">
            <v>Castillo Rocandio Ana De Las Mercedes</v>
          </cell>
          <cell r="H1113" t="str">
            <v>Lider</v>
          </cell>
          <cell r="I1113">
            <v>1</v>
          </cell>
          <cell r="J1113">
            <v>28455418</v>
          </cell>
        </row>
        <row r="1114">
          <cell r="C1114" t="str">
            <v>50UD1</v>
          </cell>
          <cell r="D1114" t="str">
            <v>OXXO-Paseo Bulnes</v>
          </cell>
          <cell r="E1114" t="str">
            <v>No</v>
          </cell>
          <cell r="F1114" t="str">
            <v>26307840-3</v>
          </cell>
          <cell r="G1114" t="str">
            <v>Flores Veliz Liz</v>
          </cell>
          <cell r="H1114" t="str">
            <v>Cajero</v>
          </cell>
          <cell r="I1114">
            <v>3</v>
          </cell>
          <cell r="J1114">
            <v>28455418</v>
          </cell>
        </row>
        <row r="1115">
          <cell r="C1115" t="str">
            <v>50UD1</v>
          </cell>
          <cell r="D1115" t="str">
            <v>OXXO-Paseo Bulnes</v>
          </cell>
          <cell r="E1115" t="str">
            <v>No</v>
          </cell>
          <cell r="F1115" t="str">
            <v>26382232-3</v>
          </cell>
          <cell r="G1115" t="str">
            <v>Riverol Elejalde Diana Briggiitte</v>
          </cell>
          <cell r="H1115" t="str">
            <v>Cajero</v>
          </cell>
          <cell r="I1115">
            <v>3</v>
          </cell>
          <cell r="J1115">
            <v>28455418</v>
          </cell>
        </row>
        <row r="1116">
          <cell r="C1116" t="str">
            <v>50UD1</v>
          </cell>
          <cell r="D1116" t="str">
            <v>OXXO-Paseo Bulnes</v>
          </cell>
          <cell r="E1116" t="str">
            <v>No</v>
          </cell>
          <cell r="F1116" t="str">
            <v>27124121-6</v>
          </cell>
          <cell r="G1116" t="str">
            <v>Silva Garcia Yuri</v>
          </cell>
          <cell r="H1116" t="str">
            <v>Jefe De Sala</v>
          </cell>
          <cell r="I1116">
            <v>2</v>
          </cell>
          <cell r="J1116">
            <v>28455418</v>
          </cell>
        </row>
        <row r="1117">
          <cell r="C1117" t="str">
            <v>50UD1</v>
          </cell>
          <cell r="D1117" t="str">
            <v>OXXO-Paseo Bulnes</v>
          </cell>
          <cell r="E1117" t="str">
            <v>No</v>
          </cell>
          <cell r="F1117" t="str">
            <v>27413253-1</v>
          </cell>
          <cell r="G1117" t="str">
            <v>Anderi Toledo Amina Isabel</v>
          </cell>
          <cell r="H1117" t="str">
            <v>Cajero</v>
          </cell>
          <cell r="I1117">
            <v>3</v>
          </cell>
          <cell r="J1117">
            <v>28455418</v>
          </cell>
        </row>
        <row r="1118">
          <cell r="C1118" t="str">
            <v>501KO</v>
          </cell>
          <cell r="D1118" t="str">
            <v>OXXO-Talca 1</v>
          </cell>
          <cell r="E1118" t="str">
            <v>No</v>
          </cell>
          <cell r="F1118" t="str">
            <v>17819567-0</v>
          </cell>
          <cell r="G1118" t="str">
            <v>Villalobos Chiguailao Monica Nicole</v>
          </cell>
          <cell r="H1118" t="str">
            <v>Lider</v>
          </cell>
          <cell r="I1118">
            <v>1</v>
          </cell>
          <cell r="J1118">
            <v>27881148</v>
          </cell>
        </row>
        <row r="1119">
          <cell r="C1119" t="str">
            <v>501KO</v>
          </cell>
          <cell r="D1119" t="str">
            <v>OXXO-Talca 1</v>
          </cell>
          <cell r="E1119" t="str">
            <v>No</v>
          </cell>
          <cell r="F1119" t="str">
            <v>19045388-K</v>
          </cell>
          <cell r="G1119" t="str">
            <v>Saldivia Araya Rodrigo Esteban</v>
          </cell>
          <cell r="H1119" t="str">
            <v>Cajero</v>
          </cell>
          <cell r="I1119">
            <v>3</v>
          </cell>
          <cell r="J1119">
            <v>27881148</v>
          </cell>
        </row>
        <row r="1120">
          <cell r="C1120" t="str">
            <v>501KO</v>
          </cell>
          <cell r="D1120" t="str">
            <v>OXXO-Talca 1</v>
          </cell>
          <cell r="E1120" t="str">
            <v>No</v>
          </cell>
          <cell r="F1120" t="str">
            <v>25684545-8</v>
          </cell>
          <cell r="G1120" t="str">
            <v>Cedeño Rivas Cristmar Vanessa</v>
          </cell>
          <cell r="H1120" t="str">
            <v>Cajero</v>
          </cell>
          <cell r="I1120">
            <v>3</v>
          </cell>
          <cell r="J1120">
            <v>27881148</v>
          </cell>
        </row>
        <row r="1121">
          <cell r="C1121" t="str">
            <v>501KO</v>
          </cell>
          <cell r="D1121" t="str">
            <v>OXXO-Talca 1</v>
          </cell>
          <cell r="E1121" t="str">
            <v>No</v>
          </cell>
          <cell r="F1121" t="str">
            <v>26122053-9</v>
          </cell>
          <cell r="G1121" t="str">
            <v>Romero Moreno Asnoldo Andres</v>
          </cell>
          <cell r="H1121" t="str">
            <v>Cajero</v>
          </cell>
          <cell r="I1121">
            <v>3</v>
          </cell>
          <cell r="J1121">
            <v>27881148</v>
          </cell>
        </row>
        <row r="1122">
          <cell r="C1122" t="str">
            <v>501KO</v>
          </cell>
          <cell r="D1122" t="str">
            <v>OXXO-Talca 1</v>
          </cell>
          <cell r="E1122" t="str">
            <v>No</v>
          </cell>
          <cell r="F1122" t="str">
            <v>26513584-6</v>
          </cell>
          <cell r="G1122" t="str">
            <v>Sangronis . Soraima Del Carmen</v>
          </cell>
          <cell r="H1122" t="str">
            <v>Cajero</v>
          </cell>
          <cell r="I1122">
            <v>3</v>
          </cell>
          <cell r="J1122">
            <v>27881148</v>
          </cell>
        </row>
        <row r="1123">
          <cell r="C1123" t="str">
            <v>50WIL</v>
          </cell>
          <cell r="D1123" t="str">
            <v>OXXO-Carlos Wilson</v>
          </cell>
          <cell r="E1123" t="str">
            <v>No</v>
          </cell>
          <cell r="F1123" t="str">
            <v>13065248-4</v>
          </cell>
          <cell r="G1123" t="str">
            <v>Salazar Watkins Maritza Fabiola</v>
          </cell>
          <cell r="H1123" t="str">
            <v>Cajero</v>
          </cell>
          <cell r="I1123">
            <v>3</v>
          </cell>
          <cell r="J1123">
            <v>27790539</v>
          </cell>
        </row>
        <row r="1124">
          <cell r="C1124" t="str">
            <v>50WIL</v>
          </cell>
          <cell r="D1124" t="str">
            <v>OXXO-Carlos Wilson</v>
          </cell>
          <cell r="E1124" t="str">
            <v>No</v>
          </cell>
          <cell r="F1124" t="str">
            <v>19055700-6</v>
          </cell>
          <cell r="G1124" t="str">
            <v>Cid Rojas Margarita Abelina</v>
          </cell>
          <cell r="H1124" t="str">
            <v>Jefe De Sala</v>
          </cell>
          <cell r="I1124">
            <v>2</v>
          </cell>
          <cell r="J1124">
            <v>27790539</v>
          </cell>
        </row>
        <row r="1125">
          <cell r="C1125" t="str">
            <v>50WIL</v>
          </cell>
          <cell r="D1125" t="str">
            <v>OXXO-Carlos Wilson</v>
          </cell>
          <cell r="E1125" t="str">
            <v>No</v>
          </cell>
          <cell r="F1125" t="str">
            <v>26909614-4</v>
          </cell>
          <cell r="G1125" t="str">
            <v>Rojas Conoropo Yetsy Vanessa</v>
          </cell>
          <cell r="H1125" t="str">
            <v>Lider</v>
          </cell>
          <cell r="I1125">
            <v>1</v>
          </cell>
          <cell r="J1125">
            <v>27790539</v>
          </cell>
        </row>
        <row r="1126">
          <cell r="C1126" t="str">
            <v>50WIL</v>
          </cell>
          <cell r="D1126" t="str">
            <v>OXXO-Carlos Wilson</v>
          </cell>
          <cell r="E1126" t="str">
            <v>No</v>
          </cell>
          <cell r="F1126" t="str">
            <v>27715238-K</v>
          </cell>
          <cell r="G1126" t="str">
            <v>Arteaga Pineda Alenys Margarita</v>
          </cell>
          <cell r="H1126" t="str">
            <v>Cajero</v>
          </cell>
          <cell r="I1126">
            <v>3</v>
          </cell>
          <cell r="J1126">
            <v>27790539</v>
          </cell>
        </row>
        <row r="1127">
          <cell r="C1127" t="str">
            <v>50IVB</v>
          </cell>
          <cell r="D1127" t="str">
            <v>OXXO-Irarrazaval - Bustamante</v>
          </cell>
          <cell r="E1127" t="str">
            <v>No</v>
          </cell>
          <cell r="F1127" t="str">
            <v>20579963-K</v>
          </cell>
          <cell r="G1127" t="str">
            <v>Argandoña Lopez Denisse Javiera</v>
          </cell>
          <cell r="H1127" t="str">
            <v>Cajero</v>
          </cell>
          <cell r="I1127">
            <v>3</v>
          </cell>
          <cell r="J1127">
            <v>27719857</v>
          </cell>
        </row>
        <row r="1128">
          <cell r="C1128" t="str">
            <v>50IVB</v>
          </cell>
          <cell r="D1128" t="str">
            <v>OXXO-Irarrazaval - Bustamante</v>
          </cell>
          <cell r="E1128" t="str">
            <v>No</v>
          </cell>
          <cell r="F1128" t="str">
            <v>20746048-6</v>
          </cell>
          <cell r="G1128" t="str">
            <v>Bravo Fonseca Angelle Cristina</v>
          </cell>
          <cell r="H1128" t="str">
            <v>Cajero</v>
          </cell>
          <cell r="I1128">
            <v>3</v>
          </cell>
          <cell r="J1128">
            <v>27719857</v>
          </cell>
        </row>
        <row r="1129">
          <cell r="C1129" t="str">
            <v>50IVB</v>
          </cell>
          <cell r="D1129" t="str">
            <v>OXXO-Irarrazaval - Bustamante</v>
          </cell>
          <cell r="E1129" t="str">
            <v>No</v>
          </cell>
          <cell r="F1129" t="str">
            <v>21070527-9</v>
          </cell>
          <cell r="G1129" t="str">
            <v>Osses Espinosa Isidora Valentina</v>
          </cell>
          <cell r="H1129" t="str">
            <v>Cajero</v>
          </cell>
          <cell r="I1129">
            <v>3</v>
          </cell>
          <cell r="J1129">
            <v>27719857</v>
          </cell>
        </row>
        <row r="1130">
          <cell r="C1130" t="str">
            <v>50IVB</v>
          </cell>
          <cell r="D1130" t="str">
            <v>OXXO-Irarrazaval - Bustamante</v>
          </cell>
          <cell r="E1130" t="str">
            <v>No</v>
          </cell>
          <cell r="F1130" t="str">
            <v>27051137-6</v>
          </cell>
          <cell r="G1130" t="str">
            <v>Sanchez Silva Sergio Alejandro</v>
          </cell>
          <cell r="H1130" t="str">
            <v>Lider</v>
          </cell>
          <cell r="I1130">
            <v>1</v>
          </cell>
          <cell r="J1130">
            <v>27719857</v>
          </cell>
        </row>
        <row r="1131">
          <cell r="C1131" t="str">
            <v>50IVB</v>
          </cell>
          <cell r="D1131" t="str">
            <v>OXXO-Irarrazaval - Bustamante</v>
          </cell>
          <cell r="E1131" t="str">
            <v>No</v>
          </cell>
          <cell r="F1131" t="str">
            <v>27232751-3</v>
          </cell>
          <cell r="G1131" t="str">
            <v>Cantor Garcias Evelyn</v>
          </cell>
          <cell r="H1131" t="str">
            <v>Cajero</v>
          </cell>
          <cell r="I1131">
            <v>3</v>
          </cell>
          <cell r="J1131">
            <v>27719857</v>
          </cell>
        </row>
        <row r="1132">
          <cell r="C1132" t="str">
            <v>50OAP</v>
          </cell>
          <cell r="D1132" t="str">
            <v>OXXO-Almirante Pastene</v>
          </cell>
          <cell r="E1132" t="str">
            <v>No</v>
          </cell>
          <cell r="F1132" t="str">
            <v>16333477-1</v>
          </cell>
          <cell r="G1132" t="str">
            <v>Zamora Tapia Marcos</v>
          </cell>
          <cell r="H1132" t="str">
            <v>Jefe De Sala</v>
          </cell>
          <cell r="I1132">
            <v>2</v>
          </cell>
          <cell r="J1132">
            <v>27534896</v>
          </cell>
        </row>
        <row r="1133">
          <cell r="C1133" t="str">
            <v>50OAP</v>
          </cell>
          <cell r="D1133" t="str">
            <v>OXXO-Almirante Pastene</v>
          </cell>
          <cell r="E1133" t="str">
            <v>No</v>
          </cell>
          <cell r="F1133" t="str">
            <v>19161074-1</v>
          </cell>
          <cell r="G1133" t="str">
            <v>Vargas Castro Marjorie Scarlet</v>
          </cell>
          <cell r="H1133" t="str">
            <v>Cajero</v>
          </cell>
          <cell r="I1133">
            <v>3</v>
          </cell>
          <cell r="J1133">
            <v>27534896</v>
          </cell>
        </row>
        <row r="1134">
          <cell r="C1134" t="str">
            <v>50UPK</v>
          </cell>
          <cell r="D1134" t="str">
            <v>OXXO-Quilicura 1</v>
          </cell>
          <cell r="E1134" t="str">
            <v>No</v>
          </cell>
          <cell r="F1134" t="str">
            <v>17425514-8</v>
          </cell>
          <cell r="G1134" t="str">
            <v>Rodriquez Quiero Marianela Ester</v>
          </cell>
          <cell r="H1134" t="str">
            <v>Jefe De Sala</v>
          </cell>
          <cell r="I1134">
            <v>2</v>
          </cell>
          <cell r="J1134">
            <v>27514793</v>
          </cell>
        </row>
        <row r="1135">
          <cell r="C1135" t="str">
            <v>50UPK</v>
          </cell>
          <cell r="D1135" t="str">
            <v>OXXO-Quilicura 1</v>
          </cell>
          <cell r="E1135" t="str">
            <v>No</v>
          </cell>
          <cell r="F1135" t="str">
            <v>21149290-2</v>
          </cell>
          <cell r="G1135" t="str">
            <v>Sanhueza Carter Michelle Antonia</v>
          </cell>
          <cell r="H1135" t="str">
            <v>Jefe De Sala</v>
          </cell>
          <cell r="I1135">
            <v>2</v>
          </cell>
          <cell r="J1135">
            <v>27514793</v>
          </cell>
        </row>
        <row r="1136">
          <cell r="C1136" t="str">
            <v>50UPK</v>
          </cell>
          <cell r="D1136" t="str">
            <v>OXXO-Quilicura 1</v>
          </cell>
          <cell r="E1136" t="str">
            <v>No</v>
          </cell>
          <cell r="F1136" t="str">
            <v>21421035-5</v>
          </cell>
          <cell r="G1136" t="str">
            <v>Arellano Ibarra Kiara Paola</v>
          </cell>
          <cell r="H1136" t="str">
            <v>Cajero</v>
          </cell>
          <cell r="I1136">
            <v>3</v>
          </cell>
          <cell r="J1136">
            <v>27514793</v>
          </cell>
        </row>
        <row r="1137">
          <cell r="C1137" t="str">
            <v>50UPK</v>
          </cell>
          <cell r="D1137" t="str">
            <v>OXXO-Quilicura 1</v>
          </cell>
          <cell r="E1137" t="str">
            <v>No</v>
          </cell>
          <cell r="F1137" t="str">
            <v>21826019-5</v>
          </cell>
          <cell r="G1137" t="str">
            <v>Orrego Ugarte Ariel Alexander</v>
          </cell>
          <cell r="H1137" t="str">
            <v>Cajero</v>
          </cell>
          <cell r="I1137">
            <v>3</v>
          </cell>
          <cell r="J1137">
            <v>27514793</v>
          </cell>
        </row>
        <row r="1138">
          <cell r="C1138" t="str">
            <v>50UPK</v>
          </cell>
          <cell r="D1138" t="str">
            <v>OXXO-Quilicura 1</v>
          </cell>
          <cell r="E1138" t="str">
            <v>No</v>
          </cell>
          <cell r="F1138" t="str">
            <v>25935018-2</v>
          </cell>
          <cell r="G1138" t="str">
            <v>Suarez Rios Jose Alberto</v>
          </cell>
          <cell r="H1138" t="str">
            <v>Lider</v>
          </cell>
          <cell r="I1138">
            <v>1</v>
          </cell>
          <cell r="J1138">
            <v>27514793</v>
          </cell>
        </row>
        <row r="1139">
          <cell r="C1139" t="str">
            <v>50NF1</v>
          </cell>
          <cell r="D1139" t="str">
            <v>OXXO-13 Norte</v>
          </cell>
          <cell r="E1139" t="str">
            <v>No</v>
          </cell>
          <cell r="F1139" t="str">
            <v>15764582-K</v>
          </cell>
          <cell r="G1139" t="str">
            <v>Olate Medalla Karen Andrea</v>
          </cell>
          <cell r="H1139" t="str">
            <v>Cajero</v>
          </cell>
          <cell r="I1139">
            <v>3</v>
          </cell>
          <cell r="J1139">
            <v>27417835</v>
          </cell>
        </row>
        <row r="1140">
          <cell r="C1140" t="str">
            <v>50NF1</v>
          </cell>
          <cell r="D1140" t="str">
            <v>OXXO-13 Norte</v>
          </cell>
          <cell r="E1140" t="str">
            <v>No</v>
          </cell>
          <cell r="F1140" t="str">
            <v>19336639-2</v>
          </cell>
          <cell r="G1140" t="str">
            <v>Arredondo Quezada Maria Jose</v>
          </cell>
          <cell r="H1140" t="str">
            <v>Jefe De Sala</v>
          </cell>
          <cell r="I1140">
            <v>2</v>
          </cell>
          <cell r="J1140">
            <v>27417835</v>
          </cell>
        </row>
        <row r="1141">
          <cell r="C1141" t="str">
            <v>50NF1</v>
          </cell>
          <cell r="D1141" t="str">
            <v>OXXO-13 Norte</v>
          </cell>
          <cell r="E1141" t="str">
            <v>No</v>
          </cell>
          <cell r="F1141" t="str">
            <v>26685027-1</v>
          </cell>
          <cell r="G1141" t="str">
            <v>Sanchez Hernandez Gloria Stefani</v>
          </cell>
          <cell r="H1141" t="str">
            <v>Jefe De Sala</v>
          </cell>
          <cell r="I1141">
            <v>2</v>
          </cell>
          <cell r="J1141">
            <v>27417835</v>
          </cell>
        </row>
        <row r="1142">
          <cell r="C1142" t="str">
            <v>50NF1</v>
          </cell>
          <cell r="D1142" t="str">
            <v>OXXO-13 Norte</v>
          </cell>
          <cell r="E1142" t="str">
            <v>No</v>
          </cell>
          <cell r="F1142" t="str">
            <v>27189711-1</v>
          </cell>
          <cell r="G1142" t="str">
            <v>Galue Ramirez Edurwin Anibal</v>
          </cell>
          <cell r="H1142" t="str">
            <v>Lider</v>
          </cell>
          <cell r="I1142">
            <v>1</v>
          </cell>
          <cell r="J1142">
            <v>27417835</v>
          </cell>
        </row>
        <row r="1143">
          <cell r="C1143" t="str">
            <v>50PFO</v>
          </cell>
          <cell r="D1143" t="str">
            <v>OXXO-Pedro Fontova</v>
          </cell>
          <cell r="E1143" t="str">
            <v>No</v>
          </cell>
          <cell r="F1143" t="str">
            <v>21664041-1</v>
          </cell>
          <cell r="G1143" t="str">
            <v>Mena Gatica Ayelen Ignacia</v>
          </cell>
          <cell r="H1143" t="str">
            <v>Jefe De Sala</v>
          </cell>
          <cell r="I1143">
            <v>2</v>
          </cell>
          <cell r="J1143">
            <v>27394737</v>
          </cell>
        </row>
        <row r="1144">
          <cell r="C1144" t="str">
            <v>50PFO</v>
          </cell>
          <cell r="D1144" t="str">
            <v>OXXO-Pedro Fontova</v>
          </cell>
          <cell r="E1144" t="str">
            <v>No</v>
          </cell>
          <cell r="F1144" t="str">
            <v>21780646-1</v>
          </cell>
          <cell r="G1144" t="str">
            <v>Gonzalez Cisternas Renata Elizabeth</v>
          </cell>
          <cell r="H1144" t="str">
            <v>Cajero</v>
          </cell>
          <cell r="I1144">
            <v>3</v>
          </cell>
          <cell r="J1144">
            <v>27394737</v>
          </cell>
        </row>
        <row r="1145">
          <cell r="C1145" t="str">
            <v>50PFO</v>
          </cell>
          <cell r="D1145" t="str">
            <v>OXXO-Pedro Fontova</v>
          </cell>
          <cell r="E1145" t="str">
            <v>No</v>
          </cell>
          <cell r="F1145" t="str">
            <v>25535192-3</v>
          </cell>
          <cell r="G1145" t="str">
            <v>Lenis Gomez Maryuri</v>
          </cell>
          <cell r="H1145" t="str">
            <v>Lider</v>
          </cell>
          <cell r="I1145">
            <v>1</v>
          </cell>
          <cell r="J1145">
            <v>27394737</v>
          </cell>
        </row>
        <row r="1146">
          <cell r="C1146" t="str">
            <v>50PFO</v>
          </cell>
          <cell r="D1146" t="str">
            <v>OXXO-Pedro Fontova</v>
          </cell>
          <cell r="E1146" t="str">
            <v>No</v>
          </cell>
          <cell r="F1146" t="str">
            <v>26910645-K</v>
          </cell>
          <cell r="G1146" t="str">
            <v>Paredes Morel Kendy Mercedes</v>
          </cell>
          <cell r="H1146" t="str">
            <v>Cajero</v>
          </cell>
          <cell r="I1146">
            <v>3</v>
          </cell>
          <cell r="J1146">
            <v>27394737</v>
          </cell>
        </row>
        <row r="1147">
          <cell r="C1147" t="str">
            <v>50PFO</v>
          </cell>
          <cell r="D1147" t="str">
            <v>OXXO-Pedro Fontova</v>
          </cell>
          <cell r="E1147" t="str">
            <v>No</v>
          </cell>
          <cell r="F1147" t="str">
            <v>27959704-4</v>
          </cell>
          <cell r="G1147" t="str">
            <v>Colmenares De Cario Regina Coromoto</v>
          </cell>
          <cell r="H1147" t="str">
            <v>Cajero</v>
          </cell>
          <cell r="I1147">
            <v>3</v>
          </cell>
          <cell r="J1147">
            <v>27394737</v>
          </cell>
        </row>
        <row r="1148">
          <cell r="C1148" t="str">
            <v>50VAL</v>
          </cell>
          <cell r="D1148" t="str">
            <v>OXXO-Vespucio - Albacete</v>
          </cell>
          <cell r="E1148" t="str">
            <v>No</v>
          </cell>
          <cell r="F1148" t="str">
            <v>17376032-9</v>
          </cell>
          <cell r="G1148" t="str">
            <v>Poblete Olguin Alejandra Del Pilar</v>
          </cell>
          <cell r="H1148" t="str">
            <v>Lider</v>
          </cell>
          <cell r="I1148">
            <v>1</v>
          </cell>
          <cell r="J1148">
            <v>27261422</v>
          </cell>
        </row>
        <row r="1149">
          <cell r="C1149" t="str">
            <v>50VAL</v>
          </cell>
          <cell r="D1149" t="str">
            <v>OXXO-Vespucio - Albacete</v>
          </cell>
          <cell r="E1149" t="str">
            <v>No</v>
          </cell>
          <cell r="F1149" t="str">
            <v>18993286-3</v>
          </cell>
          <cell r="G1149" t="str">
            <v>Sobarzo Gallardo Paula Francisca</v>
          </cell>
          <cell r="H1149" t="str">
            <v>Jefe De Sala</v>
          </cell>
          <cell r="I1149">
            <v>2</v>
          </cell>
          <cell r="J1149">
            <v>27261422</v>
          </cell>
        </row>
        <row r="1150">
          <cell r="C1150" t="str">
            <v>50VAL</v>
          </cell>
          <cell r="D1150" t="str">
            <v>OXXO-Vespucio - Albacete</v>
          </cell>
          <cell r="E1150" t="str">
            <v>No</v>
          </cell>
          <cell r="F1150" t="str">
            <v>19984394-K</v>
          </cell>
          <cell r="G1150" t="str">
            <v>Sandoval Fuentes Barbara Griselle</v>
          </cell>
          <cell r="H1150" t="str">
            <v>Cajero</v>
          </cell>
          <cell r="I1150">
            <v>3</v>
          </cell>
          <cell r="J1150">
            <v>27261422</v>
          </cell>
        </row>
        <row r="1151">
          <cell r="C1151" t="str">
            <v>50VAL</v>
          </cell>
          <cell r="D1151" t="str">
            <v>OXXO-Vespucio - Albacete</v>
          </cell>
          <cell r="E1151" t="str">
            <v>No</v>
          </cell>
          <cell r="F1151" t="str">
            <v>20395216-3</v>
          </cell>
          <cell r="G1151" t="str">
            <v>Torres Orellana Vania Constanza</v>
          </cell>
          <cell r="H1151" t="str">
            <v>Cajero</v>
          </cell>
          <cell r="I1151">
            <v>3</v>
          </cell>
          <cell r="J1151">
            <v>27261422</v>
          </cell>
        </row>
        <row r="1152">
          <cell r="C1152" t="str">
            <v>50VAL</v>
          </cell>
          <cell r="D1152" t="str">
            <v>OXXO-Vespucio - Albacete</v>
          </cell>
          <cell r="E1152" t="str">
            <v>No</v>
          </cell>
          <cell r="F1152" t="str">
            <v>20801400-5</v>
          </cell>
          <cell r="G1152" t="str">
            <v>Morales Mella Constanza Del Pilar</v>
          </cell>
          <cell r="H1152" t="str">
            <v>Cajero</v>
          </cell>
          <cell r="I1152">
            <v>3</v>
          </cell>
          <cell r="J1152">
            <v>27261422</v>
          </cell>
        </row>
        <row r="1153">
          <cell r="C1153" t="str">
            <v>50VAL</v>
          </cell>
          <cell r="D1153" t="str">
            <v>OXXO-Vespucio - Albacete</v>
          </cell>
          <cell r="E1153" t="str">
            <v>No</v>
          </cell>
          <cell r="F1153" t="str">
            <v>21777404-7</v>
          </cell>
          <cell r="G1153" t="str">
            <v>Ñanculeo Jara Millaray Rayen</v>
          </cell>
          <cell r="H1153" t="str">
            <v>Cajero</v>
          </cell>
          <cell r="I1153">
            <v>3</v>
          </cell>
          <cell r="J1153">
            <v>27261422</v>
          </cell>
        </row>
        <row r="1154">
          <cell r="C1154" t="str">
            <v>50EFH</v>
          </cell>
          <cell r="D1154" t="str">
            <v>OXXO-Placa La Dehesa</v>
          </cell>
          <cell r="E1154" t="str">
            <v>No</v>
          </cell>
          <cell r="F1154" t="str">
            <v>18765844-6</v>
          </cell>
          <cell r="G1154" t="str">
            <v>Orellana Cuevas Mariana Leticia</v>
          </cell>
          <cell r="H1154" t="str">
            <v>Cajero</v>
          </cell>
          <cell r="I1154">
            <v>3</v>
          </cell>
          <cell r="J1154">
            <v>27033573</v>
          </cell>
        </row>
        <row r="1155">
          <cell r="C1155" t="str">
            <v>50EFH</v>
          </cell>
          <cell r="D1155" t="str">
            <v>OXXO-Placa La Dehesa</v>
          </cell>
          <cell r="E1155" t="str">
            <v>No</v>
          </cell>
          <cell r="F1155" t="str">
            <v>26628100-5</v>
          </cell>
          <cell r="G1155" t="str">
            <v>Llovera Sanchez Nervis Lisdoska</v>
          </cell>
          <cell r="H1155" t="str">
            <v>Jefe De Sala</v>
          </cell>
          <cell r="I1155">
            <v>2</v>
          </cell>
          <cell r="J1155">
            <v>27033573</v>
          </cell>
        </row>
        <row r="1156">
          <cell r="C1156" t="str">
            <v>50EFH</v>
          </cell>
          <cell r="D1156" t="str">
            <v>OXXO-Placa La Dehesa</v>
          </cell>
          <cell r="E1156" t="str">
            <v>No</v>
          </cell>
          <cell r="F1156" t="str">
            <v>28028814-4</v>
          </cell>
          <cell r="G1156" t="str">
            <v>Rodriguez Correa Julian Alberto</v>
          </cell>
          <cell r="H1156" t="str">
            <v>Cajero</v>
          </cell>
          <cell r="I1156">
            <v>3</v>
          </cell>
          <cell r="J1156">
            <v>27033573</v>
          </cell>
        </row>
        <row r="1157">
          <cell r="C1157" t="str">
            <v>50OOC</v>
          </cell>
          <cell r="D1157" t="str">
            <v>OXXO-Viña Del Mar</v>
          </cell>
          <cell r="E1157" t="str">
            <v>No</v>
          </cell>
          <cell r="F1157" t="str">
            <v>18831541-0</v>
          </cell>
          <cell r="G1157" t="str">
            <v>Arze Curihuentro Graciela Fernanda</v>
          </cell>
          <cell r="H1157" t="str">
            <v>Cajero</v>
          </cell>
          <cell r="I1157">
            <v>3</v>
          </cell>
          <cell r="J1157">
            <v>27033498</v>
          </cell>
        </row>
        <row r="1158">
          <cell r="C1158" t="str">
            <v>50OOC</v>
          </cell>
          <cell r="D1158" t="str">
            <v>OXXO-Viña Del Mar</v>
          </cell>
          <cell r="E1158" t="str">
            <v>No</v>
          </cell>
          <cell r="F1158" t="str">
            <v>20479306-9</v>
          </cell>
          <cell r="G1158" t="str">
            <v>Huerta Maureira Francisco</v>
          </cell>
          <cell r="H1158" t="str">
            <v>Cajero</v>
          </cell>
          <cell r="I1158">
            <v>3</v>
          </cell>
          <cell r="J1158">
            <v>27033498</v>
          </cell>
        </row>
        <row r="1159">
          <cell r="C1159" t="str">
            <v>50OOC</v>
          </cell>
          <cell r="D1159" t="str">
            <v>OXXO-Viña Del Mar</v>
          </cell>
          <cell r="E1159" t="str">
            <v>No</v>
          </cell>
          <cell r="F1159" t="str">
            <v>20921709-0</v>
          </cell>
          <cell r="G1159" t="str">
            <v>Zapata Palma Bayron Luis</v>
          </cell>
          <cell r="H1159" t="str">
            <v>Cajero</v>
          </cell>
          <cell r="I1159">
            <v>3</v>
          </cell>
          <cell r="J1159">
            <v>27033498</v>
          </cell>
        </row>
        <row r="1160">
          <cell r="C1160" t="str">
            <v>50OOC</v>
          </cell>
          <cell r="D1160" t="str">
            <v>OXXO-Viña Del Mar</v>
          </cell>
          <cell r="E1160" t="str">
            <v>No</v>
          </cell>
          <cell r="F1160" t="str">
            <v>20949537-6</v>
          </cell>
          <cell r="G1160" t="str">
            <v>Gonzalez Gonzalez Barbara Solange</v>
          </cell>
          <cell r="H1160" t="str">
            <v>Jefe De Sala</v>
          </cell>
          <cell r="I1160">
            <v>2</v>
          </cell>
          <cell r="J1160">
            <v>27033498</v>
          </cell>
        </row>
        <row r="1161">
          <cell r="C1161" t="str">
            <v>50OOC</v>
          </cell>
          <cell r="D1161" t="str">
            <v>OXXO-Viña Del Mar</v>
          </cell>
          <cell r="E1161" t="str">
            <v>No</v>
          </cell>
          <cell r="F1161" t="str">
            <v>25615620-2</v>
          </cell>
          <cell r="G1161" t="str">
            <v>Torres De Andrade Carlos Manuel</v>
          </cell>
          <cell r="H1161" t="str">
            <v>Lider</v>
          </cell>
          <cell r="I1161">
            <v>1</v>
          </cell>
          <cell r="J1161">
            <v>27033498</v>
          </cell>
        </row>
        <row r="1162">
          <cell r="C1162" t="str">
            <v>50XC6</v>
          </cell>
          <cell r="D1162" t="str">
            <v>OXXO-Alto Macul</v>
          </cell>
          <cell r="E1162" t="str">
            <v>No</v>
          </cell>
          <cell r="F1162" t="str">
            <v>18459240-1</v>
          </cell>
          <cell r="G1162" t="str">
            <v>Farran Martinez Gabriel</v>
          </cell>
          <cell r="H1162" t="str">
            <v>Cajero</v>
          </cell>
          <cell r="I1162">
            <v>3</v>
          </cell>
          <cell r="J1162">
            <v>26633070</v>
          </cell>
        </row>
        <row r="1163">
          <cell r="C1163" t="str">
            <v>50XC6</v>
          </cell>
          <cell r="D1163" t="str">
            <v>OXXO-Alto Macul</v>
          </cell>
          <cell r="E1163" t="str">
            <v>No</v>
          </cell>
          <cell r="F1163" t="str">
            <v>19174182-K</v>
          </cell>
          <cell r="G1163" t="str">
            <v>Ibañez Espinoza Nicolas Eduardo</v>
          </cell>
          <cell r="H1163" t="str">
            <v>Cajero</v>
          </cell>
          <cell r="I1163">
            <v>3</v>
          </cell>
          <cell r="J1163">
            <v>26633070</v>
          </cell>
        </row>
        <row r="1164">
          <cell r="C1164" t="str">
            <v>50XC6</v>
          </cell>
          <cell r="D1164" t="str">
            <v>OXXO-Alto Macul</v>
          </cell>
          <cell r="E1164" t="str">
            <v>No</v>
          </cell>
          <cell r="F1164" t="str">
            <v>20968545-0</v>
          </cell>
          <cell r="G1164" t="str">
            <v>Onell Barriga Benjamin Andres</v>
          </cell>
          <cell r="H1164" t="str">
            <v>Jefe De Sala</v>
          </cell>
          <cell r="I1164">
            <v>2</v>
          </cell>
          <cell r="J1164">
            <v>26633070</v>
          </cell>
        </row>
        <row r="1165">
          <cell r="C1165" t="str">
            <v>50XC6</v>
          </cell>
          <cell r="D1165" t="str">
            <v>OXXO-Alto Macul</v>
          </cell>
          <cell r="E1165" t="str">
            <v>No</v>
          </cell>
          <cell r="F1165" t="str">
            <v>21160182-5</v>
          </cell>
          <cell r="G1165" t="str">
            <v>Maldonado Meza Pia Ignacia</v>
          </cell>
          <cell r="H1165" t="str">
            <v>Cajero</v>
          </cell>
          <cell r="I1165">
            <v>3</v>
          </cell>
          <cell r="J1165">
            <v>26633070</v>
          </cell>
        </row>
        <row r="1166">
          <cell r="C1166" t="str">
            <v>50XC6</v>
          </cell>
          <cell r="D1166" t="str">
            <v>OXXO-Alto Macul</v>
          </cell>
          <cell r="E1166" t="str">
            <v>No</v>
          </cell>
          <cell r="F1166" t="str">
            <v>26717022-3</v>
          </cell>
          <cell r="G1166" t="str">
            <v>Paz Paez Marshall Jesus</v>
          </cell>
          <cell r="H1166" t="str">
            <v>Lider</v>
          </cell>
          <cell r="I1166">
            <v>1</v>
          </cell>
          <cell r="J1166">
            <v>26633070</v>
          </cell>
        </row>
        <row r="1167">
          <cell r="C1167" t="str">
            <v>50B51</v>
          </cell>
          <cell r="D1167" t="str">
            <v>OXXO-Los Talaveras</v>
          </cell>
          <cell r="E1167" t="str">
            <v>No</v>
          </cell>
          <cell r="F1167" t="str">
            <v>16169598-K</v>
          </cell>
          <cell r="G1167" t="str">
            <v>Correa Valdes Cecilia</v>
          </cell>
          <cell r="H1167" t="str">
            <v>Jefe De Sala</v>
          </cell>
          <cell r="I1167">
            <v>2</v>
          </cell>
          <cell r="J1167">
            <v>26526329</v>
          </cell>
        </row>
        <row r="1168">
          <cell r="C1168" t="str">
            <v>50B51</v>
          </cell>
          <cell r="D1168" t="str">
            <v>OXXO-Los Talaveras</v>
          </cell>
          <cell r="E1168" t="str">
            <v>No</v>
          </cell>
          <cell r="F1168" t="str">
            <v>16346688-0</v>
          </cell>
          <cell r="G1168" t="str">
            <v>Mura Urzua Agatha Scarleth</v>
          </cell>
          <cell r="H1168" t="str">
            <v>Jefe De Sala</v>
          </cell>
          <cell r="I1168">
            <v>2</v>
          </cell>
          <cell r="J1168">
            <v>26526329</v>
          </cell>
        </row>
        <row r="1169">
          <cell r="C1169" t="str">
            <v>50B51</v>
          </cell>
          <cell r="D1169" t="str">
            <v>OXXO-Los Talaveras</v>
          </cell>
          <cell r="E1169" t="str">
            <v>No</v>
          </cell>
          <cell r="F1169" t="str">
            <v>22040270-3</v>
          </cell>
          <cell r="G1169" t="str">
            <v>Aquea Gonzalez Rene Francisco</v>
          </cell>
          <cell r="H1169" t="str">
            <v>Lider</v>
          </cell>
          <cell r="I1169">
            <v>1</v>
          </cell>
          <cell r="J1169">
            <v>26526329</v>
          </cell>
        </row>
        <row r="1170">
          <cell r="C1170" t="str">
            <v>50B51</v>
          </cell>
          <cell r="D1170" t="str">
            <v>OXXO-Los Talaveras</v>
          </cell>
          <cell r="E1170" t="str">
            <v>No</v>
          </cell>
          <cell r="F1170" t="str">
            <v>27232416-6</v>
          </cell>
          <cell r="G1170" t="str">
            <v>Valerio Rodriguez Alan Ever</v>
          </cell>
          <cell r="H1170" t="str">
            <v>Cajero</v>
          </cell>
          <cell r="I1170">
            <v>3</v>
          </cell>
          <cell r="J1170">
            <v>26526329</v>
          </cell>
        </row>
        <row r="1171">
          <cell r="C1171" t="str">
            <v>50MNO</v>
          </cell>
          <cell r="D1171" t="str">
            <v>OXXO-Manquehue Norte</v>
          </cell>
          <cell r="E1171" t="str">
            <v>No</v>
          </cell>
          <cell r="F1171" t="str">
            <v>11415306-0</v>
          </cell>
          <cell r="G1171" t="str">
            <v>Vergara Quimen Maria Zulema</v>
          </cell>
          <cell r="H1171" t="str">
            <v>Cajero</v>
          </cell>
          <cell r="I1171">
            <v>3</v>
          </cell>
          <cell r="J1171">
            <v>26288411</v>
          </cell>
        </row>
        <row r="1172">
          <cell r="C1172" t="str">
            <v>50MNO</v>
          </cell>
          <cell r="D1172" t="str">
            <v>OXXO-Manquehue Norte</v>
          </cell>
          <cell r="E1172" t="str">
            <v>No</v>
          </cell>
          <cell r="F1172" t="str">
            <v>17697562-8</v>
          </cell>
          <cell r="G1172" t="str">
            <v>Streeter Campos Sebastian</v>
          </cell>
          <cell r="H1172" t="str">
            <v>Cajero</v>
          </cell>
          <cell r="I1172">
            <v>3</v>
          </cell>
          <cell r="J1172">
            <v>26288411</v>
          </cell>
        </row>
        <row r="1173">
          <cell r="C1173" t="str">
            <v>50MNO</v>
          </cell>
          <cell r="D1173" t="str">
            <v>OXXO-Manquehue Norte</v>
          </cell>
          <cell r="E1173" t="str">
            <v>No</v>
          </cell>
          <cell r="F1173" t="str">
            <v>27402750-9</v>
          </cell>
          <cell r="G1173" t="str">
            <v>Bastidas Altuve Asmel Yeraldin</v>
          </cell>
          <cell r="H1173" t="str">
            <v>Cajero</v>
          </cell>
          <cell r="I1173">
            <v>3</v>
          </cell>
          <cell r="J1173">
            <v>26288411</v>
          </cell>
        </row>
        <row r="1174">
          <cell r="C1174" t="str">
            <v>50MNO</v>
          </cell>
          <cell r="D1174" t="str">
            <v>OXXO-Manquehue Norte</v>
          </cell>
          <cell r="E1174" t="str">
            <v>No</v>
          </cell>
          <cell r="F1174" t="str">
            <v>27538326-0</v>
          </cell>
          <cell r="G1174" t="str">
            <v>Delgado Quintero Yinell Ariana</v>
          </cell>
          <cell r="H1174" t="str">
            <v>Cajero</v>
          </cell>
          <cell r="I1174">
            <v>3</v>
          </cell>
          <cell r="J1174">
            <v>26288411</v>
          </cell>
        </row>
        <row r="1175">
          <cell r="C1175" t="str">
            <v>50MNO</v>
          </cell>
          <cell r="D1175" t="str">
            <v>OXXO-Manquehue Norte</v>
          </cell>
          <cell r="E1175" t="str">
            <v>No</v>
          </cell>
          <cell r="F1175" t="str">
            <v>28195433-4</v>
          </cell>
          <cell r="G1175" t="str">
            <v>Caldera Vidovic Andrea Paola</v>
          </cell>
          <cell r="H1175" t="str">
            <v>Cajero</v>
          </cell>
          <cell r="I1175">
            <v>3</v>
          </cell>
          <cell r="J1175">
            <v>26288411</v>
          </cell>
        </row>
        <row r="1176">
          <cell r="C1176" t="str">
            <v>50XWC</v>
          </cell>
          <cell r="D1176" t="str">
            <v>OXXO-Cerro El Plomo</v>
          </cell>
          <cell r="E1176" t="str">
            <v>No</v>
          </cell>
          <cell r="F1176" t="str">
            <v>16391113-2</v>
          </cell>
          <cell r="G1176" t="str">
            <v>Gutierrez Areneda Nathaly</v>
          </cell>
          <cell r="H1176" t="str">
            <v>Lider</v>
          </cell>
          <cell r="I1176">
            <v>1</v>
          </cell>
          <cell r="J1176">
            <v>25984447</v>
          </cell>
        </row>
        <row r="1177">
          <cell r="C1177" t="str">
            <v>50XWC</v>
          </cell>
          <cell r="D1177" t="str">
            <v>OXXO-Cerro El Plomo</v>
          </cell>
          <cell r="E1177" t="str">
            <v>No</v>
          </cell>
          <cell r="F1177" t="str">
            <v>16628981-5</v>
          </cell>
          <cell r="G1177" t="str">
            <v>Yañez Bassaletti Solange Erika</v>
          </cell>
          <cell r="H1177" t="str">
            <v>Jefe De Sala</v>
          </cell>
          <cell r="I1177">
            <v>2</v>
          </cell>
          <cell r="J1177">
            <v>25984447</v>
          </cell>
        </row>
        <row r="1178">
          <cell r="C1178" t="str">
            <v>50XWC</v>
          </cell>
          <cell r="D1178" t="str">
            <v>OXXO-Cerro El Plomo</v>
          </cell>
          <cell r="E1178" t="str">
            <v>No</v>
          </cell>
          <cell r="F1178" t="str">
            <v>19527807-5</v>
          </cell>
          <cell r="G1178" t="str">
            <v>Gonzalez Cisternas Alison</v>
          </cell>
          <cell r="H1178" t="str">
            <v>Jefe De Sala</v>
          </cell>
          <cell r="I1178">
            <v>2</v>
          </cell>
          <cell r="J1178">
            <v>25984447</v>
          </cell>
        </row>
        <row r="1179">
          <cell r="C1179" t="str">
            <v>50XWC</v>
          </cell>
          <cell r="D1179" t="str">
            <v>OXXO-Cerro El Plomo</v>
          </cell>
          <cell r="E1179" t="str">
            <v>No</v>
          </cell>
          <cell r="F1179" t="str">
            <v>25898998-8</v>
          </cell>
          <cell r="G1179" t="str">
            <v>Franco Cano Daniela</v>
          </cell>
          <cell r="H1179" t="str">
            <v>Cajero</v>
          </cell>
          <cell r="I1179">
            <v>3</v>
          </cell>
          <cell r="J1179">
            <v>25984447</v>
          </cell>
        </row>
        <row r="1180">
          <cell r="C1180" t="str">
            <v>50XWC</v>
          </cell>
          <cell r="D1180" t="str">
            <v>OXXO-Cerro El Plomo</v>
          </cell>
          <cell r="E1180" t="str">
            <v>No</v>
          </cell>
          <cell r="F1180" t="str">
            <v>26239093-4</v>
          </cell>
          <cell r="G1180" t="str">
            <v>Villamizar Gonzalez Karla Jeziel</v>
          </cell>
          <cell r="H1180" t="str">
            <v>Cajero</v>
          </cell>
          <cell r="I1180">
            <v>3</v>
          </cell>
          <cell r="J1180">
            <v>25984447</v>
          </cell>
        </row>
        <row r="1181">
          <cell r="C1181" t="str">
            <v>50FZZ</v>
          </cell>
          <cell r="D1181" t="str">
            <v>OXXO-Mirador Azul</v>
          </cell>
          <cell r="E1181" t="str">
            <v>No</v>
          </cell>
          <cell r="F1181" t="str">
            <v>09574141-K</v>
          </cell>
          <cell r="G1181" t="str">
            <v>Miranda Gonzalez Carmen Adela</v>
          </cell>
          <cell r="H1181" t="str">
            <v>Cajero</v>
          </cell>
          <cell r="I1181">
            <v>3</v>
          </cell>
          <cell r="J1181">
            <v>25879381</v>
          </cell>
        </row>
        <row r="1182">
          <cell r="C1182" t="str">
            <v>50FZZ</v>
          </cell>
          <cell r="D1182" t="str">
            <v>OXXO-Mirador Azul</v>
          </cell>
          <cell r="E1182" t="str">
            <v>No</v>
          </cell>
          <cell r="F1182" t="str">
            <v>16829732-7</v>
          </cell>
          <cell r="G1182" t="str">
            <v>Huenupan Llancafilo Ricardo Ivan</v>
          </cell>
          <cell r="H1182" t="str">
            <v>Lider</v>
          </cell>
          <cell r="I1182">
            <v>1</v>
          </cell>
          <cell r="J1182">
            <v>25879381</v>
          </cell>
        </row>
        <row r="1183">
          <cell r="C1183" t="str">
            <v>50FZZ</v>
          </cell>
          <cell r="D1183" t="str">
            <v>OXXO-Mirador Azul</v>
          </cell>
          <cell r="E1183" t="str">
            <v>No</v>
          </cell>
          <cell r="F1183" t="str">
            <v>17257148-4</v>
          </cell>
          <cell r="G1183" t="str">
            <v>Garrido Tapia Braulio Joaquin</v>
          </cell>
          <cell r="H1183" t="str">
            <v>Jefe De Sala</v>
          </cell>
          <cell r="I1183">
            <v>2</v>
          </cell>
          <cell r="J1183">
            <v>25879381</v>
          </cell>
        </row>
        <row r="1184">
          <cell r="C1184" t="str">
            <v>50FZZ</v>
          </cell>
          <cell r="D1184" t="str">
            <v>OXXO-Mirador Azul</v>
          </cell>
          <cell r="E1184" t="str">
            <v>No</v>
          </cell>
          <cell r="F1184" t="str">
            <v>25928668-9</v>
          </cell>
          <cell r="G1184" t="str">
            <v>Garcia Mata Sebastian Jesus</v>
          </cell>
          <cell r="H1184" t="str">
            <v>Cajero</v>
          </cell>
          <cell r="I1184">
            <v>3</v>
          </cell>
          <cell r="J1184">
            <v>25879381</v>
          </cell>
        </row>
        <row r="1185">
          <cell r="C1185" t="str">
            <v>50FZZ</v>
          </cell>
          <cell r="D1185" t="str">
            <v>OXXO-Mirador Azul</v>
          </cell>
          <cell r="E1185" t="str">
            <v>No</v>
          </cell>
          <cell r="F1185" t="str">
            <v>27807907-4</v>
          </cell>
          <cell r="G1185" t="str">
            <v>Hernandez Machado Massiel Marian</v>
          </cell>
          <cell r="H1185" t="str">
            <v>Jefe De Sala</v>
          </cell>
          <cell r="I1185">
            <v>2</v>
          </cell>
          <cell r="J1185">
            <v>25879381</v>
          </cell>
        </row>
        <row r="1186">
          <cell r="C1186" t="str">
            <v>50TFX</v>
          </cell>
          <cell r="D1186" t="str">
            <v>OXXO-Chesterton 1</v>
          </cell>
          <cell r="E1186" t="str">
            <v>No</v>
          </cell>
          <cell r="F1186" t="str">
            <v>07811133-K</v>
          </cell>
          <cell r="G1186" t="str">
            <v>Abarza Del Solar Sandra Margarita</v>
          </cell>
          <cell r="H1186" t="str">
            <v>Cajero</v>
          </cell>
          <cell r="I1186">
            <v>3</v>
          </cell>
          <cell r="J1186">
            <v>25435098</v>
          </cell>
        </row>
        <row r="1187">
          <cell r="C1187" t="str">
            <v>50TFX</v>
          </cell>
          <cell r="D1187" t="str">
            <v>OXXO-Chesterton 1</v>
          </cell>
          <cell r="E1187" t="str">
            <v>No</v>
          </cell>
          <cell r="F1187" t="str">
            <v>18621097-2</v>
          </cell>
          <cell r="G1187" t="str">
            <v>Ulloa Perez Matias</v>
          </cell>
          <cell r="H1187" t="str">
            <v>Cajero</v>
          </cell>
          <cell r="I1187">
            <v>3</v>
          </cell>
          <cell r="J1187">
            <v>25435098</v>
          </cell>
        </row>
        <row r="1188">
          <cell r="C1188" t="str">
            <v>50TFX</v>
          </cell>
          <cell r="D1188" t="str">
            <v>OXXO-Chesterton 1</v>
          </cell>
          <cell r="E1188" t="str">
            <v>No</v>
          </cell>
          <cell r="F1188" t="str">
            <v>25486782-9</v>
          </cell>
          <cell r="G1188" t="str">
            <v>Garcia Gutierrez Solayda</v>
          </cell>
          <cell r="H1188" t="str">
            <v>Cajero</v>
          </cell>
          <cell r="I1188">
            <v>3</v>
          </cell>
          <cell r="J1188">
            <v>25435098</v>
          </cell>
        </row>
        <row r="1189">
          <cell r="C1189" t="str">
            <v>50TFX</v>
          </cell>
          <cell r="D1189" t="str">
            <v>OXXO-Chesterton 1</v>
          </cell>
          <cell r="E1189" t="str">
            <v>No</v>
          </cell>
          <cell r="F1189" t="str">
            <v>25986050-4</v>
          </cell>
          <cell r="G1189" t="str">
            <v>Mendez Duran Alfonso Jose</v>
          </cell>
          <cell r="H1189" t="str">
            <v>Lider</v>
          </cell>
          <cell r="I1189">
            <v>1</v>
          </cell>
          <cell r="J1189">
            <v>25435098</v>
          </cell>
        </row>
        <row r="1190">
          <cell r="C1190" t="str">
            <v>50TFX</v>
          </cell>
          <cell r="D1190" t="str">
            <v>OXXO-Chesterton 1</v>
          </cell>
          <cell r="E1190" t="str">
            <v>No</v>
          </cell>
          <cell r="F1190" t="str">
            <v>25990839-6</v>
          </cell>
          <cell r="G1190" t="str">
            <v>Leal Lara Orney Esperanza</v>
          </cell>
          <cell r="H1190" t="str">
            <v>Jefe De Sala</v>
          </cell>
          <cell r="I1190">
            <v>2</v>
          </cell>
          <cell r="J1190">
            <v>25435098</v>
          </cell>
        </row>
        <row r="1191">
          <cell r="C1191" t="str">
            <v>50FTC</v>
          </cell>
          <cell r="D1191" t="str">
            <v>OXXO-San Eugenio</v>
          </cell>
          <cell r="E1191" t="str">
            <v>No</v>
          </cell>
          <cell r="F1191" t="str">
            <v>09605523-4</v>
          </cell>
          <cell r="G1191" t="str">
            <v>De La Barra Albornoz Rosa Lorena</v>
          </cell>
          <cell r="H1191" t="str">
            <v>Lider</v>
          </cell>
          <cell r="I1191">
            <v>1</v>
          </cell>
          <cell r="J1191">
            <v>25318086</v>
          </cell>
        </row>
        <row r="1192">
          <cell r="C1192" t="str">
            <v>50FTC</v>
          </cell>
          <cell r="D1192" t="str">
            <v>OXXO-San Eugenio</v>
          </cell>
          <cell r="E1192" t="str">
            <v>No</v>
          </cell>
          <cell r="F1192" t="str">
            <v>18991131-9</v>
          </cell>
          <cell r="G1192" t="str">
            <v>Arcos Mancilla Jean</v>
          </cell>
          <cell r="H1192" t="str">
            <v>Cajero</v>
          </cell>
          <cell r="I1192">
            <v>3</v>
          </cell>
          <cell r="J1192">
            <v>25318086</v>
          </cell>
        </row>
        <row r="1193">
          <cell r="C1193" t="str">
            <v>50FTC</v>
          </cell>
          <cell r="D1193" t="str">
            <v>OXXO-San Eugenio</v>
          </cell>
          <cell r="E1193" t="str">
            <v>No</v>
          </cell>
          <cell r="F1193" t="str">
            <v>19419547-8</v>
          </cell>
          <cell r="G1193" t="str">
            <v>Troncoso Valdes Carla Valezka</v>
          </cell>
          <cell r="H1193" t="str">
            <v>Jefe De Sala</v>
          </cell>
          <cell r="I1193">
            <v>2</v>
          </cell>
          <cell r="J1193">
            <v>25318086</v>
          </cell>
        </row>
        <row r="1194">
          <cell r="C1194" t="str">
            <v>50FTC</v>
          </cell>
          <cell r="D1194" t="str">
            <v>OXXO-San Eugenio</v>
          </cell>
          <cell r="E1194" t="str">
            <v>No</v>
          </cell>
          <cell r="F1194" t="str">
            <v>27484254-7</v>
          </cell>
          <cell r="G1194" t="str">
            <v>Rodriguez Virguez Keiver Jose</v>
          </cell>
          <cell r="H1194" t="str">
            <v>Cajero</v>
          </cell>
          <cell r="I1194">
            <v>3</v>
          </cell>
          <cell r="J1194">
            <v>25318086</v>
          </cell>
        </row>
        <row r="1195">
          <cell r="C1195" t="str">
            <v>506IM</v>
          </cell>
          <cell r="D1195" t="str">
            <v>OXXO-Mall Paseo Viña</v>
          </cell>
          <cell r="E1195" t="str">
            <v>No</v>
          </cell>
          <cell r="F1195" t="str">
            <v>12625488-1</v>
          </cell>
          <cell r="G1195" t="str">
            <v>Torres Jara Alejandra Janet</v>
          </cell>
          <cell r="H1195" t="str">
            <v>Jefe De Sala</v>
          </cell>
          <cell r="I1195">
            <v>2</v>
          </cell>
          <cell r="J1195">
            <v>23987268</v>
          </cell>
        </row>
        <row r="1196">
          <cell r="C1196" t="str">
            <v>506IM</v>
          </cell>
          <cell r="D1196" t="str">
            <v>OXXO-Mall Paseo Viña</v>
          </cell>
          <cell r="E1196" t="str">
            <v>No</v>
          </cell>
          <cell r="F1196" t="str">
            <v>27897956-3</v>
          </cell>
          <cell r="G1196" t="str">
            <v>Suarez Montero Maria De Los Angeles</v>
          </cell>
          <cell r="H1196" t="str">
            <v>Lider</v>
          </cell>
          <cell r="I1196">
            <v>1</v>
          </cell>
          <cell r="J1196">
            <v>23987268</v>
          </cell>
        </row>
        <row r="1197">
          <cell r="C1197" t="str">
            <v>50TEJ</v>
          </cell>
          <cell r="D1197" t="str">
            <v>OXXO-Mardoqueo Fernandez</v>
          </cell>
          <cell r="E1197" t="str">
            <v>No</v>
          </cell>
          <cell r="F1197" t="str">
            <v>13374362-6</v>
          </cell>
          <cell r="G1197" t="str">
            <v>Vallejos Inostroza Irma Soledad</v>
          </cell>
          <cell r="H1197" t="str">
            <v>Cajero</v>
          </cell>
          <cell r="I1197">
            <v>3</v>
          </cell>
          <cell r="J1197">
            <v>23161281</v>
          </cell>
        </row>
        <row r="1198">
          <cell r="C1198" t="str">
            <v>50TEJ</v>
          </cell>
          <cell r="D1198" t="str">
            <v>OXXO-Mardoqueo Fernandez</v>
          </cell>
          <cell r="E1198" t="str">
            <v>No</v>
          </cell>
          <cell r="F1198" t="str">
            <v>13900496-5</v>
          </cell>
          <cell r="G1198" t="str">
            <v>Duran Aravena Richard</v>
          </cell>
          <cell r="H1198" t="str">
            <v>Cajero</v>
          </cell>
          <cell r="I1198">
            <v>3</v>
          </cell>
          <cell r="J1198">
            <v>23161281</v>
          </cell>
        </row>
        <row r="1199">
          <cell r="C1199" t="str">
            <v>50TEJ</v>
          </cell>
          <cell r="D1199" t="str">
            <v>OXXO-Mardoqueo Fernandez</v>
          </cell>
          <cell r="E1199" t="str">
            <v>No</v>
          </cell>
          <cell r="F1199" t="str">
            <v>20832550-7</v>
          </cell>
          <cell r="G1199" t="str">
            <v>Aravena Nuñez Nayely</v>
          </cell>
          <cell r="H1199" t="str">
            <v>Jefe De Sala</v>
          </cell>
          <cell r="I1199">
            <v>2</v>
          </cell>
          <cell r="J1199">
            <v>23161281</v>
          </cell>
        </row>
        <row r="1200">
          <cell r="C1200" t="str">
            <v>50TEJ</v>
          </cell>
          <cell r="D1200" t="str">
            <v>OXXO-Mardoqueo Fernandez</v>
          </cell>
          <cell r="E1200" t="str">
            <v>No</v>
          </cell>
          <cell r="F1200" t="str">
            <v>26272269-4</v>
          </cell>
          <cell r="G1200" t="str">
            <v>Moreno Perez Neryi Dayareth</v>
          </cell>
          <cell r="H1200" t="str">
            <v>Jefe De Sala</v>
          </cell>
          <cell r="I1200">
            <v>2</v>
          </cell>
          <cell r="J1200">
            <v>23161281</v>
          </cell>
        </row>
        <row r="1201">
          <cell r="C1201" t="str">
            <v>50TEJ</v>
          </cell>
          <cell r="D1201" t="str">
            <v>OXXO-Mardoqueo Fernandez</v>
          </cell>
          <cell r="E1201" t="str">
            <v>No</v>
          </cell>
          <cell r="F1201" t="str">
            <v>26610632-7</v>
          </cell>
          <cell r="G1201" t="str">
            <v>Castillo Rivera Carlos Eduardo</v>
          </cell>
          <cell r="H1201" t="str">
            <v>Lider</v>
          </cell>
          <cell r="I1201">
            <v>1</v>
          </cell>
          <cell r="J1201">
            <v>23161281</v>
          </cell>
        </row>
        <row r="1202">
          <cell r="C1202" t="str">
            <v>50OTH</v>
          </cell>
          <cell r="D1202" t="str">
            <v>OKM-Luis Thayer Ojeda</v>
          </cell>
          <cell r="E1202" t="str">
            <v>No</v>
          </cell>
          <cell r="F1202" t="str">
            <v>20034764-1</v>
          </cell>
          <cell r="G1202" t="str">
            <v>Rodriguez Rodriguez Javiera Ailin</v>
          </cell>
          <cell r="H1202" t="str">
            <v>Cajero</v>
          </cell>
          <cell r="I1202">
            <v>3</v>
          </cell>
          <cell r="J1202">
            <v>23004136</v>
          </cell>
        </row>
        <row r="1203">
          <cell r="C1203" t="str">
            <v>50OTH</v>
          </cell>
          <cell r="D1203" t="str">
            <v>OKM-Luis Thayer Ojeda</v>
          </cell>
          <cell r="E1203" t="str">
            <v>No</v>
          </cell>
          <cell r="F1203" t="str">
            <v>20201933-1</v>
          </cell>
          <cell r="G1203" t="str">
            <v>Pizarro Herrera Alejandra</v>
          </cell>
          <cell r="H1203" t="str">
            <v>Jefe De Sala</v>
          </cell>
          <cell r="I1203">
            <v>2</v>
          </cell>
          <cell r="J1203">
            <v>23004136</v>
          </cell>
        </row>
        <row r="1204">
          <cell r="C1204" t="str">
            <v>50OTH</v>
          </cell>
          <cell r="D1204" t="str">
            <v>OKM-Luis Thayer Ojeda</v>
          </cell>
          <cell r="E1204" t="str">
            <v>No</v>
          </cell>
          <cell r="F1204" t="str">
            <v>22620949-2</v>
          </cell>
          <cell r="G1204" t="str">
            <v>Vivanco Arguedas Diana Tatiana</v>
          </cell>
          <cell r="H1204" t="str">
            <v>Lider</v>
          </cell>
          <cell r="I1204">
            <v>1</v>
          </cell>
          <cell r="J1204">
            <v>23004136</v>
          </cell>
        </row>
        <row r="1205">
          <cell r="C1205" t="str">
            <v>50OTH</v>
          </cell>
          <cell r="D1205" t="str">
            <v>OKM-Luis Thayer Ojeda</v>
          </cell>
          <cell r="E1205" t="str">
            <v>No</v>
          </cell>
          <cell r="F1205" t="str">
            <v>24590932-2</v>
          </cell>
          <cell r="G1205" t="str">
            <v>Perez Rios Carlos Mauricio</v>
          </cell>
          <cell r="H1205" t="str">
            <v>Lider</v>
          </cell>
          <cell r="I1205">
            <v>1</v>
          </cell>
          <cell r="J1205">
            <v>23004136</v>
          </cell>
        </row>
        <row r="1206">
          <cell r="C1206" t="str">
            <v>50OTH</v>
          </cell>
          <cell r="D1206" t="str">
            <v>OKM-Luis Thayer Ojeda</v>
          </cell>
          <cell r="E1206" t="str">
            <v>No</v>
          </cell>
          <cell r="F1206" t="str">
            <v>26823694-5</v>
          </cell>
          <cell r="G1206" t="str">
            <v>Rojas De Monteverde Yulexis Margarita</v>
          </cell>
          <cell r="H1206" t="str">
            <v>Cajero</v>
          </cell>
          <cell r="I1206">
            <v>3</v>
          </cell>
          <cell r="J1206">
            <v>23004136</v>
          </cell>
        </row>
        <row r="1207">
          <cell r="C1207" t="str">
            <v>50OAC</v>
          </cell>
          <cell r="D1207" t="str">
            <v>OKM-Alonso De Camargo</v>
          </cell>
          <cell r="E1207" t="str">
            <v>No</v>
          </cell>
          <cell r="F1207" t="str">
            <v>25231984-0</v>
          </cell>
          <cell r="G1207" t="str">
            <v>Fisenko . Oleksandr</v>
          </cell>
          <cell r="H1207" t="str">
            <v>Cajero</v>
          </cell>
          <cell r="I1207">
            <v>3</v>
          </cell>
          <cell r="J1207">
            <v>22238139</v>
          </cell>
        </row>
        <row r="1208">
          <cell r="C1208" t="str">
            <v>50OAC</v>
          </cell>
          <cell r="D1208" t="str">
            <v>OKM-Alonso De Camargo</v>
          </cell>
          <cell r="E1208" t="str">
            <v>No</v>
          </cell>
          <cell r="F1208" t="str">
            <v>25968546-K</v>
          </cell>
          <cell r="G1208" t="str">
            <v>Vegas Mendoza Yury Karina</v>
          </cell>
          <cell r="H1208" t="str">
            <v>Jefe De Sala</v>
          </cell>
          <cell r="I1208">
            <v>2</v>
          </cell>
          <cell r="J1208">
            <v>22238139</v>
          </cell>
        </row>
        <row r="1209">
          <cell r="C1209" t="str">
            <v>50OAC</v>
          </cell>
          <cell r="D1209" t="str">
            <v>OKM-Alonso De Camargo</v>
          </cell>
          <cell r="E1209" t="str">
            <v>No</v>
          </cell>
          <cell r="F1209" t="str">
            <v>26659911-0</v>
          </cell>
          <cell r="G1209" t="str">
            <v>Lopez Valladares Jhorcidey Chiquinquira</v>
          </cell>
          <cell r="H1209" t="str">
            <v>Lider</v>
          </cell>
          <cell r="I1209">
            <v>1</v>
          </cell>
          <cell r="J1209">
            <v>22238139</v>
          </cell>
        </row>
        <row r="1210">
          <cell r="C1210" t="str">
            <v>50OAC</v>
          </cell>
          <cell r="D1210" t="str">
            <v>OKM-Alonso De Camargo</v>
          </cell>
          <cell r="E1210" t="str">
            <v>No</v>
          </cell>
          <cell r="F1210" t="str">
            <v>27090035-6</v>
          </cell>
          <cell r="G1210" t="str">
            <v>Castillo Liscano Wilfrido Jose</v>
          </cell>
          <cell r="H1210" t="str">
            <v>Cajero</v>
          </cell>
          <cell r="I1210">
            <v>3</v>
          </cell>
          <cell r="J1210">
            <v>22238139</v>
          </cell>
        </row>
        <row r="1211">
          <cell r="C1211" t="str">
            <v>50OAC</v>
          </cell>
          <cell r="D1211" t="str">
            <v>OKM-Alonso De Camargo</v>
          </cell>
          <cell r="E1211" t="str">
            <v>No</v>
          </cell>
          <cell r="F1211" t="str">
            <v>27820334-4</v>
          </cell>
          <cell r="G1211" t="str">
            <v>Alaña Millano Yavixay Daniela</v>
          </cell>
          <cell r="H1211" t="str">
            <v>Jefe De Sala</v>
          </cell>
          <cell r="I1211">
            <v>2</v>
          </cell>
          <cell r="J1211">
            <v>22238139</v>
          </cell>
        </row>
        <row r="1212">
          <cell r="C1212" t="str">
            <v>50DKQ</v>
          </cell>
          <cell r="D1212" t="str">
            <v>OXXO-Felix Bulnes</v>
          </cell>
          <cell r="E1212" t="str">
            <v>No</v>
          </cell>
          <cell r="F1212" t="str">
            <v>12408577-2</v>
          </cell>
          <cell r="G1212" t="str">
            <v>Moreno Fritz Pilar Viviana</v>
          </cell>
          <cell r="H1212" t="str">
            <v>Jefe De Sala</v>
          </cell>
          <cell r="I1212">
            <v>2</v>
          </cell>
          <cell r="J1212">
            <v>21046639</v>
          </cell>
        </row>
        <row r="1213">
          <cell r="C1213" t="str">
            <v>50DKQ</v>
          </cell>
          <cell r="D1213" t="str">
            <v>OXXO-Felix Bulnes</v>
          </cell>
          <cell r="E1213" t="str">
            <v>No</v>
          </cell>
          <cell r="F1213" t="str">
            <v>19786142-8</v>
          </cell>
          <cell r="G1213" t="str">
            <v>Torres Jara Isidora Paz</v>
          </cell>
          <cell r="H1213" t="str">
            <v>Cajero</v>
          </cell>
          <cell r="I1213">
            <v>3</v>
          </cell>
          <cell r="J1213">
            <v>21046639</v>
          </cell>
        </row>
        <row r="1214">
          <cell r="C1214" t="str">
            <v>50DKQ</v>
          </cell>
          <cell r="D1214" t="str">
            <v>OXXO-Felix Bulnes</v>
          </cell>
          <cell r="E1214" t="str">
            <v>No</v>
          </cell>
          <cell r="F1214" t="str">
            <v>26001797-7</v>
          </cell>
          <cell r="G1214" t="str">
            <v>Abelard . Sephora</v>
          </cell>
          <cell r="H1214" t="str">
            <v>Cajero</v>
          </cell>
          <cell r="I1214">
            <v>3</v>
          </cell>
          <cell r="J1214">
            <v>21046639</v>
          </cell>
        </row>
        <row r="1215">
          <cell r="C1215" t="str">
            <v>50DKQ</v>
          </cell>
          <cell r="D1215" t="str">
            <v>OXXO-Felix Bulnes</v>
          </cell>
          <cell r="E1215" t="str">
            <v>No</v>
          </cell>
          <cell r="F1215" t="str">
            <v>27140126-4</v>
          </cell>
          <cell r="G1215" t="str">
            <v>Garcia Saltos Gary Alexander</v>
          </cell>
          <cell r="H1215" t="str">
            <v>Lider</v>
          </cell>
          <cell r="I1215">
            <v>1</v>
          </cell>
          <cell r="J1215">
            <v>21046639</v>
          </cell>
        </row>
        <row r="1216">
          <cell r="C1216" t="str">
            <v>50SOC</v>
          </cell>
          <cell r="D1216" t="str">
            <v>OXXO-Socofar</v>
          </cell>
          <cell r="E1216" t="str">
            <v>No</v>
          </cell>
          <cell r="F1216" t="str">
            <v>18220023-9</v>
          </cell>
          <cell r="G1216" t="str">
            <v>Galaz Gomez Katherine Arielle</v>
          </cell>
          <cell r="H1216" t="str">
            <v>Cajero</v>
          </cell>
          <cell r="I1216">
            <v>3</v>
          </cell>
          <cell r="J1216">
            <v>15666485</v>
          </cell>
        </row>
        <row r="1217">
          <cell r="C1217" t="str">
            <v>50SOC</v>
          </cell>
          <cell r="D1217" t="str">
            <v>OXXO-Socofar</v>
          </cell>
          <cell r="E1217" t="str">
            <v>No</v>
          </cell>
          <cell r="F1217" t="str">
            <v>18948465-8</v>
          </cell>
          <cell r="G1217" t="str">
            <v>Aguirre Carreño Brian Michell</v>
          </cell>
          <cell r="H1217" t="str">
            <v>Lider</v>
          </cell>
          <cell r="I1217">
            <v>1</v>
          </cell>
          <cell r="J1217">
            <v>15666485</v>
          </cell>
        </row>
        <row r="1218">
          <cell r="C1218" t="str">
            <v>505VE</v>
          </cell>
          <cell r="D1218" t="str">
            <v>OXXO-Patio Los Leones</v>
          </cell>
          <cell r="E1218" t="str">
            <v>No</v>
          </cell>
          <cell r="F1218" t="str">
            <v>08349857-9</v>
          </cell>
          <cell r="G1218" t="str">
            <v>Pacheco Gilabert Gonzalo Fernando</v>
          </cell>
          <cell r="H1218" t="str">
            <v>Cajero</v>
          </cell>
          <cell r="I1218">
            <v>3</v>
          </cell>
          <cell r="J1218">
            <v>14319720</v>
          </cell>
        </row>
        <row r="1219">
          <cell r="C1219" t="str">
            <v>505VE</v>
          </cell>
          <cell r="D1219" t="str">
            <v>OXXO-Patio Los Leones</v>
          </cell>
          <cell r="E1219" t="str">
            <v>No</v>
          </cell>
          <cell r="F1219" t="str">
            <v>16272946-2</v>
          </cell>
          <cell r="G1219" t="str">
            <v>Figueroa Iturra Claudia Andrea</v>
          </cell>
          <cell r="H1219" t="str">
            <v>Jefe De Sala</v>
          </cell>
          <cell r="I1219">
            <v>2</v>
          </cell>
          <cell r="J1219">
            <v>14319720</v>
          </cell>
        </row>
        <row r="1220">
          <cell r="C1220" t="str">
            <v>505VE</v>
          </cell>
          <cell r="D1220" t="str">
            <v>OXXO-Patio Los Leones</v>
          </cell>
          <cell r="E1220" t="str">
            <v>No</v>
          </cell>
          <cell r="F1220" t="str">
            <v>19548156-3</v>
          </cell>
          <cell r="G1220" t="str">
            <v>Sanchez Gonzalez Aline Estefania</v>
          </cell>
          <cell r="H1220" t="str">
            <v>Jefe De Sala</v>
          </cell>
          <cell r="I1220">
            <v>2</v>
          </cell>
          <cell r="J1220">
            <v>14319720</v>
          </cell>
        </row>
        <row r="1221">
          <cell r="C1221" t="str">
            <v>505VE</v>
          </cell>
          <cell r="D1221" t="str">
            <v>OXXO-Patio Los Leones</v>
          </cell>
          <cell r="E1221" t="str">
            <v>No</v>
          </cell>
          <cell r="F1221" t="str">
            <v>20556656-2</v>
          </cell>
          <cell r="G1221" t="str">
            <v>Barrientos Vera Danilo Alfredo</v>
          </cell>
          <cell r="H1221" t="str">
            <v>Cajero</v>
          </cell>
          <cell r="I1221">
            <v>3</v>
          </cell>
          <cell r="J1221">
            <v>14319720</v>
          </cell>
        </row>
        <row r="1222">
          <cell r="C1222" t="str">
            <v>50OME</v>
          </cell>
          <cell r="D1222" t="str">
            <v>OKM-Metro Chile-España</v>
          </cell>
          <cell r="E1222" t="str">
            <v>No</v>
          </cell>
          <cell r="F1222" t="str">
            <v>19577844-2</v>
          </cell>
          <cell r="G1222" t="str">
            <v>Fernandez Isla Damary</v>
          </cell>
          <cell r="H1222" t="str">
            <v>Jefe De Sala</v>
          </cell>
          <cell r="I1222">
            <v>2</v>
          </cell>
          <cell r="J1222">
            <v>70</v>
          </cell>
        </row>
        <row r="1223">
          <cell r="C1223" t="str">
            <v>50OME</v>
          </cell>
          <cell r="D1223" t="str">
            <v>OKM-Metro Chile-España</v>
          </cell>
          <cell r="E1223" t="str">
            <v>No</v>
          </cell>
          <cell r="F1223" t="str">
            <v>26508804-K</v>
          </cell>
          <cell r="G1223" t="str">
            <v>Alzamora Pernett Maira Rosa</v>
          </cell>
          <cell r="H1223" t="str">
            <v>Jefe De Sala</v>
          </cell>
          <cell r="I1223">
            <v>2</v>
          </cell>
          <cell r="J1223">
            <v>70</v>
          </cell>
        </row>
        <row r="1224">
          <cell r="C1224" t="str">
            <v>50OTT</v>
          </cell>
          <cell r="D1224" t="str">
            <v>OKM-Metro Matta</v>
          </cell>
          <cell r="E1224" t="str">
            <v>No</v>
          </cell>
          <cell r="F1224" t="str">
            <v>12176257-9</v>
          </cell>
          <cell r="G1224" t="str">
            <v>Calvuen Huenchual Sandra</v>
          </cell>
          <cell r="H1224" t="str">
            <v>Lider</v>
          </cell>
          <cell r="I1224">
            <v>1</v>
          </cell>
          <cell r="J1224">
            <v>0</v>
          </cell>
        </row>
        <row r="1225">
          <cell r="C1225" t="str">
            <v>50OTT</v>
          </cell>
          <cell r="D1225" t="str">
            <v>OKM-Metro Matta</v>
          </cell>
          <cell r="E1225" t="str">
            <v>No</v>
          </cell>
          <cell r="F1225" t="str">
            <v>17428448-2</v>
          </cell>
          <cell r="G1225" t="str">
            <v>Alfaro Zurita Paula Carolina</v>
          </cell>
          <cell r="H1225" t="str">
            <v>Jefe De Sala</v>
          </cell>
          <cell r="I1225">
            <v>2</v>
          </cell>
          <cell r="J1225">
            <v>0</v>
          </cell>
        </row>
        <row r="1226">
          <cell r="C1226" t="str">
            <v>50OTT</v>
          </cell>
          <cell r="D1226" t="str">
            <v>OKM-Metro Matta</v>
          </cell>
          <cell r="E1226" t="str">
            <v>No</v>
          </cell>
          <cell r="F1226" t="str">
            <v>19544283-5</v>
          </cell>
          <cell r="G1226" t="str">
            <v>Arenas Ulloa Camila Andrea</v>
          </cell>
          <cell r="H1226" t="str">
            <v>Jefe De Sala</v>
          </cell>
          <cell r="I1226">
            <v>2</v>
          </cell>
          <cell r="J1226">
            <v>0</v>
          </cell>
        </row>
      </sheetData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ESTRA"/>
      <sheetName val="Hoja1"/>
      <sheetName val="DICCIONARIO"/>
      <sheetName val="MAESTRA (2)"/>
      <sheetName val="JORNADA_OPERACION"/>
      <sheetName val="LIDER TIENDA"/>
      <sheetName val="ASESOR"/>
      <sheetName val="JEFE_DISTRITO"/>
      <sheetName val="BOLEANO"/>
      <sheetName val="NSE"/>
      <sheetName val="SEGMENTO"/>
      <sheetName val="COMUNA_REGION"/>
      <sheetName val="REGION"/>
      <sheetName val="GENERACION"/>
      <sheetName val="CADENA"/>
      <sheetName val="ESTADO"/>
      <sheetName val="CAPACIDAD_ELECTRICA"/>
      <sheetName val="PREVENCIONISTA"/>
      <sheetName val="GENERALISTA"/>
      <sheetName val="RECLUTADOR"/>
    </sheetNames>
    <sheetDataSet>
      <sheetData sheetId="0">
        <row r="5">
          <cell r="E5" t="str">
            <v>CADENA</v>
          </cell>
          <cell r="F5" t="str">
            <v>TIENDA</v>
          </cell>
          <cell r="G5" t="str">
            <v>DIRECCION</v>
          </cell>
          <cell r="H5" t="str">
            <v>COMUNA</v>
          </cell>
          <cell r="I5" t="str">
            <v>REGION</v>
          </cell>
          <cell r="J5" t="str">
            <v>CR</v>
          </cell>
          <cell r="K5" t="str">
            <v>CORREO</v>
          </cell>
          <cell r="L5" t="str">
            <v>GENERACION</v>
          </cell>
          <cell r="M5" t="str">
            <v>SEGMENTO</v>
          </cell>
          <cell r="N5" t="str">
            <v>NSE</v>
          </cell>
          <cell r="O5" t="str">
            <v>ALCOHOL</v>
          </cell>
          <cell r="P5" t="str">
            <v>CAPACIDAD_ELECTRICA</v>
          </cell>
          <cell r="Q5" t="str">
            <v>D_RAPPI</v>
          </cell>
          <cell r="R5" t="str">
            <v>D_UBER_EATS</v>
          </cell>
          <cell r="S5" t="str">
            <v>D_PEDIDOS_YA</v>
          </cell>
          <cell r="T5" t="str">
            <v>JEFE_DISTRITO</v>
          </cell>
          <cell r="U5" t="str">
            <v>CORREO_DISTRITO</v>
          </cell>
          <cell r="V5" t="str">
            <v>TELEFONO_DISTRITO</v>
          </cell>
          <cell r="W5" t="str">
            <v>ASESOR</v>
          </cell>
          <cell r="X5" t="str">
            <v>CORREO_ASESOR</v>
          </cell>
          <cell r="Y5" t="str">
            <v>TELEFONO_ASESOR</v>
          </cell>
          <cell r="Z5" t="str">
            <v>LIDER_TIENDA</v>
          </cell>
          <cell r="AA5" t="str">
            <v>TELEFONO_TIENDA</v>
          </cell>
          <cell r="AB5" t="str">
            <v>APERTURA_LJ</v>
          </cell>
          <cell r="AC5" t="str">
            <v>CIERRE_LJ</v>
          </cell>
          <cell r="AD5" t="str">
            <v>APERTURA_V</v>
          </cell>
          <cell r="AE5" t="str">
            <v>CIERRE_V</v>
          </cell>
          <cell r="AF5" t="str">
            <v>APERTURA_S</v>
          </cell>
          <cell r="AG5" t="str">
            <v>CIERRE_S</v>
          </cell>
          <cell r="AH5" t="str">
            <v>APERTURA_D</v>
          </cell>
          <cell r="AI5" t="str">
            <v>CIERRE_D</v>
          </cell>
          <cell r="AJ5" t="str">
            <v>APERTURA_F</v>
          </cell>
          <cell r="AK5" t="str">
            <v>CIERRE_F</v>
          </cell>
          <cell r="AL5" t="str">
            <v>JORNADA_OPERACION</v>
          </cell>
          <cell r="AM5" t="str">
            <v>PREVENCIONISTA</v>
          </cell>
          <cell r="AN5" t="str">
            <v>MERCADERISTA</v>
          </cell>
          <cell r="AO5" t="str">
            <v>FECHA_APERTURA</v>
          </cell>
        </row>
        <row r="6">
          <cell r="E6" t="str">
            <v>OXXO</v>
          </cell>
          <cell r="F6" t="str">
            <v>13 NORTE</v>
          </cell>
          <cell r="G6" t="str">
            <v>13 NORTE 830</v>
          </cell>
          <cell r="H6" t="str">
            <v>VIÑA DEL MAR</v>
          </cell>
          <cell r="I6" t="str">
            <v>VALPARAISO</v>
          </cell>
          <cell r="J6" t="str">
            <v>50NF1</v>
          </cell>
          <cell r="K6" t="str">
            <v>cl-13norte@tiendas.oxxo.com</v>
          </cell>
          <cell r="L6" t="str">
            <v>TNM</v>
          </cell>
          <cell r="M6" t="str">
            <v>RECESO</v>
          </cell>
          <cell r="N6" t="str">
            <v>ABC1</v>
          </cell>
          <cell r="O6" t="str">
            <v>NO</v>
          </cell>
          <cell r="P6" t="str">
            <v>COMPLETA</v>
          </cell>
          <cell r="Q6" t="str">
            <v>NO</v>
          </cell>
          <cell r="R6" t="str">
            <v>NO</v>
          </cell>
          <cell r="S6" t="str">
            <v>SI</v>
          </cell>
          <cell r="T6" t="str">
            <v>BRESCIA RIVERA RODRIGO</v>
          </cell>
          <cell r="U6" t="str">
            <v>rodrigo.brescia@oxxo.com</v>
          </cell>
          <cell r="V6">
            <v>56994777909</v>
          </cell>
          <cell r="W6" t="str">
            <v>ESCOBAR VALDES VALESKA SOLEDAD</v>
          </cell>
          <cell r="X6" t="str">
            <v>valeska.escobar@oxxo.com</v>
          </cell>
          <cell r="Y6">
            <v>56961681492</v>
          </cell>
          <cell r="Z6" t="str">
            <v>EDURWIN ANIBAL GALUE RAMIREZ</v>
          </cell>
          <cell r="AA6">
            <v>56995699516</v>
          </cell>
          <cell r="AB6">
            <v>0.29166666666666669</v>
          </cell>
          <cell r="AC6">
            <v>0.875</v>
          </cell>
          <cell r="AD6">
            <v>0.29166666666666669</v>
          </cell>
          <cell r="AE6">
            <v>0.875</v>
          </cell>
          <cell r="AF6">
            <v>0.33333333333333331</v>
          </cell>
          <cell r="AG6">
            <v>0.875</v>
          </cell>
          <cell r="AH6">
            <v>0.39583333333333331</v>
          </cell>
          <cell r="AI6">
            <v>0.84375</v>
          </cell>
          <cell r="AJ6">
            <v>0.375</v>
          </cell>
          <cell r="AK6">
            <v>0.84375</v>
          </cell>
          <cell r="AL6" t="str">
            <v>12HRS</v>
          </cell>
          <cell r="AM6" t="str">
            <v>ROBERTO POBLETE</v>
          </cell>
          <cell r="AO6">
            <v>45289</v>
          </cell>
        </row>
        <row r="7">
          <cell r="E7" t="str">
            <v>OXXO</v>
          </cell>
          <cell r="F7" t="str">
            <v>EMILIA TELLEZ</v>
          </cell>
          <cell r="G7" t="str">
            <v>EMILIA TÉLLEZ 5577,LOCAL 2 </v>
          </cell>
          <cell r="H7" t="str">
            <v>ÑUÑOA</v>
          </cell>
          <cell r="I7" t="str">
            <v>METROPOLITANA</v>
          </cell>
          <cell r="J7" t="str">
            <v>50LTD</v>
          </cell>
          <cell r="K7" t="str">
            <v>cl-emiliatellez@tiendas.oxxo.com</v>
          </cell>
          <cell r="L7" t="str">
            <v>TMCB</v>
          </cell>
          <cell r="M7" t="str">
            <v>HOGAR C/FF</v>
          </cell>
          <cell r="N7" t="str">
            <v>ABC1</v>
          </cell>
          <cell r="O7" t="str">
            <v>NO</v>
          </cell>
          <cell r="P7" t="str">
            <v>COMPLETA</v>
          </cell>
          <cell r="T7" t="str">
            <v>SERRANO SOTO MANUEL</v>
          </cell>
          <cell r="U7" t="str">
            <v>manuel.serrano@oxxo.com</v>
          </cell>
          <cell r="V7">
            <v>56940201885</v>
          </cell>
          <cell r="W7" t="str">
            <v>LOPEZ CALDERON LUIS GERARDO</v>
          </cell>
          <cell r="X7" t="str">
            <v/>
          </cell>
          <cell r="Y7" t="str">
            <v/>
          </cell>
          <cell r="Z7" t="str">
            <v>MITZI MAIRA PILAR CABELLO ASTETE</v>
          </cell>
          <cell r="AA7">
            <v>222274357</v>
          </cell>
          <cell r="AL7" t="str">
            <v>12HRS</v>
          </cell>
          <cell r="AO7">
            <v>43168</v>
          </cell>
        </row>
        <row r="8">
          <cell r="E8" t="str">
            <v>OXXO</v>
          </cell>
          <cell r="F8" t="str">
            <v>5 NORTE</v>
          </cell>
          <cell r="G8" t="str">
            <v>3 PONIENTE 397, ESQUINA 5 NORTE</v>
          </cell>
          <cell r="H8" t="str">
            <v>VIÑA DEL MAR</v>
          </cell>
          <cell r="I8" t="str">
            <v>VALPARAISO</v>
          </cell>
          <cell r="J8" t="str">
            <v>50D6N</v>
          </cell>
          <cell r="K8" t="str">
            <v>cl-cinconorte@tiendas.oxxo.com</v>
          </cell>
          <cell r="L8" t="str">
            <v>TMCB</v>
          </cell>
          <cell r="M8" t="str">
            <v>RECESO</v>
          </cell>
          <cell r="N8" t="str">
            <v>C2</v>
          </cell>
          <cell r="O8" t="str">
            <v>NO</v>
          </cell>
          <cell r="P8" t="str">
            <v>PARCIAL</v>
          </cell>
          <cell r="Q8" t="str">
            <v>NO</v>
          </cell>
          <cell r="R8" t="str">
            <v>NO</v>
          </cell>
          <cell r="S8" t="str">
            <v>NO</v>
          </cell>
          <cell r="T8" t="str">
            <v>SESA DIEGO MIGUEL</v>
          </cell>
          <cell r="U8" t="str">
            <v>diego.sesa@oxxo.com</v>
          </cell>
          <cell r="V8">
            <v>56954238682</v>
          </cell>
          <cell r="W8" t="str">
            <v>ESCOBAR VALDES VALESKA SOLEDAD</v>
          </cell>
          <cell r="X8" t="str">
            <v>valeska.escobar@oxxo.com</v>
          </cell>
          <cell r="Y8">
            <v>56961681492</v>
          </cell>
          <cell r="Z8" t="str">
            <v>LESLIE RODE PEREZ ARAYA</v>
          </cell>
          <cell r="AA8">
            <v>56983461661</v>
          </cell>
          <cell r="AB8">
            <v>0.29166666666666669</v>
          </cell>
          <cell r="AC8">
            <v>0.95833333333333337</v>
          </cell>
          <cell r="AD8">
            <v>0.29166666666666669</v>
          </cell>
          <cell r="AE8">
            <v>0.99305555555555547</v>
          </cell>
          <cell r="AF8">
            <v>0.33333333333333331</v>
          </cell>
          <cell r="AG8">
            <v>0.99305555555555547</v>
          </cell>
          <cell r="AH8">
            <v>0.39583333333333331</v>
          </cell>
          <cell r="AI8">
            <v>0.84375</v>
          </cell>
          <cell r="AJ8">
            <v>0.375</v>
          </cell>
          <cell r="AK8">
            <v>0.84375</v>
          </cell>
          <cell r="AL8" t="str">
            <v>12HRS</v>
          </cell>
          <cell r="AM8" t="str">
            <v>ROBERTO POBLETE</v>
          </cell>
          <cell r="AO8">
            <v>44957</v>
          </cell>
        </row>
        <row r="9">
          <cell r="E9" t="str">
            <v>OXXO</v>
          </cell>
          <cell r="F9" t="str">
            <v>AGUSTINAS SAN MARTIN</v>
          </cell>
          <cell r="G9" t="str">
            <v>AGUSTINAS 1454 DEPTO. 5</v>
          </cell>
          <cell r="H9" t="str">
            <v>SANTIAGO</v>
          </cell>
          <cell r="I9" t="str">
            <v>METROPOLITANA</v>
          </cell>
          <cell r="J9" t="str">
            <v>50PUF</v>
          </cell>
          <cell r="K9" t="str">
            <v>cl-agustinasanmartin@tiendas.oxxo.com</v>
          </cell>
          <cell r="L9" t="str">
            <v>TMCB</v>
          </cell>
          <cell r="M9" t="str">
            <v>RECESO</v>
          </cell>
          <cell r="N9" t="str">
            <v>C3</v>
          </cell>
          <cell r="O9" t="str">
            <v>NO</v>
          </cell>
          <cell r="P9" t="str">
            <v>COMPLETA</v>
          </cell>
          <cell r="Q9" t="str">
            <v>NO</v>
          </cell>
          <cell r="R9" t="str">
            <v>NO</v>
          </cell>
          <cell r="S9" t="str">
            <v>NO</v>
          </cell>
          <cell r="T9" t="str">
            <v>BRESCIA RIVERA RODRIGO</v>
          </cell>
          <cell r="U9" t="str">
            <v>rodrigo.brescia@oxxo.com</v>
          </cell>
          <cell r="V9">
            <v>56994777909</v>
          </cell>
          <cell r="W9" t="str">
            <v>LIAZ MONTERO GABRIEL</v>
          </cell>
          <cell r="X9" t="str">
            <v>gabriel.liaz@oxxo.com</v>
          </cell>
          <cell r="Y9">
            <v>56964735260</v>
          </cell>
          <cell r="Z9" t="str">
            <v>ASTRID MARIANNY VIDAL JIMENEZ</v>
          </cell>
          <cell r="AA9">
            <v>56998472079</v>
          </cell>
          <cell r="AB9">
            <v>0.29166666666666669</v>
          </cell>
          <cell r="AC9">
            <v>0.875</v>
          </cell>
          <cell r="AD9">
            <v>0.29166666666666669</v>
          </cell>
          <cell r="AE9">
            <v>0.875</v>
          </cell>
          <cell r="AF9">
            <v>0.33333333333333331</v>
          </cell>
          <cell r="AG9">
            <v>0.75</v>
          </cell>
          <cell r="AH9" t="str">
            <v>Cerrado</v>
          </cell>
          <cell r="AI9" t="str">
            <v>Cerrado</v>
          </cell>
          <cell r="AJ9">
            <v>0.375</v>
          </cell>
          <cell r="AK9">
            <v>0.75</v>
          </cell>
          <cell r="AL9" t="str">
            <v>12HRS</v>
          </cell>
          <cell r="AM9" t="str">
            <v>PAULA HUERTA</v>
          </cell>
          <cell r="AO9">
            <v>43706</v>
          </cell>
        </row>
        <row r="10">
          <cell r="E10" t="str">
            <v>OXXO - EX OKM</v>
          </cell>
          <cell r="F10" t="str">
            <v>ALAMEDA 1</v>
          </cell>
          <cell r="G10" t="str">
            <v>ALAMEDA 1881</v>
          </cell>
          <cell r="H10" t="str">
            <v>SANTIAGO</v>
          </cell>
          <cell r="I10" t="str">
            <v>METROPOLITANA</v>
          </cell>
          <cell r="J10" t="str">
            <v>50OAL</v>
          </cell>
          <cell r="K10" t="str">
            <v>cl-alameda1@tiendas.oxxo.com</v>
          </cell>
          <cell r="L10" t="str">
            <v>TMCB</v>
          </cell>
          <cell r="M10" t="str">
            <v>RECESO</v>
          </cell>
          <cell r="N10" t="str">
            <v>C3</v>
          </cell>
          <cell r="O10" t="str">
            <v>SI</v>
          </cell>
          <cell r="P10" t="str">
            <v>COMPLETA</v>
          </cell>
          <cell r="Q10" t="str">
            <v>NO</v>
          </cell>
          <cell r="R10" t="str">
            <v>SI</v>
          </cell>
          <cell r="S10" t="str">
            <v>NO</v>
          </cell>
          <cell r="T10" t="str">
            <v>BRESCIA RIVERA RODRIGO</v>
          </cell>
          <cell r="U10" t="str">
            <v>rodrigo.brescia@oxxo.com</v>
          </cell>
          <cell r="V10">
            <v>56994777909</v>
          </cell>
          <cell r="W10" t="str">
            <v>LIAZ MONTERO GABRIEL</v>
          </cell>
          <cell r="X10" t="str">
            <v>gabriel.liaz@oxxo.com</v>
          </cell>
          <cell r="Y10">
            <v>56964735260</v>
          </cell>
          <cell r="Z10" t="str">
            <v>EDWIN ANDRES MORALES CASTRO</v>
          </cell>
          <cell r="AB10">
            <v>0.29166666666666669</v>
          </cell>
          <cell r="AC10">
            <v>0.91666666666666663</v>
          </cell>
          <cell r="AD10">
            <v>0.29166666666666669</v>
          </cell>
          <cell r="AE10">
            <v>0.91666666666666663</v>
          </cell>
          <cell r="AF10">
            <v>0.33333333333333331</v>
          </cell>
          <cell r="AG10">
            <v>0.91666666666666663</v>
          </cell>
          <cell r="AH10" t="str">
            <v>Cerrado</v>
          </cell>
          <cell r="AI10" t="str">
            <v>Cerrado</v>
          </cell>
          <cell r="AJ10">
            <v>0.375</v>
          </cell>
          <cell r="AK10">
            <v>0.75</v>
          </cell>
          <cell r="AL10" t="str">
            <v>12HRS</v>
          </cell>
          <cell r="AM10" t="str">
            <v>PAULA HUERTA</v>
          </cell>
          <cell r="AO10">
            <v>45334</v>
          </cell>
        </row>
        <row r="11">
          <cell r="E11" t="str">
            <v>OXXO</v>
          </cell>
          <cell r="F11" t="str">
            <v>ALCANTARA 1</v>
          </cell>
          <cell r="G11" t="str">
            <v>ALCANTARA 903</v>
          </cell>
          <cell r="H11" t="str">
            <v>LAS CONDES</v>
          </cell>
          <cell r="I11" t="str">
            <v>METROPOLITANA</v>
          </cell>
          <cell r="J11" t="str">
            <v>50VKK</v>
          </cell>
          <cell r="K11" t="str">
            <v>cl-alcantara@tiendas.oxxo.com</v>
          </cell>
          <cell r="L11" t="str">
            <v>TMCB</v>
          </cell>
          <cell r="M11" t="str">
            <v>BASE</v>
          </cell>
          <cell r="N11" t="str">
            <v>ABC1</v>
          </cell>
          <cell r="O11" t="str">
            <v>SI</v>
          </cell>
          <cell r="P11" t="str">
            <v>COMPLETA</v>
          </cell>
          <cell r="Q11" t="str">
            <v>SI</v>
          </cell>
          <cell r="R11" t="str">
            <v>SI</v>
          </cell>
          <cell r="S11" t="str">
            <v>NO</v>
          </cell>
          <cell r="T11" t="str">
            <v>BRESCIA RIVERA RODRIGO</v>
          </cell>
          <cell r="U11" t="str">
            <v>rodrigo.brescia@oxxo.com</v>
          </cell>
          <cell r="V11">
            <v>56994777909</v>
          </cell>
          <cell r="W11" t="str">
            <v>BENITEZ QUILODRAN HUGO</v>
          </cell>
          <cell r="X11" t="str">
            <v>hugo.benitez@oxxo.com</v>
          </cell>
          <cell r="Y11">
            <v>56998355780</v>
          </cell>
          <cell r="Z11" t="str">
            <v>YONAIKER ALI MUJICA SILVA</v>
          </cell>
          <cell r="AA11">
            <v>56995699544</v>
          </cell>
          <cell r="AB11">
            <v>0.29166666666666669</v>
          </cell>
          <cell r="AC11">
            <v>0.95833333333333337</v>
          </cell>
          <cell r="AD11">
            <v>0.29166666666666669</v>
          </cell>
          <cell r="AE11">
            <v>0.99305555555555558</v>
          </cell>
          <cell r="AF11">
            <v>0.33333333333333331</v>
          </cell>
          <cell r="AG11">
            <v>0.99305555555555558</v>
          </cell>
          <cell r="AH11">
            <v>0.4375</v>
          </cell>
          <cell r="AI11">
            <v>0.88541666666666663</v>
          </cell>
          <cell r="AJ11">
            <v>0.375</v>
          </cell>
          <cell r="AK11">
            <v>0.95833333333333337</v>
          </cell>
          <cell r="AL11" t="str">
            <v>12HRS</v>
          </cell>
          <cell r="AM11" t="str">
            <v>ROBERTO POBLETE</v>
          </cell>
          <cell r="AO11">
            <v>43413</v>
          </cell>
        </row>
        <row r="12">
          <cell r="E12" t="str">
            <v>OXXO</v>
          </cell>
          <cell r="F12" t="str">
            <v>PROVIDENCIA 1</v>
          </cell>
          <cell r="G12" t="str">
            <v>PROVIDENCIA 2487</v>
          </cell>
          <cell r="H12" t="str">
            <v>PROVIDENCIA</v>
          </cell>
          <cell r="I12" t="str">
            <v>METROPOLITANA</v>
          </cell>
          <cell r="J12" t="str">
            <v>50DXJ</v>
          </cell>
          <cell r="K12" t="str">
            <v>cl-providencia@tiendas.oxxo.com</v>
          </cell>
          <cell r="L12" t="str">
            <v>TMCB</v>
          </cell>
          <cell r="M12" t="str">
            <v>HOGAR C/FF</v>
          </cell>
          <cell r="N12" t="str">
            <v>C2</v>
          </cell>
          <cell r="O12" t="str">
            <v>NO</v>
          </cell>
          <cell r="P12" t="str">
            <v>COMPLETA</v>
          </cell>
          <cell r="T12" t="str">
            <v>SERRANO SOTO MANUEL</v>
          </cell>
          <cell r="U12" t="str">
            <v>manuel.serrano@oxxo.com</v>
          </cell>
          <cell r="V12">
            <v>56940201885</v>
          </cell>
          <cell r="X12" t="str">
            <v/>
          </cell>
          <cell r="Y12" t="str">
            <v/>
          </cell>
          <cell r="Z12" t="str">
            <v>DANIEL ANTONIO ROMERO GONZALEZ</v>
          </cell>
          <cell r="AL12" t="str">
            <v>12HRS</v>
          </cell>
          <cell r="AO12">
            <v>42777</v>
          </cell>
        </row>
        <row r="13">
          <cell r="E13" t="str">
            <v>OXXO</v>
          </cell>
          <cell r="F13" t="str">
            <v>ALCANTARA 2</v>
          </cell>
          <cell r="G13" t="str">
            <v>ALCANTARA 45 </v>
          </cell>
          <cell r="H13" t="str">
            <v>LAS CONDES</v>
          </cell>
          <cell r="I13" t="str">
            <v>METROPOLITANA</v>
          </cell>
          <cell r="J13" t="str">
            <v>50HCL</v>
          </cell>
          <cell r="K13" t="str">
            <v>cl-alcantara2@tiendas.oxxo.com</v>
          </cell>
          <cell r="L13" t="str">
            <v>TMCB</v>
          </cell>
          <cell r="M13" t="str">
            <v>RECESO</v>
          </cell>
          <cell r="N13" t="str">
            <v>C2</v>
          </cell>
          <cell r="O13" t="str">
            <v>NO</v>
          </cell>
          <cell r="P13" t="str">
            <v>COMPLETA</v>
          </cell>
          <cell r="Q13" t="str">
            <v>NO</v>
          </cell>
          <cell r="R13" t="str">
            <v>NO</v>
          </cell>
          <cell r="S13" t="str">
            <v>NO</v>
          </cell>
          <cell r="T13" t="str">
            <v>SESA DIEGO MIGUEL</v>
          </cell>
          <cell r="U13" t="str">
            <v>diego.sesa@oxxo.com</v>
          </cell>
          <cell r="V13">
            <v>56954238682</v>
          </cell>
          <cell r="W13" t="str">
            <v>GAMERRE URZUA CECILIA</v>
          </cell>
          <cell r="X13" t="str">
            <v>cecilia.gamerre@oxxo.com</v>
          </cell>
          <cell r="Y13">
            <v>56992076485</v>
          </cell>
          <cell r="Z13" t="str">
            <v>DANAE CONSTANZA PAZ LUQUE</v>
          </cell>
          <cell r="AA13">
            <v>56995699519</v>
          </cell>
          <cell r="AB13">
            <v>0.29166666666666669</v>
          </cell>
          <cell r="AC13">
            <v>0.91666666666666663</v>
          </cell>
          <cell r="AD13">
            <v>0.29166666666666669</v>
          </cell>
          <cell r="AE13">
            <v>0.91666666666666663</v>
          </cell>
          <cell r="AF13">
            <v>0.33333333333333331</v>
          </cell>
          <cell r="AG13">
            <v>0.91666666666666663</v>
          </cell>
          <cell r="AH13" t="str">
            <v>Cerrado</v>
          </cell>
          <cell r="AI13" t="str">
            <v>Cerrado</v>
          </cell>
          <cell r="AJ13">
            <v>0.375</v>
          </cell>
          <cell r="AK13">
            <v>0.83333333333333337</v>
          </cell>
          <cell r="AL13" t="str">
            <v>12HRS</v>
          </cell>
          <cell r="AM13" t="str">
            <v>PAULA HUERTA</v>
          </cell>
          <cell r="AO13">
            <v>43399</v>
          </cell>
        </row>
        <row r="14">
          <cell r="E14" t="str">
            <v>OXXO - EX OKM</v>
          </cell>
          <cell r="F14" t="str">
            <v>ALMIRANTE PASTENE</v>
          </cell>
          <cell r="G14" t="str">
            <v>ALMIRANTE PASTENE 163</v>
          </cell>
          <cell r="H14" t="str">
            <v>PROVIDENCIA</v>
          </cell>
          <cell r="I14" t="str">
            <v>METROPOLITANA</v>
          </cell>
          <cell r="J14" t="str">
            <v>50OAP</v>
          </cell>
          <cell r="K14" t="str">
            <v>cl-almirantepastene@tiendas.oxxo.com</v>
          </cell>
          <cell r="L14" t="str">
            <v>TMCB</v>
          </cell>
          <cell r="M14" t="str">
            <v>RECESO</v>
          </cell>
          <cell r="N14" t="str">
            <v>C2</v>
          </cell>
          <cell r="O14" t="str">
            <v>NO</v>
          </cell>
          <cell r="P14" t="str">
            <v>COMPLETA</v>
          </cell>
          <cell r="Q14" t="str">
            <v>NO</v>
          </cell>
          <cell r="R14" t="str">
            <v>NO</v>
          </cell>
          <cell r="S14" t="str">
            <v>NO</v>
          </cell>
          <cell r="T14" t="str">
            <v>BRESCIA RIVERA RODRIGO</v>
          </cell>
          <cell r="U14" t="str">
            <v>rodrigo.brescia@oxxo.com</v>
          </cell>
          <cell r="V14">
            <v>56994777909</v>
          </cell>
          <cell r="W14" t="str">
            <v>LOPEZ MEZA LUIS JOSÉ</v>
          </cell>
          <cell r="X14" t="str">
            <v>luis.lopez@oxxo.com</v>
          </cell>
          <cell r="Y14">
            <v>56933740505</v>
          </cell>
          <cell r="Z14" t="str">
            <v>CAMILA TRONCOSO AGUILERA</v>
          </cell>
          <cell r="AA14">
            <v>56958136528</v>
          </cell>
          <cell r="AB14">
            <v>0.29166666666666669</v>
          </cell>
          <cell r="AC14">
            <v>0.91666666666666663</v>
          </cell>
          <cell r="AD14">
            <v>0.29166666666666669</v>
          </cell>
          <cell r="AE14">
            <v>0.91666666666666663</v>
          </cell>
          <cell r="AF14">
            <v>0.33333333333333331</v>
          </cell>
          <cell r="AG14">
            <v>0.91666666666666663</v>
          </cell>
          <cell r="AH14" t="str">
            <v>Cerrado</v>
          </cell>
          <cell r="AI14" t="str">
            <v>Cerrado</v>
          </cell>
          <cell r="AJ14">
            <v>0.39583333333333331</v>
          </cell>
          <cell r="AK14">
            <v>0.91666666666666663</v>
          </cell>
          <cell r="AL14" t="str">
            <v>12HRS</v>
          </cell>
          <cell r="AM14" t="str">
            <v>ROBERTO POBLETE</v>
          </cell>
          <cell r="AO14">
            <v>45376</v>
          </cell>
        </row>
        <row r="15">
          <cell r="E15" t="str">
            <v>OXXO</v>
          </cell>
          <cell r="F15" t="str">
            <v>ALTO MACUL</v>
          </cell>
          <cell r="G15" t="str">
            <v>AV. QUEBRADA DE MACUL 8601, LOCAL 1</v>
          </cell>
          <cell r="H15" t="str">
            <v>PEÑALOLÉN</v>
          </cell>
          <cell r="I15" t="str">
            <v>METROPOLITANA</v>
          </cell>
          <cell r="J15" t="str">
            <v>50XC6</v>
          </cell>
          <cell r="K15" t="str">
            <v>cl-altomacul@tiendas.oxxo.com</v>
          </cell>
          <cell r="L15" t="str">
            <v>TNM</v>
          </cell>
          <cell r="M15" t="str">
            <v>BASE</v>
          </cell>
          <cell r="O15" t="str">
            <v>NO</v>
          </cell>
          <cell r="P15" t="str">
            <v>COMPLETA</v>
          </cell>
          <cell r="Q15" t="str">
            <v>NO</v>
          </cell>
          <cell r="R15" t="str">
            <v>SI</v>
          </cell>
          <cell r="S15" t="str">
            <v>NO</v>
          </cell>
          <cell r="T15" t="str">
            <v>BRESCIA RIVERA RODRIGO</v>
          </cell>
          <cell r="U15" t="str">
            <v>rodrigo.brescia@oxxo.com</v>
          </cell>
          <cell r="V15">
            <v>56994777909</v>
          </cell>
          <cell r="W15" t="str">
            <v>PINERUA JAIMES JESUS</v>
          </cell>
          <cell r="X15" t="str">
            <v>jesus.pinerua@oxxo.com</v>
          </cell>
          <cell r="Y15">
            <v>56982335207</v>
          </cell>
          <cell r="Z15" t="str">
            <v>JOHANNA GONZALEZ LEVIO</v>
          </cell>
          <cell r="AA15">
            <v>56992191815</v>
          </cell>
          <cell r="AB15">
            <v>0.29166666666666669</v>
          </cell>
          <cell r="AC15">
            <v>0.95833333333333337</v>
          </cell>
          <cell r="AD15">
            <v>0.29166666666666669</v>
          </cell>
          <cell r="AE15">
            <v>0.95833333333333337</v>
          </cell>
          <cell r="AF15">
            <v>0.33333333333333331</v>
          </cell>
          <cell r="AG15">
            <v>0.95833333333333337</v>
          </cell>
          <cell r="AH15">
            <v>0.39583333333333331</v>
          </cell>
          <cell r="AI15">
            <v>0.85416666666666663</v>
          </cell>
          <cell r="AJ15">
            <v>0.375</v>
          </cell>
          <cell r="AK15">
            <v>0.84375</v>
          </cell>
          <cell r="AL15" t="str">
            <v>12HRS</v>
          </cell>
          <cell r="AM15" t="str">
            <v>PAULA HUERTA</v>
          </cell>
          <cell r="AO15">
            <v>45412</v>
          </cell>
        </row>
        <row r="16">
          <cell r="E16" t="str">
            <v>OXXO</v>
          </cell>
          <cell r="F16" t="str">
            <v>AMUNATEGUI</v>
          </cell>
          <cell r="G16" t="str">
            <v>HERMANOS AMUNATEGUI 858 L2</v>
          </cell>
          <cell r="H16" t="str">
            <v>SANTIAGO</v>
          </cell>
          <cell r="I16" t="str">
            <v>METROPOLITANA</v>
          </cell>
          <cell r="J16" t="str">
            <v>508LO</v>
          </cell>
          <cell r="K16" t="str">
            <v>cl-amunategui@tiendas.oxxo.com</v>
          </cell>
          <cell r="L16" t="str">
            <v>TMCB</v>
          </cell>
          <cell r="M16" t="str">
            <v>BASE</v>
          </cell>
          <cell r="N16" t="str">
            <v>C3</v>
          </cell>
          <cell r="O16" t="str">
            <v>NO</v>
          </cell>
          <cell r="P16" t="str">
            <v>COMPLETA</v>
          </cell>
          <cell r="Q16" t="str">
            <v>NO</v>
          </cell>
          <cell r="R16" t="str">
            <v>NO</v>
          </cell>
          <cell r="S16" t="str">
            <v>NO</v>
          </cell>
          <cell r="T16" t="str">
            <v>BRESCIA RIVERA RODRIGO</v>
          </cell>
          <cell r="U16" t="str">
            <v>rodrigo.brescia@oxxo.com</v>
          </cell>
          <cell r="V16">
            <v>56994777909</v>
          </cell>
          <cell r="W16" t="str">
            <v>LIAZ MONTERO GABRIEL</v>
          </cell>
          <cell r="X16" t="str">
            <v>gabriel.liaz@oxxo.com</v>
          </cell>
          <cell r="Y16">
            <v>56964735260</v>
          </cell>
          <cell r="Z16" t="str">
            <v>MARIANELA BALLESTEROS COLINA</v>
          </cell>
          <cell r="AA16">
            <v>56983463751</v>
          </cell>
          <cell r="AB16">
            <v>0.29166666666666669</v>
          </cell>
          <cell r="AC16">
            <v>0.875</v>
          </cell>
          <cell r="AD16">
            <v>0.29166666666666669</v>
          </cell>
          <cell r="AE16">
            <v>0.875</v>
          </cell>
          <cell r="AF16">
            <v>0.33333333333333331</v>
          </cell>
          <cell r="AG16">
            <v>0.875</v>
          </cell>
          <cell r="AH16">
            <v>0.39583333333333331</v>
          </cell>
          <cell r="AI16">
            <v>0.84375</v>
          </cell>
          <cell r="AJ16">
            <v>0.375</v>
          </cell>
          <cell r="AK16">
            <v>0.88541666666666663</v>
          </cell>
          <cell r="AL16" t="str">
            <v>12HRS</v>
          </cell>
          <cell r="AM16" t="str">
            <v>PAULA HUERTA</v>
          </cell>
          <cell r="AO16">
            <v>44925</v>
          </cell>
        </row>
        <row r="17">
          <cell r="E17" t="str">
            <v>OXXO</v>
          </cell>
          <cell r="F17" t="str">
            <v>ANTONIO BELLET</v>
          </cell>
          <cell r="G17" t="str">
            <v>ANTONIO BELLET 145</v>
          </cell>
          <cell r="H17" t="str">
            <v>PROVIDENCIA</v>
          </cell>
          <cell r="I17" t="str">
            <v>METROPOLITANA</v>
          </cell>
          <cell r="J17" t="str">
            <v>50OVN</v>
          </cell>
          <cell r="K17" t="str">
            <v>cl-antoniobellet@tiendas.oxxo.com</v>
          </cell>
          <cell r="L17" t="str">
            <v>TMCB</v>
          </cell>
          <cell r="M17" t="str">
            <v>RECESO</v>
          </cell>
          <cell r="N17" t="str">
            <v>ABC1</v>
          </cell>
          <cell r="O17" t="str">
            <v>NO</v>
          </cell>
          <cell r="P17" t="str">
            <v>COMPLETA</v>
          </cell>
          <cell r="Q17" t="str">
            <v>NO</v>
          </cell>
          <cell r="R17" t="str">
            <v>NO</v>
          </cell>
          <cell r="S17" t="str">
            <v>NO</v>
          </cell>
          <cell r="T17" t="str">
            <v>BRESCIA RIVERA RODRIGO</v>
          </cell>
          <cell r="U17" t="str">
            <v>rodrigo.brescia@oxxo.com</v>
          </cell>
          <cell r="V17">
            <v>56994777909</v>
          </cell>
          <cell r="W17" t="str">
            <v>LOPEZ MEZA LUIS JOSÉ</v>
          </cell>
          <cell r="X17" t="str">
            <v>luis.lopez@oxxo.com</v>
          </cell>
          <cell r="Y17">
            <v>56933740505</v>
          </cell>
          <cell r="Z17" t="str">
            <v>JUDITH CRISTINA BALTODANO JARA</v>
          </cell>
          <cell r="AA17">
            <v>56934193761</v>
          </cell>
          <cell r="AB17">
            <v>0.29166666666666669</v>
          </cell>
          <cell r="AC17">
            <v>0.91666666666666663</v>
          </cell>
          <cell r="AD17">
            <v>0.29166666666666669</v>
          </cell>
          <cell r="AE17">
            <v>0.99305555555555547</v>
          </cell>
          <cell r="AF17">
            <v>0.33333333333333331</v>
          </cell>
          <cell r="AG17">
            <v>0.99305555555555547</v>
          </cell>
          <cell r="AH17">
            <v>0.39583333333333331</v>
          </cell>
          <cell r="AI17">
            <v>0.84375</v>
          </cell>
          <cell r="AJ17">
            <v>0.39583333333333331</v>
          </cell>
          <cell r="AK17">
            <v>0.91666666666666663</v>
          </cell>
          <cell r="AL17" t="str">
            <v>12HRS</v>
          </cell>
          <cell r="AM17" t="str">
            <v>ROBERTO POBLETE</v>
          </cell>
          <cell r="AO17">
            <v>43462</v>
          </cell>
        </row>
        <row r="18">
          <cell r="E18" t="str">
            <v>OXXO - EX OKM</v>
          </cell>
          <cell r="F18" t="str">
            <v>ANTONIO VARAS</v>
          </cell>
          <cell r="G18" t="str">
            <v> AV. ANTONIO VARAS 2284</v>
          </cell>
          <cell r="H18" t="str">
            <v>ÑUÑOA</v>
          </cell>
          <cell r="I18" t="str">
            <v>METROPOLITANA</v>
          </cell>
          <cell r="J18" t="str">
            <v>50OAV</v>
          </cell>
          <cell r="K18" t="str">
            <v>cl-antoniovaras@tiendas.oxxo.com</v>
          </cell>
          <cell r="L18" t="str">
            <v>TMCB</v>
          </cell>
          <cell r="M18" t="str">
            <v>BASE</v>
          </cell>
          <cell r="N18" t="str">
            <v>C2</v>
          </cell>
          <cell r="O18" t="str">
            <v>SI</v>
          </cell>
          <cell r="P18" t="str">
            <v>COMPLETA</v>
          </cell>
          <cell r="Q18" t="str">
            <v>NO</v>
          </cell>
          <cell r="R18" t="str">
            <v>NO</v>
          </cell>
          <cell r="S18" t="str">
            <v>NO</v>
          </cell>
          <cell r="T18" t="str">
            <v>BRESCIA RIVERA RODRIGO</v>
          </cell>
          <cell r="U18" t="str">
            <v>rodrigo.brescia@oxxo.com</v>
          </cell>
          <cell r="V18">
            <v>56994777909</v>
          </cell>
          <cell r="W18" t="str">
            <v>RUIZ FERRER VANNA</v>
          </cell>
          <cell r="X18" t="str">
            <v>vanna.ruiz@oxxo.com</v>
          </cell>
          <cell r="Y18">
            <v>56994441705</v>
          </cell>
          <cell r="Z18" t="str">
            <v>NOEMI LEONOR ROMERO VERA</v>
          </cell>
          <cell r="AA18">
            <v>56992201942</v>
          </cell>
          <cell r="AB18">
            <v>0.29166666666666669</v>
          </cell>
          <cell r="AC18">
            <v>0.95833333333333337</v>
          </cell>
          <cell r="AD18">
            <v>0.29166666666666669</v>
          </cell>
          <cell r="AE18">
            <v>0.99305555555555558</v>
          </cell>
          <cell r="AF18">
            <v>0.33333333333333331</v>
          </cell>
          <cell r="AG18">
            <v>0.99305555555555558</v>
          </cell>
          <cell r="AH18">
            <v>0.4375</v>
          </cell>
          <cell r="AI18">
            <v>0.88541666666666663</v>
          </cell>
          <cell r="AJ18">
            <v>0.375</v>
          </cell>
          <cell r="AK18">
            <v>0.95833333333333337</v>
          </cell>
          <cell r="AL18" t="str">
            <v>12HRS</v>
          </cell>
          <cell r="AM18" t="str">
            <v>ROBERTO POBLETE</v>
          </cell>
          <cell r="AO18">
            <v>45079</v>
          </cell>
        </row>
        <row r="19">
          <cell r="E19" t="str">
            <v>OXXO</v>
          </cell>
          <cell r="F19" t="str">
            <v>APOQUINDO 1</v>
          </cell>
          <cell r="G19" t="str">
            <v>AV.APOQUINDO 4871</v>
          </cell>
          <cell r="H19" t="str">
            <v>LAS CONDES</v>
          </cell>
          <cell r="I19" t="str">
            <v>METROPOLITANA</v>
          </cell>
          <cell r="J19" t="str">
            <v>50VLX</v>
          </cell>
          <cell r="K19" t="str">
            <v>cl-apoquindo1@tiendas.oxxo.com</v>
          </cell>
          <cell r="L19" t="str">
            <v>TMCB</v>
          </cell>
          <cell r="M19" t="str">
            <v>BASE</v>
          </cell>
          <cell r="N19" t="str">
            <v>ABC1</v>
          </cell>
          <cell r="O19" t="str">
            <v>SI</v>
          </cell>
          <cell r="P19" t="str">
            <v>COMPLETA</v>
          </cell>
          <cell r="Q19" t="str">
            <v>SI</v>
          </cell>
          <cell r="R19" t="str">
            <v>SI</v>
          </cell>
          <cell r="S19" t="str">
            <v>NO</v>
          </cell>
          <cell r="T19" t="str">
            <v>SESA DIEGO MIGUEL</v>
          </cell>
          <cell r="U19" t="str">
            <v>diego.sesa@oxxo.com</v>
          </cell>
          <cell r="V19">
            <v>56954238682</v>
          </cell>
          <cell r="W19" t="str">
            <v>GAMERRE URZUA CECILIA</v>
          </cell>
          <cell r="X19" t="str">
            <v>cecilia.gamerre@oxxo.com</v>
          </cell>
          <cell r="Y19">
            <v>56992076485</v>
          </cell>
          <cell r="Z19" t="str">
            <v>MARIA VICTORIA ALVAREZ MONAGAS</v>
          </cell>
          <cell r="AA19">
            <v>56950264199</v>
          </cell>
          <cell r="AB19">
            <v>0.29166666666666669</v>
          </cell>
          <cell r="AC19">
            <v>0.95833333333333337</v>
          </cell>
          <cell r="AD19">
            <v>0.29166666666666669</v>
          </cell>
          <cell r="AE19">
            <v>0.99305555555555558</v>
          </cell>
          <cell r="AF19">
            <v>0.33333333333333331</v>
          </cell>
          <cell r="AG19">
            <v>0.99305555555555558</v>
          </cell>
          <cell r="AH19">
            <v>0.4375</v>
          </cell>
          <cell r="AI19">
            <v>0.88541666666666663</v>
          </cell>
          <cell r="AJ19">
            <v>0.375</v>
          </cell>
          <cell r="AK19">
            <v>0.95833333333333337</v>
          </cell>
          <cell r="AL19" t="str">
            <v>12HRS</v>
          </cell>
          <cell r="AM19" t="str">
            <v>PAULA HUERTA</v>
          </cell>
          <cell r="AO19">
            <v>43173</v>
          </cell>
        </row>
        <row r="20">
          <cell r="E20" t="str">
            <v>OXXO</v>
          </cell>
          <cell r="F20" t="str">
            <v>APOQUINDO 2</v>
          </cell>
          <cell r="G20" t="str">
            <v>AV.APOQUINDO 3910 LOCAL 3  </v>
          </cell>
          <cell r="H20" t="str">
            <v>LAS CONDES</v>
          </cell>
          <cell r="I20" t="str">
            <v>METROPOLITANA</v>
          </cell>
          <cell r="J20" t="str">
            <v>50NRA</v>
          </cell>
          <cell r="K20" t="str">
            <v>cl-apoquindo2@tiendas.oxxo.com</v>
          </cell>
          <cell r="L20" t="str">
            <v>TMCB</v>
          </cell>
          <cell r="M20" t="str">
            <v>BASE</v>
          </cell>
          <cell r="N20" t="str">
            <v>ABC1</v>
          </cell>
          <cell r="O20" t="str">
            <v>NO</v>
          </cell>
          <cell r="P20" t="str">
            <v>COMPLETA</v>
          </cell>
          <cell r="Q20" t="str">
            <v>NO</v>
          </cell>
          <cell r="R20" t="str">
            <v>NO</v>
          </cell>
          <cell r="S20" t="str">
            <v>NO</v>
          </cell>
          <cell r="T20" t="str">
            <v>SESA DIEGO MIGUEL</v>
          </cell>
          <cell r="U20" t="str">
            <v>diego.sesa@oxxo.com</v>
          </cell>
          <cell r="V20">
            <v>56954238682</v>
          </cell>
          <cell r="W20" t="str">
            <v>GAMERRE URZUA CECILIA</v>
          </cell>
          <cell r="X20" t="str">
            <v>cecilia.gamerre@oxxo.com</v>
          </cell>
          <cell r="Y20">
            <v>56992076485</v>
          </cell>
          <cell r="Z20" t="str">
            <v>LAURA MERCEDES QUINTERO BERMUDEZ</v>
          </cell>
          <cell r="AA20">
            <v>56995699469</v>
          </cell>
          <cell r="AB20">
            <v>0.29166666666666669</v>
          </cell>
          <cell r="AC20">
            <v>0.95833333333333337</v>
          </cell>
          <cell r="AD20">
            <v>0.29166666666666669</v>
          </cell>
          <cell r="AE20">
            <v>0.99305555555555558</v>
          </cell>
          <cell r="AF20">
            <v>0.33333333333333331</v>
          </cell>
          <cell r="AG20">
            <v>0.99305555555555558</v>
          </cell>
          <cell r="AH20">
            <v>0.4375</v>
          </cell>
          <cell r="AI20">
            <v>0.88541666666666663</v>
          </cell>
          <cell r="AJ20">
            <v>0.375</v>
          </cell>
          <cell r="AK20">
            <v>0.95833333333333337</v>
          </cell>
          <cell r="AL20" t="str">
            <v>12HRS</v>
          </cell>
          <cell r="AM20" t="str">
            <v>PAULA HUERTA</v>
          </cell>
          <cell r="AO20">
            <v>43089</v>
          </cell>
        </row>
        <row r="21">
          <cell r="E21" t="str">
            <v>OXXO</v>
          </cell>
          <cell r="F21" t="str">
            <v>APOQUINDO 4</v>
          </cell>
          <cell r="G21" t="str">
            <v>AV.APOQUINDO 5090  </v>
          </cell>
          <cell r="H21" t="str">
            <v>LAS CONDES</v>
          </cell>
          <cell r="I21" t="str">
            <v>METROPOLITANA</v>
          </cell>
          <cell r="J21" t="str">
            <v>50SLM</v>
          </cell>
          <cell r="K21" t="str">
            <v>cl-apoquindo4@tiendas.oxxo.com</v>
          </cell>
          <cell r="L21" t="str">
            <v>TMCB</v>
          </cell>
          <cell r="M21" t="str">
            <v>BASE</v>
          </cell>
          <cell r="N21" t="str">
            <v>ABC1</v>
          </cell>
          <cell r="O21" t="str">
            <v>NO</v>
          </cell>
          <cell r="P21" t="str">
            <v>COMPLETA</v>
          </cell>
          <cell r="Q21" t="str">
            <v>NO</v>
          </cell>
          <cell r="R21" t="str">
            <v>NO</v>
          </cell>
          <cell r="S21" t="str">
            <v>NO</v>
          </cell>
          <cell r="T21" t="str">
            <v>SESA DIEGO MIGUEL</v>
          </cell>
          <cell r="U21" t="str">
            <v>diego.sesa@oxxo.com</v>
          </cell>
          <cell r="V21">
            <v>56954238682</v>
          </cell>
          <cell r="W21" t="str">
            <v>GAMERRE URZUA CECILIA</v>
          </cell>
          <cell r="X21" t="str">
            <v>cecilia.gamerre@oxxo.com</v>
          </cell>
          <cell r="Y21">
            <v>56992076485</v>
          </cell>
          <cell r="Z21" t="str">
            <v>CRISTIAN PARRA CALFIQUEO</v>
          </cell>
          <cell r="AA21">
            <v>56992037298</v>
          </cell>
          <cell r="AB21">
            <v>0.29166666666666669</v>
          </cell>
          <cell r="AC21">
            <v>0.95833333333333337</v>
          </cell>
          <cell r="AD21">
            <v>0.29166666666666669</v>
          </cell>
          <cell r="AE21">
            <v>0.99305555555555558</v>
          </cell>
          <cell r="AF21">
            <v>0.33333333333333331</v>
          </cell>
          <cell r="AG21">
            <v>0.99305555555555558</v>
          </cell>
          <cell r="AH21">
            <v>0.4375</v>
          </cell>
          <cell r="AI21">
            <v>0.88541666666666663</v>
          </cell>
          <cell r="AJ21">
            <v>0.375</v>
          </cell>
          <cell r="AK21">
            <v>0.95833333333333337</v>
          </cell>
          <cell r="AL21" t="str">
            <v>12HRS</v>
          </cell>
          <cell r="AM21" t="str">
            <v>PAULA HUERTA</v>
          </cell>
          <cell r="AO21">
            <v>43172</v>
          </cell>
        </row>
        <row r="22">
          <cell r="E22" t="str">
            <v>OXXO</v>
          </cell>
          <cell r="F22" t="str">
            <v>APOQUINDO 6</v>
          </cell>
          <cell r="G22" t="str">
            <v>AV.APOQUINDO 3068</v>
          </cell>
          <cell r="H22" t="str">
            <v>LAS CONDES</v>
          </cell>
          <cell r="I22" t="str">
            <v>METROPOLITANA</v>
          </cell>
          <cell r="J22" t="str">
            <v>50CRX</v>
          </cell>
          <cell r="K22" t="str">
            <v>cl-apoquindo6@tiendas.oxxo.com</v>
          </cell>
          <cell r="L22" t="str">
            <v>TMCB</v>
          </cell>
          <cell r="M22" t="str">
            <v>BASE</v>
          </cell>
          <cell r="N22" t="str">
            <v>ABC1</v>
          </cell>
          <cell r="O22" t="str">
            <v>SI</v>
          </cell>
          <cell r="P22" t="str">
            <v>COMPLETA</v>
          </cell>
          <cell r="Q22" t="str">
            <v>SI</v>
          </cell>
          <cell r="R22" t="str">
            <v>SI</v>
          </cell>
          <cell r="S22" t="str">
            <v>NO</v>
          </cell>
          <cell r="T22" t="str">
            <v>SESA DIEGO MIGUEL</v>
          </cell>
          <cell r="U22" t="str">
            <v>diego.sesa@oxxo.com</v>
          </cell>
          <cell r="V22">
            <v>56954238682</v>
          </cell>
          <cell r="W22" t="str">
            <v>GAMERRE URZUA CECILIA</v>
          </cell>
          <cell r="X22" t="str">
            <v>cecilia.gamerre@oxxo.com</v>
          </cell>
          <cell r="Y22">
            <v>56992076485</v>
          </cell>
          <cell r="Z22" t="str">
            <v>ROSA MELISA BELEN ROJAS DIAZ</v>
          </cell>
          <cell r="AA22">
            <v>56992024512</v>
          </cell>
          <cell r="AB22">
            <v>0.29166666666666669</v>
          </cell>
          <cell r="AC22">
            <v>0.95833333333333337</v>
          </cell>
          <cell r="AD22">
            <v>0.29166666666666669</v>
          </cell>
          <cell r="AE22">
            <v>0.99305555555555558</v>
          </cell>
          <cell r="AF22">
            <v>0.33333333333333331</v>
          </cell>
          <cell r="AG22">
            <v>0.99305555555555558</v>
          </cell>
          <cell r="AH22">
            <v>0.39583333333333331</v>
          </cell>
          <cell r="AI22">
            <v>0.84375</v>
          </cell>
          <cell r="AJ22">
            <v>0.375</v>
          </cell>
          <cell r="AK22">
            <v>0.95833333333333337</v>
          </cell>
          <cell r="AL22" t="str">
            <v>12HRS</v>
          </cell>
          <cell r="AM22" t="str">
            <v>PAULA HUERTA</v>
          </cell>
          <cell r="AO22">
            <v>42942</v>
          </cell>
        </row>
        <row r="23">
          <cell r="E23" t="str">
            <v>OXXO</v>
          </cell>
          <cell r="F23" t="str">
            <v>APOQUINDO 7</v>
          </cell>
          <cell r="G23" t="str">
            <v>AV.APOQUINDO 2853</v>
          </cell>
          <cell r="H23" t="str">
            <v>LAS CONDES</v>
          </cell>
          <cell r="I23" t="str">
            <v>METROPOLITANA</v>
          </cell>
          <cell r="J23" t="str">
            <v>50JIO</v>
          </cell>
          <cell r="K23" t="str">
            <v>cl-apoquindo7@tiendas.oxxo.com</v>
          </cell>
          <cell r="L23" t="str">
            <v>TMCB</v>
          </cell>
          <cell r="M23" t="str">
            <v>RECESO</v>
          </cell>
          <cell r="N23" t="str">
            <v>ABC1</v>
          </cell>
          <cell r="O23" t="str">
            <v>SI</v>
          </cell>
          <cell r="P23" t="str">
            <v>COMPLETA</v>
          </cell>
          <cell r="Q23" t="str">
            <v>SI</v>
          </cell>
          <cell r="R23" t="str">
            <v>SI</v>
          </cell>
          <cell r="S23" t="str">
            <v>NO</v>
          </cell>
          <cell r="T23" t="str">
            <v>SESA DIEGO MIGUEL</v>
          </cell>
          <cell r="U23" t="str">
            <v>diego.sesa@oxxo.com</v>
          </cell>
          <cell r="V23">
            <v>56954238682</v>
          </cell>
          <cell r="W23" t="str">
            <v>GAMERRE URZUA CECILIA</v>
          </cell>
          <cell r="X23" t="str">
            <v>cecilia.gamerre@oxxo.com</v>
          </cell>
          <cell r="Y23">
            <v>56992076485</v>
          </cell>
          <cell r="Z23" t="str">
            <v>MARCOS ANTONIO BADILLO GUERRERO</v>
          </cell>
          <cell r="AA23">
            <v>56995699463</v>
          </cell>
          <cell r="AB23">
            <v>0</v>
          </cell>
          <cell r="AC23">
            <v>0.99930555555555556</v>
          </cell>
          <cell r="AD23">
            <v>0</v>
          </cell>
          <cell r="AE23">
            <v>0.99930555555555556</v>
          </cell>
          <cell r="AF23">
            <v>0</v>
          </cell>
          <cell r="AG23">
            <v>0.99930555555555556</v>
          </cell>
          <cell r="AH23">
            <v>0</v>
          </cell>
          <cell r="AI23">
            <v>0.99930555555555556</v>
          </cell>
          <cell r="AJ23">
            <v>0</v>
          </cell>
          <cell r="AK23">
            <v>0.99930555555555556</v>
          </cell>
          <cell r="AL23" t="str">
            <v>24HRS</v>
          </cell>
          <cell r="AM23" t="str">
            <v>PAULA HUERTA</v>
          </cell>
          <cell r="AO23">
            <v>42942</v>
          </cell>
        </row>
        <row r="24">
          <cell r="E24" t="str">
            <v>OXXO</v>
          </cell>
          <cell r="F24" t="str">
            <v>APOQUINDO 8</v>
          </cell>
          <cell r="G24" t="str">
            <v>AV APOQUINDO 4660, LOCAL 102</v>
          </cell>
          <cell r="H24" t="str">
            <v>LAS CONDES</v>
          </cell>
          <cell r="I24" t="str">
            <v>METROPOLITANA</v>
          </cell>
          <cell r="J24" t="str">
            <v>50APO</v>
          </cell>
          <cell r="K24" t="str">
            <v>cl-apoquindo8@tiendas.oxxo.com</v>
          </cell>
          <cell r="L24" t="str">
            <v>TMCB</v>
          </cell>
          <cell r="M24" t="str">
            <v>RECESO</v>
          </cell>
          <cell r="N24" t="str">
            <v>ABC1</v>
          </cell>
          <cell r="O24" t="str">
            <v>NO</v>
          </cell>
          <cell r="P24" t="str">
            <v>COMPLETA</v>
          </cell>
          <cell r="Q24" t="str">
            <v>NO</v>
          </cell>
          <cell r="R24" t="str">
            <v>NO</v>
          </cell>
          <cell r="S24" t="str">
            <v>NO</v>
          </cell>
          <cell r="T24" t="str">
            <v>SESA DIEGO MIGUEL</v>
          </cell>
          <cell r="U24" t="str">
            <v>diego.sesa@oxxo.com</v>
          </cell>
          <cell r="V24">
            <v>56954238682</v>
          </cell>
          <cell r="W24" t="str">
            <v>GAMERRE URZUA CECILIA</v>
          </cell>
          <cell r="X24" t="str">
            <v>cecilia.gamerre@oxxo.com</v>
          </cell>
          <cell r="Y24">
            <v>56992076485</v>
          </cell>
          <cell r="Z24" t="str">
            <v>ERICKA GIOVANNA FERNANDEZ VILLARREAL</v>
          </cell>
          <cell r="AA24">
            <v>56992050168</v>
          </cell>
          <cell r="AB24">
            <v>0.29166666666666669</v>
          </cell>
          <cell r="AC24">
            <v>0.91666666666666663</v>
          </cell>
          <cell r="AD24">
            <v>0.29166666666666669</v>
          </cell>
          <cell r="AE24">
            <v>0.91666666666666663</v>
          </cell>
          <cell r="AF24">
            <v>0.33333333333333331</v>
          </cell>
          <cell r="AG24">
            <v>0.91666666666666663</v>
          </cell>
          <cell r="AH24">
            <v>0.39583333333333331</v>
          </cell>
          <cell r="AI24">
            <v>0.84375</v>
          </cell>
          <cell r="AJ24">
            <v>0.375</v>
          </cell>
          <cell r="AK24">
            <v>0.91666666666666663</v>
          </cell>
          <cell r="AL24" t="str">
            <v>12HRS</v>
          </cell>
          <cell r="AM24" t="str">
            <v>PAULA HUERTA</v>
          </cell>
          <cell r="AO24">
            <v>44617</v>
          </cell>
        </row>
        <row r="25">
          <cell r="E25" t="str">
            <v>OXXO</v>
          </cell>
          <cell r="F25" t="str">
            <v>APOQUINDO LOS MILITARES</v>
          </cell>
          <cell r="G25" t="str">
            <v>LOS MILITARES 4777, LOCAL 104</v>
          </cell>
          <cell r="H25" t="str">
            <v>LAS CONDES</v>
          </cell>
          <cell r="I25" t="str">
            <v>METROPOLITANA</v>
          </cell>
          <cell r="J25" t="str">
            <v>50ALM</v>
          </cell>
          <cell r="K25" t="str">
            <v>cl-apoquindolosmilitares@tiendas.oxxo.com</v>
          </cell>
          <cell r="L25" t="str">
            <v>TMCB</v>
          </cell>
          <cell r="M25" t="str">
            <v>RECESO</v>
          </cell>
          <cell r="N25" t="str">
            <v>ABC1</v>
          </cell>
          <cell r="O25" t="str">
            <v>SI</v>
          </cell>
          <cell r="P25" t="str">
            <v>COMPLETA</v>
          </cell>
          <cell r="Q25" t="str">
            <v>NO</v>
          </cell>
          <cell r="R25" t="str">
            <v>SI</v>
          </cell>
          <cell r="S25" t="str">
            <v>NO</v>
          </cell>
          <cell r="T25" t="str">
            <v>SESA DIEGO MIGUEL</v>
          </cell>
          <cell r="U25" t="str">
            <v>diego.sesa@oxxo.com</v>
          </cell>
          <cell r="V25">
            <v>56954238682</v>
          </cell>
          <cell r="W25" t="str">
            <v>GAMERRE URZUA CECILIA</v>
          </cell>
          <cell r="X25" t="str">
            <v>cecilia.gamerre@oxxo.com</v>
          </cell>
          <cell r="Y25">
            <v>56992076485</v>
          </cell>
          <cell r="Z25" t="str">
            <v>ROSMERY PATRICIA FERNANDEZ RIOS</v>
          </cell>
          <cell r="AA25">
            <v>56993910079</v>
          </cell>
          <cell r="AB25">
            <v>0.29166666666666669</v>
          </cell>
          <cell r="AC25">
            <v>0.95833333333333337</v>
          </cell>
          <cell r="AD25">
            <v>0.29166666666666669</v>
          </cell>
          <cell r="AE25">
            <v>0.99305555555555558</v>
          </cell>
          <cell r="AF25">
            <v>0.33333333333333331</v>
          </cell>
          <cell r="AG25">
            <v>0.99305555555555558</v>
          </cell>
          <cell r="AH25">
            <v>0.375</v>
          </cell>
          <cell r="AI25">
            <v>0.70833333333333337</v>
          </cell>
          <cell r="AJ25">
            <v>0.375</v>
          </cell>
          <cell r="AK25">
            <v>0.91666666666666663</v>
          </cell>
          <cell r="AL25" t="str">
            <v>12HRS</v>
          </cell>
          <cell r="AM25" t="str">
            <v>PAULA HUERTA</v>
          </cell>
          <cell r="AO25">
            <v>44166</v>
          </cell>
        </row>
        <row r="26">
          <cell r="E26" t="str">
            <v>OXXO</v>
          </cell>
          <cell r="F26" t="str">
            <v>APOQUINDO SANTA MAGDALENA</v>
          </cell>
          <cell r="G26" t="str">
            <v>AV.APOQUINDO 7821. LOCAL 1</v>
          </cell>
          <cell r="H26" t="str">
            <v>LAS CONDES</v>
          </cell>
          <cell r="I26" t="str">
            <v>METROPOLITANA</v>
          </cell>
          <cell r="J26" t="str">
            <v>50ASM</v>
          </cell>
          <cell r="K26" t="str">
            <v>cl-santamagdalena@tiendas.oxxo.com</v>
          </cell>
          <cell r="L26" t="str">
            <v>TMCB</v>
          </cell>
          <cell r="M26" t="str">
            <v>BASE</v>
          </cell>
          <cell r="N26" t="str">
            <v>ABC1</v>
          </cell>
          <cell r="O26" t="str">
            <v>NO</v>
          </cell>
          <cell r="P26" t="str">
            <v>COMPLETA</v>
          </cell>
          <cell r="Q26" t="str">
            <v>NO</v>
          </cell>
          <cell r="R26" t="str">
            <v>NO</v>
          </cell>
          <cell r="S26" t="str">
            <v>NO</v>
          </cell>
          <cell r="T26" t="str">
            <v>SESA DIEGO MIGUEL</v>
          </cell>
          <cell r="U26" t="str">
            <v>diego.sesa@oxxo.com</v>
          </cell>
          <cell r="V26">
            <v>56954238682</v>
          </cell>
          <cell r="W26" t="str">
            <v>GAMERRE URZUA CECILIA</v>
          </cell>
          <cell r="X26" t="str">
            <v>cecilia.gamerre@oxxo.com</v>
          </cell>
          <cell r="Y26">
            <v>56992076485</v>
          </cell>
          <cell r="Z26" t="str">
            <v>LISBETH CORTEZ GOMEZ</v>
          </cell>
          <cell r="AA26">
            <v>56998472949</v>
          </cell>
          <cell r="AB26">
            <v>0.29166666666666669</v>
          </cell>
          <cell r="AC26">
            <v>0.95833333333333337</v>
          </cell>
          <cell r="AD26">
            <v>0.29166666666666669</v>
          </cell>
          <cell r="AE26">
            <v>0.99305555555555558</v>
          </cell>
          <cell r="AF26">
            <v>0.33333333333333331</v>
          </cell>
          <cell r="AG26">
            <v>0.99305555555555558</v>
          </cell>
          <cell r="AH26">
            <v>0.4375</v>
          </cell>
          <cell r="AI26">
            <v>0.88541666666666663</v>
          </cell>
          <cell r="AJ26">
            <v>0.375</v>
          </cell>
          <cell r="AK26">
            <v>0.95833333333333337</v>
          </cell>
          <cell r="AL26" t="str">
            <v>12HRS</v>
          </cell>
          <cell r="AM26" t="str">
            <v>PAULA HUERTA</v>
          </cell>
          <cell r="AO26">
            <v>43817</v>
          </cell>
        </row>
        <row r="27">
          <cell r="E27" t="str">
            <v>OXXO</v>
          </cell>
          <cell r="F27" t="str">
            <v>ARLEGUI</v>
          </cell>
          <cell r="G27" t="str">
            <v>CALLE ARLEGUI 351, LOCAL 110</v>
          </cell>
          <cell r="H27" t="str">
            <v>VIÑA DEL MAR</v>
          </cell>
          <cell r="I27" t="str">
            <v>VALPARAISO</v>
          </cell>
          <cell r="J27" t="str">
            <v>50ARL</v>
          </cell>
          <cell r="K27" t="str">
            <v>cl-arleguivina@tiendas.oxxo.com</v>
          </cell>
          <cell r="L27" t="str">
            <v>TMCB</v>
          </cell>
          <cell r="M27" t="str">
            <v>RECESO</v>
          </cell>
          <cell r="N27" t="str">
            <v>C2</v>
          </cell>
          <cell r="O27" t="str">
            <v>NO</v>
          </cell>
          <cell r="P27" t="str">
            <v>COMPLETA</v>
          </cell>
          <cell r="Q27" t="str">
            <v>SI</v>
          </cell>
          <cell r="R27" t="str">
            <v>NO</v>
          </cell>
          <cell r="S27" t="str">
            <v>NO</v>
          </cell>
          <cell r="T27" t="str">
            <v>SESA DIEGO MIGUEL</v>
          </cell>
          <cell r="U27" t="str">
            <v>diego.sesa@oxxo.com</v>
          </cell>
          <cell r="V27">
            <v>56954238682</v>
          </cell>
          <cell r="W27" t="str">
            <v>RODRÍGUEZ ROBLES MARCELA ALEJANDRA</v>
          </cell>
          <cell r="X27" t="str">
            <v>marcela.rodriguezrobles@oxxo.com</v>
          </cell>
          <cell r="Y27">
            <v>56982335207</v>
          </cell>
          <cell r="Z27" t="str">
            <v>ARSENIO RAFAEL BRITO MARTINEZ</v>
          </cell>
          <cell r="AA27">
            <v>56992054442</v>
          </cell>
          <cell r="AB27">
            <v>0.29166666666666669</v>
          </cell>
          <cell r="AC27">
            <v>0.95833333333333337</v>
          </cell>
          <cell r="AD27">
            <v>0.29166666666666669</v>
          </cell>
          <cell r="AE27">
            <v>0.99305555555555558</v>
          </cell>
          <cell r="AF27">
            <v>0.33333333333333331</v>
          </cell>
          <cell r="AG27">
            <v>0.99305555555555558</v>
          </cell>
          <cell r="AH27">
            <v>0.39583333333333331</v>
          </cell>
          <cell r="AI27">
            <v>0.84375</v>
          </cell>
          <cell r="AJ27">
            <v>0.375</v>
          </cell>
          <cell r="AK27">
            <v>0.95833333333333337</v>
          </cell>
          <cell r="AL27" t="str">
            <v>12HRS</v>
          </cell>
          <cell r="AM27" t="str">
            <v>ROBERTO POBLETE</v>
          </cell>
          <cell r="AO27">
            <v>44424</v>
          </cell>
        </row>
        <row r="28">
          <cell r="E28" t="str">
            <v>OXXO - EX OKM</v>
          </cell>
          <cell r="F28" t="str">
            <v>ARMANDO JARAMILLO</v>
          </cell>
          <cell r="G28" t="str">
            <v>VITACURA 3595</v>
          </cell>
          <cell r="H28" t="str">
            <v>VITACURA</v>
          </cell>
          <cell r="I28" t="str">
            <v>METROPOLITANA</v>
          </cell>
          <cell r="J28" t="str">
            <v>50OAJ</v>
          </cell>
          <cell r="K28" t="str">
            <v>cl-armandojaramillo@tiendas.oxxo.com</v>
          </cell>
          <cell r="L28" t="str">
            <v>TMCB</v>
          </cell>
          <cell r="M28" t="str">
            <v>BASE</v>
          </cell>
          <cell r="N28" t="str">
            <v>ABC1</v>
          </cell>
          <cell r="O28" t="str">
            <v>SI</v>
          </cell>
          <cell r="P28" t="str">
            <v>COMPLETA</v>
          </cell>
          <cell r="Q28" t="str">
            <v>NO</v>
          </cell>
          <cell r="R28" t="str">
            <v>NO</v>
          </cell>
          <cell r="S28" t="str">
            <v>NO</v>
          </cell>
          <cell r="T28" t="str">
            <v>BRESCIA RIVERA RODRIGO</v>
          </cell>
          <cell r="U28" t="str">
            <v>rodrigo.brescia@oxxo.com</v>
          </cell>
          <cell r="V28">
            <v>56994777909</v>
          </cell>
          <cell r="W28" t="str">
            <v>MENDOZA GIL BREYNER JOSE</v>
          </cell>
          <cell r="X28" t="str">
            <v>breyner.mendoza@oxxo.com</v>
          </cell>
          <cell r="Y28">
            <v>56998689425</v>
          </cell>
          <cell r="Z28" t="str">
            <v>LETICIA ISABEL MORALES FLORES</v>
          </cell>
          <cell r="AA28">
            <v>56994340496</v>
          </cell>
          <cell r="AB28">
            <v>0.29166666666666669</v>
          </cell>
          <cell r="AC28">
            <v>0.95833333333333337</v>
          </cell>
          <cell r="AD28">
            <v>0.29166666666666669</v>
          </cell>
          <cell r="AE28">
            <v>0.99305555555555558</v>
          </cell>
          <cell r="AF28">
            <v>0.33333333333333331</v>
          </cell>
          <cell r="AG28">
            <v>0.99305555555555558</v>
          </cell>
          <cell r="AH28">
            <v>0.39583333333333331</v>
          </cell>
          <cell r="AI28">
            <v>0.84375</v>
          </cell>
          <cell r="AJ28">
            <v>0.39583333333333331</v>
          </cell>
          <cell r="AK28">
            <v>0.84375</v>
          </cell>
          <cell r="AL28" t="str">
            <v>12HRS</v>
          </cell>
          <cell r="AM28" t="str">
            <v>PAULA HUERTA</v>
          </cell>
          <cell r="AO28">
            <v>45355</v>
          </cell>
        </row>
        <row r="29">
          <cell r="E29" t="str">
            <v>OXXO</v>
          </cell>
          <cell r="F29" t="str">
            <v>ASTURIAS</v>
          </cell>
          <cell r="G29" t="str">
            <v>ASTURIAS N77, LOCAL 100</v>
          </cell>
          <cell r="H29" t="str">
            <v>LAS CONDES</v>
          </cell>
          <cell r="I29" t="str">
            <v>METROPOLITANA</v>
          </cell>
          <cell r="J29" t="str">
            <v>50FVZ</v>
          </cell>
          <cell r="K29" t="str">
            <v>cl-asturias@tiendas.oxxo.com</v>
          </cell>
          <cell r="L29" t="str">
            <v>TNM</v>
          </cell>
          <cell r="M29" t="str">
            <v>BASE</v>
          </cell>
          <cell r="N29" t="str">
            <v>ABC1</v>
          </cell>
          <cell r="O29" t="str">
            <v>NO</v>
          </cell>
          <cell r="P29" t="str">
            <v>PARCIAL</v>
          </cell>
          <cell r="Q29" t="str">
            <v>NO</v>
          </cell>
          <cell r="R29" t="str">
            <v>NO</v>
          </cell>
          <cell r="S29" t="str">
            <v>NO</v>
          </cell>
          <cell r="T29" t="str">
            <v>SESA DIEGO MIGUEL</v>
          </cell>
          <cell r="U29" t="str">
            <v>diego.sesa@oxxo.com</v>
          </cell>
          <cell r="V29">
            <v>56954238682</v>
          </cell>
          <cell r="W29" t="str">
            <v>GAMERRE URZUA CECILIA</v>
          </cell>
          <cell r="X29" t="str">
            <v>cecilia.gamerre@oxxo.com</v>
          </cell>
          <cell r="Y29">
            <v>56992076485</v>
          </cell>
          <cell r="Z29" t="str">
            <v>JOSE MIGUEL RODRIGUEZ ALCALA</v>
          </cell>
          <cell r="AB29">
            <v>0.29166666666666669</v>
          </cell>
          <cell r="AC29">
            <v>0.95833333333333337</v>
          </cell>
          <cell r="AD29">
            <v>0.29166666666666669</v>
          </cell>
          <cell r="AE29">
            <v>0.99305555555555547</v>
          </cell>
          <cell r="AF29">
            <v>0.33333333333333331</v>
          </cell>
          <cell r="AG29">
            <v>0.99305555555555547</v>
          </cell>
          <cell r="AH29">
            <v>0.39583333333333331</v>
          </cell>
          <cell r="AI29">
            <v>0.84375</v>
          </cell>
          <cell r="AJ29">
            <v>0.375</v>
          </cell>
          <cell r="AK29">
            <v>0.95833333333333337</v>
          </cell>
          <cell r="AL29" t="str">
            <v>12HRS</v>
          </cell>
          <cell r="AM29" t="str">
            <v>PAULA HUERTA</v>
          </cell>
          <cell r="AO29">
            <v>45216</v>
          </cell>
        </row>
        <row r="30">
          <cell r="E30" t="str">
            <v>OXXO</v>
          </cell>
          <cell r="F30" t="str">
            <v>AV ARGENTINA 2</v>
          </cell>
          <cell r="G30" t="str">
            <v>AV. ARGENTINA N 268</v>
          </cell>
          <cell r="H30" t="str">
            <v>VALPARAÍSO</v>
          </cell>
          <cell r="I30" t="str">
            <v>VALPARAISO</v>
          </cell>
          <cell r="J30" t="str">
            <v>50Z8X</v>
          </cell>
          <cell r="K30" t="str">
            <v>cl-avargentina2@tiendas.oxxo.com</v>
          </cell>
          <cell r="L30" t="str">
            <v>TNM</v>
          </cell>
          <cell r="M30" t="str">
            <v>RECESO</v>
          </cell>
          <cell r="O30" t="str">
            <v>NO</v>
          </cell>
          <cell r="P30" t="str">
            <v>COMPLETA</v>
          </cell>
          <cell r="Q30" t="str">
            <v>NO</v>
          </cell>
          <cell r="R30" t="str">
            <v>NO</v>
          </cell>
          <cell r="S30" t="str">
            <v>NO</v>
          </cell>
          <cell r="T30" t="str">
            <v>SESA DIEGO MIGUEL</v>
          </cell>
          <cell r="U30" t="str">
            <v>diego.sesa@oxxo.com</v>
          </cell>
          <cell r="V30">
            <v>56954238682</v>
          </cell>
          <cell r="W30" t="str">
            <v>RODRÍGUEZ ROBLES MARCELA ALEJANDRA</v>
          </cell>
          <cell r="X30" t="str">
            <v>marcela.rodriguezrobles@oxxo.com</v>
          </cell>
          <cell r="Y30">
            <v>56982335207</v>
          </cell>
          <cell r="Z30" t="str">
            <v>ROXANA ALEJANDRA GONZALEZ ALONSO</v>
          </cell>
          <cell r="AA30">
            <v>56958246483</v>
          </cell>
          <cell r="AB30">
            <v>0.29166666666666669</v>
          </cell>
          <cell r="AC30">
            <v>0.95833333333333337</v>
          </cell>
          <cell r="AD30">
            <v>0.29166666666666669</v>
          </cell>
          <cell r="AE30">
            <v>0.99305555555555558</v>
          </cell>
          <cell r="AF30">
            <v>0.33333333333333331</v>
          </cell>
          <cell r="AG30">
            <v>0.99305555555555558</v>
          </cell>
          <cell r="AH30">
            <v>0.39583333333333331</v>
          </cell>
          <cell r="AI30">
            <v>0.84375</v>
          </cell>
          <cell r="AJ30">
            <v>0.39583333333333331</v>
          </cell>
          <cell r="AK30">
            <v>0.84375</v>
          </cell>
          <cell r="AL30" t="str">
            <v>12HRS</v>
          </cell>
          <cell r="AM30" t="str">
            <v>ROBERTO POBLETE</v>
          </cell>
          <cell r="AO30">
            <v>45412</v>
          </cell>
        </row>
        <row r="31">
          <cell r="E31" t="str">
            <v>OXXO</v>
          </cell>
          <cell r="F31" t="str">
            <v>BADAJOZ</v>
          </cell>
          <cell r="G31" t="str">
            <v>BADAJOZ 45 1-B</v>
          </cell>
          <cell r="H31" t="str">
            <v>LAS CONDES</v>
          </cell>
          <cell r="I31" t="str">
            <v>METROPOLITANA</v>
          </cell>
          <cell r="J31" t="str">
            <v>50OJJ</v>
          </cell>
          <cell r="K31" t="str">
            <v>cl-badajoz@tiendas.oxxo.com</v>
          </cell>
          <cell r="L31" t="str">
            <v>TMCB</v>
          </cell>
          <cell r="M31" t="str">
            <v>RECESO</v>
          </cell>
          <cell r="N31" t="str">
            <v>ABC1</v>
          </cell>
          <cell r="O31" t="str">
            <v>NO</v>
          </cell>
          <cell r="P31" t="str">
            <v>COMPLETA</v>
          </cell>
          <cell r="Q31" t="str">
            <v>NO</v>
          </cell>
          <cell r="R31" t="str">
            <v>NO</v>
          </cell>
          <cell r="S31" t="str">
            <v>NO</v>
          </cell>
          <cell r="T31" t="str">
            <v>SESA DIEGO MIGUEL</v>
          </cell>
          <cell r="U31" t="str">
            <v>diego.sesa@oxxo.com</v>
          </cell>
          <cell r="V31">
            <v>56954238682</v>
          </cell>
          <cell r="W31" t="str">
            <v>GAMERRE URZUA CECILIA</v>
          </cell>
          <cell r="X31" t="str">
            <v>cecilia.gamerre@oxxo.com</v>
          </cell>
          <cell r="Y31">
            <v>56992076485</v>
          </cell>
          <cell r="Z31" t="str">
            <v>JOSEFA ELINA ORTIZ ATENCIO</v>
          </cell>
          <cell r="AA31">
            <v>56983491672</v>
          </cell>
          <cell r="AB31">
            <v>0.29166666666666669</v>
          </cell>
          <cell r="AC31">
            <v>0.91666666666666663</v>
          </cell>
          <cell r="AD31">
            <v>0.29166666666666669</v>
          </cell>
          <cell r="AE31">
            <v>0.91666666666666663</v>
          </cell>
          <cell r="AF31">
            <v>0.33333333333333331</v>
          </cell>
          <cell r="AG31">
            <v>0.75</v>
          </cell>
          <cell r="AH31" t="str">
            <v>Cerrado</v>
          </cell>
          <cell r="AI31" t="str">
            <v>Cerrado</v>
          </cell>
          <cell r="AJ31">
            <v>0.4375</v>
          </cell>
          <cell r="AK31">
            <v>0.70833333333333337</v>
          </cell>
          <cell r="AL31" t="str">
            <v>12HRS</v>
          </cell>
          <cell r="AM31" t="str">
            <v>PAULA HUERTA</v>
          </cell>
          <cell r="AO31">
            <v>44875</v>
          </cell>
        </row>
        <row r="32">
          <cell r="E32" t="str">
            <v>OXXO</v>
          </cell>
          <cell r="F32" t="str">
            <v>SANTA ROSA PORVENIR</v>
          </cell>
          <cell r="G32" t="str">
            <v>SANTA ROSA 977 LOCAL 1</v>
          </cell>
          <cell r="H32" t="str">
            <v>SANTIAGO</v>
          </cell>
          <cell r="I32" t="str">
            <v>METROPOLITANA</v>
          </cell>
          <cell r="J32" t="str">
            <v>50XFE</v>
          </cell>
          <cell r="K32" t="str">
            <v>cl-santarosaporvenir@tiendas.oxxo.com</v>
          </cell>
          <cell r="L32" t="str">
            <v>TMCB</v>
          </cell>
          <cell r="M32" t="str">
            <v>HOGAR</v>
          </cell>
          <cell r="N32" t="str">
            <v>C2</v>
          </cell>
          <cell r="O32" t="str">
            <v>NO</v>
          </cell>
          <cell r="P32" t="str">
            <v>COMPLETA</v>
          </cell>
          <cell r="T32" t="str">
            <v>SERRANO SOTO MANUEL</v>
          </cell>
          <cell r="U32" t="str">
            <v>manuel.serrano@oxxo.com</v>
          </cell>
          <cell r="V32">
            <v>56940201885</v>
          </cell>
          <cell r="W32" t="str">
            <v>RIQUELME ESTAY ROBERTO</v>
          </cell>
          <cell r="X32" t="str">
            <v/>
          </cell>
          <cell r="Y32" t="str">
            <v/>
          </cell>
          <cell r="Z32" t="str">
            <v>BELKIS YILENI ZAMBRANO PEÑA</v>
          </cell>
          <cell r="AL32" t="str">
            <v>12HRS</v>
          </cell>
          <cell r="AO32">
            <v>43733</v>
          </cell>
        </row>
        <row r="33">
          <cell r="E33" t="str">
            <v>OXXO</v>
          </cell>
          <cell r="F33" t="str">
            <v>BALMORAL ALONSO DE CORDOVA</v>
          </cell>
          <cell r="G33" t="str">
            <v>CALLE ALONSO DE CORDOVA 5870</v>
          </cell>
          <cell r="H33" t="str">
            <v>LAS CONDES</v>
          </cell>
          <cell r="I33" t="str">
            <v>METROPOLITANA</v>
          </cell>
          <cell r="J33" t="str">
            <v>50AMA</v>
          </cell>
          <cell r="K33" t="str">
            <v>cl-balmoral@tiendas.oxxo.com</v>
          </cell>
          <cell r="L33" t="str">
            <v>TMCB</v>
          </cell>
          <cell r="M33" t="str">
            <v>BASE</v>
          </cell>
          <cell r="N33" t="str">
            <v>ABC1</v>
          </cell>
          <cell r="O33" t="str">
            <v>NO</v>
          </cell>
          <cell r="P33" t="str">
            <v>COMPLETA</v>
          </cell>
          <cell r="Q33" t="str">
            <v>NO</v>
          </cell>
          <cell r="R33" t="str">
            <v>NO</v>
          </cell>
          <cell r="S33" t="str">
            <v>NO</v>
          </cell>
          <cell r="T33" t="str">
            <v>BRESCIA RIVERA RODRIGO</v>
          </cell>
          <cell r="U33" t="str">
            <v>rodrigo.brescia@oxxo.com</v>
          </cell>
          <cell r="V33">
            <v>56994777909</v>
          </cell>
          <cell r="W33" t="str">
            <v>MONTT FUENTES JAIME IGNACIO</v>
          </cell>
          <cell r="X33" t="str">
            <v>jaime.montt@oxxo.com</v>
          </cell>
          <cell r="Y33">
            <v>56974820182</v>
          </cell>
          <cell r="Z33" t="str">
            <v>CRISTINA ELIZABETH LONGA SABOYA</v>
          </cell>
          <cell r="AA33">
            <v>56934193762</v>
          </cell>
          <cell r="AB33">
            <v>0.29166666666666669</v>
          </cell>
          <cell r="AC33">
            <v>0.91666666666666663</v>
          </cell>
          <cell r="AD33">
            <v>0.29166666666666669</v>
          </cell>
          <cell r="AE33">
            <v>0.91666666666666663</v>
          </cell>
          <cell r="AF33">
            <v>0.33333333333333331</v>
          </cell>
          <cell r="AG33">
            <v>0.70833333333333337</v>
          </cell>
          <cell r="AH33" t="str">
            <v>Cerrado</v>
          </cell>
          <cell r="AI33" t="str">
            <v>Cerrado</v>
          </cell>
          <cell r="AJ33">
            <v>0.375</v>
          </cell>
          <cell r="AK33">
            <v>0.70833333333333337</v>
          </cell>
          <cell r="AL33" t="str">
            <v>12HRS</v>
          </cell>
          <cell r="AM33" t="str">
            <v>PAULA HUERTA</v>
          </cell>
          <cell r="AO33">
            <v>43454</v>
          </cell>
        </row>
        <row r="34">
          <cell r="E34" t="str">
            <v>OXXO</v>
          </cell>
          <cell r="F34" t="str">
            <v>BANDERA</v>
          </cell>
          <cell r="G34" t="str">
            <v>BANDERA 177</v>
          </cell>
          <cell r="H34" t="str">
            <v>SANTIAGO</v>
          </cell>
          <cell r="I34" t="str">
            <v>METROPOLITANA</v>
          </cell>
          <cell r="J34" t="str">
            <v>50TSA</v>
          </cell>
          <cell r="K34" t="str">
            <v>cl-bandera@tiendas.oxxo.com</v>
          </cell>
          <cell r="L34" t="str">
            <v>TMCB</v>
          </cell>
          <cell r="M34" t="str">
            <v>RECESO</v>
          </cell>
          <cell r="N34" t="str">
            <v>C3</v>
          </cell>
          <cell r="O34" t="str">
            <v>NO</v>
          </cell>
          <cell r="P34" t="str">
            <v>COMPLETA</v>
          </cell>
          <cell r="Q34" t="str">
            <v>NO</v>
          </cell>
          <cell r="R34" t="str">
            <v>NO</v>
          </cell>
          <cell r="S34" t="str">
            <v>NO</v>
          </cell>
          <cell r="T34" t="str">
            <v>BRESCIA RIVERA RODRIGO</v>
          </cell>
          <cell r="U34" t="str">
            <v>rodrigo.brescia@oxxo.com</v>
          </cell>
          <cell r="V34">
            <v>56994777909</v>
          </cell>
          <cell r="W34" t="str">
            <v>LIAZ MONTERO GABRIEL</v>
          </cell>
          <cell r="X34" t="str">
            <v>gabriel.liaz@oxxo.com</v>
          </cell>
          <cell r="Y34">
            <v>56964735260</v>
          </cell>
          <cell r="Z34" t="str">
            <v>VERONICA ANABEL CASTRO CONTRERAS</v>
          </cell>
          <cell r="AA34">
            <v>56981839672</v>
          </cell>
          <cell r="AB34">
            <v>0.29166666666666669</v>
          </cell>
          <cell r="AC34">
            <v>0.875</v>
          </cell>
          <cell r="AD34">
            <v>0.29166666666666669</v>
          </cell>
          <cell r="AE34">
            <v>0.875</v>
          </cell>
          <cell r="AF34">
            <v>0.33333333333333331</v>
          </cell>
          <cell r="AG34">
            <v>0.875</v>
          </cell>
          <cell r="AH34" t="str">
            <v>Cerrado</v>
          </cell>
          <cell r="AI34" t="str">
            <v>Cerrado</v>
          </cell>
          <cell r="AJ34">
            <v>0.375</v>
          </cell>
          <cell r="AK34">
            <v>0.75</v>
          </cell>
          <cell r="AL34" t="str">
            <v>12HRS</v>
          </cell>
          <cell r="AM34" t="str">
            <v>PAULA HUERTA</v>
          </cell>
          <cell r="AO34">
            <v>43397</v>
          </cell>
        </row>
        <row r="35">
          <cell r="E35" t="str">
            <v>OXXO</v>
          </cell>
          <cell r="F35" t="str">
            <v>SANTA ANA - COMPAÑÍA</v>
          </cell>
          <cell r="G35" t="str">
            <v>COMPAÑÍA DE JESÚS 1579, LOCALES 4-5.</v>
          </cell>
          <cell r="H35" t="str">
            <v>SANTIAGO</v>
          </cell>
          <cell r="I35" t="str">
            <v>METROPOLITANA</v>
          </cell>
          <cell r="J35" t="str">
            <v>50HSE</v>
          </cell>
          <cell r="K35" t="str">
            <v>cl-santaanacompania@tiendas.oxxo.com</v>
          </cell>
          <cell r="L35" t="str">
            <v>TMCB</v>
          </cell>
          <cell r="M35" t="str">
            <v>RECESO</v>
          </cell>
          <cell r="O35" t="str">
            <v>NO</v>
          </cell>
          <cell r="P35" t="str">
            <v>COMPLETA</v>
          </cell>
          <cell r="T35" t="str">
            <v>SERRANO SOTO MANUEL</v>
          </cell>
          <cell r="U35" t="str">
            <v>manuel.serrano@oxxo.com</v>
          </cell>
          <cell r="V35">
            <v>56940201885</v>
          </cell>
          <cell r="X35" t="str">
            <v/>
          </cell>
          <cell r="Y35" t="str">
            <v/>
          </cell>
          <cell r="Z35" t="str">
            <v>S/I</v>
          </cell>
          <cell r="AL35" t="str">
            <v>12HRS</v>
          </cell>
          <cell r="AO35">
            <v>43797</v>
          </cell>
        </row>
        <row r="36">
          <cell r="E36" t="str">
            <v>OXXO</v>
          </cell>
          <cell r="F36" t="str">
            <v>BARROS ARANA</v>
          </cell>
          <cell r="G36" t="str">
            <v>BARROS ARANA N374, LOCAL D</v>
          </cell>
          <cell r="H36" t="str">
            <v>CONCEPCIÓN</v>
          </cell>
          <cell r="I36" t="str">
            <v>BIOBIO</v>
          </cell>
          <cell r="J36" t="str">
            <v>50FKT</v>
          </cell>
          <cell r="K36" t="str">
            <v>cl-barrosarana@tiendas.oxxo.com</v>
          </cell>
          <cell r="L36" t="str">
            <v>TMCB</v>
          </cell>
          <cell r="M36" t="str">
            <v>RECESO</v>
          </cell>
          <cell r="N36" t="str">
            <v>C2</v>
          </cell>
          <cell r="O36" t="str">
            <v>NO</v>
          </cell>
          <cell r="P36" t="str">
            <v>COMPLETA</v>
          </cell>
          <cell r="Q36" t="str">
            <v>SI</v>
          </cell>
          <cell r="R36" t="str">
            <v>SI</v>
          </cell>
          <cell r="S36" t="str">
            <v>NO</v>
          </cell>
          <cell r="T36" t="str">
            <v>SESA DIEGO MIGUEL</v>
          </cell>
          <cell r="U36" t="str">
            <v>diego.sesa@oxxo.com</v>
          </cell>
          <cell r="V36">
            <v>56954238682</v>
          </cell>
          <cell r="W36" t="str">
            <v>ZAMBRANO JARA CAROLINA GRACIELA</v>
          </cell>
          <cell r="X36" t="str">
            <v>carolina.zambrano@oxxo.com</v>
          </cell>
          <cell r="Y36">
            <v>56964950188</v>
          </cell>
          <cell r="Z36" t="str">
            <v>PAULINA PROVOSTE CID</v>
          </cell>
          <cell r="AA36">
            <v>56992195367</v>
          </cell>
          <cell r="AB36">
            <v>0.29166666666666669</v>
          </cell>
          <cell r="AC36">
            <v>0.875</v>
          </cell>
          <cell r="AD36">
            <v>0.29166666666666669</v>
          </cell>
          <cell r="AE36">
            <v>0.875</v>
          </cell>
          <cell r="AF36">
            <v>0.33333333333333331</v>
          </cell>
          <cell r="AG36">
            <v>0.875</v>
          </cell>
          <cell r="AH36">
            <v>0.39583333333333331</v>
          </cell>
          <cell r="AI36">
            <v>0.84375</v>
          </cell>
          <cell r="AJ36">
            <v>0.39583333333333331</v>
          </cell>
          <cell r="AK36">
            <v>0.84375</v>
          </cell>
          <cell r="AL36" t="str">
            <v>12HRS</v>
          </cell>
          <cell r="AM36" t="str">
            <v>PAULA HUERTA</v>
          </cell>
          <cell r="AO36">
            <v>45071</v>
          </cell>
        </row>
        <row r="37">
          <cell r="E37" t="str">
            <v>OXXO - DLL</v>
          </cell>
          <cell r="F37" t="str">
            <v>BARROS BORGONO</v>
          </cell>
          <cell r="G37" t="str">
            <v>BARROS BORGOÑO 110 – L101</v>
          </cell>
          <cell r="H37" t="str">
            <v>PROVIDENCIA</v>
          </cell>
          <cell r="I37" t="str">
            <v>METROPOLITANA</v>
          </cell>
          <cell r="J37" t="str">
            <v>5032O</v>
          </cell>
          <cell r="K37" t="str">
            <v>cl-barrosborgono@tiendas.oxxo.com</v>
          </cell>
          <cell r="L37" t="str">
            <v>TMCB</v>
          </cell>
          <cell r="M37" t="str">
            <v>BASE</v>
          </cell>
          <cell r="N37" t="str">
            <v>ABC1</v>
          </cell>
          <cell r="O37" t="str">
            <v>NO</v>
          </cell>
          <cell r="P37" t="str">
            <v>COMPLETA</v>
          </cell>
          <cell r="Q37" t="str">
            <v>NO</v>
          </cell>
          <cell r="R37" t="str">
            <v>NO</v>
          </cell>
          <cell r="S37" t="str">
            <v>NO</v>
          </cell>
          <cell r="T37" t="str">
            <v>BRESCIA RIVERA RODRIGO</v>
          </cell>
          <cell r="U37" t="str">
            <v>rodrigo.brescia@oxxo.com</v>
          </cell>
          <cell r="V37">
            <v>56994777909</v>
          </cell>
          <cell r="W37" t="str">
            <v>LOPEZ MEZA LUIS JOSÉ</v>
          </cell>
          <cell r="X37" t="str">
            <v>luis.lopez@oxxo.com</v>
          </cell>
          <cell r="Y37">
            <v>56933740505</v>
          </cell>
          <cell r="Z37" t="str">
            <v>ANGELICA MARIA GONZALEZ BAPTISTA</v>
          </cell>
          <cell r="AA37">
            <v>56985268946</v>
          </cell>
          <cell r="AB37">
            <v>0.29166666666666669</v>
          </cell>
          <cell r="AC37">
            <v>0.91666666666666663</v>
          </cell>
          <cell r="AD37">
            <v>0.29166666666666669</v>
          </cell>
          <cell r="AE37">
            <v>0.91666666666666663</v>
          </cell>
          <cell r="AF37">
            <v>0.33333333333333331</v>
          </cell>
          <cell r="AG37">
            <v>0.91666666666666663</v>
          </cell>
          <cell r="AH37">
            <v>0.39583333333333331</v>
          </cell>
          <cell r="AI37">
            <v>0.84375</v>
          </cell>
          <cell r="AJ37">
            <v>0.39583333333333331</v>
          </cell>
          <cell r="AK37">
            <v>0.91666666666666663</v>
          </cell>
          <cell r="AL37" t="str">
            <v>12HRS</v>
          </cell>
          <cell r="AM37" t="str">
            <v>ROBERTO POBLETE</v>
          </cell>
          <cell r="AO37">
            <v>44999</v>
          </cell>
        </row>
        <row r="38">
          <cell r="E38" t="str">
            <v>OXXO</v>
          </cell>
          <cell r="F38" t="str">
            <v>BARROS ERRAZURIZ</v>
          </cell>
          <cell r="G38" t="str">
            <v>ALFREDO BARROS ERRAZURIZ 1910 L-102</v>
          </cell>
          <cell r="H38" t="str">
            <v>PROVIDENCIA</v>
          </cell>
          <cell r="I38" t="str">
            <v>METROPOLITANA</v>
          </cell>
          <cell r="J38" t="str">
            <v>50BAR</v>
          </cell>
          <cell r="K38" t="str">
            <v>cl-alfredobarrosarrazuriz@tiendas.oxxo.com</v>
          </cell>
          <cell r="L38" t="str">
            <v>TMCB</v>
          </cell>
          <cell r="M38" t="str">
            <v>BASE</v>
          </cell>
          <cell r="N38" t="str">
            <v>C2</v>
          </cell>
          <cell r="O38" t="str">
            <v>NO</v>
          </cell>
          <cell r="P38" t="str">
            <v>COMPLETA</v>
          </cell>
          <cell r="Q38" t="str">
            <v>NO</v>
          </cell>
          <cell r="R38" t="str">
            <v>NO</v>
          </cell>
          <cell r="S38" t="str">
            <v>NO</v>
          </cell>
          <cell r="T38" t="str">
            <v>BRESCIA RIVERA RODRIGO</v>
          </cell>
          <cell r="U38" t="str">
            <v>rodrigo.brescia@oxxo.com</v>
          </cell>
          <cell r="V38">
            <v>56994777909</v>
          </cell>
          <cell r="W38" t="str">
            <v>LOPEZ MEZA LUIS JOSÉ</v>
          </cell>
          <cell r="X38" t="str">
            <v>luis.lopez@oxxo.com</v>
          </cell>
          <cell r="Y38">
            <v>56933740505</v>
          </cell>
          <cell r="Z38" t="str">
            <v>MARIBIN ELISABET MONTIEL POLANCO</v>
          </cell>
          <cell r="AB38">
            <v>0.29166666666666669</v>
          </cell>
          <cell r="AC38">
            <v>0.91666666666666663</v>
          </cell>
          <cell r="AD38">
            <v>0.29166666666666669</v>
          </cell>
          <cell r="AE38">
            <v>0.91666666666666663</v>
          </cell>
          <cell r="AF38">
            <v>0.33333333333333331</v>
          </cell>
          <cell r="AG38">
            <v>0.91666666666666663</v>
          </cell>
          <cell r="AH38">
            <v>0.39583333333333331</v>
          </cell>
          <cell r="AI38">
            <v>0.84375</v>
          </cell>
          <cell r="AJ38">
            <v>0.375</v>
          </cell>
          <cell r="AK38">
            <v>0.9375</v>
          </cell>
          <cell r="AL38" t="str">
            <v>12HRS</v>
          </cell>
          <cell r="AM38" t="str">
            <v>ROBERTO POBLETE</v>
          </cell>
          <cell r="AO38">
            <v>44554</v>
          </cell>
        </row>
        <row r="39">
          <cell r="E39" t="str">
            <v>OXXO</v>
          </cell>
          <cell r="F39" t="str">
            <v>BILBAO MONTT</v>
          </cell>
          <cell r="G39" t="str">
            <v>AV.MANUEL MONTT 1221,LOCAL 104-105</v>
          </cell>
          <cell r="H39" t="str">
            <v>PROVIDENCIA</v>
          </cell>
          <cell r="I39" t="str">
            <v>METROPOLITANA</v>
          </cell>
          <cell r="J39" t="str">
            <v>50NBN</v>
          </cell>
          <cell r="K39" t="str">
            <v>cl-bilbaomontt@tiendas.oxxo.com</v>
          </cell>
          <cell r="L39" t="str">
            <v>TMCB</v>
          </cell>
          <cell r="M39" t="str">
            <v>BASE</v>
          </cell>
          <cell r="N39" t="str">
            <v>C2</v>
          </cell>
          <cell r="O39" t="str">
            <v>NO</v>
          </cell>
          <cell r="P39" t="str">
            <v>COMPLETA</v>
          </cell>
          <cell r="Q39" t="str">
            <v>NO</v>
          </cell>
          <cell r="R39" t="str">
            <v>NO</v>
          </cell>
          <cell r="S39" t="str">
            <v>NO</v>
          </cell>
          <cell r="T39" t="str">
            <v>BRESCIA RIVERA RODRIGO</v>
          </cell>
          <cell r="U39" t="str">
            <v>rodrigo.brescia@oxxo.com</v>
          </cell>
          <cell r="V39">
            <v>56994777909</v>
          </cell>
          <cell r="W39" t="str">
            <v>BARRIOS BAPTISTA JUAN JOSE</v>
          </cell>
          <cell r="X39" t="str">
            <v>juanj.barrios@oxxo.com</v>
          </cell>
          <cell r="Y39">
            <v>56998642001</v>
          </cell>
          <cell r="Z39" t="str">
            <v>CARLOS RAMON QUIJADA RODRIGUEZ</v>
          </cell>
          <cell r="AA39">
            <v>56988766040</v>
          </cell>
          <cell r="AB39">
            <v>0.29166666666666669</v>
          </cell>
          <cell r="AC39">
            <v>0.91666666666666663</v>
          </cell>
          <cell r="AD39">
            <v>0.29166666666666669</v>
          </cell>
          <cell r="AE39">
            <v>0.91666666666666663</v>
          </cell>
          <cell r="AF39">
            <v>0.33333333333333331</v>
          </cell>
          <cell r="AG39">
            <v>0.91666666666666663</v>
          </cell>
          <cell r="AH39">
            <v>0.39583333333333331</v>
          </cell>
          <cell r="AI39">
            <v>0.84375</v>
          </cell>
          <cell r="AJ39">
            <v>0.375</v>
          </cell>
          <cell r="AK39">
            <v>0.9375</v>
          </cell>
          <cell r="AL39" t="str">
            <v>12HRS</v>
          </cell>
          <cell r="AM39" t="str">
            <v>ROBERTO POBLETE</v>
          </cell>
          <cell r="AO39">
            <v>43089</v>
          </cell>
        </row>
        <row r="40">
          <cell r="E40" t="str">
            <v>OXXO - EX OKM</v>
          </cell>
          <cell r="F40" t="str">
            <v>BROWN NORTE</v>
          </cell>
          <cell r="G40" t="str">
            <v> AV. IRARRAZAVAL 3674</v>
          </cell>
          <cell r="H40" t="str">
            <v>ÑUÑOA</v>
          </cell>
          <cell r="I40" t="str">
            <v>METROPOLITANA</v>
          </cell>
          <cell r="J40" t="str">
            <v>50OBN</v>
          </cell>
          <cell r="K40" t="str">
            <v>cl-brownnorte@tiendas.oxxo.com</v>
          </cell>
          <cell r="L40" t="str">
            <v>TMCB</v>
          </cell>
          <cell r="M40" t="str">
            <v>BASE</v>
          </cell>
          <cell r="N40" t="str">
            <v>ABC1</v>
          </cell>
          <cell r="O40" t="str">
            <v>NO</v>
          </cell>
          <cell r="P40" t="str">
            <v>COMPLETA</v>
          </cell>
          <cell r="Q40" t="str">
            <v>NO</v>
          </cell>
          <cell r="R40" t="str">
            <v>NO</v>
          </cell>
          <cell r="S40" t="str">
            <v>NO</v>
          </cell>
          <cell r="T40" t="str">
            <v>BRESCIA RIVERA RODRIGO</v>
          </cell>
          <cell r="U40" t="str">
            <v>rodrigo.brescia@oxxo.com</v>
          </cell>
          <cell r="V40">
            <v>56994777909</v>
          </cell>
          <cell r="W40" t="str">
            <v>RUIZ FERRER VANNA</v>
          </cell>
          <cell r="X40" t="str">
            <v>vanna.ruiz@oxxo.com</v>
          </cell>
          <cell r="Y40">
            <v>56994441705</v>
          </cell>
          <cell r="Z40" t="str">
            <v>ISRAEL DAVID GARCIA MARTINEZ</v>
          </cell>
          <cell r="AA40">
            <v>56988755678</v>
          </cell>
          <cell r="AB40">
            <v>0.29166666666666669</v>
          </cell>
          <cell r="AC40">
            <v>0.91666666666666663</v>
          </cell>
          <cell r="AD40">
            <v>0.29166666666666669</v>
          </cell>
          <cell r="AE40">
            <v>0.91666666666666663</v>
          </cell>
          <cell r="AF40">
            <v>0.33333333333333331</v>
          </cell>
          <cell r="AG40">
            <v>0.91666666666666663</v>
          </cell>
          <cell r="AH40">
            <v>0.39583333333333331</v>
          </cell>
          <cell r="AI40">
            <v>0.84375</v>
          </cell>
          <cell r="AJ40">
            <v>0.375</v>
          </cell>
          <cell r="AK40">
            <v>0.91666666666666663</v>
          </cell>
          <cell r="AL40" t="str">
            <v>12HRS</v>
          </cell>
          <cell r="AM40" t="str">
            <v>ROBERTO POBLETE</v>
          </cell>
          <cell r="AO40">
            <v>45252</v>
          </cell>
        </row>
        <row r="41">
          <cell r="E41" t="str">
            <v>OXXO - DLL</v>
          </cell>
          <cell r="F41" t="str">
            <v>BULNES</v>
          </cell>
          <cell r="G41" t="str">
            <v>PASEO BULNES 173</v>
          </cell>
          <cell r="H41" t="str">
            <v>SANTIAGO</v>
          </cell>
          <cell r="I41" t="str">
            <v>METROPOLITANA</v>
          </cell>
          <cell r="J41" t="str">
            <v>50UD1</v>
          </cell>
          <cell r="K41" t="str">
            <v>cl-bulnes@tiendas.oxxo.com</v>
          </cell>
          <cell r="L41" t="str">
            <v>TMCB</v>
          </cell>
          <cell r="M41" t="str">
            <v>BASE</v>
          </cell>
          <cell r="N41" t="str">
            <v>C2</v>
          </cell>
          <cell r="O41" t="str">
            <v>SI</v>
          </cell>
          <cell r="P41" t="str">
            <v>COMPLETA</v>
          </cell>
          <cell r="Q41" t="str">
            <v>NO</v>
          </cell>
          <cell r="R41" t="str">
            <v>SI</v>
          </cell>
          <cell r="S41" t="str">
            <v>NO</v>
          </cell>
          <cell r="T41" t="str">
            <v>BRESCIA RIVERA RODRIGO</v>
          </cell>
          <cell r="U41" t="str">
            <v>rodrigo.brescia@oxxo.com</v>
          </cell>
          <cell r="V41">
            <v>56994777909</v>
          </cell>
          <cell r="W41" t="str">
            <v>LIAZ MONTERO GABRIEL</v>
          </cell>
          <cell r="X41" t="str">
            <v>gabriel.liaz@oxxo.com</v>
          </cell>
          <cell r="Y41">
            <v>56964735260</v>
          </cell>
          <cell r="Z41" t="str">
            <v>HELLEN KELLER SANDRA FERNANDEZ RIOS</v>
          </cell>
          <cell r="AA41">
            <v>56991858311</v>
          </cell>
          <cell r="AB41">
            <v>0.29166666666666669</v>
          </cell>
          <cell r="AC41">
            <v>0.91666666666666663</v>
          </cell>
          <cell r="AD41">
            <v>0.29166666666666669</v>
          </cell>
          <cell r="AE41">
            <v>0.91666666666666663</v>
          </cell>
          <cell r="AF41">
            <v>0.33333333333333331</v>
          </cell>
          <cell r="AG41">
            <v>0.91666666666666663</v>
          </cell>
          <cell r="AH41">
            <v>0.39583333333333331</v>
          </cell>
          <cell r="AI41">
            <v>0.84375</v>
          </cell>
          <cell r="AJ41">
            <v>0.375</v>
          </cell>
          <cell r="AK41">
            <v>0.875</v>
          </cell>
          <cell r="AL41" t="str">
            <v>12HRS</v>
          </cell>
          <cell r="AM41" t="str">
            <v>PAULA HUERTA</v>
          </cell>
          <cell r="AO41">
            <v>45041</v>
          </cell>
        </row>
        <row r="42">
          <cell r="E42" t="str">
            <v>OXXO - EX OKM</v>
          </cell>
          <cell r="F42" t="str">
            <v>CACHAGUA</v>
          </cell>
          <cell r="G42" t="str">
            <v>AV. CACHAGUA 100</v>
          </cell>
          <cell r="H42" t="str">
            <v>ZAPALLAR</v>
          </cell>
          <cell r="I42" t="str">
            <v>VALPARAISO</v>
          </cell>
          <cell r="J42" t="str">
            <v>50OCH</v>
          </cell>
          <cell r="K42" t="str">
            <v>cl-cachagua@tiendas.oxxo.com</v>
          </cell>
          <cell r="L42" t="str">
            <v>TMCB</v>
          </cell>
          <cell r="M42" t="str">
            <v>HOGAR</v>
          </cell>
          <cell r="N42" t="str">
            <v>C3</v>
          </cell>
          <cell r="O42" t="str">
            <v>SI</v>
          </cell>
          <cell r="P42" t="str">
            <v>COMPLETA</v>
          </cell>
          <cell r="Q42" t="str">
            <v>NO</v>
          </cell>
          <cell r="R42" t="str">
            <v>SI</v>
          </cell>
          <cell r="S42" t="str">
            <v>NO</v>
          </cell>
          <cell r="T42" t="str">
            <v>SESA DIEGO MIGUEL</v>
          </cell>
          <cell r="U42" t="str">
            <v>diego.sesa@oxxo.com</v>
          </cell>
          <cell r="V42">
            <v>56954238682</v>
          </cell>
          <cell r="W42" t="str">
            <v>ESCOBAR VALDES VALESKA SOLEDAD</v>
          </cell>
          <cell r="X42" t="str">
            <v>valeska.escobar@oxxo.com</v>
          </cell>
          <cell r="Y42">
            <v>56961681492</v>
          </cell>
          <cell r="Z42" t="str">
            <v>TIFANY ANDREA PEREZ ALBALLAY</v>
          </cell>
          <cell r="AA42">
            <v>56975880863</v>
          </cell>
          <cell r="AB42">
            <v>0.33333333333333331</v>
          </cell>
          <cell r="AC42">
            <v>0.91666666666666663</v>
          </cell>
          <cell r="AD42">
            <v>0.33333333333333331</v>
          </cell>
          <cell r="AE42">
            <v>0.91666666666666663</v>
          </cell>
          <cell r="AF42">
            <v>0.33333333333333331</v>
          </cell>
          <cell r="AG42">
            <v>0.91666666666666663</v>
          </cell>
          <cell r="AH42">
            <v>0.39583333333333331</v>
          </cell>
          <cell r="AI42">
            <v>0.84375</v>
          </cell>
          <cell r="AJ42">
            <v>0.375</v>
          </cell>
          <cell r="AK42">
            <v>0.91666666666666663</v>
          </cell>
          <cell r="AL42" t="str">
            <v>12HRS</v>
          </cell>
          <cell r="AM42" t="str">
            <v>ROBERTO POBLETE</v>
          </cell>
          <cell r="AO42">
            <v>44901</v>
          </cell>
        </row>
        <row r="43">
          <cell r="E43" t="str">
            <v>OXXO</v>
          </cell>
          <cell r="F43" t="str">
            <v>CAMINO EL ALBA</v>
          </cell>
          <cell r="G43" t="str">
            <v>CAMINO EL ALBA 11.101,LOCAL 11- 12</v>
          </cell>
          <cell r="H43" t="str">
            <v>LAS CONDES</v>
          </cell>
          <cell r="I43" t="str">
            <v>METROPOLITANA</v>
          </cell>
          <cell r="J43" t="str">
            <v>50KUF</v>
          </cell>
          <cell r="K43" t="str">
            <v>cl-caminoelalba@tiendas.oxxo.com</v>
          </cell>
          <cell r="L43" t="str">
            <v>TMCB</v>
          </cell>
          <cell r="M43" t="str">
            <v>HOGAR</v>
          </cell>
          <cell r="N43" t="str">
            <v>ABC1</v>
          </cell>
          <cell r="O43" t="str">
            <v>SI</v>
          </cell>
          <cell r="P43" t="str">
            <v>COMPLETA</v>
          </cell>
          <cell r="Q43" t="str">
            <v>SI</v>
          </cell>
          <cell r="R43" t="str">
            <v>SI</v>
          </cell>
          <cell r="S43" t="str">
            <v>NO</v>
          </cell>
          <cell r="T43" t="str">
            <v>BRESCIA RIVERA RODRIGO</v>
          </cell>
          <cell r="U43" t="str">
            <v>rodrigo.brescia@oxxo.com</v>
          </cell>
          <cell r="V43">
            <v>56994777909</v>
          </cell>
          <cell r="W43" t="str">
            <v>ARAYA BURGOS ARIEL</v>
          </cell>
          <cell r="X43" t="str">
            <v>ariel.araya@oxxo.com</v>
          </cell>
          <cell r="Y43">
            <v>56976232708</v>
          </cell>
          <cell r="Z43" t="str">
            <v>SONIA AYBRINT GALAVIZ MONTAÑEZ</v>
          </cell>
          <cell r="AB43">
            <v>0.29166666666666669</v>
          </cell>
          <cell r="AC43">
            <v>0.95833333333333337</v>
          </cell>
          <cell r="AD43">
            <v>0.29166666666666669</v>
          </cell>
          <cell r="AE43">
            <v>0.99305555555555558</v>
          </cell>
          <cell r="AF43">
            <v>0.33333333333333331</v>
          </cell>
          <cell r="AG43">
            <v>0.99305555555555558</v>
          </cell>
          <cell r="AH43">
            <v>0.4375</v>
          </cell>
          <cell r="AI43">
            <v>0.88541666666666663</v>
          </cell>
          <cell r="AJ43">
            <v>0.375</v>
          </cell>
          <cell r="AK43">
            <v>0.95833333333333337</v>
          </cell>
          <cell r="AL43" t="str">
            <v>12HRS</v>
          </cell>
          <cell r="AM43" t="str">
            <v>PAULA HUERTA</v>
          </cell>
          <cell r="AO43">
            <v>43334</v>
          </cell>
        </row>
        <row r="44">
          <cell r="E44" t="str">
            <v>OXXO</v>
          </cell>
          <cell r="F44" t="str">
            <v>CANTAGALLO</v>
          </cell>
          <cell r="G44" t="str">
            <v>NUEVA LAS CONDES 12261, LOCAL 10</v>
          </cell>
          <cell r="H44" t="str">
            <v>LAS CONDES</v>
          </cell>
          <cell r="I44" t="str">
            <v>METROPOLITANA</v>
          </cell>
          <cell r="J44" t="str">
            <v>506HQ</v>
          </cell>
          <cell r="K44" t="str">
            <v>cl-cantagallo@tiendas.oxxo.com</v>
          </cell>
          <cell r="L44" t="str">
            <v>TNM</v>
          </cell>
          <cell r="M44" t="str">
            <v>RECESO</v>
          </cell>
          <cell r="N44" t="str">
            <v>ABC1</v>
          </cell>
          <cell r="O44" t="str">
            <v>NO</v>
          </cell>
          <cell r="P44" t="str">
            <v>PARCIAL</v>
          </cell>
          <cell r="Q44" t="str">
            <v>NO</v>
          </cell>
          <cell r="R44" t="str">
            <v>NO</v>
          </cell>
          <cell r="S44" t="str">
            <v>NO</v>
          </cell>
          <cell r="T44" t="str">
            <v>BRESCIA RIVERA RODRIGO</v>
          </cell>
          <cell r="U44" t="str">
            <v>rodrigo.brescia@oxxo.com</v>
          </cell>
          <cell r="V44">
            <v>56994777909</v>
          </cell>
          <cell r="W44" t="str">
            <v>ARAYA BURGOS ARIEL</v>
          </cell>
          <cell r="X44" t="str">
            <v>ariel.araya@oxxo.com</v>
          </cell>
          <cell r="Y44">
            <v>56976232708</v>
          </cell>
          <cell r="Z44" t="str">
            <v>LOURDES DE LA GUADALUPE PEREZ REYES</v>
          </cell>
          <cell r="AA44">
            <v>56992193295</v>
          </cell>
          <cell r="AB44">
            <v>0.29166666666666669</v>
          </cell>
          <cell r="AC44">
            <v>0.91666666666666663</v>
          </cell>
          <cell r="AD44">
            <v>0.29166666666666669</v>
          </cell>
          <cell r="AE44">
            <v>0.91666666666666663</v>
          </cell>
          <cell r="AF44">
            <v>0.33333333333333331</v>
          </cell>
          <cell r="AG44">
            <v>0.91666666666666663</v>
          </cell>
          <cell r="AH44">
            <v>0.39583333333333331</v>
          </cell>
          <cell r="AI44">
            <v>0.84375</v>
          </cell>
          <cell r="AJ44">
            <v>0.39583333333333331</v>
          </cell>
          <cell r="AK44">
            <v>0.84375</v>
          </cell>
          <cell r="AL44" t="str">
            <v>12HRS</v>
          </cell>
          <cell r="AM44" t="str">
            <v>PAULA HUERTA</v>
          </cell>
          <cell r="AO44">
            <v>45168</v>
          </cell>
        </row>
        <row r="45">
          <cell r="E45" t="str">
            <v>OXXO - EX OKM</v>
          </cell>
          <cell r="F45" t="str">
            <v>CAPITAN ORELLA</v>
          </cell>
          <cell r="G45" t="str">
            <v>AVDA. IRARRAZAVAL 2266 LOC 4</v>
          </cell>
          <cell r="H45" t="str">
            <v>ÑUÑOA</v>
          </cell>
          <cell r="I45" t="str">
            <v>METROPOLITANA</v>
          </cell>
          <cell r="J45" t="str">
            <v>50ORO</v>
          </cell>
          <cell r="K45" t="str">
            <v>cl-capitanorella@tiendas.oxxo.com</v>
          </cell>
          <cell r="L45" t="str">
            <v>TMCB</v>
          </cell>
          <cell r="M45" t="str">
            <v>BASE</v>
          </cell>
          <cell r="N45" t="str">
            <v>ABC1</v>
          </cell>
          <cell r="O45" t="str">
            <v>NO</v>
          </cell>
          <cell r="P45" t="str">
            <v>COMPLETA</v>
          </cell>
          <cell r="Q45" t="str">
            <v>NO</v>
          </cell>
          <cell r="R45" t="str">
            <v>NO</v>
          </cell>
          <cell r="S45" t="str">
            <v>NO</v>
          </cell>
          <cell r="T45" t="str">
            <v>BRESCIA RIVERA RODRIGO</v>
          </cell>
          <cell r="U45" t="str">
            <v>rodrigo.brescia@oxxo.com</v>
          </cell>
          <cell r="V45">
            <v>56994777909</v>
          </cell>
          <cell r="W45" t="str">
            <v>RUIZ FERRER VANNA</v>
          </cell>
          <cell r="X45" t="str">
            <v>vanna.ruiz@oxxo.com</v>
          </cell>
          <cell r="Y45">
            <v>56994441705</v>
          </cell>
          <cell r="Z45" t="str">
            <v>EVA LUNA MARTINEZ ASTUDILLO</v>
          </cell>
          <cell r="AA45">
            <v>56931842769</v>
          </cell>
          <cell r="AB45">
            <v>0.29166666666666669</v>
          </cell>
          <cell r="AC45">
            <v>0.91666666666666663</v>
          </cell>
          <cell r="AD45">
            <v>0.29166666666666669</v>
          </cell>
          <cell r="AE45">
            <v>0.91666666666666663</v>
          </cell>
          <cell r="AF45">
            <v>0.33333333333333331</v>
          </cell>
          <cell r="AG45">
            <v>0.91666666666666663</v>
          </cell>
          <cell r="AH45">
            <v>0.39583333333333331</v>
          </cell>
          <cell r="AI45">
            <v>0.84375</v>
          </cell>
          <cell r="AJ45">
            <v>0.375</v>
          </cell>
          <cell r="AK45">
            <v>0.91666666666666663</v>
          </cell>
          <cell r="AL45" t="str">
            <v>12HRS</v>
          </cell>
          <cell r="AM45" t="str">
            <v>ROBERTO POBLETE</v>
          </cell>
          <cell r="AO45">
            <v>44908</v>
          </cell>
        </row>
        <row r="46">
          <cell r="E46" t="str">
            <v>OXXO</v>
          </cell>
          <cell r="F46" t="str">
            <v>IRARRAZAVAL ANTONIO VARAS</v>
          </cell>
          <cell r="G46" t="str">
            <v>IRARRAZAVAL N 2150</v>
          </cell>
          <cell r="H46" t="str">
            <v>ÑUÑOA</v>
          </cell>
          <cell r="I46" t="str">
            <v>METROPOLITANA</v>
          </cell>
          <cell r="J46" t="str">
            <v>50IAB</v>
          </cell>
          <cell r="K46" t="str">
            <v>cl-irarrazavalantoniovaras@tiendas.oxxo.com</v>
          </cell>
          <cell r="L46" t="str">
            <v>TMCB</v>
          </cell>
          <cell r="M46" t="str">
            <v>HOGAR C/FF</v>
          </cell>
          <cell r="N46" t="str">
            <v>ABC1</v>
          </cell>
          <cell r="O46" t="str">
            <v>SI</v>
          </cell>
          <cell r="P46" t="str">
            <v>COMPLETA</v>
          </cell>
          <cell r="T46" t="str">
            <v>SERRANO SOTO MANUEL</v>
          </cell>
          <cell r="U46" t="str">
            <v>manuel.serrano@oxxo.com</v>
          </cell>
          <cell r="V46">
            <v>56940201885</v>
          </cell>
          <cell r="W46" t="str">
            <v>ARAYA BURGOS ARIEL</v>
          </cell>
          <cell r="X46" t="str">
            <v>ariel.araya@oxxo.com</v>
          </cell>
          <cell r="Y46">
            <v>56976232708</v>
          </cell>
          <cell r="Z46" t="str">
            <v>MARIA GABRIELA LEHOUCQ LEAL</v>
          </cell>
          <cell r="AL46" t="str">
            <v>12HRS</v>
          </cell>
          <cell r="AO46">
            <v>43756</v>
          </cell>
        </row>
        <row r="47">
          <cell r="E47" t="str">
            <v>OXXO</v>
          </cell>
          <cell r="F47" t="str">
            <v>CARLOS PENA</v>
          </cell>
          <cell r="G47" t="str">
            <v>AV. CARLOS PEÑA OTAEGUI 11900 LOCAL 3</v>
          </cell>
          <cell r="H47" t="str">
            <v>LAS CONDES</v>
          </cell>
          <cell r="I47" t="str">
            <v>METROPOLITANA</v>
          </cell>
          <cell r="J47" t="str">
            <v>50CPN</v>
          </cell>
          <cell r="K47" t="str">
            <v>cl-carlospena@tiendas.oxxo.com</v>
          </cell>
          <cell r="L47" t="str">
            <v>TMCB</v>
          </cell>
          <cell r="M47" t="str">
            <v>BASE</v>
          </cell>
          <cell r="N47" t="str">
            <v>ABC1</v>
          </cell>
          <cell r="O47" t="str">
            <v>SI</v>
          </cell>
          <cell r="P47" t="str">
            <v>COMPLETA</v>
          </cell>
          <cell r="Q47" t="str">
            <v>SI</v>
          </cell>
          <cell r="R47" t="str">
            <v>SI</v>
          </cell>
          <cell r="S47" t="str">
            <v>NO</v>
          </cell>
          <cell r="T47" t="str">
            <v>BRESCIA RIVERA RODRIGO</v>
          </cell>
          <cell r="U47" t="str">
            <v>rodrigo.brescia@oxxo.com</v>
          </cell>
          <cell r="V47">
            <v>56994777909</v>
          </cell>
          <cell r="W47" t="str">
            <v>ARAYA BURGOS ARIEL</v>
          </cell>
          <cell r="X47" t="str">
            <v>ariel.araya@oxxo.com</v>
          </cell>
          <cell r="Y47">
            <v>56976232708</v>
          </cell>
          <cell r="Z47" t="str">
            <v>JONATHAN JOSE LOZADA CALDERA</v>
          </cell>
          <cell r="AA47">
            <v>56993874628</v>
          </cell>
          <cell r="AB47">
            <v>0.3125</v>
          </cell>
          <cell r="AC47">
            <v>0.95833333333333337</v>
          </cell>
          <cell r="AD47">
            <v>0.3125</v>
          </cell>
          <cell r="AE47">
            <v>0.99305555555555558</v>
          </cell>
          <cell r="AF47">
            <v>0.33333333333333331</v>
          </cell>
          <cell r="AG47">
            <v>0.99305555555555558</v>
          </cell>
          <cell r="AH47">
            <v>0.4375</v>
          </cell>
          <cell r="AI47">
            <v>0.88541666666666663</v>
          </cell>
          <cell r="AJ47">
            <v>0.39583333333333331</v>
          </cell>
          <cell r="AK47">
            <v>0.95833333333333337</v>
          </cell>
          <cell r="AL47" t="str">
            <v>12HRS</v>
          </cell>
          <cell r="AM47" t="str">
            <v>PAULA HUERTA</v>
          </cell>
          <cell r="AO47">
            <v>44123</v>
          </cell>
        </row>
        <row r="48">
          <cell r="E48" t="str">
            <v>OXXO</v>
          </cell>
          <cell r="F48" t="str">
            <v>CARLOS WILSON</v>
          </cell>
          <cell r="G48" t="str">
            <v>AV. ANTONIO VARAS 1683</v>
          </cell>
          <cell r="H48" t="str">
            <v>PROVIDENCIA</v>
          </cell>
          <cell r="I48" t="str">
            <v>METROPOLITANA</v>
          </cell>
          <cell r="J48" t="str">
            <v>50WIL</v>
          </cell>
          <cell r="K48" t="str">
            <v>cl-carloswilson@tiendas.oxxo.com</v>
          </cell>
          <cell r="L48" t="str">
            <v>TMCB</v>
          </cell>
          <cell r="M48" t="str">
            <v>HOGAR</v>
          </cell>
          <cell r="N48" t="str">
            <v>ABC1</v>
          </cell>
          <cell r="O48" t="str">
            <v>NO</v>
          </cell>
          <cell r="P48" t="str">
            <v>COMPLETA</v>
          </cell>
          <cell r="Q48" t="str">
            <v>NO</v>
          </cell>
          <cell r="R48" t="str">
            <v>NO</v>
          </cell>
          <cell r="S48" t="str">
            <v>NO</v>
          </cell>
          <cell r="T48" t="str">
            <v>BRESCIA RIVERA RODRIGO</v>
          </cell>
          <cell r="U48" t="str">
            <v>rodrigo.brescia@oxxo.com</v>
          </cell>
          <cell r="V48">
            <v>56994777909</v>
          </cell>
          <cell r="W48" t="str">
            <v>BARRIOS BAPTISTA JUAN JOSE</v>
          </cell>
          <cell r="X48" t="str">
            <v>juanj.barrios@oxxo.com</v>
          </cell>
          <cell r="Y48">
            <v>56998642001</v>
          </cell>
          <cell r="Z48" t="str">
            <v>YETSY VANESSA ROJAS CONOROPO</v>
          </cell>
          <cell r="AA48">
            <v>56973071436</v>
          </cell>
          <cell r="AB48">
            <v>0.29166666666666669</v>
          </cell>
          <cell r="AC48">
            <v>0.91666666666666663</v>
          </cell>
          <cell r="AD48">
            <v>0.29166666666666669</v>
          </cell>
          <cell r="AE48">
            <v>0.91666666666666663</v>
          </cell>
          <cell r="AF48">
            <v>0.33333333333333331</v>
          </cell>
          <cell r="AG48">
            <v>0.91666666666666663</v>
          </cell>
          <cell r="AH48">
            <v>0.4375</v>
          </cell>
          <cell r="AI48">
            <v>0.88541666666666663</v>
          </cell>
          <cell r="AJ48">
            <v>0.375</v>
          </cell>
          <cell r="AK48">
            <v>0.91666666666666663</v>
          </cell>
          <cell r="AL48" t="str">
            <v>12HRS</v>
          </cell>
          <cell r="AM48" t="str">
            <v>ROBERTO POBLETE</v>
          </cell>
          <cell r="AO48">
            <v>44589</v>
          </cell>
        </row>
        <row r="49">
          <cell r="E49" t="str">
            <v>OXXO</v>
          </cell>
          <cell r="F49" t="str">
            <v>CERRO COLORADO</v>
          </cell>
          <cell r="G49" t="str">
            <v>ALONSO DE CÓRDOVA 4580</v>
          </cell>
          <cell r="H49" t="str">
            <v>LAS CONDES</v>
          </cell>
          <cell r="I49" t="str">
            <v>METROPOLITANA</v>
          </cell>
          <cell r="J49" t="str">
            <v>50COL</v>
          </cell>
          <cell r="K49" t="str">
            <v>cl-cerrocolorado@tiendas.oxxo.com</v>
          </cell>
          <cell r="L49" t="str">
            <v>TMCB</v>
          </cell>
          <cell r="M49" t="str">
            <v>BASE</v>
          </cell>
          <cell r="N49" t="str">
            <v>ABC1</v>
          </cell>
          <cell r="O49" t="str">
            <v>NO</v>
          </cell>
          <cell r="P49" t="str">
            <v>COMPLETA</v>
          </cell>
          <cell r="Q49" t="str">
            <v>NO</v>
          </cell>
          <cell r="R49" t="str">
            <v>NO</v>
          </cell>
          <cell r="S49" t="str">
            <v>NO</v>
          </cell>
          <cell r="T49" t="str">
            <v>BRESCIA RIVERA RODRIGO</v>
          </cell>
          <cell r="U49" t="str">
            <v>rodrigo.brescia@oxxo.com</v>
          </cell>
          <cell r="V49">
            <v>56994777909</v>
          </cell>
          <cell r="W49" t="str">
            <v>MONTT FUENTES JAIME IGNACIO</v>
          </cell>
          <cell r="X49" t="str">
            <v>jaime.montt@oxxo.com</v>
          </cell>
          <cell r="Y49">
            <v>56974820182</v>
          </cell>
          <cell r="Z49" t="str">
            <v>RICARDO ANTONIO TORRES GARCIA</v>
          </cell>
          <cell r="AA49">
            <v>56988017498</v>
          </cell>
          <cell r="AB49">
            <v>0.29166666666666669</v>
          </cell>
          <cell r="AC49">
            <v>0.91666666666666663</v>
          </cell>
          <cell r="AD49">
            <v>0.29166666666666669</v>
          </cell>
          <cell r="AE49">
            <v>0.91666666666666663</v>
          </cell>
          <cell r="AF49">
            <v>0.33333333333333331</v>
          </cell>
          <cell r="AG49">
            <v>0.91666666666666663</v>
          </cell>
          <cell r="AH49">
            <v>0.39583333333333331</v>
          </cell>
          <cell r="AI49">
            <v>0.84375</v>
          </cell>
          <cell r="AJ49">
            <v>0.375</v>
          </cell>
          <cell r="AK49">
            <v>0.91666666666666663</v>
          </cell>
          <cell r="AL49" t="str">
            <v>12HRS</v>
          </cell>
          <cell r="AM49" t="str">
            <v>PAULA HUERTA</v>
          </cell>
          <cell r="AO49">
            <v>44648</v>
          </cell>
        </row>
        <row r="50">
          <cell r="E50" t="str">
            <v>OXXO</v>
          </cell>
          <cell r="F50" t="str">
            <v>CERRO EL PLOMO</v>
          </cell>
          <cell r="G50" t="str">
            <v>ALONSO DE CÓRDOVA N5320, LOCAL 17</v>
          </cell>
          <cell r="H50" t="str">
            <v>LAS CONDES</v>
          </cell>
          <cell r="I50" t="str">
            <v>METROPOLITANA</v>
          </cell>
          <cell r="J50" t="str">
            <v>50XWC</v>
          </cell>
          <cell r="K50" t="str">
            <v>cl-cerroelplomo@tiendas.oxxo.com</v>
          </cell>
          <cell r="L50" t="str">
            <v>TNM</v>
          </cell>
          <cell r="M50" t="str">
            <v>RECESO</v>
          </cell>
          <cell r="O50" t="str">
            <v>NO</v>
          </cell>
          <cell r="P50" t="str">
            <v>COMPLETA</v>
          </cell>
          <cell r="Q50" t="str">
            <v>NO</v>
          </cell>
          <cell r="R50" t="str">
            <v>NO</v>
          </cell>
          <cell r="S50" t="str">
            <v>NO</v>
          </cell>
          <cell r="T50" t="str">
            <v>BRESCIA RIVERA RODRIGO</v>
          </cell>
          <cell r="U50" t="str">
            <v>rodrigo.brescia@oxxo.com</v>
          </cell>
          <cell r="V50">
            <v>56994777909</v>
          </cell>
          <cell r="W50" t="str">
            <v>MONTT FUENTES JAIME IGNACIO</v>
          </cell>
          <cell r="X50" t="str">
            <v>jaime.montt@oxxo.com</v>
          </cell>
          <cell r="Y50">
            <v>56974820182</v>
          </cell>
          <cell r="Z50" t="str">
            <v>NATHALY GUTIERREZ ARENEDA</v>
          </cell>
          <cell r="AA50">
            <v>56992193839</v>
          </cell>
          <cell r="AB50">
            <v>0.29166666666666669</v>
          </cell>
          <cell r="AC50">
            <v>0.91666666666666663</v>
          </cell>
          <cell r="AD50">
            <v>0.29166666666666669</v>
          </cell>
          <cell r="AE50">
            <v>0.91666666666666663</v>
          </cell>
          <cell r="AF50">
            <v>0.33333333333333331</v>
          </cell>
          <cell r="AG50">
            <v>0.91666666666666663</v>
          </cell>
          <cell r="AH50">
            <v>0.39583333333333331</v>
          </cell>
          <cell r="AI50">
            <v>0.84375</v>
          </cell>
          <cell r="AJ50">
            <v>0.375</v>
          </cell>
          <cell r="AK50">
            <v>0.84375</v>
          </cell>
          <cell r="AL50" t="str">
            <v>12HRS</v>
          </cell>
          <cell r="AM50" t="str">
            <v>PAULA HUERTA</v>
          </cell>
          <cell r="AO50">
            <v>45382</v>
          </cell>
        </row>
        <row r="51">
          <cell r="E51" t="str">
            <v>OXXO - EX OKM</v>
          </cell>
          <cell r="F51" t="str">
            <v>CHAMISERO</v>
          </cell>
          <cell r="G51" t="str">
            <v>AVDA. CHAMISERO 10290, LOC 8</v>
          </cell>
          <cell r="H51" t="str">
            <v>COLINA</v>
          </cell>
          <cell r="I51" t="str">
            <v>METROPOLITANA</v>
          </cell>
          <cell r="J51" t="str">
            <v>50OCM</v>
          </cell>
          <cell r="K51" t="str">
            <v>cl-chamisero@tiendas.oxxo.com</v>
          </cell>
          <cell r="L51" t="str">
            <v>TMCB</v>
          </cell>
          <cell r="M51" t="str">
            <v>HOGAR</v>
          </cell>
          <cell r="N51" t="str">
            <v>ABC1</v>
          </cell>
          <cell r="O51" t="str">
            <v>SI</v>
          </cell>
          <cell r="P51" t="str">
            <v>COMPLETA</v>
          </cell>
          <cell r="Q51" t="str">
            <v>SI</v>
          </cell>
          <cell r="R51" t="str">
            <v>SI</v>
          </cell>
          <cell r="S51" t="str">
            <v>NO</v>
          </cell>
          <cell r="T51" t="str">
            <v>BRESCIA RIVERA RODRIGO</v>
          </cell>
          <cell r="U51" t="str">
            <v>rodrigo.brescia@oxxo.com</v>
          </cell>
          <cell r="V51">
            <v>56994777909</v>
          </cell>
          <cell r="W51" t="str">
            <v>MENDOZA GIL BREYNER JOSE</v>
          </cell>
          <cell r="X51" t="str">
            <v>breyner.mendoza@oxxo.com</v>
          </cell>
          <cell r="Y51">
            <v>56998689425</v>
          </cell>
          <cell r="Z51" t="str">
            <v>ANDRES INFANTE LARRAGUIBEL</v>
          </cell>
          <cell r="AA51">
            <v>56995699502</v>
          </cell>
          <cell r="AB51">
            <v>0.33333333333333331</v>
          </cell>
          <cell r="AC51">
            <v>0.95833333333333337</v>
          </cell>
          <cell r="AD51">
            <v>0.33333333333333331</v>
          </cell>
          <cell r="AE51">
            <v>0.99305555555555558</v>
          </cell>
          <cell r="AF51">
            <v>0.33333333333333331</v>
          </cell>
          <cell r="AG51">
            <v>0.99305555555555558</v>
          </cell>
          <cell r="AH51">
            <v>0.39583333333333331</v>
          </cell>
          <cell r="AI51">
            <v>0.84375</v>
          </cell>
          <cell r="AJ51">
            <v>0.375</v>
          </cell>
          <cell r="AK51">
            <v>0.91666666666666663</v>
          </cell>
          <cell r="AL51" t="str">
            <v>12HRS</v>
          </cell>
          <cell r="AM51" t="str">
            <v>PAULA HUERTA</v>
          </cell>
          <cell r="AO51">
            <v>45084</v>
          </cell>
        </row>
        <row r="52">
          <cell r="E52" t="str">
            <v>OXXO</v>
          </cell>
          <cell r="F52" t="str">
            <v>CHESTERTON 1</v>
          </cell>
          <cell r="G52" t="str">
            <v>AV. APOQUINDO N 7446, LOCAL 10</v>
          </cell>
          <cell r="H52" t="str">
            <v>LAS CONDES</v>
          </cell>
          <cell r="I52" t="str">
            <v>METROPOLITANA</v>
          </cell>
          <cell r="J52" t="str">
            <v>50TFX</v>
          </cell>
          <cell r="K52" t="str">
            <v>cl-chesterton1@tiendas.oxxo.com</v>
          </cell>
          <cell r="L52" t="str">
            <v>TMCB</v>
          </cell>
          <cell r="M52" t="str">
            <v>RECESO</v>
          </cell>
          <cell r="N52" t="str">
            <v>ABC1</v>
          </cell>
          <cell r="O52" t="str">
            <v>NO</v>
          </cell>
          <cell r="P52" t="str">
            <v>COMPLETA</v>
          </cell>
          <cell r="Q52" t="str">
            <v>NO</v>
          </cell>
          <cell r="R52" t="str">
            <v>NO</v>
          </cell>
          <cell r="S52" t="str">
            <v>NO</v>
          </cell>
          <cell r="T52" t="str">
            <v>SESA DIEGO MIGUEL</v>
          </cell>
          <cell r="U52" t="str">
            <v>diego.sesa@oxxo.com</v>
          </cell>
          <cell r="V52">
            <v>56954238682</v>
          </cell>
          <cell r="W52" t="str">
            <v>GAMERRE URZUA CECILIA</v>
          </cell>
          <cell r="X52" t="str">
            <v>cecilia.gamerre@oxxo.com</v>
          </cell>
          <cell r="Y52">
            <v>56992076485</v>
          </cell>
          <cell r="Z52" t="str">
            <v>ALFONSO JOSE MENDEZ DURAN</v>
          </cell>
          <cell r="AA52">
            <v>56992192166</v>
          </cell>
          <cell r="AB52">
            <v>0.29166666666666669</v>
          </cell>
          <cell r="AC52">
            <v>0.91666666666666663</v>
          </cell>
          <cell r="AD52">
            <v>0.29166666666666669</v>
          </cell>
          <cell r="AE52">
            <v>0.91666666666666663</v>
          </cell>
          <cell r="AF52">
            <v>0.33333333333333331</v>
          </cell>
          <cell r="AG52">
            <v>0.91666666666666663</v>
          </cell>
          <cell r="AH52">
            <v>0.39583333333333331</v>
          </cell>
          <cell r="AI52">
            <v>0.84375</v>
          </cell>
          <cell r="AJ52">
            <v>0.375</v>
          </cell>
          <cell r="AK52">
            <v>0.85416666666666663</v>
          </cell>
          <cell r="AL52" t="str">
            <v>12HRS</v>
          </cell>
          <cell r="AM52" t="str">
            <v>PAULA HUERTA</v>
          </cell>
          <cell r="AO52">
            <v>45092</v>
          </cell>
        </row>
        <row r="53">
          <cell r="E53" t="str">
            <v>OXXO - EX OKM</v>
          </cell>
          <cell r="F53" t="str">
            <v>CHESTERTON 2</v>
          </cell>
          <cell r="G53" t="str">
            <v>CHESTERTON 8125</v>
          </cell>
          <cell r="H53" t="str">
            <v>LAS CONDES</v>
          </cell>
          <cell r="I53" t="str">
            <v>METROPOLITANA</v>
          </cell>
          <cell r="J53" t="str">
            <v>50OCR</v>
          </cell>
          <cell r="K53" t="str">
            <v>cl-chesterton2@tiendas.oxxo.com</v>
          </cell>
          <cell r="L53" t="str">
            <v>TMCB</v>
          </cell>
          <cell r="M53" t="str">
            <v>HOGAR</v>
          </cell>
          <cell r="N53" t="str">
            <v>ABC1</v>
          </cell>
          <cell r="O53" t="str">
            <v>SI</v>
          </cell>
          <cell r="P53" t="str">
            <v>COMPLETA</v>
          </cell>
          <cell r="Q53" t="str">
            <v>SI</v>
          </cell>
          <cell r="R53" t="str">
            <v>SI</v>
          </cell>
          <cell r="S53" t="str">
            <v>NO</v>
          </cell>
          <cell r="T53" t="str">
            <v>BRESCIA RIVERA RODRIGO</v>
          </cell>
          <cell r="U53" t="str">
            <v>rodrigo.brescia@oxxo.com</v>
          </cell>
          <cell r="V53">
            <v>56994777909</v>
          </cell>
          <cell r="W53" t="str">
            <v>BENITEZ QUILODRAN HUGO</v>
          </cell>
          <cell r="X53" t="str">
            <v>hugo.benitez@oxxo.com</v>
          </cell>
          <cell r="Y53">
            <v>56998355780</v>
          </cell>
          <cell r="Z53" t="str">
            <v>KATHERINE VICTORIA PERDOMO PEREZ</v>
          </cell>
          <cell r="AA53">
            <v>56983468724</v>
          </cell>
          <cell r="AB53">
            <v>0.29166666666666669</v>
          </cell>
          <cell r="AC53">
            <v>0.95833333333333337</v>
          </cell>
          <cell r="AD53">
            <v>0.29166666666666669</v>
          </cell>
          <cell r="AE53">
            <v>0.99305555555555558</v>
          </cell>
          <cell r="AF53">
            <v>0.33333333333333331</v>
          </cell>
          <cell r="AG53">
            <v>0.99305555555555558</v>
          </cell>
          <cell r="AH53">
            <v>0.39583333333333331</v>
          </cell>
          <cell r="AI53">
            <v>0.84375</v>
          </cell>
          <cell r="AJ53">
            <v>0.375</v>
          </cell>
          <cell r="AK53">
            <v>0.91666666666666663</v>
          </cell>
          <cell r="AL53" t="str">
            <v>12HRS</v>
          </cell>
          <cell r="AM53" t="str">
            <v>ROBERTO POBLETE</v>
          </cell>
        </row>
        <row r="54">
          <cell r="E54" t="str">
            <v>OXXO</v>
          </cell>
          <cell r="F54" t="str">
            <v>CLINICA LAS CONDES</v>
          </cell>
          <cell r="G54" t="str">
            <v>ESTORIL 450</v>
          </cell>
          <cell r="H54" t="str">
            <v>LAS CONDES</v>
          </cell>
          <cell r="I54" t="str">
            <v>METROPOLITANA</v>
          </cell>
          <cell r="J54" t="str">
            <v>50CLC</v>
          </cell>
          <cell r="K54" t="str">
            <v>cl-clinicalascondes@tiendas.oxxo.com</v>
          </cell>
          <cell r="L54" t="str">
            <v>TMCB</v>
          </cell>
          <cell r="M54" t="str">
            <v>RECESO</v>
          </cell>
          <cell r="N54" t="str">
            <v>ABC1</v>
          </cell>
          <cell r="O54" t="str">
            <v>NO</v>
          </cell>
          <cell r="P54" t="str">
            <v>COMPLETA</v>
          </cell>
          <cell r="Q54" t="str">
            <v>NO</v>
          </cell>
          <cell r="R54" t="str">
            <v>NO</v>
          </cell>
          <cell r="S54" t="str">
            <v>NO</v>
          </cell>
          <cell r="T54" t="str">
            <v>BRESCIA RIVERA RODRIGO</v>
          </cell>
          <cell r="U54" t="str">
            <v>rodrigo.brescia@oxxo.com</v>
          </cell>
          <cell r="V54">
            <v>56994777909</v>
          </cell>
          <cell r="W54" t="str">
            <v>ARAYA BURGOS ARIEL</v>
          </cell>
          <cell r="X54" t="str">
            <v>ariel.araya@oxxo.com</v>
          </cell>
          <cell r="Y54">
            <v>56976232708</v>
          </cell>
          <cell r="Z54" t="str">
            <v>RICCIO JOSE BRICEÑO HERNANDEZ</v>
          </cell>
          <cell r="AA54">
            <v>56992201789</v>
          </cell>
          <cell r="AB54">
            <v>0.29166666666666669</v>
          </cell>
          <cell r="AC54">
            <v>0.91666666666666663</v>
          </cell>
          <cell r="AD54">
            <v>0.29166666666666669</v>
          </cell>
          <cell r="AE54">
            <v>0.91666666666666663</v>
          </cell>
          <cell r="AF54">
            <v>0.33333333333333331</v>
          </cell>
          <cell r="AG54">
            <v>0.91666666666666663</v>
          </cell>
          <cell r="AH54">
            <v>0.39583333333333331</v>
          </cell>
          <cell r="AI54">
            <v>0.84375</v>
          </cell>
          <cell r="AJ54">
            <v>0.39583333333333331</v>
          </cell>
          <cell r="AK54">
            <v>0.875</v>
          </cell>
          <cell r="AL54" t="str">
            <v>12HRS</v>
          </cell>
          <cell r="AM54" t="str">
            <v>PAULA HUERTA</v>
          </cell>
          <cell r="AO54">
            <v>44582</v>
          </cell>
        </row>
        <row r="55">
          <cell r="E55" t="str">
            <v>OXXO</v>
          </cell>
          <cell r="F55" t="str">
            <v>APOQUINDO SAN PASCUAL</v>
          </cell>
          <cell r="G55" t="str">
            <v>AV. APOQUINDO 4639</v>
          </cell>
          <cell r="H55" t="str">
            <v>LAS CONDES</v>
          </cell>
          <cell r="I55" t="str">
            <v>METROPOLITANA</v>
          </cell>
          <cell r="J55" t="str">
            <v>50GDJ</v>
          </cell>
          <cell r="K55" t="str">
            <v>cl-sanpascual@tiendas.oxxo.com</v>
          </cell>
          <cell r="L55" t="str">
            <v>TMCB</v>
          </cell>
          <cell r="M55" t="str">
            <v>RECESO</v>
          </cell>
          <cell r="N55" t="str">
            <v>C2</v>
          </cell>
          <cell r="O55" t="str">
            <v>NO</v>
          </cell>
          <cell r="P55" t="str">
            <v>COMPLETA</v>
          </cell>
          <cell r="T55" t="str">
            <v>SERRANO SOTO MANUEL</v>
          </cell>
          <cell r="U55" t="str">
            <v>manuel.serrano@oxxo.com</v>
          </cell>
          <cell r="V55">
            <v>56940201885</v>
          </cell>
          <cell r="W55" t="str">
            <v>LOPEZ CALDERON LUIS GERARDO</v>
          </cell>
          <cell r="X55" t="str">
            <v/>
          </cell>
          <cell r="Y55" t="str">
            <v/>
          </cell>
          <cell r="Z55" t="str">
            <v>NIDIA PAOLA CAICEDO PACHECO</v>
          </cell>
          <cell r="AL55" t="str">
            <v>12HRS</v>
          </cell>
          <cell r="AO55">
            <v>43258</v>
          </cell>
        </row>
        <row r="56">
          <cell r="E56" t="str">
            <v>OXXO</v>
          </cell>
          <cell r="F56" t="str">
            <v>COLON 1</v>
          </cell>
          <cell r="G56" t="str">
            <v>AV.CRISTOBAL COLÓN 4648 </v>
          </cell>
          <cell r="H56" t="str">
            <v>LAS CONDES</v>
          </cell>
          <cell r="I56" t="str">
            <v>METROPOLITANA</v>
          </cell>
          <cell r="J56" t="str">
            <v>50ARE</v>
          </cell>
          <cell r="K56" t="str">
            <v>cl-colon@tiendas.oxxo.com</v>
          </cell>
          <cell r="L56" t="str">
            <v>TMCB</v>
          </cell>
          <cell r="M56" t="str">
            <v>HOGAR</v>
          </cell>
          <cell r="N56" t="str">
            <v>C2</v>
          </cell>
          <cell r="O56" t="str">
            <v>NO</v>
          </cell>
          <cell r="P56" t="str">
            <v>COMPLETA</v>
          </cell>
          <cell r="Q56" t="str">
            <v>NO</v>
          </cell>
          <cell r="R56" t="str">
            <v>NO</v>
          </cell>
          <cell r="S56" t="str">
            <v>NO</v>
          </cell>
          <cell r="T56" t="str">
            <v>BRESCIA RIVERA RODRIGO</v>
          </cell>
          <cell r="U56" t="str">
            <v>rodrigo.brescia@oxxo.com</v>
          </cell>
          <cell r="V56">
            <v>56994777909</v>
          </cell>
          <cell r="W56" t="str">
            <v>BENITEZ QUILODRAN HUGO</v>
          </cell>
          <cell r="X56" t="str">
            <v>hugo.benitez@oxxo.com</v>
          </cell>
          <cell r="Y56">
            <v>56998355780</v>
          </cell>
          <cell r="Z56" t="str">
            <v>ANTHONI JAVIER OSORIO GEREDA</v>
          </cell>
          <cell r="AA56">
            <v>56995699574</v>
          </cell>
          <cell r="AB56">
            <v>0.29166666666666669</v>
          </cell>
          <cell r="AC56">
            <v>0.91666666666666663</v>
          </cell>
          <cell r="AD56">
            <v>0.29166666666666669</v>
          </cell>
          <cell r="AE56">
            <v>0.91666666666666663</v>
          </cell>
          <cell r="AF56">
            <v>0.33333333333333331</v>
          </cell>
          <cell r="AG56">
            <v>0.91666666666666663</v>
          </cell>
          <cell r="AH56">
            <v>0.4375</v>
          </cell>
          <cell r="AI56">
            <v>0.88541666666666663</v>
          </cell>
          <cell r="AJ56">
            <v>0</v>
          </cell>
          <cell r="AK56">
            <v>0.99930555555555556</v>
          </cell>
          <cell r="AL56" t="str">
            <v>12HRS</v>
          </cell>
          <cell r="AM56" t="str">
            <v>ROBERTO POBLETE</v>
          </cell>
          <cell r="AO56">
            <v>43174</v>
          </cell>
        </row>
        <row r="57">
          <cell r="E57" t="str">
            <v>OXXO</v>
          </cell>
          <cell r="F57" t="str">
            <v>COLON 2</v>
          </cell>
          <cell r="G57" t="str">
            <v>AV.CRISTOBAL COLÓN 5801</v>
          </cell>
          <cell r="H57" t="str">
            <v>LAS CONDES</v>
          </cell>
          <cell r="I57" t="str">
            <v>METROPOLITANA</v>
          </cell>
          <cell r="J57" t="str">
            <v>50POS</v>
          </cell>
          <cell r="K57" t="str">
            <v>cl-colon2@tiendas.oxxo.com</v>
          </cell>
          <cell r="L57" t="str">
            <v>TMCB</v>
          </cell>
          <cell r="M57" t="str">
            <v>HOGAR</v>
          </cell>
          <cell r="N57" t="str">
            <v>ABC1</v>
          </cell>
          <cell r="O57" t="str">
            <v>NO</v>
          </cell>
          <cell r="P57" t="str">
            <v>COMPLETA</v>
          </cell>
          <cell r="Q57" t="str">
            <v>NO</v>
          </cell>
          <cell r="R57" t="str">
            <v>NO</v>
          </cell>
          <cell r="S57" t="str">
            <v>NO</v>
          </cell>
          <cell r="T57" t="str">
            <v>BRESCIA RIVERA RODRIGO</v>
          </cell>
          <cell r="U57" t="str">
            <v>rodrigo.brescia@oxxo.com</v>
          </cell>
          <cell r="V57">
            <v>56994777909</v>
          </cell>
          <cell r="W57" t="str">
            <v>BENITEZ QUILODRAN HUGO</v>
          </cell>
          <cell r="X57" t="str">
            <v>hugo.benitez@oxxo.com</v>
          </cell>
          <cell r="Y57">
            <v>56998355780</v>
          </cell>
          <cell r="Z57" t="str">
            <v>AILEEN VERONICA ARCOS MANCILLA</v>
          </cell>
          <cell r="AB57">
            <v>0.29166666666666669</v>
          </cell>
          <cell r="AC57">
            <v>0.95833333333333337</v>
          </cell>
          <cell r="AD57">
            <v>0.29166666666666669</v>
          </cell>
          <cell r="AE57">
            <v>0.99305555555555558</v>
          </cell>
          <cell r="AF57">
            <v>0.33333333333333331</v>
          </cell>
          <cell r="AG57">
            <v>0.99305555555555558</v>
          </cell>
          <cell r="AH57">
            <v>0.4375</v>
          </cell>
          <cell r="AI57">
            <v>0.88541666666666663</v>
          </cell>
          <cell r="AJ57">
            <v>0.375</v>
          </cell>
          <cell r="AK57">
            <v>0.95833333333333337</v>
          </cell>
          <cell r="AL57" t="str">
            <v>12HRS</v>
          </cell>
          <cell r="AM57" t="str">
            <v>ROBERTO POBLETE</v>
          </cell>
          <cell r="AO57">
            <v>43351</v>
          </cell>
        </row>
        <row r="58">
          <cell r="E58" t="str">
            <v>OXXO</v>
          </cell>
          <cell r="F58" t="str">
            <v>COLON PONTEVEDRA</v>
          </cell>
          <cell r="G58" t="str">
            <v>AV. CRISTOBÁL COLÓN 7065, LOCAL 1,2 Y 3</v>
          </cell>
          <cell r="H58" t="str">
            <v>LAS CONDES</v>
          </cell>
          <cell r="I58" t="str">
            <v>METROPOLITANA</v>
          </cell>
          <cell r="J58" t="str">
            <v>50REU</v>
          </cell>
          <cell r="K58" t="str">
            <v>cl-colonpontevedra@tiendas.oxxo.com</v>
          </cell>
          <cell r="L58" t="str">
            <v>TMCB</v>
          </cell>
          <cell r="M58" t="str">
            <v>HOGAR</v>
          </cell>
          <cell r="N58" t="str">
            <v>ABC1</v>
          </cell>
          <cell r="O58" t="str">
            <v>NO</v>
          </cell>
          <cell r="P58" t="str">
            <v>COMPLETA</v>
          </cell>
          <cell r="Q58" t="str">
            <v>NO</v>
          </cell>
          <cell r="R58" t="str">
            <v>NO</v>
          </cell>
          <cell r="S58" t="str">
            <v>NO</v>
          </cell>
          <cell r="T58" t="str">
            <v>BRESCIA RIVERA RODRIGO</v>
          </cell>
          <cell r="U58" t="str">
            <v>rodrigo.brescia@oxxo.com</v>
          </cell>
          <cell r="V58">
            <v>56994777909</v>
          </cell>
          <cell r="W58" t="str">
            <v>BENITEZ QUILODRAN HUGO</v>
          </cell>
          <cell r="X58" t="str">
            <v>hugo.benitez@oxxo.com</v>
          </cell>
          <cell r="Y58">
            <v>56998355780</v>
          </cell>
          <cell r="Z58" t="str">
            <v>TATIANA  VERONICA PARRALES MORAN</v>
          </cell>
          <cell r="AA58">
            <v>56934193780</v>
          </cell>
          <cell r="AB58">
            <v>0.29166666666666669</v>
          </cell>
          <cell r="AC58">
            <v>0.95833333333333337</v>
          </cell>
          <cell r="AD58">
            <v>0.29166666666666669</v>
          </cell>
          <cell r="AE58">
            <v>0.99305555555555558</v>
          </cell>
          <cell r="AF58">
            <v>0.33333333333333331</v>
          </cell>
          <cell r="AG58">
            <v>0.99305555555555558</v>
          </cell>
          <cell r="AH58">
            <v>0.4375</v>
          </cell>
          <cell r="AI58">
            <v>0.88541666666666663</v>
          </cell>
          <cell r="AJ58">
            <v>0.375</v>
          </cell>
          <cell r="AK58">
            <v>0.95833333333333337</v>
          </cell>
          <cell r="AL58" t="str">
            <v>12HRS</v>
          </cell>
          <cell r="AM58" t="str">
            <v>ROBERTO POBLETE</v>
          </cell>
          <cell r="AO58">
            <v>43444</v>
          </cell>
        </row>
        <row r="59">
          <cell r="E59" t="str">
            <v>OXXO</v>
          </cell>
          <cell r="F59" t="str">
            <v>CONCHA Y TORO</v>
          </cell>
          <cell r="G59" t="str">
            <v>AV. CONCHA Y TORO N199</v>
          </cell>
          <cell r="H59" t="str">
            <v>PUENTE ALTO</v>
          </cell>
          <cell r="I59" t="str">
            <v>METROPOLITANA</v>
          </cell>
          <cell r="J59">
            <v>50863</v>
          </cell>
          <cell r="K59" t="str">
            <v>cl-conchaytoro@tiendas.oxxo.com</v>
          </cell>
          <cell r="L59" t="str">
            <v>TNM</v>
          </cell>
          <cell r="M59" t="str">
            <v>RECESO</v>
          </cell>
          <cell r="N59" t="str">
            <v>C2</v>
          </cell>
          <cell r="O59" t="str">
            <v>NO</v>
          </cell>
          <cell r="P59" t="str">
            <v>COMPLETA</v>
          </cell>
          <cell r="Q59" t="str">
            <v>NO</v>
          </cell>
          <cell r="R59" t="str">
            <v>SI</v>
          </cell>
          <cell r="S59" t="str">
            <v>NO</v>
          </cell>
          <cell r="T59" t="str">
            <v>BRESCIA RIVERA RODRIGO</v>
          </cell>
          <cell r="U59" t="str">
            <v>rodrigo.brescia@oxxo.com</v>
          </cell>
          <cell r="V59">
            <v>56994777909</v>
          </cell>
          <cell r="W59" t="str">
            <v>PINERUA JAIMES JESUS</v>
          </cell>
          <cell r="X59" t="str">
            <v>jesus.pinerua@oxxo.com</v>
          </cell>
          <cell r="Y59">
            <v>56982335207</v>
          </cell>
          <cell r="Z59" t="str">
            <v>MARCELA ALEJANDRA ZEPEDA INOSTROZA</v>
          </cell>
          <cell r="AA59">
            <v>56968050842</v>
          </cell>
          <cell r="AB59">
            <v>0.29166666666666669</v>
          </cell>
          <cell r="AC59">
            <v>0.91666666666666663</v>
          </cell>
          <cell r="AD59">
            <v>0.29166666666666669</v>
          </cell>
          <cell r="AE59">
            <v>0.91666666666666663</v>
          </cell>
          <cell r="AF59">
            <v>0.33333333333333331</v>
          </cell>
          <cell r="AG59">
            <v>0.91666666666666663</v>
          </cell>
          <cell r="AH59">
            <v>0.39583333333333331</v>
          </cell>
          <cell r="AI59">
            <v>0.84375</v>
          </cell>
          <cell r="AJ59">
            <v>0.375</v>
          </cell>
          <cell r="AK59">
            <v>0.875</v>
          </cell>
          <cell r="AL59" t="str">
            <v>12HRS</v>
          </cell>
          <cell r="AM59" t="str">
            <v>PAULA HUERTA</v>
          </cell>
          <cell r="AO59">
            <v>45119</v>
          </cell>
        </row>
        <row r="60">
          <cell r="E60" t="str">
            <v>OXXO</v>
          </cell>
          <cell r="F60" t="str">
            <v>CONCON RENACA</v>
          </cell>
          <cell r="G60" t="str">
            <v>AVENIDA CONCÓN-REÑACA N4000, LOCAL 3</v>
          </cell>
          <cell r="H60" t="str">
            <v>CONCÓN</v>
          </cell>
          <cell r="I60" t="str">
            <v>VALPARAISO</v>
          </cell>
          <cell r="J60" t="str">
            <v>50LAE</v>
          </cell>
          <cell r="K60" t="str">
            <v>cl-conconrenaca@tiendas.oxxo.com</v>
          </cell>
          <cell r="L60" t="str">
            <v>TNM</v>
          </cell>
          <cell r="M60" t="str">
            <v>BASE</v>
          </cell>
          <cell r="N60" t="str">
            <v>ABC1</v>
          </cell>
          <cell r="O60" t="str">
            <v>NO</v>
          </cell>
          <cell r="P60" t="str">
            <v>PARCIAL</v>
          </cell>
          <cell r="Q60" t="str">
            <v>NO</v>
          </cell>
          <cell r="R60" t="str">
            <v>SI</v>
          </cell>
          <cell r="S60" t="str">
            <v>NO</v>
          </cell>
          <cell r="T60" t="str">
            <v>SESA DIEGO MIGUEL</v>
          </cell>
          <cell r="U60" t="str">
            <v>diego.sesa@oxxo.com</v>
          </cell>
          <cell r="V60">
            <v>56954238682</v>
          </cell>
          <cell r="W60" t="str">
            <v>ESCOBAR VALDES VALESKA SOLEDAD</v>
          </cell>
          <cell r="X60" t="str">
            <v>valeska.escobar@oxxo.com</v>
          </cell>
          <cell r="Y60">
            <v>56961681492</v>
          </cell>
          <cell r="Z60" t="str">
            <v>MARIA ILCE VASQUEZ BASCUÑAN</v>
          </cell>
          <cell r="AA60">
            <v>56992199626</v>
          </cell>
          <cell r="AB60">
            <v>0.3125</v>
          </cell>
          <cell r="AC60">
            <v>0.95833333333333337</v>
          </cell>
          <cell r="AD60">
            <v>0.3125</v>
          </cell>
          <cell r="AE60">
            <v>0.99305555555555558</v>
          </cell>
          <cell r="AF60">
            <v>0.33333333333333331</v>
          </cell>
          <cell r="AG60">
            <v>0.99305555555555558</v>
          </cell>
          <cell r="AH60">
            <v>0.39583333333333331</v>
          </cell>
          <cell r="AI60">
            <v>0.84375</v>
          </cell>
          <cell r="AJ60">
            <v>0.375</v>
          </cell>
          <cell r="AK60">
            <v>0.84375</v>
          </cell>
          <cell r="AL60" t="str">
            <v>12HRS</v>
          </cell>
          <cell r="AM60" t="str">
            <v>ROBERTO POBLETE</v>
          </cell>
          <cell r="AO60">
            <v>45167</v>
          </cell>
        </row>
        <row r="61">
          <cell r="E61" t="str">
            <v>OXXO</v>
          </cell>
          <cell r="F61" t="str">
            <v>COSTA MONTEMAR</v>
          </cell>
          <cell r="G61" t="str">
            <v>AVENIDA COSTA DE MONTEMAR 264, LOCAL 108-107-106</v>
          </cell>
          <cell r="H61" t="str">
            <v>CONCÓN</v>
          </cell>
          <cell r="I61" t="str">
            <v>VALPARAISO</v>
          </cell>
          <cell r="J61" t="str">
            <v>50QVX</v>
          </cell>
          <cell r="K61" t="str">
            <v>cl-costamontemar@tiendas.oxxo.com</v>
          </cell>
          <cell r="L61" t="str">
            <v>TNM</v>
          </cell>
          <cell r="M61" t="str">
            <v>BASE</v>
          </cell>
          <cell r="N61" t="str">
            <v>S/I</v>
          </cell>
          <cell r="O61" t="str">
            <v>NO</v>
          </cell>
          <cell r="P61" t="str">
            <v>COMPLETA</v>
          </cell>
          <cell r="Q61" t="str">
            <v>NO</v>
          </cell>
          <cell r="R61" t="str">
            <v>NO</v>
          </cell>
          <cell r="S61" t="str">
            <v>NO</v>
          </cell>
          <cell r="T61" t="str">
            <v>SESA DIEGO MIGUEL</v>
          </cell>
          <cell r="U61" t="str">
            <v>diego.sesa@oxxo.com</v>
          </cell>
          <cell r="V61">
            <v>56954238682</v>
          </cell>
          <cell r="W61" t="str">
            <v>ESCOBAR VALDES VALESKA SOLEDAD</v>
          </cell>
          <cell r="X61" t="str">
            <v>valeska.escobar@oxxo.com</v>
          </cell>
          <cell r="Y61">
            <v>56961681492</v>
          </cell>
          <cell r="Z61" t="str">
            <v>ELIAS AARON GUERRA GONZALEZ</v>
          </cell>
          <cell r="AA61">
            <v>56977313359</v>
          </cell>
          <cell r="AB61">
            <v>0.3125</v>
          </cell>
          <cell r="AC61">
            <v>0.95833333333333337</v>
          </cell>
          <cell r="AD61">
            <v>0.3125</v>
          </cell>
          <cell r="AE61">
            <v>0.99305555555555558</v>
          </cell>
          <cell r="AF61">
            <v>0.33333333333333331</v>
          </cell>
          <cell r="AG61">
            <v>0.99305555555555558</v>
          </cell>
          <cell r="AH61">
            <v>0.4375</v>
          </cell>
          <cell r="AI61">
            <v>0.88541666666666663</v>
          </cell>
          <cell r="AO61">
            <v>45625</v>
          </cell>
        </row>
        <row r="62">
          <cell r="E62" t="str">
            <v>OXXO</v>
          </cell>
          <cell r="F62" t="str">
            <v>SAN PABLO MORANDE</v>
          </cell>
          <cell r="G62" t="str">
            <v>MORANDÉ 801, LOCAL 102</v>
          </cell>
          <cell r="H62" t="str">
            <v>SANTIAGO</v>
          </cell>
          <cell r="I62" t="str">
            <v>METROPOLITANA</v>
          </cell>
          <cell r="J62" t="str">
            <v>50GNW</v>
          </cell>
          <cell r="K62" t="str">
            <v>cl-sanpablomorande@tiendas.oxxo.com</v>
          </cell>
          <cell r="L62" t="str">
            <v>TMCB</v>
          </cell>
          <cell r="M62" t="str">
            <v>RECESO</v>
          </cell>
          <cell r="N62" t="str">
            <v>C3</v>
          </cell>
          <cell r="O62" t="str">
            <v>NO</v>
          </cell>
          <cell r="P62" t="str">
            <v>COMPLETA</v>
          </cell>
          <cell r="T62" t="str">
            <v>SERRANO SOTO MANUEL</v>
          </cell>
          <cell r="U62" t="str">
            <v>manuel.serrano@oxxo.com</v>
          </cell>
          <cell r="V62">
            <v>56940201885</v>
          </cell>
          <cell r="W62" t="str">
            <v>MENDOZA GIL BREYNER JOSE</v>
          </cell>
          <cell r="X62" t="str">
            <v>breyner.mendoza@oxxo.com</v>
          </cell>
          <cell r="Y62">
            <v>56998689425</v>
          </cell>
          <cell r="Z62" t="str">
            <v>CAMILA IGNACIA SAAVEDRA TOLEDO</v>
          </cell>
          <cell r="AL62" t="str">
            <v>12HRS</v>
          </cell>
          <cell r="AO62">
            <v>43458</v>
          </cell>
        </row>
        <row r="63">
          <cell r="E63" t="str">
            <v>OXXO</v>
          </cell>
          <cell r="F63" t="str">
            <v>EBRO</v>
          </cell>
          <cell r="G63" t="str">
            <v>EBRO 2741</v>
          </cell>
          <cell r="H63" t="str">
            <v>LAS CONDES</v>
          </cell>
          <cell r="I63" t="str">
            <v>METROPOLITANA</v>
          </cell>
          <cell r="J63" t="str">
            <v>50AQL</v>
          </cell>
          <cell r="K63" t="str">
            <v>cl-ebro@tiendas.oxxo.com</v>
          </cell>
          <cell r="L63" t="str">
            <v>TMCB</v>
          </cell>
          <cell r="M63" t="str">
            <v>BASE</v>
          </cell>
          <cell r="N63" t="str">
            <v>C2</v>
          </cell>
          <cell r="O63" t="str">
            <v>NO</v>
          </cell>
          <cell r="P63" t="str">
            <v>COMPLETA</v>
          </cell>
          <cell r="Q63" t="str">
            <v>NO</v>
          </cell>
          <cell r="R63" t="str">
            <v>NO</v>
          </cell>
          <cell r="S63" t="str">
            <v>NO</v>
          </cell>
          <cell r="T63" t="str">
            <v>BRESCIA RIVERA RODRIGO</v>
          </cell>
          <cell r="U63" t="str">
            <v>rodrigo.brescia@oxxo.com</v>
          </cell>
          <cell r="V63">
            <v>56994777909</v>
          </cell>
          <cell r="W63" t="str">
            <v>MONTT FUENTES JAIME IGNACIO</v>
          </cell>
          <cell r="X63" t="str">
            <v>jaime.montt@oxxo.com</v>
          </cell>
          <cell r="Y63">
            <v>56974820182</v>
          </cell>
          <cell r="Z63" t="str">
            <v>LAURA MACARENA BARAHONA PUINGAN</v>
          </cell>
          <cell r="AA63">
            <v>56995699489</v>
          </cell>
          <cell r="AB63">
            <v>0.29166666666666669</v>
          </cell>
          <cell r="AC63">
            <v>0.91666666666666663</v>
          </cell>
          <cell r="AD63">
            <v>0.29166666666666669</v>
          </cell>
          <cell r="AE63">
            <v>0.91666666666666663</v>
          </cell>
          <cell r="AF63">
            <v>0.33333333333333331</v>
          </cell>
          <cell r="AG63">
            <v>0.91666666666666663</v>
          </cell>
          <cell r="AH63" t="str">
            <v>Cerrado</v>
          </cell>
          <cell r="AI63" t="str">
            <v>Cerrado</v>
          </cell>
          <cell r="AJ63">
            <v>0.375</v>
          </cell>
          <cell r="AK63">
            <v>0.9375</v>
          </cell>
          <cell r="AL63" t="str">
            <v>12HRS</v>
          </cell>
          <cell r="AM63" t="str">
            <v>PAULA HUERTA</v>
          </cell>
          <cell r="AO63">
            <v>42942</v>
          </cell>
        </row>
        <row r="64">
          <cell r="E64" t="str">
            <v>OXXO</v>
          </cell>
          <cell r="F64" t="str">
            <v>ARTURO PRAT - ELEUTERIO</v>
          </cell>
          <cell r="G64" t="str">
            <v>CALLE ARTURO PRAT 293 , DEPTO 1</v>
          </cell>
          <cell r="H64" t="str">
            <v>SANTIAGO</v>
          </cell>
          <cell r="I64" t="str">
            <v>METROPOLITANA</v>
          </cell>
          <cell r="J64" t="str">
            <v>50ANM</v>
          </cell>
          <cell r="K64" t="str">
            <v>cl-arturoprat@tiendas.oxxo.com</v>
          </cell>
          <cell r="L64" t="str">
            <v>TMCB</v>
          </cell>
          <cell r="M64" t="str">
            <v>HOGAR C/FF</v>
          </cell>
          <cell r="O64" t="str">
            <v>NO</v>
          </cell>
          <cell r="P64" t="str">
            <v>COMPLETA</v>
          </cell>
          <cell r="T64" t="str">
            <v>SERRANO SOTO MANUEL</v>
          </cell>
          <cell r="U64" t="str">
            <v>manuel.serrano@oxxo.com</v>
          </cell>
          <cell r="V64">
            <v>56940201885</v>
          </cell>
          <cell r="X64" t="str">
            <v/>
          </cell>
          <cell r="Y64" t="str">
            <v/>
          </cell>
          <cell r="Z64" t="str">
            <v>S/I</v>
          </cell>
          <cell r="AL64" t="str">
            <v>12HRS</v>
          </cell>
          <cell r="AO64">
            <v>43538</v>
          </cell>
        </row>
        <row r="65">
          <cell r="E65" t="str">
            <v>OXXO</v>
          </cell>
          <cell r="F65" t="str">
            <v>EDMUNDO ELUCHANS</v>
          </cell>
          <cell r="G65" t="str">
            <v>EDMUNDO ELUCHANS N1737, LOCAL 4</v>
          </cell>
          <cell r="H65" t="str">
            <v>VIÑA DEL MAR</v>
          </cell>
          <cell r="I65" t="str">
            <v>VALPARAISO</v>
          </cell>
          <cell r="J65" t="str">
            <v>5033A</v>
          </cell>
          <cell r="K65" t="str">
            <v>cl-edmundoeluchans@tiendas.oxxo.com</v>
          </cell>
          <cell r="L65" t="str">
            <v>TMCB</v>
          </cell>
          <cell r="M65" t="str">
            <v>HOGAR</v>
          </cell>
          <cell r="N65" t="str">
            <v>ABC1</v>
          </cell>
          <cell r="O65" t="str">
            <v>NO</v>
          </cell>
          <cell r="P65" t="str">
            <v>COMPLETA</v>
          </cell>
          <cell r="Q65" t="str">
            <v>SI</v>
          </cell>
          <cell r="R65" t="str">
            <v>NO</v>
          </cell>
          <cell r="S65" t="str">
            <v>NO</v>
          </cell>
          <cell r="T65" t="str">
            <v>SESA DIEGO MIGUEL</v>
          </cell>
          <cell r="U65" t="str">
            <v>diego.sesa@oxxo.com</v>
          </cell>
          <cell r="V65">
            <v>56954238682</v>
          </cell>
          <cell r="W65" t="str">
            <v>ESCOBAR VALDES VALESKA SOLEDAD</v>
          </cell>
          <cell r="X65" t="str">
            <v>valeska.escobar@oxxo.com</v>
          </cell>
          <cell r="Y65">
            <v>56961681492</v>
          </cell>
          <cell r="Z65" t="str">
            <v>KATERINE ALICIA ALARCON ARANEDA</v>
          </cell>
          <cell r="AA65">
            <v>56992196860</v>
          </cell>
          <cell r="AB65">
            <v>0.3125</v>
          </cell>
          <cell r="AC65">
            <v>0.95833333333333337</v>
          </cell>
          <cell r="AD65">
            <v>0.3125</v>
          </cell>
          <cell r="AE65">
            <v>0.99305555555555558</v>
          </cell>
          <cell r="AF65">
            <v>0.33333333333333331</v>
          </cell>
          <cell r="AG65">
            <v>0.99305555555555558</v>
          </cell>
          <cell r="AH65">
            <v>0.4375</v>
          </cell>
          <cell r="AI65">
            <v>0.88541666666666663</v>
          </cell>
          <cell r="AJ65">
            <v>0.375</v>
          </cell>
          <cell r="AK65">
            <v>0.88541666666666663</v>
          </cell>
          <cell r="AL65" t="str">
            <v>12HRS</v>
          </cell>
          <cell r="AM65" t="str">
            <v>ROBERTO POBLETE</v>
          </cell>
          <cell r="AO65">
            <v>45068</v>
          </cell>
        </row>
        <row r="66">
          <cell r="E66" t="str">
            <v>OXXO</v>
          </cell>
          <cell r="F66" t="str">
            <v>EJERCITO ALAMEDA</v>
          </cell>
          <cell r="G66" t="str">
            <v>AV. EJERCITO LIBERTADOR 71-75, LOCAL 4</v>
          </cell>
          <cell r="H66" t="str">
            <v>SANTIAGO</v>
          </cell>
          <cell r="I66" t="str">
            <v>METROPOLITANA</v>
          </cell>
          <cell r="J66" t="str">
            <v>50EDF</v>
          </cell>
          <cell r="K66" t="str">
            <v>cl-ejercitoalameda@tiendas.oxxo.com</v>
          </cell>
          <cell r="L66" t="str">
            <v>TMCB</v>
          </cell>
          <cell r="M66" t="str">
            <v>RECESO</v>
          </cell>
          <cell r="N66" t="str">
            <v>C2</v>
          </cell>
          <cell r="O66" t="str">
            <v>NO</v>
          </cell>
          <cell r="P66" t="str">
            <v>COMPLETA</v>
          </cell>
          <cell r="Q66" t="str">
            <v>NO</v>
          </cell>
          <cell r="R66" t="str">
            <v>NO</v>
          </cell>
          <cell r="S66" t="str">
            <v>NO</v>
          </cell>
          <cell r="T66" t="str">
            <v>BRESCIA RIVERA RODRIGO</v>
          </cell>
          <cell r="U66" t="str">
            <v>rodrigo.brescia@oxxo.com</v>
          </cell>
          <cell r="V66">
            <v>56994777909</v>
          </cell>
          <cell r="W66" t="str">
            <v>LIAZ MONTERO GABRIEL</v>
          </cell>
          <cell r="X66" t="str">
            <v>gabriel.liaz@oxxo.com</v>
          </cell>
          <cell r="Y66">
            <v>56964735260</v>
          </cell>
          <cell r="Z66" t="str">
            <v>NATACHA PAOLA TROCONIS MEZA</v>
          </cell>
          <cell r="AA66">
            <v>56934193770</v>
          </cell>
          <cell r="AB66">
            <v>0.29166666666666669</v>
          </cell>
          <cell r="AC66">
            <v>0.875</v>
          </cell>
          <cell r="AD66">
            <v>0.29166666666666669</v>
          </cell>
          <cell r="AE66">
            <v>0.875</v>
          </cell>
          <cell r="AF66">
            <v>0.33333333333333331</v>
          </cell>
          <cell r="AG66">
            <v>0.75</v>
          </cell>
          <cell r="AH66" t="str">
            <v>Cerrado</v>
          </cell>
          <cell r="AI66" t="str">
            <v>Cerrado</v>
          </cell>
          <cell r="AJ66">
            <v>0</v>
          </cell>
          <cell r="AK66">
            <v>0</v>
          </cell>
          <cell r="AL66" t="str">
            <v>12HRS</v>
          </cell>
          <cell r="AM66" t="str">
            <v>PAULA HUERTA</v>
          </cell>
          <cell r="AO66">
            <v>43371</v>
          </cell>
        </row>
        <row r="67">
          <cell r="E67" t="str">
            <v>OXXO</v>
          </cell>
          <cell r="F67" t="str">
            <v>EL BOSQUE NORTE</v>
          </cell>
          <cell r="G67" t="str">
            <v>AV. EL BOSQUE NORTE 0120,LOCAL B  </v>
          </cell>
          <cell r="H67" t="str">
            <v>LAS CONDES</v>
          </cell>
          <cell r="I67" t="str">
            <v>METROPOLITANA</v>
          </cell>
          <cell r="J67" t="str">
            <v>50OFN</v>
          </cell>
          <cell r="K67" t="str">
            <v>cl-bosquenorteoxxo@tiendas.oxxo.com</v>
          </cell>
          <cell r="L67" t="str">
            <v>TMCB</v>
          </cell>
          <cell r="M67" t="str">
            <v>BASE</v>
          </cell>
          <cell r="N67" t="str">
            <v>C2</v>
          </cell>
          <cell r="O67" t="str">
            <v>NO</v>
          </cell>
          <cell r="P67" t="str">
            <v>COMPLETA</v>
          </cell>
          <cell r="Q67" t="str">
            <v>NO</v>
          </cell>
          <cell r="R67" t="str">
            <v>NO</v>
          </cell>
          <cell r="S67" t="str">
            <v>NO</v>
          </cell>
          <cell r="T67" t="str">
            <v>BRESCIA RIVERA RODRIGO</v>
          </cell>
          <cell r="U67" t="str">
            <v>rodrigo.brescia@oxxo.com</v>
          </cell>
          <cell r="V67">
            <v>56994777909</v>
          </cell>
          <cell r="W67" t="str">
            <v>MONTT FUENTES JAIME IGNACIO</v>
          </cell>
          <cell r="X67" t="str">
            <v>jaime.montt@oxxo.com</v>
          </cell>
          <cell r="Y67">
            <v>56974820182</v>
          </cell>
          <cell r="Z67" t="str">
            <v>JOSE RAFAEL BASTO GONZALEZ</v>
          </cell>
          <cell r="AA67">
            <v>56973875980</v>
          </cell>
          <cell r="AB67">
            <v>0.29166666666666669</v>
          </cell>
          <cell r="AC67">
            <v>0.91666666666666663</v>
          </cell>
          <cell r="AD67">
            <v>0.29166666666666669</v>
          </cell>
          <cell r="AE67">
            <v>0.91666666666666663</v>
          </cell>
          <cell r="AF67">
            <v>0.33333333333333331</v>
          </cell>
          <cell r="AG67">
            <v>0.91666666666666663</v>
          </cell>
          <cell r="AH67">
            <v>0.39583333333333331</v>
          </cell>
          <cell r="AI67">
            <v>0.84375</v>
          </cell>
          <cell r="AJ67">
            <v>0.375</v>
          </cell>
          <cell r="AK67">
            <v>0.9375</v>
          </cell>
          <cell r="AL67" t="str">
            <v>12HRS</v>
          </cell>
          <cell r="AM67" t="str">
            <v>PAULA HUERTA</v>
          </cell>
          <cell r="AO67">
            <v>42942</v>
          </cell>
        </row>
        <row r="68">
          <cell r="E68" t="str">
            <v>OXXO</v>
          </cell>
          <cell r="F68" t="str">
            <v>EL FARO</v>
          </cell>
          <cell r="G68" t="str">
            <v>APOQUINDO N6051, LOCAL 30-31</v>
          </cell>
          <cell r="H68" t="str">
            <v>LAS CONDES</v>
          </cell>
          <cell r="I68" t="str">
            <v>METROPOLITANA</v>
          </cell>
          <cell r="J68" t="str">
            <v>50NC0</v>
          </cell>
          <cell r="K68" t="str">
            <v>cl-elfaro@tiendas.oxxo.com</v>
          </cell>
          <cell r="L68" t="str">
            <v>TMCB</v>
          </cell>
          <cell r="M68" t="str">
            <v>RECESO</v>
          </cell>
          <cell r="N68" t="str">
            <v>ABC1</v>
          </cell>
          <cell r="O68" t="str">
            <v>NO</v>
          </cell>
          <cell r="P68" t="str">
            <v>COMPLETA</v>
          </cell>
          <cell r="Q68" t="str">
            <v>NO</v>
          </cell>
          <cell r="R68" t="str">
            <v>NO</v>
          </cell>
          <cell r="S68" t="str">
            <v>NO</v>
          </cell>
          <cell r="T68" t="str">
            <v>SESA DIEGO MIGUEL</v>
          </cell>
          <cell r="U68" t="str">
            <v>diego.sesa@oxxo.com</v>
          </cell>
          <cell r="V68">
            <v>56954238682</v>
          </cell>
          <cell r="W68" t="str">
            <v>GAMERRE URZUA CECILIA</v>
          </cell>
          <cell r="X68" t="str">
            <v>cecilia.gamerre@oxxo.com</v>
          </cell>
          <cell r="Y68">
            <v>56992076485</v>
          </cell>
          <cell r="Z68" t="str">
            <v>DELVIS EDUARDO ANTOIMA GARCIA</v>
          </cell>
          <cell r="AA68">
            <v>56992193236</v>
          </cell>
          <cell r="AB68">
            <v>0.29166666666666669</v>
          </cell>
          <cell r="AC68">
            <v>0.91666666666666663</v>
          </cell>
          <cell r="AD68">
            <v>0.29166666666666669</v>
          </cell>
          <cell r="AE68">
            <v>0.91666666666666663</v>
          </cell>
          <cell r="AF68">
            <v>0.33333333333333331</v>
          </cell>
          <cell r="AG68">
            <v>0.91666666666666663</v>
          </cell>
          <cell r="AH68">
            <v>0.39583333333333331</v>
          </cell>
          <cell r="AI68">
            <v>0.84375</v>
          </cell>
          <cell r="AJ68">
            <v>0.375</v>
          </cell>
          <cell r="AK68">
            <v>0.91666666666666663</v>
          </cell>
          <cell r="AL68" t="str">
            <v>12HRS</v>
          </cell>
          <cell r="AM68" t="str">
            <v>PAULA HUERTA</v>
          </cell>
          <cell r="AO68">
            <v>45042</v>
          </cell>
        </row>
        <row r="69">
          <cell r="E69" t="str">
            <v>OXXO</v>
          </cell>
          <cell r="F69" t="str">
            <v>ELEUTERIO RAMIREZ NATANIEL COX</v>
          </cell>
          <cell r="G69" t="str">
            <v>NATANIEL COX 285</v>
          </cell>
          <cell r="H69" t="str">
            <v>SANTIAGO</v>
          </cell>
          <cell r="I69" t="str">
            <v>METROPOLITANA</v>
          </cell>
          <cell r="J69" t="str">
            <v>50SAS</v>
          </cell>
          <cell r="K69" t="str">
            <v>cl-eleuterionataniel@tiendas.oxxo.com</v>
          </cell>
          <cell r="L69" t="str">
            <v>TMCB</v>
          </cell>
          <cell r="M69" t="str">
            <v>HOGAR C/FF</v>
          </cell>
          <cell r="N69" t="str">
            <v>C3</v>
          </cell>
          <cell r="O69" t="str">
            <v>SI</v>
          </cell>
          <cell r="P69" t="str">
            <v>COMPLETA</v>
          </cell>
          <cell r="T69" t="str">
            <v>SERRANO SOTO MANUEL</v>
          </cell>
          <cell r="U69" t="str">
            <v>manuel.serrano@oxxo.com</v>
          </cell>
          <cell r="V69">
            <v>56940201885</v>
          </cell>
          <cell r="W69" t="str">
            <v>RIQUELME ESTAY ROBERTO</v>
          </cell>
          <cell r="X69" t="str">
            <v/>
          </cell>
          <cell r="Y69" t="str">
            <v/>
          </cell>
          <cell r="Z69" t="str">
            <v>CONSTANZA BELEN ROMAN ARAYA</v>
          </cell>
          <cell r="AL69" t="str">
            <v>12HRS</v>
          </cell>
          <cell r="AO69">
            <v>43625</v>
          </cell>
        </row>
        <row r="70">
          <cell r="E70" t="str">
            <v>OXXO</v>
          </cell>
          <cell r="F70" t="str">
            <v>EL GOLF</v>
          </cell>
          <cell r="G70" t="str">
            <v>AV.APOQUINDO 3361</v>
          </cell>
          <cell r="H70" t="str">
            <v>LAS CONDES</v>
          </cell>
          <cell r="I70" t="str">
            <v>METROPOLITANA</v>
          </cell>
          <cell r="J70" t="str">
            <v>50NMT</v>
          </cell>
          <cell r="K70" t="str">
            <v>cl-elgolf@tiendas.oxxo.com</v>
          </cell>
          <cell r="L70" t="str">
            <v>TMCB</v>
          </cell>
          <cell r="M70" t="str">
            <v>BASE</v>
          </cell>
          <cell r="N70" t="str">
            <v>ABC1</v>
          </cell>
          <cell r="O70" t="str">
            <v>NO</v>
          </cell>
          <cell r="P70" t="str">
            <v>COMPLETA</v>
          </cell>
          <cell r="Q70" t="str">
            <v>NO</v>
          </cell>
          <cell r="R70" t="str">
            <v>NO</v>
          </cell>
          <cell r="S70" t="str">
            <v>NO</v>
          </cell>
          <cell r="T70" t="str">
            <v>SESA DIEGO MIGUEL</v>
          </cell>
          <cell r="U70" t="str">
            <v>diego.sesa@oxxo.com</v>
          </cell>
          <cell r="V70">
            <v>56954238682</v>
          </cell>
          <cell r="W70" t="str">
            <v>GAMERRE URZUA CECILIA</v>
          </cell>
          <cell r="X70" t="str">
            <v>cecilia.gamerre@oxxo.com</v>
          </cell>
          <cell r="Y70">
            <v>56992076485</v>
          </cell>
          <cell r="Z70" t="str">
            <v>WILMER ANTONIO GUTIERREZ VILORIA</v>
          </cell>
          <cell r="AA70">
            <v>56995699708</v>
          </cell>
          <cell r="AB70">
            <v>0.29166666666666669</v>
          </cell>
          <cell r="AC70">
            <v>0.91666666666666663</v>
          </cell>
          <cell r="AD70">
            <v>0.29166666666666669</v>
          </cell>
          <cell r="AE70">
            <v>0.91666666666666663</v>
          </cell>
          <cell r="AF70">
            <v>0.33333333333333331</v>
          </cell>
          <cell r="AG70">
            <v>0.91666666666666663</v>
          </cell>
          <cell r="AH70">
            <v>0.39583333333333331</v>
          </cell>
          <cell r="AI70">
            <v>0.84375</v>
          </cell>
          <cell r="AJ70">
            <v>0.375</v>
          </cell>
          <cell r="AK70">
            <v>0.91666666666666663</v>
          </cell>
          <cell r="AL70" t="str">
            <v>12HRS</v>
          </cell>
          <cell r="AM70" t="str">
            <v>PAULA HUERTA</v>
          </cell>
          <cell r="AO70">
            <v>42942</v>
          </cell>
        </row>
        <row r="71">
          <cell r="E71" t="str">
            <v>OXXO</v>
          </cell>
          <cell r="F71" t="str">
            <v>ELIODORO YANEZ</v>
          </cell>
          <cell r="G71" t="str">
            <v>ELIODORO YÁÑEZ N 1570, LOCAL 101</v>
          </cell>
          <cell r="H71" t="str">
            <v>PROVIDENCIA</v>
          </cell>
          <cell r="I71" t="str">
            <v>METROPOLITANA</v>
          </cell>
          <cell r="J71" t="str">
            <v>50ELY</v>
          </cell>
          <cell r="K71" t="str">
            <v>cl-eliodoroyanez@tiendas.oxxo.com</v>
          </cell>
          <cell r="L71" t="str">
            <v>TMCB</v>
          </cell>
          <cell r="M71" t="str">
            <v>RECESO</v>
          </cell>
          <cell r="N71" t="str">
            <v>ABC1</v>
          </cell>
          <cell r="O71" t="str">
            <v>NO</v>
          </cell>
          <cell r="P71" t="str">
            <v>COMPLETA</v>
          </cell>
          <cell r="Q71" t="str">
            <v>NO</v>
          </cell>
          <cell r="R71" t="str">
            <v>NO</v>
          </cell>
          <cell r="S71" t="str">
            <v>NO</v>
          </cell>
          <cell r="T71" t="str">
            <v>BRESCIA RIVERA RODRIGO</v>
          </cell>
          <cell r="U71" t="str">
            <v>rodrigo.brescia@oxxo.com</v>
          </cell>
          <cell r="V71">
            <v>56994777909</v>
          </cell>
          <cell r="W71" t="str">
            <v>BARRIOS BAPTISTA JUAN JOSE</v>
          </cell>
          <cell r="X71" t="str">
            <v>juanj.barrios@oxxo.com</v>
          </cell>
          <cell r="Y71">
            <v>56998642001</v>
          </cell>
          <cell r="Z71" t="str">
            <v>ROCIO GRACIELA TORREALBA CAMBERO</v>
          </cell>
          <cell r="AA71">
            <v>56998690338</v>
          </cell>
          <cell r="AB71">
            <v>0.29166666666666669</v>
          </cell>
          <cell r="AC71">
            <v>0.91666666666666663</v>
          </cell>
          <cell r="AD71">
            <v>0.29166666666666669</v>
          </cell>
          <cell r="AE71">
            <v>0.91666666666666663</v>
          </cell>
          <cell r="AF71">
            <v>0.33333333333333331</v>
          </cell>
          <cell r="AG71">
            <v>0.91666666666666663</v>
          </cell>
          <cell r="AH71" t="str">
            <v>Cerrado</v>
          </cell>
          <cell r="AI71" t="str">
            <v>Cerrado</v>
          </cell>
          <cell r="AJ71">
            <v>0</v>
          </cell>
          <cell r="AK71">
            <v>0</v>
          </cell>
          <cell r="AL71" t="str">
            <v>12HRS</v>
          </cell>
          <cell r="AM71" t="str">
            <v>ROBERTO POBLETE</v>
          </cell>
          <cell r="AO71">
            <v>44021</v>
          </cell>
        </row>
        <row r="72">
          <cell r="E72" t="str">
            <v>OXXO - EX OKM</v>
          </cell>
          <cell r="F72" t="str">
            <v>ELIODORO YANEZ 2</v>
          </cell>
          <cell r="G72" t="str">
            <v> AV. PROVIDENCIA 753-759-763</v>
          </cell>
          <cell r="H72" t="str">
            <v>PROVIDENCIA</v>
          </cell>
          <cell r="I72" t="str">
            <v>METROPOLITANA</v>
          </cell>
          <cell r="J72" t="str">
            <v>50OEY</v>
          </cell>
          <cell r="K72" t="str">
            <v>cl-eliodoroyanez2@tiendas.oxxo.com</v>
          </cell>
          <cell r="L72" t="str">
            <v>TMCB</v>
          </cell>
          <cell r="M72" t="str">
            <v>BASE</v>
          </cell>
          <cell r="N72" t="str">
            <v>C2</v>
          </cell>
          <cell r="O72" t="str">
            <v>NO</v>
          </cell>
          <cell r="P72" t="str">
            <v>COMPLETA</v>
          </cell>
          <cell r="Q72" t="str">
            <v>NO</v>
          </cell>
          <cell r="R72" t="str">
            <v>SI</v>
          </cell>
          <cell r="S72" t="str">
            <v>NO</v>
          </cell>
          <cell r="T72" t="str">
            <v>BRESCIA RIVERA RODRIGO</v>
          </cell>
          <cell r="U72" t="str">
            <v>rodrigo.brescia@oxxo.com</v>
          </cell>
          <cell r="V72">
            <v>56994777909</v>
          </cell>
          <cell r="W72" t="str">
            <v>LOPEZ MEZA LUIS JOSÉ</v>
          </cell>
          <cell r="X72" t="str">
            <v>luis.lopez@oxxo.com</v>
          </cell>
          <cell r="Y72">
            <v>56933740505</v>
          </cell>
          <cell r="Z72" t="str">
            <v>JHONATTAN ANDRES PUERTA MONTIEL</v>
          </cell>
          <cell r="AA72">
            <v>56947716712</v>
          </cell>
          <cell r="AB72">
            <v>0</v>
          </cell>
          <cell r="AC72">
            <v>0.99930555555555556</v>
          </cell>
          <cell r="AD72">
            <v>0</v>
          </cell>
          <cell r="AE72">
            <v>0.99930555555555556</v>
          </cell>
          <cell r="AF72">
            <v>0</v>
          </cell>
          <cell r="AG72">
            <v>0.99930555555555556</v>
          </cell>
          <cell r="AH72">
            <v>0</v>
          </cell>
          <cell r="AI72">
            <v>0.99930555555555556</v>
          </cell>
          <cell r="AJ72">
            <v>0.39583333333333331</v>
          </cell>
          <cell r="AK72">
            <v>0.91666666666666663</v>
          </cell>
          <cell r="AL72" t="str">
            <v>24HRS</v>
          </cell>
          <cell r="AM72" t="str">
            <v>ROBERTO POBLETE</v>
          </cell>
          <cell r="AO72">
            <v>45454</v>
          </cell>
        </row>
        <row r="73">
          <cell r="E73" t="str">
            <v>OXXO</v>
          </cell>
          <cell r="F73" t="str">
            <v>ENRIQUE FOSTER</v>
          </cell>
          <cell r="G73" t="str">
            <v>AV APOQUINDO 3472, OFICINA 1201</v>
          </cell>
          <cell r="H73" t="str">
            <v>LAS CONDES</v>
          </cell>
          <cell r="I73" t="str">
            <v>METROPOLITANA</v>
          </cell>
          <cell r="J73" t="str">
            <v>50EFO</v>
          </cell>
          <cell r="K73" t="str">
            <v>cl-enriquefoster@tiendas.oxxo.com</v>
          </cell>
          <cell r="L73" t="str">
            <v>TMCB</v>
          </cell>
          <cell r="M73" t="str">
            <v>BASE</v>
          </cell>
          <cell r="N73" t="str">
            <v>ABC1</v>
          </cell>
          <cell r="O73" t="str">
            <v>SI</v>
          </cell>
          <cell r="P73" t="str">
            <v>COMPLETA</v>
          </cell>
          <cell r="Q73" t="str">
            <v>NO</v>
          </cell>
          <cell r="R73" t="str">
            <v>NO</v>
          </cell>
          <cell r="S73" t="str">
            <v>NO</v>
          </cell>
          <cell r="T73" t="str">
            <v>SESA DIEGO MIGUEL</v>
          </cell>
          <cell r="U73" t="str">
            <v>diego.sesa@oxxo.com</v>
          </cell>
          <cell r="V73">
            <v>56954238682</v>
          </cell>
          <cell r="W73" t="str">
            <v>GAMERRE URZUA CECILIA</v>
          </cell>
          <cell r="X73" t="str">
            <v>cecilia.gamerre@oxxo.com</v>
          </cell>
          <cell r="Y73">
            <v>56992076485</v>
          </cell>
          <cell r="Z73" t="str">
            <v>EMMA GERALDINE PACELLA PIMENTEL</v>
          </cell>
          <cell r="AA73">
            <v>56985944081</v>
          </cell>
          <cell r="AB73">
            <v>0.29166666666666669</v>
          </cell>
          <cell r="AC73">
            <v>0.95833333333333337</v>
          </cell>
          <cell r="AD73">
            <v>0.29166666666666669</v>
          </cell>
          <cell r="AE73">
            <v>0.99305555555555558</v>
          </cell>
          <cell r="AF73">
            <v>0.33333333333333331</v>
          </cell>
          <cell r="AG73">
            <v>0.99305555555555547</v>
          </cell>
          <cell r="AH73">
            <v>0.39583333333333331</v>
          </cell>
          <cell r="AI73">
            <v>0.84375</v>
          </cell>
          <cell r="AJ73">
            <v>0.375</v>
          </cell>
          <cell r="AK73">
            <v>0.91666666666666663</v>
          </cell>
          <cell r="AL73" t="str">
            <v>12HRS</v>
          </cell>
          <cell r="AM73" t="str">
            <v>PAULA HUERTA</v>
          </cell>
          <cell r="AO73">
            <v>44560</v>
          </cell>
        </row>
        <row r="74">
          <cell r="E74" t="str">
            <v>OXXO</v>
          </cell>
          <cell r="F74" t="str">
            <v>ESTORIL</v>
          </cell>
          <cell r="G74" t="str">
            <v>ESTORIL 120</v>
          </cell>
          <cell r="H74" t="str">
            <v>LAS CONDES</v>
          </cell>
          <cell r="I74" t="str">
            <v>METROPOLITANA</v>
          </cell>
          <cell r="J74" t="str">
            <v>50V5C</v>
          </cell>
          <cell r="K74" t="str">
            <v>cl-estoril@tiendas.oxxo.com</v>
          </cell>
          <cell r="L74" t="str">
            <v>TMCB</v>
          </cell>
          <cell r="M74" t="str">
            <v>RECESO</v>
          </cell>
          <cell r="N74" t="str">
            <v>ABC1</v>
          </cell>
          <cell r="O74" t="str">
            <v>NO</v>
          </cell>
          <cell r="P74" t="str">
            <v>COMPLETA</v>
          </cell>
          <cell r="Q74" t="str">
            <v>NO</v>
          </cell>
          <cell r="R74" t="str">
            <v>NO</v>
          </cell>
          <cell r="S74" t="str">
            <v>NO</v>
          </cell>
          <cell r="T74" t="str">
            <v>BRESCIA RIVERA RODRIGO</v>
          </cell>
          <cell r="U74" t="str">
            <v>rodrigo.brescia@oxxo.com</v>
          </cell>
          <cell r="V74">
            <v>56994777909</v>
          </cell>
          <cell r="W74" t="str">
            <v>ARAYA BURGOS ARIEL</v>
          </cell>
          <cell r="X74" t="str">
            <v>ariel.araya@oxxo.com</v>
          </cell>
          <cell r="Y74">
            <v>56976232708</v>
          </cell>
          <cell r="Z74" t="str">
            <v>JOHANA BETANIA LOZADA CALDERA</v>
          </cell>
          <cell r="AA74">
            <v>56991858386</v>
          </cell>
          <cell r="AB74">
            <v>0.29166666666666669</v>
          </cell>
          <cell r="AC74">
            <v>0.91666666666666663</v>
          </cell>
          <cell r="AD74">
            <v>0.29166666666666669</v>
          </cell>
          <cell r="AE74">
            <v>0.91666666666666663</v>
          </cell>
          <cell r="AF74">
            <v>0.33333333333333331</v>
          </cell>
          <cell r="AG74">
            <v>0.91666666666666663</v>
          </cell>
          <cell r="AH74" t="str">
            <v>Cerrado</v>
          </cell>
          <cell r="AI74" t="str">
            <v>Cerrado</v>
          </cell>
          <cell r="AJ74">
            <v>0.4375</v>
          </cell>
          <cell r="AK74">
            <v>0.70833333333333337</v>
          </cell>
          <cell r="AL74" t="str">
            <v>12HRS</v>
          </cell>
          <cell r="AM74" t="str">
            <v>PAULA HUERTA</v>
          </cell>
          <cell r="AO74">
            <v>45016</v>
          </cell>
        </row>
        <row r="75">
          <cell r="E75" t="str">
            <v>OXXO</v>
          </cell>
          <cell r="F75" t="str">
            <v>FELIX BULNES</v>
          </cell>
          <cell r="G75" t="str">
            <v>MAPOCHO 7366</v>
          </cell>
          <cell r="H75" t="str">
            <v>CERRO NAVIA</v>
          </cell>
          <cell r="I75" t="str">
            <v>METROPOLITANA</v>
          </cell>
          <cell r="J75" t="str">
            <v>50DKQ</v>
          </cell>
          <cell r="K75" t="str">
            <v>cl-felixbulnes@tiendas.oxxo.com</v>
          </cell>
          <cell r="L75" t="str">
            <v>TNM</v>
          </cell>
          <cell r="M75" t="str">
            <v>RECESO</v>
          </cell>
          <cell r="N75" t="str">
            <v>ABC1</v>
          </cell>
          <cell r="O75" t="str">
            <v>NO</v>
          </cell>
          <cell r="P75" t="str">
            <v>COMPLETA</v>
          </cell>
          <cell r="Q75" t="str">
            <v>SI</v>
          </cell>
          <cell r="R75" t="str">
            <v>NO</v>
          </cell>
          <cell r="S75" t="str">
            <v>NO</v>
          </cell>
          <cell r="T75" t="str">
            <v>BRESCIA RIVERA RODRIGO</v>
          </cell>
          <cell r="U75" t="str">
            <v>rodrigo.brescia@oxxo.com</v>
          </cell>
          <cell r="V75">
            <v>56994777909</v>
          </cell>
          <cell r="W75" t="str">
            <v>PINERUA JAIMES JESUS</v>
          </cell>
          <cell r="X75" t="str">
            <v>jesus.pinerua@oxxo.com</v>
          </cell>
          <cell r="Y75">
            <v>56982335207</v>
          </cell>
          <cell r="Z75" t="str">
            <v>YASLEANDRO TOVAR FEBLES</v>
          </cell>
          <cell r="AA75">
            <v>56992193653</v>
          </cell>
          <cell r="AB75">
            <v>0.29166666666666669</v>
          </cell>
          <cell r="AC75">
            <v>0.91666666666666663</v>
          </cell>
          <cell r="AD75">
            <v>0.29166666666666669</v>
          </cell>
          <cell r="AE75">
            <v>0.91666666666666663</v>
          </cell>
          <cell r="AF75">
            <v>0.33333333333333331</v>
          </cell>
          <cell r="AG75">
            <v>0.91666666666666663</v>
          </cell>
          <cell r="AH75">
            <v>0.39583333333333331</v>
          </cell>
          <cell r="AI75">
            <v>0.84375</v>
          </cell>
          <cell r="AJ75">
            <v>0.39583333333333331</v>
          </cell>
          <cell r="AK75">
            <v>0.84375</v>
          </cell>
          <cell r="AL75" t="str">
            <v>12HRS</v>
          </cell>
          <cell r="AM75" t="str">
            <v>PAULA HUERTA</v>
          </cell>
          <cell r="AO75">
            <v>45187</v>
          </cell>
        </row>
        <row r="76">
          <cell r="E76" t="str">
            <v>OXXO</v>
          </cell>
          <cell r="F76" t="str">
            <v>FRANCISCO DE AGUIRRE</v>
          </cell>
          <cell r="G76" t="str">
            <v>AV.AMÉRICO VESPUCIO NORTE 2515,LOCAL 2 </v>
          </cell>
          <cell r="H76" t="str">
            <v>VITACURA</v>
          </cell>
          <cell r="I76" t="str">
            <v>METROPOLITANA</v>
          </cell>
          <cell r="J76" t="str">
            <v>50GBU</v>
          </cell>
          <cell r="K76" t="str">
            <v>cl-franciscodeaguirre@tiendas.oxxo.com</v>
          </cell>
          <cell r="L76" t="str">
            <v>TMCB</v>
          </cell>
          <cell r="M76" t="str">
            <v>HOGAR</v>
          </cell>
          <cell r="N76" t="str">
            <v>ABC1</v>
          </cell>
          <cell r="O76" t="str">
            <v>SI</v>
          </cell>
          <cell r="P76" t="str">
            <v>COMPLETA</v>
          </cell>
          <cell r="Q76" t="str">
            <v>SI</v>
          </cell>
          <cell r="R76" t="str">
            <v>SI</v>
          </cell>
          <cell r="S76" t="str">
            <v>NO</v>
          </cell>
          <cell r="T76" t="str">
            <v>BRESCIA RIVERA RODRIGO</v>
          </cell>
          <cell r="U76" t="str">
            <v>rodrigo.brescia@oxxo.com</v>
          </cell>
          <cell r="V76">
            <v>56994777909</v>
          </cell>
          <cell r="W76" t="str">
            <v>MENDOZA GIL BREYNER JOSE</v>
          </cell>
          <cell r="X76" t="str">
            <v>breyner.mendoza@oxxo.com</v>
          </cell>
          <cell r="Y76">
            <v>56998689425</v>
          </cell>
          <cell r="Z76" t="str">
            <v>JESSE NATHALY RAMIREZ OVALLOS</v>
          </cell>
          <cell r="AA76">
            <v>56998467044</v>
          </cell>
          <cell r="AB76">
            <v>0</v>
          </cell>
          <cell r="AC76">
            <v>0.99930555555555556</v>
          </cell>
          <cell r="AD76">
            <v>0</v>
          </cell>
          <cell r="AE76">
            <v>0.99930555555555556</v>
          </cell>
          <cell r="AF76">
            <v>0</v>
          </cell>
          <cell r="AG76">
            <v>0.99930555555555556</v>
          </cell>
          <cell r="AH76">
            <v>0</v>
          </cell>
          <cell r="AI76">
            <v>0.99930555555555556</v>
          </cell>
          <cell r="AJ76">
            <v>0</v>
          </cell>
          <cell r="AK76">
            <v>0.99930555555555556</v>
          </cell>
          <cell r="AL76" t="str">
            <v>24HRS</v>
          </cell>
          <cell r="AM76" t="str">
            <v>PAULA HUERTA</v>
          </cell>
          <cell r="AO76">
            <v>42942</v>
          </cell>
        </row>
        <row r="77">
          <cell r="E77" t="str">
            <v>OXXO</v>
          </cell>
          <cell r="F77" t="str">
            <v>SAN FRANCISCO</v>
          </cell>
          <cell r="G77" t="str">
            <v>AVDA. LAS CONDES 12340, LOCAL 6</v>
          </cell>
          <cell r="H77" t="str">
            <v>LAS CONDES</v>
          </cell>
          <cell r="I77" t="str">
            <v>METROPOLITANA</v>
          </cell>
          <cell r="J77" t="str">
            <v>50VSU</v>
          </cell>
          <cell r="K77" t="str">
            <v>cl-sanfrancisco@tiendas.oxxo.com</v>
          </cell>
          <cell r="L77" t="str">
            <v>TMCB</v>
          </cell>
          <cell r="M77" t="str">
            <v>RECESO</v>
          </cell>
          <cell r="N77" t="str">
            <v>ABC1</v>
          </cell>
          <cell r="O77" t="str">
            <v>SI</v>
          </cell>
          <cell r="P77" t="str">
            <v>COMPLETA</v>
          </cell>
          <cell r="T77" t="str">
            <v>SERRANO SOTO MANUEL</v>
          </cell>
          <cell r="U77" t="str">
            <v>manuel.serrano@oxxo.com</v>
          </cell>
          <cell r="V77">
            <v>56940201885</v>
          </cell>
          <cell r="X77" t="str">
            <v/>
          </cell>
          <cell r="Y77" t="str">
            <v/>
          </cell>
          <cell r="Z77" t="str">
            <v>KATHERINE ESTEFANI MENDEZ AGUILAR</v>
          </cell>
          <cell r="AA77">
            <v>56934193773</v>
          </cell>
          <cell r="AL77" t="str">
            <v>12HRS</v>
          </cell>
          <cell r="AO77">
            <v>43448</v>
          </cell>
        </row>
        <row r="78">
          <cell r="E78" t="str">
            <v>OXXO</v>
          </cell>
          <cell r="F78" t="str">
            <v>PLAZA DE ASIS</v>
          </cell>
          <cell r="G78" t="str">
            <v>AV. LAS CONDES 12523</v>
          </cell>
          <cell r="H78" t="str">
            <v>LAS CONDES</v>
          </cell>
          <cell r="I78" t="str">
            <v>METROPOLITANA</v>
          </cell>
          <cell r="J78" t="str">
            <v>50PCH</v>
          </cell>
          <cell r="K78" t="str">
            <v>cl-plazaasis@tiendas.oxxo.com</v>
          </cell>
          <cell r="L78" t="str">
            <v>TMCB</v>
          </cell>
          <cell r="M78" t="str">
            <v>HOGAR C/FF</v>
          </cell>
          <cell r="N78" t="str">
            <v>ABC1</v>
          </cell>
          <cell r="O78" t="str">
            <v>NO</v>
          </cell>
          <cell r="P78" t="str">
            <v>COMPLETA</v>
          </cell>
          <cell r="T78" t="str">
            <v>SERRANO SOTO MANUEL</v>
          </cell>
          <cell r="U78" t="str">
            <v>manuel.serrano@oxxo.com</v>
          </cell>
          <cell r="V78">
            <v>56940201885</v>
          </cell>
          <cell r="X78" t="str">
            <v/>
          </cell>
          <cell r="Y78" t="str">
            <v/>
          </cell>
          <cell r="Z78" t="str">
            <v>KALETD JOSUHE ROA BRAVO</v>
          </cell>
          <cell r="AL78" t="str">
            <v>12HRS</v>
          </cell>
          <cell r="AO78">
            <v>43453</v>
          </cell>
        </row>
        <row r="79">
          <cell r="E79" t="str">
            <v>FRANQUICIA</v>
          </cell>
          <cell r="F79" t="str">
            <v>FROILAN ROA</v>
          </cell>
          <cell r="G79" t="str">
            <v>FROILAN ROA 580 LOC 7 - 8</v>
          </cell>
          <cell r="H79" t="str">
            <v>LA FLORIDA</v>
          </cell>
          <cell r="I79" t="str">
            <v>METROPOLITANA</v>
          </cell>
          <cell r="J79" t="str">
            <v>54FFR</v>
          </cell>
          <cell r="K79" t="str">
            <v>franquiciafroilanroa@tiendas.oxxo.com</v>
          </cell>
          <cell r="L79" t="str">
            <v>TMCB</v>
          </cell>
          <cell r="M79" t="str">
            <v>RECESO</v>
          </cell>
          <cell r="O79" t="str">
            <v>NO</v>
          </cell>
          <cell r="P79" t="str">
            <v>COMPLETA</v>
          </cell>
          <cell r="T79" t="str">
            <v>BRESCIA RIVERA RODRIGO</v>
          </cell>
          <cell r="U79" t="str">
            <v>rodrigo.brescia@oxxo.com</v>
          </cell>
          <cell r="V79">
            <v>56994777909</v>
          </cell>
          <cell r="W79" t="str">
            <v>ARAYA BURGOS ARIEL</v>
          </cell>
          <cell r="X79" t="str">
            <v>ariel.araya@oxxo.com</v>
          </cell>
          <cell r="Y79">
            <v>56976232708</v>
          </cell>
          <cell r="AL79" t="str">
            <v>12HRS</v>
          </cell>
          <cell r="AO79">
            <v>44593</v>
          </cell>
        </row>
        <row r="80">
          <cell r="E80" t="str">
            <v>OXXO</v>
          </cell>
          <cell r="F80" t="str">
            <v>MALL PLAZA EGAÑA</v>
          </cell>
          <cell r="G80" t="str">
            <v>AVDA LARRAÍN 5862, LOCAL BM-984-988</v>
          </cell>
          <cell r="H80" t="str">
            <v>LA REINA</v>
          </cell>
          <cell r="I80" t="str">
            <v>METROPOLITANA</v>
          </cell>
          <cell r="J80" t="str">
            <v>50ASB</v>
          </cell>
          <cell r="K80" t="str">
            <v>cl-mallplazaegana@tiendas.oxxo.com</v>
          </cell>
          <cell r="L80" t="str">
            <v>TMCB</v>
          </cell>
          <cell r="M80" t="str">
            <v>AL PASO</v>
          </cell>
          <cell r="O80" t="str">
            <v>NO</v>
          </cell>
          <cell r="P80" t="str">
            <v>COMPLETA</v>
          </cell>
          <cell r="T80" t="str">
            <v>SERRANO SOTO MANUEL</v>
          </cell>
          <cell r="U80" t="str">
            <v>manuel.serrano@oxxo.com</v>
          </cell>
          <cell r="V80">
            <v>56940201885</v>
          </cell>
          <cell r="X80" t="str">
            <v/>
          </cell>
          <cell r="Y80" t="str">
            <v/>
          </cell>
          <cell r="Z80" t="str">
            <v>S/I</v>
          </cell>
          <cell r="AL80" t="str">
            <v>12HRS</v>
          </cell>
        </row>
        <row r="81">
          <cell r="E81" t="str">
            <v>OXXO</v>
          </cell>
          <cell r="F81" t="str">
            <v>MIGUEL DE OLIVARES</v>
          </cell>
          <cell r="G81" t="str">
            <v>MIGUEL DE OLIVARES 1458</v>
          </cell>
          <cell r="H81" t="str">
            <v>SANTIAGO</v>
          </cell>
          <cell r="I81" t="str">
            <v>METROPOLITANA</v>
          </cell>
          <cell r="J81" t="str">
            <v>50WGH</v>
          </cell>
          <cell r="K81" t="str">
            <v>cl-migueldeolivares@tiendas.oxxo.com</v>
          </cell>
          <cell r="L81" t="str">
            <v>TMCB</v>
          </cell>
          <cell r="M81" t="str">
            <v>RECESO</v>
          </cell>
          <cell r="N81" t="str">
            <v>C2</v>
          </cell>
          <cell r="O81" t="str">
            <v>NO</v>
          </cell>
          <cell r="P81" t="str">
            <v>COMPLETA</v>
          </cell>
          <cell r="T81" t="str">
            <v>SERRANO SOTO MANUEL</v>
          </cell>
          <cell r="U81" t="str">
            <v>manuel.serrano@oxxo.com</v>
          </cell>
          <cell r="V81">
            <v>56940201885</v>
          </cell>
          <cell r="W81" t="str">
            <v>RIQUELME ESTAY ROBERTO</v>
          </cell>
          <cell r="X81" t="str">
            <v/>
          </cell>
          <cell r="Y81" t="str">
            <v/>
          </cell>
          <cell r="Z81" t="str">
            <v>CYNTHIA LISSETTE OCARANZA VASQUEZ</v>
          </cell>
          <cell r="AL81" t="str">
            <v>12HRS</v>
          </cell>
          <cell r="AO81">
            <v>43584</v>
          </cell>
        </row>
        <row r="82">
          <cell r="E82" t="str">
            <v>OXXO - EX OKM</v>
          </cell>
          <cell r="F82" t="str">
            <v>GENERAL DEL CANTO</v>
          </cell>
          <cell r="G82" t="str">
            <v>AV. 11 SEPTIEMBRE 1363</v>
          </cell>
          <cell r="H82" t="str">
            <v>PROVIDENCIA</v>
          </cell>
          <cell r="I82" t="str">
            <v>METROPOLITANA</v>
          </cell>
          <cell r="J82" t="str">
            <v>50OGD</v>
          </cell>
          <cell r="K82" t="str">
            <v>cl-generaldelcanto@tiendas.oxxo.com</v>
          </cell>
          <cell r="L82" t="str">
            <v>TMCB</v>
          </cell>
          <cell r="M82" t="str">
            <v>RECESO</v>
          </cell>
          <cell r="N82" t="str">
            <v>ABC1</v>
          </cell>
          <cell r="O82" t="str">
            <v>SI</v>
          </cell>
          <cell r="P82" t="str">
            <v>COMPLETA</v>
          </cell>
          <cell r="Q82" t="str">
            <v>NO</v>
          </cell>
          <cell r="R82" t="str">
            <v>SI</v>
          </cell>
          <cell r="S82" t="str">
            <v>NO</v>
          </cell>
          <cell r="T82" t="str">
            <v>BRESCIA RIVERA RODRIGO</v>
          </cell>
          <cell r="U82" t="str">
            <v>rodrigo.brescia@oxxo.com</v>
          </cell>
          <cell r="V82">
            <v>56994777909</v>
          </cell>
          <cell r="W82" t="str">
            <v>LOPEZ MEZA LUIS JOSÉ</v>
          </cell>
          <cell r="X82" t="str">
            <v>luis.lopez@oxxo.com</v>
          </cell>
          <cell r="Y82">
            <v>56933740505</v>
          </cell>
          <cell r="Z82" t="str">
            <v>S/I</v>
          </cell>
          <cell r="AA82">
            <v>56958134525</v>
          </cell>
          <cell r="AB82">
            <v>0.29166666666666669</v>
          </cell>
          <cell r="AC82">
            <v>0.95833333333333337</v>
          </cell>
          <cell r="AD82">
            <v>0.29166666666666669</v>
          </cell>
          <cell r="AE82">
            <v>0.99305555555555558</v>
          </cell>
          <cell r="AF82">
            <v>0.33333333333333331</v>
          </cell>
          <cell r="AG82">
            <v>0.99305555555555558</v>
          </cell>
          <cell r="AH82">
            <v>0.39583333333333331</v>
          </cell>
          <cell r="AI82">
            <v>0.84375</v>
          </cell>
          <cell r="AJ82">
            <v>0.39583333333333331</v>
          </cell>
          <cell r="AK82">
            <v>0.95833333333333337</v>
          </cell>
          <cell r="AL82" t="str">
            <v>12HRS</v>
          </cell>
          <cell r="AM82" t="str">
            <v>ROBERTO POBLETE</v>
          </cell>
          <cell r="AO82">
            <v>45079</v>
          </cell>
        </row>
        <row r="83">
          <cell r="E83" t="str">
            <v>OXXO</v>
          </cell>
          <cell r="F83" t="str">
            <v>ECUADOR PURISIMA</v>
          </cell>
          <cell r="G83" t="str">
            <v>AV. LIBERTADOR BERNARDO O´HIGGINS N 4677, LOCAL N 1</v>
          </cell>
          <cell r="H83" t="str">
            <v>ESTACIÓN CENTRAL</v>
          </cell>
          <cell r="I83" t="str">
            <v>METROPOLITANA</v>
          </cell>
          <cell r="J83" t="str">
            <v>50BPT</v>
          </cell>
          <cell r="K83" t="str">
            <v>cl-ecuadorpurisima@tiendas.oxxo.com</v>
          </cell>
          <cell r="L83" t="str">
            <v>TMCB</v>
          </cell>
          <cell r="M83" t="str">
            <v>HOGAR C/FF</v>
          </cell>
          <cell r="N83" t="str">
            <v>C3</v>
          </cell>
          <cell r="O83" t="str">
            <v>NO</v>
          </cell>
          <cell r="P83" t="str">
            <v>COMPLETA</v>
          </cell>
          <cell r="T83" t="str">
            <v>SERRANO SOTO MANUEL</v>
          </cell>
          <cell r="U83" t="str">
            <v>manuel.serrano@oxxo.com</v>
          </cell>
          <cell r="V83">
            <v>56940201885</v>
          </cell>
          <cell r="X83" t="str">
            <v/>
          </cell>
          <cell r="Y83" t="str">
            <v/>
          </cell>
          <cell r="Z83" t="str">
            <v>ISRAEL DAVID GARCIA MARTINEZ</v>
          </cell>
          <cell r="AA83">
            <v>954331023</v>
          </cell>
          <cell r="AL83" t="str">
            <v>12HRS</v>
          </cell>
          <cell r="AO83">
            <v>43637</v>
          </cell>
        </row>
        <row r="84">
          <cell r="E84" t="str">
            <v>OXXO</v>
          </cell>
          <cell r="F84" t="str">
            <v>GUARDIA VIEJA</v>
          </cell>
          <cell r="G84" t="str">
            <v>GUARDIA VIEJA 109  </v>
          </cell>
          <cell r="H84" t="str">
            <v>PROVIDENCIA</v>
          </cell>
          <cell r="I84" t="str">
            <v>METROPOLITANA</v>
          </cell>
          <cell r="J84" t="str">
            <v>50OPH</v>
          </cell>
          <cell r="K84" t="str">
            <v>cl-guardavieja@tiendas.oxxo.com</v>
          </cell>
          <cell r="L84" t="str">
            <v>TMCB</v>
          </cell>
          <cell r="M84" t="str">
            <v>BASE</v>
          </cell>
          <cell r="N84" t="str">
            <v>C2</v>
          </cell>
          <cell r="O84" t="str">
            <v>NO</v>
          </cell>
          <cell r="P84" t="str">
            <v>COMPLETA</v>
          </cell>
          <cell r="Q84" t="str">
            <v>NO</v>
          </cell>
          <cell r="R84" t="str">
            <v>NO</v>
          </cell>
          <cell r="S84" t="str">
            <v>NO</v>
          </cell>
          <cell r="T84" t="str">
            <v>BRESCIA RIVERA RODRIGO</v>
          </cell>
          <cell r="U84" t="str">
            <v>rodrigo.brescia@oxxo.com</v>
          </cell>
          <cell r="V84">
            <v>56994777909</v>
          </cell>
          <cell r="W84" t="str">
            <v>LOPEZ MEZA LUIS JOSÉ</v>
          </cell>
          <cell r="X84" t="str">
            <v>luis.lopez@oxxo.com</v>
          </cell>
          <cell r="Y84">
            <v>56933740505</v>
          </cell>
          <cell r="Z84" t="str">
            <v>GERALDINE SALAZAR .</v>
          </cell>
          <cell r="AA84">
            <v>56995699487</v>
          </cell>
          <cell r="AB84">
            <v>0.29166666666666669</v>
          </cell>
          <cell r="AC84">
            <v>0.91666666666666663</v>
          </cell>
          <cell r="AD84">
            <v>0.29166666666666669</v>
          </cell>
          <cell r="AE84">
            <v>0.91666666666666663</v>
          </cell>
          <cell r="AF84">
            <v>0.33333333333333331</v>
          </cell>
          <cell r="AG84">
            <v>0.91666666666666663</v>
          </cell>
          <cell r="AH84">
            <v>0.39583333333333331</v>
          </cell>
          <cell r="AI84">
            <v>0.84375</v>
          </cell>
          <cell r="AJ84">
            <v>0.375</v>
          </cell>
          <cell r="AK84">
            <v>0.91666666666666663</v>
          </cell>
          <cell r="AL84" t="str">
            <v>12HRS</v>
          </cell>
          <cell r="AM84" t="str">
            <v>ROBERTO POBLETE</v>
          </cell>
          <cell r="AO84">
            <v>43090</v>
          </cell>
        </row>
        <row r="85">
          <cell r="E85" t="str">
            <v>OXXO</v>
          </cell>
          <cell r="F85" t="str">
            <v>EYZAGUIRRE - SAN FRANCISCO</v>
          </cell>
          <cell r="G85" t="str">
            <v>SAN FRANCISCO 602-610, LOCAL 5</v>
          </cell>
          <cell r="H85" t="str">
            <v>SANTIAGO</v>
          </cell>
          <cell r="I85" t="str">
            <v>METROPOLITANA</v>
          </cell>
          <cell r="J85" t="str">
            <v>50ESF</v>
          </cell>
          <cell r="K85" t="str">
            <v>cl-eyzaguirresanfrancisco@tiendas.oxxo.com</v>
          </cell>
          <cell r="L85" t="str">
            <v>TMCB</v>
          </cell>
          <cell r="M85" t="str">
            <v>HOGAR C/FF</v>
          </cell>
          <cell r="O85" t="str">
            <v>NO</v>
          </cell>
          <cell r="P85" t="str">
            <v>COMPLETA</v>
          </cell>
          <cell r="T85" t="str">
            <v>SERRANO SOTO MANUEL</v>
          </cell>
          <cell r="U85" t="str">
            <v>manuel.serrano@oxxo.com</v>
          </cell>
          <cell r="V85">
            <v>56940201885</v>
          </cell>
          <cell r="X85" t="str">
            <v/>
          </cell>
          <cell r="Y85" t="str">
            <v/>
          </cell>
          <cell r="Z85" t="str">
            <v>S/I</v>
          </cell>
          <cell r="AL85" t="str">
            <v>12HRS</v>
          </cell>
          <cell r="AO85">
            <v>44118</v>
          </cell>
        </row>
        <row r="86">
          <cell r="E86" t="str">
            <v>OXXO</v>
          </cell>
          <cell r="F86" t="str">
            <v>HENDAYA</v>
          </cell>
          <cell r="G86" t="str">
            <v>AV. HENDAYA 60</v>
          </cell>
          <cell r="H86" t="str">
            <v>LAS CONDES</v>
          </cell>
          <cell r="I86" t="str">
            <v>METROPOLITANA</v>
          </cell>
          <cell r="J86" t="str">
            <v>50HEN</v>
          </cell>
          <cell r="K86" t="str">
            <v>cl-hendaya@tiendas.oxxo.com</v>
          </cell>
          <cell r="L86" t="str">
            <v>TMCB</v>
          </cell>
          <cell r="M86" t="str">
            <v>BASE</v>
          </cell>
          <cell r="N86" t="str">
            <v>ABC1</v>
          </cell>
          <cell r="O86" t="str">
            <v>NO</v>
          </cell>
          <cell r="P86" t="str">
            <v>COMPLETA</v>
          </cell>
          <cell r="Q86" t="str">
            <v>NO</v>
          </cell>
          <cell r="R86" t="str">
            <v>NO</v>
          </cell>
          <cell r="S86" t="str">
            <v>NO</v>
          </cell>
          <cell r="T86" t="str">
            <v>BRESCIA RIVERA RODRIGO</v>
          </cell>
          <cell r="U86" t="str">
            <v>rodrigo.brescia@oxxo.com</v>
          </cell>
          <cell r="V86">
            <v>56994777909</v>
          </cell>
          <cell r="W86" t="str">
            <v>MONTT FUENTES JAIME IGNACIO</v>
          </cell>
          <cell r="X86" t="str">
            <v>jaime.montt@oxxo.com</v>
          </cell>
          <cell r="Y86">
            <v>56974820182</v>
          </cell>
          <cell r="Z86" t="str">
            <v>DANIEL RICARDO SANCHEZ PUERTA</v>
          </cell>
          <cell r="AA86">
            <v>56958110330</v>
          </cell>
          <cell r="AB86">
            <v>0.29166666666666669</v>
          </cell>
          <cell r="AC86">
            <v>0.91666666666666663</v>
          </cell>
          <cell r="AD86">
            <v>0.29166666666666669</v>
          </cell>
          <cell r="AE86">
            <v>0.91666666666666663</v>
          </cell>
          <cell r="AF86">
            <v>0.33333333333333331</v>
          </cell>
          <cell r="AG86">
            <v>0.91666666666666663</v>
          </cell>
          <cell r="AH86">
            <v>0.39583333333333331</v>
          </cell>
          <cell r="AI86">
            <v>0.84375</v>
          </cell>
          <cell r="AJ86">
            <v>0.375</v>
          </cell>
          <cell r="AK86">
            <v>0.9375</v>
          </cell>
          <cell r="AL86" t="str">
            <v>12HRS</v>
          </cell>
          <cell r="AM86" t="str">
            <v>PAULA HUERTA</v>
          </cell>
          <cell r="AO86">
            <v>44704</v>
          </cell>
        </row>
        <row r="87">
          <cell r="E87" t="str">
            <v>OXXO</v>
          </cell>
          <cell r="F87" t="str">
            <v>LIRA CURICO</v>
          </cell>
          <cell r="G87" t="str">
            <v>AV. LIRA 189, LOCAL 2</v>
          </cell>
          <cell r="H87" t="str">
            <v>SANTIAGO</v>
          </cell>
          <cell r="I87" t="str">
            <v>METROPOLITANA</v>
          </cell>
          <cell r="J87" t="str">
            <v>50LCO</v>
          </cell>
          <cell r="K87" t="str">
            <v>cl-liracurico@tiendas.oxxo.com</v>
          </cell>
          <cell r="L87" t="str">
            <v>T2023</v>
          </cell>
          <cell r="M87" t="str">
            <v>HOGAR C/FF</v>
          </cell>
          <cell r="N87" t="str">
            <v>ABC1</v>
          </cell>
          <cell r="O87" t="str">
            <v>NO</v>
          </cell>
          <cell r="P87" t="str">
            <v>COMPLETA</v>
          </cell>
          <cell r="T87" t="str">
            <v>SERRANO SOTO MANUEL</v>
          </cell>
          <cell r="U87" t="str">
            <v>manuel.serrano@oxxo.com</v>
          </cell>
          <cell r="V87">
            <v>56940201885</v>
          </cell>
          <cell r="X87" t="str">
            <v/>
          </cell>
          <cell r="Y87" t="str">
            <v/>
          </cell>
          <cell r="Z87" t="str">
            <v>CYNTHIA CONSTANZA OYANEDEL QUEZADA</v>
          </cell>
          <cell r="AL87" t="str">
            <v>12HRS</v>
          </cell>
          <cell r="AO87">
            <v>44953</v>
          </cell>
        </row>
        <row r="88">
          <cell r="E88" t="str">
            <v>OXXO</v>
          </cell>
          <cell r="F88" t="str">
            <v>HERNANDO DE AGUIRRE</v>
          </cell>
          <cell r="G88" t="str">
            <v>ELIODORO YÁÑEZ N 2682, LOCAL 102</v>
          </cell>
          <cell r="H88" t="str">
            <v>PROVIDENCIA</v>
          </cell>
          <cell r="I88" t="str">
            <v>METROPOLITANA</v>
          </cell>
          <cell r="J88" t="str">
            <v>50DGG</v>
          </cell>
          <cell r="K88" t="str">
            <v>cl-hernandodeaguirre@tiendas.oxxo.com</v>
          </cell>
          <cell r="L88" t="str">
            <v>TMCB</v>
          </cell>
          <cell r="M88" t="str">
            <v>BASE</v>
          </cell>
          <cell r="N88" t="str">
            <v>ABC1</v>
          </cell>
          <cell r="O88" t="str">
            <v>NO</v>
          </cell>
          <cell r="P88" t="str">
            <v>COMPLETA</v>
          </cell>
          <cell r="Q88" t="str">
            <v>NO</v>
          </cell>
          <cell r="R88" t="str">
            <v>NO</v>
          </cell>
          <cell r="S88" t="str">
            <v>NO</v>
          </cell>
          <cell r="T88" t="str">
            <v>BRESCIA RIVERA RODRIGO</v>
          </cell>
          <cell r="U88" t="str">
            <v>rodrigo.brescia@oxxo.com</v>
          </cell>
          <cell r="V88">
            <v>56994777909</v>
          </cell>
          <cell r="W88" t="str">
            <v>BARRIOS BAPTISTA JUAN JOSE</v>
          </cell>
          <cell r="X88" t="str">
            <v>juanj.barrios@oxxo.com</v>
          </cell>
          <cell r="Y88">
            <v>56998642001</v>
          </cell>
          <cell r="Z88" t="str">
            <v>YULI TATIANA TORRES OLARTE</v>
          </cell>
          <cell r="AA88">
            <v>56998621153</v>
          </cell>
          <cell r="AB88">
            <v>0.29166666666666669</v>
          </cell>
          <cell r="AC88">
            <v>0.91666666666666663</v>
          </cell>
          <cell r="AD88">
            <v>0.29166666666666669</v>
          </cell>
          <cell r="AE88">
            <v>0.91666666666666663</v>
          </cell>
          <cell r="AF88">
            <v>0.33333333333333331</v>
          </cell>
          <cell r="AG88">
            <v>0.91666666666666663</v>
          </cell>
          <cell r="AH88">
            <v>0.4375</v>
          </cell>
          <cell r="AI88">
            <v>0.88541666666666663</v>
          </cell>
          <cell r="AJ88">
            <v>0.375</v>
          </cell>
          <cell r="AK88">
            <v>0.9375</v>
          </cell>
          <cell r="AL88" t="str">
            <v>12HRS</v>
          </cell>
          <cell r="AM88" t="str">
            <v>ROBERTO POBLETE</v>
          </cell>
          <cell r="AO88">
            <v>43901</v>
          </cell>
        </row>
        <row r="89">
          <cell r="E89" t="str">
            <v>OXXO</v>
          </cell>
          <cell r="F89" t="str">
            <v>LOS BARBECHOS</v>
          </cell>
          <cell r="G89" t="str">
            <v>AV. LAS CONDES 7430</v>
          </cell>
          <cell r="H89" t="str">
            <v>LAS CONDES</v>
          </cell>
          <cell r="I89" t="str">
            <v>METROPOLITANA</v>
          </cell>
          <cell r="J89" t="str">
            <v>50LBB</v>
          </cell>
          <cell r="K89" t="str">
            <v>cl-losbarbechos@tiendas.oxxo.com</v>
          </cell>
          <cell r="L89" t="str">
            <v>TMCB</v>
          </cell>
          <cell r="M89" t="str">
            <v>HOGAR C/FF</v>
          </cell>
          <cell r="N89" t="str">
            <v>ABC1</v>
          </cell>
          <cell r="O89" t="str">
            <v>NO</v>
          </cell>
          <cell r="P89" t="str">
            <v>COMPLETA</v>
          </cell>
          <cell r="T89" t="str">
            <v>SERRANO SOTO MANUEL</v>
          </cell>
          <cell r="U89" t="str">
            <v>manuel.serrano@oxxo.com</v>
          </cell>
          <cell r="V89">
            <v>56940201885</v>
          </cell>
          <cell r="W89" t="str">
            <v>GAMERRE URZUA CECILIA</v>
          </cell>
          <cell r="X89" t="str">
            <v>cecilia.gamerre@oxxo.com</v>
          </cell>
          <cell r="Y89">
            <v>56992076485</v>
          </cell>
          <cell r="Z89" t="str">
            <v>ANGEL MIGUEL SANCHEZ GARCIA</v>
          </cell>
          <cell r="AA89">
            <v>56992322684</v>
          </cell>
          <cell r="AL89" t="str">
            <v>12HRS</v>
          </cell>
          <cell r="AO89">
            <v>44112</v>
          </cell>
        </row>
        <row r="90">
          <cell r="E90" t="str">
            <v>OXXO</v>
          </cell>
          <cell r="F90" t="str">
            <v>HOLANDA PIO X</v>
          </cell>
          <cell r="G90" t="str">
            <v>HOLANDA N228</v>
          </cell>
          <cell r="H90" t="str">
            <v>PROVIDENCIA</v>
          </cell>
          <cell r="I90" t="str">
            <v>METROPOLITANA</v>
          </cell>
          <cell r="J90" t="str">
            <v>50XEV</v>
          </cell>
          <cell r="K90" t="str">
            <v>cl-holanda@tiendas.oxxo.com</v>
          </cell>
          <cell r="L90" t="str">
            <v>TMCB</v>
          </cell>
          <cell r="M90" t="str">
            <v>BASE</v>
          </cell>
          <cell r="N90" t="str">
            <v>C2</v>
          </cell>
          <cell r="O90" t="str">
            <v>NO</v>
          </cell>
          <cell r="P90" t="str">
            <v>COMPLETA</v>
          </cell>
          <cell r="Q90" t="str">
            <v>NO</v>
          </cell>
          <cell r="R90" t="str">
            <v>NO</v>
          </cell>
          <cell r="S90" t="str">
            <v>NO</v>
          </cell>
          <cell r="T90" t="str">
            <v>BRESCIA RIVERA RODRIGO</v>
          </cell>
          <cell r="U90" t="str">
            <v>rodrigo.brescia@oxxo.com</v>
          </cell>
          <cell r="V90">
            <v>56994777909</v>
          </cell>
          <cell r="W90" t="str">
            <v>BARRIOS BAPTISTA JUAN JOSE</v>
          </cell>
          <cell r="X90" t="str">
            <v>juanj.barrios@oxxo.com</v>
          </cell>
          <cell r="Y90">
            <v>56998642001</v>
          </cell>
          <cell r="Z90" t="str">
            <v>LEONEL ALBERTO QUINTEROS PEREZ</v>
          </cell>
          <cell r="AA90">
            <v>56993851745</v>
          </cell>
          <cell r="AB90">
            <v>0.29166666666666669</v>
          </cell>
          <cell r="AC90">
            <v>0.91666666666666663</v>
          </cell>
          <cell r="AD90">
            <v>0.29166666666666669</v>
          </cell>
          <cell r="AE90">
            <v>0.91666666666666663</v>
          </cell>
          <cell r="AF90">
            <v>0.33333333333333331</v>
          </cell>
          <cell r="AG90">
            <v>0.91666666666666663</v>
          </cell>
          <cell r="AH90">
            <v>0.39583333333333331</v>
          </cell>
          <cell r="AI90">
            <v>0.84375</v>
          </cell>
          <cell r="AJ90">
            <v>0.375</v>
          </cell>
          <cell r="AK90">
            <v>0.91666666666666663</v>
          </cell>
          <cell r="AL90" t="str">
            <v>12HRS</v>
          </cell>
          <cell r="AM90" t="str">
            <v>ROBERTO POBLETE</v>
          </cell>
          <cell r="AO90">
            <v>43230</v>
          </cell>
        </row>
        <row r="91">
          <cell r="E91" t="str">
            <v>OXXO</v>
          </cell>
          <cell r="F91" t="str">
            <v>HOSPITALES</v>
          </cell>
          <cell r="G91" t="str">
            <v>AV. PROFESOR ZAÑARTU 1121</v>
          </cell>
          <cell r="H91" t="str">
            <v>INDEPENDENCIA</v>
          </cell>
          <cell r="I91" t="str">
            <v>METROPOLITANA</v>
          </cell>
          <cell r="J91" t="str">
            <v>50HSP</v>
          </cell>
          <cell r="K91" t="str">
            <v>cl-hospitales@tiendas.oxxo.com</v>
          </cell>
          <cell r="L91" t="str">
            <v>TMCB</v>
          </cell>
          <cell r="M91" t="str">
            <v>RECESO</v>
          </cell>
          <cell r="N91" t="str">
            <v>C3</v>
          </cell>
          <cell r="O91" t="str">
            <v>NO</v>
          </cell>
          <cell r="P91" t="str">
            <v>COMPLETA</v>
          </cell>
          <cell r="Q91" t="str">
            <v>SI</v>
          </cell>
          <cell r="R91" t="str">
            <v>NO</v>
          </cell>
          <cell r="S91" t="str">
            <v>NO</v>
          </cell>
          <cell r="T91" t="str">
            <v>BRESCIA RIVERA RODRIGO</v>
          </cell>
          <cell r="U91" t="str">
            <v>rodrigo.brescia@oxxo.com</v>
          </cell>
          <cell r="V91">
            <v>56994777909</v>
          </cell>
          <cell r="W91" t="str">
            <v>PINERUA JAIMES JESUS</v>
          </cell>
          <cell r="X91" t="str">
            <v>jesus.pinerua@oxxo.com</v>
          </cell>
          <cell r="Y91">
            <v>56982335207</v>
          </cell>
          <cell r="Z91" t="str">
            <v>PAMELA LORETO CUBILLOS PAVEZ</v>
          </cell>
          <cell r="AA91">
            <v>56995699501</v>
          </cell>
          <cell r="AB91">
            <v>0.29166666666666669</v>
          </cell>
          <cell r="AC91">
            <v>0.91666666666666663</v>
          </cell>
          <cell r="AD91">
            <v>0.29166666666666669</v>
          </cell>
          <cell r="AE91">
            <v>0.91666666666666663</v>
          </cell>
          <cell r="AF91">
            <v>0.33333333333333331</v>
          </cell>
          <cell r="AG91">
            <v>0.91666666666666663</v>
          </cell>
          <cell r="AH91">
            <v>0.39583333333333331</v>
          </cell>
          <cell r="AI91">
            <v>0.84375</v>
          </cell>
          <cell r="AJ91">
            <v>0.375</v>
          </cell>
          <cell r="AK91">
            <v>0.91666666666666663</v>
          </cell>
          <cell r="AL91" t="str">
            <v>12HRS</v>
          </cell>
          <cell r="AM91" t="str">
            <v>PAULA HUERTA</v>
          </cell>
          <cell r="AO91">
            <v>44200</v>
          </cell>
        </row>
        <row r="92">
          <cell r="E92" t="str">
            <v>OXXO</v>
          </cell>
          <cell r="F92" t="str">
            <v>HUECHURABA</v>
          </cell>
          <cell r="G92" t="str">
            <v>RINCONADA DEL SALTO 571 LOCAL E</v>
          </cell>
          <cell r="H92" t="str">
            <v>HUECHURABA</v>
          </cell>
          <cell r="I92" t="str">
            <v>METROPOLITANA</v>
          </cell>
          <cell r="J92" t="str">
            <v>50BJT</v>
          </cell>
          <cell r="K92" t="str">
            <v>cl-huechuraba@tiendas.oxxo.com</v>
          </cell>
          <cell r="L92" t="str">
            <v>TMCB</v>
          </cell>
          <cell r="M92" t="str">
            <v>HOGAR</v>
          </cell>
          <cell r="N92" t="str">
            <v>ABC1</v>
          </cell>
          <cell r="O92" t="str">
            <v>SI</v>
          </cell>
          <cell r="P92" t="str">
            <v>COMPLETA</v>
          </cell>
          <cell r="Q92" t="str">
            <v>SI</v>
          </cell>
          <cell r="R92" t="str">
            <v>SI</v>
          </cell>
          <cell r="S92" t="str">
            <v>NO</v>
          </cell>
          <cell r="T92" t="str">
            <v>BRESCIA RIVERA RODRIGO</v>
          </cell>
          <cell r="U92" t="str">
            <v>rodrigo.brescia@oxxo.com</v>
          </cell>
          <cell r="V92">
            <v>56994777909</v>
          </cell>
          <cell r="W92" t="str">
            <v>MENDOZA GIL BREYNER JOSE</v>
          </cell>
          <cell r="X92" t="str">
            <v>breyner.mendoza@oxxo.com</v>
          </cell>
          <cell r="Y92">
            <v>56998689425</v>
          </cell>
          <cell r="Z92" t="str">
            <v>KILLIANNG VIVIANA ABREU MARTINEZ</v>
          </cell>
          <cell r="AA92">
            <v>56995269501</v>
          </cell>
          <cell r="AB92">
            <v>0.29166666666666669</v>
          </cell>
          <cell r="AC92">
            <v>0.95833333333333337</v>
          </cell>
          <cell r="AD92">
            <v>0.29166666666666669</v>
          </cell>
          <cell r="AE92">
            <v>0.99305555555555558</v>
          </cell>
          <cell r="AF92">
            <v>0.33333333333333331</v>
          </cell>
          <cell r="AG92">
            <v>0.99305555555555558</v>
          </cell>
          <cell r="AH92">
            <v>0.39583333333333331</v>
          </cell>
          <cell r="AI92">
            <v>0.84375</v>
          </cell>
          <cell r="AJ92">
            <v>0.39583333333333331</v>
          </cell>
          <cell r="AK92">
            <v>0.84375</v>
          </cell>
          <cell r="AL92" t="str">
            <v>12HRS</v>
          </cell>
          <cell r="AM92" t="str">
            <v>PAULA HUERTA</v>
          </cell>
          <cell r="AO92">
            <v>43230</v>
          </cell>
        </row>
        <row r="93">
          <cell r="E93" t="str">
            <v>OXXO</v>
          </cell>
          <cell r="F93" t="str">
            <v>HUERFANOS</v>
          </cell>
          <cell r="G93" t="str">
            <v>HUÉRFANOS 602 </v>
          </cell>
          <cell r="H93" t="str">
            <v>SANTIAGO</v>
          </cell>
          <cell r="I93" t="str">
            <v>METROPOLITANA</v>
          </cell>
          <cell r="J93" t="str">
            <v>50LOT</v>
          </cell>
          <cell r="K93" t="str">
            <v>cl-huerfanos@tiendas.oxxo.com</v>
          </cell>
          <cell r="L93" t="str">
            <v>TMCB</v>
          </cell>
          <cell r="M93" t="str">
            <v>RECESO</v>
          </cell>
          <cell r="N93" t="str">
            <v>C3</v>
          </cell>
          <cell r="O93" t="str">
            <v>NO</v>
          </cell>
          <cell r="P93" t="str">
            <v>COMPLETA</v>
          </cell>
          <cell r="Q93" t="str">
            <v>SI</v>
          </cell>
          <cell r="R93" t="str">
            <v>NO</v>
          </cell>
          <cell r="S93" t="str">
            <v>NO</v>
          </cell>
          <cell r="T93" t="str">
            <v>BRESCIA RIVERA RODRIGO</v>
          </cell>
          <cell r="U93" t="str">
            <v>rodrigo.brescia@oxxo.com</v>
          </cell>
          <cell r="V93">
            <v>56994777909</v>
          </cell>
          <cell r="W93" t="str">
            <v>LIAZ MONTERO GABRIEL</v>
          </cell>
          <cell r="X93" t="str">
            <v>gabriel.liaz@oxxo.com</v>
          </cell>
          <cell r="Y93">
            <v>56964735260</v>
          </cell>
          <cell r="Z93" t="str">
            <v>GYSBERT ALBERTY LEAL JIMENEZ</v>
          </cell>
          <cell r="AA93">
            <v>56954331130</v>
          </cell>
          <cell r="AB93">
            <v>0.29166666666666669</v>
          </cell>
          <cell r="AC93">
            <v>0.875</v>
          </cell>
          <cell r="AD93">
            <v>0.29166666666666669</v>
          </cell>
          <cell r="AE93">
            <v>0.875</v>
          </cell>
          <cell r="AF93">
            <v>0.33333333333333331</v>
          </cell>
          <cell r="AG93">
            <v>0.875</v>
          </cell>
          <cell r="AH93">
            <v>0.39583333333333331</v>
          </cell>
          <cell r="AI93">
            <v>0.84375</v>
          </cell>
          <cell r="AJ93">
            <v>0.375</v>
          </cell>
          <cell r="AK93">
            <v>0.875</v>
          </cell>
          <cell r="AL93" t="str">
            <v>12HRS</v>
          </cell>
          <cell r="AM93" t="str">
            <v>PAULA HUERTA</v>
          </cell>
          <cell r="AO93">
            <v>43778</v>
          </cell>
        </row>
        <row r="94">
          <cell r="E94" t="str">
            <v>OXXO</v>
          </cell>
          <cell r="F94" t="str">
            <v>BILBAO LOS LEONES</v>
          </cell>
          <cell r="G94" t="str">
            <v>AV. LOS LEONES 2006 , LOCAL 101</v>
          </cell>
          <cell r="H94" t="str">
            <v>PROVIDENCIA</v>
          </cell>
          <cell r="I94" t="str">
            <v>METROPOLITANA</v>
          </cell>
          <cell r="J94" t="str">
            <v>50BLL</v>
          </cell>
          <cell r="K94" t="str">
            <v>cl-bilbaolosleones@tiendas.oxxo.com</v>
          </cell>
          <cell r="L94" t="str">
            <v>TMCB</v>
          </cell>
          <cell r="M94" t="str">
            <v>HOGAR C/FF</v>
          </cell>
          <cell r="N94" t="str">
            <v>ABC1</v>
          </cell>
          <cell r="O94" t="str">
            <v>NO</v>
          </cell>
          <cell r="P94" t="str">
            <v>COMPLETA</v>
          </cell>
          <cell r="T94" t="str">
            <v>SERRANO SOTO MANUEL</v>
          </cell>
          <cell r="U94" t="str">
            <v>manuel.serrano@oxxo.com</v>
          </cell>
          <cell r="V94">
            <v>56940201885</v>
          </cell>
          <cell r="W94" t="str">
            <v>RODRIGUEZ ABREU ROSA</v>
          </cell>
          <cell r="X94" t="str">
            <v>rosa.rodriguezabreu@oxxo.com</v>
          </cell>
          <cell r="Y94">
            <v>56989993870</v>
          </cell>
          <cell r="Z94" t="str">
            <v>CARLOS RAMON QUIJADA RODRIGUEZ</v>
          </cell>
          <cell r="AA94">
            <v>56950020489</v>
          </cell>
          <cell r="AL94" t="str">
            <v>12HRS</v>
          </cell>
          <cell r="AO94">
            <v>43838</v>
          </cell>
        </row>
        <row r="95">
          <cell r="E95" t="str">
            <v>OXXO</v>
          </cell>
          <cell r="F95" t="str">
            <v>INFANTE</v>
          </cell>
          <cell r="G95" t="str">
            <v>INFANTE N344</v>
          </cell>
          <cell r="H95" t="str">
            <v>PROVIDENCIA</v>
          </cell>
          <cell r="I95" t="str">
            <v>METROPOLITANA</v>
          </cell>
          <cell r="J95">
            <v>50096</v>
          </cell>
          <cell r="K95" t="str">
            <v>cl-infante@tiendas.oxxo.com</v>
          </cell>
          <cell r="L95" t="str">
            <v>TNM</v>
          </cell>
          <cell r="M95" t="str">
            <v>RECESO</v>
          </cell>
          <cell r="O95" t="str">
            <v>NO</v>
          </cell>
          <cell r="P95" t="str">
            <v>COMPLETA</v>
          </cell>
          <cell r="Q95" t="str">
            <v>NO</v>
          </cell>
          <cell r="R95" t="str">
            <v>NO</v>
          </cell>
          <cell r="S95" t="str">
            <v>NO</v>
          </cell>
          <cell r="T95" t="str">
            <v>BRESCIA RIVERA RODRIGO</v>
          </cell>
          <cell r="U95" t="str">
            <v>rodrigo.brescia@oxxo.com</v>
          </cell>
          <cell r="V95">
            <v>56994777909</v>
          </cell>
          <cell r="W95" t="str">
            <v>BARRIOS BAPTISTA JUAN JOSE</v>
          </cell>
          <cell r="X95" t="str">
            <v>juanj.barrios@oxxo.com</v>
          </cell>
          <cell r="Y95">
            <v>56998642001</v>
          </cell>
          <cell r="Z95" t="str">
            <v>EUCARIS JOHEMIR PIÑANGO MEDINA</v>
          </cell>
          <cell r="AA95">
            <v>56937732903</v>
          </cell>
          <cell r="AB95">
            <v>0.29166666666666669</v>
          </cell>
          <cell r="AC95">
            <v>0.91666666666666663</v>
          </cell>
          <cell r="AD95">
            <v>0.29166666666666669</v>
          </cell>
          <cell r="AE95">
            <v>0.91666666666666663</v>
          </cell>
          <cell r="AF95">
            <v>0.33333333333333331</v>
          </cell>
          <cell r="AG95">
            <v>0.91666666666666663</v>
          </cell>
          <cell r="AH95">
            <v>0.39583333333333331</v>
          </cell>
          <cell r="AI95">
            <v>0.84375</v>
          </cell>
          <cell r="AJ95">
            <v>0.375</v>
          </cell>
          <cell r="AK95">
            <v>0.9375</v>
          </cell>
          <cell r="AL95" t="str">
            <v>12HRS</v>
          </cell>
          <cell r="AM95" t="str">
            <v>ROBERTO POBLETE</v>
          </cell>
          <cell r="AO95">
            <v>45322</v>
          </cell>
        </row>
        <row r="96">
          <cell r="E96" t="str">
            <v>OXXO</v>
          </cell>
          <cell r="F96" t="str">
            <v>IRARRAZAVAL BUSTAMANTE</v>
          </cell>
          <cell r="G96" t="str">
            <v>IRARRAZAVAL 98</v>
          </cell>
          <cell r="H96" t="str">
            <v>ÑUÑOA</v>
          </cell>
          <cell r="I96" t="str">
            <v>METROPOLITANA</v>
          </cell>
          <cell r="J96" t="str">
            <v>50IVB</v>
          </cell>
          <cell r="K96" t="str">
            <v>cl-irarrazavalbustamante@tiendas.oxxo.com</v>
          </cell>
          <cell r="L96" t="str">
            <v>TMCB</v>
          </cell>
          <cell r="M96" t="str">
            <v>BASE</v>
          </cell>
          <cell r="N96" t="str">
            <v>C2</v>
          </cell>
          <cell r="O96" t="str">
            <v>NO</v>
          </cell>
          <cell r="P96" t="str">
            <v>COMPLETA</v>
          </cell>
          <cell r="Q96" t="str">
            <v>NO</v>
          </cell>
          <cell r="R96" t="str">
            <v>NO</v>
          </cell>
          <cell r="S96" t="str">
            <v>NO</v>
          </cell>
          <cell r="T96" t="str">
            <v>BRESCIA RIVERA RODRIGO</v>
          </cell>
          <cell r="U96" t="str">
            <v>rodrigo.brescia@oxxo.com</v>
          </cell>
          <cell r="V96">
            <v>56994777909</v>
          </cell>
          <cell r="W96" t="str">
            <v>RUIZ FERRER VANNA</v>
          </cell>
          <cell r="X96" t="str">
            <v>vanna.ruiz@oxxo.com</v>
          </cell>
          <cell r="Y96">
            <v>56994441705</v>
          </cell>
          <cell r="Z96" t="str">
            <v>RENE FRANCISCO AQUEA GONZALEZ</v>
          </cell>
          <cell r="AA96">
            <v>56993974817</v>
          </cell>
          <cell r="AB96">
            <v>0.29166666666666669</v>
          </cell>
          <cell r="AC96">
            <v>0.91666666666666663</v>
          </cell>
          <cell r="AD96">
            <v>0.29166666666666669</v>
          </cell>
          <cell r="AE96">
            <v>0.91666666666666663</v>
          </cell>
          <cell r="AF96">
            <v>0.33333333333333331</v>
          </cell>
          <cell r="AG96">
            <v>0.91666666666666663</v>
          </cell>
          <cell r="AH96">
            <v>0.39583333333333331</v>
          </cell>
          <cell r="AI96">
            <v>0.84375</v>
          </cell>
          <cell r="AJ96">
            <v>0.375</v>
          </cell>
          <cell r="AK96">
            <v>0.91666666666666663</v>
          </cell>
          <cell r="AL96" t="str">
            <v>12HRS</v>
          </cell>
          <cell r="AM96" t="str">
            <v>ROBERTO POBLETE</v>
          </cell>
          <cell r="AO96">
            <v>43840</v>
          </cell>
        </row>
        <row r="97">
          <cell r="E97" t="str">
            <v>OXXO</v>
          </cell>
          <cell r="F97" t="str">
            <v>PLAZA CHACABUCO</v>
          </cell>
          <cell r="G97" t="str">
            <v>INDEPENDENCIA 2181</v>
          </cell>
          <cell r="H97" t="str">
            <v>INDEPENDENCIA</v>
          </cell>
          <cell r="I97" t="str">
            <v>METROPOLITANA</v>
          </cell>
          <cell r="J97" t="str">
            <v>50PZC</v>
          </cell>
          <cell r="K97" t="str">
            <v>cl-plazachacabuco@tiendas.oxxo.com</v>
          </cell>
          <cell r="L97" t="str">
            <v>TMCB</v>
          </cell>
          <cell r="M97" t="str">
            <v>RECESO</v>
          </cell>
          <cell r="N97" t="str">
            <v>C3</v>
          </cell>
          <cell r="O97" t="str">
            <v>SI</v>
          </cell>
          <cell r="P97" t="str">
            <v>COMPLETA</v>
          </cell>
          <cell r="T97" t="str">
            <v>SERRANO SOTO MANUEL</v>
          </cell>
          <cell r="U97" t="str">
            <v>manuel.serrano@oxxo.com</v>
          </cell>
          <cell r="V97">
            <v>56940201885</v>
          </cell>
          <cell r="X97" t="str">
            <v/>
          </cell>
          <cell r="Y97" t="str">
            <v/>
          </cell>
          <cell r="Z97" t="str">
            <v>SOLIMAR DEL VALLE LINARES ROMERO</v>
          </cell>
          <cell r="AL97" t="str">
            <v>12HRS</v>
          </cell>
          <cell r="AO97">
            <v>44242</v>
          </cell>
        </row>
        <row r="98">
          <cell r="E98" t="str">
            <v>OXXO</v>
          </cell>
          <cell r="F98" t="str">
            <v>TORO MAZOTE</v>
          </cell>
          <cell r="G98" t="str">
            <v>AV. LIBERTADOR BERNARDO O´HIGGINS 4103 C</v>
          </cell>
          <cell r="H98" t="str">
            <v>ESTACIÓN CENTRAL</v>
          </cell>
          <cell r="I98" t="str">
            <v>METROPOLITANA</v>
          </cell>
          <cell r="J98" t="str">
            <v>50TMT</v>
          </cell>
          <cell r="K98" t="str">
            <v>cl-toromazotte@tiendas.oxxo.com</v>
          </cell>
          <cell r="L98" t="str">
            <v>TMCB</v>
          </cell>
          <cell r="M98" t="str">
            <v>RECESO</v>
          </cell>
          <cell r="N98" t="str">
            <v>C2</v>
          </cell>
          <cell r="O98" t="str">
            <v>NO</v>
          </cell>
          <cell r="P98" t="str">
            <v>COMPLETA</v>
          </cell>
          <cell r="T98" t="str">
            <v>SERRANO SOTO MANUEL</v>
          </cell>
          <cell r="U98" t="str">
            <v>manuel.serrano@oxxo.com</v>
          </cell>
          <cell r="V98">
            <v>56940201885</v>
          </cell>
          <cell r="X98" t="str">
            <v/>
          </cell>
          <cell r="Y98" t="str">
            <v/>
          </cell>
          <cell r="Z98" t="str">
            <v>MATIAS ANTONIO CEPEDA SALGADO</v>
          </cell>
          <cell r="AA98">
            <v>993948488</v>
          </cell>
          <cell r="AL98" t="str">
            <v>12HRS</v>
          </cell>
          <cell r="AO98">
            <v>44211</v>
          </cell>
        </row>
        <row r="99">
          <cell r="E99" t="str">
            <v>OXXO</v>
          </cell>
          <cell r="F99" t="str">
            <v>VITACURA VESPUCIO</v>
          </cell>
          <cell r="G99" t="str">
            <v>AV. VITACURA 4380, LOCAL 2</v>
          </cell>
          <cell r="H99" t="str">
            <v>VITACURA</v>
          </cell>
          <cell r="I99" t="str">
            <v>METROPOLITANA</v>
          </cell>
          <cell r="J99" t="str">
            <v>50VVE</v>
          </cell>
          <cell r="K99" t="str">
            <v>cl-vitacuravespucio@tiendas.oxxo.com</v>
          </cell>
          <cell r="L99" t="str">
            <v>TMCB</v>
          </cell>
          <cell r="M99" t="str">
            <v>RECESO</v>
          </cell>
          <cell r="N99" t="str">
            <v>ABC1</v>
          </cell>
          <cell r="O99" t="str">
            <v>NO</v>
          </cell>
          <cell r="P99" t="str">
            <v>COMPLETA</v>
          </cell>
          <cell r="T99" t="str">
            <v>SERRANO SOTO MANUEL</v>
          </cell>
          <cell r="U99" t="str">
            <v>manuel.serrano@oxxo.com</v>
          </cell>
          <cell r="V99">
            <v>56940201885</v>
          </cell>
          <cell r="W99" t="str">
            <v>MONTT FUENTES JAIME IGNACIO</v>
          </cell>
          <cell r="X99" t="str">
            <v>jaime.montt@oxxo.com</v>
          </cell>
          <cell r="Y99">
            <v>56974820182</v>
          </cell>
          <cell r="Z99" t="str">
            <v>LADY LILIANA TORRES RAMIREZ</v>
          </cell>
          <cell r="AA99">
            <v>971829187</v>
          </cell>
          <cell r="AL99" t="str">
            <v>12HRS</v>
          </cell>
          <cell r="AO99">
            <v>43993</v>
          </cell>
        </row>
        <row r="100">
          <cell r="E100" t="str">
            <v>OXXO</v>
          </cell>
          <cell r="F100" t="str">
            <v>IRARRAZAVAL SAN JORGE</v>
          </cell>
          <cell r="G100" t="str">
            <v>AV. IRARRAZAVAL 4971</v>
          </cell>
          <cell r="H100" t="str">
            <v>ÑUÑOA</v>
          </cell>
          <cell r="I100" t="str">
            <v>METROPOLITANA</v>
          </cell>
          <cell r="J100" t="str">
            <v>50DWS</v>
          </cell>
          <cell r="K100" t="str">
            <v>cl-irarrazavalsanjorge@tiendas.oxxo.com</v>
          </cell>
          <cell r="L100" t="str">
            <v>TMCB</v>
          </cell>
          <cell r="M100" t="str">
            <v>BASE</v>
          </cell>
          <cell r="N100" t="str">
            <v>ABC1</v>
          </cell>
          <cell r="O100" t="str">
            <v>SI</v>
          </cell>
          <cell r="P100" t="str">
            <v>COMPLETA</v>
          </cell>
          <cell r="Q100" t="str">
            <v>SI</v>
          </cell>
          <cell r="R100" t="str">
            <v>NO</v>
          </cell>
          <cell r="S100" t="str">
            <v>NO</v>
          </cell>
          <cell r="T100" t="str">
            <v>BRESCIA RIVERA RODRIGO</v>
          </cell>
          <cell r="U100" t="str">
            <v>rodrigo.brescia@oxxo.com</v>
          </cell>
          <cell r="V100">
            <v>56994777909</v>
          </cell>
          <cell r="W100" t="str">
            <v>RUIZ FERRER VANNA</v>
          </cell>
          <cell r="X100" t="str">
            <v>vanna.ruiz@oxxo.com</v>
          </cell>
          <cell r="Y100">
            <v>56994441705</v>
          </cell>
          <cell r="Z100" t="str">
            <v>ANA NAYIBER ARENAS RUIZ</v>
          </cell>
          <cell r="AA100">
            <v>56998490560</v>
          </cell>
          <cell r="AB100">
            <v>0.29166666666666669</v>
          </cell>
          <cell r="AC100">
            <v>0.95833333333333337</v>
          </cell>
          <cell r="AD100">
            <v>0.29166666666666669</v>
          </cell>
          <cell r="AE100">
            <v>0.99305555555555558</v>
          </cell>
          <cell r="AF100">
            <v>0.33333333333333331</v>
          </cell>
          <cell r="AG100">
            <v>0.99305555555555558</v>
          </cell>
          <cell r="AH100">
            <v>0.4375</v>
          </cell>
          <cell r="AI100">
            <v>0.88541666666666663</v>
          </cell>
          <cell r="AJ100">
            <v>0.4375</v>
          </cell>
          <cell r="AK100">
            <v>0.88541666666666663</v>
          </cell>
          <cell r="AL100" t="str">
            <v>12HRS</v>
          </cell>
          <cell r="AM100" t="str">
            <v>ROBERTO POBLETE</v>
          </cell>
          <cell r="AO100">
            <v>43577</v>
          </cell>
        </row>
        <row r="101">
          <cell r="E101" t="str">
            <v>OXXO</v>
          </cell>
          <cell r="F101" t="str">
            <v>ISIDORA</v>
          </cell>
          <cell r="G101" t="str">
            <v>AV.ISIDORA GOYENECHEA 3614,LOCAL 102</v>
          </cell>
          <cell r="H101" t="str">
            <v>LAS CONDES</v>
          </cell>
          <cell r="I101" t="str">
            <v>METROPOLITANA</v>
          </cell>
          <cell r="J101" t="str">
            <v>50SKV</v>
          </cell>
          <cell r="K101" t="str">
            <v>cl-isidora@tiendas.oxxo.com</v>
          </cell>
          <cell r="L101" t="str">
            <v>TMCB</v>
          </cell>
          <cell r="M101" t="str">
            <v>BASE</v>
          </cell>
          <cell r="N101" t="str">
            <v>ABC1</v>
          </cell>
          <cell r="O101" t="str">
            <v>NO</v>
          </cell>
          <cell r="P101" t="str">
            <v>COMPLETA</v>
          </cell>
          <cell r="Q101" t="str">
            <v>NO</v>
          </cell>
          <cell r="R101" t="str">
            <v>NO</v>
          </cell>
          <cell r="S101" t="str">
            <v>NO</v>
          </cell>
          <cell r="T101" t="str">
            <v>BRESCIA RIVERA RODRIGO</v>
          </cell>
          <cell r="U101" t="str">
            <v>rodrigo.brescia@oxxo.com</v>
          </cell>
          <cell r="V101">
            <v>56994777909</v>
          </cell>
          <cell r="W101" t="str">
            <v>MONTT FUENTES JAIME IGNACIO</v>
          </cell>
          <cell r="X101" t="str">
            <v>jaime.montt@oxxo.com</v>
          </cell>
          <cell r="Y101">
            <v>56974820182</v>
          </cell>
          <cell r="Z101" t="str">
            <v>ANDREA NATALIA GAMERO ROJAS</v>
          </cell>
          <cell r="AB101">
            <v>0.29166666666666669</v>
          </cell>
          <cell r="AC101">
            <v>0.91666666666666663</v>
          </cell>
          <cell r="AD101">
            <v>0.29166666666666669</v>
          </cell>
          <cell r="AE101">
            <v>0.91666666666666663</v>
          </cell>
          <cell r="AF101">
            <v>0.33333333333333331</v>
          </cell>
          <cell r="AG101">
            <v>0.91666666666666663</v>
          </cell>
          <cell r="AH101">
            <v>0.39583333333333331</v>
          </cell>
          <cell r="AI101">
            <v>0.84375</v>
          </cell>
          <cell r="AJ101">
            <v>0.375</v>
          </cell>
          <cell r="AK101">
            <v>0.9375</v>
          </cell>
          <cell r="AL101" t="str">
            <v>12HRS</v>
          </cell>
          <cell r="AM101" t="str">
            <v>PAULA HUERTA</v>
          </cell>
          <cell r="AO101">
            <v>42942</v>
          </cell>
        </row>
        <row r="102">
          <cell r="E102" t="str">
            <v>OXXO</v>
          </cell>
          <cell r="F102" t="str">
            <v>ISIDORA 2</v>
          </cell>
          <cell r="G102" t="str">
            <v>ISIDORA GOYENECHEA 2932</v>
          </cell>
          <cell r="H102" t="str">
            <v>LAS CONDES</v>
          </cell>
          <cell r="I102" t="str">
            <v>METROPOLITANA</v>
          </cell>
          <cell r="J102" t="str">
            <v>50ISI</v>
          </cell>
          <cell r="K102" t="str">
            <v>cl-isidora2@tiendas.oxxo.com</v>
          </cell>
          <cell r="L102" t="str">
            <v>TMCB</v>
          </cell>
          <cell r="M102" t="str">
            <v>BASE</v>
          </cell>
          <cell r="N102" t="str">
            <v>ABC1</v>
          </cell>
          <cell r="O102" t="str">
            <v>NO</v>
          </cell>
          <cell r="P102" t="str">
            <v>COMPLETA</v>
          </cell>
          <cell r="Q102" t="str">
            <v>NO</v>
          </cell>
          <cell r="R102" t="str">
            <v>NO</v>
          </cell>
          <cell r="S102" t="str">
            <v>NO</v>
          </cell>
          <cell r="T102" t="str">
            <v>BRESCIA RIVERA RODRIGO</v>
          </cell>
          <cell r="U102" t="str">
            <v>rodrigo.brescia@oxxo.com</v>
          </cell>
          <cell r="V102">
            <v>56994777909</v>
          </cell>
          <cell r="W102" t="str">
            <v>MONTT FUENTES JAIME IGNACIO</v>
          </cell>
          <cell r="X102" t="str">
            <v>jaime.montt@oxxo.com</v>
          </cell>
          <cell r="Y102">
            <v>56974820182</v>
          </cell>
          <cell r="Z102" t="str">
            <v>EDUARDO ANDRES ALVARADO PEÑALOZA</v>
          </cell>
          <cell r="AA102">
            <v>56992153351</v>
          </cell>
          <cell r="AB102">
            <v>0.29166666666666669</v>
          </cell>
          <cell r="AC102">
            <v>0.91666666666666663</v>
          </cell>
          <cell r="AD102">
            <v>0.29166666666666669</v>
          </cell>
          <cell r="AE102">
            <v>0.91666666666666663</v>
          </cell>
          <cell r="AF102">
            <v>0.33333333333333331</v>
          </cell>
          <cell r="AG102">
            <v>0.91666666666666663</v>
          </cell>
          <cell r="AH102">
            <v>0.39583333333333331</v>
          </cell>
          <cell r="AI102">
            <v>0.84375</v>
          </cell>
          <cell r="AJ102">
            <v>0.375</v>
          </cell>
          <cell r="AK102">
            <v>0.91666666666666663</v>
          </cell>
          <cell r="AL102" t="str">
            <v>12HRS</v>
          </cell>
          <cell r="AM102" t="str">
            <v>PAULA HUERTA</v>
          </cell>
          <cell r="AO102">
            <v>44200</v>
          </cell>
        </row>
        <row r="103">
          <cell r="E103" t="str">
            <v>OXXO - EX OKM</v>
          </cell>
          <cell r="F103" t="str">
            <v>JORGE MATTE</v>
          </cell>
          <cell r="G103" t="str">
            <v>AV. JORGE MATTE 2645</v>
          </cell>
          <cell r="H103" t="str">
            <v>PROVIDENCIA</v>
          </cell>
          <cell r="I103" t="str">
            <v>METROPOLITANA</v>
          </cell>
          <cell r="J103" t="str">
            <v>50OJM</v>
          </cell>
          <cell r="K103" t="str">
            <v>cl-jorgematte@tiendas.oxxo.com</v>
          </cell>
          <cell r="L103" t="str">
            <v>TMCB</v>
          </cell>
          <cell r="M103" t="str">
            <v>BASE</v>
          </cell>
          <cell r="N103" t="str">
            <v>ABC1</v>
          </cell>
          <cell r="O103" t="str">
            <v>SI</v>
          </cell>
          <cell r="P103" t="str">
            <v>COMPLETA</v>
          </cell>
          <cell r="Q103" t="str">
            <v>SI</v>
          </cell>
          <cell r="R103" t="str">
            <v>SI</v>
          </cell>
          <cell r="S103" t="str">
            <v>NO</v>
          </cell>
          <cell r="T103" t="str">
            <v>BRESCIA RIVERA RODRIGO</v>
          </cell>
          <cell r="U103" t="str">
            <v>rodrigo.brescia@oxxo.com</v>
          </cell>
          <cell r="V103">
            <v>56994777909</v>
          </cell>
          <cell r="W103" t="str">
            <v>BENITEZ QUILODRAN HUGO</v>
          </cell>
          <cell r="X103" t="str">
            <v>hugo.benitez@oxxo.com</v>
          </cell>
          <cell r="Y103">
            <v>56998355780</v>
          </cell>
          <cell r="Z103" t="str">
            <v>ALVARO ANDRES TRIVINO NANCO</v>
          </cell>
          <cell r="AA103">
            <v>56942637089</v>
          </cell>
          <cell r="AB103">
            <v>0.29166666666666669</v>
          </cell>
          <cell r="AC103">
            <v>0.95833333333333337</v>
          </cell>
          <cell r="AD103">
            <v>0.29166666666666669</v>
          </cell>
          <cell r="AE103">
            <v>0.99305555555555558</v>
          </cell>
          <cell r="AF103">
            <v>0.33333333333333331</v>
          </cell>
          <cell r="AG103">
            <v>0.99305555555555558</v>
          </cell>
          <cell r="AH103">
            <v>0.4375</v>
          </cell>
          <cell r="AI103">
            <v>0.88541666666666663</v>
          </cell>
          <cell r="AJ103">
            <v>0.375</v>
          </cell>
          <cell r="AK103">
            <v>0.96875</v>
          </cell>
          <cell r="AL103" t="str">
            <v>12HRS</v>
          </cell>
          <cell r="AM103" t="str">
            <v>ROBERTO POBLETE</v>
          </cell>
          <cell r="AO103">
            <v>44879</v>
          </cell>
        </row>
        <row r="104">
          <cell r="E104" t="str">
            <v>OXXO - EX OKM</v>
          </cell>
          <cell r="F104" t="str">
            <v>JOSE DOMINGO CANAS</v>
          </cell>
          <cell r="G104" t="str">
            <v> JOSÉ DOMINGO CAÑAS 2151</v>
          </cell>
          <cell r="H104" t="str">
            <v>ÑUÑOA</v>
          </cell>
          <cell r="I104" t="str">
            <v>METROPOLITANA</v>
          </cell>
          <cell r="J104" t="str">
            <v>50OJC</v>
          </cell>
          <cell r="K104" t="str">
            <v>cl-josedomingocanas@tiendas.oxxo.com</v>
          </cell>
          <cell r="L104" t="str">
            <v>TMCB</v>
          </cell>
          <cell r="M104" t="str">
            <v>BASE</v>
          </cell>
          <cell r="N104" t="str">
            <v>ABC1</v>
          </cell>
          <cell r="O104" t="str">
            <v>SI</v>
          </cell>
          <cell r="P104" t="str">
            <v>COMPLETA</v>
          </cell>
          <cell r="Q104" t="str">
            <v>NO</v>
          </cell>
          <cell r="R104" t="str">
            <v>SI</v>
          </cell>
          <cell r="S104" t="str">
            <v>NO</v>
          </cell>
          <cell r="T104" t="str">
            <v>BRESCIA RIVERA RODRIGO</v>
          </cell>
          <cell r="U104" t="str">
            <v>rodrigo.brescia@oxxo.com</v>
          </cell>
          <cell r="V104">
            <v>56994777909</v>
          </cell>
          <cell r="W104" t="str">
            <v>RUIZ FERRER VANNA</v>
          </cell>
          <cell r="X104" t="str">
            <v>vanna.ruiz@oxxo.com</v>
          </cell>
          <cell r="Y104">
            <v>56994441705</v>
          </cell>
          <cell r="Z104" t="str">
            <v>MITZI MAIRA PILAR CABELLO ASTETE</v>
          </cell>
          <cell r="AA104">
            <v>56993227761</v>
          </cell>
          <cell r="AB104">
            <v>0.29166666666666669</v>
          </cell>
          <cell r="AC104">
            <v>0.95833333333333337</v>
          </cell>
          <cell r="AD104">
            <v>0.29166666666666669</v>
          </cell>
          <cell r="AE104">
            <v>0.99305555555555558</v>
          </cell>
          <cell r="AF104">
            <v>0.33333333333333331</v>
          </cell>
          <cell r="AG104">
            <v>0.99305555555555558</v>
          </cell>
          <cell r="AH104">
            <v>0.4375</v>
          </cell>
          <cell r="AI104">
            <v>0.88541666666666663</v>
          </cell>
          <cell r="AJ104">
            <v>0.375</v>
          </cell>
          <cell r="AK104">
            <v>0.95833333333333337</v>
          </cell>
          <cell r="AL104" t="str">
            <v>12HRS</v>
          </cell>
          <cell r="AM104" t="str">
            <v>ROBERTO POBLETE</v>
          </cell>
          <cell r="AO104">
            <v>45084</v>
          </cell>
        </row>
        <row r="105">
          <cell r="E105" t="str">
            <v>OXXO</v>
          </cell>
          <cell r="F105" t="str">
            <v>JOSEFINA EDWARD</v>
          </cell>
          <cell r="G105" t="str">
            <v>LOS CONQUISTADORES 1730, LOCAL 0108</v>
          </cell>
          <cell r="H105" t="str">
            <v>PROVIDENCIA</v>
          </cell>
          <cell r="I105" t="str">
            <v>METROPOLITANA</v>
          </cell>
          <cell r="J105" t="str">
            <v>50BM6</v>
          </cell>
          <cell r="K105" t="str">
            <v>cl-josefinaedwards@tiendas.oxxo.com </v>
          </cell>
          <cell r="L105" t="str">
            <v>TMCB</v>
          </cell>
          <cell r="M105" t="str">
            <v>RECESO</v>
          </cell>
          <cell r="N105" t="str">
            <v>ABC1</v>
          </cell>
          <cell r="O105" t="str">
            <v>NO</v>
          </cell>
          <cell r="P105" t="str">
            <v>COMPLETA</v>
          </cell>
          <cell r="Q105" t="str">
            <v>NO</v>
          </cell>
          <cell r="R105" t="str">
            <v>NO</v>
          </cell>
          <cell r="S105" t="str">
            <v>NO</v>
          </cell>
          <cell r="T105" t="str">
            <v>BRESCIA RIVERA RODRIGO</v>
          </cell>
          <cell r="U105" t="str">
            <v>rodrigo.brescia@oxxo.com</v>
          </cell>
          <cell r="V105">
            <v>56994777909</v>
          </cell>
          <cell r="W105" t="str">
            <v>LOPEZ MEZA LUIS JOSÉ</v>
          </cell>
          <cell r="X105" t="str">
            <v>luis.lopez@oxxo.com</v>
          </cell>
          <cell r="Y105">
            <v>56933740505</v>
          </cell>
          <cell r="Z105" t="str">
            <v>ROSARIO ZELADA VARGAS</v>
          </cell>
          <cell r="AA105">
            <v>56983464166</v>
          </cell>
          <cell r="AB105">
            <v>0.29166666666666669</v>
          </cell>
          <cell r="AC105">
            <v>0.91666666666666663</v>
          </cell>
          <cell r="AD105">
            <v>0.29166666666666669</v>
          </cell>
          <cell r="AE105">
            <v>0.91666666666666663</v>
          </cell>
          <cell r="AF105">
            <v>0.33333333333333331</v>
          </cell>
          <cell r="AG105">
            <v>0.91666666666666663</v>
          </cell>
          <cell r="AH105" t="str">
            <v>Cerrado</v>
          </cell>
          <cell r="AI105" t="str">
            <v>Cerrado</v>
          </cell>
          <cell r="AJ105">
            <v>0.39583333333333331</v>
          </cell>
          <cell r="AK105">
            <v>0.91666666666666663</v>
          </cell>
          <cell r="AL105" t="str">
            <v>12HRS</v>
          </cell>
          <cell r="AM105" t="str">
            <v>ROBERTO POBLETE</v>
          </cell>
          <cell r="AO105">
            <v>44953</v>
          </cell>
        </row>
        <row r="106">
          <cell r="E106" t="str">
            <v>OXXO</v>
          </cell>
          <cell r="F106" t="str">
            <v>MATUCANA</v>
          </cell>
          <cell r="G106" t="str">
            <v>MATUCANA 1105 LOCAL 2</v>
          </cell>
          <cell r="H106" t="str">
            <v>SANTIAGO</v>
          </cell>
          <cell r="I106" t="str">
            <v>METROPOLITANA</v>
          </cell>
          <cell r="J106" t="str">
            <v>50MCA</v>
          </cell>
          <cell r="K106" t="str">
            <v>cl-matucana@tiendas.oxxo.com</v>
          </cell>
          <cell r="L106" t="str">
            <v>TMCB</v>
          </cell>
          <cell r="M106" t="str">
            <v>HOGAR C/FF</v>
          </cell>
          <cell r="N106" t="str">
            <v>C2</v>
          </cell>
          <cell r="O106" t="str">
            <v>NO</v>
          </cell>
          <cell r="P106" t="str">
            <v>COMPLETA</v>
          </cell>
          <cell r="T106" t="str">
            <v>SERRANO SOTO MANUEL</v>
          </cell>
          <cell r="U106" t="str">
            <v>manuel.serrano@oxxo.com</v>
          </cell>
          <cell r="V106">
            <v>56940201885</v>
          </cell>
          <cell r="X106" t="str">
            <v/>
          </cell>
          <cell r="Y106" t="str">
            <v/>
          </cell>
          <cell r="Z106" t="str">
            <v>PAMELA LORETO CUBILLOS PAVEZ</v>
          </cell>
          <cell r="AA106">
            <v>973066996</v>
          </cell>
          <cell r="AL106" t="str">
            <v>12HRS</v>
          </cell>
          <cell r="AO106">
            <v>44589</v>
          </cell>
        </row>
        <row r="107">
          <cell r="E107" t="str">
            <v>OXXO</v>
          </cell>
          <cell r="F107" t="str">
            <v>NUEVA TAJAMAR</v>
          </cell>
          <cell r="G107" t="str">
            <v>TAJAMAR 285, LOCAL 6</v>
          </cell>
          <cell r="H107" t="str">
            <v>LAS CONDES</v>
          </cell>
          <cell r="I107" t="str">
            <v>METROPOLITANA</v>
          </cell>
          <cell r="J107" t="str">
            <v>50TAJ</v>
          </cell>
          <cell r="K107" t="str">
            <v>cl-nuevatajamar@tiendas.oxxo.com</v>
          </cell>
          <cell r="L107" t="str">
            <v>TMCB</v>
          </cell>
          <cell r="M107" t="str">
            <v>RECESO</v>
          </cell>
          <cell r="N107" t="str">
            <v>C2</v>
          </cell>
          <cell r="O107" t="str">
            <v>NO</v>
          </cell>
          <cell r="P107" t="str">
            <v>COMPLETA</v>
          </cell>
          <cell r="T107" t="str">
            <v>SERRANO SOTO MANUEL</v>
          </cell>
          <cell r="U107" t="str">
            <v>manuel.serrano@oxxo.com</v>
          </cell>
          <cell r="V107">
            <v>56940201885</v>
          </cell>
          <cell r="W107" t="str">
            <v>MONTT FUENTES JAIME IGNACIO</v>
          </cell>
          <cell r="X107" t="str">
            <v>jaime.montt@oxxo.com</v>
          </cell>
          <cell r="Y107">
            <v>56974820182</v>
          </cell>
          <cell r="Z107" t="str">
            <v>MARIA BELEN COSSIO TARIFA</v>
          </cell>
          <cell r="AA107">
            <v>56973079876</v>
          </cell>
          <cell r="AL107" t="str">
            <v>12HRS</v>
          </cell>
          <cell r="AO107">
            <v>44494</v>
          </cell>
        </row>
        <row r="108">
          <cell r="E108" t="str">
            <v>OXXO - EX OKM</v>
          </cell>
          <cell r="F108" t="str">
            <v>JUAN MOYA</v>
          </cell>
          <cell r="G108" t="str">
            <v> AV. IRARRÁZAVAL 4123 LOCAL 2, ÑUÑOA.</v>
          </cell>
          <cell r="H108" t="str">
            <v>ÑUÑOA</v>
          </cell>
          <cell r="I108" t="str">
            <v>METROPOLITANA</v>
          </cell>
          <cell r="J108" t="str">
            <v>50OIM</v>
          </cell>
          <cell r="K108" t="str">
            <v>cl-juanmoya@tiendas.oxxo.com</v>
          </cell>
          <cell r="L108" t="str">
            <v>TMCB</v>
          </cell>
          <cell r="M108" t="str">
            <v>BASE</v>
          </cell>
          <cell r="N108" t="str">
            <v>ABC1</v>
          </cell>
          <cell r="O108" t="str">
            <v>SI</v>
          </cell>
          <cell r="P108" t="str">
            <v>COMPLETA</v>
          </cell>
          <cell r="Q108" t="str">
            <v>SI</v>
          </cell>
          <cell r="R108" t="str">
            <v>SI</v>
          </cell>
          <cell r="S108" t="str">
            <v>NO</v>
          </cell>
          <cell r="T108" t="str">
            <v>BRESCIA RIVERA RODRIGO</v>
          </cell>
          <cell r="U108" t="str">
            <v>rodrigo.brescia@oxxo.com</v>
          </cell>
          <cell r="V108">
            <v>56994777909</v>
          </cell>
          <cell r="W108" t="str">
            <v>RUIZ FERRER VANNA</v>
          </cell>
          <cell r="X108" t="str">
            <v>vanna.ruiz@oxxo.com</v>
          </cell>
          <cell r="Y108">
            <v>56994441705</v>
          </cell>
          <cell r="Z108" t="str">
            <v>PAULINA PAMELA LLANTEN CAMUS</v>
          </cell>
          <cell r="AA108">
            <v>56983468294</v>
          </cell>
          <cell r="AB108">
            <v>0.29166666666666669</v>
          </cell>
          <cell r="AC108">
            <v>0.95833333333333337</v>
          </cell>
          <cell r="AD108">
            <v>0.29166666666666669</v>
          </cell>
          <cell r="AE108">
            <v>0.99305555555555558</v>
          </cell>
          <cell r="AF108">
            <v>0.33333333333333331</v>
          </cell>
          <cell r="AG108">
            <v>0.99305555555555558</v>
          </cell>
          <cell r="AH108">
            <v>0.4375</v>
          </cell>
          <cell r="AI108">
            <v>0.88541666666666663</v>
          </cell>
          <cell r="AJ108">
            <v>0.375</v>
          </cell>
          <cell r="AK108">
            <v>0.95833333333333337</v>
          </cell>
          <cell r="AL108" t="str">
            <v>12HRS</v>
          </cell>
          <cell r="AM108" t="str">
            <v>ROBERTO POBLETE</v>
          </cell>
          <cell r="AO108">
            <v>44566</v>
          </cell>
        </row>
        <row r="109">
          <cell r="E109" t="str">
            <v>OXXO</v>
          </cell>
          <cell r="F109" t="str">
            <v>MACUL GRECIA</v>
          </cell>
          <cell r="G109" t="str">
            <v>AV. PEDRO ALESSANDRI 927</v>
          </cell>
          <cell r="H109" t="str">
            <v>ÑUÑOA</v>
          </cell>
          <cell r="I109" t="str">
            <v>METROPOLITANA</v>
          </cell>
          <cell r="J109" t="str">
            <v>50MGR</v>
          </cell>
          <cell r="K109" t="str">
            <v>cl-maculgrecia@tiendas.oxxo.com</v>
          </cell>
          <cell r="L109" t="str">
            <v>TMCB</v>
          </cell>
          <cell r="M109" t="str">
            <v>HOGAR C/FF</v>
          </cell>
          <cell r="N109" t="str">
            <v>C2</v>
          </cell>
          <cell r="O109" t="str">
            <v>SI</v>
          </cell>
          <cell r="P109" t="str">
            <v>COMPLETA</v>
          </cell>
          <cell r="T109" t="str">
            <v>SERRANO SOTO MANUEL</v>
          </cell>
          <cell r="U109" t="str">
            <v>manuel.serrano@oxxo.com</v>
          </cell>
          <cell r="V109">
            <v>56940201885</v>
          </cell>
          <cell r="W109" t="str">
            <v>PINERUA JAIMES JESUS</v>
          </cell>
          <cell r="X109" t="str">
            <v>jesus.pinerua@oxxo.com</v>
          </cell>
          <cell r="Y109">
            <v>56982335207</v>
          </cell>
          <cell r="Z109" t="str">
            <v>LAURA CAROLINA PEÑALOZA ROA</v>
          </cell>
          <cell r="AL109" t="str">
            <v>12HRS</v>
          </cell>
          <cell r="AO109">
            <v>44434</v>
          </cell>
        </row>
        <row r="110">
          <cell r="E110" t="str">
            <v>OXXO</v>
          </cell>
          <cell r="F110" t="str">
            <v>LA CONCEPCION</v>
          </cell>
          <cell r="G110" t="str">
            <v>LA CONCEPCIÓN 120</v>
          </cell>
          <cell r="H110" t="str">
            <v>PROVIDENCIA</v>
          </cell>
          <cell r="I110" t="str">
            <v>METROPOLITANA</v>
          </cell>
          <cell r="J110" t="str">
            <v>50VHN</v>
          </cell>
          <cell r="K110" t="str">
            <v>cl-laconcepcion@tiendas.oxxo.com</v>
          </cell>
          <cell r="L110" t="str">
            <v>TMCB</v>
          </cell>
          <cell r="M110" t="str">
            <v>RECESO</v>
          </cell>
          <cell r="N110" t="str">
            <v>C2</v>
          </cell>
          <cell r="O110" t="str">
            <v>SI</v>
          </cell>
          <cell r="P110" t="str">
            <v>COMPLETA</v>
          </cell>
          <cell r="Q110" t="str">
            <v>NO</v>
          </cell>
          <cell r="R110" t="str">
            <v>SI</v>
          </cell>
          <cell r="S110" t="str">
            <v>NO</v>
          </cell>
          <cell r="T110" t="str">
            <v>BRESCIA RIVERA RODRIGO</v>
          </cell>
          <cell r="U110" t="str">
            <v>rodrigo.brescia@oxxo.com</v>
          </cell>
          <cell r="V110">
            <v>56994777909</v>
          </cell>
          <cell r="W110" t="str">
            <v>LOPEZ MEZA LUIS JOSÉ</v>
          </cell>
          <cell r="X110" t="str">
            <v>luis.lopez@oxxo.com</v>
          </cell>
          <cell r="Y110">
            <v>56933740505</v>
          </cell>
          <cell r="Z110" t="str">
            <v>LUIS MORA CARVAJAL</v>
          </cell>
          <cell r="AA110">
            <v>56992192995</v>
          </cell>
          <cell r="AB110">
            <v>0.29166666666666669</v>
          </cell>
          <cell r="AC110">
            <v>0.95833333333333337</v>
          </cell>
          <cell r="AD110">
            <v>0.29166666666666669</v>
          </cell>
          <cell r="AE110">
            <v>0.99305555555555558</v>
          </cell>
          <cell r="AF110">
            <v>0.33333333333333331</v>
          </cell>
          <cell r="AG110">
            <v>0.99305555555555558</v>
          </cell>
          <cell r="AH110">
            <v>0.39583333333333331</v>
          </cell>
          <cell r="AI110">
            <v>0.84375</v>
          </cell>
          <cell r="AJ110">
            <v>0.39583333333333331</v>
          </cell>
          <cell r="AK110">
            <v>0.95833333333333337</v>
          </cell>
          <cell r="AL110" t="str">
            <v>12HRS</v>
          </cell>
          <cell r="AM110" t="str">
            <v>ROBERTO POBLETE</v>
          </cell>
          <cell r="AO110">
            <v>43004</v>
          </cell>
        </row>
        <row r="111">
          <cell r="E111" t="str">
            <v>OXXO</v>
          </cell>
          <cell r="F111" t="str">
            <v>IRARRAZAVAL ITALIA</v>
          </cell>
          <cell r="G111" t="str">
            <v>AV. ITALIA 2025 LOCAL 3-4</v>
          </cell>
          <cell r="H111" t="str">
            <v>ÑUÑOA</v>
          </cell>
          <cell r="I111" t="str">
            <v>METROPOLITANA</v>
          </cell>
          <cell r="J111" t="str">
            <v>50ITA</v>
          </cell>
          <cell r="K111" t="str">
            <v>cl-irarrazavalitalia@tiendas.oxxo.com</v>
          </cell>
          <cell r="L111" t="str">
            <v>TMCB</v>
          </cell>
          <cell r="M111" t="str">
            <v>HOGAR C/FF</v>
          </cell>
          <cell r="N111" t="str">
            <v>C2</v>
          </cell>
          <cell r="O111" t="str">
            <v>NO</v>
          </cell>
          <cell r="P111" t="str">
            <v>COMPLETA</v>
          </cell>
          <cell r="T111" t="str">
            <v>SERRANO SOTO MANUEL</v>
          </cell>
          <cell r="U111" t="str">
            <v>manuel.serrano@oxxo.com</v>
          </cell>
          <cell r="V111">
            <v>56940201885</v>
          </cell>
          <cell r="W111" t="str">
            <v>RUIZ FERRER VANNA</v>
          </cell>
          <cell r="X111" t="str">
            <v>vanna.ruiz@oxxo.com</v>
          </cell>
          <cell r="Y111">
            <v>56994441705</v>
          </cell>
          <cell r="Z111" t="str">
            <v xml:space="preserve">MARBELIS CHIQUINQUIRA VALLESTERO COLINA </v>
          </cell>
          <cell r="AA111">
            <v>56992054308</v>
          </cell>
          <cell r="AL111" t="str">
            <v>12HRS</v>
          </cell>
          <cell r="AO111">
            <v>44466</v>
          </cell>
        </row>
        <row r="112">
          <cell r="E112" t="str">
            <v>OXXO</v>
          </cell>
          <cell r="F112" t="str">
            <v>MONCKEBERG</v>
          </cell>
          <cell r="G112" t="str">
            <v>AV. IRARRZAVAL 4387,LOCAL 102</v>
          </cell>
          <cell r="H112" t="str">
            <v>ÑUÑOA</v>
          </cell>
          <cell r="I112" t="str">
            <v>METROPOLITANA</v>
          </cell>
          <cell r="J112" t="str">
            <v>50MON</v>
          </cell>
          <cell r="K112" t="str">
            <v>cl-monckeberg@tiendas.oxxo.com</v>
          </cell>
          <cell r="L112" t="str">
            <v>TNM</v>
          </cell>
          <cell r="M112" t="str">
            <v>HOGAR C/FF</v>
          </cell>
          <cell r="N112" t="str">
            <v>ABC1</v>
          </cell>
          <cell r="O112" t="str">
            <v>NO</v>
          </cell>
          <cell r="P112" t="str">
            <v>COMPLETA</v>
          </cell>
          <cell r="T112" t="str">
            <v>SERRANO SOTO MANUEL</v>
          </cell>
          <cell r="U112" t="str">
            <v>manuel.serrano@oxxo.com</v>
          </cell>
          <cell r="V112">
            <v>56940201885</v>
          </cell>
          <cell r="X112" t="str">
            <v/>
          </cell>
          <cell r="Y112" t="str">
            <v/>
          </cell>
          <cell r="Z112" t="str">
            <v>HELYS DEL CARMEN VILLALOBOS CASTILLO</v>
          </cell>
          <cell r="AL112" t="str">
            <v>12HRS</v>
          </cell>
          <cell r="AO112">
            <v>44498</v>
          </cell>
        </row>
        <row r="113">
          <cell r="E113" t="str">
            <v>OXXO</v>
          </cell>
          <cell r="F113" t="str">
            <v>EL BERGANTIN</v>
          </cell>
          <cell r="G113" t="str">
            <v>AV. CRISTOBAL COLON 6710 LOCAL 1</v>
          </cell>
          <cell r="H113" t="str">
            <v>LAS CONDES</v>
          </cell>
          <cell r="I113" t="str">
            <v>METROPOLITANA</v>
          </cell>
          <cell r="J113" t="str">
            <v>50BER</v>
          </cell>
          <cell r="K113" t="str">
            <v>cl-elbergantin@tiendas.oxxo.com</v>
          </cell>
          <cell r="L113" t="str">
            <v>TMCB</v>
          </cell>
          <cell r="M113" t="str">
            <v>HOGAR</v>
          </cell>
          <cell r="N113" t="str">
            <v>ABC1</v>
          </cell>
          <cell r="O113" t="str">
            <v>NO</v>
          </cell>
          <cell r="P113" t="str">
            <v>COMPLETA</v>
          </cell>
          <cell r="T113" t="str">
            <v>SERRANO SOTO MANUEL</v>
          </cell>
          <cell r="U113" t="str">
            <v>manuel.serrano@oxxo.com</v>
          </cell>
          <cell r="V113">
            <v>56940201885</v>
          </cell>
          <cell r="W113" t="str">
            <v>LIAZ MONTERO GABRIEL</v>
          </cell>
          <cell r="X113" t="str">
            <v>gabriel.liaz@oxxo.com</v>
          </cell>
          <cell r="Y113">
            <v>56964735260</v>
          </cell>
          <cell r="Z113" t="str">
            <v>LUIS ENRIQUE GUEVARA PEREZ</v>
          </cell>
          <cell r="AL113" t="str">
            <v>12HRS</v>
          </cell>
          <cell r="AO113">
            <v>44469</v>
          </cell>
        </row>
        <row r="114">
          <cell r="E114" t="str">
            <v>OXXO</v>
          </cell>
          <cell r="F114" t="str">
            <v>ROSARIO SUR</v>
          </cell>
          <cell r="G114" t="str">
            <v>ROSARIO SUR 620, LOCAL 1</v>
          </cell>
          <cell r="H114" t="str">
            <v>LAS CONDES</v>
          </cell>
          <cell r="I114" t="str">
            <v>METROPOLITANA</v>
          </cell>
          <cell r="J114" t="str">
            <v>50ROS</v>
          </cell>
          <cell r="K114" t="str">
            <v>cl-rosariosur@tiendas.oxxo.com</v>
          </cell>
          <cell r="L114" t="str">
            <v>TMCB</v>
          </cell>
          <cell r="M114" t="str">
            <v>HOGAR C/FF</v>
          </cell>
          <cell r="N114" t="str">
            <v>ABC1</v>
          </cell>
          <cell r="O114" t="str">
            <v>NO</v>
          </cell>
          <cell r="P114" t="str">
            <v>COMPLETA</v>
          </cell>
          <cell r="T114" t="str">
            <v>SERRANO SOTO MANUEL</v>
          </cell>
          <cell r="U114" t="str">
            <v>manuel.serrano@oxxo.com</v>
          </cell>
          <cell r="V114">
            <v>56940201885</v>
          </cell>
          <cell r="W114" t="str">
            <v>LOPEZ CALDERON LUIS GERARDO</v>
          </cell>
          <cell r="X114" t="str">
            <v/>
          </cell>
          <cell r="Y114" t="str">
            <v/>
          </cell>
          <cell r="Z114" t="str">
            <v>ANAIS GABRIELA CARRASCO CARRILLO</v>
          </cell>
          <cell r="AA114">
            <v>992037298</v>
          </cell>
          <cell r="AL114" t="str">
            <v>12HRS</v>
          </cell>
          <cell r="AO114">
            <v>44519</v>
          </cell>
        </row>
        <row r="115">
          <cell r="E115" t="str">
            <v>OXXO</v>
          </cell>
          <cell r="F115" t="str">
            <v>PEDRO DE VALDIVIA 4</v>
          </cell>
          <cell r="G115" t="str">
            <v>AV. PEDRO DE VALDIVIA 4170</v>
          </cell>
          <cell r="H115" t="str">
            <v>ÑUÑOA</v>
          </cell>
          <cell r="I115" t="str">
            <v>METROPOLITANA</v>
          </cell>
          <cell r="J115" t="str">
            <v>50PDV</v>
          </cell>
          <cell r="K115" t="str">
            <v>cl-pedrodevaldivia4@tiendas.oxxo.com</v>
          </cell>
          <cell r="L115" t="str">
            <v>TNM</v>
          </cell>
          <cell r="M115" t="str">
            <v>HOGAR</v>
          </cell>
          <cell r="N115" t="str">
            <v>C2</v>
          </cell>
          <cell r="O115" t="str">
            <v>NO</v>
          </cell>
          <cell r="P115" t="str">
            <v>COMPLETA</v>
          </cell>
          <cell r="T115" t="str">
            <v>SERRANO SOTO MANUEL</v>
          </cell>
          <cell r="U115" t="str">
            <v>manuel.serrano@oxxo.com</v>
          </cell>
          <cell r="V115">
            <v>56940201885</v>
          </cell>
          <cell r="W115" t="str">
            <v>MENDOZA GIL BREYNER JOSE</v>
          </cell>
          <cell r="X115" t="str">
            <v>breyner.mendoza@oxxo.com</v>
          </cell>
          <cell r="Y115">
            <v>56998689425</v>
          </cell>
          <cell r="Z115" t="str">
            <v>MARISABEL BARRIOS MESA</v>
          </cell>
          <cell r="AA115">
            <v>56992201670</v>
          </cell>
          <cell r="AL115" t="str">
            <v>12HRS</v>
          </cell>
          <cell r="AO115">
            <v>45027</v>
          </cell>
        </row>
        <row r="116">
          <cell r="E116" t="str">
            <v>OXXO</v>
          </cell>
          <cell r="F116" t="str">
            <v>LARRAIN</v>
          </cell>
          <cell r="G116" t="str">
            <v>AV LARRAIN 5961</v>
          </cell>
          <cell r="H116" t="str">
            <v>LA REINA</v>
          </cell>
          <cell r="I116" t="str">
            <v>METROPOLITANA</v>
          </cell>
          <cell r="J116" t="str">
            <v>50LRR</v>
          </cell>
          <cell r="K116" t="str">
            <v>cl-larrain@tiendas.oxxo.com</v>
          </cell>
          <cell r="L116" t="str">
            <v>TMCB</v>
          </cell>
          <cell r="M116" t="str">
            <v>HOGAR C/FF</v>
          </cell>
          <cell r="N116" t="str">
            <v>ABC1</v>
          </cell>
          <cell r="O116" t="str">
            <v>NO</v>
          </cell>
          <cell r="P116" t="str">
            <v>COMPLETA</v>
          </cell>
          <cell r="T116" t="str">
            <v>SERRANO SOTO MANUEL</v>
          </cell>
          <cell r="U116" t="str">
            <v>manuel.serrano@oxxo.com</v>
          </cell>
          <cell r="V116">
            <v>56940201885</v>
          </cell>
          <cell r="X116" t="str">
            <v/>
          </cell>
          <cell r="Y116" t="str">
            <v/>
          </cell>
          <cell r="Z116" t="str">
            <v>BENNIFER ALEJANDRA CASTILLO MACHADO</v>
          </cell>
          <cell r="AL116" t="str">
            <v>12HRS</v>
          </cell>
          <cell r="AO116">
            <v>44526</v>
          </cell>
        </row>
        <row r="117">
          <cell r="E117" t="str">
            <v>OXXO</v>
          </cell>
          <cell r="F117" t="str">
            <v>TERMINAL DE BUSES</v>
          </cell>
          <cell r="G117" t="str">
            <v>AV. LIBERTADOR BERNANDO 3850, LOCAL 7</v>
          </cell>
          <cell r="H117" t="str">
            <v>ESTACIÓN CENTRAL</v>
          </cell>
          <cell r="I117" t="str">
            <v>METROPOLITANA</v>
          </cell>
          <cell r="J117" t="str">
            <v>50TEB</v>
          </cell>
          <cell r="K117" t="str">
            <v>cl-terminaldebuses@tiendas.oxxo.com</v>
          </cell>
          <cell r="L117" t="str">
            <v>TMCB</v>
          </cell>
          <cell r="M117" t="str">
            <v>RECESO</v>
          </cell>
          <cell r="N117" t="str">
            <v>C3</v>
          </cell>
          <cell r="O117" t="str">
            <v>NO</v>
          </cell>
          <cell r="P117" t="str">
            <v>COMPLETA</v>
          </cell>
          <cell r="T117" t="str">
            <v>SERRANO SOTO MANUEL</v>
          </cell>
          <cell r="U117" t="str">
            <v>manuel.serrano@oxxo.com</v>
          </cell>
          <cell r="V117">
            <v>56940201885</v>
          </cell>
          <cell r="X117" t="str">
            <v/>
          </cell>
          <cell r="Y117" t="str">
            <v/>
          </cell>
          <cell r="Z117" t="str">
            <v>S/I</v>
          </cell>
          <cell r="AA117">
            <v>993851745</v>
          </cell>
          <cell r="AL117" t="str">
            <v>12HRS</v>
          </cell>
          <cell r="AO117">
            <v>44526</v>
          </cell>
        </row>
        <row r="118">
          <cell r="E118" t="str">
            <v>OXXO</v>
          </cell>
          <cell r="F118" t="str">
            <v>LA FORESTA VINA DEL MAR</v>
          </cell>
          <cell r="G118" t="str">
            <v>LAS TÓRTOLAS 184, LOCAL1</v>
          </cell>
          <cell r="H118" t="str">
            <v>VIÑA DEL MAR</v>
          </cell>
          <cell r="I118" t="str">
            <v>VALPARAISO</v>
          </cell>
          <cell r="J118" t="str">
            <v>50FLP</v>
          </cell>
          <cell r="K118" t="str">
            <v>cl-laforesta@tiendas.oxxo.com</v>
          </cell>
          <cell r="L118" t="str">
            <v>TMCB</v>
          </cell>
          <cell r="M118" t="str">
            <v>HOGAR</v>
          </cell>
          <cell r="N118" t="str">
            <v>ABC1</v>
          </cell>
          <cell r="O118" t="str">
            <v>NO</v>
          </cell>
          <cell r="P118" t="str">
            <v>COMPLETA</v>
          </cell>
          <cell r="Q118" t="str">
            <v>SI</v>
          </cell>
          <cell r="R118" t="str">
            <v>SI</v>
          </cell>
          <cell r="S118" t="str">
            <v>NO</v>
          </cell>
          <cell r="T118" t="str">
            <v>SESA DIEGO MIGUEL</v>
          </cell>
          <cell r="U118" t="str">
            <v>diego.sesa@oxxo.com</v>
          </cell>
          <cell r="V118">
            <v>56954238682</v>
          </cell>
          <cell r="W118" t="str">
            <v>ESCOBAR VALDES VALESKA SOLEDAD</v>
          </cell>
          <cell r="X118" t="str">
            <v>valeska.escobar@oxxo.com</v>
          </cell>
          <cell r="Y118">
            <v>56961681492</v>
          </cell>
          <cell r="Z118" t="str">
            <v>KAREM VIVIANA MORAGA LASSNIBATT</v>
          </cell>
          <cell r="AA118">
            <v>56934193771</v>
          </cell>
          <cell r="AB118">
            <v>0.3125</v>
          </cell>
          <cell r="AC118">
            <v>0.95833333333333337</v>
          </cell>
          <cell r="AD118">
            <v>0.3125</v>
          </cell>
          <cell r="AE118">
            <v>0.99305555555555558</v>
          </cell>
          <cell r="AF118">
            <v>0.33333333333333331</v>
          </cell>
          <cell r="AG118">
            <v>0.99305555555555558</v>
          </cell>
          <cell r="AH118">
            <v>0.4375</v>
          </cell>
          <cell r="AI118">
            <v>0.88541666666666663</v>
          </cell>
          <cell r="AJ118">
            <v>0.375</v>
          </cell>
          <cell r="AK118">
            <v>0.88541666666666663</v>
          </cell>
          <cell r="AL118" t="str">
            <v>12HRS</v>
          </cell>
          <cell r="AM118" t="str">
            <v>ROBERTO POBLETE</v>
          </cell>
          <cell r="AO118">
            <v>43446</v>
          </cell>
        </row>
        <row r="119">
          <cell r="E119" t="str">
            <v>OXXO</v>
          </cell>
          <cell r="F119" t="str">
            <v>LA PLAZA</v>
          </cell>
          <cell r="G119" t="str">
            <v>AV. LA PLAZA 1250</v>
          </cell>
          <cell r="H119" t="str">
            <v>LAS CONDES</v>
          </cell>
          <cell r="I119" t="str">
            <v>METROPOLITANA</v>
          </cell>
          <cell r="J119" t="str">
            <v>50UXA</v>
          </cell>
          <cell r="K119" t="str">
            <v>cl-laplaza@tiendas.oxxo.com</v>
          </cell>
          <cell r="L119" t="str">
            <v>TMCB</v>
          </cell>
          <cell r="M119" t="str">
            <v>BASE</v>
          </cell>
          <cell r="N119" t="str">
            <v>ABC1</v>
          </cell>
          <cell r="O119" t="str">
            <v>NO</v>
          </cell>
          <cell r="P119" t="str">
            <v>COMPLETA</v>
          </cell>
          <cell r="Q119" t="str">
            <v>NO</v>
          </cell>
          <cell r="R119" t="str">
            <v>NO</v>
          </cell>
          <cell r="S119" t="str">
            <v>NO</v>
          </cell>
          <cell r="T119" t="str">
            <v>BRESCIA RIVERA RODRIGO</v>
          </cell>
          <cell r="U119" t="str">
            <v>rodrigo.brescia@oxxo.com</v>
          </cell>
          <cell r="V119">
            <v>56994777909</v>
          </cell>
          <cell r="W119" t="str">
            <v>ARAYA BURGOS ARIEL</v>
          </cell>
          <cell r="X119" t="str">
            <v>ariel.araya@oxxo.com</v>
          </cell>
          <cell r="Y119">
            <v>56976232708</v>
          </cell>
          <cell r="Z119" t="str">
            <v>BARBARA MARIANGEL ARIAS</v>
          </cell>
          <cell r="AA119">
            <v>56992194332</v>
          </cell>
          <cell r="AB119">
            <v>0.29166666666666669</v>
          </cell>
          <cell r="AC119">
            <v>0.91666666666666663</v>
          </cell>
          <cell r="AD119">
            <v>0.29166666666666669</v>
          </cell>
          <cell r="AE119">
            <v>0.91666666666666663</v>
          </cell>
          <cell r="AF119">
            <v>0.33333333333333331</v>
          </cell>
          <cell r="AG119">
            <v>0.91666666666666663</v>
          </cell>
          <cell r="AH119">
            <v>0.39583333333333331</v>
          </cell>
          <cell r="AI119">
            <v>0.84375</v>
          </cell>
          <cell r="AJ119">
            <v>0.39583333333333331</v>
          </cell>
          <cell r="AK119">
            <v>0.85416666666666663</v>
          </cell>
          <cell r="AL119" t="str">
            <v>12HRS</v>
          </cell>
          <cell r="AM119" t="str">
            <v>PAULA HUERTA</v>
          </cell>
          <cell r="AO119">
            <v>43185</v>
          </cell>
        </row>
        <row r="120">
          <cell r="E120" t="str">
            <v>OXXO</v>
          </cell>
          <cell r="F120" t="str">
            <v>GRECIA EXEQUIEL</v>
          </cell>
          <cell r="G120" t="str">
            <v>AV. GRECIA 3015 LOCAL 2</v>
          </cell>
          <cell r="H120" t="str">
            <v>ÑUÑOA</v>
          </cell>
          <cell r="I120" t="str">
            <v>METROPOLITANA</v>
          </cell>
          <cell r="J120" t="str">
            <v>50GRE</v>
          </cell>
          <cell r="K120" t="str">
            <v>cl-greciaexequiel@tiendas.oxxo.com</v>
          </cell>
          <cell r="L120" t="str">
            <v>TMCB</v>
          </cell>
          <cell r="M120" t="str">
            <v>RECESO</v>
          </cell>
          <cell r="N120" t="str">
            <v>C2</v>
          </cell>
          <cell r="O120" t="str">
            <v>NO</v>
          </cell>
          <cell r="P120" t="str">
            <v>COMPLETA</v>
          </cell>
          <cell r="T120" t="str">
            <v>SERRANO SOTO MANUEL</v>
          </cell>
          <cell r="U120" t="str">
            <v>manuel.serrano@oxxo.com</v>
          </cell>
          <cell r="V120">
            <v>56940201885</v>
          </cell>
          <cell r="W120" t="str">
            <v>PINERUA JAIMES JESUS</v>
          </cell>
          <cell r="X120" t="str">
            <v>jesus.pinerua@oxxo.com</v>
          </cell>
          <cell r="Y120">
            <v>56982335207</v>
          </cell>
          <cell r="Z120" t="str">
            <v>SANDRA LILIANA MERCADO TOSCANO</v>
          </cell>
          <cell r="AA120">
            <v>950915490</v>
          </cell>
          <cell r="AL120" t="str">
            <v>12HRS</v>
          </cell>
          <cell r="AO120">
            <v>44519</v>
          </cell>
        </row>
        <row r="121">
          <cell r="E121" t="str">
            <v>OXXO</v>
          </cell>
          <cell r="F121" t="str">
            <v>LAS BELLOTAS</v>
          </cell>
          <cell r="G121" t="str">
            <v>LAS BELLOTAS 207, LOCAL 149</v>
          </cell>
          <cell r="H121" t="str">
            <v>PROVIDENCIA</v>
          </cell>
          <cell r="I121" t="str">
            <v>METROPOLITANA</v>
          </cell>
          <cell r="J121" t="str">
            <v>50LT4</v>
          </cell>
          <cell r="K121" t="str">
            <v>cl-lasbellotas@tiendas.oxxo.com</v>
          </cell>
          <cell r="L121" t="str">
            <v>TNM</v>
          </cell>
          <cell r="M121" t="str">
            <v>RECESO</v>
          </cell>
          <cell r="O121" t="str">
            <v>NO</v>
          </cell>
          <cell r="P121" t="str">
            <v>COMPLETA</v>
          </cell>
          <cell r="Q121" t="str">
            <v>NO</v>
          </cell>
          <cell r="R121" t="str">
            <v>NO</v>
          </cell>
          <cell r="S121" t="str">
            <v>NO</v>
          </cell>
          <cell r="T121" t="str">
            <v>BRESCIA RIVERA RODRIGO</v>
          </cell>
          <cell r="U121" t="str">
            <v>rodrigo.brescia@oxxo.com</v>
          </cell>
          <cell r="V121">
            <v>56994777909</v>
          </cell>
          <cell r="W121" t="str">
            <v>BARRIOS BAPTISTA JUAN JOSE</v>
          </cell>
          <cell r="X121" t="str">
            <v>juanj.barrios@oxxo.com</v>
          </cell>
          <cell r="Y121">
            <v>56998642001</v>
          </cell>
          <cell r="AB121">
            <v>0.29166666666666669</v>
          </cell>
          <cell r="AC121">
            <v>0.91666666666666663</v>
          </cell>
          <cell r="AD121">
            <v>0.29166666666666669</v>
          </cell>
          <cell r="AE121">
            <v>0.91666666666666663</v>
          </cell>
          <cell r="AF121">
            <v>0.33333333333333331</v>
          </cell>
          <cell r="AG121">
            <v>0.91666666666666663</v>
          </cell>
          <cell r="AH121">
            <v>0.4375</v>
          </cell>
          <cell r="AI121">
            <v>0.88541666666666663</v>
          </cell>
          <cell r="AL121" t="str">
            <v>12HRS</v>
          </cell>
          <cell r="AM121" t="str">
            <v>ROBERTO POBLETE</v>
          </cell>
          <cell r="AO121">
            <v>45805</v>
          </cell>
        </row>
        <row r="122">
          <cell r="E122" t="str">
            <v>OXXO</v>
          </cell>
          <cell r="F122" t="str">
            <v>TORRE AMUNATEGUI</v>
          </cell>
          <cell r="G122" t="str">
            <v>HERMANOS AMUNATEGUI 528 LOCAL 3</v>
          </cell>
          <cell r="H122" t="str">
            <v>SANTIAGO</v>
          </cell>
          <cell r="I122" t="str">
            <v>METROPOLITANA</v>
          </cell>
          <cell r="J122" t="str">
            <v>50AMU</v>
          </cell>
          <cell r="K122" t="str">
            <v>cl-torreamunategui@tiendas.oxxo.com</v>
          </cell>
          <cell r="L122" t="str">
            <v>TNM</v>
          </cell>
          <cell r="M122" t="str">
            <v>RECESO</v>
          </cell>
          <cell r="N122" t="str">
            <v>C2</v>
          </cell>
          <cell r="O122" t="str">
            <v>NO</v>
          </cell>
          <cell r="P122" t="str">
            <v>COMPLETA</v>
          </cell>
          <cell r="T122" t="str">
            <v>SERRANO SOTO MANUEL</v>
          </cell>
          <cell r="U122" t="str">
            <v>manuel.serrano@oxxo.com</v>
          </cell>
          <cell r="V122">
            <v>56940201885</v>
          </cell>
          <cell r="X122" t="str">
            <v/>
          </cell>
          <cell r="Y122" t="str">
            <v/>
          </cell>
          <cell r="Z122" t="str">
            <v>DAHIL ASERET´S SIERVO OJEDA</v>
          </cell>
          <cell r="AA122">
            <v>983467462</v>
          </cell>
          <cell r="AL122" t="str">
            <v>12HRS</v>
          </cell>
          <cell r="AO122">
            <v>44851</v>
          </cell>
        </row>
        <row r="123">
          <cell r="E123" t="str">
            <v>OXXO</v>
          </cell>
          <cell r="F123" t="str">
            <v>LAS BRISAS</v>
          </cell>
          <cell r="G123" t="str">
            <v>GENERAL SAN MARTIN LT A 6. 8 SN LUIS, LOCAL 19.</v>
          </cell>
          <cell r="H123" t="str">
            <v>COLINA</v>
          </cell>
          <cell r="I123" t="str">
            <v>METROPOLITANA</v>
          </cell>
          <cell r="J123" t="str">
            <v>50BRI</v>
          </cell>
          <cell r="K123" t="str">
            <v>cl-lasbrisas@tiendas.oxxo.com</v>
          </cell>
          <cell r="L123" t="str">
            <v>TMCB</v>
          </cell>
          <cell r="M123" t="str">
            <v>HOGAR</v>
          </cell>
          <cell r="N123" t="str">
            <v>ABC1</v>
          </cell>
          <cell r="O123" t="str">
            <v>SI</v>
          </cell>
          <cell r="P123" t="str">
            <v>COMPLETA</v>
          </cell>
          <cell r="Q123" t="str">
            <v>SI</v>
          </cell>
          <cell r="R123" t="str">
            <v>NO</v>
          </cell>
          <cell r="S123" t="str">
            <v>NO</v>
          </cell>
          <cell r="T123" t="str">
            <v>BRESCIA RIVERA RODRIGO</v>
          </cell>
          <cell r="U123" t="str">
            <v>rodrigo.brescia@oxxo.com</v>
          </cell>
          <cell r="V123">
            <v>56994777909</v>
          </cell>
          <cell r="W123" t="str">
            <v>MENDOZA GIL BREYNER JOSE</v>
          </cell>
          <cell r="X123" t="str">
            <v>breyner.mendoza@oxxo.com</v>
          </cell>
          <cell r="Y123">
            <v>56998689425</v>
          </cell>
          <cell r="Z123" t="str">
            <v>S/I</v>
          </cell>
          <cell r="AA123">
            <v>56983464118</v>
          </cell>
          <cell r="AB123">
            <v>0</v>
          </cell>
          <cell r="AC123">
            <v>0.99930555555555556</v>
          </cell>
          <cell r="AD123">
            <v>0</v>
          </cell>
          <cell r="AE123">
            <v>0.99930555555555556</v>
          </cell>
          <cell r="AF123">
            <v>0</v>
          </cell>
          <cell r="AG123">
            <v>0.99930555555555556</v>
          </cell>
          <cell r="AH123">
            <v>0</v>
          </cell>
          <cell r="AI123">
            <v>0.99930555555555556</v>
          </cell>
          <cell r="AJ123">
            <v>0.375</v>
          </cell>
          <cell r="AK123">
            <v>0.875</v>
          </cell>
          <cell r="AL123" t="str">
            <v>24HRS</v>
          </cell>
          <cell r="AM123" t="str">
            <v>PAULA HUERTA</v>
          </cell>
          <cell r="AO123">
            <v>44932</v>
          </cell>
        </row>
        <row r="124">
          <cell r="E124" t="str">
            <v>FRANQUICIA</v>
          </cell>
          <cell r="F124" t="str">
            <v>LAS CONDES - SANZIO</v>
          </cell>
          <cell r="G124" t="str">
            <v>AVDA. LAS CONDES 7423, LOCAL C1</v>
          </cell>
          <cell r="H124" t="str">
            <v>LAS CONDES</v>
          </cell>
          <cell r="I124" t="str">
            <v>METROPOLITANA</v>
          </cell>
          <cell r="J124" t="str">
            <v>54FCS</v>
          </cell>
          <cell r="K124" t="str">
            <v>franquicialascondessanzio@tiendas.oxxo.com</v>
          </cell>
          <cell r="L124" t="str">
            <v>TMCB</v>
          </cell>
          <cell r="M124" t="str">
            <v>HOGAR</v>
          </cell>
          <cell r="O124" t="str">
            <v>SI</v>
          </cell>
          <cell r="P124" t="str">
            <v>COMPLETA</v>
          </cell>
          <cell r="T124" t="str">
            <v>BRESCIA RIVERA RODRIGO</v>
          </cell>
          <cell r="U124" t="str">
            <v>rodrigo.brescia@oxxo.com</v>
          </cell>
          <cell r="V124">
            <v>56994777909</v>
          </cell>
          <cell r="W124" t="str">
            <v>ARAYA BURGOS ARIEL</v>
          </cell>
          <cell r="X124" t="str">
            <v>ariel.araya@oxxo.com</v>
          </cell>
          <cell r="Y124">
            <v>56976232708</v>
          </cell>
          <cell r="AL124" t="str">
            <v>12HRS</v>
          </cell>
          <cell r="AO124">
            <v>44685</v>
          </cell>
        </row>
        <row r="125">
          <cell r="E125" t="str">
            <v>OXXO</v>
          </cell>
          <cell r="F125" t="str">
            <v>LAS CONDES 1</v>
          </cell>
          <cell r="G125" t="str">
            <v>AV. LAS CONDES 6761, LOCAL 1-A</v>
          </cell>
          <cell r="H125" t="str">
            <v>LAS CONDES</v>
          </cell>
          <cell r="I125" t="str">
            <v>METROPOLITANA</v>
          </cell>
          <cell r="J125" t="str">
            <v>50EER</v>
          </cell>
          <cell r="K125" t="str">
            <v>cl-lascondes1@tiendas.oxxo.com</v>
          </cell>
          <cell r="L125" t="str">
            <v>TMCB</v>
          </cell>
          <cell r="M125" t="str">
            <v>BASE</v>
          </cell>
          <cell r="N125" t="str">
            <v>C2</v>
          </cell>
          <cell r="O125" t="str">
            <v>NO</v>
          </cell>
          <cell r="P125" t="str">
            <v>COMPLETA</v>
          </cell>
          <cell r="Q125" t="str">
            <v>NO</v>
          </cell>
          <cell r="R125" t="str">
            <v>NO</v>
          </cell>
          <cell r="S125" t="str">
            <v>NO</v>
          </cell>
          <cell r="T125" t="str">
            <v>SESA DIEGO MIGUEL</v>
          </cell>
          <cell r="U125" t="str">
            <v>diego.sesa@oxxo.com</v>
          </cell>
          <cell r="V125">
            <v>56954238682</v>
          </cell>
          <cell r="W125" t="str">
            <v>GAMERRE URZUA CECILIA</v>
          </cell>
          <cell r="X125" t="str">
            <v>cecilia.gamerre@oxxo.com</v>
          </cell>
          <cell r="Y125">
            <v>56992076485</v>
          </cell>
          <cell r="Z125" t="str">
            <v>DERWIN JAVIER REYES GONZALEZ</v>
          </cell>
          <cell r="AA125">
            <v>56983476861</v>
          </cell>
          <cell r="AB125">
            <v>0.29166666666666669</v>
          </cell>
          <cell r="AC125">
            <v>0.95833333333333337</v>
          </cell>
          <cell r="AD125">
            <v>0.29166666666666669</v>
          </cell>
          <cell r="AE125">
            <v>0.99305555555555558</v>
          </cell>
          <cell r="AF125">
            <v>0.33333333333333331</v>
          </cell>
          <cell r="AG125">
            <v>0.99305555555555558</v>
          </cell>
          <cell r="AH125">
            <v>0.4375</v>
          </cell>
          <cell r="AI125">
            <v>0.88541666666666663</v>
          </cell>
          <cell r="AJ125">
            <v>0.375</v>
          </cell>
          <cell r="AK125">
            <v>0.95833333333333337</v>
          </cell>
          <cell r="AL125" t="str">
            <v>12HRS</v>
          </cell>
          <cell r="AM125" t="str">
            <v>PAULA HUERTA</v>
          </cell>
          <cell r="AO125">
            <v>44802</v>
          </cell>
        </row>
        <row r="126">
          <cell r="E126" t="str">
            <v>OXXO - EX OKM</v>
          </cell>
          <cell r="F126" t="str">
            <v>LAS HUALTATAS</v>
          </cell>
          <cell r="G126" t="str">
            <v>LUIS CARRERA 1330 LOCAL 4-5 Y 6</v>
          </cell>
          <cell r="H126" t="str">
            <v>VITACURA</v>
          </cell>
          <cell r="I126" t="str">
            <v>METROPOLITANA</v>
          </cell>
          <cell r="J126" t="str">
            <v>50OLH</v>
          </cell>
          <cell r="K126" t="str">
            <v>cl-lashualtatas@tiendas.oxxo.com</v>
          </cell>
          <cell r="L126" t="str">
            <v>TMCB</v>
          </cell>
          <cell r="M126" t="str">
            <v>BASE</v>
          </cell>
          <cell r="N126" t="str">
            <v>ABC1</v>
          </cell>
          <cell r="O126" t="str">
            <v>NO</v>
          </cell>
          <cell r="P126" t="str">
            <v>COMPLETA</v>
          </cell>
          <cell r="Q126" t="str">
            <v>NO</v>
          </cell>
          <cell r="R126" t="str">
            <v>NO</v>
          </cell>
          <cell r="S126" t="str">
            <v>NO</v>
          </cell>
          <cell r="T126" t="str">
            <v>BRESCIA RIVERA RODRIGO</v>
          </cell>
          <cell r="U126" t="str">
            <v>rodrigo.brescia@oxxo.com</v>
          </cell>
          <cell r="V126">
            <v>56994777909</v>
          </cell>
          <cell r="W126" t="str">
            <v>MENDOZA GIL BREYNER JOSE</v>
          </cell>
          <cell r="X126" t="str">
            <v>breyner.mendoza@oxxo.com</v>
          </cell>
          <cell r="Y126">
            <v>56998689425</v>
          </cell>
          <cell r="Z126" t="str">
            <v>DANIEL ANTONIO ROMERO GONZALEZ</v>
          </cell>
          <cell r="AA126">
            <v>56983695195</v>
          </cell>
          <cell r="AB126">
            <v>0.29166666666666669</v>
          </cell>
          <cell r="AC126">
            <v>0.91666666666666663</v>
          </cell>
          <cell r="AD126">
            <v>0.29166666666666669</v>
          </cell>
          <cell r="AE126">
            <v>0.91666666666666663</v>
          </cell>
          <cell r="AF126">
            <v>0.33333333333333331</v>
          </cell>
          <cell r="AG126">
            <v>0.91666666666666663</v>
          </cell>
          <cell r="AH126">
            <v>0.39583333333333331</v>
          </cell>
          <cell r="AI126">
            <v>0.84375</v>
          </cell>
          <cell r="AJ126">
            <v>0.375</v>
          </cell>
          <cell r="AK126">
            <v>0.91666666666666663</v>
          </cell>
          <cell r="AL126" t="str">
            <v>12HRS</v>
          </cell>
          <cell r="AM126" t="str">
            <v>PAULA HUERTA</v>
          </cell>
          <cell r="AO126">
            <v>45170</v>
          </cell>
        </row>
        <row r="127">
          <cell r="E127" t="str">
            <v>OXXO</v>
          </cell>
          <cell r="F127" t="str">
            <v>LIBERTAD</v>
          </cell>
          <cell r="G127" t="str">
            <v>LIBERTAD 1405, LOCAL 7,</v>
          </cell>
          <cell r="H127" t="str">
            <v>VIÑA DEL MAR</v>
          </cell>
          <cell r="I127" t="str">
            <v>VALPARAISO</v>
          </cell>
          <cell r="J127" t="str">
            <v>50LIB</v>
          </cell>
          <cell r="K127" t="str">
            <v>cl-libertad1@tiendas.oxxo.com</v>
          </cell>
          <cell r="L127" t="str">
            <v>TMCB</v>
          </cell>
          <cell r="M127" t="str">
            <v>BASE</v>
          </cell>
          <cell r="N127" t="str">
            <v>ABC1</v>
          </cell>
          <cell r="O127" t="str">
            <v>SI</v>
          </cell>
          <cell r="P127" t="str">
            <v>COMPLETA</v>
          </cell>
          <cell r="Q127" t="str">
            <v>NO</v>
          </cell>
          <cell r="R127" t="str">
            <v>NO</v>
          </cell>
          <cell r="S127" t="str">
            <v>NO</v>
          </cell>
          <cell r="T127" t="str">
            <v>SESA DIEGO MIGUEL</v>
          </cell>
          <cell r="U127" t="str">
            <v>diego.sesa@oxxo.com</v>
          </cell>
          <cell r="V127">
            <v>56954238682</v>
          </cell>
          <cell r="W127" t="str">
            <v>ESCOBAR VALDES VALESKA SOLEDAD</v>
          </cell>
          <cell r="X127" t="str">
            <v>valeska.escobar@oxxo.com</v>
          </cell>
          <cell r="Y127">
            <v>56961681492</v>
          </cell>
          <cell r="Z127" t="str">
            <v>MARIA AUXILIADORA ACOSTA ROMERO</v>
          </cell>
          <cell r="AA127">
            <v>56995699549</v>
          </cell>
          <cell r="AB127">
            <v>0.29166666666666669</v>
          </cell>
          <cell r="AC127">
            <v>0.95833333333333337</v>
          </cell>
          <cell r="AD127">
            <v>0.29166666666666669</v>
          </cell>
          <cell r="AE127">
            <v>0.99305555555555547</v>
          </cell>
          <cell r="AF127">
            <v>0.33333333333333331</v>
          </cell>
          <cell r="AG127">
            <v>0.99305555555555547</v>
          </cell>
          <cell r="AH127">
            <v>0.39583333333333331</v>
          </cell>
          <cell r="AI127">
            <v>0.84375</v>
          </cell>
          <cell r="AJ127">
            <v>0.375</v>
          </cell>
          <cell r="AK127">
            <v>0.84375</v>
          </cell>
          <cell r="AL127" t="str">
            <v>12HRS</v>
          </cell>
          <cell r="AM127" t="str">
            <v>ROBERTO POBLETE</v>
          </cell>
          <cell r="AO127">
            <v>44681</v>
          </cell>
        </row>
        <row r="128">
          <cell r="E128" t="str">
            <v>OXXO</v>
          </cell>
          <cell r="F128" t="str">
            <v>EL AGUILUCHO</v>
          </cell>
          <cell r="G128" t="str">
            <v>AV LOS LEONES 2621, LOCAL 102</v>
          </cell>
          <cell r="H128" t="str">
            <v>PROVIDENCIA</v>
          </cell>
          <cell r="I128" t="str">
            <v>METROPOLITANA</v>
          </cell>
          <cell r="J128" t="str">
            <v>50AGU</v>
          </cell>
          <cell r="K128" t="str">
            <v>cl-elaguilucho@tiendas.oxxo.com</v>
          </cell>
          <cell r="L128" t="str">
            <v>TNM</v>
          </cell>
          <cell r="M128" t="str">
            <v>HOGAR C/FF</v>
          </cell>
          <cell r="N128" t="str">
            <v>ABC1</v>
          </cell>
          <cell r="O128" t="str">
            <v>NO</v>
          </cell>
          <cell r="P128" t="str">
            <v>PARCIAL</v>
          </cell>
          <cell r="T128" t="str">
            <v>SERRANO SOTO MANUEL</v>
          </cell>
          <cell r="U128" t="str">
            <v>manuel.serrano@oxxo.com</v>
          </cell>
          <cell r="V128">
            <v>56940201885</v>
          </cell>
          <cell r="W128" t="str">
            <v>ARAYA BURGOS ARIEL</v>
          </cell>
          <cell r="X128" t="str">
            <v>ariel.araya@oxxo.com</v>
          </cell>
          <cell r="Y128">
            <v>56976232708</v>
          </cell>
          <cell r="Z128" t="str">
            <v>RAMON CAYUPE PEREZ</v>
          </cell>
          <cell r="AA128">
            <v>983464476</v>
          </cell>
          <cell r="AL128" t="str">
            <v>12HRS</v>
          </cell>
          <cell r="AO128">
            <v>44918</v>
          </cell>
        </row>
        <row r="129">
          <cell r="E129" t="str">
            <v>OXXO</v>
          </cell>
          <cell r="F129" t="str">
            <v>LIMACHE VIANA</v>
          </cell>
          <cell r="G129" t="str">
            <v>LIMACHE 1748. LOCAL 6.</v>
          </cell>
          <cell r="H129" t="str">
            <v>VIÑA DEL MAR</v>
          </cell>
          <cell r="I129" t="str">
            <v>VALPARAISO</v>
          </cell>
          <cell r="J129" t="str">
            <v>50RBP</v>
          </cell>
          <cell r="K129" t="str">
            <v>cl-limacheviana@tiendas.oxxo.com</v>
          </cell>
          <cell r="L129" t="str">
            <v>TMCB</v>
          </cell>
          <cell r="M129" t="str">
            <v>BASE</v>
          </cell>
          <cell r="N129" t="str">
            <v>C2</v>
          </cell>
          <cell r="O129" t="str">
            <v>NO</v>
          </cell>
          <cell r="P129" t="str">
            <v>COMPLETA</v>
          </cell>
          <cell r="Q129" t="str">
            <v>SI</v>
          </cell>
          <cell r="R129" t="str">
            <v>NO</v>
          </cell>
          <cell r="S129" t="str">
            <v>NO</v>
          </cell>
          <cell r="T129" t="str">
            <v>SESA DIEGO MIGUEL</v>
          </cell>
          <cell r="U129" t="str">
            <v>diego.sesa@oxxo.com</v>
          </cell>
          <cell r="V129">
            <v>56954238682</v>
          </cell>
          <cell r="W129" t="str">
            <v>RODRÍGUEZ ROBLES MARCELA ALEJANDRA</v>
          </cell>
          <cell r="X129" t="str">
            <v>marcela.rodriguezrobles@oxxo.com</v>
          </cell>
          <cell r="Y129">
            <v>56982335207</v>
          </cell>
          <cell r="Z129" t="str">
            <v>CARMEN YULIANA BETANCUR SANCHEZ</v>
          </cell>
          <cell r="AA129">
            <v>56952129979</v>
          </cell>
          <cell r="AB129">
            <v>0</v>
          </cell>
          <cell r="AC129">
            <v>0.99930555555555556</v>
          </cell>
          <cell r="AD129">
            <v>0</v>
          </cell>
          <cell r="AE129">
            <v>0.99930555555555556</v>
          </cell>
          <cell r="AF129">
            <v>0</v>
          </cell>
          <cell r="AG129">
            <v>0.99930555555555556</v>
          </cell>
          <cell r="AH129">
            <v>0</v>
          </cell>
          <cell r="AI129">
            <v>0.99930555555555556</v>
          </cell>
          <cell r="AJ129">
            <v>0</v>
          </cell>
          <cell r="AK129">
            <v>0.99930555555555556</v>
          </cell>
          <cell r="AL129" t="str">
            <v>24HRS</v>
          </cell>
          <cell r="AM129" t="str">
            <v>ROBERTO POBLETE</v>
          </cell>
          <cell r="AO129">
            <v>43948</v>
          </cell>
        </row>
        <row r="130">
          <cell r="E130" t="str">
            <v>OXXO</v>
          </cell>
          <cell r="F130" t="str">
            <v>IRARRAZAVAL SUECIA</v>
          </cell>
          <cell r="G130" t="str">
            <v>AV. IRARRAZAVAL 2899 L-4</v>
          </cell>
          <cell r="H130" t="str">
            <v>ÑUÑOA</v>
          </cell>
          <cell r="I130" t="str">
            <v>METROPOLITANA</v>
          </cell>
          <cell r="J130" t="str">
            <v>50ISU</v>
          </cell>
          <cell r="K130" t="str">
            <v>cl-irarrazavalsuecia@tiendas.oxxo.com</v>
          </cell>
          <cell r="L130" t="str">
            <v>TNM</v>
          </cell>
          <cell r="M130" t="str">
            <v>HOGAR C/FF</v>
          </cell>
          <cell r="N130" t="str">
            <v>C2</v>
          </cell>
          <cell r="O130" t="str">
            <v>NO</v>
          </cell>
          <cell r="P130" t="str">
            <v>COMPLETA</v>
          </cell>
          <cell r="T130" t="str">
            <v>SERRANO SOTO MANUEL</v>
          </cell>
          <cell r="U130" t="str">
            <v>manuel.serrano@oxxo.com</v>
          </cell>
          <cell r="V130">
            <v>56940201885</v>
          </cell>
          <cell r="X130" t="str">
            <v/>
          </cell>
          <cell r="Y130" t="str">
            <v/>
          </cell>
          <cell r="Z130" t="str">
            <v>JOSEFINA DANAE ESTAY CERDA</v>
          </cell>
          <cell r="AA130">
            <v>983476151</v>
          </cell>
          <cell r="AL130" t="str">
            <v>12HRS</v>
          </cell>
          <cell r="AO130">
            <v>44854</v>
          </cell>
        </row>
        <row r="131">
          <cell r="E131" t="str">
            <v>OXXO</v>
          </cell>
          <cell r="F131" t="str">
            <v>LIRA 43</v>
          </cell>
          <cell r="G131" t="str">
            <v>LIRA 43</v>
          </cell>
          <cell r="H131" t="str">
            <v>SANTIAGO</v>
          </cell>
          <cell r="I131" t="str">
            <v>METROPOLITANA</v>
          </cell>
          <cell r="J131" t="str">
            <v>50LRA</v>
          </cell>
          <cell r="K131" t="str">
            <v>cl-liralira@tiendas.oxxo.com</v>
          </cell>
          <cell r="L131" t="str">
            <v>TMCB</v>
          </cell>
          <cell r="M131" t="str">
            <v>RECESO</v>
          </cell>
          <cell r="N131" t="str">
            <v>C2</v>
          </cell>
          <cell r="O131" t="str">
            <v>NO</v>
          </cell>
          <cell r="P131" t="str">
            <v>COMPLETA</v>
          </cell>
          <cell r="Q131" t="str">
            <v>NO</v>
          </cell>
          <cell r="R131" t="str">
            <v>NO</v>
          </cell>
          <cell r="S131" t="str">
            <v>NO</v>
          </cell>
          <cell r="T131" t="str">
            <v>BRESCIA RIVERA RODRIGO</v>
          </cell>
          <cell r="U131" t="str">
            <v>rodrigo.brescia@oxxo.com</v>
          </cell>
          <cell r="V131">
            <v>56994777909</v>
          </cell>
          <cell r="W131" t="str">
            <v>LIAZ MONTERO GABRIEL</v>
          </cell>
          <cell r="X131" t="str">
            <v>gabriel.liaz@oxxo.com</v>
          </cell>
          <cell r="Y131">
            <v>56964735260</v>
          </cell>
          <cell r="Z131" t="str">
            <v>MARIAN ROSELIN CASTILLO RODRIGUEZ</v>
          </cell>
          <cell r="AA131">
            <v>56965680870</v>
          </cell>
          <cell r="AB131">
            <v>0.29166666666666669</v>
          </cell>
          <cell r="AC131">
            <v>0.875</v>
          </cell>
          <cell r="AD131">
            <v>0.29166666666666669</v>
          </cell>
          <cell r="AE131">
            <v>0.875</v>
          </cell>
          <cell r="AF131">
            <v>0.33333333333333331</v>
          </cell>
          <cell r="AG131">
            <v>0.875</v>
          </cell>
          <cell r="AH131">
            <v>0.39583333333333331</v>
          </cell>
          <cell r="AI131">
            <v>0.84375</v>
          </cell>
          <cell r="AJ131">
            <v>0.375</v>
          </cell>
          <cell r="AK131">
            <v>0.875</v>
          </cell>
          <cell r="AL131" t="str">
            <v>12HRS</v>
          </cell>
          <cell r="AM131" t="str">
            <v>PAULA HUERTA</v>
          </cell>
          <cell r="AO131">
            <v>44434</v>
          </cell>
        </row>
        <row r="132">
          <cell r="E132" t="str">
            <v>OXXO</v>
          </cell>
          <cell r="F132" t="str">
            <v>MATUCANA ROMERO</v>
          </cell>
          <cell r="G132" t="str">
            <v>AV. MATUCANA 31 (31B), LOCAL 4.</v>
          </cell>
          <cell r="H132" t="str">
            <v>SANTIAGO</v>
          </cell>
          <cell r="I132" t="str">
            <v>METROPOLITANA</v>
          </cell>
          <cell r="J132" t="str">
            <v>50MAR</v>
          </cell>
          <cell r="K132" t="str">
            <v>cl-matucanaromero@tiendas.oxxo.com</v>
          </cell>
          <cell r="L132" t="str">
            <v>TNM</v>
          </cell>
          <cell r="M132" t="str">
            <v>HOGAR C/FF</v>
          </cell>
          <cell r="N132" t="str">
            <v>C2</v>
          </cell>
          <cell r="O132" t="str">
            <v>NO</v>
          </cell>
          <cell r="P132" t="str">
            <v>PARCIAL</v>
          </cell>
          <cell r="T132" t="str">
            <v>SERRANO SOTO MANUEL</v>
          </cell>
          <cell r="U132" t="str">
            <v>manuel.serrano@oxxo.com</v>
          </cell>
          <cell r="V132">
            <v>56940201885</v>
          </cell>
          <cell r="X132" t="str">
            <v/>
          </cell>
          <cell r="Y132" t="str">
            <v/>
          </cell>
          <cell r="Z132" t="str">
            <v>KERLI BEZABETH ACOSTA FERNANDEZ</v>
          </cell>
          <cell r="AA132">
            <v>983478817</v>
          </cell>
          <cell r="AL132" t="str">
            <v>12HRS</v>
          </cell>
          <cell r="AO132">
            <v>44915</v>
          </cell>
        </row>
        <row r="133">
          <cell r="E133" t="str">
            <v>OXXO</v>
          </cell>
          <cell r="F133" t="str">
            <v>LLICO</v>
          </cell>
          <cell r="G133" t="str">
            <v>AVENIDA JOSÉ MIGUEL CARRERA N5234</v>
          </cell>
          <cell r="H133" t="str">
            <v>SAN MIGUEL</v>
          </cell>
          <cell r="I133" t="str">
            <v>METROPOLITANA</v>
          </cell>
          <cell r="J133">
            <v>50724</v>
          </cell>
          <cell r="K133" t="str">
            <v>cl-llico@tiendas.oxxo.com</v>
          </cell>
          <cell r="L133" t="str">
            <v>TMCB</v>
          </cell>
          <cell r="M133" t="str">
            <v>RECESO</v>
          </cell>
          <cell r="N133" t="str">
            <v>C2</v>
          </cell>
          <cell r="O133" t="str">
            <v>NO</v>
          </cell>
          <cell r="P133" t="str">
            <v>COMPLETA</v>
          </cell>
          <cell r="Q133" t="str">
            <v>NO</v>
          </cell>
          <cell r="R133" t="str">
            <v>SI</v>
          </cell>
          <cell r="S133" t="str">
            <v>NO</v>
          </cell>
          <cell r="T133" t="str">
            <v>BRESCIA RIVERA RODRIGO</v>
          </cell>
          <cell r="U133" t="str">
            <v>rodrigo.brescia@oxxo.com</v>
          </cell>
          <cell r="V133">
            <v>56994777909</v>
          </cell>
          <cell r="W133" t="str">
            <v>PINERUA JAIMES JESUS</v>
          </cell>
          <cell r="X133" t="str">
            <v>jesus.pinerua@oxxo.com</v>
          </cell>
          <cell r="Y133">
            <v>56982335207</v>
          </cell>
          <cell r="Z133" t="str">
            <v>NATASHA CECILIA CHAVEZ AGUERO</v>
          </cell>
          <cell r="AA133">
            <v>56992193113</v>
          </cell>
          <cell r="AB133">
            <v>0.29166666666666669</v>
          </cell>
          <cell r="AC133">
            <v>0.91666666666666663</v>
          </cell>
          <cell r="AD133">
            <v>0.29166666666666669</v>
          </cell>
          <cell r="AE133">
            <v>0.91666666666666663</v>
          </cell>
          <cell r="AF133">
            <v>0.33333333333333331</v>
          </cell>
          <cell r="AG133">
            <v>0.91666666666666663</v>
          </cell>
          <cell r="AH133">
            <v>0.39583333333333331</v>
          </cell>
          <cell r="AI133">
            <v>0.84375</v>
          </cell>
          <cell r="AJ133">
            <v>0.375</v>
          </cell>
          <cell r="AK133">
            <v>0.91666666666666663</v>
          </cell>
          <cell r="AL133" t="str">
            <v>12HRS</v>
          </cell>
          <cell r="AM133" t="str">
            <v>PAULA HUERTA</v>
          </cell>
          <cell r="AO133">
            <v>45044</v>
          </cell>
        </row>
        <row r="134">
          <cell r="E134" t="str">
            <v>OXXO</v>
          </cell>
          <cell r="F134" t="str">
            <v>PAJARITOS 1</v>
          </cell>
          <cell r="G134" t="str">
            <v>AV. LOS PAJARITOS 4630 L-1</v>
          </cell>
          <cell r="H134" t="str">
            <v>MAIPÚ</v>
          </cell>
          <cell r="I134" t="str">
            <v>METROPOLITANA</v>
          </cell>
          <cell r="J134" t="str">
            <v>50ZF3</v>
          </cell>
          <cell r="K134" t="str">
            <v>cl-pajaritos1@tiendas.oxxo.com</v>
          </cell>
          <cell r="L134" t="str">
            <v>TNM</v>
          </cell>
          <cell r="M134" t="str">
            <v>HOGAR</v>
          </cell>
          <cell r="N134" t="str">
            <v>C2</v>
          </cell>
          <cell r="O134" t="str">
            <v>NO</v>
          </cell>
          <cell r="P134" t="str">
            <v>COMPLETA</v>
          </cell>
          <cell r="T134" t="str">
            <v>SERRANO SOTO MANUEL</v>
          </cell>
          <cell r="U134" t="str">
            <v>manuel.serrano@oxxo.com</v>
          </cell>
          <cell r="V134">
            <v>56940201885</v>
          </cell>
          <cell r="X134" t="str">
            <v/>
          </cell>
          <cell r="Y134" t="str">
            <v/>
          </cell>
          <cell r="Z134" t="str">
            <v>DIANA LORENA PEREZ SALTOS</v>
          </cell>
          <cell r="AL134" t="str">
            <v>12HRS</v>
          </cell>
          <cell r="AO134">
            <v>44863</v>
          </cell>
        </row>
        <row r="135">
          <cell r="E135" t="str">
            <v>OXXO</v>
          </cell>
          <cell r="F135" t="str">
            <v>LOMAS SAN SEBASTIAN</v>
          </cell>
          <cell r="G135" t="str">
            <v>AVENIDA RAMON CARRASCO 1088</v>
          </cell>
          <cell r="H135" t="str">
            <v>CONCEPCIÓN</v>
          </cell>
          <cell r="I135" t="str">
            <v>BIOBIO</v>
          </cell>
          <cell r="J135" t="str">
            <v>50CLM</v>
          </cell>
          <cell r="K135" t="str">
            <v>cl-lomassansebastian@tiendas.oxxo.com</v>
          </cell>
          <cell r="L135" t="str">
            <v>TNM</v>
          </cell>
          <cell r="M135" t="str">
            <v>HOGAR</v>
          </cell>
          <cell r="O135" t="str">
            <v>SI</v>
          </cell>
          <cell r="P135" t="str">
            <v>COMPLETA</v>
          </cell>
          <cell r="Q135" t="str">
            <v>NO</v>
          </cell>
          <cell r="R135" t="str">
            <v>SI</v>
          </cell>
          <cell r="S135" t="str">
            <v>NO</v>
          </cell>
          <cell r="T135" t="str">
            <v>SESA DIEGO MIGUEL</v>
          </cell>
          <cell r="U135" t="str">
            <v>diego.sesa@oxxo.com</v>
          </cell>
          <cell r="V135">
            <v>56954238682</v>
          </cell>
          <cell r="W135" t="str">
            <v>ZAMBRANO JARA CAROLINA GRACIELA</v>
          </cell>
          <cell r="X135" t="str">
            <v>carolina.zambrano@oxxo.com</v>
          </cell>
          <cell r="Y135">
            <v>56964950188</v>
          </cell>
          <cell r="Z135" t="str">
            <v>YOLEIDA COROMOTO GUEVARA RIVERO</v>
          </cell>
          <cell r="AA135">
            <v>56974301751</v>
          </cell>
          <cell r="AB135">
            <v>0.29166666666666669</v>
          </cell>
          <cell r="AC135">
            <v>0.95833333333333337</v>
          </cell>
          <cell r="AD135">
            <v>0.29166666666666669</v>
          </cell>
          <cell r="AE135">
            <v>0.99305555555555547</v>
          </cell>
          <cell r="AF135">
            <v>0.33333333333333331</v>
          </cell>
          <cell r="AG135">
            <v>0.99305555555555547</v>
          </cell>
          <cell r="AH135">
            <v>0.39583333333333331</v>
          </cell>
          <cell r="AI135">
            <v>0.84375</v>
          </cell>
          <cell r="AJ135">
            <v>0.375</v>
          </cell>
          <cell r="AK135">
            <v>0.84375</v>
          </cell>
          <cell r="AL135" t="str">
            <v>12HRS</v>
          </cell>
          <cell r="AM135" t="str">
            <v>PAULA HUERTA</v>
          </cell>
          <cell r="AO135">
            <v>45430</v>
          </cell>
        </row>
        <row r="136">
          <cell r="E136" t="str">
            <v>OXXO</v>
          </cell>
          <cell r="F136" t="str">
            <v>RENACA 1</v>
          </cell>
          <cell r="G136" t="str">
            <v>REÑACA NORTE 265</v>
          </cell>
          <cell r="H136" t="str">
            <v>VIÑA DEL MAR</v>
          </cell>
          <cell r="I136" t="str">
            <v>VALPARAISO</v>
          </cell>
          <cell r="J136" t="str">
            <v>50DBW</v>
          </cell>
          <cell r="K136" t="str">
            <v>cl-renaca1@tiendas.oxxo.com</v>
          </cell>
          <cell r="L136" t="str">
            <v>TNM</v>
          </cell>
          <cell r="M136" t="str">
            <v>HOGAR C/FF</v>
          </cell>
          <cell r="N136" t="str">
            <v>ABC1</v>
          </cell>
          <cell r="O136" t="str">
            <v>NO</v>
          </cell>
          <cell r="P136" t="str">
            <v>PARCIAL</v>
          </cell>
          <cell r="T136" t="str">
            <v>SERRANO SOTO MANUEL</v>
          </cell>
          <cell r="U136" t="str">
            <v>manuel.serrano@oxxo.com</v>
          </cell>
          <cell r="V136">
            <v>56940201885</v>
          </cell>
          <cell r="W136" t="str">
            <v>ESCOBAR VALDES VALESKA SOLEDAD</v>
          </cell>
          <cell r="X136" t="str">
            <v>valeska.escobar@oxxo.com</v>
          </cell>
          <cell r="Y136">
            <v>56961681492</v>
          </cell>
          <cell r="Z136" t="str">
            <v>S/I</v>
          </cell>
          <cell r="AA136">
            <v>958591221</v>
          </cell>
          <cell r="AL136" t="str">
            <v>12HRS</v>
          </cell>
          <cell r="AO136">
            <v>44833</v>
          </cell>
        </row>
        <row r="137">
          <cell r="E137" t="str">
            <v>OXXO</v>
          </cell>
          <cell r="F137" t="str">
            <v>CONDELL 1</v>
          </cell>
          <cell r="G137" t="str">
            <v>AV. CONDELL 1505</v>
          </cell>
          <cell r="H137" t="str">
            <v>VALPARAÍSO</v>
          </cell>
          <cell r="I137" t="str">
            <v>VALPARAISO</v>
          </cell>
          <cell r="J137" t="str">
            <v>50PCL</v>
          </cell>
          <cell r="K137" t="str">
            <v>cl-condell@tiendas.oxxo.com</v>
          </cell>
          <cell r="L137" t="str">
            <v>TMCB</v>
          </cell>
          <cell r="M137" t="str">
            <v>RECESO</v>
          </cell>
          <cell r="N137" t="str">
            <v>C3</v>
          </cell>
          <cell r="O137" t="str">
            <v>NO</v>
          </cell>
          <cell r="P137" t="str">
            <v>COMPLETA</v>
          </cell>
          <cell r="T137" t="str">
            <v>SERRANO SOTO MANUEL</v>
          </cell>
          <cell r="U137" t="str">
            <v>manuel.serrano@oxxo.com</v>
          </cell>
          <cell r="V137">
            <v>56940201885</v>
          </cell>
          <cell r="X137" t="str">
            <v/>
          </cell>
          <cell r="Y137" t="str">
            <v/>
          </cell>
          <cell r="Z137" t="str">
            <v>ADRIANA MANUELLA ROMERO BARRIOS</v>
          </cell>
          <cell r="AA137">
            <v>947173116</v>
          </cell>
          <cell r="AL137" t="str">
            <v>12HRS</v>
          </cell>
          <cell r="AO137">
            <v>44742</v>
          </cell>
        </row>
        <row r="138">
          <cell r="E138" t="str">
            <v>OXXO</v>
          </cell>
          <cell r="F138" t="str">
            <v>SANTA ROSA MARCOLETA</v>
          </cell>
          <cell r="G138" t="str">
            <v>SANTA ROSA 40 LOCAL 2</v>
          </cell>
          <cell r="H138" t="str">
            <v>SANTIAGO</v>
          </cell>
          <cell r="I138" t="str">
            <v>METROPOLITANA</v>
          </cell>
          <cell r="J138" t="str">
            <v>5039L</v>
          </cell>
          <cell r="K138" t="str">
            <v>cl-santarosamarcoleta@tiendas.oxxo.com</v>
          </cell>
          <cell r="L138" t="str">
            <v>TNM</v>
          </cell>
          <cell r="M138" t="str">
            <v>HOGAR C/FF</v>
          </cell>
          <cell r="N138" t="str">
            <v>C2</v>
          </cell>
          <cell r="O138" t="str">
            <v>NO</v>
          </cell>
          <cell r="P138" t="str">
            <v>PARCIAL</v>
          </cell>
          <cell r="T138" t="str">
            <v>SERRANO SOTO MANUEL</v>
          </cell>
          <cell r="U138" t="str">
            <v>manuel.serrano@oxxo.com</v>
          </cell>
          <cell r="V138">
            <v>56940201885</v>
          </cell>
          <cell r="X138" t="str">
            <v/>
          </cell>
          <cell r="Y138" t="str">
            <v/>
          </cell>
          <cell r="Z138" t="str">
            <v>YENNIFER ESTEPHANIE CESPEDES MARDONES</v>
          </cell>
          <cell r="AA138">
            <v>56983489947</v>
          </cell>
          <cell r="AL138" t="str">
            <v>12HRS</v>
          </cell>
          <cell r="AO138">
            <v>44856</v>
          </cell>
        </row>
        <row r="139">
          <cell r="E139" t="str">
            <v>OXXO</v>
          </cell>
          <cell r="F139" t="str">
            <v>LOS COLIGUES</v>
          </cell>
          <cell r="G139" t="str">
            <v>ALONSO DE CÓRDOVA 4294, LOCAL 3 Y 4</v>
          </cell>
          <cell r="H139" t="str">
            <v>VITACURA</v>
          </cell>
          <cell r="I139" t="str">
            <v>METROPOLITANA</v>
          </cell>
          <cell r="J139" t="str">
            <v>50GDL</v>
          </cell>
          <cell r="K139" t="str">
            <v>cl-loscoligues@tiendas.oxxo.com</v>
          </cell>
          <cell r="L139" t="str">
            <v>TMCB</v>
          </cell>
          <cell r="M139" t="str">
            <v>RECESO</v>
          </cell>
          <cell r="N139" t="str">
            <v>ABC1</v>
          </cell>
          <cell r="O139" t="str">
            <v>NO</v>
          </cell>
          <cell r="P139" t="str">
            <v>COMPLETA</v>
          </cell>
          <cell r="Q139" t="str">
            <v>NO</v>
          </cell>
          <cell r="R139" t="str">
            <v>NO</v>
          </cell>
          <cell r="S139" t="str">
            <v>NO</v>
          </cell>
          <cell r="T139" t="str">
            <v>BRESCIA RIVERA RODRIGO</v>
          </cell>
          <cell r="U139" t="str">
            <v>rodrigo.brescia@oxxo.com</v>
          </cell>
          <cell r="V139">
            <v>56994777909</v>
          </cell>
          <cell r="W139" t="str">
            <v>MENDOZA GIL BREYNER JOSE</v>
          </cell>
          <cell r="X139" t="str">
            <v>breyner.mendoza@oxxo.com</v>
          </cell>
          <cell r="Y139">
            <v>56998689425</v>
          </cell>
          <cell r="Z139" t="str">
            <v>GENESIS VICNETH ARROYO GONZALEZ</v>
          </cell>
          <cell r="AA139">
            <v>56992192362</v>
          </cell>
          <cell r="AB139">
            <v>0.29166666666666669</v>
          </cell>
          <cell r="AC139">
            <v>0.91666666666666663</v>
          </cell>
          <cell r="AD139">
            <v>0.29166666666666669</v>
          </cell>
          <cell r="AE139">
            <v>0.91666666666666663</v>
          </cell>
          <cell r="AF139">
            <v>0.33333333333333331</v>
          </cell>
          <cell r="AG139">
            <v>0.91666666666666663</v>
          </cell>
          <cell r="AH139">
            <v>0.39583333333333331</v>
          </cell>
          <cell r="AI139">
            <v>0.84375</v>
          </cell>
          <cell r="AJ139">
            <v>0.375</v>
          </cell>
          <cell r="AK139">
            <v>0.91666666666666663</v>
          </cell>
          <cell r="AL139" t="str">
            <v>12HRS</v>
          </cell>
          <cell r="AM139" t="str">
            <v>PAULA HUERTA</v>
          </cell>
          <cell r="AO139">
            <v>45043</v>
          </cell>
        </row>
        <row r="140">
          <cell r="E140" t="str">
            <v>OXXO - EX OKM</v>
          </cell>
          <cell r="F140" t="str">
            <v>LOS INGLESES</v>
          </cell>
          <cell r="G140" t="str">
            <v>CAMINO CHICUREO KM 2</v>
          </cell>
          <cell r="H140" t="str">
            <v>COLINA</v>
          </cell>
          <cell r="I140" t="str">
            <v>METROPOLITANA</v>
          </cell>
          <cell r="J140" t="str">
            <v>50OIN</v>
          </cell>
          <cell r="K140" t="str">
            <v>okm-losingleses@tiendas.oxxo.com</v>
          </cell>
          <cell r="L140" t="str">
            <v>TMCB</v>
          </cell>
          <cell r="M140" t="str">
            <v>BASE</v>
          </cell>
          <cell r="N140" t="str">
            <v>ABC1</v>
          </cell>
          <cell r="O140" t="str">
            <v>SI</v>
          </cell>
          <cell r="P140" t="str">
            <v>COMPLETA</v>
          </cell>
          <cell r="Q140" t="str">
            <v>NO</v>
          </cell>
          <cell r="R140" t="str">
            <v>SI</v>
          </cell>
          <cell r="S140" t="str">
            <v>NO</v>
          </cell>
          <cell r="T140" t="str">
            <v>BRESCIA RIVERA RODRIGO</v>
          </cell>
          <cell r="U140" t="str">
            <v>rodrigo.brescia@oxxo.com</v>
          </cell>
          <cell r="V140">
            <v>56994777909</v>
          </cell>
          <cell r="W140" t="str">
            <v>MENDOZA GIL BREYNER JOSE</v>
          </cell>
          <cell r="X140" t="str">
            <v>breyner.mendoza@oxxo.com</v>
          </cell>
          <cell r="Y140">
            <v>56998689425</v>
          </cell>
          <cell r="Z140" t="str">
            <v>JUAN CARLOS GALLARDO ALVAREZ</v>
          </cell>
          <cell r="AA140">
            <v>56958142534</v>
          </cell>
          <cell r="AB140">
            <v>0.33333333333333331</v>
          </cell>
          <cell r="AC140">
            <v>0.95833333333333337</v>
          </cell>
          <cell r="AD140">
            <v>0.33333333333333331</v>
          </cell>
          <cell r="AE140">
            <v>0.99305555555555558</v>
          </cell>
          <cell r="AF140">
            <v>0.33333333333333331</v>
          </cell>
          <cell r="AG140">
            <v>0.99305555555555558</v>
          </cell>
          <cell r="AH140">
            <v>0.375</v>
          </cell>
          <cell r="AI140">
            <v>0.91666666666666663</v>
          </cell>
          <cell r="AJ140">
            <v>0.375</v>
          </cell>
          <cell r="AK140">
            <v>0.91666666666666663</v>
          </cell>
          <cell r="AL140" t="str">
            <v>12HRS</v>
          </cell>
          <cell r="AM140" t="str">
            <v>PAULA HUERTA</v>
          </cell>
          <cell r="AO140">
            <v>45314</v>
          </cell>
        </row>
        <row r="141">
          <cell r="E141" t="str">
            <v>FRANQUICIA</v>
          </cell>
          <cell r="F141" t="str">
            <v>LOS LEONES - EL VERGEL</v>
          </cell>
          <cell r="G141" t="str">
            <v>AV. LOS LEONES 1476 DEPTO 105</v>
          </cell>
          <cell r="H141" t="str">
            <v>PROVIDENCIA</v>
          </cell>
          <cell r="I141" t="str">
            <v>METROPOLITANA</v>
          </cell>
          <cell r="J141" t="str">
            <v>54FEV</v>
          </cell>
          <cell r="K141" t="str">
            <v>franquicialosleoneselvergel@tiendas.oxxo.com</v>
          </cell>
          <cell r="L141" t="str">
            <v>TMCB</v>
          </cell>
          <cell r="M141" t="str">
            <v>BASE</v>
          </cell>
          <cell r="O141" t="str">
            <v>NO</v>
          </cell>
          <cell r="P141" t="str">
            <v>COMPLETA</v>
          </cell>
          <cell r="T141" t="str">
            <v>BRESCIA RIVERA RODRIGO</v>
          </cell>
          <cell r="U141" t="str">
            <v>rodrigo.brescia@oxxo.com</v>
          </cell>
          <cell r="V141">
            <v>56994777909</v>
          </cell>
          <cell r="W141" t="str">
            <v>ARAYA BURGOS ARIEL</v>
          </cell>
          <cell r="X141" t="str">
            <v>ariel.araya@oxxo.com</v>
          </cell>
          <cell r="Y141">
            <v>56976232708</v>
          </cell>
          <cell r="AL141" t="str">
            <v>12HRS</v>
          </cell>
          <cell r="AO141">
            <v>44713</v>
          </cell>
        </row>
        <row r="142">
          <cell r="E142" t="str">
            <v>OXXO</v>
          </cell>
          <cell r="F142" t="str">
            <v>LOS MILITARES</v>
          </cell>
          <cell r="G142" t="str">
            <v>AMÉRICO VESPUCIO NORTE 32</v>
          </cell>
          <cell r="H142" t="str">
            <v>LAS CONDES</v>
          </cell>
          <cell r="I142" t="str">
            <v>METROPOLITANA</v>
          </cell>
          <cell r="J142" t="str">
            <v>50XRJ</v>
          </cell>
          <cell r="K142" t="str">
            <v>cl-losmilitares@tiendas.oxxo.com</v>
          </cell>
          <cell r="L142" t="str">
            <v>TMCB</v>
          </cell>
          <cell r="M142" t="str">
            <v>BASE</v>
          </cell>
          <cell r="N142" t="str">
            <v>ABC1</v>
          </cell>
          <cell r="O142" t="str">
            <v>NO</v>
          </cell>
          <cell r="P142" t="str">
            <v>COMPLETA</v>
          </cell>
          <cell r="Q142" t="str">
            <v>NO</v>
          </cell>
          <cell r="R142" t="str">
            <v>NO</v>
          </cell>
          <cell r="S142" t="str">
            <v>NO</v>
          </cell>
          <cell r="T142" t="str">
            <v>BRESCIA RIVERA RODRIGO</v>
          </cell>
          <cell r="U142" t="str">
            <v>rodrigo.brescia@oxxo.com</v>
          </cell>
          <cell r="V142">
            <v>56994777909</v>
          </cell>
          <cell r="W142" t="str">
            <v>MONTT FUENTES JAIME IGNACIO</v>
          </cell>
          <cell r="X142" t="str">
            <v>jaime.montt@oxxo.com</v>
          </cell>
          <cell r="Y142">
            <v>56974820182</v>
          </cell>
          <cell r="Z142" t="str">
            <v>BERTA ADRIANA AREVALO DE LA JARA</v>
          </cell>
          <cell r="AB142">
            <v>0.29166666666666669</v>
          </cell>
          <cell r="AC142">
            <v>0.95833333333333337</v>
          </cell>
          <cell r="AD142">
            <v>0.29166666666666669</v>
          </cell>
          <cell r="AE142">
            <v>0.99305555555555558</v>
          </cell>
          <cell r="AF142">
            <v>0.33333333333333331</v>
          </cell>
          <cell r="AG142">
            <v>0.99305555555555558</v>
          </cell>
          <cell r="AH142">
            <v>0.4375</v>
          </cell>
          <cell r="AI142">
            <v>0.88541666666666663</v>
          </cell>
          <cell r="AJ142">
            <v>0.375</v>
          </cell>
          <cell r="AK142">
            <v>0.95833333333333337</v>
          </cell>
          <cell r="AL142" t="str">
            <v>12HRS</v>
          </cell>
          <cell r="AM142" t="str">
            <v>PAULA HUERTA</v>
          </cell>
          <cell r="AO142">
            <v>43431</v>
          </cell>
        </row>
        <row r="143">
          <cell r="E143" t="str">
            <v>OXXO</v>
          </cell>
          <cell r="F143" t="str">
            <v>LOS MILITARES 2</v>
          </cell>
          <cell r="G143" t="str">
            <v>LOS MILITARES 5890 LOCAL 5-B</v>
          </cell>
          <cell r="H143" t="str">
            <v>LAS CONDES</v>
          </cell>
          <cell r="I143" t="str">
            <v>METROPOLITANA</v>
          </cell>
          <cell r="J143" t="str">
            <v>5019M</v>
          </cell>
          <cell r="K143" t="str">
            <v>cl-losmilitares2@tiendas.oxxo.com</v>
          </cell>
          <cell r="L143" t="str">
            <v>TMCB</v>
          </cell>
          <cell r="M143" t="str">
            <v>BASE</v>
          </cell>
          <cell r="N143" t="str">
            <v>ABC1</v>
          </cell>
          <cell r="O143" t="str">
            <v>NO</v>
          </cell>
          <cell r="P143" t="str">
            <v>COMPLETA</v>
          </cell>
          <cell r="Q143" t="str">
            <v>NO</v>
          </cell>
          <cell r="R143" t="str">
            <v>NO</v>
          </cell>
          <cell r="S143" t="str">
            <v>NO</v>
          </cell>
          <cell r="T143" t="str">
            <v>BRESCIA RIVERA RODRIGO</v>
          </cell>
          <cell r="U143" t="str">
            <v>rodrigo.brescia@oxxo.com</v>
          </cell>
          <cell r="V143">
            <v>56994777909</v>
          </cell>
          <cell r="W143" t="str">
            <v>MONTT FUENTES JAIME IGNACIO</v>
          </cell>
          <cell r="X143" t="str">
            <v>jaime.montt@oxxo.com</v>
          </cell>
          <cell r="Y143">
            <v>56974820182</v>
          </cell>
          <cell r="Z143" t="str">
            <v>CATALINA ANA RODRIGUEZ VERGARA</v>
          </cell>
          <cell r="AA143">
            <v>56992202253</v>
          </cell>
          <cell r="AB143">
            <v>0.29166666666666669</v>
          </cell>
          <cell r="AC143">
            <v>0.91666666666666663</v>
          </cell>
          <cell r="AD143">
            <v>0.29166666666666669</v>
          </cell>
          <cell r="AE143">
            <v>0.91666666666666663</v>
          </cell>
          <cell r="AF143">
            <v>0.33333333333333331</v>
          </cell>
          <cell r="AG143">
            <v>0.91666666666666663</v>
          </cell>
          <cell r="AH143">
            <v>0.39583333333333331</v>
          </cell>
          <cell r="AI143">
            <v>0.84375</v>
          </cell>
          <cell r="AJ143">
            <v>0.375</v>
          </cell>
          <cell r="AK143">
            <v>0.91666666666666663</v>
          </cell>
          <cell r="AL143" t="str">
            <v>12HRS</v>
          </cell>
          <cell r="AM143" t="str">
            <v>PAULA HUERTA</v>
          </cell>
          <cell r="AO143">
            <v>45044</v>
          </cell>
        </row>
        <row r="144">
          <cell r="E144" t="str">
            <v>OXXO</v>
          </cell>
          <cell r="F144" t="str">
            <v>SANTO DOMINGO</v>
          </cell>
          <cell r="G144" t="str">
            <v>SANTO DOMINGO 922, LOCAL 11</v>
          </cell>
          <cell r="H144" t="str">
            <v>SANTIAGO</v>
          </cell>
          <cell r="I144" t="str">
            <v>METROPOLITANA</v>
          </cell>
          <cell r="J144" t="str">
            <v>50BMP</v>
          </cell>
          <cell r="K144" t="str">
            <v>cl-santodomingo@tiendas.oxxo.com </v>
          </cell>
          <cell r="L144" t="str">
            <v>TNM</v>
          </cell>
          <cell r="M144" t="str">
            <v>RECESO</v>
          </cell>
          <cell r="N144" t="str">
            <v>C3</v>
          </cell>
          <cell r="O144" t="str">
            <v>NO</v>
          </cell>
          <cell r="P144" t="str">
            <v>COMPLETA</v>
          </cell>
          <cell r="T144" t="str">
            <v>SERRANO SOTO MANUEL</v>
          </cell>
          <cell r="U144" t="str">
            <v>manuel.serrano@oxxo.com</v>
          </cell>
          <cell r="V144">
            <v>56940201885</v>
          </cell>
          <cell r="W144" t="str">
            <v>BENITEZ QUILODRAN HUGO</v>
          </cell>
          <cell r="X144" t="str">
            <v>hugo.benitez@oxxo.com</v>
          </cell>
          <cell r="Y144">
            <v>56998355780</v>
          </cell>
          <cell r="Z144" t="str">
            <v>LUIS EDUARDO URDANETA MEDINA</v>
          </cell>
          <cell r="AA144">
            <v>989991132</v>
          </cell>
          <cell r="AL144" t="str">
            <v>12HRS</v>
          </cell>
          <cell r="AO144">
            <v>44833</v>
          </cell>
        </row>
        <row r="145">
          <cell r="E145" t="str">
            <v>OXXO</v>
          </cell>
          <cell r="F145" t="str">
            <v>LOS TALAVERAS</v>
          </cell>
          <cell r="G145" t="str">
            <v>AV. IRARRÁZAVAL N3751, LOCAL 1A</v>
          </cell>
          <cell r="H145" t="str">
            <v>ÑUÑOA</v>
          </cell>
          <cell r="I145" t="str">
            <v>METROPOLITANA</v>
          </cell>
          <cell r="J145" t="str">
            <v>50B51</v>
          </cell>
          <cell r="K145" t="str">
            <v>cl-lostalaveras@tiendas.oxxo.com</v>
          </cell>
          <cell r="L145" t="str">
            <v>TNM</v>
          </cell>
          <cell r="M145" t="str">
            <v>HOGAR</v>
          </cell>
          <cell r="N145" t="str">
            <v>D</v>
          </cell>
          <cell r="O145" t="str">
            <v>NO</v>
          </cell>
          <cell r="P145" t="str">
            <v>COMPLETA</v>
          </cell>
          <cell r="Q145" t="str">
            <v>NO</v>
          </cell>
          <cell r="R145" t="str">
            <v>NO</v>
          </cell>
          <cell r="S145" t="str">
            <v>NO</v>
          </cell>
          <cell r="T145" t="str">
            <v>BRESCIA RIVERA RODRIGO</v>
          </cell>
          <cell r="U145" t="str">
            <v>rodrigo.brescia@oxxo.com</v>
          </cell>
          <cell r="V145">
            <v>56994777909</v>
          </cell>
          <cell r="W145" t="str">
            <v>RUIZ FERRER VANNA</v>
          </cell>
          <cell r="X145" t="str">
            <v>vanna.ruiz@oxxo.com</v>
          </cell>
          <cell r="Y145">
            <v>56994441705</v>
          </cell>
          <cell r="Z145" t="str">
            <v>SERGIO ALEJANDRO SANCHEZ SILVA</v>
          </cell>
          <cell r="AA145">
            <v>56997019795</v>
          </cell>
          <cell r="AB145">
            <v>0.29166666666666669</v>
          </cell>
          <cell r="AC145">
            <v>0.95833333333333337</v>
          </cell>
          <cell r="AD145">
            <v>0.29166666666666669</v>
          </cell>
          <cell r="AE145">
            <v>0.95833333333333337</v>
          </cell>
          <cell r="AF145">
            <v>0.33333333333333331</v>
          </cell>
          <cell r="AG145">
            <v>0.99305555555555547</v>
          </cell>
          <cell r="AH145">
            <v>0.39583333333333331</v>
          </cell>
          <cell r="AI145">
            <v>0.84375</v>
          </cell>
          <cell r="AJ145">
            <v>0.375</v>
          </cell>
          <cell r="AK145">
            <v>0.84375</v>
          </cell>
          <cell r="AL145" t="str">
            <v>12HRS</v>
          </cell>
          <cell r="AM145" t="str">
            <v>ROBERTO POBLETE</v>
          </cell>
          <cell r="AO145">
            <v>45443</v>
          </cell>
        </row>
        <row r="146">
          <cell r="E146" t="str">
            <v>OXXO</v>
          </cell>
          <cell r="F146" t="str">
            <v>PEDRO ONA</v>
          </cell>
          <cell r="G146" t="str">
            <v>AV. PEDRO OÑA 97</v>
          </cell>
          <cell r="H146" t="str">
            <v>ÑUÑOA</v>
          </cell>
          <cell r="I146" t="str">
            <v>METROPOLITANA</v>
          </cell>
          <cell r="J146" t="str">
            <v>50KT5</v>
          </cell>
          <cell r="K146" t="str">
            <v>cl-pedroona@tiendas.oxxo.com</v>
          </cell>
          <cell r="L146" t="str">
            <v>TNM</v>
          </cell>
          <cell r="M146" t="str">
            <v>HOGAR C/FF</v>
          </cell>
          <cell r="N146" t="str">
            <v>C2</v>
          </cell>
          <cell r="O146" t="str">
            <v>NO</v>
          </cell>
          <cell r="P146" t="str">
            <v>COMPLETA</v>
          </cell>
          <cell r="T146" t="str">
            <v>SERRANO SOTO MANUEL</v>
          </cell>
          <cell r="U146" t="str">
            <v>manuel.serrano@oxxo.com</v>
          </cell>
          <cell r="V146">
            <v>56940201885</v>
          </cell>
          <cell r="W146" t="str">
            <v>RUIZ FERRER VANNA</v>
          </cell>
          <cell r="X146" t="str">
            <v>vanna.ruiz@oxxo.com</v>
          </cell>
          <cell r="Y146">
            <v>56994441705</v>
          </cell>
          <cell r="Z146" t="str">
            <v>MARBELIS CHIQUINQUIRA BALLESTERO COLINA</v>
          </cell>
          <cell r="AA146">
            <v>56983478963</v>
          </cell>
          <cell r="AL146" t="str">
            <v>12HRS</v>
          </cell>
          <cell r="AO146">
            <v>44861</v>
          </cell>
        </row>
        <row r="147">
          <cell r="E147" t="str">
            <v>OXXO</v>
          </cell>
          <cell r="F147" t="str">
            <v>MIRAFLORES</v>
          </cell>
          <cell r="G147" t="str">
            <v>AV. MIRAFLORES 169 L-2</v>
          </cell>
          <cell r="H147" t="str">
            <v>SANTIAGO</v>
          </cell>
          <cell r="I147" t="str">
            <v>METROPOLITANA</v>
          </cell>
          <cell r="J147" t="str">
            <v>502UE</v>
          </cell>
          <cell r="K147" t="str">
            <v>cl-miraflores@tiendas.oxxo.com</v>
          </cell>
          <cell r="L147" t="str">
            <v>TNM</v>
          </cell>
          <cell r="M147" t="str">
            <v>RECESO</v>
          </cell>
          <cell r="N147" t="str">
            <v>C2</v>
          </cell>
          <cell r="O147" t="str">
            <v>NO</v>
          </cell>
          <cell r="P147" t="str">
            <v>COMPLETA</v>
          </cell>
          <cell r="T147" t="str">
            <v>SERRANO SOTO MANUEL</v>
          </cell>
          <cell r="U147" t="str">
            <v>manuel.serrano@oxxo.com</v>
          </cell>
          <cell r="V147">
            <v>56940201885</v>
          </cell>
          <cell r="W147" t="str">
            <v>BENITEZ QUILODRAN HUGO</v>
          </cell>
          <cell r="X147" t="str">
            <v>hugo.benitez@oxxo.com</v>
          </cell>
          <cell r="Y147">
            <v>56998355780</v>
          </cell>
          <cell r="Z147" t="str">
            <v>EDUARDO ANDRES ALVARADO PEÑALOZA</v>
          </cell>
          <cell r="AA147">
            <v>989551208</v>
          </cell>
          <cell r="AL147" t="str">
            <v>12HRS</v>
          </cell>
          <cell r="AO147">
            <v>44863</v>
          </cell>
        </row>
        <row r="148">
          <cell r="E148" t="str">
            <v>OXXO</v>
          </cell>
          <cell r="F148" t="str">
            <v>LOS TRAPENSES</v>
          </cell>
          <cell r="G148" t="str">
            <v>AV.JOSE ALCALDE DELANO 10581, LOCAL 3</v>
          </cell>
          <cell r="H148" t="str">
            <v>LO BARNECHEA</v>
          </cell>
          <cell r="I148" t="str">
            <v>METROPOLITANA</v>
          </cell>
          <cell r="J148" t="str">
            <v>50TKS</v>
          </cell>
          <cell r="K148" t="str">
            <v>cl-lostrapenses@tiendas.oxxo.com</v>
          </cell>
          <cell r="L148" t="str">
            <v>TMCB</v>
          </cell>
          <cell r="M148" t="str">
            <v>RECESO</v>
          </cell>
          <cell r="N148" t="str">
            <v>ABC1</v>
          </cell>
          <cell r="O148" t="str">
            <v>SI</v>
          </cell>
          <cell r="P148" t="str">
            <v>COMPLETA</v>
          </cell>
          <cell r="Q148" t="str">
            <v>SI</v>
          </cell>
          <cell r="R148" t="str">
            <v>SI</v>
          </cell>
          <cell r="S148" t="str">
            <v>NO</v>
          </cell>
          <cell r="T148" t="str">
            <v>BRESCIA RIVERA RODRIGO</v>
          </cell>
          <cell r="U148" t="str">
            <v>rodrigo.brescia@oxxo.com</v>
          </cell>
          <cell r="V148">
            <v>56994777909</v>
          </cell>
          <cell r="W148" t="str">
            <v>ARAYA BURGOS ARIEL</v>
          </cell>
          <cell r="X148" t="str">
            <v>ariel.araya@oxxo.com</v>
          </cell>
          <cell r="Y148">
            <v>56976232708</v>
          </cell>
          <cell r="Z148" t="str">
            <v>LINA FERNANDA CEDEÑO SANABRIA</v>
          </cell>
          <cell r="AA148">
            <v>56995699532</v>
          </cell>
          <cell r="AB148">
            <v>0.29166666666666669</v>
          </cell>
          <cell r="AC148">
            <v>0.95833333333333337</v>
          </cell>
          <cell r="AD148">
            <v>0.29166666666666669</v>
          </cell>
          <cell r="AE148">
            <v>0.99305555555555558</v>
          </cell>
          <cell r="AF148">
            <v>0.33333333333333331</v>
          </cell>
          <cell r="AG148">
            <v>0.99305555555555558</v>
          </cell>
          <cell r="AH148">
            <v>0.4375</v>
          </cell>
          <cell r="AI148">
            <v>0.88541666666666663</v>
          </cell>
          <cell r="AJ148">
            <v>0.375</v>
          </cell>
          <cell r="AK148">
            <v>0.95833333333333337</v>
          </cell>
          <cell r="AL148" t="str">
            <v>12HRS</v>
          </cell>
          <cell r="AM148" t="str">
            <v>PAULA HUERTA</v>
          </cell>
          <cell r="AO148">
            <v>42739</v>
          </cell>
        </row>
        <row r="149">
          <cell r="E149" t="str">
            <v>OXXO - EX OKM</v>
          </cell>
          <cell r="F149" t="str">
            <v>LUIS CARRERA</v>
          </cell>
          <cell r="G149" t="str">
            <v>LUIS CARRERA N 2247</v>
          </cell>
          <cell r="H149" t="str">
            <v>VITACURA</v>
          </cell>
          <cell r="I149" t="str">
            <v>METROPOLITANA</v>
          </cell>
          <cell r="J149" t="str">
            <v>50OLS</v>
          </cell>
          <cell r="K149" t="str">
            <v>cl-luiscarrera@tiendas.oxxo.com</v>
          </cell>
          <cell r="L149" t="str">
            <v>TMCB</v>
          </cell>
          <cell r="M149" t="str">
            <v>BASE</v>
          </cell>
          <cell r="N149" t="str">
            <v>ABC1</v>
          </cell>
          <cell r="O149" t="str">
            <v>SI</v>
          </cell>
          <cell r="P149" t="str">
            <v>COMPLETA</v>
          </cell>
          <cell r="Q149" t="str">
            <v>SI</v>
          </cell>
          <cell r="R149" t="str">
            <v>SI</v>
          </cell>
          <cell r="S149" t="str">
            <v>NO</v>
          </cell>
          <cell r="T149" t="str">
            <v>BRESCIA RIVERA RODRIGO</v>
          </cell>
          <cell r="U149" t="str">
            <v>rodrigo.brescia@oxxo.com</v>
          </cell>
          <cell r="V149">
            <v>56994777909</v>
          </cell>
          <cell r="W149" t="str">
            <v>MENDOZA GIL BREYNER JOSE</v>
          </cell>
          <cell r="X149" t="str">
            <v>breyner.mendoza@oxxo.com</v>
          </cell>
          <cell r="Y149">
            <v>56998689425</v>
          </cell>
          <cell r="Z149" t="str">
            <v>IRMA CAROLINA NAVARRO RODRIGUEZ</v>
          </cell>
          <cell r="AA149">
            <v>56992192462</v>
          </cell>
          <cell r="AB149">
            <v>0.29166666666666669</v>
          </cell>
          <cell r="AC149">
            <v>0.95833333333333337</v>
          </cell>
          <cell r="AD149">
            <v>0.29166666666666669</v>
          </cell>
          <cell r="AE149">
            <v>0.99305555555555558</v>
          </cell>
          <cell r="AF149">
            <v>0.33333333333333331</v>
          </cell>
          <cell r="AG149">
            <v>0.99305555555555558</v>
          </cell>
          <cell r="AH149">
            <v>0.4375</v>
          </cell>
          <cell r="AI149">
            <v>0.88541666666666663</v>
          </cell>
          <cell r="AJ149">
            <v>0.375</v>
          </cell>
          <cell r="AK149">
            <v>0.95833333333333337</v>
          </cell>
          <cell r="AL149" t="str">
            <v>12HRS</v>
          </cell>
          <cell r="AM149" t="str">
            <v>PAULA HUERTA</v>
          </cell>
          <cell r="AO149">
            <v>44863</v>
          </cell>
        </row>
        <row r="150">
          <cell r="E150" t="str">
            <v>OXXO</v>
          </cell>
          <cell r="F150" t="str">
            <v>LUIS PASTEUR</v>
          </cell>
          <cell r="G150" t="str">
            <v>AV.LUIS PASTEUR 6010   </v>
          </cell>
          <cell r="H150" t="str">
            <v>VITACURA</v>
          </cell>
          <cell r="I150" t="str">
            <v>METROPOLITANA</v>
          </cell>
          <cell r="J150" t="str">
            <v>50KOA</v>
          </cell>
          <cell r="K150" t="str">
            <v>cl-luispasteur@tiendas.oxxo.com</v>
          </cell>
          <cell r="L150" t="str">
            <v>TMCB</v>
          </cell>
          <cell r="M150" t="str">
            <v>BASE</v>
          </cell>
          <cell r="N150" t="str">
            <v>ABC1</v>
          </cell>
          <cell r="O150" t="str">
            <v>SI</v>
          </cell>
          <cell r="P150" t="str">
            <v>COMPLETA</v>
          </cell>
          <cell r="Q150" t="str">
            <v>SI</v>
          </cell>
          <cell r="R150" t="str">
            <v>SI</v>
          </cell>
          <cell r="S150" t="str">
            <v>NO</v>
          </cell>
          <cell r="T150" t="str">
            <v>BRESCIA RIVERA RODRIGO</v>
          </cell>
          <cell r="U150" t="str">
            <v>rodrigo.brescia@oxxo.com</v>
          </cell>
          <cell r="V150">
            <v>56994777909</v>
          </cell>
          <cell r="W150" t="str">
            <v>MENDOZA GIL BREYNER JOSE</v>
          </cell>
          <cell r="X150" t="str">
            <v>breyner.mendoza@oxxo.com</v>
          </cell>
          <cell r="Y150">
            <v>56998689425</v>
          </cell>
          <cell r="Z150" t="str">
            <v>LUCY NECULPAN ARANGUI</v>
          </cell>
          <cell r="AA150">
            <v>56995699570</v>
          </cell>
          <cell r="AB150">
            <v>0.29166666666666669</v>
          </cell>
          <cell r="AC150">
            <v>0.95833333333333337</v>
          </cell>
          <cell r="AD150">
            <v>0.29166666666666669</v>
          </cell>
          <cell r="AE150">
            <v>0.99305555555555558</v>
          </cell>
          <cell r="AF150">
            <v>0.33333333333333331</v>
          </cell>
          <cell r="AG150">
            <v>0.99305555555555558</v>
          </cell>
          <cell r="AH150">
            <v>0.4375</v>
          </cell>
          <cell r="AI150">
            <v>0.88541666666666663</v>
          </cell>
          <cell r="AJ150">
            <v>0.375</v>
          </cell>
          <cell r="AK150">
            <v>0.95833333333333337</v>
          </cell>
          <cell r="AL150" t="str">
            <v>12HRS</v>
          </cell>
          <cell r="AM150" t="str">
            <v>PAULA HUERTA</v>
          </cell>
          <cell r="AO150">
            <v>42942</v>
          </cell>
        </row>
        <row r="151">
          <cell r="E151" t="str">
            <v>OXXO</v>
          </cell>
          <cell r="F151" t="str">
            <v>PARTENON</v>
          </cell>
          <cell r="G151" t="str">
            <v>AV. VITACURA 7590, LOCAL 4</v>
          </cell>
          <cell r="H151" t="str">
            <v>VITACURA</v>
          </cell>
          <cell r="I151" t="str">
            <v>METROPOLITANA</v>
          </cell>
          <cell r="J151" t="str">
            <v>50DJE</v>
          </cell>
          <cell r="K151" t="str">
            <v>cl-partenon@tiendas.oxxo.com</v>
          </cell>
          <cell r="L151" t="str">
            <v>TNM</v>
          </cell>
          <cell r="M151" t="str">
            <v>HOGAR C/FF</v>
          </cell>
          <cell r="N151" t="str">
            <v>C2</v>
          </cell>
          <cell r="O151" t="str">
            <v>NO</v>
          </cell>
          <cell r="P151" t="str">
            <v>COMPLETA</v>
          </cell>
          <cell r="T151" t="str">
            <v>SERRANO SOTO MANUEL</v>
          </cell>
          <cell r="U151" t="str">
            <v>manuel.serrano@oxxo.com</v>
          </cell>
          <cell r="V151">
            <v>56940201885</v>
          </cell>
          <cell r="W151" t="str">
            <v>MENDOZA GIL BREYNER JOSE</v>
          </cell>
          <cell r="X151" t="str">
            <v>breyner.mendoza@oxxo.com</v>
          </cell>
          <cell r="Y151">
            <v>56998689425</v>
          </cell>
          <cell r="Z151" t="str">
            <v>ANA KARINA ALBORNOZ CASTILLO</v>
          </cell>
          <cell r="AA151">
            <v>56983493039</v>
          </cell>
          <cell r="AL151" t="str">
            <v>12HRS</v>
          </cell>
          <cell r="AO151">
            <v>44874</v>
          </cell>
        </row>
        <row r="152">
          <cell r="E152" t="str">
            <v>OXXO</v>
          </cell>
          <cell r="F152" t="str">
            <v>LAUTARO FERRER</v>
          </cell>
          <cell r="G152" t="str">
            <v>DR. PEDRO LAUTARO FERRER 3006</v>
          </cell>
          <cell r="H152" t="str">
            <v>PROVIDENCIA</v>
          </cell>
          <cell r="I152" t="str">
            <v>METROPOLITANA</v>
          </cell>
          <cell r="J152" t="str">
            <v>50UC4</v>
          </cell>
          <cell r="K152" t="str">
            <v>cl-lautaroferrer@tiendas.oxxo.com</v>
          </cell>
          <cell r="L152" t="str">
            <v>TNM</v>
          </cell>
          <cell r="M152" t="str">
            <v>HOGAR</v>
          </cell>
          <cell r="N152" t="str">
            <v>ABC1</v>
          </cell>
          <cell r="O152" t="str">
            <v>NO</v>
          </cell>
          <cell r="P152" t="str">
            <v>COMPLETA</v>
          </cell>
          <cell r="T152" t="str">
            <v>SERRANO SOTO MANUEL</v>
          </cell>
          <cell r="U152" t="str">
            <v>manuel.serrano@oxxo.com</v>
          </cell>
          <cell r="V152">
            <v>56940201885</v>
          </cell>
          <cell r="W152" t="str">
            <v>ARAYA BURGOS ARIEL</v>
          </cell>
          <cell r="X152" t="str">
            <v>ariel.araya@oxxo.com</v>
          </cell>
          <cell r="Y152">
            <v>56976232708</v>
          </cell>
          <cell r="Z152" t="str">
            <v>ERNESTO ALONSO MORA ALVAREZ</v>
          </cell>
          <cell r="AA152">
            <v>983468115</v>
          </cell>
          <cell r="AL152" t="str">
            <v>12HRS</v>
          </cell>
          <cell r="AO152">
            <v>44942</v>
          </cell>
        </row>
        <row r="153">
          <cell r="E153" t="str">
            <v>OXXO</v>
          </cell>
          <cell r="F153" t="str">
            <v>ABDON CIFUENTES</v>
          </cell>
          <cell r="G153" t="str">
            <v>ABDON CIFUENTES 194 L 4 SANTIAGO</v>
          </cell>
          <cell r="H153" t="str">
            <v>SANTIAGO</v>
          </cell>
          <cell r="I153" t="str">
            <v>METROPOLITANA</v>
          </cell>
          <cell r="J153" t="str">
            <v>50VRH</v>
          </cell>
          <cell r="K153" t="str">
            <v>cl-abdoncifuentes@tiendas.oxxo.com</v>
          </cell>
          <cell r="L153" t="str">
            <v>TNM</v>
          </cell>
          <cell r="M153" t="str">
            <v>RECESO</v>
          </cell>
          <cell r="N153" t="str">
            <v>C3</v>
          </cell>
          <cell r="O153" t="str">
            <v>NO</v>
          </cell>
          <cell r="P153" t="str">
            <v>COMPLETA</v>
          </cell>
          <cell r="T153" t="str">
            <v>SERRANO SOTO MANUEL</v>
          </cell>
          <cell r="U153" t="str">
            <v>manuel.serrano@oxxo.com</v>
          </cell>
          <cell r="V153">
            <v>56940201885</v>
          </cell>
          <cell r="W153" t="str">
            <v>LOPEZ CALDERON LUIS GERARDO</v>
          </cell>
          <cell r="X153" t="str">
            <v/>
          </cell>
          <cell r="Y153" t="str">
            <v/>
          </cell>
          <cell r="Z153" t="str">
            <v>ANA KAREN VALDES OSORIO</v>
          </cell>
          <cell r="AA153">
            <v>983488731</v>
          </cell>
          <cell r="AL153" t="str">
            <v>12HRS</v>
          </cell>
          <cell r="AO153">
            <v>44893</v>
          </cell>
        </row>
        <row r="154">
          <cell r="E154" t="str">
            <v>OXXO</v>
          </cell>
          <cell r="F154" t="str">
            <v>LUIS THAYER OJEDA</v>
          </cell>
          <cell r="G154" t="str">
            <v>LUIS THAYER OJEDA 183  </v>
          </cell>
          <cell r="H154" t="str">
            <v>PROVIDENCIA</v>
          </cell>
          <cell r="I154" t="str">
            <v>METROPOLITANA</v>
          </cell>
          <cell r="J154" t="str">
            <v>50HPU</v>
          </cell>
          <cell r="K154" t="str">
            <v>cl-luisthayerojeda@tiendas.oxxo.com</v>
          </cell>
          <cell r="L154" t="str">
            <v>TMCB</v>
          </cell>
          <cell r="M154" t="str">
            <v>BASE</v>
          </cell>
          <cell r="N154" t="str">
            <v>C2</v>
          </cell>
          <cell r="O154" t="str">
            <v>SI</v>
          </cell>
          <cell r="P154" t="str">
            <v>COMPLETA</v>
          </cell>
          <cell r="Q154" t="str">
            <v>SI</v>
          </cell>
          <cell r="R154" t="str">
            <v>SI</v>
          </cell>
          <cell r="S154" t="str">
            <v>NO</v>
          </cell>
          <cell r="T154" t="str">
            <v>BRESCIA RIVERA RODRIGO</v>
          </cell>
          <cell r="U154" t="str">
            <v>rodrigo.brescia@oxxo.com</v>
          </cell>
          <cell r="V154">
            <v>56994777909</v>
          </cell>
          <cell r="W154" t="str">
            <v>BARRIOS BAPTISTA JUAN JOSE</v>
          </cell>
          <cell r="X154" t="str">
            <v>juanj.barrios@oxxo.com</v>
          </cell>
          <cell r="Y154">
            <v>56998642001</v>
          </cell>
          <cell r="Z154" t="str">
            <v>LESLI DE LAS MERCEDES LLANCALEO HUECHUCOY</v>
          </cell>
          <cell r="AA154">
            <v>56992201760</v>
          </cell>
          <cell r="AB154">
            <v>0.29166666666666669</v>
          </cell>
          <cell r="AC154">
            <v>0.95833333333333337</v>
          </cell>
          <cell r="AD154">
            <v>0.29166666666666669</v>
          </cell>
          <cell r="AE154">
            <v>0.99305555555555558</v>
          </cell>
          <cell r="AF154">
            <v>0.33333333333333331</v>
          </cell>
          <cell r="AG154">
            <v>0.99305555555555558</v>
          </cell>
          <cell r="AH154">
            <v>0.4375</v>
          </cell>
          <cell r="AI154">
            <v>0.88541666666666663</v>
          </cell>
          <cell r="AJ154">
            <v>0.375</v>
          </cell>
          <cell r="AK154">
            <v>0.95833333333333337</v>
          </cell>
          <cell r="AL154" t="str">
            <v>12HRS</v>
          </cell>
          <cell r="AM154" t="str">
            <v>ROBERTO POBLETE</v>
          </cell>
          <cell r="AO154">
            <v>42942</v>
          </cell>
        </row>
        <row r="155">
          <cell r="E155" t="str">
            <v>OXXO</v>
          </cell>
          <cell r="F155" t="str">
            <v>LYON 1</v>
          </cell>
          <cell r="G155" t="str">
            <v>RICARDO LYON 699 </v>
          </cell>
          <cell r="H155" t="str">
            <v>PROVIDENCIA</v>
          </cell>
          <cell r="I155" t="str">
            <v>METROPOLITANA</v>
          </cell>
          <cell r="J155" t="str">
            <v>50JMU</v>
          </cell>
          <cell r="K155" t="str">
            <v>cl-lyon@tiendas.oxxo.com</v>
          </cell>
          <cell r="L155" t="str">
            <v>TMCB</v>
          </cell>
          <cell r="M155" t="str">
            <v>HOGAR</v>
          </cell>
          <cell r="N155" t="str">
            <v>ABC1</v>
          </cell>
          <cell r="O155" t="str">
            <v>SI</v>
          </cell>
          <cell r="P155" t="str">
            <v>COMPLETA</v>
          </cell>
          <cell r="Q155" t="str">
            <v>SI</v>
          </cell>
          <cell r="R155" t="str">
            <v>SI</v>
          </cell>
          <cell r="S155" t="str">
            <v>NO</v>
          </cell>
          <cell r="T155" t="str">
            <v>BRESCIA RIVERA RODRIGO</v>
          </cell>
          <cell r="U155" t="str">
            <v>rodrigo.brescia@oxxo.com</v>
          </cell>
          <cell r="V155">
            <v>56994777909</v>
          </cell>
          <cell r="W155" t="str">
            <v>BARRIOS BAPTISTA JUAN JOSE</v>
          </cell>
          <cell r="X155" t="str">
            <v>juanj.barrios@oxxo.com</v>
          </cell>
          <cell r="Y155">
            <v>56998642001</v>
          </cell>
          <cell r="Z155" t="str">
            <v>CARLA DEL PILAR CASTILLO LEIVA</v>
          </cell>
          <cell r="AA155">
            <v>56995699529</v>
          </cell>
          <cell r="AB155">
            <v>0</v>
          </cell>
          <cell r="AC155">
            <v>0.99930555555555556</v>
          </cell>
          <cell r="AD155">
            <v>0</v>
          </cell>
          <cell r="AE155">
            <v>0.99930555555555556</v>
          </cell>
          <cell r="AF155">
            <v>0</v>
          </cell>
          <cell r="AG155">
            <v>0.99930555555555556</v>
          </cell>
          <cell r="AH155">
            <v>0</v>
          </cell>
          <cell r="AI155">
            <v>0.99930555555555556</v>
          </cell>
          <cell r="AJ155">
            <v>0</v>
          </cell>
          <cell r="AK155">
            <v>0.99930555555555556</v>
          </cell>
          <cell r="AL155" t="str">
            <v>24HRS</v>
          </cell>
          <cell r="AM155" t="str">
            <v>ROBERTO POBLETE</v>
          </cell>
          <cell r="AO155">
            <v>43230</v>
          </cell>
        </row>
        <row r="156">
          <cell r="E156" t="str">
            <v>OXXO</v>
          </cell>
          <cell r="F156" t="str">
            <v>LYON 2</v>
          </cell>
          <cell r="G156" t="str">
            <v>AV.RICARDO LYON 2779   </v>
          </cell>
          <cell r="H156" t="str">
            <v>PROVIDENCIA</v>
          </cell>
          <cell r="I156" t="str">
            <v>METROPOLITANA</v>
          </cell>
          <cell r="J156" t="str">
            <v>50QKJ</v>
          </cell>
          <cell r="K156" t="str">
            <v>cl-lyon2@tiendas.oxxo.com</v>
          </cell>
          <cell r="L156" t="str">
            <v>TMCB</v>
          </cell>
          <cell r="M156" t="str">
            <v>BASE</v>
          </cell>
          <cell r="N156" t="str">
            <v>ABC1</v>
          </cell>
          <cell r="O156" t="str">
            <v>SI</v>
          </cell>
          <cell r="P156" t="str">
            <v>COMPLETA</v>
          </cell>
          <cell r="Q156" t="str">
            <v>SI</v>
          </cell>
          <cell r="R156" t="str">
            <v>SI</v>
          </cell>
          <cell r="S156" t="str">
            <v>NO</v>
          </cell>
          <cell r="T156" t="str">
            <v>BRESCIA RIVERA RODRIGO</v>
          </cell>
          <cell r="U156" t="str">
            <v>rodrigo.brescia@oxxo.com</v>
          </cell>
          <cell r="V156">
            <v>56994777909</v>
          </cell>
          <cell r="W156" t="str">
            <v>BARRIOS BAPTISTA JUAN JOSE</v>
          </cell>
          <cell r="X156" t="str">
            <v>juanj.barrios@oxxo.com</v>
          </cell>
          <cell r="Y156">
            <v>56998642001</v>
          </cell>
          <cell r="Z156" t="str">
            <v>JOSEFINA DANAE CERDA ESTAY</v>
          </cell>
          <cell r="AA156">
            <v>56999777951</v>
          </cell>
          <cell r="AB156">
            <v>0.29166666666666669</v>
          </cell>
          <cell r="AC156">
            <v>0.95833333333333337</v>
          </cell>
          <cell r="AD156">
            <v>0.29166666666666669</v>
          </cell>
          <cell r="AE156">
            <v>0.99305555555555558</v>
          </cell>
          <cell r="AF156">
            <v>0.33333333333333331</v>
          </cell>
          <cell r="AG156">
            <v>0.99305555555555558</v>
          </cell>
          <cell r="AH156">
            <v>0.4375</v>
          </cell>
          <cell r="AI156">
            <v>0.88541666666666663</v>
          </cell>
          <cell r="AJ156">
            <v>0.375</v>
          </cell>
          <cell r="AK156">
            <v>0.95833333333333337</v>
          </cell>
          <cell r="AL156" t="str">
            <v>12HRS</v>
          </cell>
          <cell r="AM156" t="str">
            <v>ROBERTO POBLETE</v>
          </cell>
          <cell r="AO156">
            <v>43090</v>
          </cell>
        </row>
        <row r="157">
          <cell r="E157" t="str">
            <v>OXXO</v>
          </cell>
          <cell r="F157" t="str">
            <v>SAN DIEGO 2</v>
          </cell>
          <cell r="G157" t="str">
            <v>AV. SAN DIEGO 139, LOCAL 03</v>
          </cell>
          <cell r="H157" t="str">
            <v>SANTIAGO</v>
          </cell>
          <cell r="I157" t="str">
            <v>METROPOLITANA</v>
          </cell>
          <cell r="J157" t="str">
            <v>503YO</v>
          </cell>
          <cell r="K157" t="str">
            <v>cl-sandiego2@tiendas.oxxo.com</v>
          </cell>
          <cell r="L157" t="str">
            <v>TNM</v>
          </cell>
          <cell r="M157" t="str">
            <v>HOGAR C/FF</v>
          </cell>
          <cell r="N157" t="str">
            <v>C3</v>
          </cell>
          <cell r="O157" t="str">
            <v>NO</v>
          </cell>
          <cell r="P157" t="str">
            <v>COMPLETA</v>
          </cell>
          <cell r="T157" t="str">
            <v>SERRANO SOTO MANUEL</v>
          </cell>
          <cell r="U157" t="str">
            <v>manuel.serrano@oxxo.com</v>
          </cell>
          <cell r="V157">
            <v>56940201885</v>
          </cell>
          <cell r="W157" t="str">
            <v>BENITEZ QUILODRAN HUGO</v>
          </cell>
          <cell r="X157" t="str">
            <v>hugo.benitez@oxxo.com</v>
          </cell>
          <cell r="Y157">
            <v>56998355780</v>
          </cell>
          <cell r="Z157" t="str">
            <v>ALEXDITH DEL VALLE HERRERA GARCIA</v>
          </cell>
          <cell r="AL157" t="str">
            <v>12HRS</v>
          </cell>
          <cell r="AO157">
            <v>44911</v>
          </cell>
        </row>
        <row r="158">
          <cell r="E158" t="str">
            <v>OXXO</v>
          </cell>
          <cell r="F158" t="str">
            <v>CARMEN COVARRUBIA</v>
          </cell>
          <cell r="G158" t="str">
            <v>AV. IRARRAZAVAL 1989 P.NORTE LOCAL 3</v>
          </cell>
          <cell r="H158" t="str">
            <v>ÑUÑOA</v>
          </cell>
          <cell r="I158" t="str">
            <v>METROPOLITANA</v>
          </cell>
          <cell r="J158" t="str">
            <v>50ZVR</v>
          </cell>
          <cell r="K158" t="str">
            <v>cl-carmencovarrubia@tiendas.oxxo.com</v>
          </cell>
          <cell r="L158" t="str">
            <v>TNM</v>
          </cell>
          <cell r="M158" t="str">
            <v>HOGAR</v>
          </cell>
          <cell r="N158" t="str">
            <v>C3</v>
          </cell>
          <cell r="O158" t="str">
            <v>NO</v>
          </cell>
          <cell r="P158" t="str">
            <v>PARCIAL</v>
          </cell>
          <cell r="T158" t="str">
            <v>SERRANO SOTO MANUEL</v>
          </cell>
          <cell r="U158" t="str">
            <v>manuel.serrano@oxxo.com</v>
          </cell>
          <cell r="V158">
            <v>56940201885</v>
          </cell>
          <cell r="W158" t="str">
            <v>RODRIGUEZ ABREU ROSA</v>
          </cell>
          <cell r="X158" t="str">
            <v>rosa.rodriguezabreu@oxxo.com</v>
          </cell>
          <cell r="Y158">
            <v>56989993870</v>
          </cell>
          <cell r="Z158" t="str">
            <v>EVA LUNA MARTINEZ ASTUDILLO</v>
          </cell>
          <cell r="AA158">
            <v>56954332212</v>
          </cell>
          <cell r="AL158" t="str">
            <v>12HRS</v>
          </cell>
          <cell r="AO158">
            <v>44915</v>
          </cell>
        </row>
        <row r="159">
          <cell r="E159" t="str">
            <v>OXXO</v>
          </cell>
          <cell r="F159" t="str">
            <v>LYON 3</v>
          </cell>
          <cell r="G159" t="str">
            <v>RICARDO LYON 1848 </v>
          </cell>
          <cell r="H159" t="str">
            <v>PROVIDENCIA</v>
          </cell>
          <cell r="I159" t="str">
            <v>METROPOLITANA</v>
          </cell>
          <cell r="J159" t="str">
            <v>50UMT</v>
          </cell>
          <cell r="K159" t="str">
            <v>cl-lyon3@tiendas.oxxo.com</v>
          </cell>
          <cell r="L159" t="str">
            <v>TMCB</v>
          </cell>
          <cell r="M159" t="str">
            <v>BASE</v>
          </cell>
          <cell r="N159" t="str">
            <v>ABC1</v>
          </cell>
          <cell r="O159" t="str">
            <v>SI</v>
          </cell>
          <cell r="P159" t="str">
            <v>COMPLETA</v>
          </cell>
          <cell r="Q159" t="str">
            <v>SI</v>
          </cell>
          <cell r="R159" t="str">
            <v>SI</v>
          </cell>
          <cell r="S159" t="str">
            <v>NO</v>
          </cell>
          <cell r="T159" t="str">
            <v>BRESCIA RIVERA RODRIGO</v>
          </cell>
          <cell r="U159" t="str">
            <v>rodrigo.brescia@oxxo.com</v>
          </cell>
          <cell r="V159">
            <v>56994777909</v>
          </cell>
          <cell r="W159" t="str">
            <v>BARRIOS BAPTISTA JUAN JOSE</v>
          </cell>
          <cell r="X159" t="str">
            <v>juanj.barrios@oxxo.com</v>
          </cell>
          <cell r="Y159">
            <v>56998642001</v>
          </cell>
          <cell r="Z159" t="str">
            <v>FREDERIC LEANDRO HERNANDEZ BARRIGA</v>
          </cell>
          <cell r="AA159">
            <v>56973066938</v>
          </cell>
          <cell r="AB159">
            <v>0.29166666666666669</v>
          </cell>
          <cell r="AC159">
            <v>0.95833333333333337</v>
          </cell>
          <cell r="AD159">
            <v>0.29166666666666669</v>
          </cell>
          <cell r="AE159">
            <v>0.99305555555555558</v>
          </cell>
          <cell r="AF159">
            <v>0.33333333333333331</v>
          </cell>
          <cell r="AG159">
            <v>0.99305555555555558</v>
          </cell>
          <cell r="AH159">
            <v>0.4375</v>
          </cell>
          <cell r="AI159">
            <v>0.88541666666666663</v>
          </cell>
          <cell r="AJ159">
            <v>0.375</v>
          </cell>
          <cell r="AK159">
            <v>0.99305555555555558</v>
          </cell>
          <cell r="AL159" t="str">
            <v>12HRS</v>
          </cell>
          <cell r="AM159" t="str">
            <v>ROBERTO POBLETE</v>
          </cell>
          <cell r="AO159">
            <v>43417</v>
          </cell>
        </row>
        <row r="160">
          <cell r="E160" t="str">
            <v>OXXO</v>
          </cell>
          <cell r="F160" t="str">
            <v>MATTA 1</v>
          </cell>
          <cell r="G160" t="str">
            <v>AV. MANUEL ANTONIO MATTA 548 LOCAL 1</v>
          </cell>
          <cell r="H160" t="str">
            <v>SANTIAGO</v>
          </cell>
          <cell r="I160" t="str">
            <v>METROPOLITANA</v>
          </cell>
          <cell r="J160" t="str">
            <v>503A4</v>
          </cell>
          <cell r="K160" t="str">
            <v>cl-matta1@tiendas.oxxo.com</v>
          </cell>
          <cell r="L160" t="str">
            <v>TNM</v>
          </cell>
          <cell r="M160" t="str">
            <v>HOGAR</v>
          </cell>
          <cell r="N160" t="str">
            <v>C3</v>
          </cell>
          <cell r="O160" t="str">
            <v>NO</v>
          </cell>
          <cell r="P160" t="str">
            <v>PARCIAL</v>
          </cell>
          <cell r="T160" t="str">
            <v>SERRANO SOTO MANUEL</v>
          </cell>
          <cell r="U160" t="str">
            <v>manuel.serrano@oxxo.com</v>
          </cell>
          <cell r="V160">
            <v>56940201885</v>
          </cell>
          <cell r="X160" t="str">
            <v/>
          </cell>
          <cell r="Y160" t="str">
            <v/>
          </cell>
          <cell r="Z160" t="str">
            <v>ADONIS ANDRES MARQUEZ JAUREGUI</v>
          </cell>
          <cell r="AL160" t="str">
            <v>12HRS</v>
          </cell>
          <cell r="AO160">
            <v>44917</v>
          </cell>
        </row>
        <row r="161">
          <cell r="E161" t="str">
            <v>OXXO</v>
          </cell>
          <cell r="F161" t="str">
            <v>BRASIL</v>
          </cell>
          <cell r="G161" t="str">
            <v>AV. LIBERTADOR BDO. O’HIGGINS 2135</v>
          </cell>
          <cell r="H161" t="str">
            <v>SANTIAGO</v>
          </cell>
          <cell r="I161" t="str">
            <v>METROPOLITANA</v>
          </cell>
          <cell r="J161" t="str">
            <v>50PO9</v>
          </cell>
          <cell r="K161" t="str">
            <v>cl-brasil@tiendas.oxxo.com</v>
          </cell>
          <cell r="L161" t="str">
            <v>TMCB</v>
          </cell>
          <cell r="M161" t="str">
            <v>RECESO</v>
          </cell>
          <cell r="O161" t="str">
            <v>NO</v>
          </cell>
          <cell r="P161" t="str">
            <v>COMPLETA</v>
          </cell>
          <cell r="T161" t="str">
            <v>SERRANO SOTO MANUEL</v>
          </cell>
          <cell r="U161" t="str">
            <v>manuel.serrano@oxxo.com</v>
          </cell>
          <cell r="V161">
            <v>56940201885</v>
          </cell>
          <cell r="X161" t="str">
            <v/>
          </cell>
          <cell r="Y161" t="str">
            <v/>
          </cell>
          <cell r="Z161" t="str">
            <v>S/I</v>
          </cell>
          <cell r="AL161" t="str">
            <v>12HRS</v>
          </cell>
          <cell r="AO161">
            <v>44921</v>
          </cell>
        </row>
        <row r="162">
          <cell r="E162" t="str">
            <v>OXXO</v>
          </cell>
          <cell r="F162" t="str">
            <v>IMPERIO</v>
          </cell>
          <cell r="G162" t="str">
            <v>AV. AGUSTINAS  841</v>
          </cell>
          <cell r="H162" t="str">
            <v>SANTIAGO</v>
          </cell>
          <cell r="I162" t="str">
            <v>METROPOLITANA</v>
          </cell>
          <cell r="J162" t="str">
            <v>50UVK</v>
          </cell>
          <cell r="K162" t="str">
            <v>cl-imperio@tiendas.oxxo.com</v>
          </cell>
          <cell r="L162" t="str">
            <v>TNM</v>
          </cell>
          <cell r="M162" t="str">
            <v>RECESO</v>
          </cell>
          <cell r="N162" t="str">
            <v>C3</v>
          </cell>
          <cell r="O162" t="str">
            <v>NO</v>
          </cell>
          <cell r="P162" t="str">
            <v>COMPLETA</v>
          </cell>
          <cell r="T162" t="str">
            <v>SERRANO SOTO MANUEL</v>
          </cell>
          <cell r="U162" t="str">
            <v>manuel.serrano@oxxo.com</v>
          </cell>
          <cell r="V162">
            <v>56940201885</v>
          </cell>
          <cell r="W162" t="str">
            <v>LOPEZ CALDERON LUIS GERARDO</v>
          </cell>
          <cell r="X162" t="str">
            <v/>
          </cell>
          <cell r="Y162" t="str">
            <v/>
          </cell>
          <cell r="Z162" t="str">
            <v>VERONICA ANABEL CASTRO CONTRERAS</v>
          </cell>
          <cell r="AA162">
            <v>983465245</v>
          </cell>
          <cell r="AL162" t="str">
            <v>12HRS</v>
          </cell>
          <cell r="AO162">
            <v>44925</v>
          </cell>
        </row>
        <row r="163">
          <cell r="E163" t="str">
            <v>OXXO</v>
          </cell>
          <cell r="F163" t="str">
            <v>BANDERA 2</v>
          </cell>
          <cell r="G163" t="str">
            <v>AV. BANDERA 565</v>
          </cell>
          <cell r="H163" t="str">
            <v>SANTIAGO</v>
          </cell>
          <cell r="I163" t="str">
            <v>METROPOLITANA</v>
          </cell>
          <cell r="J163" t="str">
            <v>504UJ</v>
          </cell>
          <cell r="K163" t="str">
            <v>cl-bandera2@tiendas.oxxo.com</v>
          </cell>
          <cell r="L163" t="str">
            <v>TNM</v>
          </cell>
          <cell r="M163" t="str">
            <v>RECESO</v>
          </cell>
          <cell r="N163" t="str">
            <v>C3</v>
          </cell>
          <cell r="O163" t="str">
            <v>NO</v>
          </cell>
          <cell r="P163" t="str">
            <v>COMPLETA</v>
          </cell>
          <cell r="T163" t="str">
            <v>SERRANO SOTO MANUEL</v>
          </cell>
          <cell r="U163" t="str">
            <v>manuel.serrano@oxxo.com</v>
          </cell>
          <cell r="V163">
            <v>56940201885</v>
          </cell>
          <cell r="W163" t="str">
            <v>LOPEZ CALDERON LUIS GERARDO</v>
          </cell>
          <cell r="X163" t="str">
            <v/>
          </cell>
          <cell r="Y163" t="str">
            <v/>
          </cell>
          <cell r="Z163" t="str">
            <v>PEDRO ALBERTO TOLOZA DOMINGUEZ</v>
          </cell>
          <cell r="AA163">
            <v>983464818</v>
          </cell>
          <cell r="AL163" t="str">
            <v>12HRS</v>
          </cell>
          <cell r="AO163">
            <v>44923</v>
          </cell>
        </row>
        <row r="164">
          <cell r="E164" t="str">
            <v>OXXO - EX OKM</v>
          </cell>
          <cell r="F164" t="str">
            <v>MACUL</v>
          </cell>
          <cell r="G164" t="str">
            <v> AV MACUL  3430 LOCAL 2, MACUL.</v>
          </cell>
          <cell r="H164" t="str">
            <v>MACUL</v>
          </cell>
          <cell r="I164" t="str">
            <v>METROPOLITANA</v>
          </cell>
          <cell r="J164" t="str">
            <v>50OMC</v>
          </cell>
          <cell r="K164" t="str">
            <v>cl-macul@tiendas.oxxo.com</v>
          </cell>
          <cell r="L164" t="str">
            <v>TMCB</v>
          </cell>
          <cell r="M164" t="str">
            <v>BASE</v>
          </cell>
          <cell r="N164" t="str">
            <v>C2</v>
          </cell>
          <cell r="O164" t="str">
            <v>SI</v>
          </cell>
          <cell r="P164" t="str">
            <v>COMPLETA</v>
          </cell>
          <cell r="Q164" t="str">
            <v>SI</v>
          </cell>
          <cell r="R164" t="str">
            <v>SI</v>
          </cell>
          <cell r="S164" t="str">
            <v>NO</v>
          </cell>
          <cell r="T164" t="str">
            <v>BRESCIA RIVERA RODRIGO</v>
          </cell>
          <cell r="U164" t="str">
            <v>rodrigo.brescia@oxxo.com</v>
          </cell>
          <cell r="V164">
            <v>56994777909</v>
          </cell>
          <cell r="W164" t="str">
            <v>PINERUA JAIMES JESUS</v>
          </cell>
          <cell r="X164" t="str">
            <v>jesus.pinerua@oxxo.com</v>
          </cell>
          <cell r="Y164">
            <v>56982335207</v>
          </cell>
          <cell r="Z164" t="str">
            <v>SAMIL CHOPITE GIBILISCO</v>
          </cell>
          <cell r="AB164">
            <v>0.29166666666666669</v>
          </cell>
          <cell r="AC164">
            <v>0.95833333333333337</v>
          </cell>
          <cell r="AD164">
            <v>0.29166666666666669</v>
          </cell>
          <cell r="AE164">
            <v>0.99305555555555558</v>
          </cell>
          <cell r="AF164">
            <v>0.33333333333333331</v>
          </cell>
          <cell r="AG164">
            <v>0.99305555555555558</v>
          </cell>
          <cell r="AH164">
            <v>0.375</v>
          </cell>
          <cell r="AI164">
            <v>0.91666666666666663</v>
          </cell>
          <cell r="AJ164">
            <v>0.375</v>
          </cell>
          <cell r="AK164">
            <v>0.95833333333333337</v>
          </cell>
          <cell r="AL164" t="str">
            <v>12HRS</v>
          </cell>
          <cell r="AM164" t="str">
            <v>PAULA HUERTA</v>
          </cell>
          <cell r="AO164">
            <v>44890</v>
          </cell>
        </row>
        <row r="165">
          <cell r="E165" t="str">
            <v>OXXO</v>
          </cell>
          <cell r="F165" t="str">
            <v>MALL PASEO SAN BERNARDO</v>
          </cell>
          <cell r="G165" t="str">
            <v>EYZAGUIRRE 650, LOCAL 114</v>
          </cell>
          <cell r="H165" t="str">
            <v>SAN BERNARDO</v>
          </cell>
          <cell r="I165" t="str">
            <v>METROPOLITANA</v>
          </cell>
          <cell r="J165" t="str">
            <v>50H1H</v>
          </cell>
          <cell r="K165" t="str">
            <v>cl-mallpaseosanbernardo@tiendas.oxxo.com</v>
          </cell>
          <cell r="L165" t="str">
            <v>TMCB</v>
          </cell>
          <cell r="M165" t="str">
            <v>RECESO</v>
          </cell>
          <cell r="N165" t="str">
            <v>C3</v>
          </cell>
          <cell r="O165" t="str">
            <v>NO</v>
          </cell>
          <cell r="P165" t="str">
            <v>COMPLETA</v>
          </cell>
          <cell r="Q165" t="str">
            <v>SI</v>
          </cell>
          <cell r="R165" t="str">
            <v>SI</v>
          </cell>
          <cell r="S165" t="str">
            <v>NO</v>
          </cell>
          <cell r="T165" t="str">
            <v>BRESCIA RIVERA RODRIGO</v>
          </cell>
          <cell r="U165" t="str">
            <v>rodrigo.brescia@oxxo.com</v>
          </cell>
          <cell r="V165">
            <v>56994777909</v>
          </cell>
          <cell r="W165" t="str">
            <v>PINERUA JAIMES JESUS</v>
          </cell>
          <cell r="X165" t="str">
            <v>jesus.pinerua@oxxo.com</v>
          </cell>
          <cell r="Y165">
            <v>56982335207</v>
          </cell>
          <cell r="Z165" t="str">
            <v>JASNA DEBORA SAEZ MARDONES</v>
          </cell>
          <cell r="AA165">
            <v>56992195672</v>
          </cell>
          <cell r="AB165">
            <v>0.375</v>
          </cell>
          <cell r="AC165">
            <v>0.875</v>
          </cell>
          <cell r="AD165">
            <v>0.375</v>
          </cell>
          <cell r="AE165">
            <v>0.875</v>
          </cell>
          <cell r="AF165">
            <v>0.375</v>
          </cell>
          <cell r="AG165">
            <v>0.875</v>
          </cell>
          <cell r="AH165">
            <v>0.41666666666666669</v>
          </cell>
          <cell r="AI165">
            <v>0.875</v>
          </cell>
          <cell r="AJ165">
            <v>0.45833333333333331</v>
          </cell>
          <cell r="AK165">
            <v>0.875</v>
          </cell>
          <cell r="AL165" t="str">
            <v>12HRS</v>
          </cell>
          <cell r="AM165" t="str">
            <v>PAULA HUERTA</v>
          </cell>
          <cell r="AO165">
            <v>45075</v>
          </cell>
        </row>
        <row r="166">
          <cell r="E166" t="str">
            <v>OXXO</v>
          </cell>
          <cell r="F166" t="str">
            <v>MALL PASEO VINA</v>
          </cell>
          <cell r="G166" t="str">
            <v>AV. VALPARAISO 1070 LOCAL N 3012</v>
          </cell>
          <cell r="H166" t="str">
            <v>VIÑA DEL MAR</v>
          </cell>
          <cell r="I166" t="str">
            <v>VALPARAISO</v>
          </cell>
          <cell r="J166" t="str">
            <v>506IM</v>
          </cell>
          <cell r="K166" t="str">
            <v>cl-mallpaseovina@tiendas.oxxo.com</v>
          </cell>
          <cell r="L166" t="str">
            <v>TNM</v>
          </cell>
          <cell r="M166" t="str">
            <v>RECESO</v>
          </cell>
          <cell r="O166" t="str">
            <v>NO</v>
          </cell>
          <cell r="P166" t="str">
            <v>COMPLETA</v>
          </cell>
          <cell r="S166" t="str">
            <v>NO</v>
          </cell>
          <cell r="T166" t="str">
            <v>SESA DIEGO MIGUEL</v>
          </cell>
          <cell r="U166" t="str">
            <v>diego.sesa@oxxo.com</v>
          </cell>
          <cell r="V166">
            <v>56954238682</v>
          </cell>
          <cell r="W166" t="str">
            <v>RODRÍGUEZ ROBLES MARCELA ALEJANDRA</v>
          </cell>
          <cell r="X166" t="str">
            <v>marcela.rodriguezrobles@oxxo.com</v>
          </cell>
          <cell r="Y166">
            <v>56982335207</v>
          </cell>
          <cell r="Z166" t="str">
            <v>MARIA DE LOS ANGELES SUAREZ MONTERO</v>
          </cell>
          <cell r="AA166">
            <v>56947706104</v>
          </cell>
          <cell r="AB166">
            <v>0.29166666666666669</v>
          </cell>
          <cell r="AC166">
            <v>0.83333333333333337</v>
          </cell>
          <cell r="AD166">
            <v>0.29166666666666669</v>
          </cell>
          <cell r="AE166">
            <v>0.83333333333333337</v>
          </cell>
          <cell r="AF166">
            <v>0.33333333333333331</v>
          </cell>
          <cell r="AG166">
            <v>0.83333333333333337</v>
          </cell>
          <cell r="AH166">
            <v>0.375</v>
          </cell>
          <cell r="AI166">
            <v>0.83333333333333337</v>
          </cell>
          <cell r="AJ166">
            <v>0.375</v>
          </cell>
          <cell r="AK166">
            <v>0.84375</v>
          </cell>
          <cell r="AL166" t="str">
            <v>12HRS</v>
          </cell>
          <cell r="AM166" t="str">
            <v>ROBERTO POBLETE</v>
          </cell>
          <cell r="AO166">
            <v>45504</v>
          </cell>
        </row>
        <row r="167">
          <cell r="E167" t="str">
            <v>OXXO</v>
          </cell>
          <cell r="F167" t="str">
            <v>MALL PLAZA EGANA 2</v>
          </cell>
          <cell r="G167" t="str">
            <v>AV. LARRAÍN N5862, BF-121 Y BF-125</v>
          </cell>
          <cell r="H167" t="str">
            <v>LA REINA</v>
          </cell>
          <cell r="I167" t="str">
            <v>METROPOLITANA</v>
          </cell>
          <cell r="J167" t="str">
            <v>50QO5</v>
          </cell>
          <cell r="K167" t="str">
            <v>cl-mallplazaegana2@tiendas.oxxo.com</v>
          </cell>
          <cell r="L167" t="str">
            <v>TNM</v>
          </cell>
          <cell r="M167" t="str">
            <v>RECESO</v>
          </cell>
          <cell r="O167" t="str">
            <v>NO</v>
          </cell>
          <cell r="P167" t="str">
            <v>COMPLETA</v>
          </cell>
          <cell r="Q167" t="str">
            <v>NO</v>
          </cell>
          <cell r="R167" t="str">
            <v>NO</v>
          </cell>
          <cell r="S167" t="str">
            <v>NO</v>
          </cell>
          <cell r="T167" t="str">
            <v>BRESCIA RIVERA RODRIGO</v>
          </cell>
          <cell r="U167" t="str">
            <v>rodrigo.brescia@oxxo.com</v>
          </cell>
          <cell r="V167">
            <v>56994777909</v>
          </cell>
          <cell r="W167" t="str">
            <v>RUIZ FERRER VANNA</v>
          </cell>
          <cell r="X167" t="str">
            <v>vanna.ruiz@oxxo.com</v>
          </cell>
          <cell r="Y167">
            <v>56994441705</v>
          </cell>
          <cell r="Z167" t="str">
            <v>THIARE DANIELA CALDERON OYANEDEL</v>
          </cell>
          <cell r="AB167">
            <v>0.29166666666666669</v>
          </cell>
          <cell r="AC167">
            <v>0.91666666666666663</v>
          </cell>
          <cell r="AD167">
            <v>0.29166666666666669</v>
          </cell>
          <cell r="AE167">
            <v>0.91666666666666663</v>
          </cell>
          <cell r="AF167">
            <v>0.33333333333333331</v>
          </cell>
          <cell r="AG167">
            <v>0.91666666666666663</v>
          </cell>
          <cell r="AH167">
            <v>0.4375</v>
          </cell>
          <cell r="AI167">
            <v>0.88541666666666663</v>
          </cell>
          <cell r="AJ167">
            <v>0.375</v>
          </cell>
          <cell r="AK167">
            <v>0.84375</v>
          </cell>
          <cell r="AL167" t="str">
            <v>12HRS</v>
          </cell>
          <cell r="AM167" t="str">
            <v>ROBERTO POBLETE</v>
          </cell>
          <cell r="AO167">
            <v>45351</v>
          </cell>
        </row>
        <row r="168">
          <cell r="E168" t="str">
            <v>OXXO</v>
          </cell>
          <cell r="F168" t="str">
            <v>MALL PLAZA NORTE</v>
          </cell>
          <cell r="G168" t="str">
            <v>AV. AMERICO VESPUCIO 1737</v>
          </cell>
          <cell r="H168" t="str">
            <v>HUECHURABA</v>
          </cell>
          <cell r="I168" t="str">
            <v>METROPOLITANA</v>
          </cell>
          <cell r="J168" t="str">
            <v>50VSD</v>
          </cell>
          <cell r="K168" t="str">
            <v>cl-mallplazanorte@tiendas.oxxo.com</v>
          </cell>
          <cell r="L168" t="str">
            <v>TMCB</v>
          </cell>
          <cell r="M168" t="str">
            <v>RECESO</v>
          </cell>
          <cell r="N168" t="str">
            <v>C3</v>
          </cell>
          <cell r="O168" t="str">
            <v>NO</v>
          </cell>
          <cell r="P168" t="str">
            <v>COMPLETA</v>
          </cell>
          <cell r="Q168" t="str">
            <v>NO</v>
          </cell>
          <cell r="R168" t="str">
            <v>NO</v>
          </cell>
          <cell r="S168" t="str">
            <v>NO</v>
          </cell>
          <cell r="T168" t="str">
            <v>BRESCIA RIVERA RODRIGO</v>
          </cell>
          <cell r="U168" t="str">
            <v>rodrigo.brescia@oxxo.com</v>
          </cell>
          <cell r="V168">
            <v>56994777909</v>
          </cell>
          <cell r="W168" t="str">
            <v>MENDOZA GIL BREYNER JOSE</v>
          </cell>
          <cell r="X168" t="str">
            <v>breyner.mendoza@oxxo.com</v>
          </cell>
          <cell r="Y168">
            <v>56998689425</v>
          </cell>
          <cell r="Z168" t="str">
            <v>GLENDA ROCIO MATA RAMIREZ</v>
          </cell>
          <cell r="AA168">
            <v>56989895093</v>
          </cell>
          <cell r="AB168">
            <v>0.29166666666666669</v>
          </cell>
          <cell r="AC168">
            <v>0.83333333333333337</v>
          </cell>
          <cell r="AD168">
            <v>0.29166666666666669</v>
          </cell>
          <cell r="AE168">
            <v>0.83333333333333337</v>
          </cell>
          <cell r="AF168">
            <v>0.33333333333333331</v>
          </cell>
          <cell r="AG168">
            <v>0.83333333333333337</v>
          </cell>
          <cell r="AH168">
            <v>0.375</v>
          </cell>
          <cell r="AI168">
            <v>0.83333333333333337</v>
          </cell>
          <cell r="AJ168">
            <v>0.375</v>
          </cell>
          <cell r="AK168">
            <v>0.83333333333333337</v>
          </cell>
          <cell r="AL168" t="str">
            <v>12HRS</v>
          </cell>
          <cell r="AM168" t="str">
            <v>PAULA HUERTA</v>
          </cell>
          <cell r="AO168">
            <v>44802</v>
          </cell>
        </row>
        <row r="169">
          <cell r="E169" t="str">
            <v>OXXO</v>
          </cell>
          <cell r="F169" t="str">
            <v>BYNON</v>
          </cell>
          <cell r="G169" t="str">
            <v>AV. CAPITAN BYNON 1277 LOCAL 3</v>
          </cell>
          <cell r="H169" t="str">
            <v>INDEPENDENCIA</v>
          </cell>
          <cell r="I169" t="str">
            <v>METROPOLITANA</v>
          </cell>
          <cell r="J169" t="str">
            <v>50ZM4</v>
          </cell>
          <cell r="K169" t="str">
            <v>cl-capitanbynon@tiendas.oxxo.com</v>
          </cell>
          <cell r="L169" t="str">
            <v>TNM</v>
          </cell>
          <cell r="M169" t="str">
            <v>HOGAR C/FF</v>
          </cell>
          <cell r="N169" t="str">
            <v>C3</v>
          </cell>
          <cell r="O169" t="str">
            <v>NO</v>
          </cell>
          <cell r="P169" t="str">
            <v>PARCIAL</v>
          </cell>
          <cell r="T169" t="str">
            <v>SERRANO SOTO MANUEL</v>
          </cell>
          <cell r="U169" t="str">
            <v>manuel.serrano@oxxo.com</v>
          </cell>
          <cell r="V169">
            <v>56940201885</v>
          </cell>
          <cell r="X169" t="str">
            <v/>
          </cell>
          <cell r="Y169" t="str">
            <v/>
          </cell>
          <cell r="Z169" t="str">
            <v>CARLOS MENDEZ QUINTERO</v>
          </cell>
          <cell r="AL169" t="str">
            <v>12HRS</v>
          </cell>
          <cell r="AO169">
            <v>44925</v>
          </cell>
        </row>
        <row r="170">
          <cell r="E170" t="str">
            <v>OXXO</v>
          </cell>
          <cell r="F170" t="str">
            <v>MALL PLAZA VESPUCIO</v>
          </cell>
          <cell r="G170" t="str">
            <v>AV. VICUÑA MACKENNA ORIENTE 7110 LOCAL 14A</v>
          </cell>
          <cell r="H170" t="str">
            <v>LA FLORIDA</v>
          </cell>
          <cell r="I170" t="str">
            <v>METROPOLITANA</v>
          </cell>
          <cell r="J170" t="str">
            <v>50VLL</v>
          </cell>
          <cell r="K170" t="str">
            <v>cl-mallplazavespucio@tiendas.oxxo.com</v>
          </cell>
          <cell r="L170" t="str">
            <v>TMCB</v>
          </cell>
          <cell r="M170" t="str">
            <v>RECESO</v>
          </cell>
          <cell r="N170" t="str">
            <v>C2</v>
          </cell>
          <cell r="O170" t="str">
            <v>NO</v>
          </cell>
          <cell r="P170" t="str">
            <v>COMPLETA</v>
          </cell>
          <cell r="Q170" t="str">
            <v>SI</v>
          </cell>
          <cell r="R170" t="str">
            <v>NO</v>
          </cell>
          <cell r="S170" t="str">
            <v>NO</v>
          </cell>
          <cell r="T170" t="str">
            <v>BRESCIA RIVERA RODRIGO</v>
          </cell>
          <cell r="U170" t="str">
            <v>rodrigo.brescia@oxxo.com</v>
          </cell>
          <cell r="V170">
            <v>56994777909</v>
          </cell>
          <cell r="W170" t="str">
            <v>PINERUA JAIMES JESUS</v>
          </cell>
          <cell r="X170" t="str">
            <v>jesus.pinerua@oxxo.com</v>
          </cell>
          <cell r="Y170">
            <v>56982335207</v>
          </cell>
          <cell r="Z170" t="str">
            <v>ANDREINA COROMOTO RIVERO DIAZ</v>
          </cell>
          <cell r="AA170">
            <v>56983465975</v>
          </cell>
          <cell r="AB170">
            <v>0.29166666666666669</v>
          </cell>
          <cell r="AC170">
            <v>0.875</v>
          </cell>
          <cell r="AD170">
            <v>0.29166666666666669</v>
          </cell>
          <cell r="AE170">
            <v>0.875</v>
          </cell>
          <cell r="AF170">
            <v>0.33333333333333331</v>
          </cell>
          <cell r="AG170">
            <v>0.875</v>
          </cell>
          <cell r="AH170" t="str">
            <v>Cerrado</v>
          </cell>
          <cell r="AI170" t="str">
            <v>Cerrado</v>
          </cell>
          <cell r="AJ170">
            <v>0.375</v>
          </cell>
          <cell r="AK170">
            <v>0.875</v>
          </cell>
          <cell r="AL170" t="str">
            <v>12HRS</v>
          </cell>
          <cell r="AM170" t="str">
            <v>PAULA HUERTA</v>
          </cell>
          <cell r="AO170">
            <v>43448</v>
          </cell>
        </row>
        <row r="171">
          <cell r="E171" t="str">
            <v>OXXO - EX OKM</v>
          </cell>
          <cell r="F171" t="str">
            <v>MANQUEHUE</v>
          </cell>
          <cell r="G171" t="str">
            <v>AV. MANQUEHUE SUR 1581</v>
          </cell>
          <cell r="H171" t="str">
            <v>LAS CONDES</v>
          </cell>
          <cell r="I171" t="str">
            <v>METROPOLITANA</v>
          </cell>
          <cell r="J171" t="str">
            <v>50OMQ</v>
          </cell>
          <cell r="K171" t="str">
            <v>cl-manquehuesur@tiendas.oxxo.com</v>
          </cell>
          <cell r="L171" t="str">
            <v>TMCB</v>
          </cell>
          <cell r="M171" t="str">
            <v>HOGAR</v>
          </cell>
          <cell r="N171" t="str">
            <v>ABC1</v>
          </cell>
          <cell r="O171" t="str">
            <v>SI</v>
          </cell>
          <cell r="P171" t="str">
            <v>COMPLETA</v>
          </cell>
          <cell r="Q171" t="str">
            <v>SI</v>
          </cell>
          <cell r="R171" t="str">
            <v>SI</v>
          </cell>
          <cell r="S171" t="str">
            <v>SI</v>
          </cell>
          <cell r="T171" t="str">
            <v>BRESCIA RIVERA RODRIGO</v>
          </cell>
          <cell r="U171" t="str">
            <v>rodrigo.brescia@oxxo.com</v>
          </cell>
          <cell r="V171">
            <v>56994777909</v>
          </cell>
          <cell r="W171" t="str">
            <v>BENITEZ QUILODRAN HUGO</v>
          </cell>
          <cell r="X171" t="str">
            <v>hugo.benitez@oxxo.com</v>
          </cell>
          <cell r="Y171">
            <v>56998355780</v>
          </cell>
          <cell r="Z171" t="str">
            <v>YUBISAY SERMIRA PARRA GONZALEZ</v>
          </cell>
          <cell r="AA171">
            <v>56983472867</v>
          </cell>
          <cell r="AB171">
            <v>0</v>
          </cell>
          <cell r="AC171">
            <v>0.99930555555555556</v>
          </cell>
          <cell r="AD171">
            <v>0</v>
          </cell>
          <cell r="AE171">
            <v>0.99930555555555556</v>
          </cell>
          <cell r="AF171">
            <v>0</v>
          </cell>
          <cell r="AG171">
            <v>0.99930555555555556</v>
          </cell>
          <cell r="AH171">
            <v>0</v>
          </cell>
          <cell r="AI171">
            <v>0.99930555555555556</v>
          </cell>
          <cell r="AJ171">
            <v>0</v>
          </cell>
          <cell r="AK171">
            <v>0.99930555555555556</v>
          </cell>
          <cell r="AL171" t="str">
            <v>24HRS</v>
          </cell>
          <cell r="AM171" t="str">
            <v>ROBERTO POBLETE</v>
          </cell>
          <cell r="AO171">
            <v>44987</v>
          </cell>
        </row>
        <row r="172">
          <cell r="E172" t="str">
            <v>OXXO</v>
          </cell>
          <cell r="F172" t="str">
            <v>MANQUEHUE NORTE</v>
          </cell>
          <cell r="G172" t="str">
            <v>MANQUEHUE NORTE 67, LOCAL 2</v>
          </cell>
          <cell r="H172" t="str">
            <v>LAS CONDES</v>
          </cell>
          <cell r="I172" t="str">
            <v>METROPOLITANA</v>
          </cell>
          <cell r="J172" t="str">
            <v>50MNO</v>
          </cell>
          <cell r="K172" t="str">
            <v>cl-manquehuenorte@tiendas.oxxo.com</v>
          </cell>
          <cell r="L172" t="str">
            <v>TNM</v>
          </cell>
          <cell r="M172" t="str">
            <v>BASE</v>
          </cell>
          <cell r="N172" t="str">
            <v>C2</v>
          </cell>
          <cell r="O172" t="str">
            <v>NO</v>
          </cell>
          <cell r="P172" t="str">
            <v>COMPLETA</v>
          </cell>
          <cell r="Q172" t="str">
            <v>NO</v>
          </cell>
          <cell r="R172" t="str">
            <v>NO</v>
          </cell>
          <cell r="S172" t="str">
            <v>NO</v>
          </cell>
          <cell r="T172" t="str">
            <v>BRESCIA RIVERA RODRIGO</v>
          </cell>
          <cell r="U172" t="str">
            <v>rodrigo.brescia@oxxo.com</v>
          </cell>
          <cell r="V172">
            <v>56994777909</v>
          </cell>
          <cell r="W172" t="str">
            <v>BENITEZ QUILODRAN HUGO</v>
          </cell>
          <cell r="X172" t="str">
            <v>hugo.benitez@oxxo.com</v>
          </cell>
          <cell r="Y172">
            <v>56998355780</v>
          </cell>
          <cell r="Z172" t="str">
            <v>YESENIA ANDREA URIZA OLAVE</v>
          </cell>
          <cell r="AA172">
            <v>56992196744</v>
          </cell>
          <cell r="AB172">
            <v>0.29166666666666669</v>
          </cell>
          <cell r="AC172">
            <v>0.91666666666666663</v>
          </cell>
          <cell r="AD172">
            <v>0.29166666666666669</v>
          </cell>
          <cell r="AE172">
            <v>0.91666666666666663</v>
          </cell>
          <cell r="AF172">
            <v>0.33333333333333331</v>
          </cell>
          <cell r="AG172">
            <v>0.91666666666666663</v>
          </cell>
          <cell r="AH172">
            <v>0.39583333333333331</v>
          </cell>
          <cell r="AI172">
            <v>0.84375</v>
          </cell>
          <cell r="AJ172">
            <v>0.375</v>
          </cell>
          <cell r="AK172">
            <v>0.91666666666666663</v>
          </cell>
          <cell r="AL172" t="str">
            <v>12HRS</v>
          </cell>
          <cell r="AM172" t="str">
            <v>ROBERTO POBLETE</v>
          </cell>
          <cell r="AO172">
            <v>45138</v>
          </cell>
        </row>
        <row r="173">
          <cell r="E173" t="str">
            <v>OXXO - EX OKM</v>
          </cell>
          <cell r="F173" t="str">
            <v>MANUEL DE LA LASTRA</v>
          </cell>
          <cell r="G173" t="str">
            <v>ALCALDE MANUEL DE LA LASTRA 2587</v>
          </cell>
          <cell r="H173" t="str">
            <v>LA REINA</v>
          </cell>
          <cell r="I173" t="str">
            <v>METROPOLITANA</v>
          </cell>
          <cell r="J173" t="str">
            <v>50OMS</v>
          </cell>
          <cell r="K173" t="str">
            <v>cl-manueldelalastra@tiendas.oxxo.com</v>
          </cell>
          <cell r="L173" t="str">
            <v>TMCB</v>
          </cell>
          <cell r="M173" t="str">
            <v>HOGAR</v>
          </cell>
          <cell r="N173" t="str">
            <v>C2</v>
          </cell>
          <cell r="O173" t="str">
            <v>SI</v>
          </cell>
          <cell r="P173" t="str">
            <v>COMPLETA</v>
          </cell>
          <cell r="Q173" t="str">
            <v>NO</v>
          </cell>
          <cell r="R173" t="str">
            <v>SI</v>
          </cell>
          <cell r="S173" t="str">
            <v>SI</v>
          </cell>
          <cell r="T173" t="str">
            <v>BRESCIA RIVERA RODRIGO</v>
          </cell>
          <cell r="U173" t="str">
            <v>rodrigo.brescia@oxxo.com</v>
          </cell>
          <cell r="V173">
            <v>56994777909</v>
          </cell>
          <cell r="W173" t="str">
            <v>BENITEZ QUILODRAN HUGO</v>
          </cell>
          <cell r="X173" t="str">
            <v>hugo.benitez@oxxo.com</v>
          </cell>
          <cell r="Y173">
            <v>56998355780</v>
          </cell>
          <cell r="Z173" t="str">
            <v>ALEXANDRA PEÑALOZA ROA</v>
          </cell>
          <cell r="AA173">
            <v>56963106491</v>
          </cell>
          <cell r="AB173">
            <v>0</v>
          </cell>
          <cell r="AC173">
            <v>0.99930555555555556</v>
          </cell>
          <cell r="AD173">
            <v>0</v>
          </cell>
          <cell r="AE173">
            <v>0.99930555555555556</v>
          </cell>
          <cell r="AF173">
            <v>0</v>
          </cell>
          <cell r="AG173">
            <v>0.99930555555555556</v>
          </cell>
          <cell r="AH173">
            <v>0</v>
          </cell>
          <cell r="AI173">
            <v>0.99930555555555556</v>
          </cell>
          <cell r="AJ173">
            <v>0</v>
          </cell>
          <cell r="AK173">
            <v>0.99930555555555556</v>
          </cell>
          <cell r="AL173" t="str">
            <v>24HRS</v>
          </cell>
          <cell r="AM173" t="str">
            <v>ROBERTO POBLETE</v>
          </cell>
          <cell r="AO173">
            <v>45108</v>
          </cell>
        </row>
        <row r="174">
          <cell r="E174" t="str">
            <v>OXXO</v>
          </cell>
          <cell r="F174" t="str">
            <v>MANUEL MONTT 1</v>
          </cell>
          <cell r="G174" t="str">
            <v>MANUEL MONTT N740 ,LOCAL 1</v>
          </cell>
          <cell r="H174" t="str">
            <v>PROVIDENCIA</v>
          </cell>
          <cell r="I174" t="str">
            <v>METROPOLITANA</v>
          </cell>
          <cell r="J174" t="str">
            <v>50XLL</v>
          </cell>
          <cell r="K174" t="str">
            <v>cl-manuelmontt@tiendas.oxxo.com</v>
          </cell>
          <cell r="L174" t="str">
            <v>TMCB</v>
          </cell>
          <cell r="M174" t="str">
            <v>RECESO</v>
          </cell>
          <cell r="N174" t="str">
            <v>C2</v>
          </cell>
          <cell r="O174" t="str">
            <v>NO</v>
          </cell>
          <cell r="P174" t="str">
            <v>COMPLETA</v>
          </cell>
          <cell r="Q174" t="str">
            <v>NO</v>
          </cell>
          <cell r="R174" t="str">
            <v>NO</v>
          </cell>
          <cell r="S174" t="str">
            <v>NO</v>
          </cell>
          <cell r="T174" t="str">
            <v>BRESCIA RIVERA RODRIGO</v>
          </cell>
          <cell r="U174" t="str">
            <v>rodrigo.brescia@oxxo.com</v>
          </cell>
          <cell r="V174">
            <v>56994777909</v>
          </cell>
          <cell r="W174" t="str">
            <v>BARRIOS BAPTISTA JUAN JOSE</v>
          </cell>
          <cell r="X174" t="str">
            <v>juanj.barrios@oxxo.com</v>
          </cell>
          <cell r="Y174">
            <v>56998642001</v>
          </cell>
          <cell r="Z174" t="str">
            <v>MAIBA DEL CARMEN HERNANDEZ RIVERO</v>
          </cell>
          <cell r="AA174">
            <v>56995699430</v>
          </cell>
          <cell r="AB174">
            <v>0.29166666666666669</v>
          </cell>
          <cell r="AC174">
            <v>0.91666666666666663</v>
          </cell>
          <cell r="AD174">
            <v>0.29166666666666669</v>
          </cell>
          <cell r="AE174">
            <v>0.91666666666666663</v>
          </cell>
          <cell r="AF174">
            <v>0.33333333333333331</v>
          </cell>
          <cell r="AG174">
            <v>0.91666666666666663</v>
          </cell>
          <cell r="AH174">
            <v>0.4375</v>
          </cell>
          <cell r="AI174">
            <v>0.88541666666666663</v>
          </cell>
          <cell r="AJ174">
            <v>0.375</v>
          </cell>
          <cell r="AK174">
            <v>0.91666666666666663</v>
          </cell>
          <cell r="AL174" t="str">
            <v>12HRS</v>
          </cell>
          <cell r="AM174" t="str">
            <v>ROBERTO POBLETE</v>
          </cell>
          <cell r="AO174">
            <v>43431</v>
          </cell>
        </row>
        <row r="175">
          <cell r="E175" t="str">
            <v>OXXO</v>
          </cell>
          <cell r="F175" t="str">
            <v>MARTIN DE ZAMORA</v>
          </cell>
          <cell r="G175" t="str">
            <v>MANQUEHUE SUR 897, LOCAL 6</v>
          </cell>
          <cell r="H175" t="str">
            <v>LAS CONDES</v>
          </cell>
          <cell r="I175" t="str">
            <v>METROPOLITANA</v>
          </cell>
          <cell r="J175" t="str">
            <v>50MMT</v>
          </cell>
          <cell r="K175" t="str">
            <v>cl-mdzamoramanquehue@tiendas.oxxo.com</v>
          </cell>
          <cell r="L175" t="str">
            <v>TNM</v>
          </cell>
          <cell r="M175" t="str">
            <v>HOGAR C/FF</v>
          </cell>
          <cell r="N175" t="str">
            <v>ABC1</v>
          </cell>
          <cell r="O175" t="str">
            <v>NO</v>
          </cell>
          <cell r="P175" t="str">
            <v>PARCIAL</v>
          </cell>
          <cell r="T175" t="str">
            <v>SERRANO SOTO MANUEL</v>
          </cell>
          <cell r="U175" t="str">
            <v>manuel.serrano@oxxo.com</v>
          </cell>
          <cell r="V175">
            <v>56940201885</v>
          </cell>
          <cell r="W175" t="str">
            <v>RIQUELME ESTAY ROBERTO</v>
          </cell>
          <cell r="X175" t="str">
            <v/>
          </cell>
          <cell r="Y175" t="str">
            <v/>
          </cell>
          <cell r="Z175" t="str">
            <v>SONIA RAQUEL OYARZO URIBE</v>
          </cell>
          <cell r="AA175">
            <v>56983461809</v>
          </cell>
          <cell r="AL175" t="str">
            <v>12HRS</v>
          </cell>
          <cell r="AO175">
            <v>44984</v>
          </cell>
        </row>
        <row r="176">
          <cell r="E176" t="str">
            <v>OXXO</v>
          </cell>
          <cell r="F176" t="str">
            <v>HUERFANOS 2</v>
          </cell>
          <cell r="G176" t="str">
            <v>HUÉRFANOS 1524, LOCAL 1</v>
          </cell>
          <cell r="H176" t="str">
            <v>SANTIAGO</v>
          </cell>
          <cell r="I176" t="str">
            <v>METROPOLITANA</v>
          </cell>
          <cell r="J176" t="str">
            <v>50MD2</v>
          </cell>
          <cell r="K176" t="str">
            <v>cl-huerfanos2@tiendas.oxxo.com</v>
          </cell>
          <cell r="L176" t="str">
            <v>T2023</v>
          </cell>
          <cell r="M176" t="str">
            <v>HOGAR C/FF</v>
          </cell>
          <cell r="N176" t="str">
            <v>C2</v>
          </cell>
          <cell r="O176" t="str">
            <v>NO</v>
          </cell>
          <cell r="P176" t="str">
            <v>COMPLETA</v>
          </cell>
          <cell r="T176" t="str">
            <v>SERRANO SOTO MANUEL</v>
          </cell>
          <cell r="U176" t="str">
            <v>manuel.serrano@oxxo.com</v>
          </cell>
          <cell r="V176">
            <v>56940201885</v>
          </cell>
          <cell r="X176" t="str">
            <v/>
          </cell>
          <cell r="Y176" t="str">
            <v/>
          </cell>
          <cell r="Z176" t="str">
            <v>YADIMAR CAROLINA SOSA VARGAS</v>
          </cell>
          <cell r="AL176" t="str">
            <v>12HRS</v>
          </cell>
          <cell r="AO176">
            <v>45015</v>
          </cell>
        </row>
        <row r="177">
          <cell r="E177" t="str">
            <v>OXXO</v>
          </cell>
          <cell r="F177" t="str">
            <v>IRARRAZAVAL 1</v>
          </cell>
          <cell r="G177" t="str">
            <v>AVENIDA IRARRÁZAVAL 1401, LOCAL 102 (EDIFICIO “CONCEPTO YOURS”)</v>
          </cell>
          <cell r="H177" t="str">
            <v>ÑUÑOA</v>
          </cell>
          <cell r="I177" t="str">
            <v>METROPOLITANA</v>
          </cell>
          <cell r="J177" t="str">
            <v>501CG</v>
          </cell>
          <cell r="K177" t="str">
            <v>cl-irarrazabal1@tiendas.oxxo.com</v>
          </cell>
          <cell r="L177" t="str">
            <v>TNM</v>
          </cell>
          <cell r="M177" t="str">
            <v>HOGAR C/FF</v>
          </cell>
          <cell r="N177" t="str">
            <v>C2</v>
          </cell>
          <cell r="O177" t="str">
            <v>NO</v>
          </cell>
          <cell r="P177" t="str">
            <v>COMPLETA</v>
          </cell>
          <cell r="T177" t="str">
            <v>SERRANO SOTO MANUEL</v>
          </cell>
          <cell r="U177" t="str">
            <v>manuel.serrano@oxxo.com</v>
          </cell>
          <cell r="V177">
            <v>56940201885</v>
          </cell>
          <cell r="W177" t="str">
            <v>RUIZ FERRER VANNA</v>
          </cell>
          <cell r="X177" t="str">
            <v>vanna.ruiz@oxxo.com</v>
          </cell>
          <cell r="Y177">
            <v>56994441705</v>
          </cell>
          <cell r="Z177" t="str">
            <v>YOSELENYS MARELIS PARGAS PONCE</v>
          </cell>
          <cell r="AL177" t="str">
            <v>12HRS</v>
          </cell>
          <cell r="AO177">
            <v>44984</v>
          </cell>
        </row>
        <row r="178">
          <cell r="E178" t="str">
            <v>OXXO - EX OKM</v>
          </cell>
          <cell r="F178" t="str">
            <v>MANUEL MONTT 2</v>
          </cell>
          <cell r="G178" t="str">
            <v>MANUEL MONTT 432</v>
          </cell>
          <cell r="H178" t="str">
            <v>PROVIDENCIA</v>
          </cell>
          <cell r="I178" t="str">
            <v>METROPOLITANA</v>
          </cell>
          <cell r="J178" t="str">
            <v>50OMO</v>
          </cell>
          <cell r="K178" t="str">
            <v>cl-manuelmontt2@tiendas.oxxo.com</v>
          </cell>
          <cell r="L178" t="str">
            <v>TMCB</v>
          </cell>
          <cell r="M178" t="str">
            <v>RECESO</v>
          </cell>
          <cell r="N178" t="str">
            <v>C2</v>
          </cell>
          <cell r="O178" t="str">
            <v>NO</v>
          </cell>
          <cell r="P178" t="str">
            <v>COMPLETA</v>
          </cell>
          <cell r="Q178" t="str">
            <v>NO</v>
          </cell>
          <cell r="R178" t="str">
            <v>NO</v>
          </cell>
          <cell r="S178" t="str">
            <v>NO</v>
          </cell>
          <cell r="T178" t="str">
            <v>BRESCIA RIVERA RODRIGO</v>
          </cell>
          <cell r="U178" t="str">
            <v>rodrigo.brescia@oxxo.com</v>
          </cell>
          <cell r="V178">
            <v>56994777909</v>
          </cell>
          <cell r="W178" t="str">
            <v>BARRIOS BAPTISTA JUAN JOSE</v>
          </cell>
          <cell r="X178" t="str">
            <v>juanj.barrios@oxxo.com</v>
          </cell>
          <cell r="Y178">
            <v>56998642001</v>
          </cell>
          <cell r="Z178" t="str">
            <v>ISIDORA ANTONIA JAVIA VALLEJOS</v>
          </cell>
          <cell r="AA178">
            <v>56992200989</v>
          </cell>
          <cell r="AB178">
            <v>0.29166666666666669</v>
          </cell>
          <cell r="AC178">
            <v>0.91666666666666663</v>
          </cell>
          <cell r="AD178">
            <v>0.29166666666666669</v>
          </cell>
          <cell r="AE178">
            <v>0.91666666666666663</v>
          </cell>
          <cell r="AF178">
            <v>0.33333333333333331</v>
          </cell>
          <cell r="AG178">
            <v>0.91666666666666663</v>
          </cell>
          <cell r="AH178">
            <v>0.4375</v>
          </cell>
          <cell r="AI178">
            <v>0.84375</v>
          </cell>
          <cell r="AJ178">
            <v>0.375</v>
          </cell>
          <cell r="AK178">
            <v>0.9375</v>
          </cell>
          <cell r="AL178" t="str">
            <v>12HRS</v>
          </cell>
          <cell r="AM178" t="str">
            <v>ROBERTO POBLETE</v>
          </cell>
          <cell r="AO178">
            <v>45058</v>
          </cell>
        </row>
        <row r="179">
          <cell r="E179" t="str">
            <v>OXXO</v>
          </cell>
          <cell r="F179" t="str">
            <v>MARCHANT PEREIRA</v>
          </cell>
          <cell r="G179" t="str">
            <v>MARCHANT PEREIRA 102,LOCAL 2</v>
          </cell>
          <cell r="H179" t="str">
            <v>PROVIDENCIA</v>
          </cell>
          <cell r="I179" t="str">
            <v>METROPOLITANA</v>
          </cell>
          <cell r="J179" t="str">
            <v>50CQD</v>
          </cell>
          <cell r="K179" t="str">
            <v>cl-marchantpereira@tiendas.oxxo.com</v>
          </cell>
          <cell r="L179" t="str">
            <v>TMCB</v>
          </cell>
          <cell r="M179" t="str">
            <v>RECESO</v>
          </cell>
          <cell r="N179" t="str">
            <v>C2</v>
          </cell>
          <cell r="O179" t="str">
            <v>NO</v>
          </cell>
          <cell r="P179" t="str">
            <v>COMPLETA</v>
          </cell>
          <cell r="Q179" t="str">
            <v>NO</v>
          </cell>
          <cell r="R179" t="str">
            <v>NO</v>
          </cell>
          <cell r="S179" t="str">
            <v>NO</v>
          </cell>
          <cell r="T179" t="str">
            <v>BRESCIA RIVERA RODRIGO</v>
          </cell>
          <cell r="U179" t="str">
            <v>rodrigo.brescia@oxxo.com</v>
          </cell>
          <cell r="V179">
            <v>56994777909</v>
          </cell>
          <cell r="W179" t="str">
            <v>LOPEZ MEZA LUIS JOSÉ</v>
          </cell>
          <cell r="X179" t="str">
            <v>luis.lopez@oxxo.com</v>
          </cell>
          <cell r="Y179">
            <v>56933740505</v>
          </cell>
          <cell r="Z179" t="str">
            <v>SENON ORTELLADO GONZALEZ</v>
          </cell>
          <cell r="AA179">
            <v>56938789151</v>
          </cell>
          <cell r="AB179">
            <v>0.29166666666666669</v>
          </cell>
          <cell r="AC179">
            <v>0.91666666666666663</v>
          </cell>
          <cell r="AD179">
            <v>0.29166666666666669</v>
          </cell>
          <cell r="AE179">
            <v>0.91666666666666663</v>
          </cell>
          <cell r="AF179">
            <v>0.33333333333333331</v>
          </cell>
          <cell r="AG179">
            <v>0.91666666666666663</v>
          </cell>
          <cell r="AH179">
            <v>0.39583333333333331</v>
          </cell>
          <cell r="AI179">
            <v>0.84375</v>
          </cell>
          <cell r="AJ179">
            <v>0.375</v>
          </cell>
          <cell r="AK179">
            <v>0.9375</v>
          </cell>
          <cell r="AL179" t="str">
            <v>12HRS</v>
          </cell>
          <cell r="AM179" t="str">
            <v>ROBERTO POBLETE</v>
          </cell>
          <cell r="AO179">
            <v>42942</v>
          </cell>
        </row>
        <row r="180">
          <cell r="E180" t="str">
            <v>OXXO - DLL</v>
          </cell>
          <cell r="F180" t="str">
            <v>AGUSTINAS SAN MARTIN 2</v>
          </cell>
          <cell r="G180" t="str">
            <v>AGUSTINAS 1502, LOCAL 5</v>
          </cell>
          <cell r="H180" t="str">
            <v>SANTIAGO</v>
          </cell>
          <cell r="I180" t="str">
            <v>METROPOLITANA</v>
          </cell>
          <cell r="J180" t="str">
            <v>50GIA</v>
          </cell>
          <cell r="K180" t="str">
            <v>cl-agustinassnmartin2@tiendas.oxxo.com</v>
          </cell>
          <cell r="L180" t="str">
            <v>TNM</v>
          </cell>
          <cell r="M180" t="str">
            <v>HOGAR C/FF</v>
          </cell>
          <cell r="N180" t="str">
            <v>C2</v>
          </cell>
          <cell r="O180" t="str">
            <v>SI</v>
          </cell>
          <cell r="P180" t="str">
            <v>PARCIAL</v>
          </cell>
          <cell r="T180" t="str">
            <v>SERRANO SOTO MANUEL</v>
          </cell>
          <cell r="U180" t="str">
            <v>manuel.serrano@oxxo.com</v>
          </cell>
          <cell r="V180">
            <v>56940201885</v>
          </cell>
          <cell r="W180" t="str">
            <v>LOPEZ CALDERON LUIS GERARDO</v>
          </cell>
          <cell r="X180" t="str">
            <v/>
          </cell>
          <cell r="Y180" t="str">
            <v/>
          </cell>
          <cell r="Z180" t="str">
            <v>ANDREA NATHALY RUIZ GALVIZ</v>
          </cell>
          <cell r="AA180">
            <v>983470744</v>
          </cell>
          <cell r="AL180" t="str">
            <v>12HRS</v>
          </cell>
          <cell r="AO180">
            <v>44985</v>
          </cell>
        </row>
        <row r="181">
          <cell r="E181" t="str">
            <v>OXXO</v>
          </cell>
          <cell r="F181" t="str">
            <v>SEMINARIO 2</v>
          </cell>
          <cell r="G181" t="str">
            <v>SEMINARIO 847</v>
          </cell>
          <cell r="H181" t="str">
            <v>ÑUÑOA</v>
          </cell>
          <cell r="I181" t="str">
            <v>METROPOLITANA</v>
          </cell>
          <cell r="J181" t="str">
            <v>50W8F</v>
          </cell>
          <cell r="K181" t="str">
            <v>cl-seminario2@tiendas.oxxo.com</v>
          </cell>
          <cell r="L181" t="str">
            <v>TNM</v>
          </cell>
          <cell r="M181" t="str">
            <v>HOGAR C/FF</v>
          </cell>
          <cell r="N181" t="str">
            <v>D</v>
          </cell>
          <cell r="O181" t="str">
            <v>NO</v>
          </cell>
          <cell r="P181" t="str">
            <v>COMPLETA</v>
          </cell>
          <cell r="T181" t="str">
            <v>SERRANO SOTO MANUEL</v>
          </cell>
          <cell r="U181" t="str">
            <v>manuel.serrano@oxxo.com</v>
          </cell>
          <cell r="V181">
            <v>56940201885</v>
          </cell>
          <cell r="W181" t="str">
            <v>RUIZ FERRER VANNA</v>
          </cell>
          <cell r="X181" t="str">
            <v>vanna.ruiz@oxxo.com</v>
          </cell>
          <cell r="Y181">
            <v>56994441705</v>
          </cell>
          <cell r="Z181" t="str">
            <v>S/I</v>
          </cell>
          <cell r="AL181" t="str">
            <v>12HRS</v>
          </cell>
          <cell r="AO181">
            <v>44994</v>
          </cell>
        </row>
        <row r="182">
          <cell r="E182" t="str">
            <v>OXXO</v>
          </cell>
          <cell r="F182" t="str">
            <v>PATRONATO</v>
          </cell>
          <cell r="G182" t="str">
            <v>AVENIDA RECOLETA N237</v>
          </cell>
          <cell r="H182" t="str">
            <v>RECOLETA</v>
          </cell>
          <cell r="I182" t="str">
            <v>METROPOLITANA</v>
          </cell>
          <cell r="J182" t="str">
            <v>50RCD</v>
          </cell>
          <cell r="K182" t="str">
            <v>cl-patronato@tiendas.oxxo.com</v>
          </cell>
          <cell r="L182" t="str">
            <v>TMCB</v>
          </cell>
          <cell r="M182" t="str">
            <v>HOGAR C/FF</v>
          </cell>
          <cell r="O182" t="str">
            <v>NO</v>
          </cell>
          <cell r="P182" t="str">
            <v>COMPLETA</v>
          </cell>
          <cell r="T182" t="str">
            <v>SERRANO SOTO MANUEL</v>
          </cell>
          <cell r="U182" t="str">
            <v>manuel.serrano@oxxo.com</v>
          </cell>
          <cell r="V182">
            <v>56940201885</v>
          </cell>
          <cell r="X182" t="str">
            <v/>
          </cell>
          <cell r="Y182" t="str">
            <v/>
          </cell>
          <cell r="Z182" t="str">
            <v>S/I</v>
          </cell>
          <cell r="AL182" t="str">
            <v>12HRS</v>
          </cell>
          <cell r="AO182">
            <v>45016</v>
          </cell>
        </row>
        <row r="183">
          <cell r="E183" t="str">
            <v>OXXO</v>
          </cell>
          <cell r="F183" t="str">
            <v>MARDOQUEO FERNANDEZ</v>
          </cell>
          <cell r="G183" t="str">
            <v>MARDOQUEO FERNANDEZ 91 LOCAL 2</v>
          </cell>
          <cell r="H183" t="str">
            <v>PROVIDENCIA</v>
          </cell>
          <cell r="I183" t="str">
            <v>METROPOLITANA</v>
          </cell>
          <cell r="J183" t="str">
            <v>50TEJ</v>
          </cell>
          <cell r="K183" t="str">
            <v>cl-mardoqueofernandez@tiendas.oxxo.com</v>
          </cell>
          <cell r="L183" t="str">
            <v>TMCB</v>
          </cell>
          <cell r="M183" t="str">
            <v>RECESO</v>
          </cell>
          <cell r="N183" t="str">
            <v>C2</v>
          </cell>
          <cell r="O183" t="str">
            <v>NO</v>
          </cell>
          <cell r="P183" t="str">
            <v>COMPLETA</v>
          </cell>
          <cell r="Q183" t="str">
            <v>NO</v>
          </cell>
          <cell r="R183" t="str">
            <v>NO</v>
          </cell>
          <cell r="S183" t="str">
            <v>NO</v>
          </cell>
          <cell r="T183" t="str">
            <v>BRESCIA RIVERA RODRIGO</v>
          </cell>
          <cell r="U183" t="str">
            <v>rodrigo.brescia@oxxo.com</v>
          </cell>
          <cell r="V183">
            <v>56994777909</v>
          </cell>
          <cell r="W183" t="str">
            <v>LOPEZ MEZA LUIS JOSÉ</v>
          </cell>
          <cell r="X183" t="str">
            <v>luis.lopez@oxxo.com</v>
          </cell>
          <cell r="Y183">
            <v>56933740505</v>
          </cell>
          <cell r="Z183" t="str">
            <v>CARLOS EDUARDO CASTILLO RIVERA</v>
          </cell>
          <cell r="AA183">
            <v>56996848093</v>
          </cell>
          <cell r="AB183">
            <v>0.29166666666666669</v>
          </cell>
          <cell r="AC183">
            <v>0.91666666666666663</v>
          </cell>
          <cell r="AD183">
            <v>0.29166666666666669</v>
          </cell>
          <cell r="AE183">
            <v>0.91666666666666663</v>
          </cell>
          <cell r="AF183">
            <v>0.33333333333333331</v>
          </cell>
          <cell r="AG183">
            <v>0.91666666666666663</v>
          </cell>
          <cell r="AH183" t="str">
            <v>Cerrado</v>
          </cell>
          <cell r="AI183" t="str">
            <v>Cerrado</v>
          </cell>
          <cell r="AJ183">
            <v>0.375</v>
          </cell>
          <cell r="AK183">
            <v>0.9375</v>
          </cell>
          <cell r="AL183" t="str">
            <v>12HRS</v>
          </cell>
          <cell r="AM183" t="str">
            <v>ROBERTO POBLETE</v>
          </cell>
          <cell r="AO183">
            <v>44804</v>
          </cell>
        </row>
        <row r="184">
          <cell r="E184" t="str">
            <v>OXXO - EX OKM</v>
          </cell>
          <cell r="F184" t="str">
            <v>MARTIN DE ZAMORA 2</v>
          </cell>
          <cell r="G184" t="str">
            <v>MARTÍN DE ZAMORA 5278</v>
          </cell>
          <cell r="H184" t="str">
            <v>LAS CONDES</v>
          </cell>
          <cell r="I184" t="str">
            <v>METROPOLITANA</v>
          </cell>
          <cell r="J184" t="str">
            <v>50OMZ</v>
          </cell>
          <cell r="K184" t="str">
            <v>cl-martindezamora@tiendas.oxxo.com</v>
          </cell>
          <cell r="L184" t="str">
            <v>TMCB</v>
          </cell>
          <cell r="M184" t="str">
            <v>HOGAR</v>
          </cell>
          <cell r="N184" t="str">
            <v>C2</v>
          </cell>
          <cell r="O184" t="str">
            <v>NO</v>
          </cell>
          <cell r="P184" t="str">
            <v>COMPLETA</v>
          </cell>
          <cell r="Q184" t="str">
            <v>NO</v>
          </cell>
          <cell r="R184" t="str">
            <v>NO</v>
          </cell>
          <cell r="S184" t="str">
            <v>NO</v>
          </cell>
          <cell r="T184" t="str">
            <v>BRESCIA RIVERA RODRIGO</v>
          </cell>
          <cell r="U184" t="str">
            <v>rodrigo.brescia@oxxo.com</v>
          </cell>
          <cell r="V184">
            <v>56994777909</v>
          </cell>
          <cell r="W184" t="str">
            <v>BENITEZ QUILODRAN HUGO</v>
          </cell>
          <cell r="X184" t="str">
            <v>hugo.benitez@oxxo.com</v>
          </cell>
          <cell r="Y184">
            <v>56998355780</v>
          </cell>
          <cell r="Z184" t="str">
            <v>BLANCA OSVEIDA DE LA ROSA CARRASCO</v>
          </cell>
          <cell r="AA184">
            <v>56947711514</v>
          </cell>
          <cell r="AB184">
            <v>0.29166666666666669</v>
          </cell>
          <cell r="AC184">
            <v>0.91666666666666663</v>
          </cell>
          <cell r="AD184">
            <v>0.29166666666666669</v>
          </cell>
          <cell r="AE184">
            <v>0.91666666666666663</v>
          </cell>
          <cell r="AF184">
            <v>0.33333333333333331</v>
          </cell>
          <cell r="AG184">
            <v>0.91666666666666663</v>
          </cell>
          <cell r="AH184">
            <v>0.39583333333333331</v>
          </cell>
          <cell r="AI184">
            <v>0.84375</v>
          </cell>
          <cell r="AJ184">
            <v>0.375</v>
          </cell>
          <cell r="AK184">
            <v>0.9375</v>
          </cell>
          <cell r="AL184" t="str">
            <v>12HRS</v>
          </cell>
          <cell r="AM184" t="str">
            <v>ROBERTO POBLETE</v>
          </cell>
          <cell r="AO184">
            <v>45416</v>
          </cell>
        </row>
        <row r="185">
          <cell r="E185" t="str">
            <v>OXXO</v>
          </cell>
          <cell r="F185" t="str">
            <v>MATTE PEREZ</v>
          </cell>
          <cell r="G185" t="str">
            <v>CONDELL N476, LOCAL 101</v>
          </cell>
          <cell r="H185" t="str">
            <v>PROVIDENCIA</v>
          </cell>
          <cell r="I185" t="str">
            <v>METROPOLITANA</v>
          </cell>
          <cell r="J185" t="str">
            <v>50XUH</v>
          </cell>
          <cell r="K185" t="str">
            <v>cl-matteperez@tiendas.oxxo.com</v>
          </cell>
          <cell r="L185" t="str">
            <v>TMCB</v>
          </cell>
          <cell r="M185" t="str">
            <v>BASE</v>
          </cell>
          <cell r="N185" t="str">
            <v>ABC1</v>
          </cell>
          <cell r="O185" t="str">
            <v>NO</v>
          </cell>
          <cell r="P185" t="str">
            <v>COMPLETA</v>
          </cell>
          <cell r="Q185" t="str">
            <v>NO</v>
          </cell>
          <cell r="R185" t="str">
            <v>NO</v>
          </cell>
          <cell r="S185" t="str">
            <v>NO</v>
          </cell>
          <cell r="T185" t="str">
            <v>BRESCIA RIVERA RODRIGO</v>
          </cell>
          <cell r="U185" t="str">
            <v>rodrigo.brescia@oxxo.com</v>
          </cell>
          <cell r="V185">
            <v>56994777909</v>
          </cell>
          <cell r="W185" t="str">
            <v>BARRIOS BAPTISTA JUAN JOSE</v>
          </cell>
          <cell r="X185" t="str">
            <v>juanj.barrios@oxxo.com</v>
          </cell>
          <cell r="Y185">
            <v>56998642001</v>
          </cell>
          <cell r="Z185" t="str">
            <v>CARLOS MENDEZ QUINTERO</v>
          </cell>
          <cell r="AB185">
            <v>0.29166666666666669</v>
          </cell>
          <cell r="AC185">
            <v>0.91666666666666663</v>
          </cell>
          <cell r="AD185">
            <v>0.29166666666666669</v>
          </cell>
          <cell r="AE185">
            <v>0.91666666666666663</v>
          </cell>
          <cell r="AF185">
            <v>0.33333333333333331</v>
          </cell>
          <cell r="AG185">
            <v>0.91666666666666663</v>
          </cell>
          <cell r="AH185">
            <v>0.39583333333333331</v>
          </cell>
          <cell r="AI185">
            <v>0.84375</v>
          </cell>
          <cell r="AJ185">
            <v>0.39583333333333331</v>
          </cell>
          <cell r="AK185">
            <v>0.95833333333333337</v>
          </cell>
          <cell r="AL185" t="str">
            <v>12HRS</v>
          </cell>
          <cell r="AM185" t="str">
            <v>ROBERTO POBLETE</v>
          </cell>
          <cell r="AO185">
            <v>45077</v>
          </cell>
        </row>
        <row r="186">
          <cell r="E186" t="str">
            <v>OXXO</v>
          </cell>
          <cell r="F186" t="str">
            <v>METRO BIO BIO</v>
          </cell>
          <cell r="G186" t="str">
            <v>AV. CENTENARIO NRO: LOTE 1 LINEA 6, NIVEL -2 LOCAL 01 Y 02</v>
          </cell>
          <cell r="H186" t="str">
            <v>SAN MIGUEL</v>
          </cell>
          <cell r="I186" t="str">
            <v>METROPOLITANA</v>
          </cell>
          <cell r="J186" t="str">
            <v>50MAD</v>
          </cell>
          <cell r="K186" t="str">
            <v>cl-metrobiobio@tiendas.oxxo.com</v>
          </cell>
          <cell r="L186" t="str">
            <v>TMCB</v>
          </cell>
          <cell r="M186" t="str">
            <v>RECESO</v>
          </cell>
          <cell r="N186" t="str">
            <v>C2</v>
          </cell>
          <cell r="O186" t="str">
            <v>NO</v>
          </cell>
          <cell r="P186" t="str">
            <v>COMPLETA</v>
          </cell>
          <cell r="Q186" t="str">
            <v>NO</v>
          </cell>
          <cell r="R186" t="str">
            <v>NO</v>
          </cell>
          <cell r="S186" t="str">
            <v>NO</v>
          </cell>
          <cell r="T186" t="str">
            <v>BRESCIA RIVERA RODRIGO</v>
          </cell>
          <cell r="U186" t="str">
            <v>rodrigo.brescia@oxxo.com</v>
          </cell>
          <cell r="V186">
            <v>56994777909</v>
          </cell>
          <cell r="W186" t="str">
            <v>RODRIGUEZ ABREU ROSA</v>
          </cell>
          <cell r="X186" t="str">
            <v>rosa.rodriguezabreu@oxxo.com</v>
          </cell>
          <cell r="Y186">
            <v>56989993870</v>
          </cell>
          <cell r="Z186" t="str">
            <v>FRANCY MILY BLANCO .</v>
          </cell>
          <cell r="AA186">
            <v>56934193766</v>
          </cell>
          <cell r="AB186">
            <v>0.25</v>
          </cell>
          <cell r="AC186">
            <v>0.95833333333333337</v>
          </cell>
          <cell r="AD186">
            <v>0.25</v>
          </cell>
          <cell r="AE186">
            <v>0.95833333333333337</v>
          </cell>
          <cell r="AF186">
            <v>0.33333333333333331</v>
          </cell>
          <cell r="AG186">
            <v>0.91666666666666663</v>
          </cell>
          <cell r="AH186">
            <v>0.39583333333333331</v>
          </cell>
          <cell r="AI186">
            <v>0.84375</v>
          </cell>
          <cell r="AJ186">
            <v>0.375</v>
          </cell>
          <cell r="AK186">
            <v>0.9375</v>
          </cell>
          <cell r="AL186" t="str">
            <v>12HRS</v>
          </cell>
          <cell r="AM186" t="str">
            <v>ROBERTO POBLETE</v>
          </cell>
          <cell r="AO186">
            <v>43169</v>
          </cell>
        </row>
        <row r="187">
          <cell r="E187" t="str">
            <v>OXXO</v>
          </cell>
          <cell r="F187" t="str">
            <v>PUDAHUEL SAN PABLO 2</v>
          </cell>
          <cell r="G187" t="str">
            <v>SAN PABLO 8315, LOCAL 3</v>
          </cell>
          <cell r="H187" t="str">
            <v>PUDAHUEL</v>
          </cell>
          <cell r="I187" t="str">
            <v>METROPOLITANA</v>
          </cell>
          <cell r="J187" t="str">
            <v>50AZF</v>
          </cell>
          <cell r="K187" t="str">
            <v>cl-sanpablo2@tiendas.oxxo.com</v>
          </cell>
          <cell r="L187" t="str">
            <v>TNM</v>
          </cell>
          <cell r="M187" t="str">
            <v>RECESO</v>
          </cell>
          <cell r="N187" t="str">
            <v>C3</v>
          </cell>
          <cell r="O187" t="str">
            <v>NO</v>
          </cell>
          <cell r="P187" t="str">
            <v>COMPLETA</v>
          </cell>
          <cell r="T187" t="str">
            <v>SERRANO SOTO MANUEL</v>
          </cell>
          <cell r="U187" t="str">
            <v>manuel.serrano@oxxo.com</v>
          </cell>
          <cell r="V187">
            <v>56940201885</v>
          </cell>
          <cell r="X187" t="str">
            <v/>
          </cell>
          <cell r="Y187" t="str">
            <v/>
          </cell>
          <cell r="Z187" t="str">
            <v>CECILIA DEL CARMEN ROJAS FIGUEROA</v>
          </cell>
          <cell r="AL187" t="str">
            <v>12HRS</v>
          </cell>
          <cell r="AO187">
            <v>45040</v>
          </cell>
        </row>
        <row r="188">
          <cell r="E188" t="str">
            <v>OXXO</v>
          </cell>
          <cell r="F188" t="str">
            <v>METRO CAL Y CANTO</v>
          </cell>
          <cell r="G188" t="str">
            <v>GENERAL MACKENNA 1010. ESTACIÓN METRO CAL Y CANTO</v>
          </cell>
          <cell r="H188" t="str">
            <v>SANTIAGO</v>
          </cell>
          <cell r="I188" t="str">
            <v>METROPOLITANA</v>
          </cell>
          <cell r="J188" t="str">
            <v>50MPC</v>
          </cell>
          <cell r="K188" t="str">
            <v>cl-metrocalycanto@tiendas.oxxo.com</v>
          </cell>
          <cell r="L188" t="str">
            <v>TMCB</v>
          </cell>
          <cell r="M188" t="str">
            <v>RECESO</v>
          </cell>
          <cell r="N188" t="str">
            <v>D</v>
          </cell>
          <cell r="O188" t="str">
            <v>NO</v>
          </cell>
          <cell r="P188" t="str">
            <v>COMPLETA</v>
          </cell>
          <cell r="Q188" t="str">
            <v>NO</v>
          </cell>
          <cell r="R188" t="str">
            <v>NO</v>
          </cell>
          <cell r="S188" t="str">
            <v>NO</v>
          </cell>
          <cell r="T188" t="str">
            <v>BRESCIA RIVERA RODRIGO</v>
          </cell>
          <cell r="U188" t="str">
            <v>rodrigo.brescia@oxxo.com</v>
          </cell>
          <cell r="V188">
            <v>56994777909</v>
          </cell>
          <cell r="W188" t="str">
            <v>RODRIGUEZ ABREU ROSA</v>
          </cell>
          <cell r="X188" t="str">
            <v>rosa.rodriguezabreu@oxxo.com</v>
          </cell>
          <cell r="Y188">
            <v>56989993870</v>
          </cell>
          <cell r="Z188" t="str">
            <v>FRANCO ANDRES SAGREDO MUÑOZ</v>
          </cell>
          <cell r="AA188">
            <v>56950984286</v>
          </cell>
          <cell r="AB188">
            <v>0.25</v>
          </cell>
          <cell r="AC188">
            <v>0.95833333333333337</v>
          </cell>
          <cell r="AD188">
            <v>0.25</v>
          </cell>
          <cell r="AE188">
            <v>0.95833333333333337</v>
          </cell>
          <cell r="AF188">
            <v>0.33333333333333331</v>
          </cell>
          <cell r="AG188">
            <v>0.91666666666666663</v>
          </cell>
          <cell r="AH188">
            <v>0.39583333333333331</v>
          </cell>
          <cell r="AI188">
            <v>0.84375</v>
          </cell>
          <cell r="AJ188">
            <v>0.375</v>
          </cell>
          <cell r="AK188">
            <v>0.9375</v>
          </cell>
          <cell r="AL188" t="str">
            <v>12HRS</v>
          </cell>
          <cell r="AM188" t="str">
            <v>ROBERTO POBLETE</v>
          </cell>
          <cell r="AO188">
            <v>43829</v>
          </cell>
        </row>
        <row r="189">
          <cell r="E189" t="str">
            <v>OXXO</v>
          </cell>
          <cell r="F189" t="str">
            <v>METRO FRANKLIN</v>
          </cell>
          <cell r="G189" t="str">
            <v>NATANIEL COX 2370, LOCAL 4</v>
          </cell>
          <cell r="H189" t="str">
            <v>SANTIAGO</v>
          </cell>
          <cell r="I189" t="str">
            <v>METROPOLITANA</v>
          </cell>
          <cell r="J189" t="str">
            <v>50DKO</v>
          </cell>
          <cell r="K189" t="str">
            <v>cl-metrofranklin@tiendas.oxxo.com</v>
          </cell>
          <cell r="L189" t="str">
            <v>TMCB</v>
          </cell>
          <cell r="M189" t="str">
            <v>RECESO</v>
          </cell>
          <cell r="N189" t="str">
            <v>C3</v>
          </cell>
          <cell r="O189" t="str">
            <v>NO</v>
          </cell>
          <cell r="P189" t="str">
            <v>COMPLETA</v>
          </cell>
          <cell r="Q189" t="str">
            <v>NO</v>
          </cell>
          <cell r="R189" t="str">
            <v>NO</v>
          </cell>
          <cell r="S189" t="str">
            <v>NO</v>
          </cell>
          <cell r="T189" t="str">
            <v>BRESCIA RIVERA RODRIGO</v>
          </cell>
          <cell r="U189" t="str">
            <v>rodrigo.brescia@oxxo.com</v>
          </cell>
          <cell r="V189">
            <v>56994777909</v>
          </cell>
          <cell r="W189" t="str">
            <v>RODRIGUEZ ABREU ROSA</v>
          </cell>
          <cell r="X189" t="str">
            <v>rosa.rodriguezabreu@oxxo.com</v>
          </cell>
          <cell r="Y189">
            <v>56989993870</v>
          </cell>
          <cell r="Z189" t="str">
            <v>OSCAR GUAYAO BAZAN</v>
          </cell>
          <cell r="AA189">
            <v>56954331167</v>
          </cell>
          <cell r="AB189">
            <v>0.25</v>
          </cell>
          <cell r="AC189">
            <v>0.95833333333333337</v>
          </cell>
          <cell r="AD189">
            <v>0.25</v>
          </cell>
          <cell r="AE189">
            <v>0.95833333333333337</v>
          </cell>
          <cell r="AF189">
            <v>0.33333333333333331</v>
          </cell>
          <cell r="AG189">
            <v>0.91666666666666663</v>
          </cell>
          <cell r="AH189">
            <v>0.39583333333333331</v>
          </cell>
          <cell r="AI189">
            <v>0.84375</v>
          </cell>
          <cell r="AJ189">
            <v>0.375</v>
          </cell>
          <cell r="AK189">
            <v>0.9375</v>
          </cell>
          <cell r="AL189" t="str">
            <v>12HRS</v>
          </cell>
          <cell r="AM189" t="str">
            <v>ROBERTO POBLETE</v>
          </cell>
          <cell r="AO189">
            <v>43357</v>
          </cell>
        </row>
        <row r="190">
          <cell r="E190" t="str">
            <v>OXXO</v>
          </cell>
          <cell r="F190" t="str">
            <v>EL MANZANO</v>
          </cell>
          <cell r="G190" t="str">
            <v>EL MANZANO 54</v>
          </cell>
          <cell r="H190" t="str">
            <v>RECOLETA</v>
          </cell>
          <cell r="I190" t="str">
            <v>METROPOLITANA</v>
          </cell>
          <cell r="J190" t="str">
            <v>50LVO</v>
          </cell>
          <cell r="K190" t="str">
            <v>cl-elmanzano@tiendas.oxxo.com</v>
          </cell>
          <cell r="L190" t="str">
            <v>TNM</v>
          </cell>
          <cell r="M190" t="str">
            <v>HOGAR C/FF</v>
          </cell>
          <cell r="N190" t="str">
            <v>C2</v>
          </cell>
          <cell r="O190" t="str">
            <v>NO</v>
          </cell>
          <cell r="P190" t="str">
            <v>PARCIAL</v>
          </cell>
          <cell r="T190" t="str">
            <v>SERRANO SOTO MANUEL</v>
          </cell>
          <cell r="U190" t="str">
            <v>manuel.serrano@oxxo.com</v>
          </cell>
          <cell r="V190">
            <v>56940201885</v>
          </cell>
          <cell r="X190" t="str">
            <v/>
          </cell>
          <cell r="Y190" t="str">
            <v/>
          </cell>
          <cell r="Z190" t="str">
            <v>CHRISTIAN JORDY EPIFANIA PONTE</v>
          </cell>
          <cell r="AA190">
            <v>992196298</v>
          </cell>
          <cell r="AL190" t="str">
            <v>12HRS</v>
          </cell>
          <cell r="AO190">
            <v>45044</v>
          </cell>
        </row>
        <row r="191">
          <cell r="E191" t="str">
            <v>OXXO</v>
          </cell>
          <cell r="F191" t="str">
            <v>METRO GRUTA LOURDES</v>
          </cell>
          <cell r="G191" t="str">
            <v>AV. SAN PABLO 4098, LOCAL 1</v>
          </cell>
          <cell r="H191" t="str">
            <v>QUINTA NORMAL</v>
          </cell>
          <cell r="I191" t="str">
            <v>METROPOLITANA</v>
          </cell>
          <cell r="J191" t="str">
            <v>50FF5</v>
          </cell>
          <cell r="K191" t="str">
            <v>cl-metrogrutadelourdes@tiendas.oxxo.com</v>
          </cell>
          <cell r="L191" t="str">
            <v>TNM</v>
          </cell>
          <cell r="M191" t="str">
            <v>RECESO</v>
          </cell>
          <cell r="O191" t="str">
            <v>NO</v>
          </cell>
          <cell r="P191" t="str">
            <v>COMPLETA</v>
          </cell>
          <cell r="Q191" t="str">
            <v>NO</v>
          </cell>
          <cell r="R191" t="str">
            <v>SI</v>
          </cell>
          <cell r="S191" t="str">
            <v>NO</v>
          </cell>
          <cell r="T191" t="str">
            <v>BRESCIA RIVERA RODRIGO</v>
          </cell>
          <cell r="U191" t="str">
            <v>rodrigo.brescia@oxxo.com</v>
          </cell>
          <cell r="V191">
            <v>56994777909</v>
          </cell>
          <cell r="W191" t="str">
            <v>RODRIGUEZ ABREU ROSA</v>
          </cell>
          <cell r="X191" t="str">
            <v>rosa.rodriguezabreu@oxxo.com</v>
          </cell>
          <cell r="Y191">
            <v>56989993870</v>
          </cell>
          <cell r="Z191" t="str">
            <v>RESNERY FRANCELIS MELENDEZ SERRADA</v>
          </cell>
          <cell r="AA191">
            <v>56976216530</v>
          </cell>
          <cell r="AB191">
            <v>0.25</v>
          </cell>
          <cell r="AC191">
            <v>0.95833333333333337</v>
          </cell>
          <cell r="AD191">
            <v>0.25</v>
          </cell>
          <cell r="AE191">
            <v>0.95833333333333337</v>
          </cell>
          <cell r="AF191">
            <v>0.33333333333333331</v>
          </cell>
          <cell r="AG191">
            <v>0.91666666666666663</v>
          </cell>
          <cell r="AH191">
            <v>0.39583333333333331</v>
          </cell>
          <cell r="AI191">
            <v>0.84375</v>
          </cell>
          <cell r="AJ191">
            <v>0.375</v>
          </cell>
          <cell r="AK191">
            <v>0.84375</v>
          </cell>
          <cell r="AL191" t="str">
            <v>12HRS</v>
          </cell>
          <cell r="AM191" t="str">
            <v>ROBERTO POBLETE</v>
          </cell>
          <cell r="AO191">
            <v>45443</v>
          </cell>
        </row>
        <row r="192">
          <cell r="E192" t="str">
            <v>OXXO</v>
          </cell>
          <cell r="F192" t="str">
            <v>METRO HOSPITAL EL PINO</v>
          </cell>
          <cell r="G192" t="str">
            <v>AV. PADRE HURTADO 13310 - LOCAL 2</v>
          </cell>
          <cell r="H192" t="str">
            <v>SAN BERNARDO</v>
          </cell>
          <cell r="I192" t="str">
            <v>METROPOLITANA</v>
          </cell>
          <cell r="J192" t="str">
            <v>50KJP</v>
          </cell>
          <cell r="K192" t="str">
            <v>cl-metrohospitalelpino@tiendas.oxxo.com</v>
          </cell>
          <cell r="L192" t="str">
            <v>TNM</v>
          </cell>
          <cell r="M192" t="str">
            <v>RECESO</v>
          </cell>
          <cell r="O192" t="str">
            <v>NO</v>
          </cell>
          <cell r="P192" t="str">
            <v>COMPLETA</v>
          </cell>
          <cell r="Q192" t="str">
            <v>NO</v>
          </cell>
          <cell r="R192" t="str">
            <v>NO</v>
          </cell>
          <cell r="S192" t="str">
            <v>NO</v>
          </cell>
          <cell r="T192" t="str">
            <v>BRESCIA RIVERA RODRIGO</v>
          </cell>
          <cell r="U192" t="str">
            <v>rodrigo.brescia@oxxo.com</v>
          </cell>
          <cell r="V192">
            <v>56994777909</v>
          </cell>
          <cell r="W192" t="str">
            <v>RODRIGUEZ ABREU ROSA</v>
          </cell>
          <cell r="X192" t="str">
            <v>rosa.rodriguezabreu@oxxo.com</v>
          </cell>
          <cell r="Y192">
            <v>56989993870</v>
          </cell>
          <cell r="Z192" t="str">
            <v>NATALIA SANHUEZA FLORES</v>
          </cell>
          <cell r="AA192">
            <v>56968302859</v>
          </cell>
          <cell r="AB192">
            <v>0.25</v>
          </cell>
          <cell r="AC192">
            <v>0.95833333333333337</v>
          </cell>
          <cell r="AD192">
            <v>0.25</v>
          </cell>
          <cell r="AE192">
            <v>0.95833333333333337</v>
          </cell>
          <cell r="AF192">
            <v>0.33333333333333331</v>
          </cell>
          <cell r="AG192">
            <v>0.91666666666666663</v>
          </cell>
          <cell r="AH192">
            <v>0.39583333333333331</v>
          </cell>
          <cell r="AI192">
            <v>0.84375</v>
          </cell>
          <cell r="AJ192">
            <v>0.375</v>
          </cell>
          <cell r="AK192">
            <v>0.84375</v>
          </cell>
          <cell r="AL192" t="str">
            <v>12HRS</v>
          </cell>
          <cell r="AM192" t="str">
            <v>ROBERTO POBLETE</v>
          </cell>
          <cell r="AO192">
            <v>45471</v>
          </cell>
        </row>
        <row r="193">
          <cell r="E193" t="str">
            <v>OXXO</v>
          </cell>
          <cell r="F193" t="str">
            <v>ROSAS</v>
          </cell>
          <cell r="G193" t="str">
            <v>ROSAS 1173</v>
          </cell>
          <cell r="H193" t="str">
            <v>SANTIAGO</v>
          </cell>
          <cell r="I193" t="str">
            <v>METROPOLITANA</v>
          </cell>
          <cell r="J193" t="str">
            <v>5041I</v>
          </cell>
          <cell r="K193" t="str">
            <v>cl-rosas@tiendas.oxxo.com</v>
          </cell>
          <cell r="L193" t="str">
            <v>T2023</v>
          </cell>
          <cell r="M193" t="str">
            <v>HOGAR C/FF</v>
          </cell>
          <cell r="N193" t="str">
            <v>C3</v>
          </cell>
          <cell r="O193" t="str">
            <v>NO</v>
          </cell>
          <cell r="P193" t="str">
            <v>PARCIAL</v>
          </cell>
          <cell r="T193" t="str">
            <v>SERRANO SOTO MANUEL</v>
          </cell>
          <cell r="U193" t="str">
            <v>manuel.serrano@oxxo.com</v>
          </cell>
          <cell r="V193">
            <v>56940201885</v>
          </cell>
          <cell r="X193" t="str">
            <v/>
          </cell>
          <cell r="Y193" t="str">
            <v/>
          </cell>
          <cell r="Z193" t="str">
            <v>NATHALY GUTIERREZ ARENEDA</v>
          </cell>
          <cell r="AA193">
            <v>992194196</v>
          </cell>
          <cell r="AL193" t="str">
            <v>12HRS</v>
          </cell>
          <cell r="AO193">
            <v>45072</v>
          </cell>
        </row>
        <row r="194">
          <cell r="E194" t="str">
            <v>OXXO</v>
          </cell>
          <cell r="F194" t="str">
            <v>INGLATERRA</v>
          </cell>
          <cell r="G194" t="str">
            <v>INGLATERRA 59, LOCAL 104</v>
          </cell>
          <cell r="H194" t="str">
            <v>LA FLORIDA</v>
          </cell>
          <cell r="I194" t="str">
            <v>METROPOLITANA</v>
          </cell>
          <cell r="J194" t="str">
            <v>50ODG</v>
          </cell>
          <cell r="K194" t="str">
            <v>cl-inglaterra@tiendas.oxxo.com</v>
          </cell>
          <cell r="L194" t="str">
            <v>TNM</v>
          </cell>
          <cell r="M194" t="str">
            <v>HOGAR</v>
          </cell>
          <cell r="N194" t="str">
            <v>C2</v>
          </cell>
          <cell r="O194" t="str">
            <v>NO</v>
          </cell>
          <cell r="P194" t="str">
            <v>COMPLETA</v>
          </cell>
          <cell r="T194" t="str">
            <v>SERRANO SOTO MANUEL</v>
          </cell>
          <cell r="U194" t="str">
            <v>manuel.serrano@oxxo.com</v>
          </cell>
          <cell r="V194">
            <v>56940201885</v>
          </cell>
          <cell r="X194" t="str">
            <v/>
          </cell>
          <cell r="Y194" t="str">
            <v/>
          </cell>
          <cell r="Z194" t="str">
            <v>YESAYNETT GRISETH GALLARDO CLARA</v>
          </cell>
          <cell r="AA194">
            <v>996848093</v>
          </cell>
          <cell r="AL194" t="str">
            <v>12HRS</v>
          </cell>
          <cell r="AO194">
            <v>45077</v>
          </cell>
        </row>
        <row r="195">
          <cell r="E195" t="str">
            <v>OXXO</v>
          </cell>
          <cell r="F195" t="str">
            <v>INDEPENDENCIA 2</v>
          </cell>
          <cell r="G195" t="str">
            <v>INDEPENDENCIA 976</v>
          </cell>
          <cell r="H195" t="str">
            <v>INDEPENDENCIA</v>
          </cell>
          <cell r="I195" t="str">
            <v>METROPOLITANA</v>
          </cell>
          <cell r="J195" t="str">
            <v>502IY</v>
          </cell>
          <cell r="K195" t="str">
            <v>cl-independencia2@tiendas.oxxo.com</v>
          </cell>
          <cell r="L195" t="str">
            <v>TNM</v>
          </cell>
          <cell r="M195" t="str">
            <v>HOGAR C/FF</v>
          </cell>
          <cell r="N195" t="str">
            <v>C3</v>
          </cell>
          <cell r="O195" t="str">
            <v>NO</v>
          </cell>
          <cell r="P195" t="str">
            <v>COMPLETA</v>
          </cell>
          <cell r="T195" t="str">
            <v>SERRANO SOTO MANUEL</v>
          </cell>
          <cell r="U195" t="str">
            <v>manuel.serrano@oxxo.com</v>
          </cell>
          <cell r="V195">
            <v>56940201885</v>
          </cell>
          <cell r="X195" t="str">
            <v/>
          </cell>
          <cell r="Y195" t="str">
            <v/>
          </cell>
          <cell r="Z195" t="str">
            <v>ALANYS ANGULO FUENMAYOR</v>
          </cell>
          <cell r="AA195">
            <v>992194635</v>
          </cell>
          <cell r="AL195" t="str">
            <v>12HRS</v>
          </cell>
          <cell r="AO195">
            <v>45107</v>
          </cell>
        </row>
        <row r="196">
          <cell r="E196" t="str">
            <v>OXXO</v>
          </cell>
          <cell r="F196" t="str">
            <v>METRO IRARRAZAVAL</v>
          </cell>
          <cell r="G196" t="str">
            <v>IRARRÁZAVAL 351 LOCAL 2-3 (LÍNEA 5)</v>
          </cell>
          <cell r="H196" t="str">
            <v>ÑUÑOA</v>
          </cell>
          <cell r="I196" t="str">
            <v>METROPOLITANA</v>
          </cell>
          <cell r="J196" t="str">
            <v>50LJM</v>
          </cell>
          <cell r="K196" t="str">
            <v>cl-metroirarrazaval@tiendas.oxxo.com</v>
          </cell>
          <cell r="L196" t="str">
            <v>TNM</v>
          </cell>
          <cell r="M196" t="str">
            <v>RECESO</v>
          </cell>
          <cell r="O196" t="str">
            <v>NO</v>
          </cell>
          <cell r="P196" t="str">
            <v>COMPLETA</v>
          </cell>
          <cell r="Q196" t="str">
            <v>NO</v>
          </cell>
          <cell r="R196" t="str">
            <v>NO</v>
          </cell>
          <cell r="S196" t="str">
            <v>NO</v>
          </cell>
          <cell r="T196" t="str">
            <v>BRESCIA RIVERA RODRIGO</v>
          </cell>
          <cell r="U196" t="str">
            <v>rodrigo.brescia@oxxo.com</v>
          </cell>
          <cell r="V196">
            <v>56994777909</v>
          </cell>
          <cell r="W196" t="str">
            <v>RODRIGUEZ ABREU ROSA</v>
          </cell>
          <cell r="X196" t="str">
            <v>rosa.rodriguezabreu@oxxo.com</v>
          </cell>
          <cell r="Y196">
            <v>56989993870</v>
          </cell>
          <cell r="Z196" t="str">
            <v>S/I</v>
          </cell>
          <cell r="AA196">
            <v>56992200511</v>
          </cell>
          <cell r="AB196">
            <v>0.25</v>
          </cell>
          <cell r="AC196">
            <v>0.95833333333333337</v>
          </cell>
          <cell r="AD196">
            <v>0.25</v>
          </cell>
          <cell r="AE196">
            <v>0.95833333333333337</v>
          </cell>
          <cell r="AF196">
            <v>0.33333333333333331</v>
          </cell>
          <cell r="AG196">
            <v>0.91666666666666663</v>
          </cell>
          <cell r="AH196">
            <v>0.39583333333333331</v>
          </cell>
          <cell r="AI196">
            <v>0.84375</v>
          </cell>
          <cell r="AL196" t="str">
            <v>12HRS</v>
          </cell>
          <cell r="AM196" t="str">
            <v>ROBERTO POBLETE</v>
          </cell>
          <cell r="AO196">
            <v>45724</v>
          </cell>
        </row>
        <row r="197">
          <cell r="E197" t="str">
            <v>OXXO</v>
          </cell>
          <cell r="F197" t="str">
            <v>METRO LA CISTERNA</v>
          </cell>
          <cell r="G197" t="str">
            <v>GRAN AVENIDA JOSÉ MIGUEL CARRERA N8870, LOCAL 11 Y 12 (LINEA 4A)</v>
          </cell>
          <cell r="H197" t="str">
            <v>LA CISTERNA</v>
          </cell>
          <cell r="I197" t="str">
            <v>METROPOLITANA</v>
          </cell>
          <cell r="J197" t="str">
            <v>506RS</v>
          </cell>
          <cell r="K197" t="str">
            <v>cl-metrolacisterna@tiendas.oxxo.com</v>
          </cell>
          <cell r="L197" t="str">
            <v>TNM</v>
          </cell>
          <cell r="M197" t="str">
            <v>RECESO</v>
          </cell>
          <cell r="O197" t="str">
            <v>NO</v>
          </cell>
          <cell r="P197" t="str">
            <v>COMPLETA</v>
          </cell>
          <cell r="Q197" t="str">
            <v>NO</v>
          </cell>
          <cell r="R197" t="str">
            <v>NO</v>
          </cell>
          <cell r="S197" t="str">
            <v>NO</v>
          </cell>
          <cell r="T197" t="str">
            <v>BRESCIA RIVERA RODRIGO</v>
          </cell>
          <cell r="U197" t="str">
            <v>rodrigo.brescia@oxxo.com</v>
          </cell>
          <cell r="V197">
            <v>56994777909</v>
          </cell>
          <cell r="W197" t="str">
            <v>RODRIGUEZ ABREU ROSA</v>
          </cell>
          <cell r="X197" t="str">
            <v>rosa.rodriguezabreu@oxxo.com</v>
          </cell>
          <cell r="Y197">
            <v>56989993870</v>
          </cell>
          <cell r="Z197" t="str">
            <v>ADONIS ANDRES MARQUEZ JAUREGUI</v>
          </cell>
          <cell r="AA197">
            <v>56938789652</v>
          </cell>
          <cell r="AB197">
            <v>0.25</v>
          </cell>
          <cell r="AC197">
            <v>0.95833333333333337</v>
          </cell>
          <cell r="AD197">
            <v>0.25</v>
          </cell>
          <cell r="AE197">
            <v>0.95833333333333337</v>
          </cell>
          <cell r="AF197">
            <v>0.33333333333333331</v>
          </cell>
          <cell r="AG197">
            <v>0.91666666666666663</v>
          </cell>
          <cell r="AH197">
            <v>0.39583333333333331</v>
          </cell>
          <cell r="AI197">
            <v>0.84375</v>
          </cell>
          <cell r="AJ197">
            <v>0.375</v>
          </cell>
          <cell r="AK197">
            <v>0.84375</v>
          </cell>
          <cell r="AL197" t="str">
            <v>12HRS</v>
          </cell>
          <cell r="AM197" t="str">
            <v>ROBERTO POBLETE</v>
          </cell>
          <cell r="AO197">
            <v>45540</v>
          </cell>
        </row>
        <row r="198">
          <cell r="E198" t="str">
            <v>OXXO</v>
          </cell>
          <cell r="F198" t="str">
            <v>METRO LOS LEONES</v>
          </cell>
          <cell r="G198" t="str">
            <v>AV.PROVIDENCIA 2304 LOCAL 18</v>
          </cell>
          <cell r="H198" t="str">
            <v>PROVIDENCIA</v>
          </cell>
          <cell r="I198" t="str">
            <v>METROPOLITANA</v>
          </cell>
          <cell r="J198" t="str">
            <v>50GJS</v>
          </cell>
          <cell r="K198" t="str">
            <v>cl-metrolosleones@tiendas.oxxo.com</v>
          </cell>
          <cell r="L198" t="str">
            <v>TMCB</v>
          </cell>
          <cell r="M198" t="str">
            <v>RECESO</v>
          </cell>
          <cell r="N198" t="str">
            <v>C2</v>
          </cell>
          <cell r="O198" t="str">
            <v>NO</v>
          </cell>
          <cell r="P198" t="str">
            <v>COMPLETA</v>
          </cell>
          <cell r="Q198" t="str">
            <v>NO</v>
          </cell>
          <cell r="R198" t="str">
            <v>NO</v>
          </cell>
          <cell r="S198" t="str">
            <v>NO</v>
          </cell>
          <cell r="T198" t="str">
            <v>BRESCIA RIVERA RODRIGO</v>
          </cell>
          <cell r="U198" t="str">
            <v>rodrigo.brescia@oxxo.com</v>
          </cell>
          <cell r="V198">
            <v>56994777909</v>
          </cell>
          <cell r="W198" t="str">
            <v>RODRIGUEZ ABREU ROSA</v>
          </cell>
          <cell r="X198" t="str">
            <v>rosa.rodriguezabreu@oxxo.com</v>
          </cell>
          <cell r="Y198">
            <v>56989993870</v>
          </cell>
          <cell r="Z198" t="str">
            <v>JULIO OBREGON MATIENZO</v>
          </cell>
          <cell r="AA198">
            <v>56934193777</v>
          </cell>
          <cell r="AB198">
            <v>0.25</v>
          </cell>
          <cell r="AC198">
            <v>0.95833333333333337</v>
          </cell>
          <cell r="AD198">
            <v>0.25</v>
          </cell>
          <cell r="AE198">
            <v>0.95833333333333337</v>
          </cell>
          <cell r="AF198">
            <v>0.33333333333333331</v>
          </cell>
          <cell r="AG198">
            <v>0.91666666666666663</v>
          </cell>
          <cell r="AH198">
            <v>0.39583333333333331</v>
          </cell>
          <cell r="AI198">
            <v>0.84375</v>
          </cell>
          <cell r="AJ198">
            <v>0.375</v>
          </cell>
          <cell r="AK198">
            <v>0.9375</v>
          </cell>
          <cell r="AL198" t="str">
            <v>12HRS</v>
          </cell>
          <cell r="AM198" t="str">
            <v>ROBERTO POBLETE</v>
          </cell>
          <cell r="AO198">
            <v>43168</v>
          </cell>
        </row>
        <row r="199">
          <cell r="E199" t="str">
            <v>OXXO</v>
          </cell>
          <cell r="F199" t="str">
            <v>HOLANDA 3</v>
          </cell>
          <cell r="G199" t="str">
            <v>HOLANDA N0105, LOCAL 2</v>
          </cell>
          <cell r="H199" t="str">
            <v>PROVIDENCIA</v>
          </cell>
          <cell r="I199" t="str">
            <v>METROPOLITANA</v>
          </cell>
          <cell r="J199" t="str">
            <v>5091B</v>
          </cell>
          <cell r="K199" t="str">
            <v>cl-holanda3@tiendas.oxxo.com</v>
          </cell>
          <cell r="L199" t="str">
            <v>TNM</v>
          </cell>
          <cell r="M199" t="str">
            <v>RECESO</v>
          </cell>
          <cell r="N199" t="str">
            <v>C2</v>
          </cell>
          <cell r="O199" t="str">
            <v>NO</v>
          </cell>
          <cell r="P199" t="str">
            <v>COMPLETA</v>
          </cell>
          <cell r="T199" t="str">
            <v>SERRANO SOTO MANUEL</v>
          </cell>
          <cell r="U199" t="str">
            <v>manuel.serrano@oxxo.com</v>
          </cell>
          <cell r="V199">
            <v>56940201885</v>
          </cell>
          <cell r="X199" t="str">
            <v/>
          </cell>
          <cell r="Y199" t="str">
            <v/>
          </cell>
          <cell r="Z199" t="str">
            <v>JAVIERLYS VIRGINIA GARCIA PALACIOS</v>
          </cell>
          <cell r="AL199" t="str">
            <v>12HRS</v>
          </cell>
          <cell r="AO199">
            <v>45072</v>
          </cell>
        </row>
        <row r="200">
          <cell r="E200" t="str">
            <v>OXXO</v>
          </cell>
          <cell r="F200" t="str">
            <v>PEDRO TORRES</v>
          </cell>
          <cell r="G200" t="str">
            <v>PRESIDENTE JOSÉ BATTLE Y ORDOÑEZ N3933, LOCAL 1</v>
          </cell>
          <cell r="H200" t="str">
            <v>ÑUÑOA</v>
          </cell>
          <cell r="I200" t="str">
            <v>METROPOLITANA</v>
          </cell>
          <cell r="J200" t="str">
            <v>506ZY</v>
          </cell>
          <cell r="K200" t="str">
            <v>cl-pedrotorres@tiendas.oxxo.com</v>
          </cell>
          <cell r="L200" t="str">
            <v>TNM</v>
          </cell>
          <cell r="M200" t="str">
            <v>HOGAR C/FF</v>
          </cell>
          <cell r="N200" t="str">
            <v>ABC1</v>
          </cell>
          <cell r="O200" t="str">
            <v>NO</v>
          </cell>
          <cell r="P200" t="str">
            <v>COMPLETA</v>
          </cell>
          <cell r="T200" t="str">
            <v>SERRANO SOTO MANUEL</v>
          </cell>
          <cell r="U200" t="str">
            <v>manuel.serrano@oxxo.com</v>
          </cell>
          <cell r="V200">
            <v>56940201885</v>
          </cell>
          <cell r="W200" t="str">
            <v>GAMERRE URZUA CECILIA</v>
          </cell>
          <cell r="X200" t="str">
            <v>cecilia.gamerre@oxxo.com</v>
          </cell>
          <cell r="Y200">
            <v>56992076485</v>
          </cell>
          <cell r="Z200" t="str">
            <v>MACARENA CONSTANZA VARGAS HERNANDEZ</v>
          </cell>
          <cell r="AA200">
            <v>992193590</v>
          </cell>
          <cell r="AL200" t="str">
            <v>12HRS</v>
          </cell>
          <cell r="AO200">
            <v>45075</v>
          </cell>
        </row>
        <row r="201">
          <cell r="E201" t="str">
            <v>OXXO</v>
          </cell>
          <cell r="F201" t="str">
            <v>METRO MONEDA</v>
          </cell>
          <cell r="G201" t="str">
            <v>AV. LIBERTADOR BERNARDO OHIGGINS N1330, LOCAL 2, ESTACIÓN DE METRO MONEDA</v>
          </cell>
          <cell r="H201" t="str">
            <v>SANTIAGO</v>
          </cell>
          <cell r="I201" t="str">
            <v>METROPOLITANA</v>
          </cell>
          <cell r="J201" t="str">
            <v>50SEJ</v>
          </cell>
          <cell r="K201" t="str">
            <v>cl-metromoneda@tiendas.oxxo.com</v>
          </cell>
          <cell r="L201" t="str">
            <v>TNM</v>
          </cell>
          <cell r="M201" t="str">
            <v>RECESO</v>
          </cell>
          <cell r="O201" t="str">
            <v>NO</v>
          </cell>
          <cell r="P201" t="str">
            <v>COMPLETA</v>
          </cell>
          <cell r="Q201" t="str">
            <v>NO</v>
          </cell>
          <cell r="R201" t="str">
            <v>NO</v>
          </cell>
          <cell r="S201" t="str">
            <v>NO</v>
          </cell>
          <cell r="T201" t="str">
            <v>BRESCIA RIVERA RODRIGO</v>
          </cell>
          <cell r="U201" t="str">
            <v>rodrigo.brescia@oxxo.com</v>
          </cell>
          <cell r="V201">
            <v>56994777909</v>
          </cell>
          <cell r="W201" t="str">
            <v>RODRIGUEZ ABREU ROSA</v>
          </cell>
          <cell r="X201" t="str">
            <v>rosa.rodriguezabreu@oxxo.com</v>
          </cell>
          <cell r="Y201">
            <v>56989993870</v>
          </cell>
          <cell r="Z201" t="str">
            <v>YEPSY RAMONA ALZOLAY PARRA</v>
          </cell>
          <cell r="AA201">
            <v>56937562065</v>
          </cell>
          <cell r="AB201">
            <v>0.25</v>
          </cell>
          <cell r="AC201">
            <v>0.95833333333333337</v>
          </cell>
          <cell r="AD201">
            <v>0.25</v>
          </cell>
          <cell r="AE201">
            <v>0.95833333333333337</v>
          </cell>
          <cell r="AF201">
            <v>0.33333333333333331</v>
          </cell>
          <cell r="AG201">
            <v>0.91666666666666663</v>
          </cell>
          <cell r="AH201">
            <v>0.39583333333333331</v>
          </cell>
          <cell r="AI201">
            <v>0.84375</v>
          </cell>
          <cell r="AJ201">
            <v>0.375</v>
          </cell>
          <cell r="AK201">
            <v>0.9375</v>
          </cell>
          <cell r="AL201" t="str">
            <v>12HRS</v>
          </cell>
          <cell r="AM201" t="str">
            <v>ROBERTO POBLETE</v>
          </cell>
          <cell r="AO201">
            <v>45322</v>
          </cell>
        </row>
        <row r="202">
          <cell r="E202" t="str">
            <v>OXXO</v>
          </cell>
          <cell r="F202" t="str">
            <v>PEDRO DE VALDIVIA 6</v>
          </cell>
          <cell r="G202" t="str">
            <v>PEDRO DE VALDIVIA N2765, LOCAL 1, 2 Y 3</v>
          </cell>
          <cell r="H202" t="str">
            <v>PROVIDENCIA</v>
          </cell>
          <cell r="I202" t="str">
            <v>METROPOLITANA</v>
          </cell>
          <cell r="J202" t="str">
            <v>50P7X</v>
          </cell>
          <cell r="K202" t="str">
            <v>cl-pedrodevaldivia6@tiendas.oxxo.com</v>
          </cell>
          <cell r="L202" t="str">
            <v>TNM</v>
          </cell>
          <cell r="M202" t="str">
            <v>HOGAR</v>
          </cell>
          <cell r="N202" t="str">
            <v>ABC1</v>
          </cell>
          <cell r="O202" t="str">
            <v>NO</v>
          </cell>
          <cell r="P202" t="str">
            <v>COMPLETA</v>
          </cell>
          <cell r="T202" t="str">
            <v>SERRANO SOTO MANUEL</v>
          </cell>
          <cell r="U202" t="str">
            <v>manuel.serrano@oxxo.com</v>
          </cell>
          <cell r="V202">
            <v>56940201885</v>
          </cell>
          <cell r="W202" t="str">
            <v>ARAYA BURGOS ARIEL</v>
          </cell>
          <cell r="X202" t="str">
            <v>ariel.araya@oxxo.com</v>
          </cell>
          <cell r="Y202">
            <v>56976232708</v>
          </cell>
          <cell r="Z202" t="str">
            <v>YOHORLLINIS WIANEYS MENDOZA BORGES</v>
          </cell>
          <cell r="AA202">
            <v>992194692</v>
          </cell>
          <cell r="AL202" t="str">
            <v>12HRS</v>
          </cell>
          <cell r="AO202">
            <v>45092</v>
          </cell>
        </row>
        <row r="203">
          <cell r="E203" t="str">
            <v>OXXO</v>
          </cell>
          <cell r="F203" t="str">
            <v>METRO NUNOA</v>
          </cell>
          <cell r="G203" t="str">
            <v>AV. PEDRO DE VALDIVIA 3473, LOCAL 2</v>
          </cell>
          <cell r="H203" t="str">
            <v>ÑUÑOA</v>
          </cell>
          <cell r="I203" t="str">
            <v>METROPOLITANA</v>
          </cell>
          <cell r="J203" t="str">
            <v>50DSH</v>
          </cell>
          <cell r="K203" t="str">
            <v>cl-metronunoa@tiendas.oxxo.com</v>
          </cell>
          <cell r="L203" t="str">
            <v>TMCB</v>
          </cell>
          <cell r="M203" t="str">
            <v>RECESO</v>
          </cell>
          <cell r="N203" t="str">
            <v>C2</v>
          </cell>
          <cell r="O203" t="str">
            <v>NO</v>
          </cell>
          <cell r="P203" t="str">
            <v>COMPLETA</v>
          </cell>
          <cell r="Q203" t="str">
            <v>NO</v>
          </cell>
          <cell r="R203" t="str">
            <v>NO</v>
          </cell>
          <cell r="S203" t="str">
            <v>NO</v>
          </cell>
          <cell r="T203" t="str">
            <v>BRESCIA RIVERA RODRIGO</v>
          </cell>
          <cell r="U203" t="str">
            <v>rodrigo.brescia@oxxo.com</v>
          </cell>
          <cell r="V203">
            <v>56994777909</v>
          </cell>
          <cell r="W203" t="str">
            <v>RODRIGUEZ ABREU ROSA</v>
          </cell>
          <cell r="X203" t="str">
            <v>rosa.rodriguezabreu@oxxo.com</v>
          </cell>
          <cell r="Y203">
            <v>56989993870</v>
          </cell>
          <cell r="Z203" t="str">
            <v>MARLENE ZUÑIGA SANTANA</v>
          </cell>
          <cell r="AA203">
            <v>56934193772</v>
          </cell>
          <cell r="AB203">
            <v>0.25</v>
          </cell>
          <cell r="AC203">
            <v>0.95833333333333337</v>
          </cell>
          <cell r="AD203">
            <v>0.25</v>
          </cell>
          <cell r="AE203">
            <v>0.95833333333333337</v>
          </cell>
          <cell r="AF203">
            <v>0.33333333333333331</v>
          </cell>
          <cell r="AG203">
            <v>0.91666666666666663</v>
          </cell>
          <cell r="AH203">
            <v>0.39583333333333331</v>
          </cell>
          <cell r="AI203">
            <v>0.84375</v>
          </cell>
          <cell r="AJ203">
            <v>0.39583333333333331</v>
          </cell>
          <cell r="AK203">
            <v>0.9375</v>
          </cell>
          <cell r="AL203" t="str">
            <v>12HRS</v>
          </cell>
          <cell r="AM203" t="str">
            <v>ROBERTO POBLETE</v>
          </cell>
          <cell r="AO203">
            <v>43333</v>
          </cell>
        </row>
        <row r="204">
          <cell r="E204" t="str">
            <v>OXXO</v>
          </cell>
          <cell r="F204" t="str">
            <v>METRO PLAZA EGANA</v>
          </cell>
          <cell r="G204" t="str">
            <v>AV. AMÉRICO VESPUCIO N30, LOCAL 1</v>
          </cell>
          <cell r="H204" t="str">
            <v>ÑUÑOA</v>
          </cell>
          <cell r="I204" t="str">
            <v>METROPOLITANA</v>
          </cell>
          <cell r="J204" t="str">
            <v>50SQ0</v>
          </cell>
          <cell r="K204" t="str">
            <v>cl-metroplazaegana@tiendas.oxxo.com</v>
          </cell>
          <cell r="L204" t="str">
            <v>TNM</v>
          </cell>
          <cell r="M204" t="str">
            <v>RECESO</v>
          </cell>
          <cell r="O204" t="str">
            <v>NO</v>
          </cell>
          <cell r="P204" t="str">
            <v>COMPLETA</v>
          </cell>
          <cell r="Q204" t="str">
            <v>NO</v>
          </cell>
          <cell r="R204" t="str">
            <v>NO</v>
          </cell>
          <cell r="S204" t="str">
            <v>NO</v>
          </cell>
          <cell r="T204" t="str">
            <v>BRESCIA RIVERA RODRIGO</v>
          </cell>
          <cell r="U204" t="str">
            <v>rodrigo.brescia@oxxo.com</v>
          </cell>
          <cell r="V204">
            <v>56994777909</v>
          </cell>
          <cell r="W204" t="str">
            <v>RODRIGUEZ ABREU ROSA</v>
          </cell>
          <cell r="X204" t="str">
            <v>rosa.rodriguezabreu@oxxo.com</v>
          </cell>
          <cell r="Y204">
            <v>56989993870</v>
          </cell>
          <cell r="Z204" t="str">
            <v>HELYS DEL CARMEN VILLALOBOS CASTILLO</v>
          </cell>
          <cell r="AA204">
            <v>56994308947</v>
          </cell>
          <cell r="AB204">
            <v>0.25</v>
          </cell>
          <cell r="AC204">
            <v>0.95833333333333337</v>
          </cell>
          <cell r="AD204">
            <v>0.25</v>
          </cell>
          <cell r="AE204">
            <v>0.95833333333333337</v>
          </cell>
          <cell r="AF204">
            <v>0.33333333333333331</v>
          </cell>
          <cell r="AG204">
            <v>0.91666666666666663</v>
          </cell>
          <cell r="AH204">
            <v>0.39583333333333331</v>
          </cell>
          <cell r="AI204">
            <v>0.84375</v>
          </cell>
          <cell r="AJ204">
            <v>0.375</v>
          </cell>
          <cell r="AK204">
            <v>0.84375</v>
          </cell>
          <cell r="AL204" t="str">
            <v>12HRS</v>
          </cell>
          <cell r="AM204" t="str">
            <v>ROBERTO POBLETE</v>
          </cell>
          <cell r="AO204">
            <v>45382</v>
          </cell>
        </row>
        <row r="205">
          <cell r="E205" t="str">
            <v>OXXO</v>
          </cell>
          <cell r="F205" t="str">
            <v>METRO PLAZA PUENTE ALTO</v>
          </cell>
          <cell r="G205" t="str">
            <v>AVENIDA CONCHA Y TORO N265, LOCAL 9, METRO PLAZA PUENTE ALTO</v>
          </cell>
          <cell r="H205" t="str">
            <v>PUENTE ALTO</v>
          </cell>
          <cell r="I205" t="str">
            <v>METROPOLITANA</v>
          </cell>
          <cell r="J205" t="str">
            <v>50UKP</v>
          </cell>
          <cell r="K205" t="str">
            <v>cl-metroplazapuentealto@tiendas.oxxo.com</v>
          </cell>
          <cell r="L205" t="str">
            <v>TNM</v>
          </cell>
          <cell r="M205" t="str">
            <v>RECESO</v>
          </cell>
          <cell r="O205" t="str">
            <v>NO</v>
          </cell>
          <cell r="P205" t="str">
            <v>COMPLETA</v>
          </cell>
          <cell r="Q205" t="str">
            <v>NO</v>
          </cell>
          <cell r="R205" t="str">
            <v>NO</v>
          </cell>
          <cell r="S205" t="str">
            <v>NO</v>
          </cell>
          <cell r="T205" t="str">
            <v>BRESCIA RIVERA RODRIGO</v>
          </cell>
          <cell r="U205" t="str">
            <v>rodrigo.brescia@oxxo.com</v>
          </cell>
          <cell r="V205">
            <v>56994777909</v>
          </cell>
          <cell r="W205" t="str">
            <v>RODRIGUEZ ABREU ROSA</v>
          </cell>
          <cell r="X205" t="str">
            <v>rosa.rodriguezabreu@oxxo.com</v>
          </cell>
          <cell r="Y205">
            <v>56989993870</v>
          </cell>
          <cell r="AB205">
            <v>0.25</v>
          </cell>
          <cell r="AC205">
            <v>0.95833333333333337</v>
          </cell>
          <cell r="AD205">
            <v>0.25</v>
          </cell>
          <cell r="AE205">
            <v>0.95833333333333337</v>
          </cell>
          <cell r="AF205">
            <v>0.33333333333333331</v>
          </cell>
          <cell r="AG205">
            <v>0.91666666666666663</v>
          </cell>
          <cell r="AH205">
            <v>0.39583333333333331</v>
          </cell>
          <cell r="AI205">
            <v>0.84375</v>
          </cell>
          <cell r="AL205" t="str">
            <v>12HRS</v>
          </cell>
          <cell r="AM205" t="str">
            <v>ROBERTO POBLETE</v>
          </cell>
          <cell r="AO205">
            <v>45751</v>
          </cell>
        </row>
        <row r="206">
          <cell r="E206" t="str">
            <v>OXXO</v>
          </cell>
          <cell r="F206" t="str">
            <v>METRO TOBALABA</v>
          </cell>
          <cell r="G206" t="str">
            <v>AV. NUEVA PROVIDENCIA N2700, LOCALES 2-3</v>
          </cell>
          <cell r="H206" t="str">
            <v>PROVIDENCIA</v>
          </cell>
          <cell r="I206" t="str">
            <v>METROPOLITANA</v>
          </cell>
          <cell r="J206" t="str">
            <v>508R8</v>
          </cell>
          <cell r="K206" t="str">
            <v>cl-metrotobalaba@tiendas.oxxo.com</v>
          </cell>
          <cell r="L206" t="str">
            <v>TNM</v>
          </cell>
          <cell r="M206" t="str">
            <v>RECESO</v>
          </cell>
          <cell r="N206" t="str">
            <v>C2</v>
          </cell>
          <cell r="O206" t="str">
            <v>NO</v>
          </cell>
          <cell r="P206" t="str">
            <v>COMPLETA</v>
          </cell>
          <cell r="Q206" t="str">
            <v>NO</v>
          </cell>
          <cell r="R206" t="str">
            <v>NO</v>
          </cell>
          <cell r="S206" t="str">
            <v>NO</v>
          </cell>
          <cell r="T206" t="str">
            <v>BRESCIA RIVERA RODRIGO</v>
          </cell>
          <cell r="U206" t="str">
            <v>rodrigo.brescia@oxxo.com</v>
          </cell>
          <cell r="V206">
            <v>56994777909</v>
          </cell>
          <cell r="W206" t="str">
            <v>RODRIGUEZ ABREU ROSA</v>
          </cell>
          <cell r="X206" t="str">
            <v>rosa.rodriguezabreu@oxxo.com</v>
          </cell>
          <cell r="Y206">
            <v>56989993870</v>
          </cell>
          <cell r="Z206" t="str">
            <v>ARIANNYS PAOLA ECHENIQUE RAMIREZ</v>
          </cell>
          <cell r="AA206">
            <v>56995699520</v>
          </cell>
          <cell r="AB206">
            <v>0.25</v>
          </cell>
          <cell r="AC206">
            <v>0.95833333333333337</v>
          </cell>
          <cell r="AD206">
            <v>0.25</v>
          </cell>
          <cell r="AE206">
            <v>0.95833333333333337</v>
          </cell>
          <cell r="AF206">
            <v>0.33333333333333331</v>
          </cell>
          <cell r="AG206">
            <v>0.91666666666666663</v>
          </cell>
          <cell r="AH206">
            <v>0.39583333333333331</v>
          </cell>
          <cell r="AI206">
            <v>0.84375</v>
          </cell>
          <cell r="AJ206">
            <v>0.375</v>
          </cell>
          <cell r="AK206">
            <v>0.9375</v>
          </cell>
          <cell r="AL206" t="str">
            <v>12HRS</v>
          </cell>
          <cell r="AM206" t="str">
            <v>ROBERTO POBLETE</v>
          </cell>
          <cell r="AO206">
            <v>45254</v>
          </cell>
        </row>
        <row r="207">
          <cell r="E207" t="str">
            <v>OXXO</v>
          </cell>
          <cell r="F207" t="str">
            <v>METRO U DE CHILE</v>
          </cell>
          <cell r="G207" t="str">
            <v>AV. LIBERTADOR BERNANDO O´HIGGINS 1020,LOCAL 48</v>
          </cell>
          <cell r="H207" t="str">
            <v>SANTIAGO</v>
          </cell>
          <cell r="I207" t="str">
            <v>METROPOLITANA</v>
          </cell>
          <cell r="J207" t="str">
            <v>50UCH</v>
          </cell>
          <cell r="K207" t="str">
            <v>cl-metrouniversidaddechile@tiendas.oxxo.com</v>
          </cell>
          <cell r="L207" t="str">
            <v>TMCB</v>
          </cell>
          <cell r="M207" t="str">
            <v>RECESO</v>
          </cell>
          <cell r="N207" t="str">
            <v>C2</v>
          </cell>
          <cell r="O207" t="str">
            <v>NO</v>
          </cell>
          <cell r="P207" t="str">
            <v>COMPLETA</v>
          </cell>
          <cell r="Q207" t="str">
            <v>NO</v>
          </cell>
          <cell r="R207" t="str">
            <v>NO</v>
          </cell>
          <cell r="S207" t="str">
            <v>NO</v>
          </cell>
          <cell r="T207" t="str">
            <v>BRESCIA RIVERA RODRIGO</v>
          </cell>
          <cell r="U207" t="str">
            <v>rodrigo.brescia@oxxo.com</v>
          </cell>
          <cell r="V207">
            <v>56994777909</v>
          </cell>
          <cell r="W207" t="str">
            <v>RODRIGUEZ ABREU ROSA</v>
          </cell>
          <cell r="X207" t="str">
            <v>rosa.rodriguezabreu@oxxo.com</v>
          </cell>
          <cell r="Y207">
            <v>56989993870</v>
          </cell>
          <cell r="Z207" t="str">
            <v>AMINTA GERTRUDIS TEJADA RIVAS</v>
          </cell>
          <cell r="AA207">
            <v>56977512001</v>
          </cell>
          <cell r="AB207">
            <v>0.25</v>
          </cell>
          <cell r="AC207">
            <v>0.95833333333333337</v>
          </cell>
          <cell r="AD207">
            <v>0.25</v>
          </cell>
          <cell r="AE207">
            <v>0.95833333333333337</v>
          </cell>
          <cell r="AF207">
            <v>0.33333333333333331</v>
          </cell>
          <cell r="AG207">
            <v>0.91666666666666663</v>
          </cell>
          <cell r="AH207">
            <v>0.39583333333333331</v>
          </cell>
          <cell r="AI207">
            <v>0.84375</v>
          </cell>
          <cell r="AJ207">
            <v>0.39583333333333331</v>
          </cell>
          <cell r="AK207">
            <v>0.9375</v>
          </cell>
          <cell r="AL207" t="str">
            <v>12HRS</v>
          </cell>
          <cell r="AM207" t="str">
            <v>ROBERTO POBLETE</v>
          </cell>
          <cell r="AO207">
            <v>44166</v>
          </cell>
        </row>
        <row r="208">
          <cell r="E208" t="str">
            <v>OXXO</v>
          </cell>
          <cell r="F208" t="str">
            <v>MIRADOR AZUL</v>
          </cell>
          <cell r="G208" t="str">
            <v>VICUÑA MACKENNA ORIENTE 6197, LOCAL 1</v>
          </cell>
          <cell r="H208" t="str">
            <v>LA FLORIDA</v>
          </cell>
          <cell r="I208" t="str">
            <v>METROPOLITANA</v>
          </cell>
          <cell r="J208" t="str">
            <v>50FZZ</v>
          </cell>
          <cell r="K208" t="str">
            <v>cl-miradorazul@tiendas.oxxo.com</v>
          </cell>
          <cell r="L208" t="str">
            <v>TNM</v>
          </cell>
          <cell r="M208" t="str">
            <v>HOGAR</v>
          </cell>
          <cell r="O208" t="str">
            <v>NO</v>
          </cell>
          <cell r="P208" t="str">
            <v>COMPLETA</v>
          </cell>
          <cell r="Q208" t="str">
            <v>NO</v>
          </cell>
          <cell r="R208" t="str">
            <v>NO</v>
          </cell>
          <cell r="S208" t="str">
            <v>NO</v>
          </cell>
          <cell r="T208" t="str">
            <v>BRESCIA RIVERA RODRIGO</v>
          </cell>
          <cell r="U208" t="str">
            <v>rodrigo.brescia@oxxo.com</v>
          </cell>
          <cell r="V208">
            <v>56994777909</v>
          </cell>
          <cell r="W208" t="str">
            <v>PINERUA JAIMES JESUS</v>
          </cell>
          <cell r="X208" t="str">
            <v>jesus.pinerua@oxxo.com</v>
          </cell>
          <cell r="Y208">
            <v>56982335207</v>
          </cell>
          <cell r="Z208" t="str">
            <v>TOMASA BALVINA CARRANZA LUNA VICTORIA</v>
          </cell>
          <cell r="AA208">
            <v>56937709157</v>
          </cell>
          <cell r="AB208">
            <v>0.29166666666666669</v>
          </cell>
          <cell r="AC208">
            <v>0.91666666666666663</v>
          </cell>
          <cell r="AD208">
            <v>0.29166666666666669</v>
          </cell>
          <cell r="AE208">
            <v>0.91666666666666663</v>
          </cell>
          <cell r="AF208">
            <v>0.33333333333333331</v>
          </cell>
          <cell r="AG208">
            <v>0.91666666666666663</v>
          </cell>
          <cell r="AH208">
            <v>0.39583333333333331</v>
          </cell>
          <cell r="AI208">
            <v>0.84375</v>
          </cell>
          <cell r="AJ208">
            <v>0.375</v>
          </cell>
          <cell r="AK208">
            <v>0.91666666666666663</v>
          </cell>
          <cell r="AL208" t="str">
            <v>12HRS</v>
          </cell>
          <cell r="AM208" t="str">
            <v>PAULA HUERTA</v>
          </cell>
          <cell r="AO208">
            <v>45308</v>
          </cell>
        </row>
        <row r="209">
          <cell r="E209" t="str">
            <v>OXXO - EX OKM</v>
          </cell>
          <cell r="F209" t="str">
            <v>MONTEMAR</v>
          </cell>
          <cell r="G209" t="str">
            <v>AVDA BLANCA ESTELA 1236</v>
          </cell>
          <cell r="H209" t="str">
            <v>CONCÓN</v>
          </cell>
          <cell r="I209" t="str">
            <v>VALPARAISO</v>
          </cell>
          <cell r="J209" t="str">
            <v>50OBM</v>
          </cell>
          <cell r="K209" t="str">
            <v>cl-bosquesdemontemar@tiendas.oxxo.com</v>
          </cell>
          <cell r="L209" t="str">
            <v>TMCB</v>
          </cell>
          <cell r="M209" t="str">
            <v>HOGAR</v>
          </cell>
          <cell r="N209" t="str">
            <v>ABC1</v>
          </cell>
          <cell r="O209" t="str">
            <v>NO</v>
          </cell>
          <cell r="P209" t="str">
            <v>COMPLETA</v>
          </cell>
          <cell r="Q209" t="str">
            <v>NO</v>
          </cell>
          <cell r="R209" t="str">
            <v>SI</v>
          </cell>
          <cell r="S209" t="str">
            <v>NO</v>
          </cell>
          <cell r="T209" t="str">
            <v>SESA DIEGO MIGUEL</v>
          </cell>
          <cell r="U209" t="str">
            <v>diego.sesa@oxxo.com</v>
          </cell>
          <cell r="V209">
            <v>56954238682</v>
          </cell>
          <cell r="W209" t="str">
            <v>ESCOBAR VALDES VALESKA SOLEDAD</v>
          </cell>
          <cell r="X209" t="str">
            <v>valeska.escobar@oxxo.com</v>
          </cell>
          <cell r="Y209">
            <v>56961681492</v>
          </cell>
          <cell r="Z209" t="str">
            <v>ISABEL ORTEGA PEREZ</v>
          </cell>
          <cell r="AA209">
            <v>56995699538</v>
          </cell>
          <cell r="AB209">
            <v>0.3125</v>
          </cell>
          <cell r="AC209">
            <v>0.95833333333333337</v>
          </cell>
          <cell r="AD209">
            <v>0.3125</v>
          </cell>
          <cell r="AE209">
            <v>0.99305555555555547</v>
          </cell>
          <cell r="AF209">
            <v>0.33333333333333331</v>
          </cell>
          <cell r="AG209">
            <v>0.99305555555555547</v>
          </cell>
          <cell r="AH209">
            <v>0.39583333333333331</v>
          </cell>
          <cell r="AI209">
            <v>0.84375</v>
          </cell>
          <cell r="AJ209">
            <v>0.4375</v>
          </cell>
          <cell r="AK209">
            <v>0.88541666666666663</v>
          </cell>
          <cell r="AL209" t="str">
            <v>12HRS</v>
          </cell>
          <cell r="AM209" t="str">
            <v>ROBERTO POBLETE</v>
          </cell>
          <cell r="AO209">
            <v>45260</v>
          </cell>
        </row>
        <row r="210">
          <cell r="E210" t="str">
            <v>OXXO</v>
          </cell>
          <cell r="F210" t="str">
            <v>SANTA AMALIA</v>
          </cell>
          <cell r="G210" t="str">
            <v>AV. LA FLORIDA 9660, LOCAL 4</v>
          </cell>
          <cell r="H210" t="str">
            <v>LA FLORIDA</v>
          </cell>
          <cell r="I210" t="str">
            <v>METROPOLITANA</v>
          </cell>
          <cell r="J210" t="str">
            <v>50AFU</v>
          </cell>
          <cell r="K210" t="str">
            <v>cl-santaamalia@tiendas.oxxo.com</v>
          </cell>
          <cell r="L210" t="str">
            <v>TNM</v>
          </cell>
          <cell r="M210" t="str">
            <v>RECESO</v>
          </cell>
          <cell r="N210" t="str">
            <v>ABC1</v>
          </cell>
          <cell r="O210" t="str">
            <v>NO</v>
          </cell>
          <cell r="P210" t="str">
            <v>COMPLETA</v>
          </cell>
          <cell r="T210" t="str">
            <v>SERRANO SOTO MANUEL</v>
          </cell>
          <cell r="U210" t="str">
            <v>manuel.serrano@oxxo.com</v>
          </cell>
          <cell r="V210">
            <v>56940201885</v>
          </cell>
          <cell r="W210" t="str">
            <v>ARAYA BURGOS ARIEL</v>
          </cell>
          <cell r="X210" t="str">
            <v>ariel.araya@oxxo.com</v>
          </cell>
          <cell r="Y210">
            <v>56976232708</v>
          </cell>
          <cell r="Z210" t="str">
            <v>ANDREINA COROMOTO RIVERO DIAZ</v>
          </cell>
          <cell r="AA210">
            <v>992193653</v>
          </cell>
          <cell r="AL210" t="str">
            <v>12HRS</v>
          </cell>
          <cell r="AO210">
            <v>45107</v>
          </cell>
        </row>
        <row r="211">
          <cell r="E211" t="str">
            <v>OXXO</v>
          </cell>
          <cell r="F211" t="str">
            <v>NATANIEL 2</v>
          </cell>
          <cell r="G211" t="str">
            <v>NATANIEL COX 1190</v>
          </cell>
          <cell r="H211" t="str">
            <v>SANTIAGO</v>
          </cell>
          <cell r="I211" t="str">
            <v>METROPOLITANA</v>
          </cell>
          <cell r="J211" t="str">
            <v>50NU9</v>
          </cell>
          <cell r="K211" t="str">
            <v>cl-nataniel2@tiendas.oxxo.com</v>
          </cell>
          <cell r="L211" t="str">
            <v>TNM</v>
          </cell>
          <cell r="M211" t="str">
            <v>HOGAR</v>
          </cell>
          <cell r="O211" t="str">
            <v>NO</v>
          </cell>
          <cell r="P211" t="str">
            <v>COMPLETA</v>
          </cell>
          <cell r="T211" t="str">
            <v>SERRANO SOTO MANUEL</v>
          </cell>
          <cell r="U211" t="str">
            <v>manuel.serrano@oxxo.com</v>
          </cell>
          <cell r="V211">
            <v>56940201885</v>
          </cell>
          <cell r="X211" t="str">
            <v/>
          </cell>
          <cell r="Y211" t="str">
            <v/>
          </cell>
          <cell r="Z211" t="str">
            <v>S/I</v>
          </cell>
          <cell r="AL211" t="str">
            <v>12HRS</v>
          </cell>
          <cell r="AO211">
            <v>45106</v>
          </cell>
        </row>
        <row r="212">
          <cell r="E212" t="str">
            <v>OXXO</v>
          </cell>
          <cell r="F212" t="str">
            <v>NAPOLEON</v>
          </cell>
          <cell r="G212" t="str">
            <v>NAPOLÉON 3096</v>
          </cell>
          <cell r="H212" t="str">
            <v>LAS CONDES</v>
          </cell>
          <cell r="I212" t="str">
            <v>METROPOLITANA</v>
          </cell>
          <cell r="J212" t="str">
            <v>50XQO</v>
          </cell>
          <cell r="K212" t="str">
            <v>cl-napoleon@tiendas.oxxo.com</v>
          </cell>
          <cell r="L212" t="str">
            <v>TMCB</v>
          </cell>
          <cell r="M212" t="str">
            <v>BASE</v>
          </cell>
          <cell r="N212" t="str">
            <v>ABC1</v>
          </cell>
          <cell r="O212" t="str">
            <v>NO</v>
          </cell>
          <cell r="P212" t="str">
            <v>COMPLETA</v>
          </cell>
          <cell r="Q212" t="str">
            <v>NO</v>
          </cell>
          <cell r="R212" t="str">
            <v>NO</v>
          </cell>
          <cell r="S212" t="str">
            <v>NO</v>
          </cell>
          <cell r="T212" t="str">
            <v>BRESCIA RIVERA RODRIGO</v>
          </cell>
          <cell r="U212" t="str">
            <v>rodrigo.brescia@oxxo.com</v>
          </cell>
          <cell r="V212">
            <v>56994777909</v>
          </cell>
          <cell r="W212" t="str">
            <v>MONTT FUENTES JAIME IGNACIO</v>
          </cell>
          <cell r="X212" t="str">
            <v>jaime.montt@oxxo.com</v>
          </cell>
          <cell r="Y212">
            <v>56974820182</v>
          </cell>
          <cell r="Z212" t="str">
            <v>LEYDI ANDREA BARRIOS ARROYAVE</v>
          </cell>
          <cell r="AB212">
            <v>0.29166666666666669</v>
          </cell>
          <cell r="AC212">
            <v>0.91666666666666663</v>
          </cell>
          <cell r="AD212">
            <v>0.29166666666666669</v>
          </cell>
          <cell r="AE212">
            <v>0.91666666666666663</v>
          </cell>
          <cell r="AF212">
            <v>0.33333333333333331</v>
          </cell>
          <cell r="AG212">
            <v>0.91666666666666663</v>
          </cell>
          <cell r="AH212">
            <v>0.39583333333333331</v>
          </cell>
          <cell r="AI212">
            <v>0.84375</v>
          </cell>
          <cell r="AJ212">
            <v>0.375</v>
          </cell>
          <cell r="AK212">
            <v>0.9375</v>
          </cell>
          <cell r="AL212" t="str">
            <v>12HRS</v>
          </cell>
          <cell r="AM212" t="str">
            <v>PAULA HUERTA</v>
          </cell>
          <cell r="AO212">
            <v>42942</v>
          </cell>
        </row>
        <row r="213">
          <cell r="E213" t="str">
            <v>OXXO - EX OKM</v>
          </cell>
          <cell r="F213" t="str">
            <v>NATANIEL COX 2</v>
          </cell>
          <cell r="G213" t="str">
            <v>AV. TARAPACÁ 1316</v>
          </cell>
          <cell r="H213" t="str">
            <v>SANTIAGO</v>
          </cell>
          <cell r="I213" t="str">
            <v>METROPOLITANA</v>
          </cell>
          <cell r="J213" t="str">
            <v>50ONC</v>
          </cell>
          <cell r="K213" t="str">
            <v>cl-natanielcox@tiendas.oxxo.com</v>
          </cell>
          <cell r="L213" t="str">
            <v>TMCB</v>
          </cell>
          <cell r="M213" t="str">
            <v>BASE</v>
          </cell>
          <cell r="N213" t="str">
            <v>C3</v>
          </cell>
          <cell r="O213" t="str">
            <v>SI</v>
          </cell>
          <cell r="P213" t="str">
            <v>COMPLETA</v>
          </cell>
          <cell r="Q213" t="str">
            <v>SI</v>
          </cell>
          <cell r="R213" t="str">
            <v>SI</v>
          </cell>
          <cell r="S213" t="str">
            <v>NO</v>
          </cell>
          <cell r="T213" t="str">
            <v>BRESCIA RIVERA RODRIGO</v>
          </cell>
          <cell r="U213" t="str">
            <v>rodrigo.brescia@oxxo.com</v>
          </cell>
          <cell r="V213">
            <v>56994777909</v>
          </cell>
          <cell r="W213" t="str">
            <v>LIAZ MONTERO GABRIEL</v>
          </cell>
          <cell r="X213" t="str">
            <v>gabriel.liaz@oxxo.com</v>
          </cell>
          <cell r="Y213">
            <v>56964735260</v>
          </cell>
          <cell r="Z213" t="str">
            <v>BLANCA LORENA VILLADA BRITEL</v>
          </cell>
          <cell r="AA213">
            <v>56971394757</v>
          </cell>
          <cell r="AB213">
            <v>0.29166666666666669</v>
          </cell>
          <cell r="AC213">
            <v>0.95833333333333337</v>
          </cell>
          <cell r="AD213">
            <v>0.29166666666666669</v>
          </cell>
          <cell r="AE213">
            <v>0.99305555555555547</v>
          </cell>
          <cell r="AF213">
            <v>0.33333333333333331</v>
          </cell>
          <cell r="AG213">
            <v>0.99305555555555547</v>
          </cell>
          <cell r="AH213">
            <v>0.375</v>
          </cell>
          <cell r="AI213">
            <v>0.91666666666666663</v>
          </cell>
          <cell r="AJ213">
            <v>0.375</v>
          </cell>
          <cell r="AK213">
            <v>0.91666666666666663</v>
          </cell>
          <cell r="AL213" t="str">
            <v>12HRS</v>
          </cell>
          <cell r="AO213">
            <v>45420</v>
          </cell>
        </row>
        <row r="214">
          <cell r="E214" t="str">
            <v>OXXO</v>
          </cell>
          <cell r="F214" t="str">
            <v>NORUEGA</v>
          </cell>
          <cell r="G214" t="str">
            <v>NORUEGA 6344 </v>
          </cell>
          <cell r="H214" t="str">
            <v>LAS CONDES</v>
          </cell>
          <cell r="I214" t="str">
            <v>METROPOLITANA</v>
          </cell>
          <cell r="J214" t="str">
            <v>50OCT</v>
          </cell>
          <cell r="K214" t="str">
            <v>cl-noruega@tiendas.oxxo.com</v>
          </cell>
          <cell r="L214" t="str">
            <v>TMCB</v>
          </cell>
          <cell r="M214" t="str">
            <v>HOGAR</v>
          </cell>
          <cell r="N214" t="str">
            <v>C2</v>
          </cell>
          <cell r="O214" t="str">
            <v>NO</v>
          </cell>
          <cell r="P214" t="str">
            <v>COMPLETA</v>
          </cell>
          <cell r="Q214" t="str">
            <v>NO</v>
          </cell>
          <cell r="R214" t="str">
            <v>NO</v>
          </cell>
          <cell r="S214" t="str">
            <v>NO</v>
          </cell>
          <cell r="T214" t="str">
            <v>BRESCIA RIVERA RODRIGO</v>
          </cell>
          <cell r="U214" t="str">
            <v>rodrigo.brescia@oxxo.com</v>
          </cell>
          <cell r="V214">
            <v>56994777909</v>
          </cell>
          <cell r="W214" t="str">
            <v>BENITEZ QUILODRAN HUGO</v>
          </cell>
          <cell r="X214" t="str">
            <v>hugo.benitez@oxxo.com</v>
          </cell>
          <cell r="Y214">
            <v>56998355780</v>
          </cell>
          <cell r="Z214" t="str">
            <v>ANA LUCIA PARCO CALDERON</v>
          </cell>
          <cell r="AA214">
            <v>56995699526</v>
          </cell>
          <cell r="AB214">
            <v>0.29166666666666669</v>
          </cell>
          <cell r="AC214">
            <v>0.91666666666666663</v>
          </cell>
          <cell r="AD214">
            <v>0.29166666666666669</v>
          </cell>
          <cell r="AE214">
            <v>0.91666666666666663</v>
          </cell>
          <cell r="AF214">
            <v>0.33333333333333331</v>
          </cell>
          <cell r="AG214">
            <v>0.91666666666666663</v>
          </cell>
          <cell r="AH214">
            <v>0.39583333333333331</v>
          </cell>
          <cell r="AI214">
            <v>0.84375</v>
          </cell>
          <cell r="AJ214">
            <v>0.39583333333333331</v>
          </cell>
          <cell r="AK214">
            <v>0.9375</v>
          </cell>
          <cell r="AL214" t="str">
            <v>12HRS</v>
          </cell>
          <cell r="AM214" t="str">
            <v>ROBERTO POBLETE</v>
          </cell>
          <cell r="AO214">
            <v>43089</v>
          </cell>
        </row>
        <row r="215">
          <cell r="E215" t="str">
            <v>OXXO - EX OKM</v>
          </cell>
          <cell r="F215" t="str">
            <v>BORGONO</v>
          </cell>
          <cell r="G215" t="str">
            <v>AVDA BORGOÑO 14766 REÑACA</v>
          </cell>
          <cell r="H215" t="str">
            <v>VIÑA DEL MAR</v>
          </cell>
          <cell r="I215" t="str">
            <v>VALPARAISO</v>
          </cell>
          <cell r="J215" t="str">
            <v>50OBO</v>
          </cell>
          <cell r="K215" t="str">
            <v>cl-borgono@tiendas.oxxo.com</v>
          </cell>
          <cell r="L215" t="str">
            <v>TMCB OKM</v>
          </cell>
          <cell r="M215" t="str">
            <v>HOGAR C/FF</v>
          </cell>
          <cell r="N215" t="str">
            <v>C2</v>
          </cell>
          <cell r="O215" t="str">
            <v>NO</v>
          </cell>
          <cell r="P215" t="str">
            <v>COMPLETA</v>
          </cell>
          <cell r="T215" t="str">
            <v>SERRANO SOTO MANUEL</v>
          </cell>
          <cell r="U215" t="str">
            <v>manuel.serrano@oxxo.com</v>
          </cell>
          <cell r="V215">
            <v>56940201885</v>
          </cell>
          <cell r="W215" t="str">
            <v>ESCOBAR VALDES VALESKA SOLEDAD</v>
          </cell>
          <cell r="X215" t="str">
            <v>valeska.escobar@oxxo.com</v>
          </cell>
          <cell r="Y215">
            <v>56961681492</v>
          </cell>
          <cell r="Z215" t="str">
            <v>MANUEL ARACENA VARGAS</v>
          </cell>
          <cell r="AA215">
            <v>974783872</v>
          </cell>
          <cell r="AL215" t="str">
            <v>12HRS</v>
          </cell>
          <cell r="AO215">
            <v>45111</v>
          </cell>
        </row>
        <row r="216">
          <cell r="E216" t="str">
            <v>OXXO</v>
          </cell>
          <cell r="F216" t="str">
            <v>AUGUSTA GERONA</v>
          </cell>
          <cell r="G216" t="str">
            <v>CAMINO EL ALBA 8760, LOCAL 3</v>
          </cell>
          <cell r="H216" t="str">
            <v>LAS CONDES</v>
          </cell>
          <cell r="I216" t="str">
            <v>METROPOLITANA</v>
          </cell>
          <cell r="J216" t="str">
            <v>50SRE</v>
          </cell>
          <cell r="K216" t="str">
            <v>cl-augustagerona@tiendas.oxxo.com</v>
          </cell>
          <cell r="L216" t="str">
            <v>TNM</v>
          </cell>
          <cell r="M216" t="str">
            <v>RECESO</v>
          </cell>
          <cell r="N216" t="str">
            <v>ABC1</v>
          </cell>
          <cell r="O216" t="str">
            <v>NO</v>
          </cell>
          <cell r="P216" t="str">
            <v>COMPLETA</v>
          </cell>
          <cell r="T216" t="str">
            <v>SERRANO SOTO MANUEL</v>
          </cell>
          <cell r="U216" t="str">
            <v>manuel.serrano@oxxo.com</v>
          </cell>
          <cell r="V216">
            <v>56940201885</v>
          </cell>
          <cell r="W216" t="str">
            <v>GAMERRE URZUA CECILIA</v>
          </cell>
          <cell r="X216" t="str">
            <v>cecilia.gamerre@oxxo.com</v>
          </cell>
          <cell r="Y216">
            <v>56992076485</v>
          </cell>
          <cell r="Z216" t="str">
            <v>MARSHALL JESUS PAZ PAEZ</v>
          </cell>
          <cell r="AA216">
            <v>56992195085</v>
          </cell>
          <cell r="AL216" t="str">
            <v>12HRS</v>
          </cell>
          <cell r="AO216">
            <v>45124</v>
          </cell>
        </row>
        <row r="217">
          <cell r="E217" t="str">
            <v>OXXO - EX OKM</v>
          </cell>
          <cell r="F217" t="str">
            <v>NUEVA LAS CONDES 2</v>
          </cell>
          <cell r="G217" t="str">
            <v> AV. PRESIDENTE RIESCO 5561 LOCAL 101</v>
          </cell>
          <cell r="H217" t="str">
            <v>LAS CONDES</v>
          </cell>
          <cell r="I217" t="str">
            <v>METROPOLITANA</v>
          </cell>
          <cell r="J217" t="str">
            <v>50ONL</v>
          </cell>
          <cell r="K217" t="str">
            <v>cl-nuevalascondes2@tiendas.oxxo.com</v>
          </cell>
          <cell r="L217" t="str">
            <v>TMCB</v>
          </cell>
          <cell r="M217" t="str">
            <v>RECESO</v>
          </cell>
          <cell r="N217" t="str">
            <v>ABC1</v>
          </cell>
          <cell r="O217" t="str">
            <v>NO</v>
          </cell>
          <cell r="P217" t="str">
            <v>COMPLETA</v>
          </cell>
          <cell r="Q217" t="str">
            <v>NO</v>
          </cell>
          <cell r="R217" t="str">
            <v>NO</v>
          </cell>
          <cell r="S217" t="str">
            <v>NO</v>
          </cell>
          <cell r="T217" t="str">
            <v>BRESCIA RIVERA RODRIGO</v>
          </cell>
          <cell r="U217" t="str">
            <v>rodrigo.brescia@oxxo.com</v>
          </cell>
          <cell r="V217">
            <v>56994777909</v>
          </cell>
          <cell r="W217" t="str">
            <v>MONTT FUENTES JAIME IGNACIO</v>
          </cell>
          <cell r="X217" t="str">
            <v>jaime.montt@oxxo.com</v>
          </cell>
          <cell r="Y217">
            <v>56974820182</v>
          </cell>
          <cell r="Z217" t="str">
            <v>BLANCA GONGORA MESIAS</v>
          </cell>
          <cell r="AA217">
            <v>56941396814</v>
          </cell>
          <cell r="AB217">
            <v>0.29166666666666669</v>
          </cell>
          <cell r="AC217">
            <v>0.91666666666666663</v>
          </cell>
          <cell r="AD217">
            <v>0.29166666666666669</v>
          </cell>
          <cell r="AE217">
            <v>0.91666666666666663</v>
          </cell>
          <cell r="AF217">
            <v>0.33333333333333331</v>
          </cell>
          <cell r="AG217">
            <v>0.70833333333333337</v>
          </cell>
          <cell r="AH217" t="str">
            <v>Cerrado</v>
          </cell>
          <cell r="AI217" t="str">
            <v>Cerrado</v>
          </cell>
          <cell r="AJ217">
            <v>0</v>
          </cell>
          <cell r="AK217">
            <v>0</v>
          </cell>
          <cell r="AL217" t="str">
            <v>12HRS</v>
          </cell>
          <cell r="AM217" t="str">
            <v>PAULA HUERTA</v>
          </cell>
          <cell r="AO217">
            <v>45351</v>
          </cell>
        </row>
        <row r="218">
          <cell r="E218" t="str">
            <v>OXXO</v>
          </cell>
          <cell r="F218" t="str">
            <v>NUNOA</v>
          </cell>
          <cell r="G218" t="str">
            <v>JOSÉ DOMINGO CAÑAS 1701, LOCAL 3</v>
          </cell>
          <cell r="H218" t="str">
            <v>ÑUÑOA</v>
          </cell>
          <cell r="I218" t="str">
            <v>METROPOLITANA</v>
          </cell>
          <cell r="J218" t="str">
            <v>50ARD</v>
          </cell>
          <cell r="K218" t="str">
            <v>cl-nunoa@tiendas.oxxo.com</v>
          </cell>
          <cell r="L218" t="str">
            <v>TMCB</v>
          </cell>
          <cell r="M218" t="str">
            <v>RECESO</v>
          </cell>
          <cell r="N218" t="str">
            <v>C2</v>
          </cell>
          <cell r="O218" t="str">
            <v>SI</v>
          </cell>
          <cell r="P218" t="str">
            <v>COMPLETA</v>
          </cell>
          <cell r="Q218" t="str">
            <v>SI</v>
          </cell>
          <cell r="R218" t="str">
            <v>SI</v>
          </cell>
          <cell r="S218" t="str">
            <v>NO</v>
          </cell>
          <cell r="T218" t="str">
            <v>BRESCIA RIVERA RODRIGO</v>
          </cell>
          <cell r="U218" t="str">
            <v>rodrigo.brescia@oxxo.com</v>
          </cell>
          <cell r="V218">
            <v>56994777909</v>
          </cell>
          <cell r="W218" t="str">
            <v>RUIZ FERRER VANNA</v>
          </cell>
          <cell r="X218" t="str">
            <v>vanna.ruiz@oxxo.com</v>
          </cell>
          <cell r="Y218">
            <v>56994441705</v>
          </cell>
          <cell r="Z218" t="str">
            <v>ANA KARINA BRICEÑO BLANCO</v>
          </cell>
          <cell r="AB218">
            <v>0.29166666666666669</v>
          </cell>
          <cell r="AC218">
            <v>0.95833333333333337</v>
          </cell>
          <cell r="AD218">
            <v>0.29166666666666669</v>
          </cell>
          <cell r="AE218">
            <v>0.99305555555555558</v>
          </cell>
          <cell r="AF218">
            <v>0.33333333333333331</v>
          </cell>
          <cell r="AG218">
            <v>0.99305555555555558</v>
          </cell>
          <cell r="AH218">
            <v>0.4375</v>
          </cell>
          <cell r="AI218">
            <v>0.88541666666666663</v>
          </cell>
          <cell r="AJ218">
            <v>0.375</v>
          </cell>
          <cell r="AK218">
            <v>0.99305555555555558</v>
          </cell>
          <cell r="AL218" t="str">
            <v>12HRS</v>
          </cell>
          <cell r="AM218" t="str">
            <v>ROBERTO POBLETE</v>
          </cell>
          <cell r="AO218">
            <v>43250</v>
          </cell>
        </row>
        <row r="219">
          <cell r="E219" t="str">
            <v>OXXO</v>
          </cell>
          <cell r="F219" t="str">
            <v>OHIGGINS</v>
          </cell>
          <cell r="G219" t="str">
            <v>AV. BERNANDO OHIGGINS 716</v>
          </cell>
          <cell r="H219" t="str">
            <v>CONCEPCIÓN</v>
          </cell>
          <cell r="I219" t="str">
            <v>BIOBIO</v>
          </cell>
          <cell r="J219" t="str">
            <v>50FNM</v>
          </cell>
          <cell r="K219" t="str">
            <v>cl-ohiggins@tiendas.oxxo.com</v>
          </cell>
          <cell r="L219" t="str">
            <v>TNM</v>
          </cell>
          <cell r="M219" t="str">
            <v>RECESO</v>
          </cell>
          <cell r="N219" t="str">
            <v>C2</v>
          </cell>
          <cell r="O219" t="str">
            <v>NO</v>
          </cell>
          <cell r="P219" t="str">
            <v>COMPLETA</v>
          </cell>
          <cell r="Q219" t="str">
            <v>NO</v>
          </cell>
          <cell r="R219" t="str">
            <v>SI</v>
          </cell>
          <cell r="S219" t="str">
            <v>SI</v>
          </cell>
          <cell r="T219" t="str">
            <v>SESA DIEGO MIGUEL</v>
          </cell>
          <cell r="U219" t="str">
            <v>diego.sesa@oxxo.com</v>
          </cell>
          <cell r="V219">
            <v>56954238682</v>
          </cell>
          <cell r="W219" t="str">
            <v>ZAMBRANO JARA CAROLINA GRACIELA</v>
          </cell>
          <cell r="X219" t="str">
            <v>carolina.zambrano@oxxo.com</v>
          </cell>
          <cell r="Y219">
            <v>56964950188</v>
          </cell>
          <cell r="Z219" t="str">
            <v>DAICIRYS ISABEL MEDINA SANCHEZ</v>
          </cell>
          <cell r="AA219">
            <v>56992193510</v>
          </cell>
          <cell r="AB219">
            <v>0.29166666666666669</v>
          </cell>
          <cell r="AC219">
            <v>0.91666666666666663</v>
          </cell>
          <cell r="AD219">
            <v>0.29166666666666669</v>
          </cell>
          <cell r="AE219">
            <v>0.91666666666666663</v>
          </cell>
          <cell r="AF219">
            <v>0.33333333333333331</v>
          </cell>
          <cell r="AG219">
            <v>0.91666666666666663</v>
          </cell>
          <cell r="AH219">
            <v>0.39583333333333331</v>
          </cell>
          <cell r="AI219">
            <v>0.84375</v>
          </cell>
          <cell r="AJ219">
            <v>0.39583333333333331</v>
          </cell>
          <cell r="AK219">
            <v>0.84375</v>
          </cell>
          <cell r="AL219" t="str">
            <v>12HRS</v>
          </cell>
          <cell r="AM219" t="str">
            <v>PAULA HUERTA</v>
          </cell>
          <cell r="AO219">
            <v>45191</v>
          </cell>
        </row>
        <row r="220">
          <cell r="E220" t="str">
            <v>OXXO</v>
          </cell>
          <cell r="F220" t="str">
            <v>MACUL 1</v>
          </cell>
          <cell r="G220" t="str">
            <v>AVENIDA MACUL 4850 , LOCAL 2</v>
          </cell>
          <cell r="H220" t="str">
            <v>MACUL</v>
          </cell>
          <cell r="I220" t="str">
            <v>METROPOLITANA</v>
          </cell>
          <cell r="J220" t="str">
            <v>50BYG</v>
          </cell>
          <cell r="K220" t="str">
            <v>cl-macul1@tiendas.oxxo.com</v>
          </cell>
          <cell r="L220" t="str">
            <v>T2023</v>
          </cell>
          <cell r="M220" t="str">
            <v>HOGAR C/FF</v>
          </cell>
          <cell r="N220" t="str">
            <v>C2</v>
          </cell>
          <cell r="O220" t="str">
            <v>NO</v>
          </cell>
          <cell r="P220" t="str">
            <v>PARCIAL</v>
          </cell>
          <cell r="T220" t="str">
            <v>SERRANO SOTO MANUEL</v>
          </cell>
          <cell r="U220" t="str">
            <v>manuel.serrano@oxxo.com</v>
          </cell>
          <cell r="V220">
            <v>56940201885</v>
          </cell>
          <cell r="W220" t="str">
            <v>PINERUA JAIMES JESUS</v>
          </cell>
          <cell r="X220" t="str">
            <v>jesus.pinerua@oxxo.com</v>
          </cell>
          <cell r="Y220">
            <v>56982335207</v>
          </cell>
          <cell r="Z220" t="str">
            <v>GIOMALI ROJAS REVETTE</v>
          </cell>
          <cell r="AA220">
            <v>992196307</v>
          </cell>
          <cell r="AL220" t="str">
            <v>12HRS</v>
          </cell>
          <cell r="AO220">
            <v>45136</v>
          </cell>
        </row>
        <row r="221">
          <cell r="E221" t="str">
            <v>OXXO</v>
          </cell>
          <cell r="F221" t="str">
            <v>CRUZ DEL SUR</v>
          </cell>
          <cell r="G221" t="str">
            <v>CRUZ DEL SUR 133</v>
          </cell>
          <cell r="H221" t="str">
            <v>LAS CONDES</v>
          </cell>
          <cell r="I221" t="str">
            <v>METROPOLITANA</v>
          </cell>
          <cell r="J221" t="str">
            <v>50XCV</v>
          </cell>
          <cell r="K221" t="str">
            <v>cl-cruzdelsur@tiendas.oxxo.com</v>
          </cell>
          <cell r="L221" t="str">
            <v>TNM</v>
          </cell>
          <cell r="M221" t="str">
            <v>RECESO</v>
          </cell>
          <cell r="N221" t="str">
            <v>ABC1</v>
          </cell>
          <cell r="O221" t="str">
            <v>NO</v>
          </cell>
          <cell r="P221" t="str">
            <v>COMPLETA</v>
          </cell>
          <cell r="T221" t="str">
            <v>SERRANO SOTO MANUEL</v>
          </cell>
          <cell r="U221" t="str">
            <v>manuel.serrano@oxxo.com</v>
          </cell>
          <cell r="V221">
            <v>56940201885</v>
          </cell>
          <cell r="W221" t="str">
            <v>BARRIOS BAPTISTA JUAN JOSE</v>
          </cell>
          <cell r="X221" t="str">
            <v>juanj.barrios@oxxo.com</v>
          </cell>
          <cell r="Y221">
            <v>56998642001</v>
          </cell>
          <cell r="Z221" t="str">
            <v>ROSA MELISA BELEN ROJAS DIAZ</v>
          </cell>
          <cell r="AA221">
            <v>992190721</v>
          </cell>
          <cell r="AL221" t="str">
            <v>12HRS</v>
          </cell>
          <cell r="AO221">
            <v>45138</v>
          </cell>
        </row>
        <row r="222">
          <cell r="E222" t="str">
            <v>OKM</v>
          </cell>
          <cell r="F222" t="str">
            <v>OKM ACACIOS</v>
          </cell>
          <cell r="G222" t="str">
            <v>LOS ACACIOS 96</v>
          </cell>
          <cell r="H222" t="str">
            <v>SAN PEDRO DE LA PAZ</v>
          </cell>
          <cell r="I222" t="str">
            <v>BIOBIO</v>
          </cell>
          <cell r="J222" t="str">
            <v>50OKA</v>
          </cell>
          <cell r="K222" t="str">
            <v>okm-acacios@tiendas.oxxo.com</v>
          </cell>
          <cell r="L222" t="str">
            <v>TMCB</v>
          </cell>
          <cell r="M222" t="str">
            <v>HOGAR</v>
          </cell>
          <cell r="N222" t="str">
            <v>ABC1</v>
          </cell>
          <cell r="O222" t="str">
            <v>SI</v>
          </cell>
          <cell r="P222" t="str">
            <v>COMPLETA</v>
          </cell>
          <cell r="Q222" t="str">
            <v>SI</v>
          </cell>
          <cell r="R222" t="str">
            <v>SI</v>
          </cell>
          <cell r="S222" t="str">
            <v>SI</v>
          </cell>
          <cell r="T222" t="str">
            <v>SESA DIEGO MIGUEL</v>
          </cell>
          <cell r="U222" t="str">
            <v>diego.sesa@oxxo.com</v>
          </cell>
          <cell r="V222">
            <v>56954238682</v>
          </cell>
          <cell r="W222" t="str">
            <v>ZAMBRANO JARA CAROLINA GRACIELA</v>
          </cell>
          <cell r="X222" t="str">
            <v>carolina.zambrano@oxxo.com</v>
          </cell>
          <cell r="Y222">
            <v>56964950188</v>
          </cell>
          <cell r="Z222" t="str">
            <v>VERONICA CISTERNA GONZALEZ</v>
          </cell>
          <cell r="AA222">
            <v>56985493190</v>
          </cell>
          <cell r="AB222">
            <v>0.29166666666666669</v>
          </cell>
          <cell r="AC222">
            <v>0.91666666666666663</v>
          </cell>
          <cell r="AD222">
            <v>0.29166666666666669</v>
          </cell>
          <cell r="AE222">
            <v>0.91666666666666663</v>
          </cell>
          <cell r="AF222">
            <v>0.33333333333333331</v>
          </cell>
          <cell r="AG222">
            <v>0.91666666666666663</v>
          </cell>
          <cell r="AH222">
            <v>0.39583333333333331</v>
          </cell>
          <cell r="AI222">
            <v>0.84375</v>
          </cell>
          <cell r="AJ222">
            <v>0.375</v>
          </cell>
          <cell r="AK222">
            <v>0.85416666666666663</v>
          </cell>
          <cell r="AL222" t="str">
            <v>12HRS</v>
          </cell>
          <cell r="AM222" t="str">
            <v>PAULA HUERTA</v>
          </cell>
        </row>
        <row r="223">
          <cell r="E223" t="str">
            <v>OKM</v>
          </cell>
          <cell r="F223" t="str">
            <v>OKM ALONSO DE CAMARGO</v>
          </cell>
          <cell r="G223" t="str">
            <v>HERNANDO DE MAGALLANES 1275</v>
          </cell>
          <cell r="H223" t="str">
            <v>LAS CONDES</v>
          </cell>
          <cell r="I223" t="str">
            <v>METROPOLITANA</v>
          </cell>
          <cell r="J223" t="str">
            <v>50OAC</v>
          </cell>
          <cell r="K223" t="str">
            <v>okm-alonsodecamargo@tiendas.oxxo.com</v>
          </cell>
          <cell r="L223" t="str">
            <v>TMCB</v>
          </cell>
          <cell r="M223" t="str">
            <v>HOGAR</v>
          </cell>
          <cell r="N223" t="str">
            <v>ABC1</v>
          </cell>
          <cell r="O223" t="str">
            <v>NO</v>
          </cell>
          <cell r="P223" t="str">
            <v>COMPLETA</v>
          </cell>
          <cell r="Q223" t="str">
            <v>NO</v>
          </cell>
          <cell r="R223" t="str">
            <v>NO</v>
          </cell>
          <cell r="S223" t="str">
            <v>NO</v>
          </cell>
          <cell r="T223" t="str">
            <v>BRESCIA RIVERA RODRIGO</v>
          </cell>
          <cell r="U223" t="str">
            <v>rodrigo.brescia@oxxo.com</v>
          </cell>
          <cell r="V223">
            <v>56994777909</v>
          </cell>
          <cell r="W223" t="str">
            <v>BENITEZ QUILODRAN HUGO</v>
          </cell>
          <cell r="X223" t="str">
            <v>hugo.benitez@oxxo.com</v>
          </cell>
          <cell r="Y223">
            <v>56998355780</v>
          </cell>
          <cell r="Z223" t="str">
            <v>JHORCIDEY CHIQUINQUIRA LOPEZ VALLADARES</v>
          </cell>
          <cell r="AA223">
            <v>56989203118</v>
          </cell>
          <cell r="AB223">
            <v>0.29166666666666669</v>
          </cell>
          <cell r="AC223">
            <v>0.91666666666666663</v>
          </cell>
          <cell r="AD223">
            <v>0.29166666666666669</v>
          </cell>
          <cell r="AE223">
            <v>0.91666666666666663</v>
          </cell>
          <cell r="AF223">
            <v>0.33333333333333331</v>
          </cell>
          <cell r="AG223">
            <v>0.91666666666666663</v>
          </cell>
          <cell r="AH223">
            <v>0.39583333333333331</v>
          </cell>
          <cell r="AI223">
            <v>0.84375</v>
          </cell>
          <cell r="AJ223">
            <v>0.375</v>
          </cell>
          <cell r="AK223">
            <v>0.9375</v>
          </cell>
          <cell r="AL223" t="str">
            <v>12HRS</v>
          </cell>
          <cell r="AM223" t="str">
            <v>ROBERTO POBLETE</v>
          </cell>
        </row>
        <row r="224">
          <cell r="E224" t="str">
            <v>OKM</v>
          </cell>
          <cell r="F224" t="str">
            <v>OKM CARMEN SYLVA</v>
          </cell>
          <cell r="G224" t="str">
            <v> AV. EL BOSQUE SUR 422</v>
          </cell>
          <cell r="H224" t="str">
            <v>PROVIDENCIA</v>
          </cell>
          <cell r="I224" t="str">
            <v>METROPOLITANA</v>
          </cell>
          <cell r="J224" t="str">
            <v>50OCS</v>
          </cell>
          <cell r="K224" t="str">
            <v>okm-carmensilva@tiendas.oxxo.com</v>
          </cell>
          <cell r="L224" t="str">
            <v>TMCB</v>
          </cell>
          <cell r="M224" t="str">
            <v>HOGAR</v>
          </cell>
          <cell r="N224" t="str">
            <v>C2</v>
          </cell>
          <cell r="O224" t="str">
            <v>SI</v>
          </cell>
          <cell r="P224" t="str">
            <v>COMPLETA</v>
          </cell>
          <cell r="Q224" t="str">
            <v>NO</v>
          </cell>
          <cell r="R224" t="str">
            <v>SI</v>
          </cell>
          <cell r="S224" t="str">
            <v>NO</v>
          </cell>
          <cell r="T224" t="str">
            <v>BRESCIA RIVERA RODRIGO</v>
          </cell>
          <cell r="U224" t="str">
            <v>rodrigo.brescia@oxxo.com</v>
          </cell>
          <cell r="V224">
            <v>56994777909</v>
          </cell>
          <cell r="W224" t="str">
            <v>BARRIOS BAPTISTA JUAN JOSE</v>
          </cell>
          <cell r="X224" t="str">
            <v>juanj.barrios@oxxo.com</v>
          </cell>
          <cell r="Y224">
            <v>56998642001</v>
          </cell>
          <cell r="Z224" t="str">
            <v>DANIEL ALEXANDER ROMERO THIELEN</v>
          </cell>
          <cell r="AA224">
            <v>56947713639</v>
          </cell>
          <cell r="AB224">
            <v>0.29166666666666669</v>
          </cell>
          <cell r="AC224">
            <v>0.95833333333333337</v>
          </cell>
          <cell r="AD224">
            <v>0.29166666666666669</v>
          </cell>
          <cell r="AE224">
            <v>0.99305555555555558</v>
          </cell>
          <cell r="AF224">
            <v>0.33333333333333331</v>
          </cell>
          <cell r="AG224">
            <v>0.99305555555555558</v>
          </cell>
          <cell r="AH224">
            <v>0.4375</v>
          </cell>
          <cell r="AI224">
            <v>0.88541666666666663</v>
          </cell>
          <cell r="AJ224">
            <v>0.375</v>
          </cell>
          <cell r="AK224">
            <v>0.99305555555555558</v>
          </cell>
          <cell r="AL224" t="str">
            <v>12HRS</v>
          </cell>
          <cell r="AM224" t="str">
            <v>ROBERTO POBLETE</v>
          </cell>
        </row>
        <row r="225">
          <cell r="E225" t="str">
            <v>OXXO</v>
          </cell>
          <cell r="F225" t="str">
            <v>PADRE HURTADO</v>
          </cell>
          <cell r="G225" t="str">
            <v>PADRE HURTADO N59, LOCAL 5</v>
          </cell>
          <cell r="H225" t="str">
            <v>ESTACIÓN CENTRAL</v>
          </cell>
          <cell r="I225" t="str">
            <v>METROPOLITANA</v>
          </cell>
          <cell r="J225" t="str">
            <v>50AUF</v>
          </cell>
          <cell r="K225" t="str">
            <v>cl-padrehurtado@tiendas.oxxo.com</v>
          </cell>
          <cell r="L225" t="str">
            <v>T2023</v>
          </cell>
          <cell r="M225" t="str">
            <v>HOGAR C/FF</v>
          </cell>
          <cell r="O225" t="str">
            <v>NO</v>
          </cell>
          <cell r="P225" t="str">
            <v>PARCIAL</v>
          </cell>
          <cell r="T225" t="str">
            <v>SERRANO SOTO MANUEL</v>
          </cell>
          <cell r="U225" t="str">
            <v>manuel.serrano@oxxo.com</v>
          </cell>
          <cell r="V225">
            <v>56940201885</v>
          </cell>
          <cell r="X225" t="str">
            <v/>
          </cell>
          <cell r="Y225" t="str">
            <v/>
          </cell>
          <cell r="Z225" t="str">
            <v>YASLEANDRO TOVAR FLEBES</v>
          </cell>
          <cell r="AL225" t="str">
            <v>12HRS</v>
          </cell>
          <cell r="AO225">
            <v>45198</v>
          </cell>
        </row>
        <row r="226">
          <cell r="E226" t="str">
            <v>OXXO</v>
          </cell>
          <cell r="F226" t="str">
            <v>PEDRO DE VALDIVIA 5</v>
          </cell>
          <cell r="G226" t="str">
            <v>PEDRO DE VALDIVIA 3382</v>
          </cell>
          <cell r="H226" t="str">
            <v>ÑUÑOA</v>
          </cell>
          <cell r="I226" t="str">
            <v>METROPOLITANA</v>
          </cell>
          <cell r="J226" t="str">
            <v>50K17</v>
          </cell>
          <cell r="K226" t="str">
            <v>cl-pedrodevaldivia5@tiendas.oxxo.com</v>
          </cell>
          <cell r="L226" t="str">
            <v>TNM</v>
          </cell>
          <cell r="M226" t="str">
            <v>HOGAR C/FF</v>
          </cell>
          <cell r="N226" t="str">
            <v>C2</v>
          </cell>
          <cell r="O226" t="str">
            <v>NO</v>
          </cell>
          <cell r="P226" t="str">
            <v>COMPLETA</v>
          </cell>
          <cell r="T226" t="str">
            <v>SERRANO SOTO MANUEL</v>
          </cell>
          <cell r="U226" t="str">
            <v>manuel.serrano@oxxo.com</v>
          </cell>
          <cell r="V226">
            <v>56940201885</v>
          </cell>
          <cell r="W226" t="str">
            <v>MENDOZA GIL BREYNER JOSE</v>
          </cell>
          <cell r="X226" t="str">
            <v>breyner.mendoza@oxxo.com</v>
          </cell>
          <cell r="Y226">
            <v>56998689425</v>
          </cell>
          <cell r="Z226" t="str">
            <v>JOSE DE LOS ANGELES RAMIREZ AGUILAR</v>
          </cell>
          <cell r="AA226">
            <v>56992195089</v>
          </cell>
          <cell r="AL226" t="str">
            <v>12HRS</v>
          </cell>
          <cell r="AO226">
            <v>45163</v>
          </cell>
        </row>
        <row r="227">
          <cell r="E227" t="str">
            <v>OXXO</v>
          </cell>
          <cell r="F227" t="str">
            <v>DR JOHOW</v>
          </cell>
          <cell r="G227" t="str">
            <v>AV GRECIA 3348</v>
          </cell>
          <cell r="H227" t="str">
            <v>ÑUÑOA</v>
          </cell>
          <cell r="I227" t="str">
            <v>METROPOLITANA</v>
          </cell>
          <cell r="J227" t="str">
            <v>50KAD</v>
          </cell>
          <cell r="K227" t="str">
            <v>cl-doctorjohow@tiendas.oxxo.com</v>
          </cell>
          <cell r="L227" t="str">
            <v>TNM</v>
          </cell>
          <cell r="M227" t="str">
            <v>HOGAR</v>
          </cell>
          <cell r="N227" t="str">
            <v>ABC1</v>
          </cell>
          <cell r="O227" t="str">
            <v>NO</v>
          </cell>
          <cell r="P227" t="str">
            <v>COMPLETA</v>
          </cell>
          <cell r="T227" t="str">
            <v>SERRANO SOTO MANUEL</v>
          </cell>
          <cell r="U227" t="str">
            <v>manuel.serrano@oxxo.com</v>
          </cell>
          <cell r="V227">
            <v>56940201885</v>
          </cell>
          <cell r="W227" t="str">
            <v>PINERUA JAIMES JESUS</v>
          </cell>
          <cell r="X227" t="str">
            <v>jesus.pinerua@oxxo.com</v>
          </cell>
          <cell r="Y227">
            <v>56982335207</v>
          </cell>
          <cell r="Z227" t="str">
            <v>LAURA MENDOZA VILLARROEL</v>
          </cell>
          <cell r="AL227" t="str">
            <v>12HRS</v>
          </cell>
          <cell r="AO227">
            <v>45166</v>
          </cell>
        </row>
        <row r="228">
          <cell r="E228" t="str">
            <v>OXXO</v>
          </cell>
          <cell r="F228" t="str">
            <v>ANTONIO TOCORNAL</v>
          </cell>
          <cell r="G228" t="str">
            <v>MANUEL ANTONIO TOCORNAL 646, LOCAL 1</v>
          </cell>
          <cell r="H228" t="str">
            <v>SANTIAGO</v>
          </cell>
          <cell r="I228" t="str">
            <v>METROPOLITANA</v>
          </cell>
          <cell r="J228" t="str">
            <v>50LWL</v>
          </cell>
          <cell r="K228" t="str">
            <v>cl-antoniotocornal@tiendas.oxxo.com</v>
          </cell>
          <cell r="L228" t="str">
            <v>T2023</v>
          </cell>
          <cell r="M228" t="str">
            <v>HOGAR C/FF</v>
          </cell>
          <cell r="N228" t="str">
            <v>C3</v>
          </cell>
          <cell r="O228" t="str">
            <v>NO</v>
          </cell>
          <cell r="P228" t="str">
            <v>PARCIAL</v>
          </cell>
          <cell r="T228" t="str">
            <v>SERRANO SOTO MANUEL</v>
          </cell>
          <cell r="U228" t="str">
            <v>manuel.serrano@oxxo.com</v>
          </cell>
          <cell r="V228">
            <v>56940201885</v>
          </cell>
          <cell r="W228" t="str">
            <v>RUIZ FERRER VANNA</v>
          </cell>
          <cell r="X228" t="str">
            <v>vanna.ruiz@oxxo.com</v>
          </cell>
          <cell r="Y228">
            <v>56994441705</v>
          </cell>
          <cell r="Z228" t="str">
            <v>BELEN PAZ ALVAREZ ACEVEDO</v>
          </cell>
          <cell r="AA228">
            <v>56992193666</v>
          </cell>
          <cell r="AL228" t="str">
            <v>12HRS</v>
          </cell>
          <cell r="AO228">
            <v>45167</v>
          </cell>
        </row>
        <row r="229">
          <cell r="E229" t="str">
            <v>OKM</v>
          </cell>
          <cell r="F229" t="str">
            <v>OKM CHACABUCO</v>
          </cell>
          <cell r="G229" t="str">
            <v>CHACABUCO 1238</v>
          </cell>
          <cell r="H229" t="str">
            <v>CONCEPCIÓN</v>
          </cell>
          <cell r="I229" t="str">
            <v>BIOBIO</v>
          </cell>
          <cell r="J229" t="str">
            <v>50OCA</v>
          </cell>
          <cell r="K229" t="str">
            <v>okm-chacabuco@tiendas.oxxo.com</v>
          </cell>
          <cell r="L229" t="str">
            <v>TMCB</v>
          </cell>
          <cell r="M229" t="str">
            <v>RECESO</v>
          </cell>
          <cell r="N229" t="str">
            <v>ABC1</v>
          </cell>
          <cell r="O229" t="str">
            <v>SI</v>
          </cell>
          <cell r="P229" t="str">
            <v>COMPLETA</v>
          </cell>
          <cell r="Q229" t="str">
            <v>SI</v>
          </cell>
          <cell r="R229" t="str">
            <v>SI</v>
          </cell>
          <cell r="S229" t="str">
            <v>NO</v>
          </cell>
          <cell r="T229" t="str">
            <v>SESA DIEGO MIGUEL</v>
          </cell>
          <cell r="U229" t="str">
            <v>diego.sesa@oxxo.com</v>
          </cell>
          <cell r="V229">
            <v>56954238682</v>
          </cell>
          <cell r="W229" t="str">
            <v>ZAMBRANO JARA CAROLINA GRACIELA</v>
          </cell>
          <cell r="X229" t="str">
            <v>carolina.zambrano@oxxo.com</v>
          </cell>
          <cell r="Y229">
            <v>56964950188</v>
          </cell>
          <cell r="Z229" t="str">
            <v>SAMUEL ALEJANDRO CARRASCO BRIONES</v>
          </cell>
          <cell r="AA229">
            <v>56993435407</v>
          </cell>
          <cell r="AB229">
            <v>0.29166666666666669</v>
          </cell>
          <cell r="AC229">
            <v>0.91666666666666663</v>
          </cell>
          <cell r="AD229">
            <v>0.29166666666666669</v>
          </cell>
          <cell r="AE229">
            <v>0.91666666666666663</v>
          </cell>
          <cell r="AF229">
            <v>0.33333333333333331</v>
          </cell>
          <cell r="AG229">
            <v>0.91666666666666663</v>
          </cell>
          <cell r="AH229">
            <v>0.39583333333333331</v>
          </cell>
          <cell r="AI229">
            <v>0.84375</v>
          </cell>
          <cell r="AJ229">
            <v>0.375</v>
          </cell>
          <cell r="AK229">
            <v>0.85416666666666663</v>
          </cell>
          <cell r="AL229" t="str">
            <v>12HRS</v>
          </cell>
          <cell r="AM229" t="str">
            <v>PAULA HUERTA</v>
          </cell>
        </row>
        <row r="230">
          <cell r="E230" t="str">
            <v>OKM</v>
          </cell>
          <cell r="F230" t="str">
            <v>OKM CHICUREO</v>
          </cell>
          <cell r="G230" t="str">
            <v>AV. CHICUREO LOTEO 2-C3 LOCAL D</v>
          </cell>
          <cell r="H230" t="str">
            <v>COLINA</v>
          </cell>
          <cell r="I230" t="str">
            <v>METROPOLITANA</v>
          </cell>
          <cell r="J230" t="str">
            <v>50OCO</v>
          </cell>
          <cell r="K230" t="str">
            <v>okm-chicureo@tiendas.oxxo.com</v>
          </cell>
          <cell r="L230" t="str">
            <v>TMCB</v>
          </cell>
          <cell r="M230" t="str">
            <v>HOGAR</v>
          </cell>
          <cell r="N230" t="str">
            <v>ABC1</v>
          </cell>
          <cell r="O230" t="str">
            <v>SI</v>
          </cell>
          <cell r="P230" t="str">
            <v>COMPLETA</v>
          </cell>
          <cell r="Q230" t="str">
            <v>SI</v>
          </cell>
          <cell r="R230" t="str">
            <v>NO</v>
          </cell>
          <cell r="S230" t="str">
            <v>SI</v>
          </cell>
          <cell r="T230" t="str">
            <v>BRESCIA RIVERA RODRIGO</v>
          </cell>
          <cell r="U230" t="str">
            <v>rodrigo.brescia@oxxo.com</v>
          </cell>
          <cell r="V230">
            <v>56994777909</v>
          </cell>
          <cell r="W230" t="str">
            <v>MENDOZA GIL BREYNER JOSE</v>
          </cell>
          <cell r="X230" t="str">
            <v>breyner.mendoza@oxxo.com</v>
          </cell>
          <cell r="Y230">
            <v>56998689425</v>
          </cell>
          <cell r="Z230" t="str">
            <v>JACKELINE ERIKA CONDORI GARCIA</v>
          </cell>
          <cell r="AB230">
            <v>0.33333333333333331</v>
          </cell>
          <cell r="AC230">
            <v>0.95833333333333337</v>
          </cell>
          <cell r="AD230">
            <v>0.33333333333333331</v>
          </cell>
          <cell r="AE230">
            <v>0.99305555555555558</v>
          </cell>
          <cell r="AF230">
            <v>0.33333333333333331</v>
          </cell>
          <cell r="AG230">
            <v>0.99305555555555558</v>
          </cell>
          <cell r="AH230">
            <v>0.375</v>
          </cell>
          <cell r="AI230">
            <v>0.91666666666666663</v>
          </cell>
          <cell r="AJ230">
            <v>0.375</v>
          </cell>
          <cell r="AK230">
            <v>0.95833333333333337</v>
          </cell>
          <cell r="AL230" t="str">
            <v>12HRS</v>
          </cell>
          <cell r="AM230" t="str">
            <v>PAULA HUERTA</v>
          </cell>
        </row>
        <row r="231">
          <cell r="E231" t="str">
            <v>OXXO</v>
          </cell>
          <cell r="F231" t="str">
            <v>MALL PATIO RANCAGUA</v>
          </cell>
          <cell r="G231" t="str">
            <v>CUEVAS 483, LOCAL 003</v>
          </cell>
          <cell r="H231" t="str">
            <v>RANCAGUA</v>
          </cell>
          <cell r="I231" t="str">
            <v>BERNARDO OHIGGINS</v>
          </cell>
          <cell r="J231" t="str">
            <v>5050J</v>
          </cell>
          <cell r="K231" t="str">
            <v>cl-mallpatiorancagua@tiendas.oxxo.com</v>
          </cell>
          <cell r="L231" t="str">
            <v>TNM</v>
          </cell>
          <cell r="M231" t="str">
            <v>AL PASO</v>
          </cell>
          <cell r="N231" t="str">
            <v>C2</v>
          </cell>
          <cell r="O231" t="str">
            <v>NO</v>
          </cell>
          <cell r="P231" t="str">
            <v>COMPLETA</v>
          </cell>
          <cell r="Q231" t="str">
            <v>NO</v>
          </cell>
          <cell r="R231" t="str">
            <v>NO</v>
          </cell>
          <cell r="S231" t="str">
            <v>NO</v>
          </cell>
          <cell r="T231" t="str">
            <v>SESA DIEGO MIGUEL</v>
          </cell>
          <cell r="U231" t="str">
            <v>diego.sesa@oxxo.com</v>
          </cell>
          <cell r="V231">
            <v>56954238682</v>
          </cell>
          <cell r="W231" t="str">
            <v>PINERUA JAIMES JESUS</v>
          </cell>
          <cell r="X231" t="str">
            <v>jesus.pinerua@oxxo.com</v>
          </cell>
          <cell r="Y231">
            <v>56982335207</v>
          </cell>
          <cell r="Z231" t="str">
            <v>EDWIN ENRIQUE GOTOPO RONDON</v>
          </cell>
          <cell r="AA231">
            <v>992191815</v>
          </cell>
          <cell r="AJ231">
            <v>0.45833333333333331</v>
          </cell>
          <cell r="AK231">
            <v>0.83333333333333337</v>
          </cell>
          <cell r="AL231" t="str">
            <v>12HRS</v>
          </cell>
          <cell r="AM231" t="str">
            <v>PAULA HUERTA</v>
          </cell>
          <cell r="AO231">
            <v>45176</v>
          </cell>
        </row>
        <row r="232">
          <cell r="E232" t="str">
            <v>OXXO</v>
          </cell>
          <cell r="F232" t="str">
            <v>LA CASTELLANA</v>
          </cell>
          <cell r="G232" t="str">
            <v>LOS MILITARES N5001, LOCAL 102</v>
          </cell>
          <cell r="H232" t="str">
            <v>LAS CONDES</v>
          </cell>
          <cell r="I232" t="str">
            <v>METROPOLITANA</v>
          </cell>
          <cell r="J232" t="str">
            <v>50AJL</v>
          </cell>
          <cell r="K232" t="str">
            <v>cl-castellana@tiendas.oxxo.com</v>
          </cell>
          <cell r="L232" t="str">
            <v>T2024</v>
          </cell>
          <cell r="M232" t="str">
            <v>HOGAR C/FF</v>
          </cell>
          <cell r="O232" t="str">
            <v>NO</v>
          </cell>
          <cell r="P232" t="str">
            <v>PARCIAL</v>
          </cell>
          <cell r="T232" t="str">
            <v>SERRANO SOTO MANUEL</v>
          </cell>
          <cell r="U232" t="str">
            <v>manuel.serrano@oxxo.com</v>
          </cell>
          <cell r="V232">
            <v>56940201885</v>
          </cell>
          <cell r="W232" t="str">
            <v>LOPEZ CALDERON LUIS GERARDO</v>
          </cell>
          <cell r="X232" t="str">
            <v/>
          </cell>
          <cell r="Y232" t="str">
            <v/>
          </cell>
          <cell r="Z232" t="str">
            <v>S/I</v>
          </cell>
          <cell r="AL232" t="str">
            <v>12HRS</v>
          </cell>
          <cell r="AO232">
            <v>45336</v>
          </cell>
        </row>
        <row r="233">
          <cell r="E233" t="str">
            <v>OXXO</v>
          </cell>
          <cell r="F233" t="str">
            <v>MONUMENTO CHACABUCO</v>
          </cell>
          <cell r="G233" t="str">
            <v>CHACABUCO 93</v>
          </cell>
          <cell r="H233" t="str">
            <v>MAIPÚ</v>
          </cell>
          <cell r="I233" t="str">
            <v>METROPOLITANA</v>
          </cell>
          <cell r="J233" t="str">
            <v>50PJ0</v>
          </cell>
          <cell r="K233" t="str">
            <v>cl-monumentochacabuco@tiendas.oxxo.com</v>
          </cell>
          <cell r="L233" t="str">
            <v>TNM</v>
          </cell>
          <cell r="M233" t="str">
            <v>RECESO</v>
          </cell>
          <cell r="N233" t="str">
            <v>C2</v>
          </cell>
          <cell r="O233" t="str">
            <v>NO</v>
          </cell>
          <cell r="P233" t="str">
            <v>COMPLETA</v>
          </cell>
          <cell r="T233" t="str">
            <v>SERRANO SOTO MANUEL</v>
          </cell>
          <cell r="U233" t="str">
            <v>manuel.serrano@oxxo.com</v>
          </cell>
          <cell r="V233">
            <v>56940201885</v>
          </cell>
          <cell r="X233" t="str">
            <v/>
          </cell>
          <cell r="Y233" t="str">
            <v/>
          </cell>
          <cell r="Z233" t="str">
            <v>NASHIRA ARAVENA NUÑEZ</v>
          </cell>
          <cell r="AA233">
            <v>56992192196</v>
          </cell>
          <cell r="AL233" t="str">
            <v>12HRS</v>
          </cell>
          <cell r="AO233">
            <v>45204</v>
          </cell>
        </row>
        <row r="234">
          <cell r="E234" t="str">
            <v>OXXO</v>
          </cell>
          <cell r="F234" t="str">
            <v>RODRIGUEZ PINTO</v>
          </cell>
          <cell r="G234" t="str">
            <v>AV. MANUEL RODRIGUEZ N687, LOCAL 1</v>
          </cell>
          <cell r="H234" t="str">
            <v>CONCEPCIÓN</v>
          </cell>
          <cell r="I234" t="str">
            <v>BIOBIO</v>
          </cell>
          <cell r="J234" t="str">
            <v>50WUM</v>
          </cell>
          <cell r="K234" t="str">
            <v>cl-rodriguezpinto@tiendas.oxxo.com</v>
          </cell>
          <cell r="L234" t="str">
            <v>TNM</v>
          </cell>
          <cell r="M234" t="str">
            <v>HOGAR</v>
          </cell>
          <cell r="N234" t="str">
            <v>C3</v>
          </cell>
          <cell r="O234" t="str">
            <v>NO</v>
          </cell>
          <cell r="P234" t="str">
            <v>PARCIAL</v>
          </cell>
          <cell r="T234" t="str">
            <v>SERRANO SOTO MANUEL</v>
          </cell>
          <cell r="U234" t="str">
            <v>manuel.serrano@oxxo.com</v>
          </cell>
          <cell r="V234">
            <v>56940201885</v>
          </cell>
          <cell r="W234" t="str">
            <v>ZAMBRANO JARA CAROLINA GRACIELA</v>
          </cell>
          <cell r="X234" t="str">
            <v>carolina.zambrano@oxxo.com</v>
          </cell>
          <cell r="Y234">
            <v>56964950188</v>
          </cell>
          <cell r="Z234" t="str">
            <v>KENNETH ALEJANDRO CABELLO BOTTERO</v>
          </cell>
          <cell r="AL234" t="str">
            <v>12HRS</v>
          </cell>
          <cell r="AO234">
            <v>45184</v>
          </cell>
        </row>
        <row r="235">
          <cell r="E235" t="str">
            <v>OKM</v>
          </cell>
          <cell r="F235" t="str">
            <v>OKM EL PARQUE</v>
          </cell>
          <cell r="G235" t="str">
            <v> AVENIDA DEL PARQUE 4023, LOCALES 107 Y 108</v>
          </cell>
          <cell r="H235" t="str">
            <v>HUECHURABA</v>
          </cell>
          <cell r="I235" t="str">
            <v>METROPOLITANA</v>
          </cell>
          <cell r="J235" t="str">
            <v>50OPE</v>
          </cell>
          <cell r="K235" t="str">
            <v>okm-elparquecempreii@tiendas.oxxo.com</v>
          </cell>
          <cell r="L235" t="str">
            <v>TMCB</v>
          </cell>
          <cell r="M235" t="str">
            <v>RECESO</v>
          </cell>
          <cell r="N235" t="str">
            <v>ABC1</v>
          </cell>
          <cell r="O235" t="str">
            <v>SI</v>
          </cell>
          <cell r="P235" t="str">
            <v>COMPLETA</v>
          </cell>
          <cell r="Q235" t="str">
            <v>NO</v>
          </cell>
          <cell r="R235" t="str">
            <v>SI</v>
          </cell>
          <cell r="S235" t="str">
            <v>NO</v>
          </cell>
          <cell r="T235" t="str">
            <v>BRESCIA RIVERA RODRIGO</v>
          </cell>
          <cell r="U235" t="str">
            <v>rodrigo.brescia@oxxo.com</v>
          </cell>
          <cell r="V235">
            <v>56994777909</v>
          </cell>
          <cell r="W235" t="str">
            <v>MENDOZA GIL BREYNER JOSE</v>
          </cell>
          <cell r="X235" t="str">
            <v>breyner.mendoza@oxxo.com</v>
          </cell>
          <cell r="Y235">
            <v>56998689425</v>
          </cell>
          <cell r="Z235" t="str">
            <v>DANIELA MACARENA GALDAMES SAAVEDRA</v>
          </cell>
          <cell r="AA235">
            <v>56995699503</v>
          </cell>
          <cell r="AB235">
            <v>0.29166666666666669</v>
          </cell>
          <cell r="AC235">
            <v>0.95833333333333337</v>
          </cell>
          <cell r="AD235">
            <v>0.29166666666666669</v>
          </cell>
          <cell r="AE235">
            <v>0.99305555555555558</v>
          </cell>
          <cell r="AF235">
            <v>0.33333333333333331</v>
          </cell>
          <cell r="AG235">
            <v>0.99305555555555558</v>
          </cell>
          <cell r="AH235">
            <v>0.39583333333333331</v>
          </cell>
          <cell r="AI235">
            <v>0.84375</v>
          </cell>
          <cell r="AJ235">
            <v>0.375</v>
          </cell>
          <cell r="AK235">
            <v>0.875</v>
          </cell>
          <cell r="AL235" t="str">
            <v>12HRS</v>
          </cell>
          <cell r="AM235" t="str">
            <v>PAULA HUERTA</v>
          </cell>
        </row>
        <row r="236">
          <cell r="E236" t="str">
            <v>OKM</v>
          </cell>
          <cell r="F236" t="str">
            <v>OKM EL RODEO</v>
          </cell>
          <cell r="G236" t="str">
            <v>AV. LA DEHESA 2035 LOCAL 3 Y 4</v>
          </cell>
          <cell r="H236" t="str">
            <v>LO BARNECHEA</v>
          </cell>
          <cell r="I236" t="str">
            <v>METROPOLITANA</v>
          </cell>
          <cell r="J236" t="str">
            <v>50OER</v>
          </cell>
          <cell r="K236" t="str">
            <v>okm-elrodeo@tiendas.oxxo.com</v>
          </cell>
          <cell r="L236" t="str">
            <v>TMCB</v>
          </cell>
          <cell r="M236" t="str">
            <v>HOGAR</v>
          </cell>
          <cell r="N236" t="str">
            <v>ABC1</v>
          </cell>
          <cell r="O236" t="str">
            <v>SI</v>
          </cell>
          <cell r="P236" t="str">
            <v>COMPLETA</v>
          </cell>
          <cell r="Q236" t="str">
            <v>SI</v>
          </cell>
          <cell r="R236" t="str">
            <v>SI</v>
          </cell>
          <cell r="S236" t="str">
            <v>NO</v>
          </cell>
          <cell r="T236" t="str">
            <v>BRESCIA RIVERA RODRIGO</v>
          </cell>
          <cell r="U236" t="str">
            <v>rodrigo.brescia@oxxo.com</v>
          </cell>
          <cell r="V236">
            <v>56994777909</v>
          </cell>
          <cell r="W236" t="str">
            <v>ARAYA BURGOS ARIEL</v>
          </cell>
          <cell r="X236" t="str">
            <v>ariel.araya@oxxo.com</v>
          </cell>
          <cell r="Y236">
            <v>56976232708</v>
          </cell>
          <cell r="Z236" t="str">
            <v>YRANIA CONDE HURTADO</v>
          </cell>
          <cell r="AA236">
            <v>56995699474</v>
          </cell>
          <cell r="AB236">
            <v>0.29166666666666669</v>
          </cell>
          <cell r="AC236">
            <v>0.95833333333333337</v>
          </cell>
          <cell r="AD236">
            <v>0.29166666666666669</v>
          </cell>
          <cell r="AE236">
            <v>0.99305555555555558</v>
          </cell>
          <cell r="AF236">
            <v>0.33333333333333331</v>
          </cell>
          <cell r="AG236">
            <v>0.99305555555555558</v>
          </cell>
          <cell r="AH236">
            <v>0.375</v>
          </cell>
          <cell r="AI236">
            <v>0.91666666666666663</v>
          </cell>
          <cell r="AJ236">
            <v>0.375</v>
          </cell>
          <cell r="AK236">
            <v>0.95833333333333337</v>
          </cell>
          <cell r="AL236" t="str">
            <v>12HRS</v>
          </cell>
          <cell r="AM236" t="str">
            <v>PAULA HUERTA</v>
          </cell>
        </row>
        <row r="237">
          <cell r="E237" t="str">
            <v>OXXO</v>
          </cell>
          <cell r="F237" t="str">
            <v>VILLA ALEMANA 2</v>
          </cell>
          <cell r="G237" t="str">
            <v>CALLE SANTIAGO N802</v>
          </cell>
          <cell r="H237" t="str">
            <v>VILLA ALEMANA</v>
          </cell>
          <cell r="I237" t="str">
            <v>VALPARAISO</v>
          </cell>
          <cell r="J237" t="str">
            <v>50IHX</v>
          </cell>
          <cell r="K237" t="str">
            <v>cl-villaalemana2@tiendas.oxxo.com</v>
          </cell>
          <cell r="L237" t="str">
            <v>TNM</v>
          </cell>
          <cell r="M237" t="str">
            <v>RECESO</v>
          </cell>
          <cell r="N237" t="str">
            <v>ABC1</v>
          </cell>
          <cell r="O237" t="str">
            <v>NO</v>
          </cell>
          <cell r="P237" t="str">
            <v>PARCIAL</v>
          </cell>
          <cell r="T237" t="str">
            <v>SERRANO SOTO MANUEL</v>
          </cell>
          <cell r="U237" t="str">
            <v>manuel.serrano@oxxo.com</v>
          </cell>
          <cell r="V237">
            <v>56940201885</v>
          </cell>
          <cell r="W237" t="str">
            <v>RODRÍGUEZ ROBLES MARCELA ALEJANDRA</v>
          </cell>
          <cell r="X237" t="str">
            <v>marcela.rodriguezrobles@oxxo.com</v>
          </cell>
          <cell r="Y237">
            <v>56982335207</v>
          </cell>
          <cell r="Z237" t="str">
            <v>VALESKA NADINA CARRASCO FUENTES</v>
          </cell>
          <cell r="AA237">
            <v>946311028</v>
          </cell>
          <cell r="AL237" t="str">
            <v>12HRS</v>
          </cell>
          <cell r="AO237">
            <v>45203</v>
          </cell>
        </row>
        <row r="238">
          <cell r="E238" t="str">
            <v>OKM</v>
          </cell>
          <cell r="F238" t="str">
            <v>OKM ELIECER PARADA</v>
          </cell>
          <cell r="G238" t="str">
            <v> TOBALABA 4507 LOCAL 6</v>
          </cell>
          <cell r="H238" t="str">
            <v>ÑUÑOA</v>
          </cell>
          <cell r="I238" t="str">
            <v>METROPOLITANA</v>
          </cell>
          <cell r="J238" t="str">
            <v>50OEP</v>
          </cell>
          <cell r="K238" t="str">
            <v>okm-eliecerparadatob@tiendas.oxxo.com</v>
          </cell>
          <cell r="L238" t="str">
            <v>TMCB</v>
          </cell>
          <cell r="M238" t="str">
            <v>HOGAR</v>
          </cell>
          <cell r="N238" t="str">
            <v>ABC1</v>
          </cell>
          <cell r="O238" t="str">
            <v>SI</v>
          </cell>
          <cell r="P238" t="str">
            <v>COMPLETA</v>
          </cell>
          <cell r="Q238" t="str">
            <v>SI</v>
          </cell>
          <cell r="R238" t="str">
            <v>SI</v>
          </cell>
          <cell r="S238" t="str">
            <v>NO</v>
          </cell>
          <cell r="T238" t="str">
            <v>BRESCIA RIVERA RODRIGO</v>
          </cell>
          <cell r="U238" t="str">
            <v>rodrigo.brescia@oxxo.com</v>
          </cell>
          <cell r="V238">
            <v>56994777909</v>
          </cell>
          <cell r="W238" t="str">
            <v>BENITEZ QUILODRAN HUGO</v>
          </cell>
          <cell r="X238" t="str">
            <v>hugo.benitez@oxxo.com</v>
          </cell>
          <cell r="Y238">
            <v>56998355780</v>
          </cell>
          <cell r="Z238" t="str">
            <v>SEBASTIAN ARIEL CARDENAS CASTRO</v>
          </cell>
          <cell r="AA238">
            <v>56993156911</v>
          </cell>
          <cell r="AB238">
            <v>0.29166666666666669</v>
          </cell>
          <cell r="AC238">
            <v>0.95833333333333337</v>
          </cell>
          <cell r="AD238">
            <v>0.29166666666666669</v>
          </cell>
          <cell r="AE238">
            <v>0.99305555555555558</v>
          </cell>
          <cell r="AF238">
            <v>0.33333333333333331</v>
          </cell>
          <cell r="AG238">
            <v>0.99305555555555558</v>
          </cell>
          <cell r="AH238">
            <v>0.39583333333333331</v>
          </cell>
          <cell r="AI238">
            <v>0.84375</v>
          </cell>
          <cell r="AJ238">
            <v>0.375</v>
          </cell>
          <cell r="AK238" t="str">
            <v>22:00 </v>
          </cell>
          <cell r="AL238" t="str">
            <v>12HRS</v>
          </cell>
          <cell r="AM238" t="str">
            <v>ROBERTO POBLETE</v>
          </cell>
        </row>
        <row r="239">
          <cell r="E239" t="str">
            <v>OXXO</v>
          </cell>
          <cell r="F239" t="str">
            <v>RENGO FREIRE</v>
          </cell>
          <cell r="G239" t="str">
            <v>RENGO N594, LOCAL F</v>
          </cell>
          <cell r="H239" t="str">
            <v>CONCEPCIÓN</v>
          </cell>
          <cell r="I239" t="str">
            <v>BIOBIO</v>
          </cell>
          <cell r="J239" t="str">
            <v>50TI7</v>
          </cell>
          <cell r="K239" t="str">
            <v>cl-rengofreire@tiendas.oxxo.com</v>
          </cell>
          <cell r="L239" t="str">
            <v>TNM</v>
          </cell>
          <cell r="M239" t="str">
            <v>RECESO</v>
          </cell>
          <cell r="N239" t="str">
            <v>C3</v>
          </cell>
          <cell r="O239" t="str">
            <v>NO</v>
          </cell>
          <cell r="P239" t="str">
            <v>PARCIAL</v>
          </cell>
          <cell r="T239" t="str">
            <v>SERRANO SOTO MANUEL</v>
          </cell>
          <cell r="U239" t="str">
            <v>manuel.serrano@oxxo.com</v>
          </cell>
          <cell r="V239">
            <v>56940201885</v>
          </cell>
          <cell r="W239" t="str">
            <v>ZAMBRANO JARA CAROLINA GRACIELA</v>
          </cell>
          <cell r="X239" t="str">
            <v>carolina.zambrano@oxxo.com</v>
          </cell>
          <cell r="Y239">
            <v>56964950188</v>
          </cell>
          <cell r="Z239" t="str">
            <v>SAMUEL ALEJANDRO CARRASCO BRIONES</v>
          </cell>
          <cell r="AL239" t="str">
            <v>12HRS</v>
          </cell>
          <cell r="AO239">
            <v>45195</v>
          </cell>
        </row>
        <row r="240">
          <cell r="E240" t="str">
            <v>OXXO</v>
          </cell>
          <cell r="F240" t="str">
            <v>QUILLOTA 1</v>
          </cell>
          <cell r="G240" t="str">
            <v>RAMÓN FREIRE N78, LOCAL 5</v>
          </cell>
          <cell r="H240" t="str">
            <v>QUILLOTA</v>
          </cell>
          <cell r="I240" t="str">
            <v>VALPARAISO</v>
          </cell>
          <cell r="J240" t="str">
            <v>50INN</v>
          </cell>
          <cell r="K240" t="str">
            <v>cl-quillota1@tiendas.oxxo.com</v>
          </cell>
          <cell r="L240" t="str">
            <v>TNM</v>
          </cell>
          <cell r="M240" t="str">
            <v>RECESO</v>
          </cell>
          <cell r="N240" t="str">
            <v>ABC1</v>
          </cell>
          <cell r="O240" t="str">
            <v>NO</v>
          </cell>
          <cell r="P240" t="str">
            <v>COMPLETA</v>
          </cell>
          <cell r="T240" t="str">
            <v>SERRANO SOTO MANUEL</v>
          </cell>
          <cell r="U240" t="str">
            <v>manuel.serrano@oxxo.com</v>
          </cell>
          <cell r="V240">
            <v>56940201885</v>
          </cell>
          <cell r="W240" t="str">
            <v>RODRÍGUEZ ROBLES MARCELA ALEJANDRA</v>
          </cell>
          <cell r="X240" t="str">
            <v>marcela.rodriguezrobles@oxxo.com</v>
          </cell>
          <cell r="Y240">
            <v>56982335207</v>
          </cell>
          <cell r="Z240" t="str">
            <v>MARBERLLYS DEL VALLE PAREDES FERMIN</v>
          </cell>
          <cell r="AA240">
            <v>995696800</v>
          </cell>
          <cell r="AL240" t="str">
            <v>12HRS</v>
          </cell>
          <cell r="AO240">
            <v>45218</v>
          </cell>
        </row>
        <row r="241">
          <cell r="E241" t="str">
            <v>OXXO</v>
          </cell>
          <cell r="F241" t="str">
            <v>JJ PEREZ</v>
          </cell>
          <cell r="G241" t="str">
            <v>JJ PERÉZ N232</v>
          </cell>
          <cell r="H241" t="str">
            <v>CALERA</v>
          </cell>
          <cell r="I241" t="str">
            <v>VALPARAISO</v>
          </cell>
          <cell r="J241" t="str">
            <v>500LI</v>
          </cell>
          <cell r="K241" t="str">
            <v>cl-jjperez@tiendas.oxxo.com</v>
          </cell>
          <cell r="L241" t="str">
            <v>TNM</v>
          </cell>
          <cell r="M241" t="str">
            <v>RECESO</v>
          </cell>
          <cell r="N241" t="str">
            <v>C3</v>
          </cell>
          <cell r="O241" t="str">
            <v>NO</v>
          </cell>
          <cell r="P241" t="str">
            <v>COMPLETA</v>
          </cell>
          <cell r="T241" t="str">
            <v>SERRANO SOTO MANUEL</v>
          </cell>
          <cell r="U241" t="str">
            <v>manuel.serrano@oxxo.com</v>
          </cell>
          <cell r="V241">
            <v>56940201885</v>
          </cell>
          <cell r="W241" t="str">
            <v>RODRÍGUEZ ROBLES MARCELA ALEJANDRA</v>
          </cell>
          <cell r="X241" t="str">
            <v>marcela.rodriguezrobles@oxxo.com</v>
          </cell>
          <cell r="Y241">
            <v>56982335207</v>
          </cell>
          <cell r="Z241" t="str">
            <v>YOSBERT ARNART PAREDES ESCALONA</v>
          </cell>
          <cell r="AA241">
            <v>926113666</v>
          </cell>
          <cell r="AL241" t="str">
            <v>12HRS</v>
          </cell>
          <cell r="AO241">
            <v>45197</v>
          </cell>
        </row>
        <row r="242">
          <cell r="E242" t="str">
            <v>OXXO</v>
          </cell>
          <cell r="F242" t="str">
            <v>PRAT SALINAS</v>
          </cell>
          <cell r="G242" t="str">
            <v>ARTURO PRAT N771 (EX N205)</v>
          </cell>
          <cell r="H242" t="str">
            <v>SAN FELIPE</v>
          </cell>
          <cell r="I242" t="str">
            <v>VALPARAISO</v>
          </cell>
          <cell r="J242" t="str">
            <v>50EVA</v>
          </cell>
          <cell r="K242" t="str">
            <v>cl-pratsalinas@tiendas.oxxo.com</v>
          </cell>
          <cell r="L242" t="str">
            <v>TNM</v>
          </cell>
          <cell r="M242" t="str">
            <v>RECESO</v>
          </cell>
          <cell r="N242" t="str">
            <v>C3</v>
          </cell>
          <cell r="O242" t="str">
            <v>NO</v>
          </cell>
          <cell r="P242" t="str">
            <v>PARCIAL</v>
          </cell>
          <cell r="T242" t="str">
            <v>SERRANO SOTO MANUEL</v>
          </cell>
          <cell r="U242" t="str">
            <v>manuel.serrano@oxxo.com</v>
          </cell>
          <cell r="V242">
            <v>56940201885</v>
          </cell>
          <cell r="W242" t="str">
            <v>MENDOZA GIL BREYNER JOSE</v>
          </cell>
          <cell r="X242" t="str">
            <v>breyner.mendoza@oxxo.com</v>
          </cell>
          <cell r="Y242">
            <v>56998689425</v>
          </cell>
          <cell r="Z242" t="str">
            <v>CAROLINA ALEJANDRA MARCHANT CABRERA</v>
          </cell>
          <cell r="AA242">
            <v>992196041</v>
          </cell>
          <cell r="AL242" t="str">
            <v>12HRS</v>
          </cell>
          <cell r="AO242">
            <v>45198</v>
          </cell>
        </row>
        <row r="243">
          <cell r="E243" t="str">
            <v>OXXO</v>
          </cell>
          <cell r="F243" t="str">
            <v>MATUCANA SD</v>
          </cell>
          <cell r="G243" t="str">
            <v>MATUCANA 657, LOCAL 3</v>
          </cell>
          <cell r="H243" t="str">
            <v>SANTIAGO</v>
          </cell>
          <cell r="I243" t="str">
            <v>METROPOLITANA</v>
          </cell>
          <cell r="J243" t="str">
            <v>50TCP</v>
          </cell>
          <cell r="K243" t="str">
            <v>cl-matucanasd@tiendas.oxxo.com</v>
          </cell>
          <cell r="L243" t="str">
            <v>TNM</v>
          </cell>
          <cell r="M243" t="str">
            <v>HOGAR</v>
          </cell>
          <cell r="N243" t="str">
            <v>C2</v>
          </cell>
          <cell r="O243" t="str">
            <v>NO</v>
          </cell>
          <cell r="P243" t="str">
            <v>COMPLETA</v>
          </cell>
          <cell r="T243" t="str">
            <v>SERRANO SOTO MANUEL</v>
          </cell>
          <cell r="U243" t="str">
            <v>manuel.serrano@oxxo.com</v>
          </cell>
          <cell r="V243">
            <v>56940201885</v>
          </cell>
          <cell r="X243" t="str">
            <v/>
          </cell>
          <cell r="Y243" t="str">
            <v/>
          </cell>
          <cell r="Z243" t="str">
            <v>JOSE JAVIER GALLARDO MEDINA</v>
          </cell>
          <cell r="AA243">
            <v>992191396</v>
          </cell>
          <cell r="AL243" t="str">
            <v>12HRS</v>
          </cell>
          <cell r="AO243">
            <v>45195</v>
          </cell>
        </row>
        <row r="244">
          <cell r="E244" t="str">
            <v>OXXO</v>
          </cell>
          <cell r="F244" t="str">
            <v>PLAZA INES DE SUAREZ</v>
          </cell>
          <cell r="G244" t="str">
            <v>POCURO N1815 LOCAL 2</v>
          </cell>
          <cell r="H244" t="str">
            <v>PROVIDENCIA</v>
          </cell>
          <cell r="I244" t="str">
            <v>METROPOLITANA</v>
          </cell>
          <cell r="J244" t="str">
            <v>50QM5</v>
          </cell>
          <cell r="K244" t="str">
            <v>cl-plazainesdesuarez@tiendas.oxxo.com</v>
          </cell>
          <cell r="L244" t="str">
            <v>TNM</v>
          </cell>
          <cell r="M244" t="str">
            <v>HOGAR C/FF</v>
          </cell>
          <cell r="N244" t="str">
            <v>ABC1</v>
          </cell>
          <cell r="O244" t="str">
            <v>NO</v>
          </cell>
          <cell r="P244" t="str">
            <v>COMPLETA</v>
          </cell>
          <cell r="T244" t="str">
            <v>SERRANO SOTO MANUEL</v>
          </cell>
          <cell r="U244" t="str">
            <v>manuel.serrano@oxxo.com</v>
          </cell>
          <cell r="V244">
            <v>56940201885</v>
          </cell>
          <cell r="W244" t="str">
            <v>RODRIGUEZ ABREU ROSA</v>
          </cell>
          <cell r="X244" t="str">
            <v>rosa.rodriguezabreu@oxxo.com</v>
          </cell>
          <cell r="Y244">
            <v>56989993870</v>
          </cell>
          <cell r="Z244" t="str">
            <v>FRANCIS COROMOTO CAMACHO HERNANDEZ</v>
          </cell>
          <cell r="AA244">
            <v>56995696898</v>
          </cell>
          <cell r="AL244" t="str">
            <v>12HRS</v>
          </cell>
          <cell r="AO244">
            <v>45216</v>
          </cell>
        </row>
        <row r="245">
          <cell r="E245" t="str">
            <v>OKM</v>
          </cell>
          <cell r="F245" t="str">
            <v>OKM HERNANDO DE MAGALLANES</v>
          </cell>
          <cell r="G245" t="str">
            <v>CRISTÓBAL COLÓN 6560</v>
          </cell>
          <cell r="H245" t="str">
            <v>LAS CONDES</v>
          </cell>
          <cell r="I245" t="str">
            <v>METROPOLITANA</v>
          </cell>
          <cell r="J245" t="str">
            <v>50OHM</v>
          </cell>
          <cell r="K245" t="str">
            <v>okm-hernandodemagallanes@tiendas.oxxo.com</v>
          </cell>
          <cell r="L245" t="str">
            <v>TMCB</v>
          </cell>
          <cell r="M245" t="str">
            <v>BASE</v>
          </cell>
          <cell r="N245" t="str">
            <v>C2</v>
          </cell>
          <cell r="O245" t="str">
            <v>NO</v>
          </cell>
          <cell r="P245" t="str">
            <v>COMPLETA</v>
          </cell>
          <cell r="Q245" t="str">
            <v>NO</v>
          </cell>
          <cell r="R245" t="str">
            <v>NO</v>
          </cell>
          <cell r="S245" t="str">
            <v>NO</v>
          </cell>
          <cell r="T245" t="str">
            <v>BRESCIA RIVERA RODRIGO</v>
          </cell>
          <cell r="U245" t="str">
            <v>rodrigo.brescia@oxxo.com</v>
          </cell>
          <cell r="V245">
            <v>56994777909</v>
          </cell>
          <cell r="W245" t="str">
            <v>BENITEZ QUILODRAN HUGO</v>
          </cell>
          <cell r="X245" t="str">
            <v>hugo.benitez@oxxo.com</v>
          </cell>
          <cell r="Y245">
            <v>56998355780</v>
          </cell>
          <cell r="Z245" t="str">
            <v>MARINA ALEJANDRA SAAVEDRA CALISAYA</v>
          </cell>
          <cell r="AA245">
            <v>56992196298</v>
          </cell>
          <cell r="AB245">
            <v>0.29166666666666669</v>
          </cell>
          <cell r="AC245">
            <v>0.95833333333333337</v>
          </cell>
          <cell r="AD245">
            <v>0.29166666666666669</v>
          </cell>
          <cell r="AE245">
            <v>0.99305555555555558</v>
          </cell>
          <cell r="AF245">
            <v>0.33333333333333331</v>
          </cell>
          <cell r="AG245">
            <v>0.99305555555555558</v>
          </cell>
          <cell r="AH245">
            <v>0.4375</v>
          </cell>
          <cell r="AI245">
            <v>0.88541666666666663</v>
          </cell>
          <cell r="AJ245">
            <v>0.375</v>
          </cell>
          <cell r="AK245">
            <v>0.9375</v>
          </cell>
          <cell r="AL245" t="str">
            <v>12HRS</v>
          </cell>
          <cell r="AM245" t="str">
            <v>ROBERTO POBLETE</v>
          </cell>
        </row>
        <row r="246">
          <cell r="E246" t="str">
            <v>OXXO</v>
          </cell>
          <cell r="F246" t="str">
            <v>JOSE LUIS COO</v>
          </cell>
          <cell r="G246" t="str">
            <v>JOSÉ LUIS COO N0165, LOCAL 1</v>
          </cell>
          <cell r="H246" t="str">
            <v>PUENTE ALTO</v>
          </cell>
          <cell r="I246" t="str">
            <v>METROPOLITANA</v>
          </cell>
          <cell r="J246" t="str">
            <v>50XJP</v>
          </cell>
          <cell r="K246" t="str">
            <v>cl-joseluiscoo@tiendas.oxxo.com</v>
          </cell>
          <cell r="L246" t="str">
            <v>TNM</v>
          </cell>
          <cell r="M246" t="str">
            <v>RECESO</v>
          </cell>
          <cell r="N246" t="str">
            <v>C2</v>
          </cell>
          <cell r="O246" t="str">
            <v>NO</v>
          </cell>
          <cell r="P246" t="str">
            <v>COMPLETA</v>
          </cell>
          <cell r="T246" t="str">
            <v>SERRANO SOTO MANUEL</v>
          </cell>
          <cell r="U246" t="str">
            <v>manuel.serrano@oxxo.com</v>
          </cell>
          <cell r="V246">
            <v>56940201885</v>
          </cell>
          <cell r="W246" t="str">
            <v>PINERUA JAIMES JESUS</v>
          </cell>
          <cell r="X246" t="str">
            <v>jesus.pinerua@oxxo.com</v>
          </cell>
          <cell r="Y246">
            <v>56982335207</v>
          </cell>
          <cell r="Z246" t="str">
            <v>LUIS ENRIQUE ASPRILLA MURILLO</v>
          </cell>
          <cell r="AL246" t="str">
            <v>12HRS</v>
          </cell>
          <cell r="AO246">
            <v>45239</v>
          </cell>
        </row>
        <row r="247">
          <cell r="E247" t="str">
            <v>OKM</v>
          </cell>
          <cell r="F247" t="str">
            <v>OKM HUINGANAL II</v>
          </cell>
          <cell r="G247" t="str">
            <v>HUINGANAL N2042</v>
          </cell>
          <cell r="H247" t="str">
            <v>LO BARNECHEA</v>
          </cell>
          <cell r="I247" t="str">
            <v>METROPOLITANA</v>
          </cell>
          <cell r="J247" t="str">
            <v>50OHU</v>
          </cell>
          <cell r="K247" t="str">
            <v>okm-huinganalii@tiendas.oxxo.com</v>
          </cell>
          <cell r="L247" t="str">
            <v>TMCB</v>
          </cell>
          <cell r="M247" t="str">
            <v>HOGAR</v>
          </cell>
          <cell r="N247" t="str">
            <v>ABC1</v>
          </cell>
          <cell r="O247" t="str">
            <v>SI</v>
          </cell>
          <cell r="P247" t="str">
            <v>COMPLETA</v>
          </cell>
          <cell r="Q247" t="str">
            <v>SI</v>
          </cell>
          <cell r="R247" t="str">
            <v>SI</v>
          </cell>
          <cell r="S247" t="str">
            <v>NO</v>
          </cell>
          <cell r="T247" t="str">
            <v>BRESCIA RIVERA RODRIGO</v>
          </cell>
          <cell r="U247" t="str">
            <v>rodrigo.brescia@oxxo.com</v>
          </cell>
          <cell r="V247">
            <v>56994777909</v>
          </cell>
          <cell r="W247" t="str">
            <v>ARAYA BURGOS ARIEL</v>
          </cell>
          <cell r="X247" t="str">
            <v>ariel.araya@oxxo.com</v>
          </cell>
          <cell r="Y247">
            <v>56976232708</v>
          </cell>
          <cell r="Z247" t="str">
            <v>NICOLAS ALEJANDRO ESPINOZA OJEDA</v>
          </cell>
          <cell r="AA247">
            <v>56985298027</v>
          </cell>
          <cell r="AB247">
            <v>0.29166666666666669</v>
          </cell>
          <cell r="AC247">
            <v>0.95833333333333337</v>
          </cell>
          <cell r="AD247">
            <v>0.29166666666666669</v>
          </cell>
          <cell r="AE247">
            <v>0.99305555555555558</v>
          </cell>
          <cell r="AF247">
            <v>0.33333333333333331</v>
          </cell>
          <cell r="AG247">
            <v>0.99305555555555558</v>
          </cell>
          <cell r="AH247">
            <v>0.4375</v>
          </cell>
          <cell r="AI247">
            <v>0.88541666666666663</v>
          </cell>
          <cell r="AJ247">
            <v>0.375</v>
          </cell>
          <cell r="AK247">
            <v>0.875</v>
          </cell>
          <cell r="AL247" t="str">
            <v>12HRS</v>
          </cell>
          <cell r="AM247" t="str">
            <v>PAULA HUERTA</v>
          </cell>
        </row>
        <row r="248">
          <cell r="E248" t="str">
            <v>OKM</v>
          </cell>
          <cell r="F248" t="str">
            <v>OKM LIBERTAD</v>
          </cell>
          <cell r="G248" t="str">
            <v>AVDA LIBERTAD 800</v>
          </cell>
          <cell r="H248" t="str">
            <v>VIÑA DEL MAR</v>
          </cell>
          <cell r="I248" t="str">
            <v>VALPARAISO</v>
          </cell>
          <cell r="J248" t="str">
            <v>50OLI</v>
          </cell>
          <cell r="K248" t="str">
            <v>okm-libertad@tiendas.oxxo.com</v>
          </cell>
          <cell r="L248" t="str">
            <v>TMCB</v>
          </cell>
          <cell r="M248" t="str">
            <v>BASE</v>
          </cell>
          <cell r="N248" t="str">
            <v>C2</v>
          </cell>
          <cell r="O248" t="str">
            <v>SI</v>
          </cell>
          <cell r="P248" t="str">
            <v>COMPLETA</v>
          </cell>
          <cell r="Q248" t="str">
            <v>SI</v>
          </cell>
          <cell r="R248" t="str">
            <v>SI</v>
          </cell>
          <cell r="S248" t="str">
            <v>SI</v>
          </cell>
          <cell r="T248" t="str">
            <v>SESA DIEGO MIGUEL</v>
          </cell>
          <cell r="U248" t="str">
            <v>diego.sesa@oxxo.com</v>
          </cell>
          <cell r="V248">
            <v>56954238682</v>
          </cell>
          <cell r="W248" t="str">
            <v>ESCOBAR VALDES VALESKA SOLEDAD</v>
          </cell>
          <cell r="X248" t="str">
            <v>valeska.escobar@oxxo.com</v>
          </cell>
          <cell r="Y248">
            <v>56961681492</v>
          </cell>
          <cell r="Z248" t="str">
            <v>CLAUDIA GUERRA GONZALEZ</v>
          </cell>
          <cell r="AA248">
            <v>56998728697</v>
          </cell>
          <cell r="AB248">
            <v>0</v>
          </cell>
          <cell r="AC248">
            <v>0.99930555555555556</v>
          </cell>
          <cell r="AD248">
            <v>0</v>
          </cell>
          <cell r="AE248">
            <v>0.99930555555555556</v>
          </cell>
          <cell r="AF248">
            <v>0</v>
          </cell>
          <cell r="AG248">
            <v>0.99930555555555556</v>
          </cell>
          <cell r="AH248">
            <v>0</v>
          </cell>
          <cell r="AI248">
            <v>0.99930555555555556</v>
          </cell>
          <cell r="AJ248">
            <v>0</v>
          </cell>
          <cell r="AK248">
            <v>0.99930555555555556</v>
          </cell>
          <cell r="AL248" t="str">
            <v>24HRS</v>
          </cell>
          <cell r="AM248" t="str">
            <v>ROBERTO POBLETE</v>
          </cell>
        </row>
        <row r="249">
          <cell r="E249" t="str">
            <v>OKM</v>
          </cell>
          <cell r="F249" t="str">
            <v>OKM LINCOYAN</v>
          </cell>
          <cell r="G249" t="str">
            <v>OHIGGINS 437</v>
          </cell>
          <cell r="H249" t="str">
            <v>CONCEPCIÓN</v>
          </cell>
          <cell r="I249" t="str">
            <v>BIOBIO</v>
          </cell>
          <cell r="J249" t="str">
            <v>50OLY</v>
          </cell>
          <cell r="K249" t="str">
            <v>okm-lincoyan@tiendas.oxxo.com</v>
          </cell>
          <cell r="L249" t="str">
            <v>TMCB</v>
          </cell>
          <cell r="M249" t="str">
            <v>RECESO</v>
          </cell>
          <cell r="N249" t="str">
            <v>C2</v>
          </cell>
          <cell r="O249" t="str">
            <v>NO</v>
          </cell>
          <cell r="P249" t="str">
            <v>COMPLETA</v>
          </cell>
          <cell r="Q249" t="str">
            <v>SI</v>
          </cell>
          <cell r="R249" t="str">
            <v>NO</v>
          </cell>
          <cell r="S249" t="str">
            <v>NO</v>
          </cell>
          <cell r="T249" t="str">
            <v>SESA DIEGO MIGUEL</v>
          </cell>
          <cell r="U249" t="str">
            <v>diego.sesa@oxxo.com</v>
          </cell>
          <cell r="V249">
            <v>56954238682</v>
          </cell>
          <cell r="W249" t="str">
            <v>ZAMBRANO JARA CAROLINA GRACIELA</v>
          </cell>
          <cell r="X249" t="str">
            <v>carolina.zambrano@oxxo.com</v>
          </cell>
          <cell r="Y249">
            <v>56964950188</v>
          </cell>
          <cell r="Z249" t="str">
            <v>MARISOL EUGENIA MUÑOZ OLAVE</v>
          </cell>
          <cell r="AA249">
            <v>56958644747</v>
          </cell>
          <cell r="AB249">
            <v>0.29166666666666669</v>
          </cell>
          <cell r="AC249">
            <v>0.875</v>
          </cell>
          <cell r="AD249">
            <v>0.29166666666666669</v>
          </cell>
          <cell r="AE249">
            <v>0.875</v>
          </cell>
          <cell r="AF249">
            <v>0.33333333333333331</v>
          </cell>
          <cell r="AG249">
            <v>0.875</v>
          </cell>
          <cell r="AH249" t="str">
            <v>Cerrado</v>
          </cell>
          <cell r="AI249" t="str">
            <v>Cerrado</v>
          </cell>
          <cell r="AJ249">
            <v>0</v>
          </cell>
          <cell r="AK249">
            <v>0</v>
          </cell>
          <cell r="AL249" t="str">
            <v>12HRS</v>
          </cell>
          <cell r="AM249" t="str">
            <v>PAULA HUERTA</v>
          </cell>
        </row>
        <row r="250">
          <cell r="E250" t="str">
            <v>OXXO</v>
          </cell>
          <cell r="F250" t="str">
            <v>NATANIEL COX 1</v>
          </cell>
          <cell r="G250" t="str">
            <v>NATANIEL COX N762, LOCAL 9, SANTIAGO</v>
          </cell>
          <cell r="H250" t="str">
            <v>SANTIAGO</v>
          </cell>
          <cell r="I250" t="str">
            <v>METROPOLITANA</v>
          </cell>
          <cell r="J250" t="str">
            <v>50PWL</v>
          </cell>
          <cell r="K250" t="str">
            <v>cl-nataniel1@tiendas.oxxo.com</v>
          </cell>
          <cell r="L250" t="str">
            <v>TNM</v>
          </cell>
          <cell r="M250" t="str">
            <v>HOGAR C/FF</v>
          </cell>
          <cell r="N250" t="str">
            <v>C3</v>
          </cell>
          <cell r="O250" t="str">
            <v>NO</v>
          </cell>
          <cell r="P250" t="str">
            <v>COMPLETA</v>
          </cell>
          <cell r="T250" t="str">
            <v>SERRANO SOTO MANUEL</v>
          </cell>
          <cell r="U250" t="str">
            <v>manuel.serrano@oxxo.com</v>
          </cell>
          <cell r="V250">
            <v>56940201885</v>
          </cell>
          <cell r="W250" t="str">
            <v>RIQUELME ESTAY ROBERTO</v>
          </cell>
          <cell r="X250" t="str">
            <v/>
          </cell>
          <cell r="Y250" t="str">
            <v/>
          </cell>
          <cell r="Z250" t="str">
            <v>ISIDORA ANTONIA JAVIA VALLEJOS</v>
          </cell>
          <cell r="AL250" t="str">
            <v>12HRS</v>
          </cell>
          <cell r="AO250">
            <v>45232</v>
          </cell>
        </row>
        <row r="251">
          <cell r="E251" t="str">
            <v>OKM</v>
          </cell>
          <cell r="F251" t="str">
            <v>OKM LUIS THAYER OJEDA</v>
          </cell>
          <cell r="G251" t="str">
            <v> LUIS THAYER OJEDA 20</v>
          </cell>
          <cell r="H251" t="str">
            <v>PROVIDENCIA</v>
          </cell>
          <cell r="I251" t="str">
            <v>METROPOLITANA</v>
          </cell>
          <cell r="J251" t="str">
            <v>50OTH</v>
          </cell>
          <cell r="K251" t="str">
            <v>okm-luisthayerojeda@tiendas.oxxo.com</v>
          </cell>
          <cell r="L251" t="str">
            <v>TMCB</v>
          </cell>
          <cell r="M251" t="str">
            <v>RECESO</v>
          </cell>
          <cell r="N251" t="str">
            <v>C2</v>
          </cell>
          <cell r="O251" t="str">
            <v>NO</v>
          </cell>
          <cell r="P251" t="str">
            <v>COMPLETA</v>
          </cell>
          <cell r="Q251" t="str">
            <v>NO</v>
          </cell>
          <cell r="R251" t="str">
            <v>NO</v>
          </cell>
          <cell r="S251" t="str">
            <v>NO</v>
          </cell>
          <cell r="T251" t="str">
            <v>BRESCIA RIVERA RODRIGO</v>
          </cell>
          <cell r="U251" t="str">
            <v>rodrigo.brescia@oxxo.com</v>
          </cell>
          <cell r="V251">
            <v>56994777909</v>
          </cell>
          <cell r="W251" t="str">
            <v>LOPEZ MEZA LUIS JOSÉ</v>
          </cell>
          <cell r="X251" t="str">
            <v>luis.lopez@oxxo.com</v>
          </cell>
          <cell r="Y251">
            <v>56933740505</v>
          </cell>
          <cell r="Z251" t="str">
            <v>DIANA TATIANA VIVANCO ARGUEDAS</v>
          </cell>
          <cell r="AA251">
            <v>56958119068</v>
          </cell>
          <cell r="AB251">
            <v>0.29166666666666669</v>
          </cell>
          <cell r="AC251">
            <v>0.91666666666666663</v>
          </cell>
          <cell r="AD251">
            <v>0.29166666666666669</v>
          </cell>
          <cell r="AE251">
            <v>0.91666666666666663</v>
          </cell>
          <cell r="AF251">
            <v>0.33333333333333331</v>
          </cell>
          <cell r="AG251">
            <v>0.91666666666666663</v>
          </cell>
          <cell r="AH251" t="str">
            <v>Cerrado</v>
          </cell>
          <cell r="AI251" t="str">
            <v>Cerrado</v>
          </cell>
          <cell r="AJ251">
            <v>0.375</v>
          </cell>
          <cell r="AK251">
            <v>0.70833333333333337</v>
          </cell>
          <cell r="AL251" t="str">
            <v>12HRS</v>
          </cell>
          <cell r="AM251" t="str">
            <v>ROBERTO POBLETE</v>
          </cell>
        </row>
        <row r="252">
          <cell r="E252" t="str">
            <v>OXXO</v>
          </cell>
          <cell r="F252" t="str">
            <v>LAS VERBENAS</v>
          </cell>
          <cell r="G252" t="str">
            <v>LAS VERBENAS N9001, LOCALES 101 Y 102</v>
          </cell>
          <cell r="H252" t="str">
            <v>LAS CONDES</v>
          </cell>
          <cell r="I252" t="str">
            <v>METROPOLITANA</v>
          </cell>
          <cell r="J252" t="str">
            <v>50FLF</v>
          </cell>
          <cell r="K252" t="str">
            <v>cl-lasverbenas@tiendas.oxxo.com</v>
          </cell>
          <cell r="L252" t="str">
            <v>T2024</v>
          </cell>
          <cell r="M252" t="str">
            <v>HOGAR</v>
          </cell>
          <cell r="O252" t="str">
            <v>NO</v>
          </cell>
          <cell r="P252" t="str">
            <v>COMPLETA</v>
          </cell>
          <cell r="T252" t="str">
            <v>SERRANO SOTO MANUEL</v>
          </cell>
          <cell r="U252" t="str">
            <v>manuel.serrano@oxxo.com</v>
          </cell>
          <cell r="V252">
            <v>56940201885</v>
          </cell>
          <cell r="W252" t="str">
            <v>GAMERRE URZUA CECILIA</v>
          </cell>
          <cell r="X252" t="str">
            <v>cecilia.gamerre@oxxo.com</v>
          </cell>
          <cell r="Y252">
            <v>56992076485</v>
          </cell>
          <cell r="Z252" t="str">
            <v>RICCIO JOSE BRICEÑO HERNANDEZ</v>
          </cell>
          <cell r="AL252" t="str">
            <v>12HRS</v>
          </cell>
          <cell r="AO252">
            <v>45307</v>
          </cell>
        </row>
        <row r="253">
          <cell r="E253" t="str">
            <v>OXXO</v>
          </cell>
          <cell r="F253" t="str">
            <v>10 DE JULIO SAN DIEGO</v>
          </cell>
          <cell r="G253" t="str">
            <v>AV. DIEZ DE JULIO HUAMACHUCO N1153</v>
          </cell>
          <cell r="H253" t="str">
            <v>SANTIAGO</v>
          </cell>
          <cell r="I253" t="str">
            <v>METROPOLITANA</v>
          </cell>
          <cell r="J253" t="str">
            <v>50Y74</v>
          </cell>
          <cell r="K253" t="str">
            <v>cl-10dejuliosandiego@tiendas.oxxo.com</v>
          </cell>
          <cell r="L253" t="str">
            <v>TNM</v>
          </cell>
          <cell r="M253" t="str">
            <v>RECESO</v>
          </cell>
          <cell r="N253" t="str">
            <v>C2</v>
          </cell>
          <cell r="O253" t="str">
            <v>NO</v>
          </cell>
          <cell r="P253" t="str">
            <v>COMPLETA</v>
          </cell>
          <cell r="T253" t="str">
            <v>SERRANO SOTO MANUEL</v>
          </cell>
          <cell r="U253" t="str">
            <v>manuel.serrano@oxxo.com</v>
          </cell>
          <cell r="V253">
            <v>56940201885</v>
          </cell>
          <cell r="W253" t="str">
            <v>LIAZ MONTERO GABRIEL</v>
          </cell>
          <cell r="X253" t="str">
            <v>gabriel.liaz@oxxo.com</v>
          </cell>
          <cell r="Y253">
            <v>56964735260</v>
          </cell>
          <cell r="Z253" t="str">
            <v>YOSHITARO ISMAEL HINSBI VILLARAN</v>
          </cell>
          <cell r="AA253">
            <v>56995696890</v>
          </cell>
          <cell r="AL253" t="str">
            <v>12HRS</v>
          </cell>
          <cell r="AO253">
            <v>45233</v>
          </cell>
        </row>
        <row r="254">
          <cell r="E254" t="str">
            <v>OXXO</v>
          </cell>
          <cell r="F254" t="str">
            <v>OROMPELLO</v>
          </cell>
          <cell r="G254" t="str">
            <v>OROMPELLO N763, LOCAL 1</v>
          </cell>
          <cell r="H254" t="str">
            <v>CONCEPCIÓN</v>
          </cell>
          <cell r="I254" t="str">
            <v>BIOBIO</v>
          </cell>
          <cell r="J254" t="str">
            <v>50GP4</v>
          </cell>
          <cell r="K254" t="str">
            <v>cl-orompello@tiendas.oxxo.com</v>
          </cell>
          <cell r="L254" t="str">
            <v>TNM</v>
          </cell>
          <cell r="M254" t="str">
            <v>RECESO</v>
          </cell>
          <cell r="N254" t="str">
            <v>C3</v>
          </cell>
          <cell r="O254" t="str">
            <v>NO</v>
          </cell>
          <cell r="P254" t="str">
            <v>COMPLETA</v>
          </cell>
          <cell r="T254" t="str">
            <v>SERRANO SOTO MANUEL</v>
          </cell>
          <cell r="U254" t="str">
            <v>manuel.serrano@oxxo.com</v>
          </cell>
          <cell r="V254">
            <v>56940201885</v>
          </cell>
          <cell r="W254" t="str">
            <v>ZAMBRANO JARA CAROLINA GRACIELA</v>
          </cell>
          <cell r="X254" t="str">
            <v>carolina.zambrano@oxxo.com</v>
          </cell>
          <cell r="Y254">
            <v>56964950188</v>
          </cell>
          <cell r="Z254" t="str">
            <v>YOLEIDA COROMOTO GUEVARA RIVERO</v>
          </cell>
          <cell r="AA254">
            <v>995696869</v>
          </cell>
          <cell r="AL254" t="str">
            <v>12HRS</v>
          </cell>
          <cell r="AO254">
            <v>45230</v>
          </cell>
        </row>
        <row r="255">
          <cell r="E255" t="str">
            <v>OKM</v>
          </cell>
          <cell r="F255" t="str">
            <v>OKM MALL ARAUCO MAIPU</v>
          </cell>
          <cell r="G255" t="str">
            <v>AVDA. AMÉRICO VESPUCIO 399 LOCAL B03</v>
          </cell>
          <cell r="H255" t="str">
            <v>MAIPÚ</v>
          </cell>
          <cell r="I255" t="str">
            <v>METROPOLITANA</v>
          </cell>
          <cell r="J255" t="str">
            <v>50OAM</v>
          </cell>
          <cell r="K255" t="str">
            <v>okm-araucomaipu@tiendas.oxxo.com</v>
          </cell>
          <cell r="L255" t="str">
            <v>TMCB</v>
          </cell>
          <cell r="M255" t="str">
            <v>RECESO</v>
          </cell>
          <cell r="N255" t="str">
            <v>C3</v>
          </cell>
          <cell r="O255" t="str">
            <v>NO</v>
          </cell>
          <cell r="P255" t="str">
            <v>COMPLETA</v>
          </cell>
          <cell r="Q255" t="str">
            <v>SI</v>
          </cell>
          <cell r="R255" t="str">
            <v>NO</v>
          </cell>
          <cell r="S255" t="str">
            <v>NO</v>
          </cell>
          <cell r="T255" t="str">
            <v>BRESCIA RIVERA RODRIGO</v>
          </cell>
          <cell r="U255" t="str">
            <v>rodrigo.brescia@oxxo.com</v>
          </cell>
          <cell r="V255">
            <v>56994777909</v>
          </cell>
          <cell r="W255" t="str">
            <v>PINERUA JAIMES JESUS</v>
          </cell>
          <cell r="X255" t="str">
            <v>jesus.pinerua@oxxo.com</v>
          </cell>
          <cell r="Y255">
            <v>56982335207</v>
          </cell>
          <cell r="Z255" t="str">
            <v>ANDRES ALONSO MIRANDA VELOSO</v>
          </cell>
          <cell r="AA255">
            <v>56994488436</v>
          </cell>
          <cell r="AB255">
            <v>0.33333333333333331</v>
          </cell>
          <cell r="AC255">
            <v>0.85416666666666663</v>
          </cell>
          <cell r="AD255">
            <v>0.33333333333333331</v>
          </cell>
          <cell r="AE255">
            <v>0.85416666666666663</v>
          </cell>
          <cell r="AF255">
            <v>0.41666666666666669</v>
          </cell>
          <cell r="AG255">
            <v>0.85416666666666663</v>
          </cell>
          <cell r="AH255">
            <v>0.45833333333333331</v>
          </cell>
          <cell r="AI255">
            <v>0.83333333333333337</v>
          </cell>
          <cell r="AJ255">
            <v>0.45833333333333331</v>
          </cell>
          <cell r="AK255">
            <v>0.85416666666666663</v>
          </cell>
          <cell r="AL255" t="str">
            <v>12HRS</v>
          </cell>
          <cell r="AM255" t="str">
            <v>PAULA HUERTA</v>
          </cell>
        </row>
        <row r="256">
          <cell r="E256" t="str">
            <v>OKM</v>
          </cell>
          <cell r="F256" t="str">
            <v>OKM METRO LOS LEONES</v>
          </cell>
          <cell r="G256" t="str">
            <v> AV. PROVIDENCIA 2296 LOCAL 01</v>
          </cell>
          <cell r="H256" t="str">
            <v>PROVIDENCIA</v>
          </cell>
          <cell r="I256" t="str">
            <v>METROPOLITANA</v>
          </cell>
          <cell r="J256" t="str">
            <v>50OML</v>
          </cell>
          <cell r="K256" t="str">
            <v>okm-metrolosleones@tiendas.oxxo.com</v>
          </cell>
          <cell r="L256" t="str">
            <v>TMCB</v>
          </cell>
          <cell r="M256" t="str">
            <v>RECESO</v>
          </cell>
          <cell r="N256" t="str">
            <v>C2</v>
          </cell>
          <cell r="O256" t="str">
            <v>NO</v>
          </cell>
          <cell r="P256" t="str">
            <v>COMPLETA</v>
          </cell>
          <cell r="Q256" t="str">
            <v>NO</v>
          </cell>
          <cell r="R256" t="str">
            <v>NO</v>
          </cell>
          <cell r="S256" t="str">
            <v>NO</v>
          </cell>
          <cell r="T256" t="str">
            <v>BRESCIA RIVERA RODRIGO</v>
          </cell>
          <cell r="U256" t="str">
            <v>rodrigo.brescia@oxxo.com</v>
          </cell>
          <cell r="V256">
            <v>56994777909</v>
          </cell>
          <cell r="W256" t="str">
            <v>RODRIGUEZ ABREU ROSA</v>
          </cell>
          <cell r="X256" t="str">
            <v>rosa.rodriguezabreu@oxxo.com</v>
          </cell>
          <cell r="Y256">
            <v>56989993870</v>
          </cell>
          <cell r="Z256" t="str">
            <v>SUSANA LLAULEN PURRAN</v>
          </cell>
          <cell r="AA256">
            <v>56962822274</v>
          </cell>
          <cell r="AB256">
            <v>0.25</v>
          </cell>
          <cell r="AC256">
            <v>0.95833333333333337</v>
          </cell>
          <cell r="AD256">
            <v>0.25</v>
          </cell>
          <cell r="AE256">
            <v>0.95833333333333337</v>
          </cell>
          <cell r="AF256">
            <v>0.33333333333333331</v>
          </cell>
          <cell r="AG256">
            <v>0.91666666666666663</v>
          </cell>
          <cell r="AH256">
            <v>0.39583333333333331</v>
          </cell>
          <cell r="AI256">
            <v>0.84375</v>
          </cell>
          <cell r="AJ256">
            <v>0.39583333333333331</v>
          </cell>
          <cell r="AK256">
            <v>0.9375</v>
          </cell>
          <cell r="AL256" t="str">
            <v>12HRS</v>
          </cell>
          <cell r="AM256" t="str">
            <v>ROBERTO POBLETE</v>
          </cell>
        </row>
        <row r="257">
          <cell r="E257" t="str">
            <v>OXXO</v>
          </cell>
          <cell r="F257" t="str">
            <v>OHIGGINS ANGOL</v>
          </cell>
          <cell r="G257" t="str">
            <v>AV BERNARDO O´HIGGINS N333</v>
          </cell>
          <cell r="H257" t="str">
            <v>CONCEPCIÓN</v>
          </cell>
          <cell r="I257" t="str">
            <v>BIOBIO</v>
          </cell>
          <cell r="J257" t="str">
            <v>504GZ</v>
          </cell>
          <cell r="K257" t="str">
            <v>cl-ohigginsangol@tiendas.oxxo.com</v>
          </cell>
          <cell r="L257" t="str">
            <v>TNM</v>
          </cell>
          <cell r="M257" t="str">
            <v>RECESO</v>
          </cell>
          <cell r="N257" t="str">
            <v>C2</v>
          </cell>
          <cell r="O257" t="str">
            <v>NO</v>
          </cell>
          <cell r="P257" t="str">
            <v>COMPLETA</v>
          </cell>
          <cell r="T257" t="str">
            <v>SERRANO SOTO MANUEL</v>
          </cell>
          <cell r="U257" t="str">
            <v>manuel.serrano@oxxo.com</v>
          </cell>
          <cell r="V257">
            <v>56940201885</v>
          </cell>
          <cell r="W257" t="str">
            <v>ZAMBRANO JARA CAROLINA GRACIELA</v>
          </cell>
          <cell r="X257" t="str">
            <v>carolina.zambrano@oxxo.com</v>
          </cell>
          <cell r="Y257">
            <v>56964950188</v>
          </cell>
          <cell r="Z257" t="str">
            <v>DAICIRYS ISABEL MEDINA SANCHEZ</v>
          </cell>
          <cell r="AL257" t="str">
            <v>12HRS</v>
          </cell>
          <cell r="AO257">
            <v>45252</v>
          </cell>
        </row>
        <row r="258">
          <cell r="E258" t="str">
            <v>OKM</v>
          </cell>
          <cell r="F258" t="str">
            <v>OKM METRO MATTA</v>
          </cell>
          <cell r="G258" t="str">
            <v> AVDA. SANTA ROSA 1086, LOC 2</v>
          </cell>
          <cell r="H258" t="str">
            <v>SANTIAGO</v>
          </cell>
          <cell r="I258" t="str">
            <v>METROPOLITANA</v>
          </cell>
          <cell r="J258" t="str">
            <v>50OTT</v>
          </cell>
          <cell r="K258" t="str">
            <v>okm-metromatta@tiendas.oxxo.com</v>
          </cell>
          <cell r="L258" t="str">
            <v>TMCB</v>
          </cell>
          <cell r="M258" t="str">
            <v>RECESO</v>
          </cell>
          <cell r="N258" t="str">
            <v>C2</v>
          </cell>
          <cell r="O258" t="str">
            <v>NO</v>
          </cell>
          <cell r="P258" t="str">
            <v>COMPLETA</v>
          </cell>
          <cell r="Q258" t="str">
            <v>NO</v>
          </cell>
          <cell r="R258" t="str">
            <v>NO</v>
          </cell>
          <cell r="S258" t="str">
            <v>NO</v>
          </cell>
          <cell r="T258" t="str">
            <v>BRESCIA RIVERA RODRIGO</v>
          </cell>
          <cell r="U258" t="str">
            <v>rodrigo.brescia@oxxo.com</v>
          </cell>
          <cell r="V258">
            <v>56994777909</v>
          </cell>
          <cell r="W258" t="str">
            <v>RODRIGUEZ ABREU ROSA</v>
          </cell>
          <cell r="X258" t="str">
            <v>rosa.rodriguezabreu@oxxo.com</v>
          </cell>
          <cell r="Y258">
            <v>56989993870</v>
          </cell>
          <cell r="Z258" t="str">
            <v>SANDRA CALVUEN HUENCHUAL</v>
          </cell>
          <cell r="AA258">
            <v>56941355390</v>
          </cell>
          <cell r="AB258">
            <v>0.25</v>
          </cell>
          <cell r="AC258">
            <v>0.95833333333333337</v>
          </cell>
          <cell r="AD258">
            <v>0.25</v>
          </cell>
          <cell r="AE258">
            <v>0.95833333333333337</v>
          </cell>
          <cell r="AF258">
            <v>0.33333333333333331</v>
          </cell>
          <cell r="AG258">
            <v>0.91666666666666663</v>
          </cell>
          <cell r="AH258">
            <v>0.39583333333333331</v>
          </cell>
          <cell r="AI258">
            <v>0.84375</v>
          </cell>
          <cell r="AJ258">
            <v>0.39583333333333331</v>
          </cell>
          <cell r="AK258">
            <v>0.875</v>
          </cell>
          <cell r="AL258" t="str">
            <v>12HRS</v>
          </cell>
          <cell r="AM258" t="str">
            <v>ROBERTO POBLETE</v>
          </cell>
        </row>
        <row r="259">
          <cell r="E259" t="str">
            <v>OXXO</v>
          </cell>
          <cell r="F259" t="str">
            <v>TALCA 2</v>
          </cell>
          <cell r="G259" t="str">
            <v>AV. MONSEÑOR MANUEL LARRAÍN (2 SUR) N860, LOCAL 2</v>
          </cell>
          <cell r="H259" t="str">
            <v>TALCA</v>
          </cell>
          <cell r="I259" t="str">
            <v>MAULE</v>
          </cell>
          <cell r="J259" t="str">
            <v>503LC</v>
          </cell>
          <cell r="K259" t="str">
            <v>cl-talca2@tiendas.oxxo.com</v>
          </cell>
          <cell r="L259" t="str">
            <v>TNM</v>
          </cell>
          <cell r="M259" t="str">
            <v>RECESO</v>
          </cell>
          <cell r="N259" t="str">
            <v>C2</v>
          </cell>
          <cell r="O259" t="str">
            <v>NO</v>
          </cell>
          <cell r="P259" t="str">
            <v>COMPLETA</v>
          </cell>
          <cell r="T259" t="str">
            <v>SERRANO SOTO MANUEL</v>
          </cell>
          <cell r="U259" t="str">
            <v>manuel.serrano@oxxo.com</v>
          </cell>
          <cell r="V259">
            <v>56940201885</v>
          </cell>
          <cell r="W259" t="str">
            <v>PINERUA JAIMES JESUS</v>
          </cell>
          <cell r="X259" t="str">
            <v>jesus.pinerua@oxxo.com</v>
          </cell>
          <cell r="Y259">
            <v>56982335207</v>
          </cell>
          <cell r="Z259" t="str">
            <v>MONICA NICOLE VILLALOBOS CHIGUAILAO</v>
          </cell>
          <cell r="AL259" t="str">
            <v>12HRS</v>
          </cell>
          <cell r="AO259">
            <v>45288</v>
          </cell>
        </row>
        <row r="260">
          <cell r="E260" t="str">
            <v>OKM</v>
          </cell>
          <cell r="F260" t="str">
            <v>OKM METRO PLAZA MAIPU</v>
          </cell>
          <cell r="G260" t="str">
            <v>AVDA. PAJARITOS 1921, LOC 05</v>
          </cell>
          <cell r="H260" t="str">
            <v>MAIPÚ</v>
          </cell>
          <cell r="I260" t="str">
            <v>METROPOLITANA</v>
          </cell>
          <cell r="J260" t="str">
            <v>50OPM</v>
          </cell>
          <cell r="K260" t="str">
            <v>okm-metroplazamaipu@tiendas.oxxo.com</v>
          </cell>
          <cell r="L260" t="str">
            <v>TMCB</v>
          </cell>
          <cell r="M260" t="str">
            <v>RECESO</v>
          </cell>
          <cell r="N260" t="str">
            <v>C3</v>
          </cell>
          <cell r="O260" t="str">
            <v>NO</v>
          </cell>
          <cell r="P260" t="str">
            <v>COMPLETA</v>
          </cell>
          <cell r="Q260" t="str">
            <v>NO</v>
          </cell>
          <cell r="R260" t="str">
            <v>NO</v>
          </cell>
          <cell r="S260" t="str">
            <v>NO</v>
          </cell>
          <cell r="T260" t="str">
            <v>BRESCIA RIVERA RODRIGO</v>
          </cell>
          <cell r="U260" t="str">
            <v>rodrigo.brescia@oxxo.com</v>
          </cell>
          <cell r="V260">
            <v>56994777909</v>
          </cell>
          <cell r="W260" t="str">
            <v>RODRIGUEZ ABREU ROSA</v>
          </cell>
          <cell r="X260" t="str">
            <v>rosa.rodriguezabreu@oxxo.com</v>
          </cell>
          <cell r="Y260">
            <v>56989993870</v>
          </cell>
          <cell r="Z260" t="str">
            <v>S/I</v>
          </cell>
          <cell r="AA260">
            <v>56985967073</v>
          </cell>
          <cell r="AB260">
            <v>0.25</v>
          </cell>
          <cell r="AC260">
            <v>0.95833333333333337</v>
          </cell>
          <cell r="AD260">
            <v>0.25</v>
          </cell>
          <cell r="AE260">
            <v>0.95833333333333337</v>
          </cell>
          <cell r="AF260">
            <v>0.33333333333333331</v>
          </cell>
          <cell r="AG260">
            <v>0.91666666666666663</v>
          </cell>
          <cell r="AH260">
            <v>0.39583333333333331</v>
          </cell>
          <cell r="AI260">
            <v>0.84375</v>
          </cell>
          <cell r="AJ260">
            <v>0.39583333333333331</v>
          </cell>
          <cell r="AK260">
            <v>0.875</v>
          </cell>
          <cell r="AL260" t="str">
            <v>12HRS</v>
          </cell>
          <cell r="AM260" t="str">
            <v>ROBERTO POBLETE</v>
          </cell>
        </row>
        <row r="261">
          <cell r="E261" t="str">
            <v>OXXO</v>
          </cell>
          <cell r="F261" t="str">
            <v>ABATE MOLINA</v>
          </cell>
          <cell r="G261" t="str">
            <v>ABATE MOLINA N586, LOCAL 3</v>
          </cell>
          <cell r="H261" t="str">
            <v>SANTIAGO</v>
          </cell>
          <cell r="I261" t="str">
            <v>METROPOLITANA</v>
          </cell>
          <cell r="J261" t="str">
            <v>506J6</v>
          </cell>
          <cell r="K261" t="str">
            <v>cl-abatemolina@tiendas.oxxo.com</v>
          </cell>
          <cell r="L261" t="str">
            <v>TNM</v>
          </cell>
          <cell r="M261" t="str">
            <v>HOGAR C/FF</v>
          </cell>
          <cell r="N261" t="str">
            <v>C3</v>
          </cell>
          <cell r="O261" t="str">
            <v>NO</v>
          </cell>
          <cell r="P261" t="str">
            <v>COMPLETA</v>
          </cell>
          <cell r="T261" t="str">
            <v>SERRANO SOTO MANUEL</v>
          </cell>
          <cell r="U261" t="str">
            <v>manuel.serrano@oxxo.com</v>
          </cell>
          <cell r="V261">
            <v>56940201885</v>
          </cell>
          <cell r="X261" t="str">
            <v/>
          </cell>
          <cell r="Y261" t="str">
            <v/>
          </cell>
          <cell r="Z261" t="str">
            <v>YASNA CAROLINA FIGUEROA INOSTROZA</v>
          </cell>
          <cell r="AL261" t="str">
            <v>12HRS</v>
          </cell>
          <cell r="AO261">
            <v>45289</v>
          </cell>
        </row>
        <row r="262">
          <cell r="E262" t="str">
            <v>OXXO</v>
          </cell>
          <cell r="F262" t="str">
            <v>MACHALI SEWEL</v>
          </cell>
          <cell r="G262" t="str">
            <v>SAN JUAN N6, LOCAL E</v>
          </cell>
          <cell r="H262" t="str">
            <v>MACHALÍ</v>
          </cell>
          <cell r="I262" t="str">
            <v>BERNARDO OHIGGINS</v>
          </cell>
          <cell r="J262" t="str">
            <v>509H6</v>
          </cell>
          <cell r="K262" t="str">
            <v>cl-machalisewel@tiendas.oxxo.com</v>
          </cell>
          <cell r="L262" t="str">
            <v>TNM</v>
          </cell>
          <cell r="M262" t="str">
            <v>HOGAR C/FF</v>
          </cell>
          <cell r="N262" t="str">
            <v>C2</v>
          </cell>
          <cell r="O262" t="str">
            <v>NO</v>
          </cell>
          <cell r="P262" t="str">
            <v>PARCIAL</v>
          </cell>
          <cell r="T262" t="str">
            <v>SERRANO SOTO MANUEL</v>
          </cell>
          <cell r="U262" t="str">
            <v>manuel.serrano@oxxo.com</v>
          </cell>
          <cell r="V262">
            <v>56940201885</v>
          </cell>
          <cell r="W262" t="str">
            <v>PINERUA JAIMES JESUS</v>
          </cell>
          <cell r="X262" t="str">
            <v>jesus.pinerua@oxxo.com</v>
          </cell>
          <cell r="Y262">
            <v>56982335207</v>
          </cell>
          <cell r="Z262" t="str">
            <v>CESAR ENRIQUE GUEDEZ MEJIAS</v>
          </cell>
          <cell r="AL262" t="str">
            <v>12HRS</v>
          </cell>
          <cell r="AO262">
            <v>45289</v>
          </cell>
        </row>
        <row r="263">
          <cell r="E263" t="str">
            <v>OKM</v>
          </cell>
          <cell r="F263" t="str">
            <v>OKM QUINCHAMALI</v>
          </cell>
          <cell r="G263" t="str">
            <v>AV LAS CONDES 14151-14184</v>
          </cell>
          <cell r="H263" t="str">
            <v>LAS CONDES</v>
          </cell>
          <cell r="I263" t="str">
            <v>METROPOLITANA</v>
          </cell>
          <cell r="J263" t="str">
            <v>50OQH</v>
          </cell>
          <cell r="K263" t="str">
            <v>okm-quinchamali@tiendas.oxxo.com</v>
          </cell>
          <cell r="L263" t="str">
            <v>TMCB</v>
          </cell>
          <cell r="M263" t="str">
            <v>HOGAR</v>
          </cell>
          <cell r="N263" t="str">
            <v>ABC1</v>
          </cell>
          <cell r="O263" t="str">
            <v>NO</v>
          </cell>
          <cell r="P263" t="str">
            <v>COMPLETA</v>
          </cell>
          <cell r="Q263" t="str">
            <v>NO</v>
          </cell>
          <cell r="R263" t="str">
            <v>NO</v>
          </cell>
          <cell r="S263" t="str">
            <v>NO</v>
          </cell>
          <cell r="T263" t="str">
            <v>BRESCIA RIVERA RODRIGO</v>
          </cell>
          <cell r="U263" t="str">
            <v>rodrigo.brescia@oxxo.com</v>
          </cell>
          <cell r="V263">
            <v>56994777909</v>
          </cell>
          <cell r="W263" t="str">
            <v>ARAYA BURGOS ARIEL</v>
          </cell>
          <cell r="X263" t="str">
            <v>ariel.araya@oxxo.com</v>
          </cell>
          <cell r="Y263">
            <v>56976232708</v>
          </cell>
          <cell r="Z263" t="str">
            <v>JENIFER FERNANDA JARA FARIAS</v>
          </cell>
          <cell r="AA263">
            <v>56963105538</v>
          </cell>
          <cell r="AB263">
            <v>0.29166666666666669</v>
          </cell>
          <cell r="AC263">
            <v>0.91666666666666663</v>
          </cell>
          <cell r="AD263">
            <v>0.29166666666666669</v>
          </cell>
          <cell r="AE263">
            <v>0.91666666666666663</v>
          </cell>
          <cell r="AF263">
            <v>0.33333333333333331</v>
          </cell>
          <cell r="AG263">
            <v>0.91666666666666663</v>
          </cell>
          <cell r="AH263">
            <v>0.35416666666666669</v>
          </cell>
          <cell r="AI263">
            <v>0.89583333333333337</v>
          </cell>
          <cell r="AJ263">
            <v>0.375</v>
          </cell>
          <cell r="AK263">
            <v>0.875</v>
          </cell>
          <cell r="AL263" t="str">
            <v>12HRS</v>
          </cell>
          <cell r="AM263" t="str">
            <v>PAULA HUERTA</v>
          </cell>
        </row>
        <row r="264">
          <cell r="E264" t="str">
            <v>OKM</v>
          </cell>
          <cell r="F264" t="str">
            <v>OKM QUINTA</v>
          </cell>
          <cell r="G264" t="str">
            <v>CALLE QUINTA 149</v>
          </cell>
          <cell r="H264" t="str">
            <v>VIÑA DEL MAR</v>
          </cell>
          <cell r="I264" t="str">
            <v>VALPARAISO</v>
          </cell>
          <cell r="J264" t="str">
            <v>50OQU</v>
          </cell>
          <cell r="K264" t="str">
            <v>okm-quinta@tiendas.oxxo.com</v>
          </cell>
          <cell r="L264" t="str">
            <v>TMCB</v>
          </cell>
          <cell r="M264" t="str">
            <v>RECESO</v>
          </cell>
          <cell r="N264" t="str">
            <v>C3</v>
          </cell>
          <cell r="O264" t="str">
            <v>SI</v>
          </cell>
          <cell r="P264" t="str">
            <v>COMPLETA</v>
          </cell>
          <cell r="Q264" t="str">
            <v>SI</v>
          </cell>
          <cell r="R264" t="str">
            <v>SI</v>
          </cell>
          <cell r="S264" t="str">
            <v>SI</v>
          </cell>
          <cell r="T264" t="str">
            <v>SESA DIEGO MIGUEL</v>
          </cell>
          <cell r="U264" t="str">
            <v>diego.sesa@oxxo.com</v>
          </cell>
          <cell r="V264">
            <v>56954238682</v>
          </cell>
          <cell r="W264" t="str">
            <v>RODRÍGUEZ ROBLES MARCELA ALEJANDRA</v>
          </cell>
          <cell r="X264" t="str">
            <v>marcela.rodriguezrobles@oxxo.com</v>
          </cell>
          <cell r="Y264">
            <v>56982335207</v>
          </cell>
          <cell r="Z264" t="str">
            <v>CARMEN RUBILAR RUBILAR</v>
          </cell>
          <cell r="AA264">
            <v>56992200272</v>
          </cell>
          <cell r="AB264">
            <v>0.29166666666666669</v>
          </cell>
          <cell r="AC264">
            <v>0.95833333333333337</v>
          </cell>
          <cell r="AD264">
            <v>0.29166666666666669</v>
          </cell>
          <cell r="AE264">
            <v>0.99305555555555558</v>
          </cell>
          <cell r="AF264">
            <v>0.33333333333333331</v>
          </cell>
          <cell r="AG264">
            <v>0.99305555555555558</v>
          </cell>
          <cell r="AH264">
            <v>0.39583333333333331</v>
          </cell>
          <cell r="AI264">
            <v>0.84375</v>
          </cell>
          <cell r="AJ264">
            <v>0.375</v>
          </cell>
          <cell r="AK264">
            <v>0.875</v>
          </cell>
          <cell r="AL264" t="str">
            <v>12HRS</v>
          </cell>
          <cell r="AM264" t="str">
            <v>ROBERTO POBLETE</v>
          </cell>
        </row>
        <row r="265">
          <cell r="E265" t="str">
            <v>OKM</v>
          </cell>
          <cell r="F265" t="str">
            <v>OKM RECREO I</v>
          </cell>
          <cell r="G265" t="str">
            <v>CALLE MANUEL RODRIGUEZ 1701 RECREO</v>
          </cell>
          <cell r="H265" t="str">
            <v>VIÑA DEL MAR</v>
          </cell>
          <cell r="I265" t="str">
            <v>VALPARAISO</v>
          </cell>
          <cell r="J265" t="str">
            <v>50ORC</v>
          </cell>
          <cell r="K265" t="str">
            <v>okm-recreo@tiendas.oxxo.com</v>
          </cell>
          <cell r="L265" t="str">
            <v>TMCB</v>
          </cell>
          <cell r="M265" t="str">
            <v>HOGAR</v>
          </cell>
          <cell r="N265" t="str">
            <v>C2</v>
          </cell>
          <cell r="O265" t="str">
            <v>SI</v>
          </cell>
          <cell r="P265" t="str">
            <v>COMPLETA</v>
          </cell>
          <cell r="Q265" t="str">
            <v>SI</v>
          </cell>
          <cell r="R265" t="str">
            <v>SI</v>
          </cell>
          <cell r="S265" t="str">
            <v>SI</v>
          </cell>
          <cell r="T265" t="str">
            <v>SESA DIEGO MIGUEL</v>
          </cell>
          <cell r="U265" t="str">
            <v>diego.sesa@oxxo.com</v>
          </cell>
          <cell r="V265">
            <v>56954238682</v>
          </cell>
          <cell r="W265" t="str">
            <v>RODRÍGUEZ ROBLES MARCELA ALEJANDRA</v>
          </cell>
          <cell r="X265" t="str">
            <v>marcela.rodriguezrobles@oxxo.com</v>
          </cell>
          <cell r="Y265">
            <v>56982335207</v>
          </cell>
          <cell r="Z265" t="str">
            <v>CAROLINA ANDREA AGUAYO CABEZAS</v>
          </cell>
          <cell r="AB265">
            <v>0.29166666666666669</v>
          </cell>
          <cell r="AC265">
            <v>0.95833333333333337</v>
          </cell>
          <cell r="AD265">
            <v>0.29166666666666669</v>
          </cell>
          <cell r="AE265">
            <v>0.99305555555555558</v>
          </cell>
          <cell r="AF265">
            <v>0.33333333333333331</v>
          </cell>
          <cell r="AG265">
            <v>0.99305555555555558</v>
          </cell>
          <cell r="AH265">
            <v>0.375</v>
          </cell>
          <cell r="AI265">
            <v>0.91666666666666663</v>
          </cell>
          <cell r="AJ265">
            <v>0.375</v>
          </cell>
          <cell r="AK265">
            <v>0.91666666666666663</v>
          </cell>
          <cell r="AL265" t="str">
            <v>12HRS</v>
          </cell>
          <cell r="AM265" t="str">
            <v>ROBERTO POBLETE</v>
          </cell>
        </row>
        <row r="266">
          <cell r="E266" t="str">
            <v>OKM</v>
          </cell>
          <cell r="F266" t="str">
            <v>OKM SANTA BEATRIZ</v>
          </cell>
          <cell r="G266" t="str">
            <v>SANTA BEATRIZ 44</v>
          </cell>
          <cell r="H266" t="str">
            <v>PROVIDENCIA</v>
          </cell>
          <cell r="I266" t="str">
            <v>METROPOLITANA</v>
          </cell>
          <cell r="J266" t="str">
            <v>50OSZ</v>
          </cell>
          <cell r="K266" t="str">
            <v>okm-santabeatriz@tiendas.oxxo.com</v>
          </cell>
          <cell r="L266" t="str">
            <v>TMCB</v>
          </cell>
          <cell r="M266" t="str">
            <v>BASE</v>
          </cell>
          <cell r="N266" t="str">
            <v>ABC1</v>
          </cell>
          <cell r="O266" t="str">
            <v>NO</v>
          </cell>
          <cell r="P266" t="str">
            <v>COMPLETA</v>
          </cell>
          <cell r="Q266" t="str">
            <v>NO</v>
          </cell>
          <cell r="R266" t="str">
            <v>NO</v>
          </cell>
          <cell r="S266" t="str">
            <v>NO</v>
          </cell>
          <cell r="T266" t="str">
            <v>BRESCIA RIVERA RODRIGO</v>
          </cell>
          <cell r="U266" t="str">
            <v>rodrigo.brescia@oxxo.com</v>
          </cell>
          <cell r="V266">
            <v>56994777909</v>
          </cell>
          <cell r="W266" t="str">
            <v>LOPEZ MEZA LUIS JOSÉ</v>
          </cell>
          <cell r="X266" t="str">
            <v>luis.lopez@oxxo.com</v>
          </cell>
          <cell r="Y266">
            <v>56933740505</v>
          </cell>
          <cell r="Z266" t="str">
            <v>DANIELA ALEJANDRA BRIONES URRUTIA</v>
          </cell>
          <cell r="AA266">
            <v>56958136544</v>
          </cell>
          <cell r="AB266">
            <v>0.29166666666666669</v>
          </cell>
          <cell r="AC266">
            <v>0.91666666666666663</v>
          </cell>
          <cell r="AD266">
            <v>0.29166666666666669</v>
          </cell>
          <cell r="AE266">
            <v>0.91666666666666663</v>
          </cell>
          <cell r="AF266">
            <v>0.33333333333333331</v>
          </cell>
          <cell r="AG266">
            <v>0.91666666666666663</v>
          </cell>
          <cell r="AH266">
            <v>0.39583333333333331</v>
          </cell>
          <cell r="AI266">
            <v>0.84375</v>
          </cell>
          <cell r="AJ266">
            <v>0.375</v>
          </cell>
          <cell r="AK266">
            <v>0.91666666666666663</v>
          </cell>
          <cell r="AL266" t="str">
            <v>12HRS</v>
          </cell>
          <cell r="AM266" t="str">
            <v>ROBERTO POBLETE</v>
          </cell>
        </row>
        <row r="267">
          <cell r="E267" t="str">
            <v>OKM</v>
          </cell>
          <cell r="F267" t="str">
            <v>OKM SANTA BLANCA</v>
          </cell>
          <cell r="G267" t="str">
            <v>AV. JOSÉ ALCALDE DELANO 11293</v>
          </cell>
          <cell r="H267" t="str">
            <v>LO BARNECHEA</v>
          </cell>
          <cell r="I267" t="str">
            <v>METROPOLITANA</v>
          </cell>
          <cell r="J267" t="str">
            <v>50OSC</v>
          </cell>
          <cell r="K267" t="str">
            <v>okm-santablanca@tiendas.oxxo.com</v>
          </cell>
          <cell r="L267" t="str">
            <v>TMCB</v>
          </cell>
          <cell r="M267" t="str">
            <v>HOGAR</v>
          </cell>
          <cell r="N267" t="str">
            <v>ABC1</v>
          </cell>
          <cell r="O267" t="str">
            <v>SI</v>
          </cell>
          <cell r="P267" t="str">
            <v>COMPLETA</v>
          </cell>
          <cell r="Q267" t="str">
            <v>SI</v>
          </cell>
          <cell r="R267" t="str">
            <v>SI</v>
          </cell>
          <cell r="S267" t="str">
            <v>NO</v>
          </cell>
          <cell r="T267" t="str">
            <v>BRESCIA RIVERA RODRIGO</v>
          </cell>
          <cell r="U267" t="str">
            <v>rodrigo.brescia@oxxo.com</v>
          </cell>
          <cell r="V267">
            <v>56994777909</v>
          </cell>
          <cell r="W267" t="str">
            <v>ARAYA BURGOS ARIEL</v>
          </cell>
          <cell r="X267" t="str">
            <v>ariel.araya@oxxo.com</v>
          </cell>
          <cell r="Y267">
            <v>56976232708</v>
          </cell>
          <cell r="Z267" t="str">
            <v>LISSETTE CAROLINA FLORES LEIVA</v>
          </cell>
          <cell r="AA267">
            <v>56987327401</v>
          </cell>
          <cell r="AB267">
            <v>0</v>
          </cell>
          <cell r="AC267">
            <v>0.99930555555555556</v>
          </cell>
          <cell r="AD267">
            <v>0</v>
          </cell>
          <cell r="AE267">
            <v>0.99930555555555556</v>
          </cell>
          <cell r="AF267">
            <v>0</v>
          </cell>
          <cell r="AG267">
            <v>0.99930555555555556</v>
          </cell>
          <cell r="AH267">
            <v>0</v>
          </cell>
          <cell r="AI267">
            <v>0.99930555555555556</v>
          </cell>
          <cell r="AJ267">
            <v>0</v>
          </cell>
          <cell r="AK267">
            <v>0.99930555555555556</v>
          </cell>
          <cell r="AL267" t="str">
            <v>24HRS</v>
          </cell>
          <cell r="AM267" t="str">
            <v>PAULA HUERTA</v>
          </cell>
        </row>
        <row r="268">
          <cell r="E268" t="str">
            <v>OKM</v>
          </cell>
          <cell r="F268" t="str">
            <v>OKM SUBCENTRO</v>
          </cell>
          <cell r="G268" t="str">
            <v> AV. APOQUINDO 4411, LOCALES 163-165-167-169-171-173</v>
          </cell>
          <cell r="H268" t="str">
            <v>LAS CONDES</v>
          </cell>
          <cell r="I268" t="str">
            <v>METROPOLITANA</v>
          </cell>
          <cell r="J268" t="str">
            <v>50OST</v>
          </cell>
          <cell r="K268" t="str">
            <v>okm-subcentro@tiendas.oxxo.com</v>
          </cell>
          <cell r="L268" t="str">
            <v>TMCB</v>
          </cell>
          <cell r="M268" t="str">
            <v>BASE</v>
          </cell>
          <cell r="N268" t="str">
            <v>ABC1</v>
          </cell>
          <cell r="O268" t="str">
            <v>SI</v>
          </cell>
          <cell r="P268" t="str">
            <v>COMPLETA</v>
          </cell>
          <cell r="Q268" t="str">
            <v>NO</v>
          </cell>
          <cell r="R268" t="str">
            <v>NO</v>
          </cell>
          <cell r="S268" t="str">
            <v>NO</v>
          </cell>
          <cell r="T268" t="str">
            <v>BRESCIA RIVERA RODRIGO</v>
          </cell>
          <cell r="U268" t="str">
            <v>rodrigo.brescia@oxxo.com</v>
          </cell>
          <cell r="V268">
            <v>56994777909</v>
          </cell>
          <cell r="W268" t="str">
            <v>RODRIGUEZ ABREU ROSA</v>
          </cell>
          <cell r="X268" t="str">
            <v>rosa.rodriguezabreu@oxxo.com</v>
          </cell>
          <cell r="Y268">
            <v>56989993870</v>
          </cell>
          <cell r="Z268" t="str">
            <v>MARCIA ROSA URQUIOLA FICA</v>
          </cell>
          <cell r="AA268">
            <v>56958136708</v>
          </cell>
          <cell r="AB268">
            <v>0.25</v>
          </cell>
          <cell r="AC268">
            <v>0.95833333333333337</v>
          </cell>
          <cell r="AD268">
            <v>0.25</v>
          </cell>
          <cell r="AE268">
            <v>0.95833333333333337</v>
          </cell>
          <cell r="AF268">
            <v>0.33333333333333331</v>
          </cell>
          <cell r="AG268">
            <v>0.91666666666666663</v>
          </cell>
          <cell r="AH268">
            <v>0.39583333333333331</v>
          </cell>
          <cell r="AI268">
            <v>0.84375</v>
          </cell>
          <cell r="AJ268">
            <v>0.375</v>
          </cell>
          <cell r="AK268">
            <v>0.9375</v>
          </cell>
          <cell r="AL268" t="str">
            <v>12HRS</v>
          </cell>
          <cell r="AM268" t="str">
            <v>ROBERTO POBLETE</v>
          </cell>
        </row>
        <row r="269">
          <cell r="E269" t="str">
            <v>OXXO</v>
          </cell>
          <cell r="F269" t="str">
            <v>AV. LA FLORIDA</v>
          </cell>
          <cell r="G269" t="str">
            <v>AV. LA FLORIDA 9073 LOCAL 4</v>
          </cell>
          <cell r="H269" t="str">
            <v>LA FLORIDA</v>
          </cell>
          <cell r="I269" t="str">
            <v>METROPOLITANA</v>
          </cell>
          <cell r="J269" t="str">
            <v>50YRD</v>
          </cell>
          <cell r="K269" t="str">
            <v>cl-avlaflorida@tiendas.oxxo.com</v>
          </cell>
          <cell r="L269" t="str">
            <v>T2024</v>
          </cell>
          <cell r="M269" t="str">
            <v>HOGAR C/FF</v>
          </cell>
          <cell r="O269" t="str">
            <v>NO</v>
          </cell>
          <cell r="P269" t="str">
            <v>COMPLETA</v>
          </cell>
          <cell r="T269" t="str">
            <v>SERRANO SOTO MANUEL</v>
          </cell>
          <cell r="U269" t="str">
            <v>manuel.serrano@oxxo.com</v>
          </cell>
          <cell r="V269">
            <v>56940201885</v>
          </cell>
          <cell r="X269" t="str">
            <v/>
          </cell>
          <cell r="Y269" t="str">
            <v/>
          </cell>
          <cell r="Z269" t="str">
            <v>VICTORIA TOMASA BALVINA CARRANZA LUNA</v>
          </cell>
          <cell r="AL269" t="str">
            <v>12HRS</v>
          </cell>
          <cell r="AO269">
            <v>45315</v>
          </cell>
        </row>
        <row r="270">
          <cell r="E270" t="str">
            <v>OXXO</v>
          </cell>
          <cell r="F270" t="str">
            <v>PLAZA CALERA</v>
          </cell>
          <cell r="G270" t="str">
            <v>J.J PÉREZ N2</v>
          </cell>
          <cell r="H270" t="str">
            <v>CALERA</v>
          </cell>
          <cell r="I270" t="str">
            <v>VALPARAISO</v>
          </cell>
          <cell r="J270" t="str">
            <v>50KT9</v>
          </cell>
          <cell r="K270" t="str">
            <v>cl-plazacalera@tiendas.oxxo.com</v>
          </cell>
          <cell r="L270" t="str">
            <v>T2024</v>
          </cell>
          <cell r="M270" t="str">
            <v>RECESO</v>
          </cell>
          <cell r="O270" t="str">
            <v>NO</v>
          </cell>
          <cell r="P270" t="str">
            <v>COMPLETA</v>
          </cell>
          <cell r="T270" t="str">
            <v>SERRANO SOTO MANUEL</v>
          </cell>
          <cell r="U270" t="str">
            <v>manuel.serrano@oxxo.com</v>
          </cell>
          <cell r="V270">
            <v>56940201885</v>
          </cell>
          <cell r="W270" t="str">
            <v>RODRÍGUEZ ROBLES MARCELA ALEJANDRA</v>
          </cell>
          <cell r="X270" t="str">
            <v>marcela.rodriguezrobles@oxxo.com</v>
          </cell>
          <cell r="Y270">
            <v>56982335207</v>
          </cell>
          <cell r="Z270" t="str">
            <v>S/I</v>
          </cell>
          <cell r="AL270" t="str">
            <v>12HRS</v>
          </cell>
          <cell r="AO270">
            <v>45363</v>
          </cell>
        </row>
        <row r="271">
          <cell r="E271" t="str">
            <v>OKM</v>
          </cell>
          <cell r="F271" t="str">
            <v>OKM SUECIA</v>
          </cell>
          <cell r="G271" t="str">
            <v> SUECIA 361</v>
          </cell>
          <cell r="H271" t="str">
            <v>PROVIDENCIA</v>
          </cell>
          <cell r="I271" t="str">
            <v>METROPOLITANA</v>
          </cell>
          <cell r="J271" t="str">
            <v>50OLT</v>
          </cell>
          <cell r="K271" t="str">
            <v>okm-suecialota@tiendas.oxxo.com</v>
          </cell>
          <cell r="L271" t="str">
            <v>TMCB</v>
          </cell>
          <cell r="M271" t="str">
            <v>HOGAR</v>
          </cell>
          <cell r="N271" t="str">
            <v>ABC1</v>
          </cell>
          <cell r="O271" t="str">
            <v>SI</v>
          </cell>
          <cell r="P271" t="str">
            <v>COMPLETA</v>
          </cell>
          <cell r="Q271" t="str">
            <v>NO</v>
          </cell>
          <cell r="R271" t="str">
            <v>SI</v>
          </cell>
          <cell r="S271" t="str">
            <v>NO</v>
          </cell>
          <cell r="T271" t="str">
            <v>BRESCIA RIVERA RODRIGO</v>
          </cell>
          <cell r="U271" t="str">
            <v>rodrigo.brescia@oxxo.com</v>
          </cell>
          <cell r="V271">
            <v>56994777909</v>
          </cell>
          <cell r="W271" t="str">
            <v>BARRIOS BAPTISTA JUAN JOSE</v>
          </cell>
          <cell r="X271" t="str">
            <v>juanj.barrios@oxxo.com</v>
          </cell>
          <cell r="Y271">
            <v>56998642001</v>
          </cell>
          <cell r="Z271" t="str">
            <v>KATHERINE ROSA CASTILLO ANTICOY</v>
          </cell>
          <cell r="AA271">
            <v>56961231656</v>
          </cell>
          <cell r="AB271">
            <v>0.29166666666666669</v>
          </cell>
          <cell r="AC271">
            <v>0.95833333333333337</v>
          </cell>
          <cell r="AD271">
            <v>0.29166666666666669</v>
          </cell>
          <cell r="AE271">
            <v>0.99305555555555558</v>
          </cell>
          <cell r="AF271">
            <v>0.33333333333333331</v>
          </cell>
          <cell r="AG271">
            <v>0.99305555555555558</v>
          </cell>
          <cell r="AH271">
            <v>0.39583333333333331</v>
          </cell>
          <cell r="AI271">
            <v>0.91666666666666663</v>
          </cell>
          <cell r="AJ271">
            <v>0.375</v>
          </cell>
          <cell r="AK271">
            <v>0.91666666666666663</v>
          </cell>
          <cell r="AL271" t="str">
            <v>12HRS</v>
          </cell>
          <cell r="AM271" t="str">
            <v>ROBERTO POBLETE</v>
          </cell>
        </row>
        <row r="272">
          <cell r="E272" t="str">
            <v>OKM</v>
          </cell>
          <cell r="F272" t="str">
            <v>OKM VILLUCO</v>
          </cell>
          <cell r="G272" t="str">
            <v>CAMINO A CHIGUAYANTE 3857</v>
          </cell>
          <cell r="H272" t="str">
            <v>CHIGUAYANTE</v>
          </cell>
          <cell r="I272" t="str">
            <v>BIOBIO</v>
          </cell>
          <cell r="J272" t="str">
            <v>50OVL</v>
          </cell>
          <cell r="K272" t="str">
            <v>okm-villuco@tiendas.oxxo.com</v>
          </cell>
          <cell r="L272" t="str">
            <v>TMCB</v>
          </cell>
          <cell r="M272" t="str">
            <v>HOGAR</v>
          </cell>
          <cell r="N272" t="str">
            <v>C2</v>
          </cell>
          <cell r="O272" t="str">
            <v>SI</v>
          </cell>
          <cell r="P272" t="str">
            <v>COMPLETA</v>
          </cell>
          <cell r="Q272" t="str">
            <v>SI</v>
          </cell>
          <cell r="R272" t="str">
            <v>SI</v>
          </cell>
          <cell r="S272" t="str">
            <v>SI</v>
          </cell>
          <cell r="T272" t="str">
            <v>SESA DIEGO MIGUEL</v>
          </cell>
          <cell r="U272" t="str">
            <v>diego.sesa@oxxo.com</v>
          </cell>
          <cell r="V272">
            <v>56954238682</v>
          </cell>
          <cell r="W272" t="str">
            <v>ZAMBRANO JARA CAROLINA GRACIELA</v>
          </cell>
          <cell r="X272" t="str">
            <v>carolina.zambrano@oxxo.com</v>
          </cell>
          <cell r="Y272">
            <v>56964950188</v>
          </cell>
          <cell r="Z272" t="str">
            <v>JULEISY MELIANNY DELGADO HERRERA</v>
          </cell>
          <cell r="AA272">
            <v>56993435953</v>
          </cell>
          <cell r="AB272">
            <v>0.29166666666666669</v>
          </cell>
          <cell r="AC272">
            <v>0.91666666666666663</v>
          </cell>
          <cell r="AD272">
            <v>0.29166666666666669</v>
          </cell>
          <cell r="AE272">
            <v>0.91666666666666663</v>
          </cell>
          <cell r="AF272">
            <v>0.33333333333333331</v>
          </cell>
          <cell r="AG272">
            <v>0.91666666666666663</v>
          </cell>
          <cell r="AH272">
            <v>0.39583333333333331</v>
          </cell>
          <cell r="AI272">
            <v>0.84375</v>
          </cell>
          <cell r="AJ272">
            <v>0.375</v>
          </cell>
          <cell r="AK272">
            <v>0.875</v>
          </cell>
          <cell r="AL272" t="str">
            <v>12HRS</v>
          </cell>
          <cell r="AM272" t="str">
            <v>PAULA HUERTA</v>
          </cell>
        </row>
        <row r="273">
          <cell r="E273" t="str">
            <v>OXXO</v>
          </cell>
          <cell r="F273" t="str">
            <v>OUTLET LA FABRICA</v>
          </cell>
          <cell r="G273" t="str">
            <v>CARLOS VALDOVINOS 200, LOCAL D02</v>
          </cell>
          <cell r="H273" t="str">
            <v>SAN JOAQUÍN</v>
          </cell>
          <cell r="I273" t="str">
            <v>METROPOLITANA</v>
          </cell>
          <cell r="J273" t="str">
            <v>505F3</v>
          </cell>
          <cell r="K273" t="str">
            <v>cl-outletlafabrica@tiendas.oxxo.com</v>
          </cell>
          <cell r="L273" t="str">
            <v>TNM</v>
          </cell>
          <cell r="M273" t="str">
            <v>RECESO</v>
          </cell>
          <cell r="N273" t="str">
            <v>D</v>
          </cell>
          <cell r="O273" t="str">
            <v>NO</v>
          </cell>
          <cell r="P273" t="str">
            <v>COMPLETA</v>
          </cell>
          <cell r="Q273" t="str">
            <v>NO</v>
          </cell>
          <cell r="R273" t="str">
            <v>NO</v>
          </cell>
          <cell r="S273" t="str">
            <v>NO</v>
          </cell>
          <cell r="T273" t="str">
            <v>BRESCIA RIVERA RODRIGO</v>
          </cell>
          <cell r="U273" t="str">
            <v>rodrigo.brescia@oxxo.com</v>
          </cell>
          <cell r="V273">
            <v>56994777909</v>
          </cell>
          <cell r="W273" t="str">
            <v>PINERUA JAIMES JESUS</v>
          </cell>
          <cell r="X273" t="str">
            <v>jesus.pinerua@oxxo.com</v>
          </cell>
          <cell r="Y273">
            <v>56982335207</v>
          </cell>
          <cell r="Z273" t="str">
            <v>NOHELIA YOHANNA ZEREGA SIVIRA</v>
          </cell>
          <cell r="AB273">
            <v>0.375</v>
          </cell>
          <cell r="AC273">
            <v>0.83333333333333337</v>
          </cell>
          <cell r="AD273">
            <v>0.375</v>
          </cell>
          <cell r="AE273">
            <v>0.83333333333333337</v>
          </cell>
          <cell r="AF273">
            <v>0.375</v>
          </cell>
          <cell r="AG273">
            <v>0.83333333333333337</v>
          </cell>
          <cell r="AH273">
            <v>0.375</v>
          </cell>
          <cell r="AI273">
            <v>0.83333333333333337</v>
          </cell>
          <cell r="AJ273">
            <v>0.375</v>
          </cell>
          <cell r="AK273">
            <v>0.83333333333333337</v>
          </cell>
          <cell r="AL273" t="str">
            <v>12HRS</v>
          </cell>
          <cell r="AM273" t="str">
            <v>PAULA HUERTA</v>
          </cell>
          <cell r="AO273">
            <v>45138</v>
          </cell>
        </row>
        <row r="274">
          <cell r="E274" t="str">
            <v>OXXO</v>
          </cell>
          <cell r="F274" t="str">
            <v>BARCELONA</v>
          </cell>
          <cell r="G274" t="str">
            <v>AV. VICUÑA MACKENNA ORIENTE 6617, LOCAL 7</v>
          </cell>
          <cell r="H274" t="str">
            <v>LA FLORIDA</v>
          </cell>
          <cell r="I274" t="str">
            <v>METROPOLITANA</v>
          </cell>
          <cell r="J274" t="str">
            <v>50CEI</v>
          </cell>
          <cell r="K274" t="str">
            <v>cl-barcelona@tiendas.oxxo.com</v>
          </cell>
          <cell r="L274" t="str">
            <v>T2024</v>
          </cell>
          <cell r="M274" t="str">
            <v>HOGAR</v>
          </cell>
          <cell r="O274" t="str">
            <v>NO</v>
          </cell>
          <cell r="P274" t="str">
            <v>COMPLETA</v>
          </cell>
          <cell r="T274" t="str">
            <v>SERRANO SOTO MANUEL</v>
          </cell>
          <cell r="U274" t="str">
            <v>manuel.serrano@oxxo.com</v>
          </cell>
          <cell r="V274">
            <v>56940201885</v>
          </cell>
          <cell r="W274" t="str">
            <v>ARAYA BURGOS ARIEL</v>
          </cell>
          <cell r="X274" t="str">
            <v>ariel.araya@oxxo.com</v>
          </cell>
          <cell r="Y274">
            <v>56976232708</v>
          </cell>
          <cell r="Z274" t="str">
            <v xml:space="preserve">LIDI SAMANTA AYALA </v>
          </cell>
          <cell r="AL274" t="str">
            <v>12HRS</v>
          </cell>
          <cell r="AO274">
            <v>45322</v>
          </cell>
        </row>
        <row r="275">
          <cell r="E275" t="str">
            <v>OXXO</v>
          </cell>
          <cell r="F275" t="str">
            <v>OUTLET LA FLORIDA</v>
          </cell>
          <cell r="G275" t="str">
            <v>SANTA DELIA 8937 L1036</v>
          </cell>
          <cell r="H275" t="str">
            <v>LA FLORIDA</v>
          </cell>
          <cell r="I275" t="str">
            <v>METROPOLITANA</v>
          </cell>
          <cell r="J275" t="str">
            <v>50LAF</v>
          </cell>
          <cell r="K275" t="str">
            <v>cl-outletlaflorida@tiendas.oxxo.com</v>
          </cell>
          <cell r="L275" t="str">
            <v>TMCB</v>
          </cell>
          <cell r="M275" t="str">
            <v>RECESO</v>
          </cell>
          <cell r="N275" t="str">
            <v>C2</v>
          </cell>
          <cell r="O275" t="str">
            <v>NO</v>
          </cell>
          <cell r="P275" t="str">
            <v>COMPLETA</v>
          </cell>
          <cell r="Q275" t="str">
            <v>SI</v>
          </cell>
          <cell r="R275" t="str">
            <v>NO</v>
          </cell>
          <cell r="S275" t="str">
            <v>NO</v>
          </cell>
          <cell r="T275" t="str">
            <v>BRESCIA RIVERA RODRIGO</v>
          </cell>
          <cell r="U275" t="str">
            <v>rodrigo.brescia@oxxo.com</v>
          </cell>
          <cell r="V275">
            <v>56994777909</v>
          </cell>
          <cell r="W275" t="str">
            <v>PINERUA JAIMES JESUS</v>
          </cell>
          <cell r="X275" t="str">
            <v>jesus.pinerua@oxxo.com</v>
          </cell>
          <cell r="Y275">
            <v>56982335207</v>
          </cell>
          <cell r="Z275" t="str">
            <v>ROSA MARIA CASTELLANOS CASTELLANOS</v>
          </cell>
          <cell r="AA275">
            <v>56991858312</v>
          </cell>
          <cell r="AB275">
            <v>0.375</v>
          </cell>
          <cell r="AC275">
            <v>0.83333333333333337</v>
          </cell>
          <cell r="AD275">
            <v>0.375</v>
          </cell>
          <cell r="AE275">
            <v>0.83333333333333337</v>
          </cell>
          <cell r="AF275">
            <v>0.375</v>
          </cell>
          <cell r="AG275">
            <v>0.83333333333333337</v>
          </cell>
          <cell r="AH275">
            <v>0.375</v>
          </cell>
          <cell r="AI275">
            <v>0.83333333333333337</v>
          </cell>
          <cell r="AJ275">
            <v>0.375</v>
          </cell>
          <cell r="AK275">
            <v>0.83333333333333337</v>
          </cell>
          <cell r="AL275" t="str">
            <v>12HRS</v>
          </cell>
          <cell r="AM275" t="str">
            <v>PAULA HUERTA</v>
          </cell>
          <cell r="AO275">
            <v>44707</v>
          </cell>
        </row>
        <row r="276">
          <cell r="E276" t="str">
            <v>OXXO</v>
          </cell>
          <cell r="F276" t="str">
            <v>OUTLET PATIO MAIPU</v>
          </cell>
          <cell r="G276" t="str">
            <v>AV. LO ESPEJO N943, LOCAL 1032</v>
          </cell>
          <cell r="H276" t="str">
            <v>MAIPÚ</v>
          </cell>
          <cell r="I276" t="str">
            <v>METROPOLITANA</v>
          </cell>
          <cell r="J276" t="str">
            <v>50SEA</v>
          </cell>
          <cell r="K276" t="str">
            <v>cl-outletpatiomaipu@tiendas.oxxo.com</v>
          </cell>
          <cell r="L276" t="str">
            <v>TNM</v>
          </cell>
          <cell r="M276" t="str">
            <v>RECESO</v>
          </cell>
          <cell r="N276" t="str">
            <v>D</v>
          </cell>
          <cell r="O276" t="str">
            <v>NO</v>
          </cell>
          <cell r="P276" t="str">
            <v>COMPLETA</v>
          </cell>
          <cell r="Q276" t="str">
            <v>NO</v>
          </cell>
          <cell r="R276" t="str">
            <v>NO</v>
          </cell>
          <cell r="S276" t="str">
            <v>NO</v>
          </cell>
          <cell r="T276" t="str">
            <v>BRESCIA RIVERA RODRIGO</v>
          </cell>
          <cell r="U276" t="str">
            <v>rodrigo.brescia@oxxo.com</v>
          </cell>
          <cell r="V276">
            <v>56994777909</v>
          </cell>
          <cell r="W276" t="str">
            <v>PINERUA JAIMES JESUS</v>
          </cell>
          <cell r="X276" t="str">
            <v>jesus.pinerua@oxxo.com</v>
          </cell>
          <cell r="Y276">
            <v>56982335207</v>
          </cell>
          <cell r="Z276" t="str">
            <v>ANA YELI DIAZ DELFIN</v>
          </cell>
          <cell r="AA276">
            <v>56995696889</v>
          </cell>
          <cell r="AB276">
            <v>0.375</v>
          </cell>
          <cell r="AC276">
            <v>0.83333333333333337</v>
          </cell>
          <cell r="AD276">
            <v>0.375</v>
          </cell>
          <cell r="AE276">
            <v>0.83333333333333337</v>
          </cell>
          <cell r="AF276">
            <v>0.375</v>
          </cell>
          <cell r="AG276">
            <v>0.83333333333333337</v>
          </cell>
          <cell r="AH276">
            <v>0.375</v>
          </cell>
          <cell r="AI276">
            <v>0.83333333333333337</v>
          </cell>
          <cell r="AJ276">
            <v>0.39583333333333331</v>
          </cell>
          <cell r="AK276">
            <v>0.85416666666666663</v>
          </cell>
          <cell r="AL276" t="str">
            <v>12HRS</v>
          </cell>
          <cell r="AM276" t="str">
            <v>PAULA HUERTA</v>
          </cell>
          <cell r="AO276">
            <v>45225</v>
          </cell>
        </row>
        <row r="277">
          <cell r="E277" t="str">
            <v>OXXO</v>
          </cell>
          <cell r="F277" t="str">
            <v>PADRE MARIANO</v>
          </cell>
          <cell r="G277" t="str">
            <v>PADRE MARIANO 73 LOCAL 2 </v>
          </cell>
          <cell r="H277" t="str">
            <v>PROVIDENCIA</v>
          </cell>
          <cell r="I277" t="str">
            <v>METROPOLITANA</v>
          </cell>
          <cell r="J277" t="str">
            <v>50DPR</v>
          </cell>
          <cell r="K277" t="str">
            <v>cl-padremariano@tiendas.oxxo.com</v>
          </cell>
          <cell r="L277" t="str">
            <v>TMCB</v>
          </cell>
          <cell r="M277" t="str">
            <v>RECESO</v>
          </cell>
          <cell r="N277" t="str">
            <v>C2</v>
          </cell>
          <cell r="O277" t="str">
            <v>NO</v>
          </cell>
          <cell r="P277" t="str">
            <v>COMPLETA</v>
          </cell>
          <cell r="Q277" t="str">
            <v>NO</v>
          </cell>
          <cell r="R277" t="str">
            <v>NO</v>
          </cell>
          <cell r="S277" t="str">
            <v>NO</v>
          </cell>
          <cell r="T277" t="str">
            <v>BRESCIA RIVERA RODRIGO</v>
          </cell>
          <cell r="U277" t="str">
            <v>rodrigo.brescia@oxxo.com</v>
          </cell>
          <cell r="V277">
            <v>56994777909</v>
          </cell>
          <cell r="W277" t="str">
            <v>LOPEZ MEZA LUIS JOSÉ</v>
          </cell>
          <cell r="X277" t="str">
            <v>luis.lopez@oxxo.com</v>
          </cell>
          <cell r="Y277">
            <v>56933740505</v>
          </cell>
          <cell r="Z277" t="str">
            <v>DIANA MARCELA NARVAEZ FERNANDEZ</v>
          </cell>
          <cell r="AA277">
            <v>56941080556</v>
          </cell>
          <cell r="AB277">
            <v>0.29166666666666669</v>
          </cell>
          <cell r="AC277">
            <v>0.91666666666666663</v>
          </cell>
          <cell r="AD277">
            <v>0.29166666666666669</v>
          </cell>
          <cell r="AE277">
            <v>0.91666666666666663</v>
          </cell>
          <cell r="AF277">
            <v>0.33333333333333331</v>
          </cell>
          <cell r="AG277">
            <v>0.91666666666666663</v>
          </cell>
          <cell r="AH277">
            <v>0.39583333333333331</v>
          </cell>
          <cell r="AI277">
            <v>0.84375</v>
          </cell>
          <cell r="AJ277">
            <v>0.39583333333333331</v>
          </cell>
          <cell r="AK277">
            <v>0.91666666666666663</v>
          </cell>
          <cell r="AL277" t="str">
            <v>12HRS</v>
          </cell>
          <cell r="AM277" t="str">
            <v>ROBERTO POBLETE</v>
          </cell>
          <cell r="AO277">
            <v>43242</v>
          </cell>
        </row>
        <row r="278">
          <cell r="E278" t="str">
            <v>FRANQUICIA</v>
          </cell>
          <cell r="F278" t="str">
            <v>VICUÑA MACKENNA PONIENTE</v>
          </cell>
          <cell r="G278" t="str">
            <v>AVDA. VICUÑA MACKENA PONIENTE 7431 LOCAL A-1</v>
          </cell>
          <cell r="H278" t="str">
            <v>LA FLORIDA</v>
          </cell>
          <cell r="I278" t="str">
            <v>METROPOLITANA</v>
          </cell>
          <cell r="J278" t="str">
            <v>54FPR</v>
          </cell>
          <cell r="K278" t="str">
            <v>cl-vicunamackennapte@tiendas.oxxo.com</v>
          </cell>
          <cell r="L278" t="str">
            <v>T2024</v>
          </cell>
          <cell r="M278" t="str">
            <v>RECESO</v>
          </cell>
          <cell r="O278" t="str">
            <v>NO</v>
          </cell>
          <cell r="P278" t="str">
            <v>COMPLETA</v>
          </cell>
          <cell r="U278" t="str">
            <v/>
          </cell>
          <cell r="V278" t="str">
            <v/>
          </cell>
          <cell r="W278" t="str">
            <v>RIQUELME ESTAY ROBERTO</v>
          </cell>
          <cell r="X278" t="str">
            <v/>
          </cell>
          <cell r="Y278" t="str">
            <v/>
          </cell>
          <cell r="AL278" t="str">
            <v>12HRS</v>
          </cell>
          <cell r="AO278">
            <v>45331</v>
          </cell>
        </row>
        <row r="279">
          <cell r="E279" t="str">
            <v>OXXO</v>
          </cell>
          <cell r="F279" t="str">
            <v>LINARES</v>
          </cell>
          <cell r="G279" t="str">
            <v>INDEPENDENCIA 390-A</v>
          </cell>
          <cell r="H279" t="str">
            <v>LINARES</v>
          </cell>
          <cell r="I279" t="str">
            <v>MAULE</v>
          </cell>
          <cell r="J279" t="str">
            <v>508NJ</v>
          </cell>
          <cell r="K279" t="str">
            <v>cl-linares1@tiendas.oxxo.com</v>
          </cell>
          <cell r="L279" t="str">
            <v>TNM</v>
          </cell>
          <cell r="M279" t="str">
            <v>RECESO</v>
          </cell>
          <cell r="O279" t="str">
            <v>NO</v>
          </cell>
          <cell r="P279" t="str">
            <v>COMPLETA</v>
          </cell>
          <cell r="T279" t="str">
            <v>SERRANO SOTO MANUEL</v>
          </cell>
          <cell r="U279" t="str">
            <v>manuel.serrano@oxxo.com</v>
          </cell>
          <cell r="V279">
            <v>56940201885</v>
          </cell>
          <cell r="W279" t="str">
            <v>PINERUA JAIMES JESUS</v>
          </cell>
          <cell r="X279" t="str">
            <v>jesus.pinerua@oxxo.com</v>
          </cell>
          <cell r="Y279">
            <v>56982335207</v>
          </cell>
          <cell r="Z279" t="str">
            <v>S/I</v>
          </cell>
          <cell r="AL279" t="str">
            <v>12HRS</v>
          </cell>
          <cell r="AO279">
            <v>45404</v>
          </cell>
        </row>
        <row r="280">
          <cell r="E280" t="str">
            <v>OXXO</v>
          </cell>
          <cell r="F280" t="str">
            <v>PARTENON 2</v>
          </cell>
          <cell r="G280" t="str">
            <v>AV VITACURA 7590, LOCAL 5</v>
          </cell>
          <cell r="H280" t="str">
            <v>VITACURA</v>
          </cell>
          <cell r="I280" t="str">
            <v>METROPOLITANA</v>
          </cell>
          <cell r="J280" t="str">
            <v>505WD</v>
          </cell>
          <cell r="K280" t="str">
            <v>cl-partenonbotilleria@tiendas.oxxo.com</v>
          </cell>
          <cell r="L280" t="str">
            <v>TNM</v>
          </cell>
          <cell r="M280" t="str">
            <v>RECESO</v>
          </cell>
          <cell r="N280" t="str">
            <v>ABC1</v>
          </cell>
          <cell r="O280" t="str">
            <v>SI</v>
          </cell>
          <cell r="P280" t="str">
            <v>COMPLETA</v>
          </cell>
          <cell r="Q280" t="str">
            <v>NO</v>
          </cell>
          <cell r="R280" t="str">
            <v>SI</v>
          </cell>
          <cell r="S280" t="str">
            <v>SI</v>
          </cell>
          <cell r="T280" t="str">
            <v>BRESCIA RIVERA RODRIGO</v>
          </cell>
          <cell r="U280" t="str">
            <v>rodrigo.brescia@oxxo.com</v>
          </cell>
          <cell r="V280">
            <v>56994777909</v>
          </cell>
          <cell r="W280" t="str">
            <v>MENDOZA GIL BREYNER JOSE</v>
          </cell>
          <cell r="X280" t="str">
            <v>breyner.mendoza@oxxo.com</v>
          </cell>
          <cell r="Y280">
            <v>56998689425</v>
          </cell>
          <cell r="Z280" t="str">
            <v>ANA KARINA ALBORNOZ CASTILLO</v>
          </cell>
          <cell r="AA280">
            <v>56992195552</v>
          </cell>
          <cell r="AB280">
            <v>0.29166666666666669</v>
          </cell>
          <cell r="AC280">
            <v>0.95833333333333337</v>
          </cell>
          <cell r="AD280">
            <v>0.29166666666666669</v>
          </cell>
          <cell r="AE280">
            <v>0.99305555555555558</v>
          </cell>
          <cell r="AF280">
            <v>0.33333333333333331</v>
          </cell>
          <cell r="AG280">
            <v>0.99305555555555558</v>
          </cell>
          <cell r="AH280">
            <v>0.4375</v>
          </cell>
          <cell r="AI280">
            <v>0.88541666666666663</v>
          </cell>
          <cell r="AJ280">
            <v>0.375</v>
          </cell>
          <cell r="AK280">
            <v>0.95833333333333337</v>
          </cell>
          <cell r="AL280" t="str">
            <v>12HRS</v>
          </cell>
          <cell r="AM280" t="str">
            <v>PAULA HUERTA</v>
          </cell>
          <cell r="AO280">
            <v>45132</v>
          </cell>
        </row>
        <row r="281">
          <cell r="E281" t="str">
            <v>OXXO</v>
          </cell>
          <cell r="F281" t="str">
            <v>PASEO EL TAMARUGO</v>
          </cell>
          <cell r="G281" t="str">
            <v>VITACURA 4607</v>
          </cell>
          <cell r="H281" t="str">
            <v>VITACURA</v>
          </cell>
          <cell r="I281" t="str">
            <v>METROPOLITANA</v>
          </cell>
          <cell r="J281" t="str">
            <v>50UYZ</v>
          </cell>
          <cell r="K281" t="str">
            <v>cl-paseoeltamarugo@tiendas.oxxo.com</v>
          </cell>
          <cell r="L281" t="str">
            <v>TNM</v>
          </cell>
          <cell r="M281" t="str">
            <v>RECESO</v>
          </cell>
          <cell r="N281" t="str">
            <v>ABC1</v>
          </cell>
          <cell r="O281" t="str">
            <v>NO</v>
          </cell>
          <cell r="P281" t="str">
            <v>COMPLETA</v>
          </cell>
          <cell r="Q281" t="str">
            <v>NO</v>
          </cell>
          <cell r="R281" t="str">
            <v>NO</v>
          </cell>
          <cell r="S281" t="str">
            <v>NO</v>
          </cell>
          <cell r="T281" t="str">
            <v>BRESCIA RIVERA RODRIGO</v>
          </cell>
          <cell r="U281" t="str">
            <v>rodrigo.brescia@oxxo.com</v>
          </cell>
          <cell r="V281">
            <v>56994777909</v>
          </cell>
          <cell r="W281" t="str">
            <v>MENDOZA GIL BREYNER JOSE</v>
          </cell>
          <cell r="X281" t="str">
            <v>breyner.mendoza@oxxo.com</v>
          </cell>
          <cell r="Y281">
            <v>56998689425</v>
          </cell>
          <cell r="Z281" t="str">
            <v>IVANNA EILEEN CASTILLO RUIZ</v>
          </cell>
          <cell r="AA281">
            <v>56992194952</v>
          </cell>
          <cell r="AB281">
            <v>0.29166666666666669</v>
          </cell>
          <cell r="AC281">
            <v>0.91666666666666663</v>
          </cell>
          <cell r="AD281">
            <v>0.29166666666666669</v>
          </cell>
          <cell r="AE281">
            <v>0.91666666666666663</v>
          </cell>
          <cell r="AF281">
            <v>0.33333333333333331</v>
          </cell>
          <cell r="AG281">
            <v>0.91666666666666663</v>
          </cell>
          <cell r="AH281">
            <v>0.39583333333333331</v>
          </cell>
          <cell r="AI281">
            <v>0.84375</v>
          </cell>
          <cell r="AJ281">
            <v>0.375</v>
          </cell>
          <cell r="AK281">
            <v>0.91666666666666663</v>
          </cell>
          <cell r="AL281" t="str">
            <v>12HRS</v>
          </cell>
          <cell r="AM281" t="str">
            <v>PAULA HUERTA</v>
          </cell>
          <cell r="AO281">
            <v>45134</v>
          </cell>
        </row>
        <row r="282">
          <cell r="E282" t="str">
            <v>OXXO</v>
          </cell>
          <cell r="F282" t="str">
            <v>PLAZA CHIGUAYANTE</v>
          </cell>
          <cell r="G282" t="str">
            <v>FRESSIA 38 LOCAL 4</v>
          </cell>
          <cell r="H282" t="str">
            <v>CHIGUAYANTE</v>
          </cell>
          <cell r="I282" t="str">
            <v>BIOBIO</v>
          </cell>
          <cell r="J282" t="str">
            <v>500UN</v>
          </cell>
          <cell r="K282" t="str">
            <v>cl-chiguayante@tiendas.oxxo.com</v>
          </cell>
          <cell r="L282" t="str">
            <v>T2024</v>
          </cell>
          <cell r="M282" t="str">
            <v>HOGAR</v>
          </cell>
          <cell r="O282" t="str">
            <v>NO</v>
          </cell>
          <cell r="P282" t="str">
            <v>PARCIAL</v>
          </cell>
          <cell r="T282" t="str">
            <v>SERRANO SOTO MANUEL</v>
          </cell>
          <cell r="U282" t="str">
            <v>manuel.serrano@oxxo.com</v>
          </cell>
          <cell r="V282">
            <v>56940201885</v>
          </cell>
          <cell r="W282" t="str">
            <v>ZAMBRANO JARA CAROLINA GRACIELA</v>
          </cell>
          <cell r="X282" t="str">
            <v>carolina.zambrano@oxxo.com</v>
          </cell>
          <cell r="Y282">
            <v>56964950188</v>
          </cell>
          <cell r="Z282" t="str">
            <v>S/I</v>
          </cell>
          <cell r="AL282" t="str">
            <v>12HRS</v>
          </cell>
          <cell r="AO282">
            <v>45412</v>
          </cell>
        </row>
        <row r="283">
          <cell r="E283" t="str">
            <v>OXXO</v>
          </cell>
          <cell r="F283" t="str">
            <v>ANIBAL PINTO</v>
          </cell>
          <cell r="G283" t="str">
            <v>ANÍBAL PINTO N637 LOCAL 4</v>
          </cell>
          <cell r="H283" t="str">
            <v>CONCEPCIÓN</v>
          </cell>
          <cell r="I283" t="str">
            <v>BIOBIO</v>
          </cell>
          <cell r="J283" t="str">
            <v>50AL4</v>
          </cell>
          <cell r="K283" t="str">
            <v>cl-anibalpinto@tiendas.oxxo.com</v>
          </cell>
          <cell r="L283" t="str">
            <v>T2024</v>
          </cell>
          <cell r="M283" t="str">
            <v>RECESO</v>
          </cell>
          <cell r="O283" t="str">
            <v>NO</v>
          </cell>
          <cell r="P283" t="str">
            <v>COMPLETA</v>
          </cell>
          <cell r="T283" t="str">
            <v>SERRANO SOTO MANUEL</v>
          </cell>
          <cell r="U283" t="str">
            <v>manuel.serrano@oxxo.com</v>
          </cell>
          <cell r="V283">
            <v>56940201885</v>
          </cell>
          <cell r="W283" t="str">
            <v>ZAMBRANO JARA CAROLINA GRACIELA</v>
          </cell>
          <cell r="X283" t="str">
            <v>carolina.zambrano@oxxo.com</v>
          </cell>
          <cell r="Y283">
            <v>56964950188</v>
          </cell>
          <cell r="Z283" t="str">
            <v>S/I</v>
          </cell>
          <cell r="AL283" t="str">
            <v>12HRS</v>
          </cell>
          <cell r="AO283">
            <v>45382</v>
          </cell>
        </row>
        <row r="284">
          <cell r="E284" t="str">
            <v>OXXO</v>
          </cell>
          <cell r="F284" t="str">
            <v>PASEO ESTADO MONEDA</v>
          </cell>
          <cell r="G284" t="str">
            <v>MONEDA 893</v>
          </cell>
          <cell r="H284" t="str">
            <v>SANTIAGO</v>
          </cell>
          <cell r="I284" t="str">
            <v>METROPOLITANA</v>
          </cell>
          <cell r="J284" t="str">
            <v>50TQB</v>
          </cell>
          <cell r="K284" t="str">
            <v>cl-paseoestadomoneda@tiendas.oxxo.com</v>
          </cell>
          <cell r="L284" t="str">
            <v>TNM</v>
          </cell>
          <cell r="M284" t="str">
            <v>RECESO</v>
          </cell>
          <cell r="O284" t="str">
            <v>NO</v>
          </cell>
          <cell r="P284" t="str">
            <v>COMPLETA</v>
          </cell>
          <cell r="Q284" t="str">
            <v>NO</v>
          </cell>
          <cell r="R284" t="str">
            <v>NO</v>
          </cell>
          <cell r="S284" t="str">
            <v>NO</v>
          </cell>
          <cell r="T284" t="str">
            <v>BRESCIA RIVERA RODRIGO</v>
          </cell>
          <cell r="U284" t="str">
            <v>rodrigo.brescia@oxxo.com</v>
          </cell>
          <cell r="V284">
            <v>56994777909</v>
          </cell>
          <cell r="W284" t="str">
            <v>LIAZ MONTERO GABRIEL</v>
          </cell>
          <cell r="X284" t="str">
            <v>gabriel.liaz@oxxo.com</v>
          </cell>
          <cell r="Y284">
            <v>56964735260</v>
          </cell>
          <cell r="Z284" t="str">
            <v>BENOHARY DE LOS ANGELES GAUBECA CABRERA</v>
          </cell>
          <cell r="AA284">
            <v>56992201677</v>
          </cell>
          <cell r="AB284">
            <v>0.29166666666666669</v>
          </cell>
          <cell r="AC284">
            <v>0.875</v>
          </cell>
          <cell r="AD284">
            <v>0.29166666666666669</v>
          </cell>
          <cell r="AE284">
            <v>0.875</v>
          </cell>
          <cell r="AF284">
            <v>0.33333333333333331</v>
          </cell>
          <cell r="AG284">
            <v>0.875</v>
          </cell>
          <cell r="AH284">
            <v>0.39583333333333331</v>
          </cell>
          <cell r="AI284">
            <v>0.84375</v>
          </cell>
          <cell r="AJ284">
            <v>0.375</v>
          </cell>
          <cell r="AK284">
            <v>0.875</v>
          </cell>
          <cell r="AL284" t="str">
            <v>12HRS</v>
          </cell>
          <cell r="AM284" t="str">
            <v>PAULA HUERTA</v>
          </cell>
          <cell r="AO284">
            <v>45382</v>
          </cell>
        </row>
        <row r="285">
          <cell r="E285" t="str">
            <v>OXXO</v>
          </cell>
          <cell r="F285" t="str">
            <v>PATIO QUILICURA</v>
          </cell>
          <cell r="G285" t="str">
            <v>OHIGGINS N 358, LOCAL 5</v>
          </cell>
          <cell r="H285" t="str">
            <v>QUILICURA</v>
          </cell>
          <cell r="I285" t="str">
            <v>METROPOLITANA</v>
          </cell>
          <cell r="J285" t="str">
            <v>50APB</v>
          </cell>
          <cell r="K285" t="str">
            <v>cl-patioquilicura@tiendas.oxxo.com</v>
          </cell>
          <cell r="L285" t="str">
            <v>TNM</v>
          </cell>
          <cell r="M285" t="str">
            <v>RECESO</v>
          </cell>
          <cell r="N285" t="str">
            <v>C3</v>
          </cell>
          <cell r="O285" t="str">
            <v>NO</v>
          </cell>
          <cell r="P285" t="str">
            <v>COMPLETA</v>
          </cell>
          <cell r="Q285" t="str">
            <v>NO</v>
          </cell>
          <cell r="R285" t="str">
            <v>NO</v>
          </cell>
          <cell r="S285" t="str">
            <v>NO</v>
          </cell>
          <cell r="T285" t="str">
            <v>SERRANO SOTO MANUEL</v>
          </cell>
          <cell r="U285" t="str">
            <v>manuel.serrano@oxxo.com</v>
          </cell>
          <cell r="V285">
            <v>56940201885</v>
          </cell>
          <cell r="W285" t="str">
            <v>PINERUA JAIMES JESUS</v>
          </cell>
          <cell r="X285" t="str">
            <v>jesus.pinerua@oxxo.com</v>
          </cell>
          <cell r="Y285">
            <v>56982335207</v>
          </cell>
          <cell r="Z285" t="str">
            <v>DEBORA NICOLE SEPULVEDA VALDES</v>
          </cell>
          <cell r="AJ285">
            <v>0.375</v>
          </cell>
          <cell r="AK285">
            <v>0.84375</v>
          </cell>
          <cell r="AL285" t="str">
            <v>12HRS</v>
          </cell>
          <cell r="AM285" t="str">
            <v>CRISTOBAL AGUILERA</v>
          </cell>
          <cell r="AO285">
            <v>45411</v>
          </cell>
        </row>
        <row r="286">
          <cell r="E286" t="str">
            <v>OXXO</v>
          </cell>
          <cell r="F286" t="str">
            <v>PATIO BELLAVISTA</v>
          </cell>
          <cell r="G286" t="str">
            <v>BELLAVISTA 052, LOCAL 92</v>
          </cell>
          <cell r="H286" t="str">
            <v>PROVIDENCIA</v>
          </cell>
          <cell r="I286" t="str">
            <v>METROPOLITANA</v>
          </cell>
          <cell r="J286" t="str">
            <v>50Q3X</v>
          </cell>
          <cell r="K286" t="str">
            <v>cl-patiobellavista@tiendas.oxxo.com</v>
          </cell>
          <cell r="L286" t="str">
            <v>TMCB</v>
          </cell>
          <cell r="M286" t="str">
            <v>RECESO</v>
          </cell>
          <cell r="N286" t="str">
            <v>C2</v>
          </cell>
          <cell r="O286" t="str">
            <v>NO</v>
          </cell>
          <cell r="P286" t="str">
            <v>COMPLETA</v>
          </cell>
          <cell r="Q286" t="str">
            <v>NO</v>
          </cell>
          <cell r="R286" t="str">
            <v>NO</v>
          </cell>
          <cell r="S286" t="str">
            <v>NO</v>
          </cell>
          <cell r="T286" t="str">
            <v>BRESCIA RIVERA RODRIGO</v>
          </cell>
          <cell r="U286" t="str">
            <v>rodrigo.brescia@oxxo.com</v>
          </cell>
          <cell r="V286">
            <v>56994777909</v>
          </cell>
          <cell r="W286" t="str">
            <v>LOPEZ MEZA LUIS JOSÉ</v>
          </cell>
          <cell r="X286" t="str">
            <v>luis.lopez@oxxo.com</v>
          </cell>
          <cell r="Y286">
            <v>56933740505</v>
          </cell>
          <cell r="Z286" t="str">
            <v>MICHELLE KATHERINE ROMERO DIAZ</v>
          </cell>
          <cell r="AA286">
            <v>56983465864</v>
          </cell>
          <cell r="AB286">
            <v>0.29166666666666669</v>
          </cell>
          <cell r="AC286">
            <v>0.95833333333333337</v>
          </cell>
          <cell r="AD286">
            <v>0.29166666666666669</v>
          </cell>
          <cell r="AE286">
            <v>0.99305555555555558</v>
          </cell>
          <cell r="AF286">
            <v>0.33333333333333331</v>
          </cell>
          <cell r="AG286">
            <v>0.99305555555555558</v>
          </cell>
          <cell r="AH286">
            <v>0.39583333333333331</v>
          </cell>
          <cell r="AI286">
            <v>0.84375</v>
          </cell>
          <cell r="AJ286">
            <v>0.39583333333333331</v>
          </cell>
          <cell r="AK286">
            <v>0.84375</v>
          </cell>
          <cell r="AL286" t="str">
            <v>12HRS</v>
          </cell>
          <cell r="AM286" t="str">
            <v>ROBERTO POBLETE</v>
          </cell>
          <cell r="AO286">
            <v>44985</v>
          </cell>
        </row>
        <row r="287">
          <cell r="E287" t="str">
            <v>OXXO</v>
          </cell>
          <cell r="F287" t="str">
            <v>PATIO LOS LEONES</v>
          </cell>
          <cell r="G287" t="str">
            <v>AV. LOS LEONES N936</v>
          </cell>
          <cell r="H287" t="str">
            <v>PROVIDENCIA</v>
          </cell>
          <cell r="I287" t="str">
            <v>METROPOLITANA</v>
          </cell>
          <cell r="J287" t="str">
            <v>505VE</v>
          </cell>
          <cell r="K287" t="str">
            <v>cl-patiolosleones@tiendas.oxxo.com</v>
          </cell>
          <cell r="L287" t="str">
            <v>TNM</v>
          </cell>
          <cell r="M287" t="str">
            <v>BASE</v>
          </cell>
          <cell r="O287" t="str">
            <v>NO</v>
          </cell>
          <cell r="P287" t="str">
            <v>COMPLETA</v>
          </cell>
          <cell r="Q287" t="str">
            <v>NO</v>
          </cell>
          <cell r="R287" t="str">
            <v>NO</v>
          </cell>
          <cell r="S287" t="str">
            <v>NO</v>
          </cell>
          <cell r="T287" t="str">
            <v>BRESCIA RIVERA RODRIGO</v>
          </cell>
          <cell r="U287" t="str">
            <v>rodrigo.brescia@oxxo.com</v>
          </cell>
          <cell r="V287">
            <v>56994777909</v>
          </cell>
          <cell r="W287" t="str">
            <v>BARRIOS BAPTISTA JUAN JOSE</v>
          </cell>
          <cell r="X287" t="str">
            <v>juanj.barrios@oxxo.com</v>
          </cell>
          <cell r="Y287">
            <v>56998642001</v>
          </cell>
          <cell r="Z287" t="str">
            <v>KATHERINE AHUMADA ROJAS</v>
          </cell>
          <cell r="AA287">
            <v>56937617987</v>
          </cell>
          <cell r="AB287">
            <v>0.29166666666666669</v>
          </cell>
          <cell r="AC287">
            <v>0.95833333333333337</v>
          </cell>
          <cell r="AD287">
            <v>0.29166666666666669</v>
          </cell>
          <cell r="AE287">
            <v>0.99305555555555547</v>
          </cell>
          <cell r="AF287">
            <v>0.33333333333333331</v>
          </cell>
          <cell r="AG287">
            <v>0.99305555555555547</v>
          </cell>
          <cell r="AH287">
            <v>0.4375</v>
          </cell>
          <cell r="AI287">
            <v>0.88541666666666663</v>
          </cell>
          <cell r="AJ287">
            <v>0.375</v>
          </cell>
          <cell r="AK287">
            <v>0.9375</v>
          </cell>
          <cell r="AL287" t="str">
            <v>12HRS</v>
          </cell>
          <cell r="AM287" t="str">
            <v>ROBERTO POBLETE</v>
          </cell>
          <cell r="AO287">
            <v>45348</v>
          </cell>
        </row>
        <row r="288">
          <cell r="E288" t="str">
            <v>OXXO</v>
          </cell>
          <cell r="F288" t="str">
            <v>PEDRO DE VALDIVIA 2</v>
          </cell>
          <cell r="G288" t="str">
            <v>PEDRO DE VALDIVIA 2810 </v>
          </cell>
          <cell r="H288" t="str">
            <v>ÑUÑOA</v>
          </cell>
          <cell r="I288" t="str">
            <v>METROPOLITANA</v>
          </cell>
          <cell r="J288" t="str">
            <v>50SBL</v>
          </cell>
          <cell r="K288" t="str">
            <v>cl-pedrodevaldivia2@tiendas.oxxo.com</v>
          </cell>
          <cell r="L288" t="str">
            <v>TMCB</v>
          </cell>
          <cell r="M288" t="str">
            <v>BASE</v>
          </cell>
          <cell r="N288" t="str">
            <v>C2</v>
          </cell>
          <cell r="O288" t="str">
            <v>SI</v>
          </cell>
          <cell r="P288" t="str">
            <v>COMPLETA</v>
          </cell>
          <cell r="Q288" t="str">
            <v>SI</v>
          </cell>
          <cell r="R288" t="str">
            <v>SI</v>
          </cell>
          <cell r="S288" t="str">
            <v>NO</v>
          </cell>
          <cell r="T288" t="str">
            <v>BRESCIA RIVERA RODRIGO</v>
          </cell>
          <cell r="U288" t="str">
            <v>rodrigo.brescia@oxxo.com</v>
          </cell>
          <cell r="V288">
            <v>56994777909</v>
          </cell>
          <cell r="W288" t="str">
            <v>RUIZ FERRER VANNA</v>
          </cell>
          <cell r="X288" t="str">
            <v>vanna.ruiz@oxxo.com</v>
          </cell>
          <cell r="Y288">
            <v>56994441705</v>
          </cell>
          <cell r="Z288" t="str">
            <v>ERNESTO ALONSO MORA ALVAREZ</v>
          </cell>
          <cell r="AA288">
            <v>56989084704</v>
          </cell>
          <cell r="AB288">
            <v>0.29166666666666669</v>
          </cell>
          <cell r="AC288">
            <v>0.95833333333333337</v>
          </cell>
          <cell r="AD288">
            <v>0.29166666666666669</v>
          </cell>
          <cell r="AE288">
            <v>0.99305555555555558</v>
          </cell>
          <cell r="AF288">
            <v>0.33333333333333331</v>
          </cell>
          <cell r="AG288">
            <v>0.99305555555555558</v>
          </cell>
          <cell r="AH288">
            <v>0.4375</v>
          </cell>
          <cell r="AI288">
            <v>0.88541666666666663</v>
          </cell>
          <cell r="AJ288">
            <v>0.375</v>
          </cell>
          <cell r="AK288">
            <v>0.95833333333333337</v>
          </cell>
          <cell r="AL288" t="str">
            <v>12HRS</v>
          </cell>
          <cell r="AM288" t="str">
            <v>ROBERTO POBLETE</v>
          </cell>
          <cell r="AO288">
            <v>43399</v>
          </cell>
        </row>
        <row r="289">
          <cell r="E289" t="str">
            <v>OXXO</v>
          </cell>
          <cell r="F289" t="str">
            <v>PEDRO DE VALDIVIA 3</v>
          </cell>
          <cell r="G289" t="str">
            <v>PEDRO DE VALDIVIA 630</v>
          </cell>
          <cell r="H289" t="str">
            <v>PROVIDENCIA</v>
          </cell>
          <cell r="I289" t="str">
            <v>METROPOLITANA</v>
          </cell>
          <cell r="J289" t="str">
            <v>50GKR</v>
          </cell>
          <cell r="K289" t="str">
            <v>cl-pedrodevaldivia3@tiendas.oxxo.com</v>
          </cell>
          <cell r="L289" t="str">
            <v>TMCB</v>
          </cell>
          <cell r="M289" t="str">
            <v>BASE</v>
          </cell>
          <cell r="N289" t="str">
            <v>C3</v>
          </cell>
          <cell r="O289" t="str">
            <v>NO</v>
          </cell>
          <cell r="P289" t="str">
            <v>COMPLETA</v>
          </cell>
          <cell r="Q289" t="str">
            <v>NO</v>
          </cell>
          <cell r="R289" t="str">
            <v>NO</v>
          </cell>
          <cell r="S289" t="str">
            <v>NO</v>
          </cell>
          <cell r="T289" t="str">
            <v>BRESCIA RIVERA RODRIGO</v>
          </cell>
          <cell r="U289" t="str">
            <v>rodrigo.brescia@oxxo.com</v>
          </cell>
          <cell r="V289">
            <v>56994777909</v>
          </cell>
          <cell r="W289" t="str">
            <v>BARRIOS BAPTISTA JUAN JOSE</v>
          </cell>
          <cell r="X289" t="str">
            <v>juanj.barrios@oxxo.com</v>
          </cell>
          <cell r="Y289">
            <v>56998642001</v>
          </cell>
          <cell r="Z289" t="str">
            <v>CARLOS ALBERTO GARCIA MAIZ</v>
          </cell>
          <cell r="AA289">
            <v>56992195085</v>
          </cell>
          <cell r="AB289">
            <v>0.29166666666666669</v>
          </cell>
          <cell r="AC289">
            <v>0.91666666666666663</v>
          </cell>
          <cell r="AD289">
            <v>0.29166666666666669</v>
          </cell>
          <cell r="AE289">
            <v>0.91666666666666663</v>
          </cell>
          <cell r="AF289">
            <v>0.33333333333333331</v>
          </cell>
          <cell r="AG289">
            <v>0.91666666666666663</v>
          </cell>
          <cell r="AH289">
            <v>0.39583333333333331</v>
          </cell>
          <cell r="AI289">
            <v>0.84375</v>
          </cell>
          <cell r="AJ289">
            <v>0.375</v>
          </cell>
          <cell r="AK289">
            <v>0.9375</v>
          </cell>
          <cell r="AL289" t="str">
            <v>12HRS</v>
          </cell>
          <cell r="AM289" t="str">
            <v>ROBERTO POBLETE</v>
          </cell>
          <cell r="AO289">
            <v>43054</v>
          </cell>
        </row>
        <row r="290">
          <cell r="E290" t="str">
            <v>OXXO</v>
          </cell>
          <cell r="F290" t="str">
            <v>PEDRO DE VALDIVIA 9</v>
          </cell>
          <cell r="G290" t="str">
            <v>PEDRO DE VALDIVIA 2076</v>
          </cell>
          <cell r="H290" t="str">
            <v>PROVIDENCIA</v>
          </cell>
          <cell r="I290" t="str">
            <v>METROPOLITANA</v>
          </cell>
          <cell r="J290" t="str">
            <v>50AQY</v>
          </cell>
          <cell r="K290" t="str">
            <v>cl-pedrodevaldivia9@tiendas.oxxo.com</v>
          </cell>
          <cell r="L290" t="str">
            <v>TNM</v>
          </cell>
          <cell r="M290" t="str">
            <v>BASE</v>
          </cell>
          <cell r="N290" t="str">
            <v>C2</v>
          </cell>
          <cell r="O290" t="str">
            <v>SI</v>
          </cell>
          <cell r="P290" t="str">
            <v>COMPLETA</v>
          </cell>
          <cell r="Q290" t="str">
            <v>NO</v>
          </cell>
          <cell r="R290" t="str">
            <v>NO</v>
          </cell>
          <cell r="S290" t="str">
            <v>NO</v>
          </cell>
          <cell r="T290" t="str">
            <v>BRESCIA RIVERA RODRIGO</v>
          </cell>
          <cell r="U290" t="str">
            <v>rodrigo.brescia@oxxo.com</v>
          </cell>
          <cell r="V290">
            <v>56994777909</v>
          </cell>
          <cell r="W290" t="str">
            <v>BARRIOS BAPTISTA JUAN JOSE</v>
          </cell>
          <cell r="X290" t="str">
            <v>juanj.barrios@oxxo.com</v>
          </cell>
          <cell r="Y290">
            <v>56998642001</v>
          </cell>
          <cell r="Z290" t="str">
            <v>LUIS ALFONSO RIVERO GOMEZ</v>
          </cell>
          <cell r="AA290">
            <v>56992194631</v>
          </cell>
          <cell r="AB290">
            <v>0.29166666666666669</v>
          </cell>
          <cell r="AC290">
            <v>0.95833333333333337</v>
          </cell>
          <cell r="AD290">
            <v>0.29166666666666669</v>
          </cell>
          <cell r="AE290">
            <v>0.99305555555555547</v>
          </cell>
          <cell r="AF290">
            <v>0.33333333333333331</v>
          </cell>
          <cell r="AG290">
            <v>0.99305555555555547</v>
          </cell>
          <cell r="AH290">
            <v>0.39583333333333331</v>
          </cell>
          <cell r="AI290">
            <v>0.84375</v>
          </cell>
          <cell r="AJ290">
            <v>0.39583333333333331</v>
          </cell>
          <cell r="AK290">
            <v>0.84375</v>
          </cell>
          <cell r="AL290" t="str">
            <v>12HRS</v>
          </cell>
          <cell r="AM290" t="str">
            <v>ROBERTO POBLETE</v>
          </cell>
          <cell r="AO290">
            <v>45194</v>
          </cell>
        </row>
        <row r="291">
          <cell r="E291" t="str">
            <v>OXXO</v>
          </cell>
          <cell r="F291" t="str">
            <v>ARENAS DE TALAGANTE</v>
          </cell>
          <cell r="G291" t="str">
            <v>BALMACEDA 1429, LOCAL 1</v>
          </cell>
          <cell r="H291" t="str">
            <v>TALAGANTE</v>
          </cell>
          <cell r="I291" t="str">
            <v>METROPOLITANA</v>
          </cell>
          <cell r="J291" t="str">
            <v>50V11</v>
          </cell>
          <cell r="K291" t="str">
            <v>cl-arenasdetalagante@tiendas.oxxo.com</v>
          </cell>
          <cell r="L291" t="str">
            <v>T2024</v>
          </cell>
          <cell r="M291" t="str">
            <v>RECESO</v>
          </cell>
          <cell r="O291" t="str">
            <v>NO</v>
          </cell>
          <cell r="P291" t="str">
            <v>COMPLETA</v>
          </cell>
          <cell r="T291" t="str">
            <v>SERRANO SOTO MANUEL</v>
          </cell>
          <cell r="U291" t="str">
            <v>manuel.serrano@oxxo.com</v>
          </cell>
          <cell r="V291">
            <v>56940201885</v>
          </cell>
          <cell r="X291" t="str">
            <v/>
          </cell>
          <cell r="Y291" t="str">
            <v/>
          </cell>
          <cell r="Z291" t="str">
            <v>S/I</v>
          </cell>
          <cell r="AL291" t="str">
            <v>12HRS</v>
          </cell>
          <cell r="AO291">
            <v>45454</v>
          </cell>
        </row>
        <row r="292">
          <cell r="E292" t="str">
            <v>OXXO</v>
          </cell>
          <cell r="F292" t="str">
            <v>PEDRO FONTOVA</v>
          </cell>
          <cell r="G292" t="str">
            <v>AV. PEDRO FONTOVA 6251 LC 7</v>
          </cell>
          <cell r="H292" t="str">
            <v>HUECHURABA</v>
          </cell>
          <cell r="I292" t="str">
            <v>METROPOLITANA</v>
          </cell>
          <cell r="J292" t="str">
            <v>50PFO</v>
          </cell>
          <cell r="K292" t="str">
            <v>cl-pedrofontova@tiendas.oxxo.com</v>
          </cell>
          <cell r="L292" t="str">
            <v>TMCB</v>
          </cell>
          <cell r="M292" t="str">
            <v>BASE</v>
          </cell>
          <cell r="N292" t="str">
            <v>C2</v>
          </cell>
          <cell r="O292" t="str">
            <v>NO</v>
          </cell>
          <cell r="P292" t="str">
            <v>COMPLETA</v>
          </cell>
          <cell r="Q292" t="str">
            <v>SI</v>
          </cell>
          <cell r="R292" t="str">
            <v>NO</v>
          </cell>
          <cell r="S292" t="str">
            <v>NO</v>
          </cell>
          <cell r="T292" t="str">
            <v>BRESCIA RIVERA RODRIGO</v>
          </cell>
          <cell r="U292" t="str">
            <v>rodrigo.brescia@oxxo.com</v>
          </cell>
          <cell r="V292">
            <v>56994777909</v>
          </cell>
          <cell r="W292" t="str">
            <v>MENDOZA GIL BREYNER JOSE</v>
          </cell>
          <cell r="X292" t="str">
            <v>breyner.mendoza@oxxo.com</v>
          </cell>
          <cell r="Y292">
            <v>56998689425</v>
          </cell>
          <cell r="Z292" t="str">
            <v>MARYURI LENIS GOMEZ</v>
          </cell>
          <cell r="AA292">
            <v>56996822398</v>
          </cell>
          <cell r="AB292">
            <v>0.29166666666666669</v>
          </cell>
          <cell r="AC292">
            <v>0.95833333333333337</v>
          </cell>
          <cell r="AD292">
            <v>0.29166666666666669</v>
          </cell>
          <cell r="AE292">
            <v>0.99305555555555558</v>
          </cell>
          <cell r="AF292">
            <v>0.33333333333333331</v>
          </cell>
          <cell r="AG292">
            <v>0.99305555555555558</v>
          </cell>
          <cell r="AH292">
            <v>0.39583333333333331</v>
          </cell>
          <cell r="AI292">
            <v>0.84375</v>
          </cell>
          <cell r="AJ292">
            <v>0.39583333333333331</v>
          </cell>
          <cell r="AK292">
            <v>0.84375</v>
          </cell>
          <cell r="AL292" t="str">
            <v>12HRS</v>
          </cell>
          <cell r="AM292" t="str">
            <v>PAULA HUERTA</v>
          </cell>
          <cell r="AO292">
            <v>44546</v>
          </cell>
        </row>
        <row r="293">
          <cell r="E293" t="str">
            <v>OXXO</v>
          </cell>
          <cell r="F293" t="str">
            <v>PIEDRA ROJA</v>
          </cell>
          <cell r="G293" t="str">
            <v>AV. PADRE SERGIO CORREA, N15.700, LOCAL B3</v>
          </cell>
          <cell r="H293" t="str">
            <v>COLINA</v>
          </cell>
          <cell r="I293" t="str">
            <v>METROPOLITANA</v>
          </cell>
          <cell r="J293" t="str">
            <v>50AAF</v>
          </cell>
          <cell r="K293" t="str">
            <v>cl-priedraroja@tiendas.oxxo.com</v>
          </cell>
          <cell r="L293" t="str">
            <v>TMCB</v>
          </cell>
          <cell r="M293" t="str">
            <v>BASE</v>
          </cell>
          <cell r="N293" t="str">
            <v>ABC1</v>
          </cell>
          <cell r="O293" t="str">
            <v>NO</v>
          </cell>
          <cell r="P293" t="str">
            <v>COMPLETA</v>
          </cell>
          <cell r="Q293" t="str">
            <v>SI</v>
          </cell>
          <cell r="R293" t="str">
            <v>NO</v>
          </cell>
          <cell r="S293" t="str">
            <v>NO</v>
          </cell>
          <cell r="T293" t="str">
            <v>BRESCIA RIVERA RODRIGO</v>
          </cell>
          <cell r="U293" t="str">
            <v>rodrigo.brescia@oxxo.com</v>
          </cell>
          <cell r="V293">
            <v>56994777909</v>
          </cell>
          <cell r="W293" t="str">
            <v>MENDOZA GIL BREYNER JOSE</v>
          </cell>
          <cell r="X293" t="str">
            <v>breyner.mendoza@oxxo.com</v>
          </cell>
          <cell r="Y293">
            <v>56998689425</v>
          </cell>
          <cell r="Z293" t="str">
            <v>CLAUDIO ACUÑA ASPEE</v>
          </cell>
          <cell r="AA293">
            <v>56983465244</v>
          </cell>
          <cell r="AB293">
            <v>0.29166666666666669</v>
          </cell>
          <cell r="AC293">
            <v>0.91666666666666663</v>
          </cell>
          <cell r="AD293">
            <v>0.29166666666666669</v>
          </cell>
          <cell r="AE293">
            <v>0.91666666666666663</v>
          </cell>
          <cell r="AF293">
            <v>0.33333333333333331</v>
          </cell>
          <cell r="AG293">
            <v>0.91666666666666663</v>
          </cell>
          <cell r="AH293">
            <v>0.39583333333333331</v>
          </cell>
          <cell r="AI293">
            <v>0.84375</v>
          </cell>
          <cell r="AJ293">
            <v>0.375</v>
          </cell>
          <cell r="AK293">
            <v>0.875</v>
          </cell>
          <cell r="AL293" t="str">
            <v>12HRS</v>
          </cell>
          <cell r="AM293" t="str">
            <v>PAULA HUERTA</v>
          </cell>
          <cell r="AO293">
            <v>44918</v>
          </cell>
        </row>
        <row r="294">
          <cell r="E294" t="str">
            <v>OXXO</v>
          </cell>
          <cell r="F294" t="str">
            <v>CHICUREO 2</v>
          </cell>
          <cell r="G294" t="str">
            <v>CARRETERA GENERAL SAN MARTIN ANTIGUA 18000 - LOCAL 8 Y 9</v>
          </cell>
          <cell r="H294" t="str">
            <v>COLINA</v>
          </cell>
          <cell r="I294" t="str">
            <v>METROPOLITANA</v>
          </cell>
          <cell r="J294" t="str">
            <v>50FQG</v>
          </cell>
          <cell r="K294" t="str">
            <v>cl-chicureo2@tiendas.oxxo.com</v>
          </cell>
          <cell r="L294" t="str">
            <v>T2024</v>
          </cell>
          <cell r="M294" t="str">
            <v>HOGAR C/FF</v>
          </cell>
          <cell r="N294" t="str">
            <v>ABC1</v>
          </cell>
          <cell r="O294" t="str">
            <v>NO</v>
          </cell>
          <cell r="P294" t="str">
            <v>COMPLETA</v>
          </cell>
          <cell r="Q294" t="str">
            <v>NO</v>
          </cell>
          <cell r="R294" t="str">
            <v>SI</v>
          </cell>
          <cell r="S294" t="str">
            <v>NO</v>
          </cell>
          <cell r="T294" t="str">
            <v>SERRANO SOTO MANUEL</v>
          </cell>
          <cell r="U294" t="str">
            <v>manuel.serrano@oxxo.com</v>
          </cell>
          <cell r="V294">
            <v>56940201885</v>
          </cell>
          <cell r="W294" t="str">
            <v>MENDOZA GIL BREYNER JOSE</v>
          </cell>
          <cell r="X294" t="str">
            <v>breyner.mendoza@oxxo.com</v>
          </cell>
          <cell r="Y294">
            <v>56998689425</v>
          </cell>
          <cell r="Z294" t="str">
            <v>S/I</v>
          </cell>
          <cell r="AJ294">
            <v>0.375</v>
          </cell>
          <cell r="AK294">
            <v>0.84375</v>
          </cell>
          <cell r="AL294" t="str">
            <v>12HRS</v>
          </cell>
          <cell r="AM294" t="str">
            <v>ROBERTO POBLETE</v>
          </cell>
          <cell r="AO294">
            <v>45526</v>
          </cell>
        </row>
        <row r="295">
          <cell r="E295" t="str">
            <v>OXXO</v>
          </cell>
          <cell r="F295" t="str">
            <v>PIO XI</v>
          </cell>
          <cell r="G295" t="str">
            <v>PIO XI 1615 - LOCAL 6</v>
          </cell>
          <cell r="H295" t="str">
            <v>VITACURA</v>
          </cell>
          <cell r="I295" t="str">
            <v>METROPOLITANA</v>
          </cell>
          <cell r="J295" t="str">
            <v>50MLM</v>
          </cell>
          <cell r="K295" t="str">
            <v>cl-pioxi@tiendas.oxxo.com</v>
          </cell>
          <cell r="L295" t="str">
            <v>TMCB</v>
          </cell>
          <cell r="M295" t="str">
            <v>RECESO</v>
          </cell>
          <cell r="N295" t="str">
            <v>ABC1</v>
          </cell>
          <cell r="O295" t="str">
            <v>NO</v>
          </cell>
          <cell r="P295" t="str">
            <v>COMPLETA</v>
          </cell>
          <cell r="Q295" t="str">
            <v>NO</v>
          </cell>
          <cell r="R295" t="str">
            <v>NO</v>
          </cell>
          <cell r="S295" t="str">
            <v>NO</v>
          </cell>
          <cell r="T295" t="str">
            <v>BRESCIA RIVERA RODRIGO</v>
          </cell>
          <cell r="U295" t="str">
            <v>rodrigo.brescia@oxxo.com</v>
          </cell>
          <cell r="V295">
            <v>56994777909</v>
          </cell>
          <cell r="W295" t="str">
            <v>MENDOZA GIL BREYNER JOSE</v>
          </cell>
          <cell r="X295" t="str">
            <v>breyner.mendoza@oxxo.com</v>
          </cell>
          <cell r="Y295">
            <v>56998689425</v>
          </cell>
          <cell r="Z295" t="str">
            <v>ROXANA CRISBEL GARCIA MORA</v>
          </cell>
          <cell r="AA295">
            <v>56958591221</v>
          </cell>
          <cell r="AB295">
            <v>0.29166666666666669</v>
          </cell>
          <cell r="AC295">
            <v>0.91666666666666663</v>
          </cell>
          <cell r="AD295">
            <v>0.29166666666666669</v>
          </cell>
          <cell r="AE295">
            <v>0.91666666666666663</v>
          </cell>
          <cell r="AF295">
            <v>0.33333333333333331</v>
          </cell>
          <cell r="AG295">
            <v>0.91666666666666663</v>
          </cell>
          <cell r="AH295">
            <v>0.39583333333333331</v>
          </cell>
          <cell r="AI295">
            <v>0.84375</v>
          </cell>
          <cell r="AJ295">
            <v>0.375</v>
          </cell>
          <cell r="AK295">
            <v>0.91666666666666663</v>
          </cell>
          <cell r="AL295" t="str">
            <v>12HRS</v>
          </cell>
          <cell r="AM295" t="str">
            <v>PAULA HUERTA</v>
          </cell>
          <cell r="AO295">
            <v>43382</v>
          </cell>
        </row>
        <row r="296">
          <cell r="E296" t="str">
            <v>OXXO</v>
          </cell>
          <cell r="F296" t="str">
            <v>PLACA LA DEHESA</v>
          </cell>
          <cell r="G296" t="str">
            <v>AV. LA DEHESA N1201, LOCAL O-102</v>
          </cell>
          <cell r="H296" t="str">
            <v>LO BARNECHEA</v>
          </cell>
          <cell r="I296" t="str">
            <v>METROPOLITANA</v>
          </cell>
          <cell r="J296" t="str">
            <v>50EFH</v>
          </cell>
          <cell r="K296" t="str">
            <v>cl-placaladehesa@tiendas.oxxo.com</v>
          </cell>
          <cell r="L296" t="str">
            <v>TNM</v>
          </cell>
          <cell r="M296" t="str">
            <v>RECESO</v>
          </cell>
          <cell r="N296" t="str">
            <v>ABC1</v>
          </cell>
          <cell r="O296" t="str">
            <v>NO</v>
          </cell>
          <cell r="P296" t="str">
            <v>COMPLETA</v>
          </cell>
          <cell r="Q296" t="str">
            <v>NO</v>
          </cell>
          <cell r="R296" t="str">
            <v>NO</v>
          </cell>
          <cell r="S296" t="str">
            <v>NO</v>
          </cell>
          <cell r="T296" t="str">
            <v>BRESCIA RIVERA RODRIGO</v>
          </cell>
          <cell r="U296" t="str">
            <v>rodrigo.brescia@oxxo.com</v>
          </cell>
          <cell r="V296">
            <v>56994777909</v>
          </cell>
          <cell r="W296" t="str">
            <v>ARAYA BURGOS ARIEL</v>
          </cell>
          <cell r="X296" t="str">
            <v>ariel.araya@oxxo.com</v>
          </cell>
          <cell r="Y296">
            <v>56976232708</v>
          </cell>
          <cell r="Z296" t="str">
            <v>KARLA MARIE VIDROGO ARISTIGUETA</v>
          </cell>
          <cell r="AB296">
            <v>0.29166666666666669</v>
          </cell>
          <cell r="AC296">
            <v>0.91666666666666663</v>
          </cell>
          <cell r="AD296">
            <v>0.29166666666666669</v>
          </cell>
          <cell r="AE296">
            <v>0.91666666666666663</v>
          </cell>
          <cell r="AF296">
            <v>0.33333333333333331</v>
          </cell>
          <cell r="AG296">
            <v>0.91666666666666663</v>
          </cell>
          <cell r="AH296">
            <v>0.39583333333333331</v>
          </cell>
          <cell r="AI296">
            <v>0.84375</v>
          </cell>
          <cell r="AJ296">
            <v>0.375</v>
          </cell>
          <cell r="AK296">
            <v>0.9375</v>
          </cell>
          <cell r="AL296" t="str">
            <v>12HRS</v>
          </cell>
          <cell r="AM296" t="str">
            <v>ROBERTO POBLETE</v>
          </cell>
          <cell r="AO296">
            <v>45282</v>
          </cell>
        </row>
        <row r="297">
          <cell r="E297" t="str">
            <v>OXXO</v>
          </cell>
          <cell r="F297" t="str">
            <v>PLAZA DEL INCA</v>
          </cell>
          <cell r="G297" t="str">
            <v>LA CAPITANÍA 451</v>
          </cell>
          <cell r="H297" t="str">
            <v>LAS CONDES</v>
          </cell>
          <cell r="I297" t="str">
            <v>METROPOLITANA</v>
          </cell>
          <cell r="J297" t="str">
            <v>50AC1</v>
          </cell>
          <cell r="K297" t="str">
            <v>cl-plazadelinca@tiendas.oxxo.com</v>
          </cell>
          <cell r="L297" t="str">
            <v>TMCB</v>
          </cell>
          <cell r="M297" t="str">
            <v>BASE</v>
          </cell>
          <cell r="N297" t="str">
            <v>ABC1</v>
          </cell>
          <cell r="O297" t="str">
            <v>NO</v>
          </cell>
          <cell r="P297" t="str">
            <v>COMPLETA</v>
          </cell>
          <cell r="Q297" t="str">
            <v>NO</v>
          </cell>
          <cell r="R297" t="str">
            <v>NO</v>
          </cell>
          <cell r="S297" t="str">
            <v>NO</v>
          </cell>
          <cell r="T297" t="str">
            <v>BRESCIA RIVERA RODRIGO</v>
          </cell>
          <cell r="U297" t="str">
            <v>rodrigo.brescia@oxxo.com</v>
          </cell>
          <cell r="V297">
            <v>56994777909</v>
          </cell>
          <cell r="W297" t="str">
            <v>BENITEZ QUILODRAN HUGO</v>
          </cell>
          <cell r="X297" t="str">
            <v>hugo.benitez@oxxo.com</v>
          </cell>
          <cell r="Y297">
            <v>56998355780</v>
          </cell>
          <cell r="Z297" t="str">
            <v>YULEIMA DESIREE SALAZAR CATY</v>
          </cell>
          <cell r="AA297">
            <v>56983466473</v>
          </cell>
          <cell r="AB297">
            <v>0.29166666666666669</v>
          </cell>
          <cell r="AC297">
            <v>0.91666666666666663</v>
          </cell>
          <cell r="AD297">
            <v>0.29166666666666669</v>
          </cell>
          <cell r="AE297">
            <v>0.91666666666666663</v>
          </cell>
          <cell r="AF297">
            <v>0.33333333333333331</v>
          </cell>
          <cell r="AG297">
            <v>0.91666666666666663</v>
          </cell>
          <cell r="AH297">
            <v>0.39583333333333331</v>
          </cell>
          <cell r="AI297">
            <v>0.84375</v>
          </cell>
          <cell r="AJ297">
            <v>0.375</v>
          </cell>
          <cell r="AK297">
            <v>0.91666666666666663</v>
          </cell>
          <cell r="AL297" t="str">
            <v>12HRS</v>
          </cell>
          <cell r="AM297" t="str">
            <v>ROBERTO POBLETE</v>
          </cell>
          <cell r="AO297">
            <v>44977</v>
          </cell>
        </row>
        <row r="298">
          <cell r="E298" t="str">
            <v>OKM</v>
          </cell>
          <cell r="F298" t="str">
            <v>OKM STRIP SAN FRANCISCO</v>
          </cell>
          <cell r="G298" t="str">
            <v>SAN FRANCISCO 521</v>
          </cell>
          <cell r="H298" t="str">
            <v>SANTIAGO</v>
          </cell>
          <cell r="I298" t="str">
            <v>METROPOLITANA</v>
          </cell>
          <cell r="J298" t="str">
            <v>50OSF</v>
          </cell>
          <cell r="K298" t="str">
            <v>okm-sanfranciscostaisabel@tiendas.oxxo.com</v>
          </cell>
          <cell r="L298" t="str">
            <v>TMCB OKM</v>
          </cell>
          <cell r="M298" t="str">
            <v>HOGAR</v>
          </cell>
          <cell r="N298" t="str">
            <v>C3</v>
          </cell>
          <cell r="O298" t="str">
            <v>SI</v>
          </cell>
          <cell r="P298" t="str">
            <v>COMPLETA</v>
          </cell>
          <cell r="T298" t="str">
            <v>SERRANO SOTO MANUEL</v>
          </cell>
          <cell r="U298" t="str">
            <v>manuel.serrano@oxxo.com</v>
          </cell>
          <cell r="V298">
            <v>56940201885</v>
          </cell>
          <cell r="X298" t="str">
            <v/>
          </cell>
          <cell r="Y298" t="str">
            <v/>
          </cell>
          <cell r="Z298" t="str">
            <v>FABIOLA ANDREA CALFUNAO AGUILERA</v>
          </cell>
          <cell r="AA298">
            <v>56992032963</v>
          </cell>
          <cell r="AL298" t="str">
            <v>12HRS</v>
          </cell>
        </row>
        <row r="299">
          <cell r="E299" t="str">
            <v>OKM</v>
          </cell>
          <cell r="F299" t="str">
            <v>OKM MIRAFLORES</v>
          </cell>
          <cell r="G299" t="str">
            <v> MERCED 602</v>
          </cell>
          <cell r="H299" t="str">
            <v>SANTIAGO</v>
          </cell>
          <cell r="I299" t="str">
            <v>METROPOLITANA</v>
          </cell>
          <cell r="J299" t="str">
            <v>50OMI</v>
          </cell>
          <cell r="K299" t="str">
            <v>okm-mirafloresmerced@tiendas.oxxo.com</v>
          </cell>
          <cell r="L299" t="str">
            <v>TMCB OKM</v>
          </cell>
          <cell r="M299" t="str">
            <v>RECESO</v>
          </cell>
          <cell r="N299" t="str">
            <v>C2</v>
          </cell>
          <cell r="O299" t="str">
            <v>NO</v>
          </cell>
          <cell r="P299" t="str">
            <v>COMPLETA</v>
          </cell>
          <cell r="T299" t="str">
            <v>SERRANO SOTO MANUEL</v>
          </cell>
          <cell r="U299" t="str">
            <v>manuel.serrano@oxxo.com</v>
          </cell>
          <cell r="V299">
            <v>56940201885</v>
          </cell>
          <cell r="W299" t="str">
            <v>BENITEZ QUILODRAN HUGO</v>
          </cell>
          <cell r="X299" t="str">
            <v>hugo.benitez@oxxo.com</v>
          </cell>
          <cell r="Y299">
            <v>56998355780</v>
          </cell>
          <cell r="Z299" t="str">
            <v>SUSANA BAEZA CARO</v>
          </cell>
          <cell r="AA299">
            <v>988655776</v>
          </cell>
          <cell r="AL299" t="str">
            <v>12HRS</v>
          </cell>
        </row>
        <row r="300">
          <cell r="E300" t="str">
            <v>OXXO - EX OKM</v>
          </cell>
          <cell r="F300" t="str">
            <v>PLAZA EGANA</v>
          </cell>
          <cell r="G300" t="str">
            <v>AV. IRARRAZAVAL 5612</v>
          </cell>
          <cell r="H300" t="str">
            <v>ÑUÑOA</v>
          </cell>
          <cell r="I300" t="str">
            <v>METROPOLITANA</v>
          </cell>
          <cell r="J300" t="str">
            <v>50OPN</v>
          </cell>
          <cell r="K300" t="str">
            <v>cl-plazaegana2@tiendas.oxxo.com</v>
          </cell>
          <cell r="L300" t="str">
            <v>TMCB</v>
          </cell>
          <cell r="M300" t="str">
            <v>BASE</v>
          </cell>
          <cell r="N300" t="str">
            <v>C2</v>
          </cell>
          <cell r="O300" t="str">
            <v>NO</v>
          </cell>
          <cell r="P300" t="str">
            <v>COMPLETA</v>
          </cell>
          <cell r="Q300" t="str">
            <v>NO</v>
          </cell>
          <cell r="R300" t="str">
            <v>NO</v>
          </cell>
          <cell r="S300" t="str">
            <v>NO</v>
          </cell>
          <cell r="T300" t="str">
            <v>BRESCIA RIVERA RODRIGO</v>
          </cell>
          <cell r="U300" t="str">
            <v>rodrigo.brescia@oxxo.com</v>
          </cell>
          <cell r="V300">
            <v>56994777909</v>
          </cell>
          <cell r="W300" t="str">
            <v>RUIZ FERRER VANNA</v>
          </cell>
          <cell r="X300" t="str">
            <v>vanna.ruiz@oxxo.com</v>
          </cell>
          <cell r="Y300">
            <v>56994441705</v>
          </cell>
          <cell r="Z300" t="str">
            <v>CONSTANZA LUZ VEJAR MIRANDA</v>
          </cell>
          <cell r="AB300">
            <v>0.29166666666666669</v>
          </cell>
          <cell r="AC300">
            <v>0.91666666666666663</v>
          </cell>
          <cell r="AD300">
            <v>0.29166666666666669</v>
          </cell>
          <cell r="AE300">
            <v>0.91666666666666663</v>
          </cell>
          <cell r="AF300">
            <v>0.33333333333333331</v>
          </cell>
          <cell r="AG300">
            <v>0.91666666666666663</v>
          </cell>
          <cell r="AH300">
            <v>0.39583333333333331</v>
          </cell>
          <cell r="AI300">
            <v>0.84375</v>
          </cell>
          <cell r="AJ300">
            <v>0.375</v>
          </cell>
          <cell r="AK300">
            <v>0.9375</v>
          </cell>
          <cell r="AL300" t="str">
            <v>12HRS</v>
          </cell>
          <cell r="AM300" t="str">
            <v>ROBERTO POBLETE</v>
          </cell>
          <cell r="AO300">
            <v>45239</v>
          </cell>
        </row>
        <row r="301">
          <cell r="E301" t="str">
            <v>OXXO - EX OKM</v>
          </cell>
          <cell r="F301" t="str">
            <v>PLAZA ITALIA</v>
          </cell>
          <cell r="G301" t="str">
            <v> AV. PROVIDENCIA 085</v>
          </cell>
          <cell r="H301" t="str">
            <v>PROVIDENCIA</v>
          </cell>
          <cell r="I301" t="str">
            <v>METROPOLITANA</v>
          </cell>
          <cell r="J301" t="str">
            <v>50OPI</v>
          </cell>
          <cell r="K301" t="str">
            <v>cl-plazaitalia@tiendas.oxxo.com</v>
          </cell>
          <cell r="L301" t="str">
            <v>TMCB</v>
          </cell>
          <cell r="M301" t="str">
            <v>RECESO</v>
          </cell>
          <cell r="N301" t="str">
            <v>C2</v>
          </cell>
          <cell r="O301" t="str">
            <v>SI</v>
          </cell>
          <cell r="P301" t="str">
            <v>COMPLETA</v>
          </cell>
          <cell r="Q301" t="str">
            <v>NO</v>
          </cell>
          <cell r="R301" t="str">
            <v>NO</v>
          </cell>
          <cell r="S301" t="str">
            <v>NO</v>
          </cell>
          <cell r="T301" t="str">
            <v>BRESCIA RIVERA RODRIGO</v>
          </cell>
          <cell r="U301" t="str">
            <v>rodrigo.brescia@oxxo.com</v>
          </cell>
          <cell r="V301">
            <v>56994777909</v>
          </cell>
          <cell r="W301" t="str">
            <v>LOPEZ MEZA LUIS JOSÉ</v>
          </cell>
          <cell r="X301" t="str">
            <v>luis.lopez@oxxo.com</v>
          </cell>
          <cell r="Y301">
            <v>56933740505</v>
          </cell>
          <cell r="Z301" t="str">
            <v>SOLANDI DEL VALLE SILVA LOPEZ</v>
          </cell>
          <cell r="AA301">
            <v>56992178968</v>
          </cell>
          <cell r="AB301">
            <v>0.29166666666666669</v>
          </cell>
          <cell r="AC301">
            <v>0.95833333333333337</v>
          </cell>
          <cell r="AD301">
            <v>0.29166666666666669</v>
          </cell>
          <cell r="AE301">
            <v>0.99305555555555558</v>
          </cell>
          <cell r="AF301">
            <v>0.33333333333333331</v>
          </cell>
          <cell r="AG301">
            <v>0.99305555555555558</v>
          </cell>
          <cell r="AH301">
            <v>0.4375</v>
          </cell>
          <cell r="AI301">
            <v>0.88541666666666663</v>
          </cell>
          <cell r="AJ301">
            <v>0.375</v>
          </cell>
          <cell r="AK301">
            <v>0.91666666666666663</v>
          </cell>
          <cell r="AL301" t="str">
            <v>12HRS</v>
          </cell>
          <cell r="AM301" t="str">
            <v>ROBERTO POBLETE</v>
          </cell>
          <cell r="AO301">
            <v>45749</v>
          </cell>
        </row>
        <row r="302">
          <cell r="E302" t="str">
            <v>OXXO</v>
          </cell>
          <cell r="F302" t="str">
            <v>PLAZA MAIPU</v>
          </cell>
          <cell r="G302" t="str">
            <v>AV. PAJARITOS 1783</v>
          </cell>
          <cell r="H302" t="str">
            <v>MAIPÚ</v>
          </cell>
          <cell r="I302" t="str">
            <v>METROPOLITANA</v>
          </cell>
          <cell r="J302" t="str">
            <v>50MAI</v>
          </cell>
          <cell r="K302" t="str">
            <v>cl-plazamaipu@tiendas.oxxo.com</v>
          </cell>
          <cell r="L302" t="str">
            <v>TMCB</v>
          </cell>
          <cell r="M302" t="str">
            <v>RECESO</v>
          </cell>
          <cell r="N302" t="str">
            <v>C3</v>
          </cell>
          <cell r="O302" t="str">
            <v>NO</v>
          </cell>
          <cell r="P302" t="str">
            <v>COMPLETA</v>
          </cell>
          <cell r="Q302" t="str">
            <v>SI</v>
          </cell>
          <cell r="R302" t="str">
            <v>NO</v>
          </cell>
          <cell r="S302" t="str">
            <v>NO</v>
          </cell>
          <cell r="T302" t="str">
            <v>BRESCIA RIVERA RODRIGO</v>
          </cell>
          <cell r="U302" t="str">
            <v>rodrigo.brescia@oxxo.com</v>
          </cell>
          <cell r="V302">
            <v>56994777909</v>
          </cell>
          <cell r="W302" t="str">
            <v>PINERUA JAIMES JESUS</v>
          </cell>
          <cell r="X302" t="str">
            <v>jesus.pinerua@oxxo.com</v>
          </cell>
          <cell r="Y302">
            <v>56982335207</v>
          </cell>
          <cell r="Z302" t="str">
            <v>MARYELIX DEL CARMEN PINTO FERRER</v>
          </cell>
          <cell r="AA302">
            <v>56947174688</v>
          </cell>
          <cell r="AB302">
            <v>0.29166666666666669</v>
          </cell>
          <cell r="AC302">
            <v>0.91666666666666663</v>
          </cell>
          <cell r="AD302">
            <v>0.29166666666666669</v>
          </cell>
          <cell r="AE302">
            <v>0.91666666666666663</v>
          </cell>
          <cell r="AF302">
            <v>0.33333333333333331</v>
          </cell>
          <cell r="AG302">
            <v>0.91666666666666663</v>
          </cell>
          <cell r="AH302">
            <v>0.39583333333333331</v>
          </cell>
          <cell r="AI302">
            <v>0.84375</v>
          </cell>
          <cell r="AJ302">
            <v>0.39583333333333331</v>
          </cell>
          <cell r="AK302">
            <v>0.9375</v>
          </cell>
          <cell r="AL302" t="str">
            <v>12HRS</v>
          </cell>
          <cell r="AM302" t="str">
            <v>PAULA HUERTA</v>
          </cell>
          <cell r="AO302">
            <v>44742</v>
          </cell>
        </row>
        <row r="303">
          <cell r="E303" t="str">
            <v>OKM</v>
          </cell>
          <cell r="F303" t="str">
            <v>OKM FRANCISCO NOGUERA</v>
          </cell>
          <cell r="G303" t="str">
            <v>FRANCISCO NOGUERA 36</v>
          </cell>
          <cell r="H303" t="str">
            <v>PROVIDENCIA</v>
          </cell>
          <cell r="I303" t="str">
            <v>METROPOLITANA</v>
          </cell>
          <cell r="J303" t="str">
            <v>50OFG</v>
          </cell>
          <cell r="K303" t="str">
            <v>okm-francisconoguera@tiendas.oxxo.com</v>
          </cell>
          <cell r="L303" t="str">
            <v>TMCB OKM</v>
          </cell>
          <cell r="M303" t="str">
            <v>RECESO</v>
          </cell>
          <cell r="N303" t="str">
            <v>C2</v>
          </cell>
          <cell r="O303" t="str">
            <v>NO</v>
          </cell>
          <cell r="P303" t="str">
            <v>COMPLETA</v>
          </cell>
          <cell r="T303" t="str">
            <v>SERRANO SOTO MANUEL</v>
          </cell>
          <cell r="U303" t="str">
            <v>manuel.serrano@oxxo.com</v>
          </cell>
          <cell r="V303">
            <v>56940201885</v>
          </cell>
          <cell r="X303" t="str">
            <v/>
          </cell>
          <cell r="Y303" t="str">
            <v/>
          </cell>
          <cell r="Z303" t="str">
            <v>S/I</v>
          </cell>
          <cell r="AA303">
            <v>56958136708</v>
          </cell>
          <cell r="AL303" t="str">
            <v>12HRS</v>
          </cell>
        </row>
        <row r="304">
          <cell r="E304" t="str">
            <v>OXXO - EX OKM</v>
          </cell>
          <cell r="F304" t="str">
            <v>SIMON BOLIVAR 2</v>
          </cell>
          <cell r="G304" t="str">
            <v>SIMÓN BOLÍVAR 4800 LOCAL 101 Y 102</v>
          </cell>
          <cell r="H304" t="str">
            <v>ÑUÑOA</v>
          </cell>
          <cell r="I304" t="str">
            <v>METROPOLITANA</v>
          </cell>
          <cell r="J304" t="str">
            <v>50OSB</v>
          </cell>
          <cell r="K304" t="str">
            <v>cl-simonbolivar2@tiendas.oxxo.com</v>
          </cell>
          <cell r="L304" t="str">
            <v>TMCB OKM</v>
          </cell>
          <cell r="M304" t="str">
            <v>HOGAR C/FF</v>
          </cell>
          <cell r="N304" t="str">
            <v>C2</v>
          </cell>
          <cell r="O304" t="str">
            <v>NO</v>
          </cell>
          <cell r="P304" t="str">
            <v>COMPLETA</v>
          </cell>
          <cell r="T304" t="str">
            <v>SERRANO SOTO MANUEL</v>
          </cell>
          <cell r="U304" t="str">
            <v>manuel.serrano@oxxo.com</v>
          </cell>
          <cell r="V304">
            <v>56940201885</v>
          </cell>
          <cell r="W304" t="str">
            <v>GAMERRE URZUA CECILIA</v>
          </cell>
          <cell r="X304" t="str">
            <v>cecilia.gamerre@oxxo.com</v>
          </cell>
          <cell r="Y304">
            <v>56992076485</v>
          </cell>
          <cell r="Z304" t="str">
            <v>ESTEFANI TRUJILLO SANDOVAL</v>
          </cell>
          <cell r="AL304" t="str">
            <v>12HRS</v>
          </cell>
          <cell r="AO304">
            <v>45376</v>
          </cell>
        </row>
        <row r="305">
          <cell r="E305" t="str">
            <v>OXXO - EX OKM</v>
          </cell>
          <cell r="F305" t="str">
            <v>EXEQUIEL FERNANDEZ 2</v>
          </cell>
          <cell r="G305" t="str">
            <v> EXEQUIEL FERNÁNDEZ 105-115</v>
          </cell>
          <cell r="H305" t="str">
            <v>ÑUÑOA</v>
          </cell>
          <cell r="I305" t="str">
            <v>METROPOLITANA</v>
          </cell>
          <cell r="J305" t="str">
            <v>50OEX</v>
          </cell>
          <cell r="K305" t="str">
            <v>cl-exequielfernandez@tiendas.oxxo.com</v>
          </cell>
          <cell r="L305" t="str">
            <v>TMCB OKM</v>
          </cell>
          <cell r="M305" t="str">
            <v>HOGAR C/FF</v>
          </cell>
          <cell r="N305" t="str">
            <v>C2</v>
          </cell>
          <cell r="O305" t="str">
            <v>SI</v>
          </cell>
          <cell r="P305" t="str">
            <v>COMPLETA</v>
          </cell>
          <cell r="T305" t="str">
            <v>SERRANO SOTO MANUEL</v>
          </cell>
          <cell r="U305" t="str">
            <v>manuel.serrano@oxxo.com</v>
          </cell>
          <cell r="V305">
            <v>56940201885</v>
          </cell>
          <cell r="X305" t="str">
            <v/>
          </cell>
          <cell r="Y305" t="str">
            <v/>
          </cell>
          <cell r="Z305" t="str">
            <v>RICARDO IVAN HUENUPAN LLANCAFILO</v>
          </cell>
          <cell r="AL305" t="str">
            <v>12HRS</v>
          </cell>
          <cell r="AO305">
            <v>45251</v>
          </cell>
        </row>
        <row r="306">
          <cell r="E306" t="str">
            <v>OKM</v>
          </cell>
          <cell r="F306" t="str">
            <v>OKM MORANDE</v>
          </cell>
          <cell r="G306" t="str">
            <v>MORANDÉ 603</v>
          </cell>
          <cell r="H306" t="str">
            <v>SANTIAGO</v>
          </cell>
          <cell r="I306" t="str">
            <v>METROPOLITANA</v>
          </cell>
          <cell r="J306" t="str">
            <v>50OMN</v>
          </cell>
          <cell r="K306" t="str">
            <v>okm-morande@tiendas.oxxo.com</v>
          </cell>
          <cell r="L306" t="str">
            <v>TMCB OKM</v>
          </cell>
          <cell r="M306" t="str">
            <v>RECESO</v>
          </cell>
          <cell r="N306" t="str">
            <v>C2</v>
          </cell>
          <cell r="O306" t="str">
            <v>NO</v>
          </cell>
          <cell r="P306" t="str">
            <v>COMPLETA</v>
          </cell>
          <cell r="T306" t="str">
            <v>SERRANO SOTO MANUEL</v>
          </cell>
          <cell r="U306" t="str">
            <v>manuel.serrano@oxxo.com</v>
          </cell>
          <cell r="V306">
            <v>56940201885</v>
          </cell>
          <cell r="W306" t="str">
            <v>LOPEZ CALDERON LUIS GERARDO</v>
          </cell>
          <cell r="X306" t="str">
            <v/>
          </cell>
          <cell r="Y306" t="str">
            <v/>
          </cell>
          <cell r="Z306" t="str">
            <v>DIEGO ALEJANDRO RIVERA SALAS</v>
          </cell>
          <cell r="AA306">
            <v>995463802</v>
          </cell>
          <cell r="AL306" t="str">
            <v>12HRS</v>
          </cell>
        </row>
        <row r="307">
          <cell r="E307" t="str">
            <v>OXXO - EX OKM</v>
          </cell>
          <cell r="F307" t="str">
            <v>SUCRE</v>
          </cell>
          <cell r="G307" t="str">
            <v> SALVADOR 1866</v>
          </cell>
          <cell r="H307" t="str">
            <v>ÑUÑOA</v>
          </cell>
          <cell r="I307" t="str">
            <v>METROPOLITANA</v>
          </cell>
          <cell r="J307" t="str">
            <v>50OSU</v>
          </cell>
          <cell r="K307" t="str">
            <v>cl-sucre@tiendas.oxxo.com</v>
          </cell>
          <cell r="L307" t="str">
            <v>TMCB OKM</v>
          </cell>
          <cell r="M307" t="str">
            <v>HOGAR C/FF</v>
          </cell>
          <cell r="N307" t="str">
            <v>C2</v>
          </cell>
          <cell r="O307" t="str">
            <v>NO</v>
          </cell>
          <cell r="P307" t="str">
            <v>COMPLETA</v>
          </cell>
          <cell r="T307" t="str">
            <v>SERRANO SOTO MANUEL</v>
          </cell>
          <cell r="U307" t="str">
            <v>manuel.serrano@oxxo.com</v>
          </cell>
          <cell r="V307">
            <v>56940201885</v>
          </cell>
          <cell r="W307" t="str">
            <v>RUIZ FERRER VANNA</v>
          </cell>
          <cell r="X307" t="str">
            <v>vanna.ruiz@oxxo.com</v>
          </cell>
          <cell r="Y307">
            <v>56994441705</v>
          </cell>
          <cell r="Z307" t="str">
            <v>MARI CARMEN MANCILLA TARAZONA</v>
          </cell>
          <cell r="AL307" t="str">
            <v>12HRS</v>
          </cell>
          <cell r="AO307">
            <v>45184</v>
          </cell>
        </row>
        <row r="308">
          <cell r="E308" t="str">
            <v>OXXO</v>
          </cell>
          <cell r="F308" t="str">
            <v>PLAZA SOTOMAYOR VALPARAISO</v>
          </cell>
          <cell r="G308" t="str">
            <v>SOTOMAYOR 39</v>
          </cell>
          <cell r="H308" t="str">
            <v>VALPARAÍSO</v>
          </cell>
          <cell r="I308" t="str">
            <v>VALPARAISO</v>
          </cell>
          <cell r="J308" t="str">
            <v>50HIS</v>
          </cell>
          <cell r="K308" t="str">
            <v>cl-sotomayor@tiendas.oxxo.com</v>
          </cell>
          <cell r="L308" t="str">
            <v>TMCB</v>
          </cell>
          <cell r="M308" t="str">
            <v>RECESO</v>
          </cell>
          <cell r="N308" t="str">
            <v>D</v>
          </cell>
          <cell r="O308" t="str">
            <v>NO</v>
          </cell>
          <cell r="P308" t="str">
            <v>COMPLETA</v>
          </cell>
          <cell r="Q308" t="str">
            <v>SI</v>
          </cell>
          <cell r="R308" t="str">
            <v>SI</v>
          </cell>
          <cell r="S308" t="str">
            <v>NO</v>
          </cell>
          <cell r="T308" t="str">
            <v>SESA DIEGO MIGUEL</v>
          </cell>
          <cell r="U308" t="str">
            <v>diego.sesa@oxxo.com</v>
          </cell>
          <cell r="V308">
            <v>56954238682</v>
          </cell>
          <cell r="W308" t="str">
            <v>RODRÍGUEZ ROBLES MARCELA ALEJANDRA</v>
          </cell>
          <cell r="X308" t="str">
            <v>marcela.rodriguezrobles@oxxo.com</v>
          </cell>
          <cell r="Y308">
            <v>56982335207</v>
          </cell>
          <cell r="Z308" t="str">
            <v>ADRIANA MANUELLA ROMERO BARRIOS</v>
          </cell>
          <cell r="AA308">
            <v>56934193774</v>
          </cell>
          <cell r="AB308">
            <v>0</v>
          </cell>
          <cell r="AC308">
            <v>0.99930555555555556</v>
          </cell>
          <cell r="AD308">
            <v>0</v>
          </cell>
          <cell r="AE308">
            <v>0.99930555555555556</v>
          </cell>
          <cell r="AF308">
            <v>0</v>
          </cell>
          <cell r="AG308">
            <v>0.99930555555555556</v>
          </cell>
          <cell r="AH308">
            <v>0</v>
          </cell>
          <cell r="AI308">
            <v>0.99930555555555556</v>
          </cell>
          <cell r="AJ308">
            <v>0</v>
          </cell>
          <cell r="AK308">
            <v>0.99930555555555556</v>
          </cell>
          <cell r="AL308" t="str">
            <v>24HRS</v>
          </cell>
          <cell r="AM308" t="str">
            <v>ROBERTO POBLETE</v>
          </cell>
          <cell r="AO308">
            <v>43289</v>
          </cell>
        </row>
        <row r="309">
          <cell r="E309" t="str">
            <v>OXXO</v>
          </cell>
          <cell r="F309" t="str">
            <v>PLAZA VERGARA</v>
          </cell>
          <cell r="G309" t="str">
            <v>PLAZA VERGARA 148</v>
          </cell>
          <cell r="H309" t="str">
            <v>VIÑA DEL MAR</v>
          </cell>
          <cell r="I309" t="str">
            <v>VALPARAISO</v>
          </cell>
          <cell r="J309" t="str">
            <v>5026M</v>
          </cell>
          <cell r="K309" t="str">
            <v>cl-plazavergara@tiendas.oxxo.com</v>
          </cell>
          <cell r="L309" t="str">
            <v>TMCB</v>
          </cell>
          <cell r="M309" t="str">
            <v>RECESO</v>
          </cell>
          <cell r="N309" t="str">
            <v>C3</v>
          </cell>
          <cell r="O309" t="str">
            <v>NO</v>
          </cell>
          <cell r="P309" t="str">
            <v>PARCIAL</v>
          </cell>
          <cell r="Q309" t="str">
            <v>NO</v>
          </cell>
          <cell r="R309" t="str">
            <v>NO</v>
          </cell>
          <cell r="S309" t="str">
            <v>NO</v>
          </cell>
          <cell r="T309" t="str">
            <v>SESA DIEGO MIGUEL</v>
          </cell>
          <cell r="U309" t="str">
            <v>diego.sesa@oxxo.com</v>
          </cell>
          <cell r="V309">
            <v>56954238682</v>
          </cell>
          <cell r="W309" t="str">
            <v>RODRÍGUEZ ROBLES MARCELA ALEJANDRA</v>
          </cell>
          <cell r="X309" t="str">
            <v>marcela.rodriguezrobles@oxxo.com</v>
          </cell>
          <cell r="Y309">
            <v>56982335207</v>
          </cell>
          <cell r="Z309" t="str">
            <v>JINETH DEL CARMEN DIAZ VILLASMIL</v>
          </cell>
          <cell r="AA309">
            <v>56983465385</v>
          </cell>
          <cell r="AB309">
            <v>0.29166666666666669</v>
          </cell>
          <cell r="AC309">
            <v>0.95833333333333337</v>
          </cell>
          <cell r="AD309">
            <v>0.29166666666666669</v>
          </cell>
          <cell r="AE309">
            <v>0.99305555555555558</v>
          </cell>
          <cell r="AF309">
            <v>0.33333333333333331</v>
          </cell>
          <cell r="AG309">
            <v>0.99305555555555558</v>
          </cell>
          <cell r="AH309">
            <v>0.39583333333333331</v>
          </cell>
          <cell r="AI309">
            <v>0.84375</v>
          </cell>
          <cell r="AJ309">
            <v>0.375</v>
          </cell>
          <cell r="AK309">
            <v>0.875</v>
          </cell>
          <cell r="AL309" t="str">
            <v>12HRS</v>
          </cell>
          <cell r="AM309" t="str">
            <v>ROBERTO POBLETE</v>
          </cell>
          <cell r="AO309">
            <v>44981</v>
          </cell>
        </row>
        <row r="310">
          <cell r="E310" t="str">
            <v>OXXO</v>
          </cell>
          <cell r="F310" t="str">
            <v>PLAZA VICTORIA</v>
          </cell>
          <cell r="G310" t="str">
            <v>PLAZA VICTORIA N1646</v>
          </cell>
          <cell r="H310" t="str">
            <v>VALPARAÍSO</v>
          </cell>
          <cell r="I310" t="str">
            <v>VALPARAISO</v>
          </cell>
          <cell r="J310" t="str">
            <v>505XC</v>
          </cell>
          <cell r="K310" t="str">
            <v>cl-plazavictoria@tiendas.oxxo.com</v>
          </cell>
          <cell r="L310" t="str">
            <v>TNM</v>
          </cell>
          <cell r="M310" t="str">
            <v>RECESO</v>
          </cell>
          <cell r="N310" t="str">
            <v>C2</v>
          </cell>
          <cell r="O310" t="str">
            <v>NO</v>
          </cell>
          <cell r="P310" t="str">
            <v>COMPLETA</v>
          </cell>
          <cell r="Q310" t="str">
            <v>NO</v>
          </cell>
          <cell r="R310" t="str">
            <v>NO</v>
          </cell>
          <cell r="S310" t="str">
            <v>NO</v>
          </cell>
          <cell r="T310" t="str">
            <v>SESA DIEGO MIGUEL</v>
          </cell>
          <cell r="U310" t="str">
            <v>diego.sesa@oxxo.com</v>
          </cell>
          <cell r="V310">
            <v>56954238682</v>
          </cell>
          <cell r="W310" t="str">
            <v>RODRÍGUEZ ROBLES MARCELA ALEJANDRA</v>
          </cell>
          <cell r="X310" t="str">
            <v>marcela.rodriguezrobles@oxxo.com</v>
          </cell>
          <cell r="Y310">
            <v>56982335207</v>
          </cell>
          <cell r="Z310" t="str">
            <v>CONSTANZA MACARENA ROJAS GOLSWORTHY</v>
          </cell>
          <cell r="AB310">
            <v>0.29166666666666669</v>
          </cell>
          <cell r="AC310">
            <v>0.95833333333333337</v>
          </cell>
          <cell r="AD310">
            <v>0.29166666666666669</v>
          </cell>
          <cell r="AE310">
            <v>0.99305555555555558</v>
          </cell>
          <cell r="AF310">
            <v>0.33333333333333331</v>
          </cell>
          <cell r="AG310">
            <v>0.99305555555555558</v>
          </cell>
          <cell r="AH310">
            <v>0.39583333333333331</v>
          </cell>
          <cell r="AI310">
            <v>0.84375</v>
          </cell>
          <cell r="AJ310">
            <v>0.375</v>
          </cell>
          <cell r="AK310">
            <v>0.875</v>
          </cell>
          <cell r="AL310" t="str">
            <v>12HRS</v>
          </cell>
          <cell r="AM310" t="str">
            <v>ROBERTO POBLETE</v>
          </cell>
          <cell r="AO310">
            <v>45230</v>
          </cell>
        </row>
        <row r="311">
          <cell r="E311" t="str">
            <v>OKM</v>
          </cell>
          <cell r="F311" t="str">
            <v>OKM METRO CHILE ESPANA</v>
          </cell>
          <cell r="G311" t="str">
            <v> AVDA. JOSÉ PEDRO ALESSANDRI 30</v>
          </cell>
          <cell r="H311" t="str">
            <v>ÑUÑOA</v>
          </cell>
          <cell r="I311" t="str">
            <v>METROPOLITANA</v>
          </cell>
          <cell r="J311" t="str">
            <v>50OME</v>
          </cell>
          <cell r="K311" t="str">
            <v>okm-metrochileespana@tiendas.oxxo.com</v>
          </cell>
          <cell r="L311" t="str">
            <v>TMCB</v>
          </cell>
          <cell r="M311" t="str">
            <v>RECESO</v>
          </cell>
          <cell r="N311" t="str">
            <v>C2</v>
          </cell>
          <cell r="O311" t="str">
            <v>NO</v>
          </cell>
          <cell r="P311" t="str">
            <v>COMPLETA</v>
          </cell>
          <cell r="Q311" t="str">
            <v>NO</v>
          </cell>
          <cell r="R311" t="str">
            <v>NO</v>
          </cell>
          <cell r="S311" t="str">
            <v>NO</v>
          </cell>
          <cell r="T311" t="str">
            <v>SERRANO SOTO MANUEL</v>
          </cell>
          <cell r="U311" t="str">
            <v>manuel.serrano@oxxo.com</v>
          </cell>
          <cell r="V311">
            <v>56940201885</v>
          </cell>
          <cell r="W311" t="str">
            <v>RODRIGUEZ ABREU ROSA</v>
          </cell>
          <cell r="X311" t="str">
            <v>rosa.rodriguezabreu@oxxo.com</v>
          </cell>
          <cell r="Y311">
            <v>56989993870</v>
          </cell>
          <cell r="Z311" t="str">
            <v>IGNACIO ARTURO SAN MARTIN PINO</v>
          </cell>
          <cell r="AA311">
            <v>56989852245</v>
          </cell>
          <cell r="AB311">
            <v>0.25</v>
          </cell>
          <cell r="AC311">
            <v>0.95833333333333337</v>
          </cell>
          <cell r="AD311">
            <v>0.25</v>
          </cell>
          <cell r="AE311">
            <v>0.95833333333333337</v>
          </cell>
          <cell r="AF311">
            <v>0.33333333333333331</v>
          </cell>
          <cell r="AG311">
            <v>0.91666666666666663</v>
          </cell>
          <cell r="AH311">
            <v>0.39583333333333331</v>
          </cell>
          <cell r="AI311">
            <v>0.84375</v>
          </cell>
          <cell r="AJ311">
            <v>0.39583333333333331</v>
          </cell>
          <cell r="AK311">
            <v>0.875</v>
          </cell>
          <cell r="AL311" t="str">
            <v>12HRS</v>
          </cell>
          <cell r="AM311" t="str">
            <v>PAULA HUERTA</v>
          </cell>
        </row>
        <row r="312">
          <cell r="E312" t="str">
            <v>OKM</v>
          </cell>
          <cell r="F312" t="str">
            <v>OKM SERRANO</v>
          </cell>
          <cell r="G312" t="str">
            <v>SERRANO 294</v>
          </cell>
          <cell r="H312" t="str">
            <v>SANTIAGO</v>
          </cell>
          <cell r="I312" t="str">
            <v>METROPOLITANA</v>
          </cell>
          <cell r="J312" t="str">
            <v>50OSE</v>
          </cell>
          <cell r="K312" t="str">
            <v>okm-sanfranciscostaisabel@tiendas.oxxo.com</v>
          </cell>
          <cell r="L312" t="str">
            <v>TMCB OKM</v>
          </cell>
          <cell r="M312" t="str">
            <v>HOGAR</v>
          </cell>
          <cell r="O312" t="str">
            <v>NO</v>
          </cell>
          <cell r="P312" t="str">
            <v>COMPLETA</v>
          </cell>
          <cell r="T312" t="str">
            <v>SERRANO SOTO MANUEL</v>
          </cell>
          <cell r="U312" t="str">
            <v>manuel.serrano@oxxo.com</v>
          </cell>
          <cell r="V312">
            <v>56940201885</v>
          </cell>
          <cell r="X312" t="str">
            <v/>
          </cell>
          <cell r="Y312" t="str">
            <v/>
          </cell>
          <cell r="Z312" t="str">
            <v>S/I</v>
          </cell>
          <cell r="AL312" t="str">
            <v>12HRS</v>
          </cell>
        </row>
        <row r="313">
          <cell r="E313" t="str">
            <v>OXXO</v>
          </cell>
          <cell r="F313" t="str">
            <v>PORTUGAL</v>
          </cell>
          <cell r="G313" t="str">
            <v>PORTUGAL 178</v>
          </cell>
          <cell r="H313" t="str">
            <v>SANTIAGO</v>
          </cell>
          <cell r="I313" t="str">
            <v>METROPOLITANA</v>
          </cell>
          <cell r="J313" t="str">
            <v>506J4</v>
          </cell>
          <cell r="K313" t="str">
            <v>cl-portugal@tiendas.oxxo.com</v>
          </cell>
          <cell r="L313" t="str">
            <v>TNM</v>
          </cell>
          <cell r="M313" t="str">
            <v>RECESO</v>
          </cell>
          <cell r="O313" t="str">
            <v>NO</v>
          </cell>
          <cell r="P313" t="str">
            <v>COMPLETA</v>
          </cell>
          <cell r="Q313" t="str">
            <v>NO</v>
          </cell>
          <cell r="R313" t="str">
            <v>SI</v>
          </cell>
          <cell r="S313" t="str">
            <v>NO</v>
          </cell>
          <cell r="T313" t="str">
            <v>BRESCIA RIVERA RODRIGO</v>
          </cell>
          <cell r="U313" t="str">
            <v>rodrigo.brescia@oxxo.com</v>
          </cell>
          <cell r="V313">
            <v>56994777909</v>
          </cell>
          <cell r="W313" t="str">
            <v>LIAZ MONTERO GABRIEL</v>
          </cell>
          <cell r="X313" t="str">
            <v>gabriel.liaz@oxxo.com</v>
          </cell>
          <cell r="Y313">
            <v>56964735260</v>
          </cell>
          <cell r="Z313" t="str">
            <v>ZARIFFE ALEXANDRA REYES SALAZAR</v>
          </cell>
          <cell r="AA313">
            <v>56994334829</v>
          </cell>
          <cell r="AB313">
            <v>0</v>
          </cell>
          <cell r="AC313">
            <v>0.99930555555555556</v>
          </cell>
          <cell r="AD313">
            <v>0</v>
          </cell>
          <cell r="AE313">
            <v>0.99930555555555556</v>
          </cell>
          <cell r="AF313">
            <v>0</v>
          </cell>
          <cell r="AG313">
            <v>0.99930555555555556</v>
          </cell>
          <cell r="AH313">
            <v>0</v>
          </cell>
          <cell r="AI313">
            <v>0.99930555555555556</v>
          </cell>
          <cell r="AJ313">
            <v>0</v>
          </cell>
          <cell r="AK313">
            <v>0.99930555555555556</v>
          </cell>
          <cell r="AL313" t="str">
            <v>24HRS</v>
          </cell>
          <cell r="AM313" t="str">
            <v>PAULA HUERTA</v>
          </cell>
          <cell r="AO313">
            <v>45382</v>
          </cell>
        </row>
        <row r="314">
          <cell r="E314" t="str">
            <v>OKM</v>
          </cell>
          <cell r="F314" t="str">
            <v>OKM ABDON CIFUENTES</v>
          </cell>
          <cell r="G314" t="str">
            <v>ALAMEDA 2168</v>
          </cell>
          <cell r="H314" t="str">
            <v>SANTIAGO</v>
          </cell>
          <cell r="I314" t="str">
            <v>METROPOLITANA</v>
          </cell>
          <cell r="J314" t="str">
            <v>50OAD</v>
          </cell>
          <cell r="K314" t="str">
            <v>okm-abdoncifuentes@tiendas.oxxo.com</v>
          </cell>
          <cell r="L314" t="str">
            <v>TMCB OKM</v>
          </cell>
          <cell r="M314" t="str">
            <v>RECESO</v>
          </cell>
          <cell r="N314" t="str">
            <v>C3</v>
          </cell>
          <cell r="O314" t="str">
            <v>NO</v>
          </cell>
          <cell r="P314" t="str">
            <v>COMPLETA</v>
          </cell>
          <cell r="T314" t="str">
            <v>SERRANO SOTO MANUEL</v>
          </cell>
          <cell r="U314" t="str">
            <v>manuel.serrano@oxxo.com</v>
          </cell>
          <cell r="V314">
            <v>56940201885</v>
          </cell>
          <cell r="W314" t="str">
            <v>BENITEZ QUILODRAN HUGO</v>
          </cell>
          <cell r="X314" t="str">
            <v>hugo.benitez@oxxo.com</v>
          </cell>
          <cell r="Y314">
            <v>56998355780</v>
          </cell>
          <cell r="Z314" t="str">
            <v>ANA KAREN VALDES OSORIO</v>
          </cell>
          <cell r="AA314">
            <v>974456630</v>
          </cell>
          <cell r="AL314" t="str">
            <v>12HRS</v>
          </cell>
        </row>
        <row r="315">
          <cell r="E315" t="str">
            <v>OXXO - EX OKM</v>
          </cell>
          <cell r="F315" t="str">
            <v>PROVIDENCIA - CONDELL</v>
          </cell>
          <cell r="G315" t="str">
            <v> AV. PROVIDENCIA 381</v>
          </cell>
          <cell r="H315" t="str">
            <v>PROVIDENCIA</v>
          </cell>
          <cell r="I315" t="str">
            <v>METROPOLITANA</v>
          </cell>
          <cell r="J315" t="str">
            <v>50OPD</v>
          </cell>
          <cell r="K315" t="str">
            <v>okm-providencia@tiendas.oxxo.com</v>
          </cell>
          <cell r="L315" t="str">
            <v>TMCB</v>
          </cell>
          <cell r="M315" t="str">
            <v>BASE</v>
          </cell>
          <cell r="N315" t="str">
            <v>C2</v>
          </cell>
          <cell r="O315" t="str">
            <v>NO</v>
          </cell>
          <cell r="P315" t="str">
            <v>COMPLETA</v>
          </cell>
          <cell r="T315" t="str">
            <v>BRESCIA RIVERA RODRIGO</v>
          </cell>
          <cell r="U315" t="str">
            <v>rodrigo.brescia@oxxo.com</v>
          </cell>
          <cell r="V315">
            <v>56994777909</v>
          </cell>
          <cell r="W315" t="str">
            <v>LOPEZ MEZA LUIS JOSÉ</v>
          </cell>
          <cell r="X315" t="str">
            <v>luis.lopez@oxxo.com</v>
          </cell>
          <cell r="Y315">
            <v>56933740505</v>
          </cell>
          <cell r="Z315" t="str">
            <v>MARCIA ANDREA GOMEZ GONZALEZ</v>
          </cell>
          <cell r="AB315">
            <v>0.29166666666666669</v>
          </cell>
          <cell r="AC315">
            <v>0.91666666666666663</v>
          </cell>
          <cell r="AD315">
            <v>0.29166666666666669</v>
          </cell>
          <cell r="AE315">
            <v>0.91666666666666663</v>
          </cell>
          <cell r="AF315">
            <v>0.33333333333333331</v>
          </cell>
          <cell r="AG315">
            <v>0.91666666666666663</v>
          </cell>
          <cell r="AH315">
            <v>0.39583333333333331</v>
          </cell>
          <cell r="AI315">
            <v>0.84375</v>
          </cell>
          <cell r="AL315" t="str">
            <v>12HRS</v>
          </cell>
          <cell r="AM315" t="str">
            <v>ROBERTO POBLETE</v>
          </cell>
          <cell r="AO315">
            <v>45653</v>
          </cell>
        </row>
        <row r="316">
          <cell r="E316" t="str">
            <v>OXXO</v>
          </cell>
          <cell r="F316" t="str">
            <v>PROVIDENCIA 2</v>
          </cell>
          <cell r="G316" t="str">
            <v>AV.PROVIDENCIA 2382</v>
          </cell>
          <cell r="H316" t="str">
            <v>PROVIDENCIA</v>
          </cell>
          <cell r="I316" t="str">
            <v>METROPOLITANA</v>
          </cell>
          <cell r="J316" t="str">
            <v>50VOR</v>
          </cell>
          <cell r="K316" t="str">
            <v>cl-providencia2@tiendas.oxxo.com</v>
          </cell>
          <cell r="L316" t="str">
            <v>TMCB</v>
          </cell>
          <cell r="M316" t="str">
            <v>RECESO</v>
          </cell>
          <cell r="N316" t="str">
            <v>C2</v>
          </cell>
          <cell r="O316" t="str">
            <v>NO</v>
          </cell>
          <cell r="P316" t="str">
            <v>COMPLETA</v>
          </cell>
          <cell r="Q316" t="str">
            <v>NO</v>
          </cell>
          <cell r="R316" t="str">
            <v>NO</v>
          </cell>
          <cell r="S316" t="str">
            <v>NO</v>
          </cell>
          <cell r="T316" t="str">
            <v>BRESCIA RIVERA RODRIGO</v>
          </cell>
          <cell r="U316" t="str">
            <v>rodrigo.brescia@oxxo.com</v>
          </cell>
          <cell r="V316">
            <v>56994777909</v>
          </cell>
          <cell r="W316" t="str">
            <v>LOPEZ MEZA LUIS JOSÉ</v>
          </cell>
          <cell r="X316" t="str">
            <v>luis.lopez@oxxo.com</v>
          </cell>
          <cell r="Y316">
            <v>56933740505</v>
          </cell>
          <cell r="Z316" t="str">
            <v>SOLANGE MORALES RAMOS</v>
          </cell>
          <cell r="AA316">
            <v>56992197565</v>
          </cell>
          <cell r="AB316">
            <v>0.29166666666666669</v>
          </cell>
          <cell r="AC316">
            <v>0.91666666666666663</v>
          </cell>
          <cell r="AD316">
            <v>0.29166666666666669</v>
          </cell>
          <cell r="AE316">
            <v>0.91666666666666663</v>
          </cell>
          <cell r="AF316">
            <v>0.33333333333333331</v>
          </cell>
          <cell r="AG316">
            <v>0.91666666666666663</v>
          </cell>
          <cell r="AH316">
            <v>0.39583333333333331</v>
          </cell>
          <cell r="AI316">
            <v>0.84375</v>
          </cell>
          <cell r="AJ316">
            <v>0.375</v>
          </cell>
          <cell r="AK316">
            <v>0.9375</v>
          </cell>
          <cell r="AL316" t="str">
            <v>12HRS</v>
          </cell>
          <cell r="AM316" t="str">
            <v>ROBERTO POBLETE</v>
          </cell>
          <cell r="AO316">
            <v>43249</v>
          </cell>
        </row>
        <row r="317">
          <cell r="E317" t="str">
            <v>OKM</v>
          </cell>
          <cell r="F317" t="str">
            <v>OKM SOTERO DEL RIO</v>
          </cell>
          <cell r="G317" t="str">
            <v>SOTERO DEL RIO 322</v>
          </cell>
          <cell r="H317" t="str">
            <v>SANTIAGO</v>
          </cell>
          <cell r="I317" t="str">
            <v>METROPOLITANA</v>
          </cell>
          <cell r="J317" t="str">
            <v>50OSR</v>
          </cell>
          <cell r="K317" t="str">
            <v>okm-soterodelrio@tiendas.oxxo.com</v>
          </cell>
          <cell r="L317" t="str">
            <v>TMCB OKM</v>
          </cell>
          <cell r="M317" t="str">
            <v>RECESO</v>
          </cell>
          <cell r="O317" t="str">
            <v>NO</v>
          </cell>
          <cell r="P317" t="str">
            <v>COMPLETA</v>
          </cell>
          <cell r="T317" t="str">
            <v>SERRANO SOTO MANUEL</v>
          </cell>
          <cell r="U317" t="str">
            <v>manuel.serrano@oxxo.com</v>
          </cell>
          <cell r="V317">
            <v>56940201885</v>
          </cell>
          <cell r="X317" t="str">
            <v/>
          </cell>
          <cell r="Y317" t="str">
            <v/>
          </cell>
          <cell r="Z317" t="str">
            <v>S/I</v>
          </cell>
          <cell r="AL317" t="str">
            <v>12HRS</v>
          </cell>
        </row>
        <row r="318">
          <cell r="E318" t="str">
            <v>OXXO</v>
          </cell>
          <cell r="F318" t="str">
            <v>QUILICURA 1</v>
          </cell>
          <cell r="G318" t="str">
            <v>JOSÉ FRANCISCO VERGARA N409, LOCAL 5</v>
          </cell>
          <cell r="H318" t="str">
            <v>QUILICURA</v>
          </cell>
          <cell r="I318" t="str">
            <v>METROPOLITANA</v>
          </cell>
          <cell r="J318" t="str">
            <v>50UPK</v>
          </cell>
          <cell r="K318" t="str">
            <v>cl-quilicura1@tiendas.oxxo.com</v>
          </cell>
          <cell r="L318" t="str">
            <v>TNM</v>
          </cell>
          <cell r="M318" t="str">
            <v>RECESO</v>
          </cell>
          <cell r="N318" t="str">
            <v>C3</v>
          </cell>
          <cell r="O318" t="str">
            <v>NO</v>
          </cell>
          <cell r="P318" t="str">
            <v>COMPLETA</v>
          </cell>
          <cell r="Q318" t="str">
            <v>NO</v>
          </cell>
          <cell r="R318" t="str">
            <v>SI</v>
          </cell>
          <cell r="S318" t="str">
            <v>NO</v>
          </cell>
          <cell r="T318" t="str">
            <v>BRESCIA RIVERA RODRIGO</v>
          </cell>
          <cell r="U318" t="str">
            <v>rodrigo.brescia@oxxo.com</v>
          </cell>
          <cell r="V318">
            <v>56994777909</v>
          </cell>
          <cell r="W318" t="str">
            <v>PINERUA JAIMES JESUS</v>
          </cell>
          <cell r="X318" t="str">
            <v>jesus.pinerua@oxxo.com</v>
          </cell>
          <cell r="Y318">
            <v>56982335207</v>
          </cell>
          <cell r="Z318" t="str">
            <v>JOSE ALBERTO SUAREZ RIOS</v>
          </cell>
          <cell r="AA318">
            <v>56954331023</v>
          </cell>
          <cell r="AB318">
            <v>0.29166666666666669</v>
          </cell>
          <cell r="AC318">
            <v>0.91666666666666663</v>
          </cell>
          <cell r="AD318">
            <v>0.29166666666666669</v>
          </cell>
          <cell r="AE318">
            <v>0.91666666666666663</v>
          </cell>
          <cell r="AF318">
            <v>0.33333333333333331</v>
          </cell>
          <cell r="AG318">
            <v>0.91666666666666663</v>
          </cell>
          <cell r="AH318">
            <v>0.39583333333333331</v>
          </cell>
          <cell r="AI318">
            <v>0.84375</v>
          </cell>
          <cell r="AJ318">
            <v>0.39583333333333331</v>
          </cell>
          <cell r="AK318">
            <v>0.84375</v>
          </cell>
          <cell r="AL318" t="str">
            <v>12HRS</v>
          </cell>
          <cell r="AM318" t="str">
            <v>PAULA HUERTA</v>
          </cell>
          <cell r="AO318">
            <v>45225</v>
          </cell>
        </row>
        <row r="319">
          <cell r="E319" t="str">
            <v>OKM</v>
          </cell>
          <cell r="F319" t="str">
            <v>OKM PEDRO DE VALDIVIA</v>
          </cell>
          <cell r="G319" t="str">
            <v> PEDRO DE VALDIVIA 3774</v>
          </cell>
          <cell r="H319" t="str">
            <v>ÑUÑOA</v>
          </cell>
          <cell r="I319" t="str">
            <v>METROPOLITANA</v>
          </cell>
          <cell r="J319" t="str">
            <v>50OPV</v>
          </cell>
          <cell r="K319" t="str">
            <v>okm-pedrodevaldivia@tiendas.oxxo.com</v>
          </cell>
          <cell r="L319" t="str">
            <v>TMCB OKM</v>
          </cell>
          <cell r="M319" t="str">
            <v>HOGAR C/FF</v>
          </cell>
          <cell r="N319" t="str">
            <v>ABC1</v>
          </cell>
          <cell r="O319" t="str">
            <v>SI</v>
          </cell>
          <cell r="P319" t="str">
            <v>COMPLETA</v>
          </cell>
          <cell r="T319" t="str">
            <v>SERRANO SOTO MANUEL</v>
          </cell>
          <cell r="U319" t="str">
            <v>manuel.serrano@oxxo.com</v>
          </cell>
          <cell r="V319">
            <v>56940201885</v>
          </cell>
          <cell r="W319" t="str">
            <v>ARAYA BURGOS ARIEL</v>
          </cell>
          <cell r="X319" t="str">
            <v>ariel.araya@oxxo.com</v>
          </cell>
          <cell r="Y319">
            <v>56976232708</v>
          </cell>
          <cell r="Z319" t="str">
            <v>CARLA DEL PILAR CASTILLO LEIVA</v>
          </cell>
          <cell r="AA319">
            <v>56985259686</v>
          </cell>
          <cell r="AL319" t="str">
            <v>12HRS</v>
          </cell>
        </row>
        <row r="320">
          <cell r="E320" t="str">
            <v>OKM</v>
          </cell>
          <cell r="F320" t="str">
            <v>OKM MALL PLAZA OESTE</v>
          </cell>
          <cell r="G320" t="str">
            <v>AMÉRICO VESPUCIO 1501 LOCAL 2081/2077/2073/2069/2065</v>
          </cell>
          <cell r="H320" t="str">
            <v>CERRILLOS</v>
          </cell>
          <cell r="I320" t="str">
            <v>METROPOLITANA</v>
          </cell>
          <cell r="J320" t="str">
            <v>50OMP</v>
          </cell>
          <cell r="K320" t="str">
            <v>okm-mallplazaoeste@tiendas.oxxo.com</v>
          </cell>
          <cell r="L320" t="str">
            <v>TMCB</v>
          </cell>
          <cell r="M320" t="str">
            <v>RECESO</v>
          </cell>
          <cell r="N320" t="str">
            <v>C2</v>
          </cell>
          <cell r="O320" t="str">
            <v>NO</v>
          </cell>
          <cell r="P320" t="str">
            <v>COMPLETA</v>
          </cell>
          <cell r="Q320" t="str">
            <v>NO</v>
          </cell>
          <cell r="R320" t="str">
            <v>NO</v>
          </cell>
          <cell r="S320" t="str">
            <v>NO</v>
          </cell>
          <cell r="T320" t="str">
            <v>SERRANO SOTO MANUEL</v>
          </cell>
          <cell r="U320" t="str">
            <v>manuel.serrano@oxxo.com</v>
          </cell>
          <cell r="V320">
            <v>56940201885</v>
          </cell>
          <cell r="W320" t="str">
            <v>PINERUA JAIMES JESUS</v>
          </cell>
          <cell r="X320" t="str">
            <v>jesus.pinerua@oxxo.com</v>
          </cell>
          <cell r="Y320">
            <v>56982335207</v>
          </cell>
          <cell r="Z320" t="str">
            <v>YANET LILIANA INAL LONCON</v>
          </cell>
          <cell r="AJ320">
            <v>0.375</v>
          </cell>
          <cell r="AK320">
            <v>0.83333333333333337</v>
          </cell>
          <cell r="AL320" t="str">
            <v>12HRS</v>
          </cell>
          <cell r="AM320" t="str">
            <v>PAULA HUERTA</v>
          </cell>
        </row>
        <row r="321">
          <cell r="E321" t="str">
            <v>OXXO - EX OKM</v>
          </cell>
          <cell r="F321" t="str">
            <v>RENACA 2</v>
          </cell>
          <cell r="G321" t="str">
            <v>AV. BORGOÑO 14410</v>
          </cell>
          <cell r="H321" t="str">
            <v>VIÑA DEL MAR</v>
          </cell>
          <cell r="I321" t="str">
            <v>VALPARAISO</v>
          </cell>
          <cell r="J321" t="str">
            <v>50ORM</v>
          </cell>
          <cell r="K321" t="str">
            <v>cl-renaca@tiendas.oxxo.com</v>
          </cell>
          <cell r="L321" t="str">
            <v>TMCB</v>
          </cell>
          <cell r="M321" t="str">
            <v>BASE</v>
          </cell>
          <cell r="N321" t="str">
            <v>C2</v>
          </cell>
          <cell r="O321" t="str">
            <v>SI</v>
          </cell>
          <cell r="P321" t="str">
            <v>COMPLETA</v>
          </cell>
          <cell r="Q321" t="str">
            <v>SI</v>
          </cell>
          <cell r="R321" t="str">
            <v>SI</v>
          </cell>
          <cell r="S321" t="str">
            <v>SI</v>
          </cell>
          <cell r="T321" t="str">
            <v>SESA DIEGO MIGUEL</v>
          </cell>
          <cell r="U321" t="str">
            <v>diego.sesa@oxxo.com</v>
          </cell>
          <cell r="V321">
            <v>56954238682</v>
          </cell>
          <cell r="W321" t="str">
            <v>ESCOBAR VALDES VALESKA SOLEDAD</v>
          </cell>
          <cell r="X321" t="str">
            <v>valeska.escobar@oxxo.com</v>
          </cell>
          <cell r="Y321">
            <v>56961681492</v>
          </cell>
          <cell r="Z321" t="str">
            <v>CARLOS MATIAS DIAZ MEDINA</v>
          </cell>
          <cell r="AA321">
            <v>56953762930</v>
          </cell>
          <cell r="AB321">
            <v>0</v>
          </cell>
          <cell r="AC321">
            <v>0.99930555555555556</v>
          </cell>
          <cell r="AD321">
            <v>0</v>
          </cell>
          <cell r="AE321">
            <v>0.99930555555555556</v>
          </cell>
          <cell r="AF321">
            <v>0</v>
          </cell>
          <cell r="AG321">
            <v>0.99930555555555556</v>
          </cell>
          <cell r="AH321">
            <v>0</v>
          </cell>
          <cell r="AI321">
            <v>0.99930555555555556</v>
          </cell>
          <cell r="AJ321">
            <v>0</v>
          </cell>
          <cell r="AK321">
            <v>0.99930555555555556</v>
          </cell>
          <cell r="AL321" t="str">
            <v>24HRS</v>
          </cell>
          <cell r="AM321" t="str">
            <v>ROBERTO POBLETE</v>
          </cell>
          <cell r="AO321">
            <v>45203</v>
          </cell>
        </row>
        <row r="322">
          <cell r="E322" t="str">
            <v>OXXO - EX OKM</v>
          </cell>
          <cell r="F322" t="str">
            <v>TEATINOS</v>
          </cell>
          <cell r="G322" t="str">
            <v>TEATINOS 257</v>
          </cell>
          <cell r="H322" t="str">
            <v>SANTIAGO</v>
          </cell>
          <cell r="I322" t="str">
            <v>METROPOLITANA</v>
          </cell>
          <cell r="J322" t="str">
            <v>50OTE</v>
          </cell>
          <cell r="K322" t="str">
            <v>cl-teatinos@tiendas.oxxo.com</v>
          </cell>
          <cell r="L322" t="str">
            <v>TMCB OKM</v>
          </cell>
          <cell r="M322" t="str">
            <v>RECESO</v>
          </cell>
          <cell r="N322" t="str">
            <v>C3</v>
          </cell>
          <cell r="O322" t="str">
            <v>NO</v>
          </cell>
          <cell r="P322" t="str">
            <v>COMPLETA</v>
          </cell>
          <cell r="T322" t="str">
            <v>SERRANO SOTO MANUEL</v>
          </cell>
          <cell r="U322" t="str">
            <v>manuel.serrano@oxxo.com</v>
          </cell>
          <cell r="V322">
            <v>56940201885</v>
          </cell>
          <cell r="W322" t="str">
            <v>LOPEZ CALDERON LUIS GERARDO</v>
          </cell>
          <cell r="X322" t="str">
            <v/>
          </cell>
          <cell r="Y322" t="str">
            <v/>
          </cell>
          <cell r="Z322" t="str">
            <v>JASNA DEBORA SAEZ MARDONES</v>
          </cell>
          <cell r="AA322">
            <v>992798500</v>
          </cell>
          <cell r="AL322" t="str">
            <v>12HRS</v>
          </cell>
          <cell r="AO322">
            <v>45342</v>
          </cell>
        </row>
        <row r="323">
          <cell r="E323" t="str">
            <v>OXXO - EX OKM</v>
          </cell>
          <cell r="F323" t="str">
            <v>HAMBURGO 2</v>
          </cell>
          <cell r="G323" t="str">
            <v> TOBALABA 5151, LOCAL 107</v>
          </cell>
          <cell r="H323" t="str">
            <v>ÑUÑOA</v>
          </cell>
          <cell r="I323" t="str">
            <v>METROPOLITANA</v>
          </cell>
          <cell r="J323" t="str">
            <v>50OHT</v>
          </cell>
          <cell r="K323" t="str">
            <v>cl-hamburgo2@tiendas.oxxo.com</v>
          </cell>
          <cell r="L323" t="str">
            <v>TMCB OKM</v>
          </cell>
          <cell r="M323" t="str">
            <v>HOGAR C/FF</v>
          </cell>
          <cell r="N323" t="str">
            <v>ABC1</v>
          </cell>
          <cell r="O323" t="str">
            <v>NO</v>
          </cell>
          <cell r="P323" t="str">
            <v>COMPLETA</v>
          </cell>
          <cell r="T323" t="str">
            <v>SERRANO SOTO MANUEL</v>
          </cell>
          <cell r="U323" t="str">
            <v>manuel.serrano@oxxo.com</v>
          </cell>
          <cell r="V323">
            <v>56940201885</v>
          </cell>
          <cell r="W323" t="str">
            <v>LOPEZ CALDERON LUIS GERARDO</v>
          </cell>
          <cell r="X323" t="str">
            <v/>
          </cell>
          <cell r="Y323" t="str">
            <v/>
          </cell>
          <cell r="Z323" t="str">
            <v>LUCIANA YAMILA MOLINA CARRASCO</v>
          </cell>
          <cell r="AL323" t="str">
            <v>12HRS</v>
          </cell>
          <cell r="AO323">
            <v>45363</v>
          </cell>
        </row>
        <row r="324">
          <cell r="E324" t="str">
            <v>OXXO - EX OKM</v>
          </cell>
          <cell r="F324" t="str">
            <v>GRAN AVENIDA</v>
          </cell>
          <cell r="G324" t="str">
            <v>GRAN AVENIDA JOSÉ MIGUEL CARRERA 5001</v>
          </cell>
          <cell r="H324" t="str">
            <v>SAN MIGUEL</v>
          </cell>
          <cell r="I324" t="str">
            <v>METROPOLITANA</v>
          </cell>
          <cell r="J324" t="str">
            <v>50OGA</v>
          </cell>
          <cell r="K324" t="str">
            <v>cl-granavenida@tiendas.oxxo.com</v>
          </cell>
          <cell r="L324" t="str">
            <v>TNM</v>
          </cell>
          <cell r="M324" t="str">
            <v>RECESO</v>
          </cell>
          <cell r="O324" t="str">
            <v>NO</v>
          </cell>
          <cell r="P324" t="str">
            <v>COMPLETA</v>
          </cell>
          <cell r="T324" t="str">
            <v>SERRANO SOTO MANUEL</v>
          </cell>
          <cell r="U324" t="str">
            <v>manuel.serrano@oxxo.com</v>
          </cell>
          <cell r="V324">
            <v>56940201885</v>
          </cell>
          <cell r="X324" t="str">
            <v/>
          </cell>
          <cell r="Y324" t="str">
            <v/>
          </cell>
          <cell r="Z324" t="str">
            <v>S/I</v>
          </cell>
          <cell r="AL324" t="str">
            <v>12HRS</v>
          </cell>
          <cell r="AO324">
            <v>45170</v>
          </cell>
        </row>
        <row r="325">
          <cell r="E325" t="str">
            <v>OXXO</v>
          </cell>
          <cell r="F325" t="str">
            <v>RENATO SANCHEZ</v>
          </cell>
          <cell r="G325" t="str">
            <v>ASTURIAS N350, LOCAL 101</v>
          </cell>
          <cell r="H325" t="str">
            <v>LAS CONDES</v>
          </cell>
          <cell r="I325" t="str">
            <v>METROPOLITANA</v>
          </cell>
          <cell r="J325" t="str">
            <v>50GXO</v>
          </cell>
          <cell r="K325" t="str">
            <v>cl-renatosanchez@tiendas.oxxo.com</v>
          </cell>
          <cell r="L325" t="str">
            <v>TMCB</v>
          </cell>
          <cell r="M325" t="str">
            <v>BASE</v>
          </cell>
          <cell r="N325" t="str">
            <v>C2</v>
          </cell>
          <cell r="O325" t="str">
            <v>NO</v>
          </cell>
          <cell r="P325" t="str">
            <v>COMPLETA</v>
          </cell>
          <cell r="Q325" t="str">
            <v>NO</v>
          </cell>
          <cell r="R325" t="str">
            <v>NO</v>
          </cell>
          <cell r="S325" t="str">
            <v>NO</v>
          </cell>
          <cell r="T325" t="str">
            <v>BRESCIA RIVERA RODRIGO</v>
          </cell>
          <cell r="U325" t="str">
            <v>rodrigo.brescia@oxxo.com</v>
          </cell>
          <cell r="V325">
            <v>56994777909</v>
          </cell>
          <cell r="W325" t="str">
            <v>MONTT FUENTES JAIME IGNACIO</v>
          </cell>
          <cell r="X325" t="str">
            <v>jaime.montt@oxxo.com</v>
          </cell>
          <cell r="Y325">
            <v>56974820182</v>
          </cell>
          <cell r="Z325" t="str">
            <v>LUZNANYI DE LOS ANGELES SARMIENTO MATA</v>
          </cell>
          <cell r="AB325">
            <v>0.29166666666666669</v>
          </cell>
          <cell r="AC325">
            <v>0.91666666666666663</v>
          </cell>
          <cell r="AD325">
            <v>0.29166666666666669</v>
          </cell>
          <cell r="AE325">
            <v>0.91666666666666663</v>
          </cell>
          <cell r="AF325">
            <v>0.33333333333333331</v>
          </cell>
          <cell r="AG325">
            <v>0.91666666666666663</v>
          </cell>
          <cell r="AH325">
            <v>0.39583333333333331</v>
          </cell>
          <cell r="AI325">
            <v>0.84375</v>
          </cell>
          <cell r="AJ325">
            <v>0.375</v>
          </cell>
          <cell r="AK325">
            <v>0.9375</v>
          </cell>
          <cell r="AL325" t="str">
            <v>12HRS</v>
          </cell>
          <cell r="AM325" t="str">
            <v>PAULA HUERTA</v>
          </cell>
          <cell r="AO325">
            <v>45015</v>
          </cell>
        </row>
        <row r="326">
          <cell r="E326" t="str">
            <v>OXXO - EX OKM</v>
          </cell>
          <cell r="F326" t="str">
            <v>REPUBLICA</v>
          </cell>
          <cell r="G326" t="str">
            <v>REPÚBLICA 48</v>
          </cell>
          <cell r="H326" t="str">
            <v>SANTIAGO</v>
          </cell>
          <cell r="I326" t="str">
            <v>METROPOLITANA</v>
          </cell>
          <cell r="J326" t="str">
            <v>50ORP</v>
          </cell>
          <cell r="K326" t="str">
            <v>cl-republica@tiendas.oxxo.com</v>
          </cell>
          <cell r="L326" t="str">
            <v>TMCB</v>
          </cell>
          <cell r="M326" t="str">
            <v>RECESO</v>
          </cell>
          <cell r="N326" t="str">
            <v>C3</v>
          </cell>
          <cell r="O326" t="str">
            <v>NO</v>
          </cell>
          <cell r="P326" t="str">
            <v>COMPLETA</v>
          </cell>
          <cell r="Q326" t="str">
            <v>NO</v>
          </cell>
          <cell r="R326" t="str">
            <v>NO</v>
          </cell>
          <cell r="S326" t="str">
            <v>NO</v>
          </cell>
          <cell r="T326" t="str">
            <v>BRESCIA RIVERA RODRIGO</v>
          </cell>
          <cell r="U326" t="str">
            <v>rodrigo.brescia@oxxo.com</v>
          </cell>
          <cell r="V326">
            <v>56994777909</v>
          </cell>
          <cell r="W326" t="str">
            <v>LIAZ MONTERO GABRIEL</v>
          </cell>
          <cell r="X326" t="str">
            <v>gabriel.liaz@oxxo.com</v>
          </cell>
          <cell r="Y326">
            <v>56964735260</v>
          </cell>
          <cell r="Z326" t="str">
            <v>PAULINA ALEJANDRA STURIONE FREDES</v>
          </cell>
          <cell r="AA326">
            <v>56994437717</v>
          </cell>
          <cell r="AB326">
            <v>0.29166666666666669</v>
          </cell>
          <cell r="AC326">
            <v>0.875</v>
          </cell>
          <cell r="AD326">
            <v>0.29166666666666669</v>
          </cell>
          <cell r="AE326">
            <v>0.875</v>
          </cell>
          <cell r="AF326">
            <v>0.33333333333333331</v>
          </cell>
          <cell r="AG326">
            <v>0.875</v>
          </cell>
          <cell r="AH326">
            <v>0.39583333333333331</v>
          </cell>
          <cell r="AI326">
            <v>0.84375</v>
          </cell>
          <cell r="AJ326">
            <v>0.375</v>
          </cell>
          <cell r="AK326">
            <v>0.75</v>
          </cell>
          <cell r="AL326" t="str">
            <v>12HRS</v>
          </cell>
          <cell r="AM326" t="str">
            <v>PAULA HUERTA</v>
          </cell>
          <cell r="AO326">
            <v>45355</v>
          </cell>
        </row>
        <row r="327">
          <cell r="E327" t="str">
            <v>OXXO - EX OKM</v>
          </cell>
          <cell r="F327" t="str">
            <v>RIESCO 2</v>
          </cell>
          <cell r="G327" t="str">
            <v> BENJAMIN RIESCO 2965</v>
          </cell>
          <cell r="H327" t="str">
            <v>LAS CONDES</v>
          </cell>
          <cell r="I327" t="str">
            <v>METROPOLITANA</v>
          </cell>
          <cell r="J327" t="str">
            <v>50ORI</v>
          </cell>
          <cell r="K327" t="str">
            <v>cl-riesco2@tiendas.oxxo.com</v>
          </cell>
          <cell r="L327" t="str">
            <v>TMCB</v>
          </cell>
          <cell r="M327" t="str">
            <v>HOGAR</v>
          </cell>
          <cell r="N327" t="str">
            <v>ABC1</v>
          </cell>
          <cell r="O327" t="str">
            <v>NO</v>
          </cell>
          <cell r="P327" t="str">
            <v>COMPLETA</v>
          </cell>
          <cell r="Q327" t="str">
            <v>NO</v>
          </cell>
          <cell r="R327" t="str">
            <v>NO</v>
          </cell>
          <cell r="S327" t="str">
            <v>NO</v>
          </cell>
          <cell r="T327" t="str">
            <v>BRESCIA RIVERA RODRIGO</v>
          </cell>
          <cell r="U327" t="str">
            <v>rodrigo.brescia@oxxo.com</v>
          </cell>
          <cell r="V327">
            <v>56994777909</v>
          </cell>
          <cell r="W327" t="str">
            <v>MONTT FUENTES JAIME IGNACIO</v>
          </cell>
          <cell r="X327" t="str">
            <v>jaime.montt@oxxo.com</v>
          </cell>
          <cell r="Y327">
            <v>56974820182</v>
          </cell>
          <cell r="Z327" t="str">
            <v>BLANCA OLIVA MURA CARRASCO</v>
          </cell>
          <cell r="AA327">
            <v>56958134524</v>
          </cell>
          <cell r="AB327">
            <v>0.29166666666666669</v>
          </cell>
          <cell r="AC327">
            <v>0.91666666666666663</v>
          </cell>
          <cell r="AD327">
            <v>0.29166666666666669</v>
          </cell>
          <cell r="AE327">
            <v>0.91666666666666663</v>
          </cell>
          <cell r="AF327">
            <v>0.33333333333333331</v>
          </cell>
          <cell r="AG327">
            <v>0.91666666666666663</v>
          </cell>
          <cell r="AH327">
            <v>0.39583333333333331</v>
          </cell>
          <cell r="AI327">
            <v>0.91666666666666663</v>
          </cell>
          <cell r="AJ327">
            <v>0.375</v>
          </cell>
          <cell r="AK327">
            <v>0.91666666666666663</v>
          </cell>
          <cell r="AL327" t="str">
            <v>12HRS</v>
          </cell>
          <cell r="AM327" t="str">
            <v>PAULA HUERTA</v>
          </cell>
          <cell r="AO327">
            <v>45369</v>
          </cell>
        </row>
        <row r="328">
          <cell r="E328" t="str">
            <v>OKM</v>
          </cell>
          <cell r="F328" t="str">
            <v>OKM AIEP SAN JOAQUIN</v>
          </cell>
          <cell r="G328" t="str">
            <v>VICUÑA MACKENNA 4665</v>
          </cell>
          <cell r="H328" t="str">
            <v>SAN JOAQUÍN</v>
          </cell>
          <cell r="I328" t="str">
            <v>METROPOLITANA</v>
          </cell>
          <cell r="J328" t="str">
            <v>50OSJ</v>
          </cell>
          <cell r="K328" t="str">
            <v>okm-aiepsanjoaquin@tiendas.oxxo.com</v>
          </cell>
          <cell r="L328" t="str">
            <v>TMCB OKM</v>
          </cell>
          <cell r="M328" t="str">
            <v>RECESO</v>
          </cell>
          <cell r="O328" t="str">
            <v>NO</v>
          </cell>
          <cell r="P328" t="str">
            <v>COMPLETA</v>
          </cell>
          <cell r="T328" t="str">
            <v>SERRANO SOTO MANUEL</v>
          </cell>
          <cell r="U328" t="str">
            <v>manuel.serrano@oxxo.com</v>
          </cell>
          <cell r="V328">
            <v>56940201885</v>
          </cell>
          <cell r="X328" t="str">
            <v/>
          </cell>
          <cell r="Y328" t="str">
            <v/>
          </cell>
          <cell r="Z328" t="str">
            <v>S/I</v>
          </cell>
          <cell r="AL328" t="str">
            <v>12HRS</v>
          </cell>
        </row>
        <row r="329">
          <cell r="E329" t="str">
            <v>OXXO - EX OKM</v>
          </cell>
          <cell r="F329" t="str">
            <v>AIEP GRAJALES</v>
          </cell>
          <cell r="G329" t="str">
            <v>GRAJALES 2550</v>
          </cell>
          <cell r="H329" t="str">
            <v>SANTIAGO</v>
          </cell>
          <cell r="I329" t="str">
            <v>METROPOLITANA</v>
          </cell>
          <cell r="J329" t="str">
            <v>50OAG</v>
          </cell>
          <cell r="K329" t="str">
            <v>cl-aiepgrajales@tiendas.oxxo.com</v>
          </cell>
          <cell r="L329" t="str">
            <v>TMCB OKM</v>
          </cell>
          <cell r="M329" t="str">
            <v>RECESO</v>
          </cell>
          <cell r="N329" t="str">
            <v>C2</v>
          </cell>
          <cell r="O329" t="str">
            <v>NO</v>
          </cell>
          <cell r="P329" t="str">
            <v>COMPLETA</v>
          </cell>
          <cell r="T329" t="str">
            <v>SERRANO SOTO MANUEL</v>
          </cell>
          <cell r="U329" t="str">
            <v>manuel.serrano@oxxo.com</v>
          </cell>
          <cell r="V329">
            <v>56940201885</v>
          </cell>
          <cell r="X329" t="str">
            <v/>
          </cell>
          <cell r="Y329" t="str">
            <v/>
          </cell>
          <cell r="Z329" t="str">
            <v>YETSABEL RAMIREZ VARGAS</v>
          </cell>
          <cell r="AA329">
            <v>56947711523</v>
          </cell>
          <cell r="AL329" t="str">
            <v>12HRS</v>
          </cell>
          <cell r="AO329">
            <v>45140</v>
          </cell>
        </row>
        <row r="330">
          <cell r="E330" t="str">
            <v>OXXO - EX OKM</v>
          </cell>
          <cell r="F330" t="str">
            <v>BOULEVARD DEL SOL</v>
          </cell>
          <cell r="G330" t="str">
            <v>AVDA BENIDORM 960</v>
          </cell>
          <cell r="H330" t="str">
            <v>VIÑA DEL MAR</v>
          </cell>
          <cell r="I330" t="str">
            <v>VALPARAISO</v>
          </cell>
          <cell r="J330" t="str">
            <v>50OBS</v>
          </cell>
          <cell r="K330" t="str">
            <v>cl-boulevarddelsol@tiendas.oxxo.com</v>
          </cell>
          <cell r="L330" t="str">
            <v>TMCB OKM</v>
          </cell>
          <cell r="M330" t="str">
            <v>HOGAR</v>
          </cell>
          <cell r="N330" t="str">
            <v>C2</v>
          </cell>
          <cell r="O330" t="str">
            <v>NO</v>
          </cell>
          <cell r="P330" t="str">
            <v>COMPLETA</v>
          </cell>
          <cell r="T330" t="str">
            <v>SERRANO SOTO MANUEL</v>
          </cell>
          <cell r="U330" t="str">
            <v>manuel.serrano@oxxo.com</v>
          </cell>
          <cell r="V330">
            <v>56940201885</v>
          </cell>
          <cell r="W330" t="str">
            <v>ESCOBAR VALDES VALESKA SOLEDAD</v>
          </cell>
          <cell r="X330" t="str">
            <v>valeska.escobar@oxxo.com</v>
          </cell>
          <cell r="Y330">
            <v>56961681492</v>
          </cell>
          <cell r="Z330" t="str">
            <v>S/I</v>
          </cell>
          <cell r="AL330" t="str">
            <v>12HRS</v>
          </cell>
          <cell r="AO330">
            <v>45267</v>
          </cell>
        </row>
        <row r="331">
          <cell r="E331" t="str">
            <v>OXXO</v>
          </cell>
          <cell r="F331" t="str">
            <v>ROSARIO NORTE</v>
          </cell>
          <cell r="G331" t="str">
            <v>ROSARIO NORTE 20. LOCAL B</v>
          </cell>
          <cell r="H331" t="str">
            <v>LAS CONDES</v>
          </cell>
          <cell r="I331" t="str">
            <v>METROPOLITANA</v>
          </cell>
          <cell r="J331" t="str">
            <v>50RNT</v>
          </cell>
          <cell r="K331" t="str">
            <v>cl-rosarionorte@tiendas.oxxo.com</v>
          </cell>
          <cell r="L331" t="str">
            <v>TMCB</v>
          </cell>
          <cell r="M331" t="str">
            <v>RECESO</v>
          </cell>
          <cell r="N331" t="str">
            <v>ABC1</v>
          </cell>
          <cell r="O331" t="str">
            <v>NO</v>
          </cell>
          <cell r="P331" t="str">
            <v>COMPLETA</v>
          </cell>
          <cell r="Q331" t="str">
            <v>NO</v>
          </cell>
          <cell r="R331" t="str">
            <v>NO</v>
          </cell>
          <cell r="S331" t="str">
            <v>NO</v>
          </cell>
          <cell r="T331" t="str">
            <v>SESA DIEGO MIGUEL</v>
          </cell>
          <cell r="U331" t="str">
            <v>diego.sesa@oxxo.com</v>
          </cell>
          <cell r="V331">
            <v>56954238682</v>
          </cell>
          <cell r="W331" t="str">
            <v>GAMERRE URZUA CECILIA</v>
          </cell>
          <cell r="X331" t="str">
            <v>cecilia.gamerre@oxxo.com</v>
          </cell>
          <cell r="Y331">
            <v>56992076485</v>
          </cell>
          <cell r="Z331" t="str">
            <v>GLORIA GLADIS MEDINA ROMANI</v>
          </cell>
          <cell r="AA331">
            <v>56991329062</v>
          </cell>
          <cell r="AB331">
            <v>0.25</v>
          </cell>
          <cell r="AC331">
            <v>0.95833333333333337</v>
          </cell>
          <cell r="AD331">
            <v>0.25</v>
          </cell>
          <cell r="AE331">
            <v>0.99305555555555558</v>
          </cell>
          <cell r="AF331">
            <v>0.33333333333333331</v>
          </cell>
          <cell r="AG331">
            <v>0.99305555555555558</v>
          </cell>
          <cell r="AH331">
            <v>0.39583333333333331</v>
          </cell>
          <cell r="AI331">
            <v>0.88541666666666663</v>
          </cell>
          <cell r="AJ331">
            <v>0.375</v>
          </cell>
          <cell r="AK331">
            <v>0.95833333333333337</v>
          </cell>
          <cell r="AL331" t="str">
            <v>12HRS</v>
          </cell>
          <cell r="AM331" t="str">
            <v>PAULA HUERTA</v>
          </cell>
          <cell r="AO331">
            <v>44106</v>
          </cell>
        </row>
        <row r="332">
          <cell r="E332" t="str">
            <v>OXXO - EX OKM</v>
          </cell>
          <cell r="F332" t="str">
            <v>ALVAREZ</v>
          </cell>
          <cell r="G332" t="str">
            <v>CALLE ALVAREZ 646</v>
          </cell>
          <cell r="H332" t="str">
            <v>VIÑA DEL MAR</v>
          </cell>
          <cell r="I332" t="str">
            <v>VALPARAISO</v>
          </cell>
          <cell r="J332" t="str">
            <v>50OAZ</v>
          </cell>
          <cell r="K332" t="str">
            <v>cl-alvarez@tiendas.oxxo.com</v>
          </cell>
          <cell r="L332" t="str">
            <v>TMCB OKM</v>
          </cell>
          <cell r="M332" t="str">
            <v>RECESO</v>
          </cell>
          <cell r="N332" t="str">
            <v>C2</v>
          </cell>
          <cell r="O332" t="str">
            <v>NO</v>
          </cell>
          <cell r="P332" t="str">
            <v>COMPLETA</v>
          </cell>
          <cell r="T332" t="str">
            <v>SERRANO SOTO MANUEL</v>
          </cell>
          <cell r="U332" t="str">
            <v>manuel.serrano@oxxo.com</v>
          </cell>
          <cell r="V332">
            <v>56940201885</v>
          </cell>
          <cell r="X332" t="str">
            <v/>
          </cell>
          <cell r="Y332" t="str">
            <v/>
          </cell>
          <cell r="Z332" t="str">
            <v>YASNA AGUAYO CARRILLO</v>
          </cell>
          <cell r="AA332">
            <v>971639009</v>
          </cell>
          <cell r="AL332" t="str">
            <v>12HRS</v>
          </cell>
          <cell r="AO332">
            <v>45260</v>
          </cell>
        </row>
        <row r="333">
          <cell r="E333" t="str">
            <v>OXXO - EX OKM</v>
          </cell>
          <cell r="F333" t="str">
            <v>CAMINO REAL</v>
          </cell>
          <cell r="G333" t="str">
            <v>CALLE CAMINO REAL 1901 RECREO</v>
          </cell>
          <cell r="H333" t="str">
            <v>VALPARAÍSO</v>
          </cell>
          <cell r="I333" t="str">
            <v>VALPARAISO</v>
          </cell>
          <cell r="J333" t="str">
            <v>50ORE</v>
          </cell>
          <cell r="K333" t="str">
            <v>cl-caminoreal@tiendas.oxxo.com</v>
          </cell>
          <cell r="L333" t="str">
            <v>TMCB OKM</v>
          </cell>
          <cell r="M333" t="str">
            <v>HOGAR C/FF</v>
          </cell>
          <cell r="N333" t="str">
            <v>C2</v>
          </cell>
          <cell r="O333" t="str">
            <v>NO</v>
          </cell>
          <cell r="P333" t="str">
            <v>COMPLETA</v>
          </cell>
          <cell r="T333" t="str">
            <v>SERRANO SOTO MANUEL</v>
          </cell>
          <cell r="U333" t="str">
            <v>manuel.serrano@oxxo.com</v>
          </cell>
          <cell r="V333">
            <v>56940201885</v>
          </cell>
          <cell r="X333" t="str">
            <v/>
          </cell>
          <cell r="Y333" t="str">
            <v/>
          </cell>
          <cell r="Z333" t="str">
            <v>ELIAS AARON GUERRA GONZALEZ</v>
          </cell>
          <cell r="AA333">
            <v>983192422</v>
          </cell>
          <cell r="AL333" t="str">
            <v>12HRS</v>
          </cell>
          <cell r="AO333">
            <v>45267</v>
          </cell>
        </row>
        <row r="334">
          <cell r="E334" t="str">
            <v>OXXO - EX OKM</v>
          </cell>
          <cell r="F334" t="str">
            <v>ROSARIO NORTE 2</v>
          </cell>
          <cell r="G334" t="str">
            <v> ROSARIO NORTE 530 , LOCALES 104,105 Y106</v>
          </cell>
          <cell r="H334" t="str">
            <v>LAS CONDES</v>
          </cell>
          <cell r="I334" t="str">
            <v>METROPOLITANA</v>
          </cell>
          <cell r="J334" t="str">
            <v>50ORN</v>
          </cell>
          <cell r="K334" t="str">
            <v>cl-rosarionorte2@tiendas.oxxo.com</v>
          </cell>
          <cell r="L334" t="str">
            <v>TMCB</v>
          </cell>
          <cell r="M334" t="str">
            <v>RECESO</v>
          </cell>
          <cell r="N334" t="str">
            <v>ABC1</v>
          </cell>
          <cell r="O334" t="str">
            <v>NO</v>
          </cell>
          <cell r="P334" t="str">
            <v>COMPLETA</v>
          </cell>
          <cell r="Q334" t="str">
            <v>NO</v>
          </cell>
          <cell r="R334" t="str">
            <v>NO</v>
          </cell>
          <cell r="S334" t="str">
            <v>NO</v>
          </cell>
          <cell r="T334" t="str">
            <v>BRESCIA RIVERA RODRIGO</v>
          </cell>
          <cell r="U334" t="str">
            <v>rodrigo.brescia@oxxo.com</v>
          </cell>
          <cell r="V334">
            <v>56994777909</v>
          </cell>
          <cell r="W334" t="str">
            <v>MONTT FUENTES JAIME IGNACIO</v>
          </cell>
          <cell r="X334" t="str">
            <v>jaime.montt@oxxo.com</v>
          </cell>
          <cell r="Y334">
            <v>56974820182</v>
          </cell>
          <cell r="Z334" t="str">
            <v>ERICK DANIEL DIAZ RODRIGUEZ</v>
          </cell>
          <cell r="AA334">
            <v>56976100055</v>
          </cell>
          <cell r="AB334">
            <v>0.29166666666666669</v>
          </cell>
          <cell r="AC334">
            <v>0.91666666666666663</v>
          </cell>
          <cell r="AD334">
            <v>0.29166666666666669</v>
          </cell>
          <cell r="AE334">
            <v>0.91666666666666663</v>
          </cell>
          <cell r="AF334">
            <v>0.33333333333333331</v>
          </cell>
          <cell r="AG334">
            <v>0.91666666666666663</v>
          </cell>
          <cell r="AH334">
            <v>0.39583333333333331</v>
          </cell>
          <cell r="AI334">
            <v>0.84375</v>
          </cell>
          <cell r="AJ334">
            <v>0.39583333333333331</v>
          </cell>
          <cell r="AK334">
            <v>0.84375</v>
          </cell>
          <cell r="AL334" t="str">
            <v>12HRS</v>
          </cell>
          <cell r="AM334" t="str">
            <v>PAULA HUERTA</v>
          </cell>
          <cell r="AO334">
            <v>45477</v>
          </cell>
        </row>
        <row r="335">
          <cell r="E335" t="str">
            <v>OXXO - EX OKM</v>
          </cell>
          <cell r="F335" t="str">
            <v>ARAUCO ESTACION</v>
          </cell>
          <cell r="G335" t="str">
            <v>AV. LIBERTADOR BERNARDO OHIGGINS 3156 LOC. 32D-38D</v>
          </cell>
          <cell r="H335" t="str">
            <v>ESTACIÓN CENTRAL</v>
          </cell>
          <cell r="I335" t="str">
            <v>METROPOLITANA</v>
          </cell>
          <cell r="J335" t="str">
            <v>50OAE</v>
          </cell>
          <cell r="K335" t="str">
            <v>cl-araucoestacion@tiendas.oxxo.com</v>
          </cell>
          <cell r="L335" t="str">
            <v>TMCB OKM</v>
          </cell>
          <cell r="M335" t="str">
            <v>RECESO</v>
          </cell>
          <cell r="N335" t="str">
            <v>C3</v>
          </cell>
          <cell r="O335" t="str">
            <v>NO</v>
          </cell>
          <cell r="P335" t="str">
            <v>COMPLETA</v>
          </cell>
          <cell r="T335" t="str">
            <v>SERRANO SOTO MANUEL</v>
          </cell>
          <cell r="U335" t="str">
            <v>manuel.serrano@oxxo.com</v>
          </cell>
          <cell r="V335">
            <v>56940201885</v>
          </cell>
          <cell r="X335" t="str">
            <v/>
          </cell>
          <cell r="Y335" t="str">
            <v/>
          </cell>
          <cell r="Z335" t="str">
            <v>LUIS ANTONIO CAYUQUEO ROJAS</v>
          </cell>
          <cell r="AA335">
            <v>56958058544</v>
          </cell>
          <cell r="AL335" t="str">
            <v>12HRS</v>
          </cell>
          <cell r="AO335">
            <v>45251</v>
          </cell>
        </row>
        <row r="336">
          <cell r="E336" t="str">
            <v>OKM</v>
          </cell>
          <cell r="F336" t="str">
            <v>OKM INMACULADA</v>
          </cell>
          <cell r="G336" t="str">
            <v>ANIBAL PINTO 360 LOCAL 2</v>
          </cell>
          <cell r="H336" t="str">
            <v>CONCEPCIÓN</v>
          </cell>
          <cell r="I336" t="str">
            <v>BIOBIO</v>
          </cell>
          <cell r="J336" t="str">
            <v>50OTI</v>
          </cell>
          <cell r="K336" t="str">
            <v>okm-inmaculadacl@tiendas.oxxo.com</v>
          </cell>
          <cell r="L336" t="str">
            <v>TMCB</v>
          </cell>
          <cell r="M336" t="str">
            <v>RECESO</v>
          </cell>
          <cell r="N336" t="str">
            <v>C2</v>
          </cell>
          <cell r="O336" t="str">
            <v>NO</v>
          </cell>
          <cell r="P336" t="str">
            <v>COMPLETA</v>
          </cell>
          <cell r="Q336" t="str">
            <v>NO</v>
          </cell>
          <cell r="R336" t="str">
            <v>NO</v>
          </cell>
          <cell r="S336" t="str">
            <v>NO</v>
          </cell>
          <cell r="T336" t="str">
            <v>SESA DIEGO MIGUEL</v>
          </cell>
          <cell r="U336" t="str">
            <v>diego.sesa@oxxo.com</v>
          </cell>
          <cell r="V336">
            <v>56954238682</v>
          </cell>
          <cell r="W336" t="str">
            <v>ZAMBRANO JARA CAROLINA GRACIELA</v>
          </cell>
          <cell r="X336" t="str">
            <v>carolina.zambrano@oxxo.com</v>
          </cell>
          <cell r="Y336">
            <v>56964950188</v>
          </cell>
          <cell r="Z336" t="str">
            <v>MONICA COLIPI SAEZ</v>
          </cell>
          <cell r="AA336">
            <v>958769574</v>
          </cell>
          <cell r="AJ336">
            <v>0</v>
          </cell>
          <cell r="AK336">
            <v>0</v>
          </cell>
          <cell r="AL336" t="str">
            <v>12HRS</v>
          </cell>
          <cell r="AM336" t="str">
            <v>CRISTOBAL AGUILERA</v>
          </cell>
        </row>
        <row r="337">
          <cell r="E337" t="str">
            <v>OKM</v>
          </cell>
          <cell r="F337" t="str">
            <v>OKM LYON</v>
          </cell>
          <cell r="G337" t="str">
            <v>RICARDO LYON 67</v>
          </cell>
          <cell r="H337" t="str">
            <v>PROVIDENCIA</v>
          </cell>
          <cell r="I337" t="str">
            <v>METROPOLITANA</v>
          </cell>
          <cell r="J337" t="str">
            <v>50ORY</v>
          </cell>
          <cell r="K337" t="str">
            <v>okm-lyoncl@tiendas.oxxo.com</v>
          </cell>
          <cell r="L337" t="str">
            <v>TMCB OKM</v>
          </cell>
          <cell r="M337" t="str">
            <v>HOGAR C/FF</v>
          </cell>
          <cell r="O337" t="str">
            <v>NO</v>
          </cell>
          <cell r="P337" t="str">
            <v>COMPLETA</v>
          </cell>
          <cell r="T337" t="str">
            <v>SERRANO SOTO MANUEL</v>
          </cell>
          <cell r="U337" t="str">
            <v>manuel.serrano@oxxo.com</v>
          </cell>
          <cell r="V337">
            <v>56940201885</v>
          </cell>
          <cell r="X337" t="str">
            <v/>
          </cell>
          <cell r="Y337" t="str">
            <v/>
          </cell>
          <cell r="Z337" t="str">
            <v>S/I</v>
          </cell>
          <cell r="AL337" t="str">
            <v>12HRS</v>
          </cell>
        </row>
        <row r="338">
          <cell r="E338" t="str">
            <v>OKM</v>
          </cell>
          <cell r="F338" t="str">
            <v>OKM LA REINA</v>
          </cell>
          <cell r="G338" t="str">
            <v>AV. CARLOS OSSANDON 1.300</v>
          </cell>
          <cell r="H338" t="str">
            <v>LA REINA</v>
          </cell>
          <cell r="I338" t="str">
            <v>METROPOLITANA</v>
          </cell>
          <cell r="J338" t="str">
            <v>50OLR</v>
          </cell>
          <cell r="K338" t="str">
            <v>okm-lareina@tiendas.oxxo.com</v>
          </cell>
          <cell r="L338" t="str">
            <v>TMCB OKM</v>
          </cell>
          <cell r="M338" t="str">
            <v>RECESO</v>
          </cell>
          <cell r="O338" t="str">
            <v>NO</v>
          </cell>
          <cell r="P338" t="str">
            <v>COMPLETA</v>
          </cell>
          <cell r="T338" t="str">
            <v>SERRANO SOTO MANUEL</v>
          </cell>
          <cell r="U338" t="str">
            <v>manuel.serrano@oxxo.com</v>
          </cell>
          <cell r="V338">
            <v>56940201885</v>
          </cell>
          <cell r="W338" t="str">
            <v>ARAYA BURGOS ARIEL</v>
          </cell>
          <cell r="X338" t="str">
            <v>ariel.araya@oxxo.com</v>
          </cell>
          <cell r="Y338">
            <v>56976232708</v>
          </cell>
          <cell r="Z338" t="str">
            <v>S/I</v>
          </cell>
          <cell r="AL338" t="str">
            <v>12HRS</v>
          </cell>
        </row>
        <row r="339">
          <cell r="E339" t="str">
            <v>FRANQUICIA</v>
          </cell>
          <cell r="F339" t="str">
            <v>ROSARIO ROSALES</v>
          </cell>
          <cell r="G339" t="str">
            <v>ROSARIO ROSALES 67, LAS CONDES</v>
          </cell>
          <cell r="H339" t="str">
            <v>LAS CONDES</v>
          </cell>
          <cell r="I339" t="str">
            <v>METROPOLITANA</v>
          </cell>
          <cell r="J339" t="str">
            <v>54FRR</v>
          </cell>
          <cell r="K339" t="str">
            <v>cl-rosariorosales@tiendas.oxxo.com</v>
          </cell>
          <cell r="L339" t="str">
            <v>TMCB</v>
          </cell>
          <cell r="M339" t="str">
            <v>BASE</v>
          </cell>
          <cell r="O339" t="str">
            <v>NO</v>
          </cell>
          <cell r="P339" t="str">
            <v>COMPLETA</v>
          </cell>
          <cell r="T339" t="str">
            <v>BRESCIA RIVERA RODRIGO</v>
          </cell>
          <cell r="U339" t="str">
            <v>rodrigo.brescia@oxxo.com</v>
          </cell>
          <cell r="V339">
            <v>56994777909</v>
          </cell>
          <cell r="W339" t="str">
            <v>ARAYA BURGOS ARIEL</v>
          </cell>
          <cell r="X339" t="str">
            <v>ariel.araya@oxxo.com</v>
          </cell>
          <cell r="Y339">
            <v>56976232708</v>
          </cell>
          <cell r="AL339" t="str">
            <v>12HRS</v>
          </cell>
          <cell r="AO339">
            <v>45217</v>
          </cell>
        </row>
        <row r="340">
          <cell r="E340" t="str">
            <v>OXXO - EX OKM</v>
          </cell>
          <cell r="F340" t="str">
            <v>ROSARIO SUR 2</v>
          </cell>
          <cell r="G340" t="str">
            <v>APOQUINDO 5681</v>
          </cell>
          <cell r="H340" t="str">
            <v>LAS CONDES</v>
          </cell>
          <cell r="I340" t="str">
            <v>METROPOLITANA</v>
          </cell>
          <cell r="J340" t="str">
            <v>50ORS</v>
          </cell>
          <cell r="K340" t="str">
            <v>cl-rosariosur2@tiendas.oxxo.com</v>
          </cell>
          <cell r="L340" t="str">
            <v>TMCB</v>
          </cell>
          <cell r="M340" t="str">
            <v>RECESO</v>
          </cell>
          <cell r="N340" t="str">
            <v>ABC1</v>
          </cell>
          <cell r="O340" t="str">
            <v>NO</v>
          </cell>
          <cell r="P340" t="str">
            <v>PARCIAL</v>
          </cell>
          <cell r="Q340" t="str">
            <v>NO</v>
          </cell>
          <cell r="R340" t="str">
            <v>NO</v>
          </cell>
          <cell r="S340" t="str">
            <v>NO</v>
          </cell>
          <cell r="T340" t="str">
            <v>SESA DIEGO MIGUEL</v>
          </cell>
          <cell r="U340" t="str">
            <v>diego.sesa@oxxo.com</v>
          </cell>
          <cell r="V340">
            <v>56954238682</v>
          </cell>
          <cell r="W340" t="str">
            <v>GAMERRE URZUA CECILIA</v>
          </cell>
          <cell r="X340" t="str">
            <v>cecilia.gamerre@oxxo.com</v>
          </cell>
          <cell r="Y340">
            <v>56992076485</v>
          </cell>
          <cell r="Z340" t="str">
            <v>ARIAM DANIELA ROJAS SEGOVIA</v>
          </cell>
          <cell r="AA340">
            <v>56992194940</v>
          </cell>
          <cell r="AB340">
            <v>0.29166666666666669</v>
          </cell>
          <cell r="AC340">
            <v>0.91666666666666663</v>
          </cell>
          <cell r="AD340">
            <v>0.29166666666666669</v>
          </cell>
          <cell r="AE340">
            <v>0.91666666666666663</v>
          </cell>
          <cell r="AF340">
            <v>0.33333333333333331</v>
          </cell>
          <cell r="AG340">
            <v>0.91666666666666663</v>
          </cell>
          <cell r="AH340">
            <v>0.39583333333333331</v>
          </cell>
          <cell r="AI340">
            <v>0.84375</v>
          </cell>
          <cell r="AJ340">
            <v>0.375</v>
          </cell>
          <cell r="AK340">
            <v>0.91666666666666663</v>
          </cell>
          <cell r="AL340" t="str">
            <v>12HRS</v>
          </cell>
          <cell r="AM340" t="str">
            <v>PAULA HUERTA</v>
          </cell>
          <cell r="AO340">
            <v>45078</v>
          </cell>
        </row>
        <row r="341">
          <cell r="E341" t="str">
            <v>OXXO</v>
          </cell>
          <cell r="F341" t="str">
            <v>SAN ANTONIO</v>
          </cell>
          <cell r="G341" t="str">
            <v>SAN ANTONIO N84</v>
          </cell>
          <cell r="H341" t="str">
            <v>SANTIAGO</v>
          </cell>
          <cell r="I341" t="str">
            <v>METROPOLITANA</v>
          </cell>
          <cell r="J341" t="str">
            <v>50F4M</v>
          </cell>
          <cell r="K341" t="str">
            <v>cl-sanantonio@tiendas.oxxo.com</v>
          </cell>
          <cell r="L341" t="str">
            <v>TNM</v>
          </cell>
          <cell r="M341" t="str">
            <v>RECESO</v>
          </cell>
          <cell r="O341" t="str">
            <v>NO</v>
          </cell>
          <cell r="P341" t="str">
            <v>COMPLETA</v>
          </cell>
          <cell r="Q341" t="str">
            <v>NO</v>
          </cell>
          <cell r="R341" t="str">
            <v>NO</v>
          </cell>
          <cell r="S341" t="str">
            <v>NO</v>
          </cell>
          <cell r="T341" t="str">
            <v>BRESCIA RIVERA RODRIGO</v>
          </cell>
          <cell r="U341" t="str">
            <v>rodrigo.brescia@oxxo.com</v>
          </cell>
          <cell r="V341">
            <v>56994777909</v>
          </cell>
          <cell r="W341" t="str">
            <v>LIAZ MONTERO GABRIEL</v>
          </cell>
          <cell r="X341" t="str">
            <v>gabriel.liaz@oxxo.com</v>
          </cell>
          <cell r="Y341">
            <v>56964735260</v>
          </cell>
          <cell r="Z341" t="str">
            <v>JEFFERSON CLIFF MENDEZ MALDONADO</v>
          </cell>
          <cell r="AA341">
            <v>56938737009</v>
          </cell>
          <cell r="AB341">
            <v>0.29166666666666669</v>
          </cell>
          <cell r="AC341">
            <v>0.875</v>
          </cell>
          <cell r="AD341">
            <v>0.29166666666666669</v>
          </cell>
          <cell r="AE341">
            <v>0.875</v>
          </cell>
          <cell r="AF341">
            <v>0.33333333333333331</v>
          </cell>
          <cell r="AG341">
            <v>0.875</v>
          </cell>
          <cell r="AH341">
            <v>0.39583333333333331</v>
          </cell>
          <cell r="AI341">
            <v>0.84375</v>
          </cell>
          <cell r="AJ341">
            <v>0.375</v>
          </cell>
          <cell r="AK341">
            <v>0.875</v>
          </cell>
          <cell r="AL341" t="str">
            <v>12HRS</v>
          </cell>
          <cell r="AM341" t="str">
            <v>PAULA HUERTA</v>
          </cell>
          <cell r="AO341">
            <v>45321</v>
          </cell>
        </row>
        <row r="342">
          <cell r="E342" t="str">
            <v>OKM</v>
          </cell>
          <cell r="F342" t="str">
            <v>OKM ISABEL LA CATOLICA</v>
          </cell>
          <cell r="G342" t="str">
            <v>AV. A. VESPUCIO SUR 1463</v>
          </cell>
          <cell r="H342" t="str">
            <v>LAS CONDES</v>
          </cell>
          <cell r="I342" t="str">
            <v>METROPOLITANA</v>
          </cell>
          <cell r="J342" t="str">
            <v>50OIS</v>
          </cell>
          <cell r="K342" t="str">
            <v>okm-isabellacatolica@tiendas.oxxo.com</v>
          </cell>
          <cell r="L342" t="str">
            <v>TMCB OKM</v>
          </cell>
          <cell r="M342" t="str">
            <v>HOGAR C/FF</v>
          </cell>
          <cell r="N342" t="str">
            <v>ABC1</v>
          </cell>
          <cell r="O342" t="str">
            <v>SI</v>
          </cell>
          <cell r="P342" t="str">
            <v>COMPLETA</v>
          </cell>
          <cell r="T342" t="str">
            <v>SERRANO SOTO MANUEL</v>
          </cell>
          <cell r="U342" t="str">
            <v>manuel.serrano@oxxo.com</v>
          </cell>
          <cell r="V342">
            <v>56940201885</v>
          </cell>
          <cell r="X342" t="str">
            <v/>
          </cell>
          <cell r="Y342" t="str">
            <v/>
          </cell>
          <cell r="Z342" t="str">
            <v>JAY ALEJADRO ESPARZA TORRES</v>
          </cell>
          <cell r="AA342">
            <v>56994344002</v>
          </cell>
          <cell r="AL342" t="str">
            <v>12HRS</v>
          </cell>
        </row>
        <row r="343">
          <cell r="E343" t="str">
            <v>OXXO</v>
          </cell>
          <cell r="F343" t="str">
            <v>SAN DAMIAN</v>
          </cell>
          <cell r="G343" t="str">
            <v>SAN DAMIÁN N 20, LOCAL 1B</v>
          </cell>
          <cell r="H343" t="str">
            <v>LAS CONDES</v>
          </cell>
          <cell r="I343" t="str">
            <v>METROPOLITANA</v>
          </cell>
          <cell r="J343" t="str">
            <v>50VOP</v>
          </cell>
          <cell r="K343" t="str">
            <v>cl-sandamian@tiendas.oxxo.com</v>
          </cell>
          <cell r="L343" t="str">
            <v>TMCB</v>
          </cell>
          <cell r="M343" t="str">
            <v>BASE</v>
          </cell>
          <cell r="N343" t="str">
            <v>ABC1</v>
          </cell>
          <cell r="O343" t="str">
            <v>SI</v>
          </cell>
          <cell r="P343" t="str">
            <v>COMPLETA</v>
          </cell>
          <cell r="Q343" t="str">
            <v>SI</v>
          </cell>
          <cell r="R343" t="str">
            <v>SI</v>
          </cell>
          <cell r="S343" t="str">
            <v>NO</v>
          </cell>
          <cell r="T343" t="str">
            <v>BRESCIA RIVERA RODRIGO</v>
          </cell>
          <cell r="U343" t="str">
            <v>rodrigo.brescia@oxxo.com</v>
          </cell>
          <cell r="V343">
            <v>56994777909</v>
          </cell>
          <cell r="W343" t="str">
            <v>ARAYA BURGOS ARIEL</v>
          </cell>
          <cell r="X343" t="str">
            <v>ariel.araya@oxxo.com</v>
          </cell>
          <cell r="Y343">
            <v>56976232708</v>
          </cell>
          <cell r="Z343" t="str">
            <v>JOSE GREGORIO CASTRO FERNANDEZ</v>
          </cell>
          <cell r="AA343">
            <v>56991608282</v>
          </cell>
          <cell r="AB343">
            <v>0.29166666666666669</v>
          </cell>
          <cell r="AC343">
            <v>0.95833333333333337</v>
          </cell>
          <cell r="AD343">
            <v>0.29166666666666669</v>
          </cell>
          <cell r="AE343">
            <v>0.99305555555555558</v>
          </cell>
          <cell r="AF343">
            <v>0.33333333333333331</v>
          </cell>
          <cell r="AG343">
            <v>0.99305555555555558</v>
          </cell>
          <cell r="AH343">
            <v>0.4375</v>
          </cell>
          <cell r="AI343">
            <v>0.88541666666666663</v>
          </cell>
          <cell r="AJ343">
            <v>0.4375</v>
          </cell>
          <cell r="AK343">
            <v>0.88541666666666663</v>
          </cell>
          <cell r="AL343" t="str">
            <v>12HRS</v>
          </cell>
          <cell r="AM343" t="str">
            <v>PAULA HUERTA</v>
          </cell>
          <cell r="AO343">
            <v>43289</v>
          </cell>
        </row>
        <row r="344">
          <cell r="E344" t="str">
            <v>OKM</v>
          </cell>
          <cell r="F344" t="str">
            <v>OKM EL BOSQUE</v>
          </cell>
          <cell r="G344" t="str">
            <v> AV. EL BOSQUE NORTE N 421</v>
          </cell>
          <cell r="H344" t="str">
            <v>LAS CONDES</v>
          </cell>
          <cell r="I344" t="str">
            <v>METROPOLITANA</v>
          </cell>
          <cell r="J344" t="str">
            <v>50OEB</v>
          </cell>
          <cell r="K344" t="str">
            <v>okm-elbosque@tiendas.oxxo.com</v>
          </cell>
          <cell r="L344" t="str">
            <v>TMCB OKM</v>
          </cell>
          <cell r="M344" t="str">
            <v>HOGAR C/FF</v>
          </cell>
          <cell r="N344" t="str">
            <v>C2</v>
          </cell>
          <cell r="O344" t="str">
            <v>NO</v>
          </cell>
          <cell r="P344" t="str">
            <v>COMPLETA</v>
          </cell>
          <cell r="T344" t="str">
            <v>SERRANO SOTO MANUEL</v>
          </cell>
          <cell r="U344" t="str">
            <v>manuel.serrano@oxxo.com</v>
          </cell>
          <cell r="V344">
            <v>56940201885</v>
          </cell>
          <cell r="W344" t="str">
            <v>BARRIOS BAPTISTA JUAN JOSE</v>
          </cell>
          <cell r="X344" t="str">
            <v>juanj.barrios@oxxo.com</v>
          </cell>
          <cell r="Y344">
            <v>56998642001</v>
          </cell>
          <cell r="Z344" t="str">
            <v>BEATRIZ VARGAS TAPIA</v>
          </cell>
          <cell r="AA344">
            <v>56976266406</v>
          </cell>
          <cell r="AL344" t="str">
            <v>12HRS</v>
          </cell>
        </row>
        <row r="345">
          <cell r="E345" t="str">
            <v>OXXO</v>
          </cell>
          <cell r="F345" t="str">
            <v>SAN DIEGO COQUIMBO</v>
          </cell>
          <cell r="G345" t="str">
            <v>SAN DIEGO 893 DPTO. L-01</v>
          </cell>
          <cell r="H345" t="str">
            <v>SANTIAGO</v>
          </cell>
          <cell r="I345" t="str">
            <v>METROPOLITANA</v>
          </cell>
          <cell r="J345" t="str">
            <v>50AVA</v>
          </cell>
          <cell r="K345" t="str">
            <v>cl-sandiegocoquimbo@tiendas.oxxo.com</v>
          </cell>
          <cell r="L345" t="str">
            <v>TMCB</v>
          </cell>
          <cell r="M345" t="str">
            <v>BASE</v>
          </cell>
          <cell r="N345" t="str">
            <v>C3</v>
          </cell>
          <cell r="O345" t="str">
            <v>NO</v>
          </cell>
          <cell r="P345" t="str">
            <v>COMPLETA</v>
          </cell>
          <cell r="Q345" t="str">
            <v>SI</v>
          </cell>
          <cell r="R345" t="str">
            <v>NO</v>
          </cell>
          <cell r="S345" t="str">
            <v>NO</v>
          </cell>
          <cell r="T345" t="str">
            <v>BRESCIA RIVERA RODRIGO</v>
          </cell>
          <cell r="U345" t="str">
            <v>rodrigo.brescia@oxxo.com</v>
          </cell>
          <cell r="V345">
            <v>56994777909</v>
          </cell>
          <cell r="W345" t="str">
            <v>LIAZ MONTERO GABRIEL</v>
          </cell>
          <cell r="X345" t="str">
            <v>gabriel.liaz@oxxo.com</v>
          </cell>
          <cell r="Y345">
            <v>56964735260</v>
          </cell>
          <cell r="Z345" t="str">
            <v>CYNTHIA LISSETTE OCARANZA VASQUEZ</v>
          </cell>
          <cell r="AA345">
            <v>56998499969</v>
          </cell>
          <cell r="AB345">
            <v>0.29166666666666669</v>
          </cell>
          <cell r="AC345">
            <v>0.95833333333333337</v>
          </cell>
          <cell r="AD345">
            <v>0.29166666666666669</v>
          </cell>
          <cell r="AE345">
            <v>0.99305555555555558</v>
          </cell>
          <cell r="AF345">
            <v>0.33333333333333331</v>
          </cell>
          <cell r="AG345">
            <v>0.99305555555555558</v>
          </cell>
          <cell r="AH345">
            <v>0.4375</v>
          </cell>
          <cell r="AI345">
            <v>0.88541666666666663</v>
          </cell>
          <cell r="AJ345">
            <v>0.375</v>
          </cell>
          <cell r="AK345">
            <v>0.95833333333333337</v>
          </cell>
          <cell r="AL345" t="str">
            <v>12HRS</v>
          </cell>
          <cell r="AM345" t="str">
            <v>PAULA HUERTA</v>
          </cell>
          <cell r="AO345">
            <v>43707</v>
          </cell>
        </row>
        <row r="346">
          <cell r="E346" t="str">
            <v>OXXO - EX OKM</v>
          </cell>
          <cell r="F346" t="str">
            <v>COLON 3</v>
          </cell>
          <cell r="G346" t="str">
            <v>AV. CRISTOBAL COLÓN 4317</v>
          </cell>
          <cell r="H346" t="str">
            <v>LAS CONDES</v>
          </cell>
          <cell r="I346" t="str">
            <v>METROPOLITANA</v>
          </cell>
          <cell r="J346" t="str">
            <v>50OCL</v>
          </cell>
          <cell r="K346" t="str">
            <v>cl-colon3@tiendas.oxxo.com</v>
          </cell>
          <cell r="L346" t="str">
            <v>TMCB OKM</v>
          </cell>
          <cell r="M346" t="str">
            <v>HOGAR</v>
          </cell>
          <cell r="N346" t="str">
            <v>C2</v>
          </cell>
          <cell r="O346" t="str">
            <v>SI</v>
          </cell>
          <cell r="P346" t="str">
            <v>COMPLETA</v>
          </cell>
          <cell r="T346" t="str">
            <v>SERRANO SOTO MANUEL</v>
          </cell>
          <cell r="U346" t="str">
            <v>manuel.serrano@oxxo.com</v>
          </cell>
          <cell r="V346">
            <v>56940201885</v>
          </cell>
          <cell r="X346" t="str">
            <v/>
          </cell>
          <cell r="Y346" t="str">
            <v/>
          </cell>
          <cell r="Z346" t="str">
            <v>ALVARO ANDRES TRIVINO NANCO</v>
          </cell>
          <cell r="AA346">
            <v>56958147043</v>
          </cell>
          <cell r="AL346" t="str">
            <v>12HRS</v>
          </cell>
          <cell r="AO346">
            <v>45286</v>
          </cell>
        </row>
        <row r="347">
          <cell r="E347" t="str">
            <v>OXXO</v>
          </cell>
          <cell r="F347" t="str">
            <v>SAN EUGENIO</v>
          </cell>
          <cell r="G347" t="str">
            <v>SAN EUGENIO 1547</v>
          </cell>
          <cell r="H347" t="str">
            <v>ÑUÑOA</v>
          </cell>
          <cell r="I347" t="str">
            <v>METROPOLITANA</v>
          </cell>
          <cell r="J347" t="str">
            <v>50FTC</v>
          </cell>
          <cell r="K347" t="str">
            <v>cl-saneugenio@tiendas.oxxo.com</v>
          </cell>
          <cell r="L347" t="str">
            <v>TNM</v>
          </cell>
          <cell r="M347" t="str">
            <v>BASE</v>
          </cell>
          <cell r="N347" t="str">
            <v>C2</v>
          </cell>
          <cell r="O347" t="str">
            <v>NO</v>
          </cell>
          <cell r="P347" t="str">
            <v>COMPLETA</v>
          </cell>
          <cell r="Q347" t="str">
            <v>NO</v>
          </cell>
          <cell r="R347" t="str">
            <v>NO</v>
          </cell>
          <cell r="S347" t="str">
            <v>NO</v>
          </cell>
          <cell r="T347" t="str">
            <v>BRESCIA RIVERA RODRIGO</v>
          </cell>
          <cell r="U347" t="str">
            <v>rodrigo.brescia@oxxo.com</v>
          </cell>
          <cell r="V347">
            <v>56994777909</v>
          </cell>
          <cell r="W347" t="str">
            <v>RUIZ FERRER VANNA</v>
          </cell>
          <cell r="X347" t="str">
            <v>vanna.ruiz@oxxo.com</v>
          </cell>
          <cell r="Y347">
            <v>56994441705</v>
          </cell>
          <cell r="Z347" t="str">
            <v>ROSA LORENA DE LA BARRA ALBORNOZ</v>
          </cell>
          <cell r="AA347">
            <v>56992191711</v>
          </cell>
          <cell r="AB347">
            <v>0.29166666666666669</v>
          </cell>
          <cell r="AC347">
            <v>0.95833333333333337</v>
          </cell>
          <cell r="AD347">
            <v>0.29166666666666669</v>
          </cell>
          <cell r="AE347">
            <v>0.95833333333333337</v>
          </cell>
          <cell r="AF347">
            <v>0.33333333333333331</v>
          </cell>
          <cell r="AG347">
            <v>0.95833333333333337</v>
          </cell>
          <cell r="AH347">
            <v>0.39583333333333331</v>
          </cell>
          <cell r="AI347">
            <v>0.84375</v>
          </cell>
          <cell r="AJ347">
            <v>0.39583333333333331</v>
          </cell>
          <cell r="AK347">
            <v>0.84375</v>
          </cell>
          <cell r="AL347" t="str">
            <v>12HRS</v>
          </cell>
          <cell r="AM347" t="str">
            <v>ROBERTO POBLETE</v>
          </cell>
          <cell r="AO347">
            <v>45135</v>
          </cell>
        </row>
        <row r="348">
          <cell r="E348" t="str">
            <v>OXXO</v>
          </cell>
          <cell r="F348" t="str">
            <v>SAN JOSE DE LA SIERRA</v>
          </cell>
          <cell r="G348" t="str">
            <v>SAN JOSE DE LA SIERRA 13600</v>
          </cell>
          <cell r="H348" t="str">
            <v>LO BARNECHEA</v>
          </cell>
          <cell r="I348" t="str">
            <v>METROPOLITANA</v>
          </cell>
          <cell r="J348" t="str">
            <v>50SJS</v>
          </cell>
          <cell r="K348" t="str">
            <v>cl-sanjosedelasierra@tiendas.oxxo.com</v>
          </cell>
          <cell r="L348" t="str">
            <v>TMCB</v>
          </cell>
          <cell r="M348" t="str">
            <v>HOGAR</v>
          </cell>
          <cell r="N348" t="str">
            <v>ABC1</v>
          </cell>
          <cell r="O348" t="str">
            <v>SI</v>
          </cell>
          <cell r="P348" t="str">
            <v>COMPLETA</v>
          </cell>
          <cell r="Q348" t="str">
            <v>SI</v>
          </cell>
          <cell r="R348" t="str">
            <v>SI</v>
          </cell>
          <cell r="S348" t="str">
            <v>NO</v>
          </cell>
          <cell r="T348" t="str">
            <v>BRESCIA RIVERA RODRIGO</v>
          </cell>
          <cell r="U348" t="str">
            <v>rodrigo.brescia@oxxo.com</v>
          </cell>
          <cell r="V348">
            <v>56994777909</v>
          </cell>
          <cell r="W348" t="str">
            <v>ARAYA BURGOS ARIEL</v>
          </cell>
          <cell r="X348" t="str">
            <v>ariel.araya@oxxo.com</v>
          </cell>
          <cell r="Y348">
            <v>56976232708</v>
          </cell>
          <cell r="Z348" t="str">
            <v>MARCO ANTONIO MORIN SOTO</v>
          </cell>
          <cell r="AA348">
            <v>56985024397</v>
          </cell>
          <cell r="AB348">
            <v>0.29166666666666669</v>
          </cell>
          <cell r="AC348">
            <v>0.95833333333333337</v>
          </cell>
          <cell r="AD348">
            <v>0.29166666666666669</v>
          </cell>
          <cell r="AE348">
            <v>0.99305555555555558</v>
          </cell>
          <cell r="AF348">
            <v>0.33333333333333331</v>
          </cell>
          <cell r="AG348">
            <v>0.99305555555555558</v>
          </cell>
          <cell r="AH348">
            <v>0.4375</v>
          </cell>
          <cell r="AI348">
            <v>0.88541666666666663</v>
          </cell>
          <cell r="AJ348">
            <v>0.4375</v>
          </cell>
          <cell r="AK348">
            <v>0.88541666666666663</v>
          </cell>
          <cell r="AL348" t="str">
            <v>12HRS</v>
          </cell>
          <cell r="AM348" t="str">
            <v>PAULA HUERTA</v>
          </cell>
          <cell r="AO348">
            <v>44680</v>
          </cell>
        </row>
        <row r="349">
          <cell r="E349" t="str">
            <v>OXXO</v>
          </cell>
          <cell r="F349" t="str">
            <v>SAN MARTIN 6 PONIENTE</v>
          </cell>
          <cell r="G349" t="str">
            <v>SAN MARTÍN 348 LOCAL 2</v>
          </cell>
          <cell r="H349" t="str">
            <v>VIÑA DEL MAR</v>
          </cell>
          <cell r="I349" t="str">
            <v>VALPARAISO</v>
          </cell>
          <cell r="J349" t="str">
            <v>50LVH</v>
          </cell>
          <cell r="K349" t="str">
            <v>cl-sanmartin6pte@tiendas.oxxo.com</v>
          </cell>
          <cell r="L349" t="str">
            <v>TNM</v>
          </cell>
          <cell r="M349" t="str">
            <v>BASE</v>
          </cell>
          <cell r="O349" t="str">
            <v>NO</v>
          </cell>
          <cell r="P349" t="str">
            <v>COMPLETA</v>
          </cell>
          <cell r="Q349" t="str">
            <v>NO</v>
          </cell>
          <cell r="R349" t="str">
            <v>SI</v>
          </cell>
          <cell r="S349" t="str">
            <v>NO</v>
          </cell>
          <cell r="T349" t="str">
            <v>SESA DIEGO MIGUEL</v>
          </cell>
          <cell r="U349" t="str">
            <v>diego.sesa@oxxo.com</v>
          </cell>
          <cell r="V349">
            <v>56954238682</v>
          </cell>
          <cell r="W349" t="str">
            <v>RODRÍGUEZ ROBLES MARCELA ALEJANDRA</v>
          </cell>
          <cell r="X349" t="str">
            <v>marcela.rodriguezrobles@oxxo.com</v>
          </cell>
          <cell r="Y349">
            <v>56982335207</v>
          </cell>
          <cell r="Z349" t="str">
            <v>GENESIS STRIPPOLI ARISTIGUETA</v>
          </cell>
          <cell r="AA349">
            <v>56941022101</v>
          </cell>
          <cell r="AB349">
            <v>0.29166666666666669</v>
          </cell>
          <cell r="AC349">
            <v>0.95833333333333337</v>
          </cell>
          <cell r="AD349">
            <v>0.29166666666666669</v>
          </cell>
          <cell r="AE349">
            <v>0.99305555555555558</v>
          </cell>
          <cell r="AF349">
            <v>0.29166666666666669</v>
          </cell>
          <cell r="AG349">
            <v>0.99305555555555558</v>
          </cell>
          <cell r="AH349">
            <v>0.39583333333333331</v>
          </cell>
          <cell r="AI349">
            <v>0.84375</v>
          </cell>
          <cell r="AJ349">
            <v>0</v>
          </cell>
          <cell r="AK349">
            <v>0.99930555555555556</v>
          </cell>
          <cell r="AL349" t="str">
            <v>12HRS</v>
          </cell>
          <cell r="AM349" t="str">
            <v>ROBERTO POBLETE</v>
          </cell>
          <cell r="AO349">
            <v>45338</v>
          </cell>
        </row>
        <row r="350">
          <cell r="E350" t="str">
            <v>OXXO</v>
          </cell>
          <cell r="F350" t="str">
            <v>SAN MARTIN CAUPOLICAN</v>
          </cell>
          <cell r="G350" t="str">
            <v>CAUPOLICÁN 315, LOCAL 3 Y 4</v>
          </cell>
          <cell r="H350" t="str">
            <v>CONCEPCIÓN</v>
          </cell>
          <cell r="I350" t="str">
            <v>BIOBIO</v>
          </cell>
          <cell r="J350" t="str">
            <v>50BFI</v>
          </cell>
          <cell r="K350" t="str">
            <v>cl-sanmartincaupolican@tiendas.oxxo.com</v>
          </cell>
          <cell r="L350" t="str">
            <v>TMCB</v>
          </cell>
          <cell r="M350" t="str">
            <v>RECESO</v>
          </cell>
          <cell r="N350" t="str">
            <v>C2</v>
          </cell>
          <cell r="O350" t="str">
            <v>NO</v>
          </cell>
          <cell r="P350" t="str">
            <v>COMPLETA</v>
          </cell>
          <cell r="Q350" t="str">
            <v>SI</v>
          </cell>
          <cell r="R350" t="str">
            <v>SI</v>
          </cell>
          <cell r="S350" t="str">
            <v>NO</v>
          </cell>
          <cell r="T350" t="str">
            <v>SESA DIEGO MIGUEL</v>
          </cell>
          <cell r="U350" t="str">
            <v>diego.sesa@oxxo.com</v>
          </cell>
          <cell r="V350">
            <v>56954238682</v>
          </cell>
          <cell r="W350" t="str">
            <v>ZAMBRANO JARA CAROLINA GRACIELA</v>
          </cell>
          <cell r="X350" t="str">
            <v>carolina.zambrano@oxxo.com</v>
          </cell>
          <cell r="Y350">
            <v>56964950188</v>
          </cell>
          <cell r="Z350" t="str">
            <v>VALENTINA ASTORGA CAMPOS</v>
          </cell>
          <cell r="AA350">
            <v>56992194635</v>
          </cell>
          <cell r="AB350">
            <v>0.29166666666666669</v>
          </cell>
          <cell r="AC350">
            <v>0.875</v>
          </cell>
          <cell r="AD350">
            <v>0.29166666666666669</v>
          </cell>
          <cell r="AE350">
            <v>0.875</v>
          </cell>
          <cell r="AF350">
            <v>0.33333333333333331</v>
          </cell>
          <cell r="AG350">
            <v>0.875</v>
          </cell>
          <cell r="AH350">
            <v>0.39583333333333331</v>
          </cell>
          <cell r="AI350">
            <v>0.84375</v>
          </cell>
          <cell r="AJ350">
            <v>0.39583333333333331</v>
          </cell>
          <cell r="AK350">
            <v>0.84375</v>
          </cell>
          <cell r="AL350" t="str">
            <v>12HRS</v>
          </cell>
          <cell r="AM350" t="str">
            <v>PAULA HUERTA</v>
          </cell>
          <cell r="AO350">
            <v>45107</v>
          </cell>
        </row>
        <row r="351">
          <cell r="E351" t="str">
            <v>OXXO - EX OKM</v>
          </cell>
          <cell r="F351" t="str">
            <v>SAN PASCUAL</v>
          </cell>
          <cell r="G351" t="str">
            <v>AV. APOQUINDO 4671</v>
          </cell>
          <cell r="H351" t="str">
            <v>LAS CONDES</v>
          </cell>
          <cell r="I351" t="str">
            <v>METROPOLITANA</v>
          </cell>
          <cell r="J351" t="str">
            <v>50OSP</v>
          </cell>
          <cell r="K351" t="str">
            <v>okm-sanpascual@tiendas.oxxo.com</v>
          </cell>
          <cell r="L351" t="str">
            <v>TMCB</v>
          </cell>
          <cell r="M351" t="str">
            <v>HOGAR</v>
          </cell>
          <cell r="N351" t="str">
            <v>C2</v>
          </cell>
          <cell r="O351" t="str">
            <v>SI</v>
          </cell>
          <cell r="P351" t="str">
            <v>COMPLETA</v>
          </cell>
          <cell r="Q351" t="str">
            <v>SI</v>
          </cell>
          <cell r="R351" t="str">
            <v>SI</v>
          </cell>
          <cell r="S351" t="str">
            <v>SI</v>
          </cell>
          <cell r="T351" t="str">
            <v>SESA DIEGO MIGUEL</v>
          </cell>
          <cell r="U351" t="str">
            <v>diego.sesa@oxxo.com</v>
          </cell>
          <cell r="V351">
            <v>56954238682</v>
          </cell>
          <cell r="W351" t="str">
            <v>GAMERRE URZUA CECILIA</v>
          </cell>
          <cell r="X351" t="str">
            <v>cecilia.gamerre@oxxo.com</v>
          </cell>
          <cell r="Y351">
            <v>56992076485</v>
          </cell>
          <cell r="Z351" t="str">
            <v>INDIRA AUXILIADORA ROJAS FLORES</v>
          </cell>
          <cell r="AA351">
            <v>56961703181</v>
          </cell>
          <cell r="AB351">
            <v>0</v>
          </cell>
          <cell r="AC351">
            <v>0.99930555555555556</v>
          </cell>
          <cell r="AD351">
            <v>0</v>
          </cell>
          <cell r="AE351">
            <v>0.99930555555555556</v>
          </cell>
          <cell r="AF351">
            <v>0</v>
          </cell>
          <cell r="AG351">
            <v>0.99930555555555556</v>
          </cell>
          <cell r="AH351">
            <v>0</v>
          </cell>
          <cell r="AI351">
            <v>0.99930555555555556</v>
          </cell>
          <cell r="AJ351">
            <v>0</v>
          </cell>
          <cell r="AK351">
            <v>0.99930555555555556</v>
          </cell>
          <cell r="AL351" t="str">
            <v>24HRS</v>
          </cell>
          <cell r="AM351" t="str">
            <v>PAULA HUERTA</v>
          </cell>
        </row>
        <row r="352">
          <cell r="E352" t="str">
            <v>OXXO</v>
          </cell>
          <cell r="F352" t="str">
            <v>SANTA VICTORIA</v>
          </cell>
          <cell r="G352" t="str">
            <v>AV. PORTUGAL N412, LOCAL N10</v>
          </cell>
          <cell r="H352" t="str">
            <v>SANTIAGO</v>
          </cell>
          <cell r="I352" t="str">
            <v>METROPOLITANA</v>
          </cell>
          <cell r="J352" t="str">
            <v>50JAK</v>
          </cell>
          <cell r="K352" t="str">
            <v>cl-santavictoria@tiendas.oxxo.com</v>
          </cell>
          <cell r="L352" t="str">
            <v>TMCB</v>
          </cell>
          <cell r="M352" t="str">
            <v>BASE</v>
          </cell>
          <cell r="N352" t="str">
            <v>C2</v>
          </cell>
          <cell r="O352" t="str">
            <v>NO</v>
          </cell>
          <cell r="P352" t="str">
            <v>COMPLETA</v>
          </cell>
          <cell r="Q352" t="str">
            <v>SI</v>
          </cell>
          <cell r="R352" t="str">
            <v>NO</v>
          </cell>
          <cell r="S352" t="str">
            <v>NO</v>
          </cell>
          <cell r="T352" t="str">
            <v>BRESCIA RIVERA RODRIGO</v>
          </cell>
          <cell r="U352" t="str">
            <v>rodrigo.brescia@oxxo.com</v>
          </cell>
          <cell r="V352">
            <v>56994777909</v>
          </cell>
          <cell r="W352" t="str">
            <v>LIAZ MONTERO GABRIEL</v>
          </cell>
          <cell r="X352" t="str">
            <v>gabriel.liaz@oxxo.com</v>
          </cell>
          <cell r="Y352">
            <v>56964735260</v>
          </cell>
          <cell r="Z352" t="str">
            <v>LUISANA SEGUNDA LOPEZ CHICA</v>
          </cell>
          <cell r="AA352">
            <v>56998478075</v>
          </cell>
          <cell r="AB352">
            <v>0.29166666666666669</v>
          </cell>
          <cell r="AC352">
            <v>0.91666666666666663</v>
          </cell>
          <cell r="AD352">
            <v>0.29166666666666669</v>
          </cell>
          <cell r="AE352">
            <v>0.91666666666666663</v>
          </cell>
          <cell r="AF352">
            <v>0.33333333333333331</v>
          </cell>
          <cell r="AG352">
            <v>0.91666666666666663</v>
          </cell>
          <cell r="AH352">
            <v>0.39583333333333331</v>
          </cell>
          <cell r="AI352">
            <v>0.84375</v>
          </cell>
          <cell r="AJ352">
            <v>0.375</v>
          </cell>
          <cell r="AK352">
            <v>0.91666666666666663</v>
          </cell>
          <cell r="AL352" t="str">
            <v>12HRS</v>
          </cell>
          <cell r="AM352" t="str">
            <v>PAULA HUERTA</v>
          </cell>
          <cell r="AO352">
            <v>43672</v>
          </cell>
        </row>
        <row r="353">
          <cell r="E353" t="str">
            <v>OXXO</v>
          </cell>
          <cell r="F353" t="str">
            <v>SANTIAGO DOWNTOWN</v>
          </cell>
          <cell r="G353" t="str">
            <v>AV. LIBERTADOR BERNARDO O´HIGGINS 1449, LOCAL 19</v>
          </cell>
          <cell r="H353" t="str">
            <v>SANTIAGO</v>
          </cell>
          <cell r="I353" t="str">
            <v>METROPOLITANA</v>
          </cell>
          <cell r="J353" t="str">
            <v>50W0N</v>
          </cell>
          <cell r="K353" t="str">
            <v>cl-santiagodowntown@tiendas.oxxo.com</v>
          </cell>
          <cell r="L353" t="str">
            <v>TMCB</v>
          </cell>
          <cell r="M353" t="str">
            <v>RECESO</v>
          </cell>
          <cell r="N353" t="str">
            <v>C3</v>
          </cell>
          <cell r="O353" t="str">
            <v>NO</v>
          </cell>
          <cell r="P353" t="str">
            <v>COMPLETA</v>
          </cell>
          <cell r="Q353" t="str">
            <v>NO</v>
          </cell>
          <cell r="R353" t="str">
            <v>NO</v>
          </cell>
          <cell r="S353" t="str">
            <v>NO</v>
          </cell>
          <cell r="T353" t="str">
            <v>BRESCIA RIVERA RODRIGO</v>
          </cell>
          <cell r="U353" t="str">
            <v>rodrigo.brescia@oxxo.com</v>
          </cell>
          <cell r="V353">
            <v>56994777909</v>
          </cell>
          <cell r="W353" t="str">
            <v>LIAZ MONTERO GABRIEL</v>
          </cell>
          <cell r="X353" t="str">
            <v>gabriel.liaz@oxxo.com</v>
          </cell>
          <cell r="Y353">
            <v>56964735260</v>
          </cell>
          <cell r="Z353" t="str">
            <v>ALLYSON FERNANDA SOTO ALVAREZ</v>
          </cell>
          <cell r="AA353">
            <v>56989562660</v>
          </cell>
          <cell r="AB353">
            <v>0.29166666666666669</v>
          </cell>
          <cell r="AC353">
            <v>0.875</v>
          </cell>
          <cell r="AD353">
            <v>0.29166666666666669</v>
          </cell>
          <cell r="AE353">
            <v>0.875</v>
          </cell>
          <cell r="AF353">
            <v>0.33333333333333331</v>
          </cell>
          <cell r="AG353">
            <v>0.875</v>
          </cell>
          <cell r="AH353">
            <v>0.39583333333333331</v>
          </cell>
          <cell r="AI353">
            <v>0.84375</v>
          </cell>
          <cell r="AJ353">
            <v>0.375</v>
          </cell>
          <cell r="AK353">
            <v>0.875</v>
          </cell>
          <cell r="AL353" t="str">
            <v>12HRS</v>
          </cell>
          <cell r="AM353" t="str">
            <v>PAULA HUERTA</v>
          </cell>
          <cell r="AO353">
            <v>44895</v>
          </cell>
        </row>
        <row r="354">
          <cell r="E354" t="str">
            <v>OXXO</v>
          </cell>
          <cell r="F354" t="str">
            <v>SEMINARIO</v>
          </cell>
          <cell r="G354" t="str">
            <v>SEMINARIO 768</v>
          </cell>
          <cell r="H354" t="str">
            <v>ÑUÑOA</v>
          </cell>
          <cell r="I354" t="str">
            <v>METROPOLITANA</v>
          </cell>
          <cell r="J354" t="str">
            <v>50SEM</v>
          </cell>
          <cell r="K354" t="str">
            <v>cl-seminario@tiendas.oxxo.com</v>
          </cell>
          <cell r="L354" t="str">
            <v>TMCB</v>
          </cell>
          <cell r="M354" t="str">
            <v>BASE</v>
          </cell>
          <cell r="N354" t="str">
            <v>ABC1</v>
          </cell>
          <cell r="O354" t="str">
            <v>NO</v>
          </cell>
          <cell r="P354" t="str">
            <v>COMPLETA</v>
          </cell>
          <cell r="Q354" t="str">
            <v>NO</v>
          </cell>
          <cell r="R354" t="str">
            <v>NO</v>
          </cell>
          <cell r="S354" t="str">
            <v>NO</v>
          </cell>
          <cell r="T354" t="str">
            <v>BRESCIA RIVERA RODRIGO</v>
          </cell>
          <cell r="U354" t="str">
            <v>rodrigo.brescia@oxxo.com</v>
          </cell>
          <cell r="V354">
            <v>56994777909</v>
          </cell>
          <cell r="W354" t="str">
            <v>RUIZ FERRER VANNA</v>
          </cell>
          <cell r="X354" t="str">
            <v>vanna.ruiz@oxxo.com</v>
          </cell>
          <cell r="Y354">
            <v>56994441705</v>
          </cell>
          <cell r="Z354" t="str">
            <v>ALEXANDER JOSE CHIRINOS SALAS</v>
          </cell>
          <cell r="AB354">
            <v>0.29166666666666669</v>
          </cell>
          <cell r="AC354">
            <v>0.91666666666666663</v>
          </cell>
          <cell r="AD354">
            <v>0.29166666666666669</v>
          </cell>
          <cell r="AE354">
            <v>0.91666666666666663</v>
          </cell>
          <cell r="AF354">
            <v>0.33333333333333331</v>
          </cell>
          <cell r="AG354">
            <v>0.91666666666666663</v>
          </cell>
          <cell r="AH354">
            <v>0.39583333333333331</v>
          </cell>
          <cell r="AI354">
            <v>0.84375</v>
          </cell>
          <cell r="AJ354">
            <v>0.375</v>
          </cell>
          <cell r="AK354">
            <v>0.91666666666666663</v>
          </cell>
          <cell r="AL354" t="str">
            <v>12HRS</v>
          </cell>
          <cell r="AM354" t="str">
            <v>ROBERTO POBLETE</v>
          </cell>
          <cell r="AO354">
            <v>44228</v>
          </cell>
        </row>
        <row r="355">
          <cell r="E355" t="str">
            <v>OXXO</v>
          </cell>
          <cell r="F355" t="str">
            <v>SIMON BOLIVAR</v>
          </cell>
          <cell r="G355" t="str">
            <v>SIMÓN BOLIVAR 3760, LOCAL 3 </v>
          </cell>
          <cell r="H355" t="str">
            <v>ÑUÑOA</v>
          </cell>
          <cell r="I355" t="str">
            <v>METROPOLITANA</v>
          </cell>
          <cell r="J355" t="str">
            <v>50SWS</v>
          </cell>
          <cell r="K355" t="str">
            <v>cl-simonbolivar@tiendas.oxxo.com</v>
          </cell>
          <cell r="L355" t="str">
            <v>TMCB</v>
          </cell>
          <cell r="M355" t="str">
            <v>HOGAR</v>
          </cell>
          <cell r="N355" t="str">
            <v>ABC1</v>
          </cell>
          <cell r="O355" t="str">
            <v>SI</v>
          </cell>
          <cell r="P355" t="str">
            <v>COMPLETA</v>
          </cell>
          <cell r="Q355" t="str">
            <v>SI</v>
          </cell>
          <cell r="R355" t="str">
            <v>SI</v>
          </cell>
          <cell r="S355" t="str">
            <v>NO</v>
          </cell>
          <cell r="T355" t="str">
            <v>BRESCIA RIVERA RODRIGO</v>
          </cell>
          <cell r="U355" t="str">
            <v>rodrigo.brescia@oxxo.com</v>
          </cell>
          <cell r="V355">
            <v>56994777909</v>
          </cell>
          <cell r="W355" t="str">
            <v>RUIZ FERRER VANNA</v>
          </cell>
          <cell r="X355" t="str">
            <v>vanna.ruiz@oxxo.com</v>
          </cell>
          <cell r="Y355">
            <v>56994441705</v>
          </cell>
          <cell r="Z355" t="str">
            <v>KEYKO JARITZA MENDOZA CERVANTES</v>
          </cell>
          <cell r="AB355">
            <v>0.29166666666666669</v>
          </cell>
          <cell r="AC355">
            <v>0.95833333333333337</v>
          </cell>
          <cell r="AD355">
            <v>0.29166666666666669</v>
          </cell>
          <cell r="AE355">
            <v>0.99305555555555558</v>
          </cell>
          <cell r="AF355">
            <v>0.33333333333333331</v>
          </cell>
          <cell r="AG355">
            <v>0.99305555555555558</v>
          </cell>
          <cell r="AH355">
            <v>0.4375</v>
          </cell>
          <cell r="AI355">
            <v>0.88541666666666663</v>
          </cell>
          <cell r="AJ355">
            <v>0.375</v>
          </cell>
          <cell r="AK355">
            <v>0.95833333333333337</v>
          </cell>
          <cell r="AL355" t="str">
            <v>12HRS</v>
          </cell>
          <cell r="AM355" t="str">
            <v>ROBERTO POBLETE</v>
          </cell>
          <cell r="AO355">
            <v>43168</v>
          </cell>
        </row>
        <row r="356">
          <cell r="E356" t="str">
            <v>OXXO</v>
          </cell>
          <cell r="F356" t="str">
            <v>SIMON BOLIVAR HAMBURGO</v>
          </cell>
          <cell r="G356" t="str">
            <v>HAMBURGO 671</v>
          </cell>
          <cell r="H356" t="str">
            <v>ÑUÑOA</v>
          </cell>
          <cell r="I356" t="str">
            <v>METROPOLITANA</v>
          </cell>
          <cell r="J356" t="str">
            <v>50KJI</v>
          </cell>
          <cell r="K356" t="str">
            <v>cl-hamburgo@tiendas.oxxo.com</v>
          </cell>
          <cell r="L356" t="str">
            <v>TMCB</v>
          </cell>
          <cell r="M356" t="str">
            <v>HOGAR</v>
          </cell>
          <cell r="N356" t="str">
            <v>ABC1</v>
          </cell>
          <cell r="O356" t="str">
            <v>SI</v>
          </cell>
          <cell r="P356" t="str">
            <v>COMPLETA</v>
          </cell>
          <cell r="Q356" t="str">
            <v>SI</v>
          </cell>
          <cell r="R356" t="str">
            <v>SI</v>
          </cell>
          <cell r="S356" t="str">
            <v>NO</v>
          </cell>
          <cell r="T356" t="str">
            <v>BRESCIA RIVERA RODRIGO</v>
          </cell>
          <cell r="U356" t="str">
            <v>rodrigo.brescia@oxxo.com</v>
          </cell>
          <cell r="V356">
            <v>56994777909</v>
          </cell>
          <cell r="W356" t="str">
            <v>BENITEZ QUILODRAN HUGO</v>
          </cell>
          <cell r="X356" t="str">
            <v>hugo.benitez@oxxo.com</v>
          </cell>
          <cell r="Y356">
            <v>56998355780</v>
          </cell>
          <cell r="Z356" t="str">
            <v>ABRAHAM ENRIQUE CASTILLO ANCAMIL</v>
          </cell>
          <cell r="AA356">
            <v>56954332174</v>
          </cell>
          <cell r="AB356">
            <v>0.29166666666666669</v>
          </cell>
          <cell r="AC356">
            <v>0.95833333333333337</v>
          </cell>
          <cell r="AD356">
            <v>0.29166666666666669</v>
          </cell>
          <cell r="AE356">
            <v>0.99305555555555558</v>
          </cell>
          <cell r="AF356">
            <v>0.33333333333333331</v>
          </cell>
          <cell r="AG356">
            <v>0.99305555555555558</v>
          </cell>
          <cell r="AH356">
            <v>0.4375</v>
          </cell>
          <cell r="AI356">
            <v>0.88541666666666663</v>
          </cell>
          <cell r="AJ356">
            <v>0.375</v>
          </cell>
          <cell r="AK356">
            <v>0.95833333333333337</v>
          </cell>
          <cell r="AL356" t="str">
            <v>12HRS</v>
          </cell>
          <cell r="AM356" t="str">
            <v>ROBERTO POBLETE</v>
          </cell>
          <cell r="AO356">
            <v>43180</v>
          </cell>
        </row>
        <row r="357">
          <cell r="E357" t="str">
            <v>OKM</v>
          </cell>
          <cell r="F357" t="str">
            <v>OKM CASTILLO VELASCO</v>
          </cell>
          <cell r="G357" t="str">
            <v>AV. EDUARDO CASTILLO VELASCO 5500</v>
          </cell>
          <cell r="H357" t="str">
            <v>ÑUÑOA</v>
          </cell>
          <cell r="I357" t="str">
            <v>METROPOLITANA</v>
          </cell>
          <cell r="J357" t="str">
            <v>50OCV</v>
          </cell>
          <cell r="K357" t="str">
            <v>okm-edocastillovelasco@tiendas.oxxo.com</v>
          </cell>
          <cell r="L357" t="str">
            <v>TMCB OKM</v>
          </cell>
          <cell r="M357" t="str">
            <v>HOGAR C/FF</v>
          </cell>
          <cell r="N357" t="str">
            <v>ABC1</v>
          </cell>
          <cell r="O357" t="str">
            <v>SI</v>
          </cell>
          <cell r="P357" t="str">
            <v>COMPLETA</v>
          </cell>
          <cell r="T357" t="str">
            <v>SERRANO SOTO MANUEL</v>
          </cell>
          <cell r="U357" t="str">
            <v>manuel.serrano@oxxo.com</v>
          </cell>
          <cell r="V357">
            <v>56940201885</v>
          </cell>
          <cell r="W357" t="str">
            <v>ARAYA BURGOS ARIEL</v>
          </cell>
          <cell r="X357" t="str">
            <v>ariel.araya@oxxo.com</v>
          </cell>
          <cell r="Y357">
            <v>56976232708</v>
          </cell>
          <cell r="Z357" t="str">
            <v>MARCELINA DIAZ AVALOS</v>
          </cell>
          <cell r="AA357">
            <v>993450188</v>
          </cell>
          <cell r="AL357" t="str">
            <v>12HRS</v>
          </cell>
        </row>
        <row r="358">
          <cell r="E358" t="str">
            <v>OKM</v>
          </cell>
          <cell r="F358" t="str">
            <v>OKM STRIP OSSA</v>
          </cell>
          <cell r="G358" t="str">
            <v>AV. OSSA 345 LOCAL 5</v>
          </cell>
          <cell r="H358" t="str">
            <v>ÑUÑOA</v>
          </cell>
          <cell r="I358" t="str">
            <v>METROPOLITANA</v>
          </cell>
          <cell r="J358" t="str">
            <v>50OSO</v>
          </cell>
          <cell r="K358" t="str">
            <v>okm-stripossa@tiendas.oxxo.com</v>
          </cell>
          <cell r="L358" t="str">
            <v>TMCB OKM</v>
          </cell>
          <cell r="M358" t="str">
            <v>RECESO</v>
          </cell>
          <cell r="N358" t="str">
            <v>ABC1</v>
          </cell>
          <cell r="O358" t="str">
            <v>NO</v>
          </cell>
          <cell r="P358" t="str">
            <v>COMPLETA</v>
          </cell>
          <cell r="T358" t="str">
            <v>SERRANO SOTO MANUEL</v>
          </cell>
          <cell r="U358" t="str">
            <v>manuel.serrano@oxxo.com</v>
          </cell>
          <cell r="V358">
            <v>56940201885</v>
          </cell>
          <cell r="W358" t="str">
            <v>PINERUA JAIMES JESUS</v>
          </cell>
          <cell r="X358" t="str">
            <v>jesus.pinerua@oxxo.com</v>
          </cell>
          <cell r="Y358">
            <v>56982335207</v>
          </cell>
          <cell r="Z358" t="str">
            <v>MATIAS IGNACIO TABILO LISBOA</v>
          </cell>
          <cell r="AL358" t="str">
            <v>12HRS</v>
          </cell>
        </row>
        <row r="359">
          <cell r="E359" t="str">
            <v>OXXO - EX OKM</v>
          </cell>
          <cell r="F359" t="str">
            <v>AVENIDA PERU</v>
          </cell>
          <cell r="G359" t="str">
            <v>AV. PERU 805-831</v>
          </cell>
          <cell r="H359" t="str">
            <v>RECOLETA</v>
          </cell>
          <cell r="I359" t="str">
            <v>METROPOLITANA</v>
          </cell>
          <cell r="J359" t="str">
            <v>50OPR</v>
          </cell>
          <cell r="K359" t="str">
            <v>cl-avenidaperu@tiendas.oxxo.com</v>
          </cell>
          <cell r="L359" t="str">
            <v>TMCB OKM</v>
          </cell>
          <cell r="M359" t="str">
            <v>HOGAR C/FF</v>
          </cell>
          <cell r="N359" t="str">
            <v>ABC1</v>
          </cell>
          <cell r="O359" t="str">
            <v>SI</v>
          </cell>
          <cell r="P359" t="str">
            <v>COMPLETA</v>
          </cell>
          <cell r="T359" t="str">
            <v>SERRANO SOTO MANUEL</v>
          </cell>
          <cell r="U359" t="str">
            <v>manuel.serrano@oxxo.com</v>
          </cell>
          <cell r="V359">
            <v>56940201885</v>
          </cell>
          <cell r="X359" t="str">
            <v/>
          </cell>
          <cell r="Y359" t="str">
            <v/>
          </cell>
          <cell r="Z359" t="str">
            <v>ANGELA MONDACA BURGOS</v>
          </cell>
          <cell r="AL359" t="str">
            <v>12HRS</v>
          </cell>
          <cell r="AO359">
            <v>45355</v>
          </cell>
        </row>
        <row r="360">
          <cell r="E360" t="str">
            <v>OXXO</v>
          </cell>
          <cell r="F360" t="str">
            <v>SOCOFAR</v>
          </cell>
          <cell r="G360" t="str">
            <v>AV. EL SALTO 4875 OFICINA 01</v>
          </cell>
          <cell r="H360" t="str">
            <v>HUECHURABA</v>
          </cell>
          <cell r="I360" t="str">
            <v>METROPOLITANA</v>
          </cell>
          <cell r="J360" t="str">
            <v>50SOC</v>
          </cell>
          <cell r="K360" t="str">
            <v>cl-socofar@tiendas.oxxo.com</v>
          </cell>
          <cell r="L360" t="str">
            <v>TMCB</v>
          </cell>
          <cell r="M360" t="str">
            <v>RECESO</v>
          </cell>
          <cell r="N360" t="str">
            <v>C2</v>
          </cell>
          <cell r="O360" t="str">
            <v>NO</v>
          </cell>
          <cell r="P360" t="str">
            <v>COMPLETA</v>
          </cell>
          <cell r="Q360" t="str">
            <v>NO</v>
          </cell>
          <cell r="R360" t="str">
            <v>NO</v>
          </cell>
          <cell r="S360" t="str">
            <v>NO</v>
          </cell>
          <cell r="T360" t="str">
            <v>BRESCIA RIVERA RODRIGO</v>
          </cell>
          <cell r="U360" t="str">
            <v>rodrigo.brescia@oxxo.com</v>
          </cell>
          <cell r="V360">
            <v>56994777909</v>
          </cell>
          <cell r="W360" t="str">
            <v>MENDOZA GIL BREYNER JOSE</v>
          </cell>
          <cell r="X360" t="str">
            <v>breyner.mendoza@oxxo.com</v>
          </cell>
          <cell r="Y360">
            <v>56998689425</v>
          </cell>
          <cell r="Z360" t="str">
            <v>BRIAN MICHELL AGUIRRE CARREÑO</v>
          </cell>
          <cell r="AA360">
            <v>56985452983</v>
          </cell>
          <cell r="AB360">
            <v>0.29166666666666669</v>
          </cell>
          <cell r="AC360">
            <v>0.75</v>
          </cell>
          <cell r="AD360">
            <v>0.29166666666666669</v>
          </cell>
          <cell r="AE360">
            <v>0.75</v>
          </cell>
          <cell r="AF360" t="str">
            <v>Cerrado</v>
          </cell>
          <cell r="AG360" t="str">
            <v>Cerrado</v>
          </cell>
          <cell r="AH360" t="str">
            <v>Cerrado</v>
          </cell>
          <cell r="AI360" t="str">
            <v>Cerrado</v>
          </cell>
          <cell r="AJ360">
            <v>0</v>
          </cell>
          <cell r="AK360">
            <v>0</v>
          </cell>
          <cell r="AL360" t="str">
            <v>12HRS</v>
          </cell>
          <cell r="AM360" t="str">
            <v>PAULA HUERTA</v>
          </cell>
          <cell r="AO360">
            <v>44560</v>
          </cell>
        </row>
        <row r="361">
          <cell r="E361" t="str">
            <v>OXXO - EX OKM</v>
          </cell>
          <cell r="F361" t="str">
            <v>STRIP LARRAIN</v>
          </cell>
          <cell r="G361" t="str">
            <v>LOS MAITENES 26, LOCAL B</v>
          </cell>
          <cell r="H361" t="str">
            <v>LA REINA</v>
          </cell>
          <cell r="I361" t="str">
            <v>METROPOLITANA</v>
          </cell>
          <cell r="J361" t="str">
            <v>50OSL</v>
          </cell>
          <cell r="K361" t="str">
            <v>cl-striplarrain@tiendas.oxxo.com</v>
          </cell>
          <cell r="L361" t="str">
            <v>TMCB</v>
          </cell>
          <cell r="M361" t="str">
            <v>BASE</v>
          </cell>
          <cell r="N361" t="str">
            <v>C2</v>
          </cell>
          <cell r="O361" t="str">
            <v>SI</v>
          </cell>
          <cell r="P361" t="str">
            <v>COMPLETA</v>
          </cell>
          <cell r="Q361" t="str">
            <v>SI</v>
          </cell>
          <cell r="R361" t="str">
            <v>SI</v>
          </cell>
          <cell r="S361" t="str">
            <v>NO</v>
          </cell>
          <cell r="T361" t="str">
            <v>BRESCIA RIVERA RODRIGO</v>
          </cell>
          <cell r="U361" t="str">
            <v>rodrigo.brescia@oxxo.com</v>
          </cell>
          <cell r="V361">
            <v>56994777909</v>
          </cell>
          <cell r="W361" t="str">
            <v>RUIZ FERRER VANNA</v>
          </cell>
          <cell r="X361" t="str">
            <v>vanna.ruiz@oxxo.com</v>
          </cell>
          <cell r="Y361">
            <v>56994441705</v>
          </cell>
          <cell r="Z361" t="str">
            <v>JENNY DANIELA ACEVEDO MATURANA</v>
          </cell>
          <cell r="AA361">
            <v>56974769014</v>
          </cell>
          <cell r="AB361">
            <v>0.29166666666666669</v>
          </cell>
          <cell r="AC361">
            <v>0.95833333333333337</v>
          </cell>
          <cell r="AD361">
            <v>0.29166666666666669</v>
          </cell>
          <cell r="AE361">
            <v>0.99305555555555558</v>
          </cell>
          <cell r="AF361">
            <v>0.33333333333333331</v>
          </cell>
          <cell r="AG361">
            <v>0.99305555555555558</v>
          </cell>
          <cell r="AH361">
            <v>0.4375</v>
          </cell>
          <cell r="AI361">
            <v>0.88541666666666663</v>
          </cell>
          <cell r="AJ361">
            <v>0.375</v>
          </cell>
          <cell r="AK361">
            <v>0.91666666666666663</v>
          </cell>
          <cell r="AL361" t="str">
            <v>12HRS</v>
          </cell>
          <cell r="AM361" t="str">
            <v>ROBERTO POBLETE</v>
          </cell>
          <cell r="AO361">
            <v>44916</v>
          </cell>
        </row>
        <row r="362">
          <cell r="E362" t="str">
            <v>OKM</v>
          </cell>
          <cell r="F362" t="str">
            <v>OKM ENCOMENDEROS</v>
          </cell>
          <cell r="G362" t="str">
            <v> SAN SEBASTIÁN 2701</v>
          </cell>
          <cell r="H362" t="str">
            <v>LAS CONDES</v>
          </cell>
          <cell r="I362" t="str">
            <v>METROPOLITANA</v>
          </cell>
          <cell r="J362" t="str">
            <v>50OEN</v>
          </cell>
          <cell r="K362" t="str">
            <v>okm-encomenderos@tiendas.oxxo.com</v>
          </cell>
          <cell r="L362" t="str">
            <v>TMCB OKM</v>
          </cell>
          <cell r="M362" t="str">
            <v>HOGAR C/FF</v>
          </cell>
          <cell r="N362" t="str">
            <v>C2</v>
          </cell>
          <cell r="O362" t="str">
            <v>NO</v>
          </cell>
          <cell r="P362" t="str">
            <v>COMPLETA</v>
          </cell>
          <cell r="T362" t="str">
            <v>SERRANO SOTO MANUEL</v>
          </cell>
          <cell r="U362" t="str">
            <v>manuel.serrano@oxxo.com</v>
          </cell>
          <cell r="V362">
            <v>56940201885</v>
          </cell>
          <cell r="W362" t="str">
            <v>RUIZ FERRER VANNA</v>
          </cell>
          <cell r="X362" t="str">
            <v>vanna.ruiz@oxxo.com</v>
          </cell>
          <cell r="Y362">
            <v>56994441705</v>
          </cell>
          <cell r="Z362" t="str">
            <v>RHODE NOEMI MORAGA PAEZ</v>
          </cell>
          <cell r="AA362">
            <v>56992198021</v>
          </cell>
          <cell r="AL362" t="str">
            <v>12HRS</v>
          </cell>
        </row>
        <row r="363">
          <cell r="E363" t="str">
            <v>OKM</v>
          </cell>
          <cell r="F363" t="str">
            <v>OKM CIUDAD EMPRESARIAL</v>
          </cell>
          <cell r="G363" t="str">
            <v>AV. SANTA CLARA LOCAL 102 – 107, N 354</v>
          </cell>
          <cell r="H363" t="str">
            <v>HUECHURABA</v>
          </cell>
          <cell r="I363" t="str">
            <v>METROPOLITANA</v>
          </cell>
          <cell r="J363" t="str">
            <v>50OEM</v>
          </cell>
          <cell r="K363" t="str">
            <v>okm-ciudadempresarial@tiendas.oxxo.com</v>
          </cell>
          <cell r="L363" t="str">
            <v>TMCB OKM</v>
          </cell>
          <cell r="M363" t="str">
            <v>RECESO</v>
          </cell>
          <cell r="N363" t="str">
            <v>ABC1</v>
          </cell>
          <cell r="O363" t="str">
            <v>SI</v>
          </cell>
          <cell r="P363" t="str">
            <v>COMPLETA</v>
          </cell>
          <cell r="T363" t="str">
            <v>SERRANO SOTO MANUEL</v>
          </cell>
          <cell r="U363" t="str">
            <v>manuel.serrano@oxxo.com</v>
          </cell>
          <cell r="V363">
            <v>56940201885</v>
          </cell>
          <cell r="X363" t="str">
            <v/>
          </cell>
          <cell r="Y363" t="str">
            <v/>
          </cell>
          <cell r="Z363" t="str">
            <v>NATALIA MENA RECABARREN</v>
          </cell>
          <cell r="AA363">
            <v>56958119123</v>
          </cell>
          <cell r="AL363" t="str">
            <v>12HRS</v>
          </cell>
        </row>
        <row r="364">
          <cell r="E364" t="str">
            <v>OXXO</v>
          </cell>
          <cell r="F364" t="str">
            <v>TALCA 1</v>
          </cell>
          <cell r="G364" t="str">
            <v>1 SUR N829, LOCAL 4A</v>
          </cell>
          <cell r="H364" t="str">
            <v>TALCA</v>
          </cell>
          <cell r="I364" t="str">
            <v>MAULE</v>
          </cell>
          <cell r="J364" t="str">
            <v>501KO</v>
          </cell>
          <cell r="K364" t="str">
            <v>cl-talca1@tiendas.oxxo.com</v>
          </cell>
          <cell r="L364" t="str">
            <v>TNM</v>
          </cell>
          <cell r="M364" t="str">
            <v>RECESO</v>
          </cell>
          <cell r="N364" t="str">
            <v>C2</v>
          </cell>
          <cell r="O364" t="str">
            <v>NO</v>
          </cell>
          <cell r="P364" t="str">
            <v>COMPLETA</v>
          </cell>
          <cell r="Q364" t="str">
            <v>SI</v>
          </cell>
          <cell r="R364" t="str">
            <v>SI</v>
          </cell>
          <cell r="S364" t="str">
            <v>SI</v>
          </cell>
          <cell r="T364" t="str">
            <v>SESA DIEGO MIGUEL</v>
          </cell>
          <cell r="U364" t="str">
            <v>diego.sesa@oxxo.com</v>
          </cell>
          <cell r="V364">
            <v>56954238682</v>
          </cell>
          <cell r="W364" t="str">
            <v>ZAMBRANO JARA CAROLINA GRACIELA</v>
          </cell>
          <cell r="X364" t="str">
            <v>carolina.zambrano@oxxo.com</v>
          </cell>
          <cell r="Y364">
            <v>56964950188</v>
          </cell>
          <cell r="Z364" t="str">
            <v>MONICA NICOLE VILLALOBOS CHIGUAILAO</v>
          </cell>
          <cell r="AA364">
            <v>56995699534</v>
          </cell>
          <cell r="AB364">
            <v>0.29166666666666669</v>
          </cell>
          <cell r="AC364">
            <v>0.91666666666666663</v>
          </cell>
          <cell r="AD364">
            <v>0.29166666666666669</v>
          </cell>
          <cell r="AE364">
            <v>0.91666666666666663</v>
          </cell>
          <cell r="AF364">
            <v>0.33333333333333331</v>
          </cell>
          <cell r="AG364">
            <v>0.91666666666666663</v>
          </cell>
          <cell r="AH364">
            <v>0.39583333333333331</v>
          </cell>
          <cell r="AI364">
            <v>0.84375</v>
          </cell>
          <cell r="AJ364">
            <v>0.375</v>
          </cell>
          <cell r="AK364">
            <v>0.91666666666666663</v>
          </cell>
          <cell r="AL364" t="str">
            <v>12HRS</v>
          </cell>
          <cell r="AM364" t="str">
            <v>PAULA HUERTA</v>
          </cell>
          <cell r="AO364">
            <v>45282</v>
          </cell>
        </row>
        <row r="365">
          <cell r="E365" t="str">
            <v>OXXO - EX OKM</v>
          </cell>
          <cell r="F365" t="str">
            <v>ESMERALDA</v>
          </cell>
          <cell r="G365" t="str">
            <v>CALLE ESMERALDA 1077</v>
          </cell>
          <cell r="H365" t="str">
            <v>VALPARAÍSO</v>
          </cell>
          <cell r="I365" t="str">
            <v>VALPARAISO</v>
          </cell>
          <cell r="J365" t="str">
            <v>50OES</v>
          </cell>
          <cell r="K365" t="str">
            <v>cl-esmeralda@tiendas.oxxo.com</v>
          </cell>
          <cell r="L365" t="str">
            <v>TNM</v>
          </cell>
          <cell r="M365" t="str">
            <v>RECESO</v>
          </cell>
          <cell r="O365" t="str">
            <v>NO</v>
          </cell>
          <cell r="P365" t="str">
            <v>COMPLETA</v>
          </cell>
          <cell r="T365" t="str">
            <v>SERRANO SOTO MANUEL</v>
          </cell>
          <cell r="U365" t="str">
            <v>manuel.serrano@oxxo.com</v>
          </cell>
          <cell r="V365">
            <v>56940201885</v>
          </cell>
          <cell r="X365" t="str">
            <v/>
          </cell>
          <cell r="Y365" t="str">
            <v/>
          </cell>
          <cell r="Z365" t="str">
            <v>S/I</v>
          </cell>
          <cell r="AL365" t="str">
            <v>12HRS</v>
          </cell>
          <cell r="AO365">
            <v>45278</v>
          </cell>
        </row>
        <row r="366">
          <cell r="E366" t="str">
            <v>OXXO - EX OKM</v>
          </cell>
          <cell r="F366" t="str">
            <v>TERMINAL ALAMEDA</v>
          </cell>
          <cell r="G366" t="str">
            <v>AV. LIBERTADOR BERNARDO O´HIGGINS 3750</v>
          </cell>
          <cell r="H366" t="str">
            <v>ESTACIÓN CENTRAL</v>
          </cell>
          <cell r="I366" t="str">
            <v>METROPOLITANA</v>
          </cell>
          <cell r="J366" t="str">
            <v>50OTA</v>
          </cell>
          <cell r="K366" t="str">
            <v>cl-terminalalameda@tiendas.oxxo.com</v>
          </cell>
          <cell r="L366" t="str">
            <v>TMCB</v>
          </cell>
          <cell r="M366" t="str">
            <v>RECESO</v>
          </cell>
          <cell r="N366" t="str">
            <v>C3</v>
          </cell>
          <cell r="O366" t="str">
            <v>NO</v>
          </cell>
          <cell r="P366" t="str">
            <v>COMPLETA</v>
          </cell>
          <cell r="Q366" t="str">
            <v>NO</v>
          </cell>
          <cell r="R366" t="str">
            <v>NO</v>
          </cell>
          <cell r="S366" t="str">
            <v>NO</v>
          </cell>
          <cell r="T366" t="str">
            <v>BRESCIA RIVERA RODRIGO</v>
          </cell>
          <cell r="U366" t="str">
            <v>rodrigo.brescia@oxxo.com</v>
          </cell>
          <cell r="V366">
            <v>56994777909</v>
          </cell>
          <cell r="W366" t="str">
            <v>PINERUA JAIMES JESUS</v>
          </cell>
          <cell r="X366" t="str">
            <v>jesus.pinerua@oxxo.com</v>
          </cell>
          <cell r="Y366">
            <v>56982335207</v>
          </cell>
          <cell r="Z366" t="str">
            <v>ROSARIO DEL CARMEN LILLO DIAZ</v>
          </cell>
          <cell r="AA366">
            <v>56961837548</v>
          </cell>
          <cell r="AB366">
            <v>0.29166666666666669</v>
          </cell>
          <cell r="AC366">
            <v>0.91666666666666663</v>
          </cell>
          <cell r="AD366">
            <v>0.29166666666666669</v>
          </cell>
          <cell r="AE366">
            <v>0.91666666666666663</v>
          </cell>
          <cell r="AF366">
            <v>0.33333333333333331</v>
          </cell>
          <cell r="AG366">
            <v>0.91666666666666663</v>
          </cell>
          <cell r="AH366">
            <v>0.375</v>
          </cell>
          <cell r="AI366">
            <v>0.875</v>
          </cell>
          <cell r="AJ366">
            <v>0.375</v>
          </cell>
          <cell r="AK366">
            <v>0.875</v>
          </cell>
          <cell r="AL366" t="str">
            <v>12HRS</v>
          </cell>
          <cell r="AM366" t="str">
            <v>PAULA HUERTA</v>
          </cell>
          <cell r="AO366">
            <v>45251</v>
          </cell>
        </row>
        <row r="367">
          <cell r="E367" t="str">
            <v>OXXO</v>
          </cell>
          <cell r="F367" t="str">
            <v>TERMINAL DE BUSES II</v>
          </cell>
          <cell r="G367" t="str">
            <v>AV. LIBERTADOR BERNANDO OHIGGINS 3750 LOCAL 17</v>
          </cell>
          <cell r="H367" t="str">
            <v>ESTACIÓN CENTRAL</v>
          </cell>
          <cell r="I367" t="str">
            <v>METROPOLITANA</v>
          </cell>
          <cell r="J367" t="str">
            <v>504A3</v>
          </cell>
          <cell r="K367" t="str">
            <v>cl-terminaldebuses2@tiendas.oxxo.com</v>
          </cell>
          <cell r="L367" t="str">
            <v>TMCB</v>
          </cell>
          <cell r="M367" t="str">
            <v>RECESO</v>
          </cell>
          <cell r="N367" t="str">
            <v>C3</v>
          </cell>
          <cell r="O367" t="str">
            <v>NO</v>
          </cell>
          <cell r="P367" t="str">
            <v>COMPLETA</v>
          </cell>
          <cell r="Q367" t="str">
            <v>NO</v>
          </cell>
          <cell r="R367" t="str">
            <v>NO</v>
          </cell>
          <cell r="S367" t="str">
            <v>NO</v>
          </cell>
          <cell r="T367" t="str">
            <v>BRESCIA RIVERA RODRIGO</v>
          </cell>
          <cell r="U367" t="str">
            <v>rodrigo.brescia@oxxo.com</v>
          </cell>
          <cell r="V367">
            <v>56994777909</v>
          </cell>
          <cell r="W367" t="str">
            <v>PINERUA JAIMES JESUS</v>
          </cell>
          <cell r="X367" t="str">
            <v>jesus.pinerua@oxxo.com</v>
          </cell>
          <cell r="Y367">
            <v>56982335207</v>
          </cell>
          <cell r="Z367" t="str">
            <v>GERLIN YERMYLEY GARCIA MALDONADO</v>
          </cell>
          <cell r="AA367">
            <v>56989991336</v>
          </cell>
          <cell r="AB367">
            <v>0.29166666666666669</v>
          </cell>
          <cell r="AC367">
            <v>0.91666666666666663</v>
          </cell>
          <cell r="AD367">
            <v>0.29166666666666669</v>
          </cell>
          <cell r="AE367">
            <v>0.91666666666666663</v>
          </cell>
          <cell r="AF367">
            <v>0.33333333333333331</v>
          </cell>
          <cell r="AG367">
            <v>0.91666666666666663</v>
          </cell>
          <cell r="AH367">
            <v>0.39583333333333331</v>
          </cell>
          <cell r="AI367">
            <v>0.84375</v>
          </cell>
          <cell r="AJ367">
            <v>0.39583333333333331</v>
          </cell>
          <cell r="AK367">
            <v>0.84375</v>
          </cell>
          <cell r="AL367" t="str">
            <v>12HRS</v>
          </cell>
          <cell r="AM367" t="str">
            <v>PAULA HUERTA</v>
          </cell>
          <cell r="AO367">
            <v>44799</v>
          </cell>
        </row>
        <row r="368">
          <cell r="E368" t="str">
            <v>OXXO - EX OKM</v>
          </cell>
          <cell r="F368" t="str">
            <v>TOBALABA 1</v>
          </cell>
          <cell r="G368" t="str">
            <v> AVDA. PROVIDENCIA 2671</v>
          </cell>
          <cell r="H368" t="str">
            <v>LAS CONDES</v>
          </cell>
          <cell r="I368" t="str">
            <v>METROPOLITANA</v>
          </cell>
          <cell r="J368" t="str">
            <v>50OTP</v>
          </cell>
          <cell r="K368" t="str">
            <v>cl-tobalabaprovidencia@tiendas.oxxo.com</v>
          </cell>
          <cell r="L368" t="str">
            <v>TMCB</v>
          </cell>
          <cell r="M368" t="str">
            <v>RECESO</v>
          </cell>
          <cell r="N368" t="str">
            <v>C2</v>
          </cell>
          <cell r="O368" t="str">
            <v>NO</v>
          </cell>
          <cell r="P368" t="str">
            <v>COMPLETA</v>
          </cell>
          <cell r="Q368" t="str">
            <v>NO</v>
          </cell>
          <cell r="R368" t="str">
            <v>NO</v>
          </cell>
          <cell r="S368" t="str">
            <v>NO</v>
          </cell>
          <cell r="T368" t="str">
            <v>BRESCIA RIVERA RODRIGO</v>
          </cell>
          <cell r="U368" t="str">
            <v>rodrigo.brescia@oxxo.com</v>
          </cell>
          <cell r="V368">
            <v>56994777909</v>
          </cell>
          <cell r="W368" t="str">
            <v>MONTT FUENTES JAIME IGNACIO</v>
          </cell>
          <cell r="X368" t="str">
            <v>jaime.montt@oxxo.com</v>
          </cell>
          <cell r="Y368">
            <v>56974820182</v>
          </cell>
          <cell r="Z368" t="str">
            <v>ARIANNE CONSTANZA PAREDES PARRA</v>
          </cell>
          <cell r="AB368">
            <v>0.29166666666666669</v>
          </cell>
          <cell r="AC368">
            <v>0.91666666666666663</v>
          </cell>
          <cell r="AD368">
            <v>0.29166666666666669</v>
          </cell>
          <cell r="AE368">
            <v>0.91666666666666663</v>
          </cell>
          <cell r="AF368">
            <v>0.33333333333333331</v>
          </cell>
          <cell r="AG368">
            <v>0.91666666666666663</v>
          </cell>
          <cell r="AH368">
            <v>0.39583333333333331</v>
          </cell>
          <cell r="AI368">
            <v>0.84375</v>
          </cell>
          <cell r="AJ368">
            <v>0.375</v>
          </cell>
          <cell r="AK368">
            <v>0.91666666666666663</v>
          </cell>
          <cell r="AL368" t="str">
            <v>12HRS</v>
          </cell>
          <cell r="AM368" t="str">
            <v>PAULA HUERTA</v>
          </cell>
          <cell r="AO368">
            <v>45439</v>
          </cell>
        </row>
        <row r="369">
          <cell r="E369" t="str">
            <v>OXXO - EX OKM</v>
          </cell>
          <cell r="F369" t="str">
            <v>MIDDLETON</v>
          </cell>
          <cell r="G369" t="str">
            <v>MIDDLETON  1690</v>
          </cell>
          <cell r="H369" t="str">
            <v>PROVIDENCIA</v>
          </cell>
          <cell r="I369" t="str">
            <v>METROPOLITANA</v>
          </cell>
          <cell r="J369" t="str">
            <v>50OMD</v>
          </cell>
          <cell r="K369" t="str">
            <v>cl-middleton@tiendas.oxxo.com</v>
          </cell>
          <cell r="L369" t="str">
            <v>TMCB OKM</v>
          </cell>
          <cell r="M369" t="str">
            <v>HOGAR</v>
          </cell>
          <cell r="N369" t="str">
            <v>C2</v>
          </cell>
          <cell r="O369" t="str">
            <v>SI</v>
          </cell>
          <cell r="P369" t="str">
            <v>COMPLETA</v>
          </cell>
          <cell r="T369" t="str">
            <v>SERRANO SOTO MANUEL</v>
          </cell>
          <cell r="U369" t="str">
            <v>manuel.serrano@oxxo.com</v>
          </cell>
          <cell r="V369">
            <v>56940201885</v>
          </cell>
          <cell r="X369" t="str">
            <v/>
          </cell>
          <cell r="Y369" t="str">
            <v/>
          </cell>
          <cell r="Z369" t="str">
            <v>DANIELA ALEJANDRA BRIONES URRUTIA</v>
          </cell>
          <cell r="AL369" t="str">
            <v>12HRS</v>
          </cell>
          <cell r="AO369">
            <v>45205</v>
          </cell>
        </row>
        <row r="370">
          <cell r="E370" t="str">
            <v>OXXO - EX OKM</v>
          </cell>
          <cell r="F370" t="str">
            <v>MARCHANT PEREIRA 2</v>
          </cell>
          <cell r="G370" t="str">
            <v>MARCHANT PEREIRA 150 - LOCAL 1 Y 2</v>
          </cell>
          <cell r="H370" t="str">
            <v>PROVIDENCIA</v>
          </cell>
          <cell r="I370" t="str">
            <v>METROPOLITANA</v>
          </cell>
          <cell r="J370" t="str">
            <v>50OMH</v>
          </cell>
          <cell r="K370" t="str">
            <v>cl-marchantpereira2@tiendas.oxxo.com</v>
          </cell>
          <cell r="L370" t="str">
            <v>TMCB OKM</v>
          </cell>
          <cell r="M370" t="str">
            <v>RECESO</v>
          </cell>
          <cell r="N370" t="str">
            <v>C2</v>
          </cell>
          <cell r="O370" t="str">
            <v>NO</v>
          </cell>
          <cell r="P370" t="str">
            <v>COMPLETA</v>
          </cell>
          <cell r="T370" t="str">
            <v>SERRANO SOTO MANUEL</v>
          </cell>
          <cell r="U370" t="str">
            <v>manuel.serrano@oxxo.com</v>
          </cell>
          <cell r="V370">
            <v>56940201885</v>
          </cell>
          <cell r="X370" t="str">
            <v/>
          </cell>
          <cell r="Y370" t="str">
            <v/>
          </cell>
          <cell r="Z370" t="str">
            <v>JAIRO ANTONIO VARGAS AMESTICA</v>
          </cell>
          <cell r="AL370" t="str">
            <v>12HRS</v>
          </cell>
          <cell r="AO370">
            <v>45252</v>
          </cell>
        </row>
        <row r="371">
          <cell r="E371" t="str">
            <v>OXXO - EX OKM</v>
          </cell>
          <cell r="F371" t="str">
            <v>TOLEDO</v>
          </cell>
          <cell r="G371" t="str">
            <v>PEDRO DE VALDIVIA 1221-1227</v>
          </cell>
          <cell r="H371" t="str">
            <v>PROVIDENCIA</v>
          </cell>
          <cell r="I371" t="str">
            <v>METROPOLITANA</v>
          </cell>
          <cell r="J371" t="str">
            <v>50OTL</v>
          </cell>
          <cell r="K371" t="str">
            <v>cl-toledo@tiendas.oxxo.com</v>
          </cell>
          <cell r="L371" t="str">
            <v>TMCB</v>
          </cell>
          <cell r="M371" t="str">
            <v>HOGAR</v>
          </cell>
          <cell r="N371" t="str">
            <v>ABC1</v>
          </cell>
          <cell r="O371" t="str">
            <v>NO</v>
          </cell>
          <cell r="P371" t="str">
            <v>COMPLETA</v>
          </cell>
          <cell r="Q371" t="str">
            <v>NO</v>
          </cell>
          <cell r="R371" t="str">
            <v>NO</v>
          </cell>
          <cell r="S371" t="str">
            <v>NO</v>
          </cell>
          <cell r="T371" t="str">
            <v>BRESCIA RIVERA RODRIGO</v>
          </cell>
          <cell r="U371" t="str">
            <v>rodrigo.brescia@oxxo.com</v>
          </cell>
          <cell r="V371">
            <v>56994777909</v>
          </cell>
          <cell r="W371" t="str">
            <v>BARRIOS BAPTISTA JUAN JOSE</v>
          </cell>
          <cell r="X371" t="str">
            <v>juanj.barrios@oxxo.com</v>
          </cell>
          <cell r="Y371">
            <v>56998642001</v>
          </cell>
          <cell r="Z371" t="str">
            <v>ANA PAULA PINEDO YAICATE</v>
          </cell>
          <cell r="AA371">
            <v>56958183949</v>
          </cell>
          <cell r="AB371">
            <v>0.29166666666666669</v>
          </cell>
          <cell r="AC371">
            <v>0.91666666666666663</v>
          </cell>
          <cell r="AD371">
            <v>0.29166666666666669</v>
          </cell>
          <cell r="AE371">
            <v>0.91666666666666663</v>
          </cell>
          <cell r="AF371">
            <v>0.33333333333333331</v>
          </cell>
          <cell r="AG371">
            <v>0.91666666666666663</v>
          </cell>
          <cell r="AH371">
            <v>0.39583333333333331</v>
          </cell>
          <cell r="AI371">
            <v>0.84375</v>
          </cell>
          <cell r="AJ371">
            <v>0.375</v>
          </cell>
          <cell r="AK371">
            <v>0.91666666666666663</v>
          </cell>
          <cell r="AL371" t="str">
            <v>12HRS</v>
          </cell>
          <cell r="AM371" t="str">
            <v>ROBERTO POBLETE</v>
          </cell>
          <cell r="AO371">
            <v>45433</v>
          </cell>
        </row>
        <row r="372">
          <cell r="E372" t="str">
            <v>OXXO</v>
          </cell>
          <cell r="F372" t="str">
            <v>TRISTAN MATTA</v>
          </cell>
          <cell r="G372" t="str">
            <v>GRAN AVENIDA JOSÉ MIGUEL CARRERA N5311</v>
          </cell>
          <cell r="H372" t="str">
            <v>SAN MIGUEL</v>
          </cell>
          <cell r="I372" t="str">
            <v>METROPOLITANA</v>
          </cell>
          <cell r="J372" t="str">
            <v>50HZO</v>
          </cell>
          <cell r="K372" t="str">
            <v>cl-tristanmatta@tiendas.oxxo.com</v>
          </cell>
          <cell r="L372" t="str">
            <v>TMCB</v>
          </cell>
          <cell r="M372" t="str">
            <v>BASE</v>
          </cell>
          <cell r="N372" t="str">
            <v>ABC1</v>
          </cell>
          <cell r="O372" t="str">
            <v>NO</v>
          </cell>
          <cell r="P372" t="str">
            <v>COMPLETA</v>
          </cell>
          <cell r="Q372" t="str">
            <v>SI</v>
          </cell>
          <cell r="R372" t="str">
            <v>SI</v>
          </cell>
          <cell r="S372" t="str">
            <v>NO</v>
          </cell>
          <cell r="T372" t="str">
            <v>BRESCIA RIVERA RODRIGO</v>
          </cell>
          <cell r="U372" t="str">
            <v>rodrigo.brescia@oxxo.com</v>
          </cell>
          <cell r="V372">
            <v>56994777909</v>
          </cell>
          <cell r="W372" t="str">
            <v>PINERUA JAIMES JESUS</v>
          </cell>
          <cell r="X372" t="str">
            <v>jesus.pinerua@oxxo.com</v>
          </cell>
          <cell r="Y372">
            <v>56982335207</v>
          </cell>
          <cell r="Z372" t="str">
            <v>BELKIS YILENI ZAMBRANO PEÑA</v>
          </cell>
          <cell r="AA372">
            <v>56992201900</v>
          </cell>
          <cell r="AB372">
            <v>0.29166666666666669</v>
          </cell>
          <cell r="AC372">
            <v>0.91666666666666663</v>
          </cell>
          <cell r="AD372">
            <v>0.29166666666666669</v>
          </cell>
          <cell r="AE372">
            <v>0.91666666666666663</v>
          </cell>
          <cell r="AF372">
            <v>0.33333333333333331</v>
          </cell>
          <cell r="AG372">
            <v>0.91666666666666663</v>
          </cell>
          <cell r="AH372">
            <v>0.39583333333333331</v>
          </cell>
          <cell r="AI372">
            <v>0.84375</v>
          </cell>
          <cell r="AJ372">
            <v>0.375</v>
          </cell>
          <cell r="AK372">
            <v>0.91666666666666663</v>
          </cell>
          <cell r="AL372" t="str">
            <v>12HRS</v>
          </cell>
          <cell r="AM372" t="str">
            <v>PAULA HUERTA</v>
          </cell>
          <cell r="AO372">
            <v>45037</v>
          </cell>
        </row>
        <row r="373">
          <cell r="E373" t="str">
            <v>OKM</v>
          </cell>
          <cell r="F373" t="str">
            <v>OKM MERCED</v>
          </cell>
          <cell r="G373" t="str">
            <v> SAN ANTONIO 412</v>
          </cell>
          <cell r="H373" t="str">
            <v>SANTIAGO</v>
          </cell>
          <cell r="I373" t="str">
            <v>METROPOLITANA</v>
          </cell>
          <cell r="J373" t="str">
            <v>50OSM</v>
          </cell>
          <cell r="K373" t="str">
            <v>okm-sanantoniomerced@tiendas.oxxo.com</v>
          </cell>
          <cell r="L373" t="str">
            <v>TMCB OKM</v>
          </cell>
          <cell r="M373" t="str">
            <v>AL PASO</v>
          </cell>
          <cell r="O373" t="str">
            <v>NO</v>
          </cell>
          <cell r="P373" t="str">
            <v>COMPLETA</v>
          </cell>
          <cell r="T373" t="str">
            <v>SERRANO SOTO MANUEL</v>
          </cell>
          <cell r="U373" t="str">
            <v>manuel.serrano@oxxo.com</v>
          </cell>
          <cell r="V373">
            <v>56940201885</v>
          </cell>
          <cell r="X373" t="str">
            <v/>
          </cell>
          <cell r="Y373" t="str">
            <v/>
          </cell>
          <cell r="Z373" t="str">
            <v>S/I</v>
          </cell>
          <cell r="AL373" t="str">
            <v>12HRS</v>
          </cell>
        </row>
        <row r="374">
          <cell r="E374" t="str">
            <v>OXXO - EX OKM</v>
          </cell>
          <cell r="F374" t="str">
            <v>UNAB VINA</v>
          </cell>
          <cell r="G374" t="str">
            <v>QUILLOTA 980</v>
          </cell>
          <cell r="H374" t="str">
            <v>VIÑA DEL MAR</v>
          </cell>
          <cell r="I374" t="str">
            <v>VALPARAISO</v>
          </cell>
          <cell r="J374" t="str">
            <v>50OUV</v>
          </cell>
          <cell r="K374" t="str">
            <v>cl-unabvina@tiendas.oxxo.com</v>
          </cell>
          <cell r="L374" t="str">
            <v>TMCB</v>
          </cell>
          <cell r="M374" t="str">
            <v>RECESO</v>
          </cell>
          <cell r="N374" t="str">
            <v>C3</v>
          </cell>
          <cell r="O374" t="str">
            <v>NO</v>
          </cell>
          <cell r="P374" t="str">
            <v>COMPLETA</v>
          </cell>
          <cell r="Q374" t="str">
            <v>NO</v>
          </cell>
          <cell r="R374" t="str">
            <v>NO</v>
          </cell>
          <cell r="S374" t="str">
            <v>NO</v>
          </cell>
          <cell r="T374" t="str">
            <v>SESA DIEGO MIGUEL</v>
          </cell>
          <cell r="U374" t="str">
            <v>diego.sesa@oxxo.com</v>
          </cell>
          <cell r="V374">
            <v>56954238682</v>
          </cell>
          <cell r="W374" t="str">
            <v>ESCOBAR VALDES VALESKA SOLEDAD</v>
          </cell>
          <cell r="X374" t="str">
            <v>valeska.escobar@oxxo.com</v>
          </cell>
          <cell r="Y374">
            <v>56961681492</v>
          </cell>
          <cell r="Z374" t="str">
            <v>YESSICA SOLANGE DIAZ CISTERNA</v>
          </cell>
          <cell r="AA374">
            <v>56993250605</v>
          </cell>
          <cell r="AB374">
            <v>0.29166666666666669</v>
          </cell>
          <cell r="AC374">
            <v>0.875</v>
          </cell>
          <cell r="AD374">
            <v>0.29166666666666669</v>
          </cell>
          <cell r="AE374">
            <v>0.875</v>
          </cell>
          <cell r="AF374">
            <v>0.33333333333333331</v>
          </cell>
          <cell r="AG374">
            <v>0.58333333333333337</v>
          </cell>
          <cell r="AH374" t="str">
            <v>Cerrado</v>
          </cell>
          <cell r="AI374" t="str">
            <v>Cerrado</v>
          </cell>
          <cell r="AJ374">
            <v>0</v>
          </cell>
          <cell r="AK374">
            <v>0</v>
          </cell>
          <cell r="AL374" t="str">
            <v>12HRS</v>
          </cell>
          <cell r="AM374" t="str">
            <v>ROBERTO POBLETE</v>
          </cell>
        </row>
        <row r="375">
          <cell r="E375" t="str">
            <v>OXXO</v>
          </cell>
          <cell r="F375" t="str">
            <v>VESPUCIO ALBACETE</v>
          </cell>
          <cell r="G375" t="str">
            <v>AMÉRICO VESPUCIO SUR 700 , LOCAL 102B</v>
          </cell>
          <cell r="H375" t="str">
            <v>LAS CONDES</v>
          </cell>
          <cell r="I375" t="str">
            <v>METROPOLITANA</v>
          </cell>
          <cell r="J375" t="str">
            <v>50VAL</v>
          </cell>
          <cell r="K375" t="str">
            <v>cl-vespucioalbacete@tiendas.oxxo.com</v>
          </cell>
          <cell r="L375" t="str">
            <v>TMCB</v>
          </cell>
          <cell r="M375" t="str">
            <v>BASE</v>
          </cell>
          <cell r="N375" t="str">
            <v>ABC1</v>
          </cell>
          <cell r="O375" t="str">
            <v>NO</v>
          </cell>
          <cell r="P375" t="str">
            <v>COMPLETA</v>
          </cell>
          <cell r="Q375" t="str">
            <v>NO</v>
          </cell>
          <cell r="R375" t="str">
            <v>NO</v>
          </cell>
          <cell r="S375" t="str">
            <v>NO</v>
          </cell>
          <cell r="T375" t="str">
            <v>BRESCIA RIVERA RODRIGO</v>
          </cell>
          <cell r="U375" t="str">
            <v>rodrigo.brescia@oxxo.com</v>
          </cell>
          <cell r="V375">
            <v>56994777909</v>
          </cell>
          <cell r="W375" t="str">
            <v>BENITEZ QUILODRAN HUGO</v>
          </cell>
          <cell r="X375" t="str">
            <v>hugo.benitez@oxxo.com</v>
          </cell>
          <cell r="Y375">
            <v>56998355780</v>
          </cell>
          <cell r="Z375" t="str">
            <v>ALEJANDRA DEL PILAR POBLETE OLGUIN</v>
          </cell>
          <cell r="AA375">
            <v>56999411282</v>
          </cell>
          <cell r="AB375">
            <v>0.29166666666666669</v>
          </cell>
          <cell r="AC375">
            <v>0.91666666666666663</v>
          </cell>
          <cell r="AD375">
            <v>0.29166666666666669</v>
          </cell>
          <cell r="AE375">
            <v>0.91666666666666663</v>
          </cell>
          <cell r="AF375">
            <v>0.33333333333333331</v>
          </cell>
          <cell r="AG375">
            <v>0.91666666666666663</v>
          </cell>
          <cell r="AH375">
            <v>0.39583333333333331</v>
          </cell>
          <cell r="AI375">
            <v>0.84375</v>
          </cell>
          <cell r="AJ375">
            <v>0.375</v>
          </cell>
          <cell r="AK375">
            <v>0.875</v>
          </cell>
          <cell r="AL375" t="str">
            <v>12HRS</v>
          </cell>
          <cell r="AM375" t="str">
            <v>ROBERTO POBLETE</v>
          </cell>
          <cell r="AO375">
            <v>44181</v>
          </cell>
        </row>
        <row r="376">
          <cell r="E376" t="str">
            <v>OKM</v>
          </cell>
          <cell r="F376" t="str">
            <v>OKM DIEGO DE ALMAGRO</v>
          </cell>
          <cell r="G376" t="str">
            <v> EL BOSQUE 2108</v>
          </cell>
          <cell r="H376" t="str">
            <v>PROVIDENCIA</v>
          </cell>
          <cell r="I376" t="str">
            <v>METROPOLITANA</v>
          </cell>
          <cell r="J376" t="str">
            <v>50ODA</v>
          </cell>
          <cell r="K376" t="str">
            <v>okm-diegodealmagro@tiendas.oxxo.com</v>
          </cell>
          <cell r="L376" t="str">
            <v>TMCB OKM</v>
          </cell>
          <cell r="M376" t="str">
            <v>HOGAR</v>
          </cell>
          <cell r="N376" t="str">
            <v>ABC1</v>
          </cell>
          <cell r="O376" t="str">
            <v>SI</v>
          </cell>
          <cell r="P376" t="str">
            <v>COMPLETA</v>
          </cell>
          <cell r="T376" t="str">
            <v>SERRANO SOTO MANUEL</v>
          </cell>
          <cell r="U376" t="str">
            <v>manuel.serrano@oxxo.com</v>
          </cell>
          <cell r="V376">
            <v>56940201885</v>
          </cell>
          <cell r="W376" t="str">
            <v>RODRIGUEZ ABREU ROSA</v>
          </cell>
          <cell r="X376" t="str">
            <v>rosa.rodriguezabreu@oxxo.com</v>
          </cell>
          <cell r="Y376">
            <v>56989993870</v>
          </cell>
          <cell r="Z376" t="str">
            <v>DANAE CONSTANZA PAZ LUQUE</v>
          </cell>
          <cell r="AA376">
            <v>56988678072</v>
          </cell>
          <cell r="AL376" t="str">
            <v>12HRS</v>
          </cell>
        </row>
        <row r="377">
          <cell r="E377" t="str">
            <v>OXXO</v>
          </cell>
          <cell r="F377" t="str">
            <v>VIANA</v>
          </cell>
          <cell r="G377" t="str">
            <v>VIANA 883</v>
          </cell>
          <cell r="H377" t="str">
            <v>VIÑA DEL MAR</v>
          </cell>
          <cell r="I377" t="str">
            <v>VALPARAISO</v>
          </cell>
          <cell r="J377" t="str">
            <v>50VNA</v>
          </cell>
          <cell r="K377" t="str">
            <v>cl-viana@tiendas.oxxo.com</v>
          </cell>
          <cell r="L377" t="str">
            <v>TMCB</v>
          </cell>
          <cell r="M377" t="str">
            <v>BASE</v>
          </cell>
          <cell r="N377" t="str">
            <v>ABC1</v>
          </cell>
          <cell r="O377" t="str">
            <v>NO</v>
          </cell>
          <cell r="P377" t="str">
            <v>COMPLETA</v>
          </cell>
          <cell r="Q377" t="str">
            <v>NO</v>
          </cell>
          <cell r="R377" t="str">
            <v>NO</v>
          </cell>
          <cell r="S377" t="str">
            <v>NO</v>
          </cell>
          <cell r="T377" t="str">
            <v>SESA DIEGO MIGUEL</v>
          </cell>
          <cell r="U377" t="str">
            <v>diego.sesa@oxxo.com</v>
          </cell>
          <cell r="V377">
            <v>56954238682</v>
          </cell>
          <cell r="W377" t="str">
            <v>RODRÍGUEZ ROBLES MARCELA ALEJANDRA</v>
          </cell>
          <cell r="X377" t="str">
            <v>marcela.rodriguezrobles@oxxo.com</v>
          </cell>
          <cell r="Y377">
            <v>56982335207</v>
          </cell>
          <cell r="Z377" t="str">
            <v>ROSIBEL ALEJANDRA CASTELLANOS GODOY</v>
          </cell>
          <cell r="AA377">
            <v>56973080043</v>
          </cell>
          <cell r="AB377">
            <v>0.29166666666666669</v>
          </cell>
          <cell r="AC377">
            <v>0.95833333333333337</v>
          </cell>
          <cell r="AD377">
            <v>0.29166666666666669</v>
          </cell>
          <cell r="AE377">
            <v>0.99305555555555558</v>
          </cell>
          <cell r="AF377">
            <v>0.33333333333333331</v>
          </cell>
          <cell r="AG377">
            <v>0.99305555555555558</v>
          </cell>
          <cell r="AH377">
            <v>0.39583333333333331</v>
          </cell>
          <cell r="AI377">
            <v>0.84375</v>
          </cell>
          <cell r="AJ377">
            <v>0.375</v>
          </cell>
          <cell r="AK377">
            <v>0.875</v>
          </cell>
          <cell r="AL377" t="str">
            <v>12HRS</v>
          </cell>
          <cell r="AM377" t="str">
            <v>ROBERTO POBLETE</v>
          </cell>
          <cell r="AO377">
            <v>44466</v>
          </cell>
        </row>
        <row r="378">
          <cell r="E378" t="str">
            <v>OKM</v>
          </cell>
          <cell r="F378" t="str">
            <v>OKM COQUIMBO</v>
          </cell>
          <cell r="G378" t="str">
            <v> VICUÑA MACKENNA 869 LOCAL 4, SANTIAGO.</v>
          </cell>
          <cell r="H378" t="str">
            <v>SANTIAGO</v>
          </cell>
          <cell r="I378" t="str">
            <v>METROPOLITANA</v>
          </cell>
          <cell r="J378" t="str">
            <v>50OCQ</v>
          </cell>
          <cell r="K378" t="str">
            <v>okm-coquimbo@tiendas.oxxo.com</v>
          </cell>
          <cell r="L378" t="str">
            <v>TMCB OKM</v>
          </cell>
          <cell r="M378" t="str">
            <v>RECESO</v>
          </cell>
          <cell r="O378" t="str">
            <v>NO</v>
          </cell>
          <cell r="P378" t="str">
            <v>COMPLETA</v>
          </cell>
          <cell r="T378" t="str">
            <v>SERRANO SOTO MANUEL</v>
          </cell>
          <cell r="U378" t="str">
            <v>manuel.serrano@oxxo.com</v>
          </cell>
          <cell r="V378">
            <v>56940201885</v>
          </cell>
          <cell r="W378" t="str">
            <v>ARAYA BURGOS ARIEL</v>
          </cell>
          <cell r="X378" t="str">
            <v>ariel.araya@oxxo.com</v>
          </cell>
          <cell r="Y378">
            <v>56976232708</v>
          </cell>
          <cell r="Z378" t="str">
            <v>S/I</v>
          </cell>
          <cell r="AL378" t="str">
            <v>12HRS</v>
          </cell>
        </row>
        <row r="379">
          <cell r="E379" t="str">
            <v>OXXO - EX OKM</v>
          </cell>
          <cell r="F379" t="str">
            <v>LAS LILAS</v>
          </cell>
          <cell r="G379" t="str">
            <v> ELIODORO YAÑEZ 2881</v>
          </cell>
          <cell r="H379" t="str">
            <v>PROVIDENCIA</v>
          </cell>
          <cell r="I379" t="str">
            <v>METROPOLITANA</v>
          </cell>
          <cell r="J379" t="str">
            <v>50OLL</v>
          </cell>
          <cell r="K379" t="str">
            <v>cl-laslilas@tiendas.oxxo.com</v>
          </cell>
          <cell r="L379" t="str">
            <v>TMCB OKM</v>
          </cell>
          <cell r="M379" t="str">
            <v>HOGAR C/FF</v>
          </cell>
          <cell r="N379" t="str">
            <v>ABC1</v>
          </cell>
          <cell r="O379" t="str">
            <v>NO</v>
          </cell>
          <cell r="P379" t="str">
            <v>COMPLETA</v>
          </cell>
          <cell r="T379" t="str">
            <v>SERRANO SOTO MANUEL</v>
          </cell>
          <cell r="U379" t="str">
            <v>manuel.serrano@oxxo.com</v>
          </cell>
          <cell r="V379">
            <v>56940201885</v>
          </cell>
          <cell r="W379" t="str">
            <v>RODRIGUEZ ABREU ROSA</v>
          </cell>
          <cell r="X379" t="str">
            <v>rosa.rodriguezabreu@oxxo.com</v>
          </cell>
          <cell r="Y379">
            <v>56989993870</v>
          </cell>
          <cell r="Z379" t="str">
            <v>MAURICIO SEIBT VENEGAS</v>
          </cell>
          <cell r="AA379">
            <v>56974315957</v>
          </cell>
          <cell r="AL379" t="str">
            <v>12HRS</v>
          </cell>
          <cell r="AO379">
            <v>45328</v>
          </cell>
        </row>
        <row r="380">
          <cell r="E380" t="str">
            <v>OKM</v>
          </cell>
          <cell r="F380" t="str">
            <v>OKM SANTA ISABEL</v>
          </cell>
          <cell r="G380" t="str">
            <v> AV. SANTA ISABEL 1131</v>
          </cell>
          <cell r="H380" t="str">
            <v>PROVIDENCIA</v>
          </cell>
          <cell r="I380" t="str">
            <v>METROPOLITANA</v>
          </cell>
          <cell r="J380" t="str">
            <v>50OSI</v>
          </cell>
          <cell r="K380" t="str">
            <v>okm-santaisabel@tiendas.oxxo.com</v>
          </cell>
          <cell r="L380" t="str">
            <v>TMCB OKM</v>
          </cell>
          <cell r="M380" t="str">
            <v>HOGAR C/FF</v>
          </cell>
          <cell r="N380" t="str">
            <v>ABC1</v>
          </cell>
          <cell r="O380" t="str">
            <v>NO</v>
          </cell>
          <cell r="P380" t="str">
            <v>COMPLETA</v>
          </cell>
          <cell r="T380" t="str">
            <v>SERRANO SOTO MANUEL</v>
          </cell>
          <cell r="U380" t="str">
            <v>manuel.serrano@oxxo.com</v>
          </cell>
          <cell r="V380">
            <v>56940201885</v>
          </cell>
          <cell r="W380" t="str">
            <v>RUIZ FERRER VANNA</v>
          </cell>
          <cell r="X380" t="str">
            <v>vanna.ruiz@oxxo.com</v>
          </cell>
          <cell r="Y380">
            <v>56994441705</v>
          </cell>
          <cell r="Z380" t="str">
            <v>SAMUEL ANTONIO GONZALEZ BARRAZA</v>
          </cell>
          <cell r="AA380">
            <v>56973875980</v>
          </cell>
          <cell r="AL380" t="str">
            <v>12HRS</v>
          </cell>
        </row>
        <row r="381">
          <cell r="E381" t="str">
            <v>OXXO</v>
          </cell>
          <cell r="F381" t="str">
            <v>VICUNA DIAGONAL</v>
          </cell>
          <cell r="G381" t="str">
            <v>AV. DIAGONAL PARAGUAY N24, LOCAL 1</v>
          </cell>
          <cell r="H381" t="str">
            <v>SANTIAGO</v>
          </cell>
          <cell r="I381" t="str">
            <v>METROPOLITANA</v>
          </cell>
          <cell r="J381" t="str">
            <v>50ZIR</v>
          </cell>
          <cell r="K381" t="str">
            <v>cl-vicunadiagonal@tiendas.oxxo.com</v>
          </cell>
          <cell r="L381" t="str">
            <v>TNM</v>
          </cell>
          <cell r="M381" t="str">
            <v>RECESO</v>
          </cell>
          <cell r="N381" t="str">
            <v>C2</v>
          </cell>
          <cell r="O381" t="str">
            <v>NO</v>
          </cell>
          <cell r="P381" t="str">
            <v>COMPLETA</v>
          </cell>
          <cell r="Q381" t="str">
            <v>NO</v>
          </cell>
          <cell r="R381" t="str">
            <v>NO</v>
          </cell>
          <cell r="S381" t="str">
            <v>NO</v>
          </cell>
          <cell r="T381" t="str">
            <v>BRESCIA RIVERA RODRIGO</v>
          </cell>
          <cell r="U381" t="str">
            <v>rodrigo.brescia@oxxo.com</v>
          </cell>
          <cell r="V381">
            <v>56994777909</v>
          </cell>
          <cell r="W381" t="str">
            <v>LIAZ MONTERO GABRIEL</v>
          </cell>
          <cell r="X381" t="str">
            <v>gabriel.liaz@oxxo.com</v>
          </cell>
          <cell r="Y381">
            <v>56964735260</v>
          </cell>
          <cell r="Z381" t="str">
            <v>HARBELIS DEL CARMEN GONZALEZ ESPINOZA</v>
          </cell>
          <cell r="AA381">
            <v>56995696802</v>
          </cell>
          <cell r="AB381">
            <v>0.29166666666666669</v>
          </cell>
          <cell r="AC381">
            <v>0.91666666666666663</v>
          </cell>
          <cell r="AD381">
            <v>0.29166666666666669</v>
          </cell>
          <cell r="AE381">
            <v>0.91666666666666663</v>
          </cell>
          <cell r="AF381">
            <v>0.33333333333333331</v>
          </cell>
          <cell r="AG381">
            <v>0.91666666666666663</v>
          </cell>
          <cell r="AH381">
            <v>0.39583333333333331</v>
          </cell>
          <cell r="AI381">
            <v>0.84375</v>
          </cell>
          <cell r="AJ381">
            <v>0.375</v>
          </cell>
          <cell r="AK381">
            <v>0.875</v>
          </cell>
          <cell r="AL381" t="str">
            <v>12HRS</v>
          </cell>
          <cell r="AM381" t="str">
            <v>PAULA HUERTA</v>
          </cell>
          <cell r="AO381">
            <v>45232</v>
          </cell>
        </row>
        <row r="382">
          <cell r="E382" t="str">
            <v>OKM</v>
          </cell>
          <cell r="F382" t="str">
            <v>OKM IRARRAZAVAL</v>
          </cell>
          <cell r="G382" t="str">
            <v>IRARRAZAVAL 4949 LOCAL 6</v>
          </cell>
          <cell r="H382" t="str">
            <v>ÑUÑOA</v>
          </cell>
          <cell r="I382" t="str">
            <v>METROPOLITANA</v>
          </cell>
          <cell r="J382" t="str">
            <v>50OIR</v>
          </cell>
          <cell r="K382" t="str">
            <v>okm-irarrazaval@tiendas.oxxo.com</v>
          </cell>
          <cell r="L382" t="str">
            <v>TMCB</v>
          </cell>
          <cell r="M382" t="str">
            <v>BASE</v>
          </cell>
          <cell r="N382" t="str">
            <v>C2</v>
          </cell>
          <cell r="O382" t="str">
            <v>SI</v>
          </cell>
          <cell r="P382" t="str">
            <v>COMPLETA</v>
          </cell>
          <cell r="Q382" t="str">
            <v>NO</v>
          </cell>
          <cell r="R382" t="str">
            <v>NO</v>
          </cell>
          <cell r="S382" t="str">
            <v>NO</v>
          </cell>
          <cell r="T382" t="str">
            <v>SERRANO SOTO MANUEL</v>
          </cell>
          <cell r="U382" t="str">
            <v>manuel.serrano@oxxo.com</v>
          </cell>
          <cell r="V382">
            <v>56940201885</v>
          </cell>
          <cell r="W382" t="str">
            <v>RUIZ FERRER VANNA</v>
          </cell>
          <cell r="X382" t="str">
            <v>vanna.ruiz@oxxo.com</v>
          </cell>
          <cell r="Y382">
            <v>56994441705</v>
          </cell>
          <cell r="Z382" t="str">
            <v>MARIA ROSA VEGA ADASME</v>
          </cell>
          <cell r="AA382">
            <v>56971477572</v>
          </cell>
          <cell r="AJ382">
            <v>0.39583333333333331</v>
          </cell>
          <cell r="AK382">
            <v>0.84375</v>
          </cell>
          <cell r="AL382" t="str">
            <v>12HRS</v>
          </cell>
          <cell r="AM382" t="str">
            <v>CRISTOBAL AGUILERA</v>
          </cell>
        </row>
        <row r="383">
          <cell r="E383" t="str">
            <v>OXXO</v>
          </cell>
          <cell r="F383" t="str">
            <v>VINA DEL MAR</v>
          </cell>
          <cell r="G383" t="str">
            <v>7 NORTE 645 LOCAL 1, ESQUINA 1 PONIENTE</v>
          </cell>
          <cell r="H383" t="str">
            <v>VIÑA DEL MAR</v>
          </cell>
          <cell r="I383" t="str">
            <v>VALPARAISO</v>
          </cell>
          <cell r="J383" t="str">
            <v>50OOC</v>
          </cell>
          <cell r="K383" t="str">
            <v>cl-vinadelmar@tiendas.oxxo.com</v>
          </cell>
          <cell r="L383" t="str">
            <v>TMCB</v>
          </cell>
          <cell r="M383" t="str">
            <v>BASE</v>
          </cell>
          <cell r="N383" t="str">
            <v>ABC1</v>
          </cell>
          <cell r="O383" t="str">
            <v>NO</v>
          </cell>
          <cell r="P383" t="str">
            <v>COMPLETA</v>
          </cell>
          <cell r="Q383" t="str">
            <v>NO</v>
          </cell>
          <cell r="R383" t="str">
            <v>NO</v>
          </cell>
          <cell r="S383" t="str">
            <v>NO</v>
          </cell>
          <cell r="T383" t="str">
            <v>SESA DIEGO MIGUEL</v>
          </cell>
          <cell r="U383" t="str">
            <v>diego.sesa@oxxo.com</v>
          </cell>
          <cell r="V383">
            <v>56954238682</v>
          </cell>
          <cell r="W383" t="str">
            <v>ESCOBAR VALDES VALESKA SOLEDAD</v>
          </cell>
          <cell r="X383" t="str">
            <v>valeska.escobar@oxxo.com</v>
          </cell>
          <cell r="Y383">
            <v>56961681492</v>
          </cell>
          <cell r="Z383" t="str">
            <v>CARLOS MANUEL TORRES DE ANDRADE</v>
          </cell>
          <cell r="AA383">
            <v>56983467462</v>
          </cell>
          <cell r="AB383">
            <v>0.29166666666666669</v>
          </cell>
          <cell r="AC383">
            <v>0.95833333333333337</v>
          </cell>
          <cell r="AD383">
            <v>0.29166666666666669</v>
          </cell>
          <cell r="AE383">
            <v>0.99305555555555547</v>
          </cell>
          <cell r="AF383">
            <v>0.33333333333333331</v>
          </cell>
          <cell r="AG383">
            <v>0.99305555555555547</v>
          </cell>
          <cell r="AH383">
            <v>0.39583333333333331</v>
          </cell>
          <cell r="AI383">
            <v>0.84375</v>
          </cell>
          <cell r="AJ383">
            <v>0.39583333333333331</v>
          </cell>
          <cell r="AK383">
            <v>0.84375</v>
          </cell>
          <cell r="AL383" t="str">
            <v>12HRS</v>
          </cell>
          <cell r="AM383" t="str">
            <v>ROBERTO POBLETE</v>
          </cell>
          <cell r="AO383">
            <v>43444</v>
          </cell>
        </row>
        <row r="384">
          <cell r="E384" t="str">
            <v>OXXO</v>
          </cell>
          <cell r="F384" t="str">
            <v>VITACURA RIESCO</v>
          </cell>
          <cell r="G384" t="str">
            <v>AV. VITACURA 2939, LOCAL 101</v>
          </cell>
          <cell r="H384" t="str">
            <v>LAS CONDES</v>
          </cell>
          <cell r="I384" t="str">
            <v>METROPOLITANA</v>
          </cell>
          <cell r="J384" t="str">
            <v>5033F</v>
          </cell>
          <cell r="K384" t="str">
            <v>cl-vitacurariesco@tiendas.oxxo.com</v>
          </cell>
          <cell r="L384" t="str">
            <v>TMCB</v>
          </cell>
          <cell r="M384" t="str">
            <v>BASE</v>
          </cell>
          <cell r="N384" t="str">
            <v>ABC1</v>
          </cell>
          <cell r="O384" t="str">
            <v>NO</v>
          </cell>
          <cell r="P384" t="str">
            <v>PARCIAL</v>
          </cell>
          <cell r="Q384" t="str">
            <v>NO</v>
          </cell>
          <cell r="R384" t="str">
            <v>NO</v>
          </cell>
          <cell r="S384" t="str">
            <v>NO</v>
          </cell>
          <cell r="T384" t="str">
            <v>BRESCIA RIVERA RODRIGO</v>
          </cell>
          <cell r="U384" t="str">
            <v>rodrigo.brescia@oxxo.com</v>
          </cell>
          <cell r="V384">
            <v>56994777909</v>
          </cell>
          <cell r="W384" t="str">
            <v>MENDOZA GIL BREYNER JOSE</v>
          </cell>
          <cell r="X384" t="str">
            <v>breyner.mendoza@oxxo.com</v>
          </cell>
          <cell r="Y384">
            <v>56998689425</v>
          </cell>
          <cell r="Z384" t="str">
            <v>NOLVIA MENESES CASTILLO</v>
          </cell>
          <cell r="AA384">
            <v>56992194897</v>
          </cell>
          <cell r="AB384">
            <v>0.29166666666666669</v>
          </cell>
          <cell r="AC384">
            <v>0.91666666666666663</v>
          </cell>
          <cell r="AD384">
            <v>0.29166666666666669</v>
          </cell>
          <cell r="AE384">
            <v>0.91666666666666663</v>
          </cell>
          <cell r="AF384">
            <v>0.33333333333333331</v>
          </cell>
          <cell r="AG384">
            <v>0.91666666666666663</v>
          </cell>
          <cell r="AH384">
            <v>0.39583333333333331</v>
          </cell>
          <cell r="AI384">
            <v>0.84375</v>
          </cell>
          <cell r="AJ384">
            <v>0.375</v>
          </cell>
          <cell r="AK384">
            <v>0.9375</v>
          </cell>
          <cell r="AL384" t="str">
            <v>12HRS</v>
          </cell>
          <cell r="AM384" t="str">
            <v>PAULA HUERTA</v>
          </cell>
          <cell r="AO384">
            <v>45107</v>
          </cell>
        </row>
        <row r="385">
          <cell r="E385" t="str">
            <v>OXXO - EX OKM</v>
          </cell>
          <cell r="F385" t="str">
            <v>ESCUELA MILITAR 1</v>
          </cell>
          <cell r="G385" t="str">
            <v> AV. APOQUINDO 4554</v>
          </cell>
          <cell r="H385" t="str">
            <v>LAS CONDES</v>
          </cell>
          <cell r="I385" t="str">
            <v>METROPOLITANA</v>
          </cell>
          <cell r="J385" t="str">
            <v>50OLM</v>
          </cell>
          <cell r="K385" t="str">
            <v>cl-escuelamilitar@tiendas.oxxo.com</v>
          </cell>
          <cell r="L385" t="str">
            <v>TMCB OKM</v>
          </cell>
          <cell r="M385" t="str">
            <v>AL PASO</v>
          </cell>
          <cell r="N385" t="str">
            <v>ABC1</v>
          </cell>
          <cell r="O385" t="str">
            <v>NO</v>
          </cell>
          <cell r="P385" t="str">
            <v>COMPLETA</v>
          </cell>
          <cell r="T385" t="str">
            <v>SERRANO SOTO MANUEL</v>
          </cell>
          <cell r="U385" t="str">
            <v>manuel.serrano@oxxo.com</v>
          </cell>
          <cell r="V385">
            <v>56940201885</v>
          </cell>
          <cell r="W385" t="str">
            <v>LOPEZ CALDERON LUIS GERARDO</v>
          </cell>
          <cell r="X385" t="str">
            <v/>
          </cell>
          <cell r="Y385" t="str">
            <v/>
          </cell>
          <cell r="Z385" t="str">
            <v>RODRIGO GONZALEZ MUÑOZ</v>
          </cell>
          <cell r="AA385">
            <v>992194332</v>
          </cell>
          <cell r="AL385" t="str">
            <v>12HRS</v>
          </cell>
          <cell r="AO385">
            <v>45357</v>
          </cell>
        </row>
        <row r="386">
          <cell r="E386" t="str">
            <v>OXXO</v>
          </cell>
          <cell r="F386" t="str">
            <v>VON SCHROEDER</v>
          </cell>
          <cell r="G386" t="str">
            <v>VIANA 99</v>
          </cell>
          <cell r="H386" t="str">
            <v>VIÑA DEL MAR</v>
          </cell>
          <cell r="I386" t="str">
            <v>VALPARAISO</v>
          </cell>
          <cell r="J386" t="str">
            <v>50AQC</v>
          </cell>
          <cell r="K386" t="str">
            <v>cl-vonschroeder@tiendas.oxxo.com</v>
          </cell>
          <cell r="L386" t="str">
            <v>TMCB</v>
          </cell>
          <cell r="M386" t="str">
            <v>BASE</v>
          </cell>
          <cell r="N386" t="str">
            <v>ABC1</v>
          </cell>
          <cell r="O386" t="str">
            <v>NO</v>
          </cell>
          <cell r="P386" t="str">
            <v>COMPLETA</v>
          </cell>
          <cell r="Q386" t="str">
            <v>SI</v>
          </cell>
          <cell r="R386" t="str">
            <v>SI</v>
          </cell>
          <cell r="S386" t="str">
            <v>NO</v>
          </cell>
          <cell r="T386" t="str">
            <v>SESA DIEGO MIGUEL</v>
          </cell>
          <cell r="U386" t="str">
            <v>diego.sesa@oxxo.com</v>
          </cell>
          <cell r="V386">
            <v>56954238682</v>
          </cell>
          <cell r="W386" t="str">
            <v>RODRÍGUEZ ROBLES MARCELA ALEJANDRA</v>
          </cell>
          <cell r="X386" t="str">
            <v>marcela.rodriguezrobles@oxxo.com</v>
          </cell>
          <cell r="Y386">
            <v>56982335207</v>
          </cell>
          <cell r="Z386" t="str">
            <v>WILLIAMS JESUS CORREDOR GARCIA</v>
          </cell>
          <cell r="AA386">
            <v>56950020489</v>
          </cell>
          <cell r="AB386">
            <v>0</v>
          </cell>
          <cell r="AC386">
            <v>0.99930555555555556</v>
          </cell>
          <cell r="AD386">
            <v>0</v>
          </cell>
          <cell r="AE386">
            <v>0.99930555555555556</v>
          </cell>
          <cell r="AF386">
            <v>0</v>
          </cell>
          <cell r="AG386">
            <v>0.99930555555555556</v>
          </cell>
          <cell r="AH386">
            <v>0</v>
          </cell>
          <cell r="AI386">
            <v>0.99930555555555556</v>
          </cell>
          <cell r="AJ386">
            <v>0</v>
          </cell>
          <cell r="AK386">
            <v>0.99930555555555556</v>
          </cell>
          <cell r="AL386" t="str">
            <v>24HRS</v>
          </cell>
          <cell r="AM386" t="str">
            <v>ROBERTO POBLETE</v>
          </cell>
          <cell r="AO386">
            <v>43890</v>
          </cell>
        </row>
        <row r="387">
          <cell r="E387" t="str">
            <v>OKM</v>
          </cell>
          <cell r="F387" t="str">
            <v>OKM DIEGO PORTALES</v>
          </cell>
          <cell r="G387" t="str">
            <v>AVDA DIEGO PORTALES 1001 RECREO</v>
          </cell>
          <cell r="H387" t="str">
            <v>VIÑA DEL MAR</v>
          </cell>
          <cell r="I387" t="str">
            <v>VALPARAISO</v>
          </cell>
          <cell r="J387" t="str">
            <v>50ODP</v>
          </cell>
          <cell r="K387" t="str">
            <v>okm-diegoportales@tiendas.oxxo.com</v>
          </cell>
          <cell r="L387" t="str">
            <v>TMCB OKM</v>
          </cell>
          <cell r="M387" t="str">
            <v>HOGAR</v>
          </cell>
          <cell r="N387" t="str">
            <v>ABC1</v>
          </cell>
          <cell r="O387" t="str">
            <v>SI</v>
          </cell>
          <cell r="P387" t="str">
            <v>COMPLETA</v>
          </cell>
          <cell r="T387" t="str">
            <v>SERRANO SOTO MANUEL</v>
          </cell>
          <cell r="U387" t="str">
            <v>manuel.serrano@oxxo.com</v>
          </cell>
          <cell r="V387">
            <v>56940201885</v>
          </cell>
          <cell r="X387" t="str">
            <v/>
          </cell>
          <cell r="Y387" t="str">
            <v/>
          </cell>
          <cell r="Z387" t="str">
            <v>MAXIMILIANO CARRASCO DIAZ</v>
          </cell>
          <cell r="AA387">
            <v>993374919</v>
          </cell>
          <cell r="AL387" t="str">
            <v>12HRS</v>
          </cell>
        </row>
        <row r="388">
          <cell r="E388" t="str">
            <v>OKM</v>
          </cell>
          <cell r="F388" t="str">
            <v>OKM CATEDRAL TEATINOS</v>
          </cell>
          <cell r="G388" t="str">
            <v>CATEDRAL 1288</v>
          </cell>
          <cell r="H388" t="str">
            <v>SANTIAGO</v>
          </cell>
          <cell r="I388" t="str">
            <v>METROPOLITANA</v>
          </cell>
          <cell r="J388" t="str">
            <v>50OCD</v>
          </cell>
          <cell r="K388" t="str">
            <v>okm-catedral@tiendas.oxxo.com</v>
          </cell>
          <cell r="L388" t="str">
            <v>TMCB OKM</v>
          </cell>
          <cell r="M388" t="str">
            <v>RECESO</v>
          </cell>
          <cell r="N388" t="str">
            <v>C2</v>
          </cell>
          <cell r="O388" t="str">
            <v>NO</v>
          </cell>
          <cell r="P388" t="str">
            <v>COMPLETA</v>
          </cell>
          <cell r="T388" t="str">
            <v>SERRANO SOTO MANUEL</v>
          </cell>
          <cell r="U388" t="str">
            <v>manuel.serrano@oxxo.com</v>
          </cell>
          <cell r="V388">
            <v>56940201885</v>
          </cell>
          <cell r="X388" t="str">
            <v/>
          </cell>
          <cell r="Y388" t="str">
            <v/>
          </cell>
          <cell r="Z388" t="str">
            <v>DIEGO ALEJANDRO RIVERA SALAS</v>
          </cell>
          <cell r="AA388">
            <v>988766040</v>
          </cell>
          <cell r="AL388" t="str">
            <v>12HRS</v>
          </cell>
        </row>
        <row r="389">
          <cell r="E389" t="str">
            <v>OXXO</v>
          </cell>
          <cell r="F389" t="str">
            <v>WORK LA DEHESA</v>
          </cell>
          <cell r="G389" t="str">
            <v>AVENIDA LA DEHESA N222, LOCAL 103</v>
          </cell>
          <cell r="H389" t="str">
            <v>LO BARNECHEA</v>
          </cell>
          <cell r="I389" t="str">
            <v>METROPOLITANA</v>
          </cell>
          <cell r="J389" t="str">
            <v>50H7X</v>
          </cell>
          <cell r="K389" t="str">
            <v>cl-workladehesa@tiendas.oxxo.com</v>
          </cell>
          <cell r="L389" t="str">
            <v>TNM</v>
          </cell>
          <cell r="M389" t="str">
            <v>HOGAR</v>
          </cell>
          <cell r="O389" t="str">
            <v>NO</v>
          </cell>
          <cell r="P389" t="str">
            <v>COMPLETA</v>
          </cell>
          <cell r="Q389" t="str">
            <v>SI</v>
          </cell>
          <cell r="R389" t="str">
            <v>NO</v>
          </cell>
          <cell r="S389" t="str">
            <v>NO</v>
          </cell>
          <cell r="T389" t="str">
            <v>BRESCIA RIVERA RODRIGO</v>
          </cell>
          <cell r="U389" t="str">
            <v>rodrigo.brescia@oxxo.com</v>
          </cell>
          <cell r="V389">
            <v>56994777909</v>
          </cell>
          <cell r="W389" t="str">
            <v>ARAYA BURGOS ARIEL</v>
          </cell>
          <cell r="X389" t="str">
            <v>ariel.araya@oxxo.com</v>
          </cell>
          <cell r="Y389">
            <v>56976232708</v>
          </cell>
          <cell r="Z389" t="str">
            <v>EXEQUIEL ADEMIR ARAYA GANA</v>
          </cell>
          <cell r="AA389">
            <v>56937753145</v>
          </cell>
          <cell r="AB389">
            <v>0.29166666666666669</v>
          </cell>
          <cell r="AC389">
            <v>0.95833333333333337</v>
          </cell>
          <cell r="AD389">
            <v>0.29166666666666669</v>
          </cell>
          <cell r="AE389">
            <v>0.99305555555555547</v>
          </cell>
          <cell r="AF389">
            <v>0.33333333333333331</v>
          </cell>
          <cell r="AG389">
            <v>0.99305555555555547</v>
          </cell>
          <cell r="AH389">
            <v>0.39583333333333331</v>
          </cell>
          <cell r="AI389">
            <v>0.84375</v>
          </cell>
          <cell r="AJ389">
            <v>0.375</v>
          </cell>
          <cell r="AK389">
            <v>0.9375</v>
          </cell>
          <cell r="AL389" t="str">
            <v>12HRS</v>
          </cell>
          <cell r="AM389" t="str">
            <v>PAULA HUERTA</v>
          </cell>
          <cell r="AO389">
            <v>45327</v>
          </cell>
        </row>
        <row r="390">
          <cell r="E390" t="str">
            <v>OKM</v>
          </cell>
          <cell r="F390" t="str">
            <v>OKM TOESCA</v>
          </cell>
          <cell r="G390" t="str">
            <v>TOESCA 1844</v>
          </cell>
          <cell r="H390" t="str">
            <v>SANTIAGO</v>
          </cell>
          <cell r="I390" t="str">
            <v>METROPOLITANA</v>
          </cell>
          <cell r="J390" t="str">
            <v>50OTO</v>
          </cell>
          <cell r="K390" t="str">
            <v>okm-toesca@tiendas.oxxo.com</v>
          </cell>
          <cell r="L390" t="str">
            <v>TMCB OKM</v>
          </cell>
          <cell r="M390" t="str">
            <v>RECESO</v>
          </cell>
          <cell r="N390" t="str">
            <v>C2</v>
          </cell>
          <cell r="O390" t="str">
            <v>NO</v>
          </cell>
          <cell r="P390" t="str">
            <v>COMPLETA</v>
          </cell>
          <cell r="T390" t="str">
            <v>SERRANO SOTO MANUEL</v>
          </cell>
          <cell r="U390" t="str">
            <v>manuel.serrano@oxxo.com</v>
          </cell>
          <cell r="V390">
            <v>56940201885</v>
          </cell>
          <cell r="W390" t="str">
            <v>RIQUELME ESTAY ROBERTO</v>
          </cell>
          <cell r="X390" t="str">
            <v/>
          </cell>
          <cell r="Y390" t="str">
            <v/>
          </cell>
          <cell r="Z390" t="str">
            <v>GABY ALEJANDRA GONZALEZ ORTEGA</v>
          </cell>
          <cell r="AA390">
            <v>56941415104</v>
          </cell>
          <cell r="AL390" t="str">
            <v>12HRS</v>
          </cell>
        </row>
        <row r="391">
          <cell r="E391" t="str">
            <v>OKM</v>
          </cell>
          <cell r="F391" t="str">
            <v>OKM MARCOLETA</v>
          </cell>
          <cell r="G391" t="str">
            <v> DIAGONAL PARAGUAY 406 LOCAL 1A Y 1B</v>
          </cell>
          <cell r="H391" t="str">
            <v>SANTIAGO</v>
          </cell>
          <cell r="I391" t="str">
            <v>METROPOLITANA</v>
          </cell>
          <cell r="J391" t="str">
            <v>50OMR</v>
          </cell>
          <cell r="K391" t="str">
            <v>okm-marcoleta@tiendas.oxxo.com</v>
          </cell>
          <cell r="L391" t="str">
            <v>TMCB OKM</v>
          </cell>
          <cell r="M391" t="str">
            <v>RECESO</v>
          </cell>
          <cell r="N391" t="str">
            <v>C2</v>
          </cell>
          <cell r="O391" t="str">
            <v>NO</v>
          </cell>
          <cell r="P391" t="str">
            <v>COMPLETA</v>
          </cell>
          <cell r="T391" t="str">
            <v>SERRANO SOTO MANUEL</v>
          </cell>
          <cell r="U391" t="str">
            <v>manuel.serrano@oxxo.com</v>
          </cell>
          <cell r="V391">
            <v>56940201885</v>
          </cell>
          <cell r="X391" t="str">
            <v/>
          </cell>
          <cell r="Y391" t="str">
            <v/>
          </cell>
          <cell r="Z391" t="str">
            <v>S/I</v>
          </cell>
          <cell r="AL391" t="str">
            <v>12HRS</v>
          </cell>
        </row>
        <row r="392">
          <cell r="E392" t="str">
            <v>OXXO - EX OKM</v>
          </cell>
          <cell r="F392" t="str">
            <v>MAYOR ABE</v>
          </cell>
          <cell r="G392" t="str">
            <v> AV. MACUL 2841</v>
          </cell>
          <cell r="H392" t="str">
            <v>MACUL</v>
          </cell>
          <cell r="I392" t="str">
            <v>METROPOLITANA</v>
          </cell>
          <cell r="J392" t="str">
            <v>50OMM</v>
          </cell>
          <cell r="K392" t="str">
            <v>cl-maculmayorabe@tiendas.oxxo.com</v>
          </cell>
          <cell r="L392" t="str">
            <v>TMCB OKM</v>
          </cell>
          <cell r="M392" t="str">
            <v>HOGAR</v>
          </cell>
          <cell r="N392" t="str">
            <v>C2</v>
          </cell>
          <cell r="O392" t="str">
            <v>NO</v>
          </cell>
          <cell r="P392" t="str">
            <v>COMPLETA</v>
          </cell>
          <cell r="T392" t="str">
            <v>SERRANO SOTO MANUEL</v>
          </cell>
          <cell r="U392" t="str">
            <v>manuel.serrano@oxxo.com</v>
          </cell>
          <cell r="V392">
            <v>56940201885</v>
          </cell>
          <cell r="W392" t="str">
            <v>PINERUA JAIMES JESUS</v>
          </cell>
          <cell r="X392" t="str">
            <v>jesus.pinerua@oxxo.com</v>
          </cell>
          <cell r="Y392">
            <v>56982335207</v>
          </cell>
          <cell r="Z392" t="str">
            <v>HECTOR EDUARDO PAZ AHUMADA</v>
          </cell>
          <cell r="AL392" t="str">
            <v>12HRS</v>
          </cell>
          <cell r="AO392">
            <v>45362</v>
          </cell>
        </row>
        <row r="393">
          <cell r="E393" t="str">
            <v>OXXO - EX OKM</v>
          </cell>
          <cell r="F393" t="str">
            <v>VICUNA MACKENNA</v>
          </cell>
          <cell r="G393" t="str">
            <v>AVDA. VICUÑA MACKENNA 7492</v>
          </cell>
          <cell r="H393" t="str">
            <v>LA FLORIDA</v>
          </cell>
          <cell r="I393" t="str">
            <v>METROPOLITANA</v>
          </cell>
          <cell r="J393" t="str">
            <v>50OVM</v>
          </cell>
          <cell r="K393" t="str">
            <v>cl-vicunamackenna@tiendas.oxxo.com</v>
          </cell>
          <cell r="L393" t="str">
            <v>TMCB OKM</v>
          </cell>
          <cell r="M393" t="str">
            <v>HOGAR C/FF</v>
          </cell>
          <cell r="N393" t="str">
            <v>C2</v>
          </cell>
          <cell r="O393" t="str">
            <v>NO</v>
          </cell>
          <cell r="P393" t="str">
            <v>COMPLETA</v>
          </cell>
          <cell r="T393" t="str">
            <v>SERRANO SOTO MANUEL</v>
          </cell>
          <cell r="U393" t="str">
            <v>manuel.serrano@oxxo.com</v>
          </cell>
          <cell r="V393">
            <v>56940201885</v>
          </cell>
          <cell r="W393" t="str">
            <v>ARAYA BURGOS ARIEL</v>
          </cell>
          <cell r="X393" t="str">
            <v>ariel.araya@oxxo.com</v>
          </cell>
          <cell r="Y393">
            <v>56976232708</v>
          </cell>
          <cell r="Z393" t="str">
            <v>JOHANNA GONZALEZ LEVIO</v>
          </cell>
          <cell r="AL393" t="str">
            <v>12HRS</v>
          </cell>
          <cell r="AO393">
            <v>45171</v>
          </cell>
        </row>
        <row r="394">
          <cell r="E394" t="str">
            <v>OXXO - EX OKM</v>
          </cell>
          <cell r="F394" t="str">
            <v>MAITENCILLO</v>
          </cell>
          <cell r="G394" t="str">
            <v>AV. CENTRAL 1360-1296, PUCHUNCAVÍ</v>
          </cell>
          <cell r="H394" t="str">
            <v>VALPARAÍSO</v>
          </cell>
          <cell r="I394" t="str">
            <v>VALPARAISO</v>
          </cell>
          <cell r="J394" t="str">
            <v>50OMT</v>
          </cell>
          <cell r="K394" t="str">
            <v>cl-maitencillo@tiendas.oxxo.com</v>
          </cell>
          <cell r="L394" t="str">
            <v>TMCB OKM</v>
          </cell>
          <cell r="M394" t="str">
            <v>HOGAR</v>
          </cell>
          <cell r="N394" t="str">
            <v>C3</v>
          </cell>
          <cell r="O394" t="str">
            <v>SI</v>
          </cell>
          <cell r="P394" t="str">
            <v>COMPLETA</v>
          </cell>
          <cell r="T394" t="str">
            <v>SERRANO SOTO MANUEL</v>
          </cell>
          <cell r="U394" t="str">
            <v>manuel.serrano@oxxo.com</v>
          </cell>
          <cell r="V394">
            <v>56940201885</v>
          </cell>
          <cell r="W394" t="str">
            <v>ESCOBAR VALDES VALESKA SOLEDAD</v>
          </cell>
          <cell r="X394" t="str">
            <v>valeska.escobar@oxxo.com</v>
          </cell>
          <cell r="Y394">
            <v>56961681492</v>
          </cell>
          <cell r="Z394" t="str">
            <v>YANINA PEZOA ORTIZ</v>
          </cell>
          <cell r="AA394">
            <v>985024397</v>
          </cell>
          <cell r="AL394" t="str">
            <v>12HRS</v>
          </cell>
          <cell r="AO394">
            <v>45449</v>
          </cell>
        </row>
        <row r="395">
          <cell r="E395" t="str">
            <v>OXXO - EX OKM</v>
          </cell>
          <cell r="F395" t="str">
            <v>CARMEN SANTA ISABEL</v>
          </cell>
          <cell r="G395" t="str">
            <v>CARMEN 464</v>
          </cell>
          <cell r="H395" t="str">
            <v>SANTIAGO</v>
          </cell>
          <cell r="I395" t="str">
            <v>METROPOLITANA</v>
          </cell>
          <cell r="J395" t="str">
            <v>50OCI</v>
          </cell>
          <cell r="K395" t="str">
            <v>cl-carmenstaisabel@tiendas.oxxo.com</v>
          </cell>
          <cell r="L395" t="str">
            <v>TMCB OKM</v>
          </cell>
          <cell r="M395" t="str">
            <v>HOGAR</v>
          </cell>
          <cell r="N395" t="str">
            <v>C3</v>
          </cell>
          <cell r="O395" t="str">
            <v>SI</v>
          </cell>
          <cell r="P395" t="str">
            <v>COMPLETA</v>
          </cell>
          <cell r="T395" t="str">
            <v>SERRANO SOTO MANUEL</v>
          </cell>
          <cell r="U395" t="str">
            <v>manuel.serrano@oxxo.com</v>
          </cell>
          <cell r="V395">
            <v>56940201885</v>
          </cell>
          <cell r="W395" t="str">
            <v>LIAZ MONTERO GABRIEL</v>
          </cell>
          <cell r="X395" t="str">
            <v>gabriel.liaz@oxxo.com</v>
          </cell>
          <cell r="Y395">
            <v>56964735260</v>
          </cell>
          <cell r="Z395" t="str">
            <v>MARIA VICTORIA YAÑEZ AVILA</v>
          </cell>
          <cell r="AA395">
            <v>988798954</v>
          </cell>
          <cell r="AL395" t="str">
            <v>12HRS</v>
          </cell>
          <cell r="AO395">
            <v>45427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Fernan Herrera" id="{76E8D55C-B0E0-4DCE-9C57-E9CC454366BE}" userId="S::fernan.herrera@oxxo.com::1b92bf7a-9bb4-492c-a70c-ab7300b46540" providerId="AD"/>
  <person displayName="Nelson Arriagada" id="{138F461D-BD35-4740-82DD-D208171ADA57}" userId="S::nelson.arriagada@oxxo.com::ab305abb-1636-4794-bcb0-7866924e6da3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riagada Nelson" refreshedDate="45712.786123032405" createdVersion="8" refreshedVersion="8" minRefreshableVersion="3" recordCount="357" xr:uid="{31FD5E59-CCCC-4BEF-B2FC-91F0CDFA1968}">
  <cacheSource type="worksheet">
    <worksheetSource ref="C3:O361" sheet="FEB_25"/>
  </cacheSource>
  <cacheFields count="13">
    <cacheField name="CECO" numFmtId="0">
      <sharedItems containsMixedTypes="1" containsNumber="1" containsInteger="1" minValue="50096" maxValue="50863"/>
    </cacheField>
    <cacheField name="NOMBRE MAESTRA" numFmtId="0">
      <sharedItems/>
    </cacheField>
    <cacheField name="GEO" numFmtId="0">
      <sharedItems containsBlank="1"/>
    </cacheField>
    <cacheField name="FTE AUT" numFmtId="0">
      <sharedItems containsString="0" containsBlank="1" containsNumber="1" minValue="2" maxValue="11.68"/>
    </cacheField>
    <cacheField name="ESTADO" numFmtId="0">
      <sharedItems containsBlank="1" count="5">
        <s v="Abierta"/>
        <s v="CIERRE DEFINITIVO"/>
        <s v="CIERRE TEMPORAL"/>
        <s v="TUBERÍA"/>
        <m/>
      </sharedItems>
    </cacheField>
    <cacheField name="GENERACION" numFmtId="0">
      <sharedItems containsBlank="1"/>
    </cacheField>
    <cacheField name="CADENA" numFmtId="0">
      <sharedItems containsBlank="1"/>
    </cacheField>
    <cacheField name="JEFE OPERACIONES" numFmtId="0">
      <sharedItems containsBlank="1"/>
    </cacheField>
    <cacheField name="ASESOR TIENDA" numFmtId="0">
      <sharedItems containsBlank="1" containsMixedTypes="1" containsNumber="1" containsInteger="1" minValue="0" maxValue="0" count="18">
        <s v="MENDOZA GIL BREYNER JOSE"/>
        <s v="BARRIOS BAPTISTA JUAN JOSE"/>
        <s v="GAMERRE URZUA CECILIA"/>
        <s v="ESCOBAR VALDES VALESKA SOLEDAD"/>
        <s v="RODRÍGUEZ ROBLES MARCELA ALEJANDRA"/>
        <s v="BENITEZ QUILODRAN HUGO"/>
        <s v="LIAZ MONTERO GABRIEL"/>
        <s v="LOPEZ CALDERON LUIS GERARDO"/>
        <s v="RODRIGUEZ ABREU ROSA"/>
        <s v="PINERUA JAIMES JESUS"/>
        <s v="MONTT FUENTES JAIME IGNACIO"/>
        <s v="RUIZ FERRER VANNA"/>
        <s v="ARAYA BURGOS ARIEL"/>
        <n v="0"/>
        <s v="ZAMBRANO JARA CAROLINA GRACIELA"/>
        <s v="RIQUELME ESTAY ROBERTO"/>
        <s v="SIN IDENTIFICAR"/>
        <m/>
      </sharedItems>
    </cacheField>
    <cacheField name="COMUNA" numFmtId="0">
      <sharedItems containsBlank="1"/>
    </cacheField>
    <cacheField name="REGION" numFmtId="0">
      <sharedItems containsBlank="1"/>
    </cacheField>
    <cacheField name="ENCARGADO RECLUTAMIENTO" numFmtId="0">
      <sharedItems containsBlank="1"/>
    </cacheField>
    <cacheField name="CECO2" numFmtId="0">
      <sharedItems containsMixedTypes="1" containsNumber="1" containsInteger="1" minValue="50096" maxValue="5086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riagada Nelson" refreshedDate="45713.040210763887" createdVersion="8" refreshedVersion="8" minRefreshableVersion="3" recordCount="353" xr:uid="{5B1B376A-D60C-4A2E-887A-E5CDEB0094A4}">
  <cacheSource type="worksheet">
    <worksheetSource ref="C3:P356" sheet="FEB_25"/>
  </cacheSource>
  <cacheFields count="14">
    <cacheField name="CECO" numFmtId="0">
      <sharedItems containsMixedTypes="1" containsNumber="1" containsInteger="1" minValue="50096" maxValue="50863"/>
    </cacheField>
    <cacheField name="NOMBRE MAESTRA" numFmtId="0">
      <sharedItems/>
    </cacheField>
    <cacheField name="GEO" numFmtId="0">
      <sharedItems containsBlank="1"/>
    </cacheField>
    <cacheField name="FTE AUT" numFmtId="0">
      <sharedItems containsSemiMixedTypes="0" containsString="0" containsNumber="1" minValue="2" maxValue="11.68"/>
    </cacheField>
    <cacheField name="ESTADO" numFmtId="0">
      <sharedItems count="4">
        <s v="Abierta"/>
        <s v="CIERRE DEFINITIVO"/>
        <s v="CIERRE TEMPORAL"/>
        <s v="TUBERÍA"/>
      </sharedItems>
    </cacheField>
    <cacheField name="GENERACION" numFmtId="0">
      <sharedItems/>
    </cacheField>
    <cacheField name="CADENA" numFmtId="0">
      <sharedItems/>
    </cacheField>
    <cacheField name="JEFE OPERACIONES" numFmtId="0">
      <sharedItems/>
    </cacheField>
    <cacheField name="ASESOR TIENDA" numFmtId="0">
      <sharedItems containsMixedTypes="1" containsNumber="1" containsInteger="1" minValue="0" maxValue="0" count="17">
        <s v="MENDOZA GIL BREYNER JOSE"/>
        <s v="BARRIOS BAPTISTA JUAN JOSE"/>
        <s v="GAMERRE URZUA CECILIA"/>
        <s v="ESCOBAR VALDES VALESKA SOLEDAD"/>
        <s v="RODRÍGUEZ ROBLES MARCELA ALEJANDRA"/>
        <s v="BENITEZ QUILODRAN HUGO"/>
        <s v="LIAZ MONTERO GABRIEL"/>
        <s v="LOPEZ CALDERON LUIS GERARDO"/>
        <s v="RODRIGUEZ ABREU ROSA"/>
        <s v="PINERUA JAIMES JESUS"/>
        <s v="MONTT FUENTES JAIME IGNACIO"/>
        <s v="RUIZ FERRER VANNA"/>
        <s v="ARAYA BURGOS ARIEL"/>
        <n v="0"/>
        <s v="ZAMBRANO JARA CAROLINA GRACIELA"/>
        <s v="RIQUELME ESTAY ROBERTO"/>
        <s v="SIN IDENTIFICAR"/>
      </sharedItems>
    </cacheField>
    <cacheField name="COMUNA" numFmtId="0">
      <sharedItems count="48">
        <s v="Vitacura"/>
        <s v="Providencia"/>
        <s v="Las Condes"/>
        <s v="Viña Del Mar"/>
        <s v="La Reina"/>
        <s v="Santiago"/>
        <s v="Ñuñoa"/>
        <s v="Maipu"/>
        <s v="Macul"/>
        <s v="Independencia"/>
        <s v="Zapallar"/>
        <s v="Huechuraba"/>
        <s v="Estacion Central "/>
        <s v="Colina"/>
        <s v="Valparaiso"/>
        <s v="Concepción"/>
        <s v="Lo Barnechea"/>
        <s v="San Pedro De La Paz"/>
        <s v="Reñaca"/>
        <s v="Chiguayante"/>
        <s v="San Miguel"/>
        <s v="La Florida"/>
        <s v="Cerrillos"/>
        <s v="Recoleta"/>
        <s v="Puente Alto"/>
        <s v="Calera"/>
        <s v="Talca"/>
        <s v="Rancagua"/>
        <s v="San Joaquin"/>
        <s v="La Cisterna"/>
        <s v="Linares"/>
        <s v="Machalí"/>
        <s v="Quilicura  "/>
        <s v="Pudahuel"/>
        <s v="Cerro Navia"/>
        <s v="San Felipe"/>
        <s v="Quinta Normal"/>
        <s v="San Bernardo"/>
        <s v="Villa Alemana"/>
        <s v="Quillota"/>
        <s v="La Calera"/>
        <s v="Concón"/>
        <s v="La Florida "/>
        <s v="Talagante"/>
        <s v="Peñalolen"/>
        <s v="Las Condes " u="1"/>
        <s v="Vitacura " u="1"/>
        <s v="Vina del Mar" u="1"/>
      </sharedItems>
    </cacheField>
    <cacheField name="REGION" numFmtId="0">
      <sharedItems count="8">
        <s v="RM"/>
        <s v="Valparaiso"/>
        <s v="Biobío"/>
        <s v="Maule"/>
        <s v="O'Higgins"/>
        <s v="Metropolitana" u="1"/>
        <s v="Metropolitana " u="1"/>
        <s v="Valparaíso" u="1"/>
      </sharedItems>
    </cacheField>
    <cacheField name="ENCARGADO RECLUTAMIENTO" numFmtId="0">
      <sharedItems/>
    </cacheField>
    <cacheField name="CECO2" numFmtId="0">
      <sharedItems containsMixedTypes="1" containsNumber="1" containsInteger="1" minValue="50096" maxValue="50863"/>
    </cacheField>
    <cacheField name="PLAN RESCAT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7">
  <r>
    <s v="50GBU"/>
    <s v="FRANCISCO DE AGUIRRE"/>
    <s v="FRANCISCO DE AGUIRRE"/>
    <n v="11.68"/>
    <x v="0"/>
    <s v="TMCB"/>
    <s v="BASE"/>
    <s v="SERRANO SOTO MANUEL"/>
    <x v="0"/>
    <s v="Vitacura"/>
    <s v="Metropolitana"/>
    <s v="JOSE NAVARRO"/>
    <s v="50GBU"/>
  </r>
  <r>
    <s v="50JMU"/>
    <s v="LYON 1"/>
    <s v="LYON 1"/>
    <n v="11.68"/>
    <x v="0"/>
    <s v="TMCB"/>
    <s v="HOGAR"/>
    <s v="SERRANO SOTO MANUEL"/>
    <x v="1"/>
    <s v="Providencia"/>
    <s v="Metropolitana "/>
    <s v="BENJAMIN SERRANO"/>
    <s v="50JMU"/>
  </r>
  <r>
    <s v="50OSP"/>
    <s v="SAN PASCUAL"/>
    <s v="OKM SAN PASCUAL"/>
    <n v="11.68"/>
    <x v="0"/>
    <s v="TMCB OKM"/>
    <s v="HOGAR"/>
    <s v="SESA DIEGO MIGUEL"/>
    <x v="2"/>
    <s v="Las Condes"/>
    <s v="Metropolitana"/>
    <s v="BENJAMIN SERRANO"/>
    <s v="50OSP"/>
  </r>
  <r>
    <s v="50OLI"/>
    <s v="OKM LIBERTAD"/>
    <s v="OKM VIÑA DEL MAR K006  CAJAS"/>
    <n v="10"/>
    <x v="0"/>
    <s v="TMCB OKM"/>
    <s v="BASE"/>
    <s v="SESA DIEGO MIGUEL"/>
    <x v="3"/>
    <s v="Viña Del Mar"/>
    <s v="Valparaiso"/>
    <s v="MAIKEL PALOMARES"/>
    <s v="50OLI"/>
  </r>
  <r>
    <s v="50RBP"/>
    <s v="LIMACHE VIANA"/>
    <s v="LIMACHE  VIANA"/>
    <n v="10"/>
    <x v="0"/>
    <s v="TMCB"/>
    <s v="BASE"/>
    <s v="SESA DIEGO MIGUEL"/>
    <x v="4"/>
    <s v="Viña Del Mar"/>
    <s v="Valparaiso"/>
    <s v="MAIKEL PALOMARES"/>
    <s v="50RBP"/>
  </r>
  <r>
    <s v="50JIO"/>
    <s v="APOQUINDO 7"/>
    <s v="APOQUINDO 7"/>
    <n v="9.1300000000000008"/>
    <x v="0"/>
    <s v="TMCB"/>
    <s v="RECESO"/>
    <s v="SESA DIEGO MIGUEL"/>
    <x v="2"/>
    <s v="Las Condes"/>
    <s v="Metropolitana"/>
    <s v="BENJAMIN SERRANO"/>
    <s v="50JIO"/>
  </r>
  <r>
    <s v="50OMQ"/>
    <s v="MANQUEHUE"/>
    <s v="OKM MANQUEHUE SUR"/>
    <n v="8.9"/>
    <x v="0"/>
    <s v="TMCB OKM"/>
    <s v="HOGAR"/>
    <s v="SERRANO SOTO MANUEL"/>
    <x v="5"/>
    <s v="Las Condes"/>
    <s v="Metropolitana"/>
    <s v="DIANA ROJAS"/>
    <s v="50OMQ"/>
  </r>
  <r>
    <s v="50OMS"/>
    <s v="MANUEL DE LA LASTRA"/>
    <s v="OKM MANUEL DE LA LASTRA K071 - CAJAS"/>
    <n v="9.4499999999999993"/>
    <x v="0"/>
    <s v="TMCB OKM"/>
    <s v="HOGAR"/>
    <s v="SERRANO SOTO MANUEL"/>
    <x v="5"/>
    <s v="La Reina"/>
    <s v="Metropolitana"/>
    <s v="DIANA ROJAS"/>
    <s v="50OMS"/>
  </r>
  <r>
    <s v="506J4"/>
    <s v="PORTUGAL"/>
    <s v="PORTUGAL"/>
    <n v="8"/>
    <x v="0"/>
    <s v="T2024"/>
    <s v="RECESO"/>
    <s v="SERRANO SOTO MANUEL"/>
    <x v="6"/>
    <s v="Santiago"/>
    <s v="Metropolitana"/>
    <s v="DIANA ROJAS"/>
    <s v="506J4"/>
  </r>
  <r>
    <s v="50OEY"/>
    <s v="ELIODORO YANEZ 2"/>
    <s v="ELIODORO YAÑEZ 2"/>
    <n v="8.9"/>
    <x v="0"/>
    <s v="TMCB OKM"/>
    <s v="BASE"/>
    <s v="SERRANO SOTO MANUEL"/>
    <x v="7"/>
    <s v="Providencia"/>
    <s v="Metropolitana"/>
    <s v="BENJAMIN SERRANO"/>
    <s v="50OEY"/>
  </r>
  <r>
    <s v="50RNT"/>
    <s v="ROSARIO NORTE"/>
    <s v="ROSARIO NORTE"/>
    <n v="8"/>
    <x v="0"/>
    <s v="TMCB"/>
    <s v="RECESO"/>
    <s v="SESA DIEGO MIGUEL"/>
    <x v="2"/>
    <s v="Las Condes"/>
    <s v="Metropolitana"/>
    <s v="BENJAMIN SERRANO"/>
    <s v="50RNT"/>
  </r>
  <r>
    <s v="50DKO"/>
    <s v="METRO FRANKLIN"/>
    <s v="METRO FRANKLIN"/>
    <n v="7.45"/>
    <x v="0"/>
    <s v="TMCB"/>
    <s v="RECESO"/>
    <s v="SERRANO SOTO MANUEL"/>
    <x v="8"/>
    <s v="Santiago"/>
    <s v="Metropolitana "/>
    <s v="JOSE NAVARRO"/>
    <s v="50DKO"/>
  </r>
  <r>
    <s v="50DSH"/>
    <s v="METRO NUNOA"/>
    <s v="METRO ÑUÑOA"/>
    <n v="7.45"/>
    <x v="0"/>
    <s v="TMCB"/>
    <s v="RECESO"/>
    <s v="SERRANO SOTO MANUEL"/>
    <x v="8"/>
    <s v="Ñuñoa"/>
    <s v="Metropolitana "/>
    <s v="JOSE NAVARRO"/>
    <s v="50DSH"/>
  </r>
  <r>
    <s v="50GJS"/>
    <s v="METRO LOS LEONES"/>
    <s v="METRO LOS LEONES"/>
    <n v="7.45"/>
    <x v="0"/>
    <s v="TMCB"/>
    <s v="RECESO"/>
    <s v="SERRANO SOTO MANUEL"/>
    <x v="8"/>
    <s v="Providencia"/>
    <s v="Metropolitana "/>
    <s v="JOSE NAVARRO"/>
    <s v="50GJS"/>
  </r>
  <r>
    <s v="50OPI"/>
    <s v="OKM PLAZA ITALIA"/>
    <s v="OKM PLAZA ITALIA K053  CAJAS"/>
    <n v="9"/>
    <x v="0"/>
    <s v="TMCB OKM"/>
    <s v="RECESO"/>
    <s v="SERRANO SOTO MANUEL"/>
    <x v="7"/>
    <s v="Providencia"/>
    <s v="Metropolitana"/>
    <s v="BENJAMIN SERRANO"/>
    <s v="50OPI"/>
  </r>
  <r>
    <s v="50KOA"/>
    <s v="LUIS PASTEUR"/>
    <s v="LUIS PASTEUR"/>
    <n v="7"/>
    <x v="0"/>
    <s v="TMCB"/>
    <s v="BASE"/>
    <s v="SERRANO SOTO MANUEL"/>
    <x v="0"/>
    <s v="Vitacura"/>
    <s v="Metropolitana"/>
    <s v="JOSE NAVARRO"/>
    <s v="50KOA"/>
  </r>
  <r>
    <s v="50NRA"/>
    <s v="APOQUINDO 2"/>
    <s v="APOQUINDO 2"/>
    <n v="7"/>
    <x v="0"/>
    <s v="TMCB"/>
    <s v="BASE"/>
    <s v="SESA DIEGO MIGUEL"/>
    <x v="2"/>
    <s v="Las Condes"/>
    <s v="Metropolitana"/>
    <s v="BENJAMIN SERRANO"/>
    <s v="50NRA"/>
  </r>
  <r>
    <s v="50OAM"/>
    <s v="OKM MALL ARAUCO MAIPU"/>
    <s v="OKM MALL ARAUCO MAIPU K166  CAJAS"/>
    <n v="7"/>
    <x v="0"/>
    <s v="TMCB OKM"/>
    <s v="RECESO"/>
    <s v="SERRANO SOTO MANUEL"/>
    <x v="9"/>
    <s v="Maipu"/>
    <s v="Metropolitana"/>
    <s v="MAIKEL PALOMARES"/>
    <s v="50OAM"/>
  </r>
  <r>
    <s v="50OJJ"/>
    <s v="BADAJOZ"/>
    <s v="BADAJOZ CLP"/>
    <n v="7"/>
    <x v="0"/>
    <s v="TNM"/>
    <s v="RECESO"/>
    <s v="SESA DIEGO MIGUEL"/>
    <x v="2"/>
    <s v="Las Condes"/>
    <s v="Metropolitana"/>
    <s v="BENJAMIN SERRANO"/>
    <s v="50OJJ"/>
  </r>
  <r>
    <s v="50VKK"/>
    <s v="ALCANTARA 1"/>
    <s v="ALCANTARA 1"/>
    <n v="7"/>
    <x v="0"/>
    <s v="TMCB"/>
    <s v="BASE"/>
    <s v="SERRANO SOTO MANUEL"/>
    <x v="5"/>
    <s v="Las Condes"/>
    <s v="Metropolitana"/>
    <s v="DIANA ROJAS"/>
    <s v="50VKK"/>
  </r>
  <r>
    <s v="50OMC"/>
    <s v="MACUL"/>
    <s v="OKM MACUL"/>
    <n v="8.68"/>
    <x v="0"/>
    <s v="TMCB OKM"/>
    <s v="BASE"/>
    <s v="SERRANO SOTO MANUEL"/>
    <x v="9"/>
    <s v="Macul"/>
    <s v="Metropolitana "/>
    <s v="MAIKEL PALOMARES"/>
    <s v="50OMC"/>
  </r>
  <r>
    <s v="50UMT"/>
    <s v="LYON 3"/>
    <s v="LYON 3"/>
    <n v="7"/>
    <x v="0"/>
    <s v="TMCB"/>
    <s v="BASE"/>
    <s v="SERRANO SOTO MANUEL"/>
    <x v="1"/>
    <s v="Providencia"/>
    <s v="Metropolitana "/>
    <s v="BENJAMIN SERRANO"/>
    <s v="50UMT"/>
  </r>
  <r>
    <s v="50EDF"/>
    <s v="EJERCITO ALAMEDA"/>
    <s v="EJERCITO  ALAMEDA"/>
    <n v="7"/>
    <x v="0"/>
    <s v="TMCB"/>
    <s v="RECESO"/>
    <s v="SERRANO SOTO MANUEL"/>
    <x v="6"/>
    <s v="Santiago"/>
    <s v="Metropolitana "/>
    <s v="DIANA ROJAS"/>
    <s v="50EDF"/>
  </r>
  <r>
    <s v="50HCL"/>
    <s v="ALCANTARA 2"/>
    <s v="ALCANTARA 2"/>
    <n v="7"/>
    <x v="0"/>
    <s v="TMCB"/>
    <s v="RECESO"/>
    <s v="SESA DIEGO MIGUEL"/>
    <x v="2"/>
    <s v="Las Condes"/>
    <s v="Metropolitana"/>
    <s v="BENJAMIN SERRANO"/>
    <s v="50HCL"/>
  </r>
  <r>
    <s v="50OLS"/>
    <s v="LUIS CARRERA"/>
    <s v="LUIS CARRERA"/>
    <n v="7"/>
    <x v="0"/>
    <s v="TMCB OKM"/>
    <s v="BASE"/>
    <s v="SERRANO SOTO MANUEL"/>
    <x v="0"/>
    <s v="Vitacura"/>
    <s v="Metropolitana"/>
    <s v="JOSE NAVARRO"/>
    <s v="50OLS"/>
  </r>
  <r>
    <s v="50OTP"/>
    <s v="TOBALABA 1"/>
    <s v="OKM TOBALABA"/>
    <n v="7"/>
    <x v="0"/>
    <s v="TMCB OKM"/>
    <s v="RECESO"/>
    <s v="SERRANO SOTO MANUEL"/>
    <x v="10"/>
    <s v="Las Condes"/>
    <s v="Metropolitana"/>
    <s v="JOSE NAVARRO"/>
    <s v="50OTP"/>
  </r>
  <r>
    <s v="50OAL"/>
    <s v="ALAMEDA 1"/>
    <s v="OKM ALAMEDA"/>
    <n v="6.68"/>
    <x v="0"/>
    <s v="TMCB OKM"/>
    <s v="RECESO"/>
    <s v="SERRANO SOTO MANUEL"/>
    <x v="6"/>
    <s v="Santiago"/>
    <s v="Metropolitana"/>
    <s v="DIANA ROJAS"/>
    <s v="50OAL"/>
  </r>
  <r>
    <s v="50UCH"/>
    <s v="METRO U DE CHILE"/>
    <s v="METRO U DE CHILE"/>
    <n v="6.68"/>
    <x v="0"/>
    <s v="TMCB"/>
    <s v="RECESO"/>
    <s v="SERRANO SOTO MANUEL"/>
    <x v="8"/>
    <s v="Santiago"/>
    <s v="Metropolitana "/>
    <s v="JOSE NAVARRO"/>
    <s v="50UCH"/>
  </r>
  <r>
    <s v="50ARD"/>
    <s v="NUNOA"/>
    <s v="ÑUÑOA"/>
    <n v="6"/>
    <x v="0"/>
    <s v="TMCB"/>
    <s v="RECESO"/>
    <s v="SERRANO SOTO MANUEL"/>
    <x v="11"/>
    <s v="Ñuñoa"/>
    <s v="Metropolitana "/>
    <s v="DIANA ROJAS"/>
    <s v="50ARD"/>
  </r>
  <r>
    <s v="50ARE"/>
    <s v="COLON 1"/>
    <s v="COLON 1"/>
    <n v="6"/>
    <x v="0"/>
    <s v="TMCB"/>
    <s v="HOGAR"/>
    <s v="SERRANO SOTO MANUEL"/>
    <x v="5"/>
    <s v="Las Condes"/>
    <s v="Metropolitana"/>
    <s v="DIANA ROJAS"/>
    <s v="50ARE"/>
  </r>
  <r>
    <s v="50CPN"/>
    <s v="CARLOS PENA"/>
    <s v="CARLOS PEÑA"/>
    <n v="6"/>
    <x v="0"/>
    <s v="TMCB"/>
    <s v="BASE"/>
    <s v="SERRANO SOTO MANUEL"/>
    <x v="12"/>
    <s v="Las Condes"/>
    <s v="Metropolitana"/>
    <s v="DIANA ROJAS"/>
    <s v="50CPN"/>
  </r>
  <r>
    <s v="50HSP"/>
    <s v="HOSPITALES"/>
    <s v="HOSPITALES"/>
    <n v="6"/>
    <x v="0"/>
    <s v="TMCB"/>
    <s v="RECESO"/>
    <s v="SERRANO SOTO MANUEL"/>
    <x v="9"/>
    <s v="Independencia"/>
    <s v="Metropolitana"/>
    <s v="MAIKEL PALOMARES"/>
    <s v="50HSP"/>
  </r>
  <r>
    <s v="50NMT"/>
    <s v="EL GOLF"/>
    <s v="EL GOLF"/>
    <n v="6"/>
    <x v="0"/>
    <s v="TMCB"/>
    <s v="BASE"/>
    <s v="SESA DIEGO MIGUEL"/>
    <x v="2"/>
    <s v="Las Condes"/>
    <s v="Metropolitana"/>
    <s v="BENJAMIN SERRANO"/>
    <s v="50NMT"/>
  </r>
  <r>
    <s v="50OCH"/>
    <s v="CACHAGUA"/>
    <s v="OKM CACHAGUA K123  CAJAS"/>
    <n v="8"/>
    <x v="0"/>
    <s v="TMCB OKM"/>
    <s v="HOGAR"/>
    <s v="SESA DIEGO MIGUEL"/>
    <x v="3"/>
    <s v="Zapallar"/>
    <s v="Valparaiso"/>
    <s v="MAIKEL PALOMARES"/>
    <s v="50OCH"/>
  </r>
  <r>
    <s v="50OEM"/>
    <s v="OKM CIUDAD EMPRESARIAL"/>
    <s v="OKM CIUDAD EMPRESARIAL"/>
    <n v="6"/>
    <x v="1"/>
    <s v="TMCB OKM"/>
    <s v="RECESO"/>
    <s v="SERRANO SOTO MANUEL"/>
    <x v="13"/>
    <s v="Huechuraba"/>
    <s v="Metropolitana"/>
    <s v="SIN IDENTIFICAR"/>
    <s v="50OEM"/>
  </r>
  <r>
    <s v="50OIR"/>
    <s v="OKM IRARRAZAVAL"/>
    <s v="OKM IRARRAZAVAL K070  CAJAS"/>
    <n v="8"/>
    <x v="0"/>
    <s v="TMCB OKM"/>
    <s v="BASE"/>
    <s v="SERRANO SOTO MANUEL"/>
    <x v="11"/>
    <s v="Ñuñoa"/>
    <s v="Metropolitana"/>
    <s v="DIANA ROJAS"/>
    <s v="50OIR"/>
  </r>
  <r>
    <s v="50OPD"/>
    <s v="PROVIDENCIA - CONDELL"/>
    <s v="OKM PROVIDENCIA"/>
    <n v="6"/>
    <x v="0"/>
    <s v="TMCB OKM"/>
    <s v="BASE"/>
    <s v="SERRANO SOTO MANUEL"/>
    <x v="7"/>
    <s v="Providencia"/>
    <s v="Metropolitana"/>
    <s v="SIN IDENTIFICAR"/>
    <s v="50OPD"/>
  </r>
  <r>
    <s v="50OQU"/>
    <s v="OKM QUINTA"/>
    <s v="OKM QUINTA K034  CAJAS"/>
    <n v="7"/>
    <x v="0"/>
    <s v="TMCB OKM"/>
    <s v="RECESO"/>
    <s v="SESA DIEGO MIGUEL"/>
    <x v="4"/>
    <s v="Viña Del Mar"/>
    <s v="Valparaiso"/>
    <s v="MAIKEL PALOMARES"/>
    <s v="50OQU"/>
  </r>
  <r>
    <s v="50OZA"/>
    <s v="ZAPALLAR"/>
    <s v="OKM ZAPALLAR K151  CAJAS"/>
    <n v="7"/>
    <x v="0"/>
    <s v="TMCB OKM"/>
    <s v="HOGAR"/>
    <s v="SESA DIEGO MIGUEL"/>
    <x v="3"/>
    <s v="Zapallar"/>
    <s v="Valparaiso"/>
    <s v="MAIKEL PALOMARES"/>
    <s v="50OZA"/>
  </r>
  <r>
    <s v="50SLM"/>
    <s v="APOQUINDO 4"/>
    <s v="APOQUINDO 4"/>
    <n v="6"/>
    <x v="0"/>
    <s v="TMCB"/>
    <s v="BASE"/>
    <s v="SESA DIEGO MIGUEL"/>
    <x v="2"/>
    <s v="Las Condes"/>
    <s v="Metropolitana"/>
    <s v="BENJAMIN SERRANO"/>
    <s v="50SLM"/>
  </r>
  <r>
    <s v="50VLX"/>
    <s v="APOQUINDO 1"/>
    <s v="APOQUINDO 1"/>
    <n v="6"/>
    <x v="0"/>
    <s v="TMCB"/>
    <s v="BASE"/>
    <s v="SESA DIEGO MIGUEL"/>
    <x v="2"/>
    <s v="Las Condes"/>
    <s v="Metropolitana"/>
    <s v="BENJAMIN SERRANO"/>
    <s v="50VLX"/>
  </r>
  <r>
    <s v="50VOP"/>
    <s v="SAN DAMIAN"/>
    <s v="SAN DAMIAN"/>
    <n v="6.68"/>
    <x v="0"/>
    <s v="TMCB"/>
    <s v="BASE"/>
    <s v="SERRANO SOTO MANUEL"/>
    <x v="12"/>
    <s v="Las Condes"/>
    <s v="Metropolitana"/>
    <s v="DIANA ROJAS"/>
    <s v="50VOP"/>
  </r>
  <r>
    <s v="5033F"/>
    <s v="VITACURA RIESCO"/>
    <s v="VITACURARIESCO"/>
    <n v="6"/>
    <x v="0"/>
    <s v="TNM"/>
    <s v="BASE"/>
    <s v="SERRANO SOTO MANUEL"/>
    <x v="0"/>
    <s v="Las Condes"/>
    <s v="Metropolitana"/>
    <s v="JOSE NAVARRO"/>
    <s v="5033F"/>
  </r>
  <r>
    <s v="50BJT"/>
    <s v="HUECHURABA"/>
    <s v="HUECHURABA"/>
    <n v="6.68"/>
    <x v="0"/>
    <s v="TMCB"/>
    <s v="HOGAR"/>
    <s v="SERRANO SOTO MANUEL"/>
    <x v="0"/>
    <s v="Huechuraba"/>
    <s v="Metropolitana"/>
    <s v="JOSE NAVARRO"/>
    <s v="50BJT"/>
  </r>
  <r>
    <s v="50BPT"/>
    <s v="ECUADOR PURISIMA"/>
    <s v="ECUADOR  PURISIMA"/>
    <n v="5"/>
    <x v="1"/>
    <s v="TMCB"/>
    <s v="HOGAR C/FF"/>
    <s v="SERRANO SOTO MANUEL"/>
    <x v="13"/>
    <s v="Estacion Central "/>
    <s v="Metropolitana"/>
    <s v="SIN IDENTIFICAR"/>
    <s v="50BPT"/>
  </r>
  <r>
    <s v="50BRI"/>
    <s v="LAS BRISAS"/>
    <s v="LAS BRISAS"/>
    <n v="6"/>
    <x v="0"/>
    <s v="TNM"/>
    <s v="HOGAR"/>
    <s v="SERRANO SOTO MANUEL"/>
    <x v="0"/>
    <s v="Colina"/>
    <s v="Metropolitana "/>
    <s v="JOSE NAVARRO"/>
    <s v="50BRI"/>
  </r>
  <r>
    <s v="50CLC"/>
    <s v="CLINICA LAS CONDES"/>
    <s v="CLINICA LAS CONDES"/>
    <n v="6"/>
    <x v="0"/>
    <s v="TMCB"/>
    <s v="RECESO"/>
    <s v="SERRANO SOTO MANUEL"/>
    <x v="12"/>
    <s v="Las Condes"/>
    <s v="Metropolitana"/>
    <s v="DIANA ROJAS"/>
    <s v="50CLC"/>
  </r>
  <r>
    <s v="50CQD"/>
    <s v="MARCHANT PEREIRA"/>
    <s v="MARCHANT PEREIRA"/>
    <n v="6"/>
    <x v="0"/>
    <s v="TMCB"/>
    <s v="RECESO"/>
    <s v="SERRANO SOTO MANUEL"/>
    <x v="7"/>
    <s v="Providencia"/>
    <s v="Metropolitana "/>
    <s v="BENJAMIN SERRANO"/>
    <s v="50CQD"/>
  </r>
  <r>
    <s v="50HEN"/>
    <s v="HENDAYA"/>
    <s v="HENDAYA"/>
    <n v="6"/>
    <x v="0"/>
    <s v="TMCB"/>
    <s v="BASE"/>
    <s v="SERRANO SOTO MANUEL"/>
    <x v="10"/>
    <s v="Las Condes"/>
    <s v="Metropolitana"/>
    <s v="JOSE NAVARRO"/>
    <s v="50HEN"/>
  </r>
  <r>
    <s v="50HIS"/>
    <s v="PLAZA SOTOMAYOR VALPARAISO"/>
    <s v="PLAZA SOTOMAYOR  VALPARAISO"/>
    <n v="10"/>
    <x v="0"/>
    <s v="TMCB"/>
    <s v="RECESO"/>
    <s v="SESA DIEGO MIGUEL"/>
    <x v="4"/>
    <s v="Valparaiso"/>
    <s v="Valparaiso"/>
    <s v="MAIKEL PALOMARES"/>
    <s v="50HIS"/>
  </r>
  <r>
    <s v="50NBN"/>
    <s v="BILBAO MONTT"/>
    <s v="BILBAO - MONTT"/>
    <n v="6"/>
    <x v="0"/>
    <s v="TMCB"/>
    <s v="BASE"/>
    <s v="SERRANO SOTO MANUEL"/>
    <x v="1"/>
    <s v="Providencia"/>
    <s v="Metropolitana "/>
    <s v="BENJAMIN SERRANO"/>
    <s v="50NBN"/>
  </r>
  <r>
    <s v="50OCT"/>
    <s v="NORUEGA"/>
    <s v="NORUEGA"/>
    <n v="6"/>
    <x v="0"/>
    <s v="TMCB"/>
    <s v="HOGAR"/>
    <s v="SERRANO SOTO MANUEL"/>
    <x v="5"/>
    <s v="Las Condes"/>
    <s v="Metropolitana"/>
    <s v="JOSE NAVARRO"/>
    <s v="50OCT"/>
  </r>
  <r>
    <s v="50OPH"/>
    <s v="GUARDIA VIEJA"/>
    <s v="GUARDIA VIEJA"/>
    <n v="6"/>
    <x v="0"/>
    <s v="TMCB"/>
    <s v="BASE"/>
    <s v="SERRANO SOTO MANUEL"/>
    <x v="7"/>
    <s v="Providencia"/>
    <s v="Metropolitana "/>
    <s v="BENJAMIN SERRANO"/>
    <s v="50OPH"/>
  </r>
  <r>
    <s v="50XUH"/>
    <s v="MATTE PEREZ"/>
    <s v="MATTE PEREZ CLP"/>
    <n v="6"/>
    <x v="0"/>
    <s v="TNM"/>
    <s v="BASE"/>
    <s v="SERRANO SOTO MANUEL"/>
    <x v="1"/>
    <s v="Providencia"/>
    <s v="Metropolitana "/>
    <s v="BENJAMIN SERRANO"/>
    <s v="50XUH"/>
  </r>
  <r>
    <s v="508R8"/>
    <s v="METRO TOBALABA"/>
    <s v="METRO TOBALABA"/>
    <n v="6"/>
    <x v="0"/>
    <s v="TNM"/>
    <s v="RECESO"/>
    <s v="SERRANO SOTO MANUEL"/>
    <x v="8"/>
    <s v="Providencia"/>
    <s v="Metropolitana"/>
    <s v="JOSE NAVARRO"/>
    <s v="508R8"/>
  </r>
  <r>
    <s v="50EFO"/>
    <s v="ENRIQUE FOSTER"/>
    <s v="ENRIQUE FOSTER"/>
    <n v="6"/>
    <x v="0"/>
    <s v="TMCB"/>
    <s v="BASE"/>
    <s v="SESA DIEGO MIGUEL"/>
    <x v="2"/>
    <s v="Las Condes"/>
    <s v="Metropolitana"/>
    <s v="BENJAMIN SERRANO"/>
    <s v="50EFO"/>
  </r>
  <r>
    <s v="50MPC"/>
    <s v="METRO CAL Y CANTO"/>
    <s v="METRO CAL Y CANTO"/>
    <n v="6"/>
    <x v="0"/>
    <s v="TMCB"/>
    <s v="RECESO"/>
    <s v="SERRANO SOTO MANUEL"/>
    <x v="8"/>
    <s v="Santiago"/>
    <s v="Metropolitana "/>
    <s v="JOSE NAVARRO"/>
    <s v="50MPC"/>
  </r>
  <r>
    <s v="50ONL"/>
    <s v="NUEVA LAS CONDES 2"/>
    <s v="OKM NUEVA LAS CONDES 2"/>
    <n v="6"/>
    <x v="0"/>
    <s v="TMCB OKM"/>
    <s v="RECESO"/>
    <s v="SERRANO SOTO MANUEL"/>
    <x v="10"/>
    <s v="Las Condes"/>
    <s v="Metropolitana"/>
    <s v="JOSE NAVARRO"/>
    <s v="50ONL"/>
  </r>
  <r>
    <s v="50ORN"/>
    <s v="ROSARIO NORTE 2"/>
    <s v="OXXO ROSARIO NORTE 2 (Ex OKM)"/>
    <n v="6"/>
    <x v="0"/>
    <s v="TMCB OKM"/>
    <s v="RECESO"/>
    <s v="SERRANO SOTO MANUEL"/>
    <x v="10"/>
    <s v="Las Condes"/>
    <s v="Metropolitana"/>
    <s v="JOSE NAVARRO"/>
    <s v="50ORN"/>
  </r>
  <r>
    <s v="50Q3X"/>
    <s v="PATIO BELLAVISTA"/>
    <s v="PATIO BELLAVISTA"/>
    <n v="6"/>
    <x v="0"/>
    <s v="TNM"/>
    <s v="RECESO"/>
    <s v="SERRANO SOTO MANUEL"/>
    <x v="7"/>
    <s v="Providencia"/>
    <s v="Metropolitana "/>
    <s v="BENJAMIN SERRANO"/>
    <s v="50Q3X"/>
  </r>
  <r>
    <s v="50UXA"/>
    <s v="LA PLAZA"/>
    <s v="LA PLAZA"/>
    <n v="6"/>
    <x v="0"/>
    <s v="TMCB"/>
    <s v="BASE"/>
    <s v="SERRANO SOTO MANUEL"/>
    <x v="12"/>
    <s v="Las Condes"/>
    <s v="Metropolitana"/>
    <s v="DIANA ROJAS"/>
    <s v="50UXA"/>
  </r>
  <r>
    <s v="50OBN"/>
    <s v="BROWN NORTE"/>
    <s v="OKM BROWN NORTE"/>
    <n v="5.45"/>
    <x v="0"/>
    <s v="TMCB OKM"/>
    <s v="BASE"/>
    <s v="SERRANO SOTO MANUEL"/>
    <x v="11"/>
    <s v="Ñuñoa"/>
    <s v="Metropolitana"/>
    <s v="DIANA ROJAS"/>
    <s v="50OBN"/>
  </r>
  <r>
    <s v="50OCA"/>
    <s v="OKM CHACABUCO"/>
    <s v="OKM CHACABUCO"/>
    <n v="5.9"/>
    <x v="0"/>
    <s v="TMCB OKM"/>
    <s v="RECESO"/>
    <s v="SESA DIEGO MIGUEL"/>
    <x v="14"/>
    <s v="Concepción"/>
    <s v="Biobío"/>
    <s v="MAIKEL PALOMARES"/>
    <s v="50OCA"/>
  </r>
  <r>
    <s v="50OCO"/>
    <s v="OKM CHICUREO"/>
    <s v="OKM CHICUREO K017 - CAJAS"/>
    <n v="6.9"/>
    <x v="0"/>
    <s v="TMCB OKM"/>
    <s v="HOGAR"/>
    <s v="SERRANO SOTO MANUEL"/>
    <x v="0"/>
    <s v="Colina"/>
    <s v="Metropolitana"/>
    <s v="JOSE NAVARRO"/>
    <s v="50OCO"/>
  </r>
  <r>
    <s v="50OCR"/>
    <s v="CHESTERTON 2"/>
    <s v="OKM CHESTERTON K028  CAJAS"/>
    <n v="5.9"/>
    <x v="0"/>
    <s v="TMCB OKM"/>
    <s v="HOGAR"/>
    <s v="SERRANO SOTO MANUEL"/>
    <x v="5"/>
    <s v="Las Condes"/>
    <s v="Metropolitana"/>
    <s v="DIANA ROJAS"/>
    <s v="50OCR"/>
  </r>
  <r>
    <s v="50ODA"/>
    <s v="OKM DIEGO DE ALMAGRO"/>
    <s v="OKM DIEGO DE ALMAGRO"/>
    <n v="5.9"/>
    <x v="1"/>
    <s v="TMCB OKM"/>
    <s v="HOGAR"/>
    <s v="SERRANO SOTO MANUEL"/>
    <x v="8"/>
    <s v="Providencia"/>
    <s v="Metropolitana"/>
    <s v="JOSE NAVARRO"/>
    <s v="50ODA"/>
  </r>
  <r>
    <s v="50ODP"/>
    <s v="OKM DIEGO PORTALES"/>
    <s v="OKM DIEGO PORTALES"/>
    <n v="5.9"/>
    <x v="2"/>
    <s v="TMCB OKM"/>
    <s v="HOGAR"/>
    <s v="SERRANO SOTO MANUEL"/>
    <x v="13"/>
    <s v="Viña Del Mar"/>
    <s v="Valparaiso"/>
    <s v="SIN IDENTIFICAR"/>
    <s v="50ODP"/>
  </r>
  <r>
    <s v="50OEP"/>
    <s v="OKM ELIECER PARADA"/>
    <s v="OKM ELIECER PARADA"/>
    <n v="5.9"/>
    <x v="0"/>
    <s v="TMCB OKM"/>
    <s v="HOGAR"/>
    <s v="SERRANO SOTO MANUEL"/>
    <x v="5"/>
    <s v="Ñuñoa"/>
    <s v="Metropolitana"/>
    <s v="DIANA ROJAS"/>
    <s v="50OEP"/>
  </r>
  <r>
    <s v="50OER"/>
    <s v="OKM EL RODEO"/>
    <s v="OKM EL RODEO K022  CAJAS"/>
    <n v="6.45"/>
    <x v="0"/>
    <s v="TMCB OKM"/>
    <s v="HOGAR"/>
    <s v="SERRANO SOTO MANUEL"/>
    <x v="12"/>
    <s v="Lo Barnechea"/>
    <s v="Metropolitana"/>
    <s v="DIANA ROJAS"/>
    <s v="50OER"/>
  </r>
  <r>
    <s v="50OHM"/>
    <s v="OKM HERNANDO DE MAGALLANES"/>
    <s v="OKM HERNANDO DE MAGALLANES K131  CAJAS"/>
    <n v="5.9"/>
    <x v="0"/>
    <s v="TMCB OKM"/>
    <s v="BASE"/>
    <s v="SERRANO SOTO MANUEL"/>
    <x v="5"/>
    <s v="Las Condes"/>
    <s v="Metropolitana"/>
    <s v="DIANA ROJAS"/>
    <s v="50OHM"/>
  </r>
  <r>
    <s v="50OIN"/>
    <s v="LOS INGLESES"/>
    <s v="OKM LOS INGLESES K060  CAJAS"/>
    <n v="5.9"/>
    <x v="0"/>
    <s v="TMCB OKM"/>
    <s v="BASE"/>
    <s v="SERRANO SOTO MANUEL"/>
    <x v="0"/>
    <s v="Colina"/>
    <s v="Metropolitana"/>
    <s v="JOSE NAVARRO"/>
    <s v="50OIN"/>
  </r>
  <r>
    <s v="50OKA"/>
    <s v="OKM ACACIOS"/>
    <s v="OKM ACACIOS"/>
    <n v="5.68"/>
    <x v="0"/>
    <s v="TMCB OKM"/>
    <s v="HOGAR"/>
    <s v="SESA DIEGO MIGUEL"/>
    <x v="14"/>
    <s v="San Pedro De La Paz"/>
    <s v="Biobío"/>
    <s v="MAIKEL PALOMARES"/>
    <s v="50OKA"/>
  </r>
  <r>
    <s v="50OLT"/>
    <s v="OKM SUECIA"/>
    <s v="OKM SUECIA K049  CAJAS"/>
    <n v="6.13"/>
    <x v="0"/>
    <s v="TMCB OKM"/>
    <s v="HOGAR"/>
    <s v="SERRANO SOTO MANUEL"/>
    <x v="1"/>
    <s v="Providencia"/>
    <s v="Metropolitana"/>
    <s v="BENJAMIN SERRANO"/>
    <s v="50OLT"/>
  </r>
  <r>
    <s v="50OMN"/>
    <s v="OKM MORANDE"/>
    <s v="OKM MORANDE"/>
    <n v="5.9"/>
    <x v="1"/>
    <s v="TMCB OKM"/>
    <s v="RECESO"/>
    <s v="SERRANO SOTO MANUEL"/>
    <x v="7"/>
    <s v="Santiago"/>
    <s v="Metropolitana"/>
    <s v="BENJAMIN SERRANO"/>
    <s v="50OMN"/>
  </r>
  <r>
    <s v="50OMZ"/>
    <s v="MARTIN DE ZAMORA 2"/>
    <s v="OKM MARTIN DE ZAMORA"/>
    <n v="5.9"/>
    <x v="0"/>
    <s v="TMCB OKM"/>
    <s v="HOGAR"/>
    <s v="SERRANO SOTO MANUEL"/>
    <x v="5"/>
    <s v="Las Condes"/>
    <s v="Metropolitana"/>
    <s v="DIANA ROJAS"/>
    <s v="50OMZ"/>
  </r>
  <r>
    <s v="50OPM"/>
    <s v="OKM METRO PLAZA MAIPU"/>
    <s v="OKM METRO PLAZA MAIPÚ"/>
    <n v="5.9"/>
    <x v="0"/>
    <s v="TMCB OKM"/>
    <s v="RECESO"/>
    <s v="SERRANO SOTO MANUEL"/>
    <x v="8"/>
    <s v="Maipu"/>
    <s v="Metropolitana"/>
    <s v="JOSE NAVARRO"/>
    <s v="50OPM"/>
  </r>
  <r>
    <s v="50OQH"/>
    <s v="OKM QUINCHAMALI"/>
    <s v="OKM QUINCHAMALI K021  CAJAS"/>
    <n v="5.9"/>
    <x v="0"/>
    <s v="TMCB OKM"/>
    <s v="HOGAR"/>
    <s v="SERRANO SOTO MANUEL"/>
    <x v="12"/>
    <s v="Las Condes"/>
    <s v="Metropolitana"/>
    <s v="DIANA ROJAS"/>
    <s v="50OQH"/>
  </r>
  <r>
    <s v="50ORC"/>
    <s v="OKM RECREO I"/>
    <s v="OKM RECREO 1 K041  CAJAS"/>
    <n v="7.9"/>
    <x v="0"/>
    <s v="TMCB OKM"/>
    <s v="HOGAR"/>
    <s v="SESA DIEGO MIGUEL"/>
    <x v="4"/>
    <s v="Viña Del Mar"/>
    <s v="Valparaiso"/>
    <s v="MAIKEL PALOMARES"/>
    <s v="50ORC"/>
  </r>
  <r>
    <s v="50ORI"/>
    <s v="RIESCO 2"/>
    <s v="OKM RIESCO"/>
    <n v="5.9"/>
    <x v="0"/>
    <s v="TMCB OKM"/>
    <s v="HOGAR"/>
    <s v="SERRANO SOTO MANUEL"/>
    <x v="10"/>
    <s v="Las Condes"/>
    <s v="Metropolitana"/>
    <s v="DIANA ROJAS"/>
    <s v="50ORI"/>
  </r>
  <r>
    <s v="50ORM"/>
    <s v="RENACA 2"/>
    <s v="OKM REÑACA 2"/>
    <n v="9.9"/>
    <x v="0"/>
    <s v="TMCB OKM"/>
    <s v="BASE"/>
    <s v="SESA DIEGO MIGUEL"/>
    <x v="3"/>
    <s v="Reñaca"/>
    <s v="Valparaiso"/>
    <s v="MAIKEL PALOMARES"/>
    <s v="50ORM"/>
  </r>
  <r>
    <s v="50OSB"/>
    <s v="SIMON BOLIVAR 2"/>
    <s v="OKM SIMÓN BOLIVAR"/>
    <n v="5.9"/>
    <x v="1"/>
    <s v="TMCB OKM"/>
    <s v="HOGAR C/FF"/>
    <s v="SERRANO SOTO MANUEL"/>
    <x v="2"/>
    <s v="Ñuñoa"/>
    <s v="Metropolitana"/>
    <s v="BENJAMIN SERRANO"/>
    <s v="50OSB"/>
  </r>
  <r>
    <s v="50OSC"/>
    <s v="OKM SANTA BLANCA"/>
    <s v="OKM SANTA BLANCA  K004  CAJAS"/>
    <n v="8.9"/>
    <x v="0"/>
    <s v="TMCB OKM"/>
    <s v="HOGAR"/>
    <s v="SERRANO SOTO MANUEL"/>
    <x v="12"/>
    <s v="Lo Barnechea"/>
    <s v="Metropolitana"/>
    <s v="DIANA ROJAS"/>
    <s v="50OSC"/>
  </r>
  <r>
    <s v="50OST"/>
    <s v="OKM SUBCENTRO"/>
    <s v="OKM SUBCENTRO"/>
    <n v="5.9"/>
    <x v="0"/>
    <s v="TMCB OKM"/>
    <s v="BASE"/>
    <s v="SERRANO SOTO MANUEL"/>
    <x v="8"/>
    <s v="Las Condes"/>
    <s v="Metropolitana"/>
    <s v="JOSE NAVARRO"/>
    <s v="50OST"/>
  </r>
  <r>
    <s v="50OTA"/>
    <s v="TERMINAL ALAMEDA"/>
    <s v="TERMINAL DE BUSES ALAMEDA"/>
    <n v="5.9"/>
    <x v="0"/>
    <s v="TMCB OKM"/>
    <s v="RECESO"/>
    <s v="SERRANO SOTO MANUEL"/>
    <x v="9"/>
    <s v="Estacion Central "/>
    <s v="Metropolitana"/>
    <s v="MAIKEL PALOMARES"/>
    <s v="50OTA"/>
  </r>
  <r>
    <s v="50OTO"/>
    <s v="OKM TOESCA"/>
    <s v="OKM TOESCA"/>
    <n v="5.9"/>
    <x v="1"/>
    <s v="TMCB OKM"/>
    <s v="RECESO"/>
    <s v="SERRANO SOTO MANUEL"/>
    <x v="15"/>
    <s v="Santiago"/>
    <s v="Metropolitana"/>
    <s v="DIANA ROJAS"/>
    <s v="50OTO"/>
  </r>
  <r>
    <s v="50OVL"/>
    <s v="OKM VILLUCO"/>
    <s v="OKM VILLUCO"/>
    <n v="5.9"/>
    <x v="0"/>
    <s v="TMCB OKM"/>
    <s v="HOGAR"/>
    <s v="SESA DIEGO MIGUEL"/>
    <x v="14"/>
    <s v="Chiguayante"/>
    <s v="Biobío"/>
    <s v="MAIKEL PALOMARES"/>
    <s v="50OVL"/>
  </r>
  <r>
    <s v="50BM6"/>
    <s v="JOSEFINA EDWARD"/>
    <s v="JOSEFINA EDWARDS CLP"/>
    <n v="5.68"/>
    <x v="0"/>
    <s v="TNM"/>
    <s v="RECESO"/>
    <s v="SERRANO SOTO MANUEL"/>
    <x v="7"/>
    <s v="Providencia"/>
    <s v="Metropolitana "/>
    <s v="BENJAMIN SERRANO"/>
    <s v="50BM6"/>
  </r>
  <r>
    <s v="50ORP"/>
    <s v="REPUBLICA"/>
    <s v="OKM REPÚBLICA"/>
    <n v="5.68"/>
    <x v="0"/>
    <s v="TMCB OKM"/>
    <s v="RECESO"/>
    <s v="SERRANO SOTO MANUEL"/>
    <x v="6"/>
    <s v="Santiago"/>
    <s v="Metropolitana"/>
    <s v="DIANA ROJAS"/>
    <s v="50ORP"/>
  </r>
  <r>
    <s v="50ASM"/>
    <s v="APOQUINDO SANTA MAGDALENA"/>
    <s v="APOQUINDO - SANTA MAGDALENA"/>
    <n v="5.45"/>
    <x v="0"/>
    <s v="TMCB"/>
    <s v="BASE"/>
    <s v="SESA DIEGO MIGUEL"/>
    <x v="2"/>
    <s v="Las Condes"/>
    <s v="Metropolitana"/>
    <s v="BENJAMIN SERRANO"/>
    <s v="50ASM"/>
  </r>
  <r>
    <s v="50CRX"/>
    <s v="APOQUINDO 6"/>
    <s v="APOQUINDO 6"/>
    <n v="5.45"/>
    <x v="0"/>
    <s v="TMCB"/>
    <s v="BASE"/>
    <s v="SESA DIEGO MIGUEL"/>
    <x v="2"/>
    <s v="Las Condes"/>
    <s v="Metropolitana"/>
    <s v="BENJAMIN SERRANO"/>
    <s v="50CRX"/>
  </r>
  <r>
    <s v="50DGG"/>
    <s v="HERNANDO DE AGUIRRE"/>
    <s v="HERNANDO DE AGUIRRE"/>
    <n v="5.45"/>
    <x v="0"/>
    <s v="TMCB"/>
    <s v="BASE"/>
    <s v="SERRANO SOTO MANUEL"/>
    <x v="1"/>
    <s v="Providencia"/>
    <s v="Metropolitana "/>
    <s v="BENJAMIN SERRANO"/>
    <s v="50DGG"/>
  </r>
  <r>
    <s v="50EER"/>
    <s v="LAS CONDES 1"/>
    <s v="LAS CONDES 1"/>
    <n v="5.45"/>
    <x v="0"/>
    <s v="TNM"/>
    <s v="BASE"/>
    <s v="SESA DIEGO MIGUEL"/>
    <x v="2"/>
    <s v="Las Condes"/>
    <s v="Metropolitana"/>
    <s v="BENJAMIN SERRANO"/>
    <s v="50EER"/>
  </r>
  <r>
    <s v="50GDL"/>
    <s v="LOS COLIGUES"/>
    <s v="LOS COLIGUES"/>
    <n v="5.45"/>
    <x v="0"/>
    <s v="TNM"/>
    <s v="RECESO"/>
    <s v="SERRANO SOTO MANUEL"/>
    <x v="0"/>
    <s v="Vitacura "/>
    <s v="Metropolitana"/>
    <s v="JOSE NAVARRO"/>
    <s v="50GDL"/>
  </r>
  <r>
    <s v="50GKR"/>
    <s v="PEDRO DE VALDIVIA 3"/>
    <s v="PEDRO DE VALDIVIA 3"/>
    <n v="6"/>
    <x v="0"/>
    <s v="TMCB"/>
    <s v="BASE"/>
    <s v="SERRANO SOTO MANUEL"/>
    <x v="1"/>
    <s v="Providencia"/>
    <s v="Metropolitana "/>
    <s v="BENJAMIN SERRANO"/>
    <s v="50GKR"/>
  </r>
  <r>
    <s v="50HPU"/>
    <s v="LUIS THAYER OJEDA"/>
    <s v="LUIS THAYER OJEDA"/>
    <n v="5.45"/>
    <x v="0"/>
    <s v="TMCB"/>
    <s v="BASE"/>
    <s v="SERRANO SOTO MANUEL"/>
    <x v="1"/>
    <s v="Providencia"/>
    <s v="Metropolitana "/>
    <s v="BENJAMIN SERRANO"/>
    <s v="50HPU"/>
  </r>
  <r>
    <s v="50HZO"/>
    <s v="TRISTAN MATTA"/>
    <s v="TRISTAN MATTA"/>
    <n v="5"/>
    <x v="0"/>
    <s v="TNM"/>
    <s v="BASE"/>
    <s v="SERRANO SOTO MANUEL"/>
    <x v="9"/>
    <s v="San Miguel"/>
    <s v="Metropolitana "/>
    <s v="MAIKEL PALOMARES"/>
    <s v="50HZO"/>
  </r>
  <r>
    <s v="50KJI"/>
    <s v="SIMON BOLIVAR HAMBURGO"/>
    <s v="SIMON BOLIVAR  HAMBURGO"/>
    <n v="5.45"/>
    <x v="0"/>
    <s v="TMCB"/>
    <s v="HOGAR"/>
    <s v="SERRANO SOTO MANUEL"/>
    <x v="5"/>
    <s v="Ñuñoa"/>
    <s v="Metropolitana "/>
    <s v="DIANA ROJAS"/>
    <s v="50KJI"/>
  </r>
  <r>
    <s v="50KUF"/>
    <s v="CAMINO EL ALBA"/>
    <s v="CAMINO EL ALBA"/>
    <n v="5.45"/>
    <x v="0"/>
    <s v="TMCB"/>
    <s v="HOGAR"/>
    <s v="SERRANO SOTO MANUEL"/>
    <x v="12"/>
    <s v="Las Condes"/>
    <s v="Metropolitana"/>
    <s v="DIANA ROJAS"/>
    <s v="50KUF"/>
  </r>
  <r>
    <s v="50LAF"/>
    <s v="OUTLET LA FLORIDA"/>
    <s v="OUTLET LA FLORIDA"/>
    <n v="5.45"/>
    <x v="0"/>
    <s v="TMCB"/>
    <s v="RECESO"/>
    <s v="SERRANO SOTO MANUEL"/>
    <x v="9"/>
    <s v="La Florida"/>
    <s v="Metropolitana"/>
    <s v="MAIKEL PALOMARES"/>
    <s v="50LAF"/>
  </r>
  <r>
    <s v="50MAI"/>
    <s v="PLAZA MAIPU"/>
    <s v="PLAZA MAIPU"/>
    <n v="5.45"/>
    <x v="0"/>
    <s v="TMCB"/>
    <s v="RECESO"/>
    <s v="SERRANO SOTO MANUEL"/>
    <x v="9"/>
    <s v="Maipu"/>
    <s v="Metropolitana "/>
    <s v="MAIKEL PALOMARES"/>
    <s v="50MAI"/>
  </r>
  <r>
    <s v="50MLM"/>
    <s v="PIO XI"/>
    <s v="PIO XI"/>
    <n v="5.45"/>
    <x v="0"/>
    <s v="TMCB"/>
    <s v="RECESO"/>
    <s v="SERRANO SOTO MANUEL"/>
    <x v="0"/>
    <s v="Providencia"/>
    <s v="Metropolitana "/>
    <s v="JOSE NAVARRO"/>
    <s v="50MLM"/>
  </r>
  <r>
    <s v="50NC0"/>
    <s v="EL FARO"/>
    <s v="EL FARO"/>
    <n v="5.45"/>
    <x v="0"/>
    <s v="TNM"/>
    <s v="RECESO"/>
    <s v="SESA DIEGO MIGUEL"/>
    <x v="2"/>
    <s v="Las Condes "/>
    <s v="Metropolitana "/>
    <s v="BENJAMIN SERRANO"/>
    <s v="50NC0"/>
  </r>
  <r>
    <s v="50OAV"/>
    <s v="ANTONIO VARAS"/>
    <s v=" OKM ANTONIO VARAS"/>
    <n v="5.45"/>
    <x v="0"/>
    <s v="TMCB OKM"/>
    <s v="BASE"/>
    <s v="SERRANO SOTO MANUEL"/>
    <x v="11"/>
    <s v="Ñuñoa"/>
    <s v="Metropolitana "/>
    <s v="DIANA ROJAS"/>
    <s v="50OAV"/>
  </r>
  <r>
    <s v="50OGD"/>
    <s v="GENERAL DEL CANTO"/>
    <s v="OKM GENERAL DEL CANTO"/>
    <n v="5.45"/>
    <x v="0"/>
    <s v="TMCB OKM"/>
    <s v="RECESO"/>
    <s v="SERRANO SOTO MANUEL"/>
    <x v="7"/>
    <s v="Providencia"/>
    <s v="Metropolitana "/>
    <s v="BENJAMIN SERRANO"/>
    <s v="50OGD"/>
  </r>
  <r>
    <s v="50OJM"/>
    <s v="JORGE MATTE"/>
    <s v="OKM JORGE MATTE"/>
    <n v="5.45"/>
    <x v="0"/>
    <s v="TMCB OKM"/>
    <s v="BASE"/>
    <s v="SERRANO SOTO MANUEL"/>
    <x v="5"/>
    <s v="Providencia"/>
    <s v="Metropolitana "/>
    <s v="DIANA ROJAS"/>
    <s v="50OJM"/>
  </r>
  <r>
    <s v="50OSL"/>
    <s v="STRIP LARRAIN"/>
    <s v="OKM STRIP LARRAÍN"/>
    <n v="5.45"/>
    <x v="0"/>
    <s v="TMCB OKM"/>
    <s v="BASE"/>
    <s v="SERRANO SOTO MANUEL"/>
    <x v="11"/>
    <s v="La Reina"/>
    <s v="Metropolitana"/>
    <s v="DIANA ROJAS"/>
    <s v="50OSL"/>
  </r>
  <r>
    <s v="50QKJ"/>
    <s v="LYON 2"/>
    <s v="LYON 2"/>
    <n v="5"/>
    <x v="0"/>
    <s v="TMCB"/>
    <s v="BASE"/>
    <s v="SERRANO SOTO MANUEL"/>
    <x v="1"/>
    <s v="Providencia"/>
    <s v="Metropolitana "/>
    <s v="BENJAMIN SERRANO"/>
    <s v="50QKJ"/>
  </r>
  <r>
    <s v="50SKV"/>
    <s v="ISIDORA"/>
    <s v="ISIDORA"/>
    <n v="5.45"/>
    <x v="0"/>
    <s v="TMCB"/>
    <s v="BASE"/>
    <s v="SERRANO SOTO MANUEL"/>
    <x v="10"/>
    <s v="Las Condes"/>
    <s v="Metropolitana"/>
    <s v="JOSE NAVARRO"/>
    <s v="50SKV"/>
  </r>
  <r>
    <s v="50SWS"/>
    <s v="SIMON BOLIVAR"/>
    <s v="SIMON BOLIVAR"/>
    <n v="5.45"/>
    <x v="0"/>
    <s v="TMCB"/>
    <s v="HOGAR"/>
    <s v="SERRANO SOTO MANUEL"/>
    <x v="11"/>
    <s v="Ñuñoa"/>
    <s v="Metropolitana "/>
    <s v="DIANA ROJAS"/>
    <s v="50SWS"/>
  </r>
  <r>
    <s v="50TKS"/>
    <s v="LOS TRAPENSES"/>
    <s v="LOS TRAPENSES"/>
    <n v="6.13"/>
    <x v="0"/>
    <s v="TMCB"/>
    <s v="RECESO"/>
    <s v="SERRANO SOTO MANUEL"/>
    <x v="12"/>
    <s v="Lo Barnechea"/>
    <s v="Metropolitana "/>
    <s v="DIANA ROJAS"/>
    <s v="50TKS"/>
  </r>
  <r>
    <s v="50VHN"/>
    <s v="LA CONCEPCION"/>
    <s v="LA CONCEPCION"/>
    <n v="5.45"/>
    <x v="0"/>
    <s v="TMCB"/>
    <s v="RECESO"/>
    <s v="SERRANO SOTO MANUEL"/>
    <x v="7"/>
    <s v="Providencia"/>
    <s v="Metropolitana "/>
    <s v="BENJAMIN SERRANO"/>
    <s v="50VHN"/>
  </r>
  <r>
    <s v="50XLL"/>
    <s v="MANUEL MONTT 1"/>
    <s v="MANUEL MONTT 1"/>
    <n v="5.45"/>
    <x v="0"/>
    <s v="TMCB"/>
    <s v="RECESO"/>
    <s v="SERRANO SOTO MANUEL"/>
    <x v="1"/>
    <s v="Providencia"/>
    <s v="Metropolitana "/>
    <s v="BENJAMIN SERRANO"/>
    <s v="50XLL"/>
  </r>
  <r>
    <s v="50XRJ"/>
    <s v="LOS MILITARES"/>
    <s v="LOS MILITARES"/>
    <n v="5.45"/>
    <x v="0"/>
    <s v="TMCB"/>
    <s v="BASE"/>
    <s v="SERRANO SOTO MANUEL"/>
    <x v="10"/>
    <s v="Las Condes"/>
    <s v="Metropolitana"/>
    <s v="JOSE NAVARRO"/>
    <s v="50XRJ"/>
  </r>
  <r>
    <s v="5026M"/>
    <s v="PLAZA VERGARA"/>
    <s v="PLAZA VERGARA"/>
    <n v="5.45"/>
    <x v="0"/>
    <s v="TNM"/>
    <s v="RECESO"/>
    <s v="SESA DIEGO MIGUEL"/>
    <x v="4"/>
    <s v="Viña Del Mar"/>
    <s v="Valparaiso"/>
    <s v="MAIKEL PALOMARES"/>
    <s v="5026M"/>
  </r>
  <r>
    <s v="5032O"/>
    <s v="BARROS BORGONO"/>
    <s v="DLL BARROS BORGOÑO"/>
    <n v="5.45"/>
    <x v="0"/>
    <s v="TNM"/>
    <s v="BASE"/>
    <s v="SERRANO SOTO MANUEL"/>
    <x v="7"/>
    <s v="Providencia"/>
    <s v="Metropolitana "/>
    <s v="BENJAMIN SERRANO"/>
    <s v="5032O"/>
  </r>
  <r>
    <s v="50AAF"/>
    <s v="PIEDRA ROJA"/>
    <s v="PIEDRA ROJA"/>
    <n v="5.45"/>
    <x v="0"/>
    <s v="TNM"/>
    <s v="BASE"/>
    <s v="SERRANO SOTO MANUEL"/>
    <x v="0"/>
    <s v="Colina"/>
    <s v="Metropolitana "/>
    <s v="JOSE NAVARRO"/>
    <s v="50AAF"/>
  </r>
  <r>
    <s v="50AQY"/>
    <s v="PEDRO DE VALDIVIA 9"/>
    <s v="PEDRO DE VALDIVIA 9"/>
    <n v="5.45"/>
    <x v="0"/>
    <s v="TNM"/>
    <s v="BASE"/>
    <s v="SERRANO SOTO MANUEL"/>
    <x v="1"/>
    <s v="Providencia"/>
    <s v="Metropolitana "/>
    <s v="BENJAMIN SERRANO"/>
    <s v="50AQY"/>
  </r>
  <r>
    <s v="50FKT"/>
    <s v="BARROS ARANA"/>
    <s v="BARROS ARANA"/>
    <n v="5.45"/>
    <x v="0"/>
    <s v="TNM"/>
    <s v="RECESO"/>
    <s v="SESA DIEGO MIGUEL"/>
    <x v="14"/>
    <s v="Concepción"/>
    <s v="Biobío"/>
    <s v="MAIKEL PALOMARES"/>
    <s v="50FKT"/>
  </r>
  <r>
    <s v="50OME"/>
    <s v="OKM METRO CHILE ESPANA"/>
    <s v="OKM METRO CHILEESPAÑA"/>
    <n v="5.45"/>
    <x v="0"/>
    <s v="TMCB OKM"/>
    <s v="RECESO"/>
    <s v="SERRANO SOTO MANUEL"/>
    <x v="8"/>
    <s v="Ñuñoa"/>
    <s v="Metropolitana"/>
    <s v="JOSE NAVARRO"/>
    <s v="50OME"/>
  </r>
  <r>
    <s v="50ORS"/>
    <s v="ROSARIO SUR 2"/>
    <s v="OKM ROSARIO SUR 2"/>
    <n v="5.45"/>
    <x v="0"/>
    <s v="TMCB OKM"/>
    <s v="RECESO"/>
    <s v="SESA DIEGO MIGUEL"/>
    <x v="2"/>
    <s v="Las Condes"/>
    <s v="Metropolitana"/>
    <s v="BENJAMIN SERRANO"/>
    <s v="50ORS"/>
  </r>
  <r>
    <s v="50OTL"/>
    <s v="TOLEDO"/>
    <s v="OKM TOLEDO K147  CAJAS"/>
    <n v="5.45"/>
    <x v="0"/>
    <s v="TMCB OKM"/>
    <s v="HOGAR"/>
    <s v="SERRANO SOTO MANUEL"/>
    <x v="1"/>
    <s v="Providencia"/>
    <s v="Metropolitana"/>
    <s v="BENJAMIN SERRANO"/>
    <s v="50OTL"/>
  </r>
  <r>
    <s v="50XQO"/>
    <s v="NAPOLEON"/>
    <s v="NAPOLEON"/>
    <n v="5.45"/>
    <x v="0"/>
    <s v="TMCB"/>
    <s v="BASE"/>
    <s v="SERRANO SOTO MANUEL"/>
    <x v="10"/>
    <s v="Las Condes"/>
    <s v="Metropolitana"/>
    <s v="JOSE NAVARRO"/>
    <s v="50XQO"/>
  </r>
  <r>
    <s v="50AQC"/>
    <s v="VON SCHROEDER"/>
    <s v="VON SCHROEDER"/>
    <n v="9"/>
    <x v="0"/>
    <s v="TMCB"/>
    <s v="BASE"/>
    <s v="SESA DIEGO MIGUEL"/>
    <x v="4"/>
    <s v="Viña Del Mar"/>
    <s v="Valparaiso"/>
    <s v="MAIKEL PALOMARES"/>
    <s v="50AQC"/>
  </r>
  <r>
    <s v="50ELY"/>
    <s v="ELIODORO YANEZ"/>
    <s v="ELIODORO YAÑEZ"/>
    <n v="5"/>
    <x v="0"/>
    <s v="TMCB"/>
    <s v="RECESO"/>
    <s v="SERRANO SOTO MANUEL"/>
    <x v="1"/>
    <s v="Providencia"/>
    <s v="Metropolitana "/>
    <s v="BENJAMIN SERRANO"/>
    <s v="50ELY"/>
  </r>
  <r>
    <s v="50OAJ"/>
    <s v="ARMANDO JARAMILLO"/>
    <s v="OKM ARMANDO JARAMILLO"/>
    <n v="5"/>
    <x v="0"/>
    <s v="TMCB OKM"/>
    <s v="BASE"/>
    <s v="SERRANO SOTO MANUEL"/>
    <x v="0"/>
    <s v="Vitacura"/>
    <s v="Metropolitana"/>
    <s v="JOSE NAVARRO"/>
    <s v="50OAJ"/>
  </r>
  <r>
    <s v="50OHT"/>
    <s v="HAMBURGO 2"/>
    <s v="OKM HAMBURGO"/>
    <n v="5"/>
    <x v="1"/>
    <s v="TMCB OKM"/>
    <s v="HOGAR C/FF"/>
    <s v="SERRANO SOTO MANUEL"/>
    <x v="7"/>
    <s v="Ñuñoa"/>
    <s v="Metropolitana"/>
    <s v="BENJAMIN SERRANO"/>
    <s v="50OHT"/>
  </r>
  <r>
    <s v="50OHU"/>
    <s v="OKM HUINGANAL II"/>
    <s v="OKM HUINGANAL K024  CAJAS"/>
    <n v="5"/>
    <x v="0"/>
    <s v="TMCB OKM"/>
    <s v="HOGAR"/>
    <s v="SERRANO SOTO MANUEL"/>
    <x v="12"/>
    <s v="Lo Barnechea"/>
    <s v="Metropolitana"/>
    <s v="DIANA ROJAS"/>
    <s v="50OHU"/>
  </r>
  <r>
    <s v="50OMP"/>
    <s v="OKM MALL PLAZA OESTE"/>
    <s v="OKM MALL PLAZA OESTE"/>
    <n v="5"/>
    <x v="2"/>
    <s v="TMCB OKM"/>
    <s v="RECESO"/>
    <s v="SERRANO SOTO MANUEL"/>
    <x v="9"/>
    <s v="Cerrillos"/>
    <s v="Metropolitana"/>
    <s v="MAIKEL PALOMARES"/>
    <s v="50OMP"/>
  </r>
  <r>
    <s v="50ONC"/>
    <s v="NATANIEL COX 2"/>
    <s v="NATANIEL COX  2"/>
    <n v="5.68"/>
    <x v="0"/>
    <s v="TMCB OKM"/>
    <s v="BASE"/>
    <s v="SERRANO SOTO MANUEL"/>
    <x v="6"/>
    <s v="Santiago"/>
    <s v="Metropolitana"/>
    <s v="DIANA ROJAS"/>
    <s v="50ONC"/>
  </r>
  <r>
    <s v="50OPE"/>
    <s v="OKM EL PARQUE"/>
    <s v="OKM EL PARQUE K068  CAJAS"/>
    <n v="5"/>
    <x v="0"/>
    <s v="TMCB OKM"/>
    <s v="RECESO"/>
    <s v="SERRANO SOTO MANUEL"/>
    <x v="0"/>
    <s v="Huechuraba"/>
    <s v="Metropolitana"/>
    <s v="JOSE NAVARRO"/>
    <s v="50OPE"/>
  </r>
  <r>
    <s v="50OPR"/>
    <s v="AVENIDA PERU"/>
    <s v="OKM AVENIDA PERÚ"/>
    <n v="5"/>
    <x v="1"/>
    <s v="TMCB OKM"/>
    <s v="HOGAR C/FF"/>
    <s v="SERRANO SOTO MANUEL"/>
    <x v="13"/>
    <s v="Recoleta"/>
    <s v="Metropolitana"/>
    <s v="SIN IDENTIFICAR"/>
    <s v="50OPR"/>
  </r>
  <r>
    <s v="50OSZ"/>
    <s v="OKM SANTA BEATRIZ"/>
    <s v="OKM SANTA BEATRIZ"/>
    <n v="5"/>
    <x v="0"/>
    <s v="TMCB OKM"/>
    <s v="BASE"/>
    <s v="SERRANO SOTO MANUEL"/>
    <x v="7"/>
    <s v="Providencia"/>
    <s v="Metropolitana"/>
    <s v="BENJAMIN SERRANO"/>
    <s v="50OSZ"/>
  </r>
  <r>
    <s v="50OTH"/>
    <s v="OKM LUIS THAYER OJEDA"/>
    <s v="OKM LUIS THAYER OJEDA"/>
    <n v="5"/>
    <x v="0"/>
    <s v="TMCB OKM"/>
    <s v="RECESO"/>
    <s v="SERRANO SOTO MANUEL"/>
    <x v="7"/>
    <s v="Providencia"/>
    <s v="Metropolitana"/>
    <s v="BENJAMIN SERRANO"/>
    <s v="50OTH"/>
  </r>
  <r>
    <s v="50POS"/>
    <s v="COLON 2"/>
    <s v="COLON 2"/>
    <n v="6"/>
    <x v="0"/>
    <s v="TMCB"/>
    <s v="HOGAR"/>
    <s v="SERRANO SOTO MANUEL"/>
    <x v="5"/>
    <s v="Las Condes"/>
    <s v="Metropolitana"/>
    <s v="DIANA ROJAS"/>
    <s v="50POS"/>
  </r>
  <r>
    <s v="50REU"/>
    <s v="COLON PONTEVEDRA"/>
    <s v="COLON  PONTEVEDRA"/>
    <n v="5"/>
    <x v="0"/>
    <s v="TMCB"/>
    <s v="HOGAR"/>
    <s v="SERRANO SOTO MANUEL"/>
    <x v="5"/>
    <s v="Las Condes"/>
    <s v="Metropolitana"/>
    <s v="DIANA ROJAS"/>
    <s v="50REU"/>
  </r>
  <r>
    <s v="508LO"/>
    <s v="AMUNATEGUI"/>
    <s v="AMUNATEGUI"/>
    <n v="5"/>
    <x v="0"/>
    <s v="TNM"/>
    <s v="BASE"/>
    <s v="SERRANO SOTO MANUEL"/>
    <x v="6"/>
    <s v="Santiago"/>
    <s v="Metropolitana "/>
    <s v="DIANA ROJAS"/>
    <s v="508LO"/>
  </r>
  <r>
    <s v="50AMU"/>
    <s v="TORRE AMUNATEGUI"/>
    <s v="TORRE AMUNATEGUI"/>
    <n v="5"/>
    <x v="1"/>
    <s v="TNM"/>
    <s v="RECESO"/>
    <s v="SERRANO SOTO MANUEL"/>
    <x v="13"/>
    <s v="Santiago"/>
    <s v="Metropolitana "/>
    <s v="SIN IDENTIFICAR"/>
    <s v="50AMU"/>
  </r>
  <r>
    <s v="50SJS"/>
    <s v="SAN JOSE DE LA SIERRA"/>
    <s v="SAN JOSE DE LA SIERRA"/>
    <n v="5"/>
    <x v="0"/>
    <s v="TMCB"/>
    <s v="HOGAR"/>
    <s v="SERRANO SOTO MANUEL"/>
    <x v="12"/>
    <s v="Lo Barnechea"/>
    <s v="Metropolitana "/>
    <s v="DIANA ROJAS"/>
    <s v="50SJS"/>
  </r>
  <r>
    <n v="50096"/>
    <s v="INFANTE"/>
    <s v="JOSE MANUEL INFANTE"/>
    <n v="5"/>
    <x v="0"/>
    <s v="T2024"/>
    <s v="RECESO"/>
    <s v="SERRANO SOTO MANUEL"/>
    <x v="1"/>
    <s v="Providencia"/>
    <s v="Metropolitana"/>
    <s v="BENJAMIN SERRANO"/>
    <n v="50096"/>
  </r>
  <r>
    <n v="50724"/>
    <s v="LLICO"/>
    <s v="LLICO"/>
    <n v="5"/>
    <x v="0"/>
    <s v="T2023"/>
    <s v="RECESO"/>
    <s v="SERRANO SOTO MANUEL"/>
    <x v="9"/>
    <s v="San Miguel"/>
    <s v="Metropolitana "/>
    <s v="MAIKEL PALOMARES"/>
    <n v="50724"/>
  </r>
  <r>
    <n v="50863"/>
    <s v="CONCHA Y TORO"/>
    <s v="CONCHA Y TORO 199"/>
    <n v="5"/>
    <x v="0"/>
    <s v="T2023"/>
    <s v="RECESO"/>
    <s v="SERRANO SOTO MANUEL"/>
    <x v="9"/>
    <s v="Puente Alto"/>
    <s v="Metropolitana "/>
    <s v="MAIKEL PALOMARES"/>
    <n v="50863"/>
  </r>
  <r>
    <s v="500LI"/>
    <s v="JJ PEREZ"/>
    <s v="JJ PEREZ"/>
    <n v="5"/>
    <x v="1"/>
    <s v="TNM"/>
    <s v="RECESO"/>
    <s v="SERRANO SOTO MANUEL"/>
    <x v="4"/>
    <s v="Calera"/>
    <s v="Valparaiso"/>
    <s v="MAIKEL PALOMARES"/>
    <s v="500LI"/>
  </r>
  <r>
    <s v="500UN"/>
    <s v="PLAZA CHIGUAYANTE"/>
    <s v="PLAZA CHIGUAYANTE"/>
    <n v="5"/>
    <x v="1"/>
    <s v="T2024"/>
    <s v="HOGAR"/>
    <s v="SERRANO SOTO MANUEL"/>
    <x v="14"/>
    <s v="Chiguayante"/>
    <s v="Biobío"/>
    <s v="MAIKEL PALOMARES"/>
    <s v="500UN"/>
  </r>
  <r>
    <s v="5019M"/>
    <s v="LOS MILITARES 2"/>
    <s v="LOS MILITARES 2"/>
    <n v="5"/>
    <x v="0"/>
    <s v="TNM"/>
    <s v="BASE"/>
    <s v="SERRANO SOTO MANUEL"/>
    <x v="10"/>
    <s v="Las Condes "/>
    <s v="Metropolitana "/>
    <s v="JOSE NAVARRO"/>
    <s v="5019M"/>
  </r>
  <r>
    <s v="501CG"/>
    <s v="IRARRAZAVAL 1"/>
    <s v="IRARRAZAVAL 1"/>
    <n v="5"/>
    <x v="1"/>
    <s v="TNM"/>
    <s v="HOGAR C/FF"/>
    <s v="SERRANO SOTO MANUEL"/>
    <x v="11"/>
    <s v="Ñuñoa"/>
    <s v="Metropolitana "/>
    <s v="DIANA ROJAS"/>
    <s v="501CG"/>
  </r>
  <r>
    <s v="501KO"/>
    <s v="TALCA 1"/>
    <s v="TALCA 1"/>
    <n v="5"/>
    <x v="0"/>
    <s v="TNM"/>
    <s v="RECESO"/>
    <s v="SESA DIEGO MIGUEL"/>
    <x v="14"/>
    <s v="Talca"/>
    <s v="Maule"/>
    <s v="MAIKEL PALOMARES"/>
    <s v="501KO"/>
  </r>
  <r>
    <s v="502IY"/>
    <s v="INDEPENDENCIA 2"/>
    <s v="INDEPENDENCIA 2"/>
    <n v="5"/>
    <x v="1"/>
    <s v="TNM"/>
    <s v="HOGAR C/FF"/>
    <s v="SERRANO SOTO MANUEL"/>
    <x v="13"/>
    <s v="Independencia"/>
    <s v="Metropolitana"/>
    <s v="SIN IDENTIFICAR"/>
    <s v="502IY"/>
  </r>
  <r>
    <s v="502UE"/>
    <s v="MIRAFLORES"/>
    <s v="MIRAFLORES"/>
    <n v="5"/>
    <x v="1"/>
    <s v="TNM"/>
    <s v="RECESO"/>
    <s v="SERRANO SOTO MANUEL"/>
    <x v="5"/>
    <s v="Santiago"/>
    <s v="Metropolitana "/>
    <s v="DIANA ROJAS"/>
    <s v="502UE"/>
  </r>
  <r>
    <s v="5033A"/>
    <s v="EDMUNDO ELUCHANS"/>
    <s v="EDMUNDO ELUCHANS"/>
    <n v="5"/>
    <x v="0"/>
    <s v="TNM"/>
    <s v="HOGAR"/>
    <s v="SESA DIEGO MIGUEL"/>
    <x v="3"/>
    <s v="Viña Del Mar"/>
    <s v="Valparaiso"/>
    <s v="MAIKEL PALOMARES"/>
    <s v="5033A"/>
  </r>
  <r>
    <s v="503LC"/>
    <s v="TALCA 2"/>
    <s v="TALCA 2"/>
    <n v="5"/>
    <x v="1"/>
    <s v="TNM"/>
    <s v="RECESO"/>
    <s v="SERRANO SOTO MANUEL"/>
    <x v="9"/>
    <s v="Talca"/>
    <s v="Maule"/>
    <s v="MAIKEL PALOMARES"/>
    <s v="503LC"/>
  </r>
  <r>
    <s v="503YO"/>
    <s v="SAN DIEGO 2"/>
    <s v="SAN DIEGO 2"/>
    <n v="5"/>
    <x v="1"/>
    <s v="TNM"/>
    <s v="HOGAR C/FF"/>
    <s v="SERRANO SOTO MANUEL"/>
    <x v="5"/>
    <s v="Santiago"/>
    <s v="Metropolitana "/>
    <s v="DIANA ROJAS"/>
    <s v="503YO"/>
  </r>
  <r>
    <s v="504A3"/>
    <s v="TERMINAL DE BUSES II"/>
    <s v="TERMINAL DE BUSES II"/>
    <n v="5"/>
    <x v="0"/>
    <s v="TNM"/>
    <s v="RECESO"/>
    <s v="SERRANO SOTO MANUEL"/>
    <x v="9"/>
    <s v="Estacion Central "/>
    <s v="Metropolitana"/>
    <s v="MAIKEL PALOMARES"/>
    <s v="504A3"/>
  </r>
  <r>
    <s v="504GZ"/>
    <s v="OHIGGINS ANGOL"/>
    <s v="OHIGGINS ANGOL"/>
    <n v="5"/>
    <x v="1"/>
    <s v="TNM"/>
    <s v="RECESO"/>
    <s v="SERRANO SOTO MANUEL"/>
    <x v="14"/>
    <s v="Concepción"/>
    <s v="Biobío"/>
    <s v="MAIKEL PALOMARES"/>
    <s v="504GZ"/>
  </r>
  <r>
    <s v="504UJ"/>
    <s v="BANDERA 2"/>
    <s v="BANDERA 2"/>
    <n v="5"/>
    <x v="1"/>
    <s v="TNM"/>
    <s v="RECESO"/>
    <s v="SERRANO SOTO MANUEL"/>
    <x v="7"/>
    <s v="Santiago"/>
    <s v="Metropolitana "/>
    <s v="BENJAMIN SERRANO"/>
    <s v="504UJ"/>
  </r>
  <r>
    <s v="5050J"/>
    <s v="MALL PATIO RANCAGUA"/>
    <s v="PATIO RANCAGUA"/>
    <n v="5"/>
    <x v="1"/>
    <s v="TNM"/>
    <s v="AL PASO"/>
    <s v="SESA DIEGO MIGUEL"/>
    <x v="9"/>
    <s v="Rancagua"/>
    <s v="O'Higgins"/>
    <s v="MAIKEL PALOMARES"/>
    <s v="5050J"/>
  </r>
  <r>
    <s v="505F3"/>
    <s v="OUTLET LA FABRICA"/>
    <s v="OUTLET LA FABRICA"/>
    <n v="5"/>
    <x v="0"/>
    <s v="TNM"/>
    <s v="RECESO"/>
    <s v="SERRANO SOTO MANUEL"/>
    <x v="9"/>
    <s v="San Joaquin"/>
    <s v="Metropolitana "/>
    <s v="MAIKEL PALOMARES"/>
    <s v="505F3"/>
  </r>
  <r>
    <s v="505VE"/>
    <s v="PATIO LOS LEONES"/>
    <s v="PATIO LOS LEONES"/>
    <n v="5"/>
    <x v="0"/>
    <s v="T2024"/>
    <s v="BASE"/>
    <s v="SERRANO SOTO MANUEL"/>
    <x v="1"/>
    <s v="Providencia"/>
    <s v="Metropolitana"/>
    <s v="BENJAMIN SERRANO"/>
    <s v="505VE"/>
  </r>
  <r>
    <s v="505WD"/>
    <s v="PARTENON 2"/>
    <s v="PARTENON 2"/>
    <n v="5"/>
    <x v="0"/>
    <s v="TNM"/>
    <s v="RECESO"/>
    <s v="SERRANO SOTO MANUEL"/>
    <x v="0"/>
    <s v="Vitacura"/>
    <s v="Metropolitana"/>
    <s v="JOSE NAVARRO"/>
    <s v="505WD"/>
  </r>
  <r>
    <s v="505XC"/>
    <s v="PLAZA VICTORIA"/>
    <s v="PLAZA VICTORIA"/>
    <n v="5"/>
    <x v="0"/>
    <s v="TNM"/>
    <s v="RECESO"/>
    <s v="SESA DIEGO MIGUEL"/>
    <x v="4"/>
    <s v="Valparaiso"/>
    <s v="Valparaiso"/>
    <s v="MAIKEL PALOMARES"/>
    <s v="505XC"/>
  </r>
  <r>
    <s v="506HQ"/>
    <s v="CANTAGALLO"/>
    <s v="CANTAGALLOS"/>
    <n v="5"/>
    <x v="0"/>
    <s v="TNM"/>
    <s v="RECESO"/>
    <s v="SERRANO SOTO MANUEL"/>
    <x v="12"/>
    <s v="Las Condes"/>
    <s v="Metropolitana"/>
    <s v="DIANA ROJAS"/>
    <s v="506HQ"/>
  </r>
  <r>
    <s v="506J6"/>
    <s v="ABATE MOLINA"/>
    <s v="ABATE MOLINA"/>
    <n v="5"/>
    <x v="1"/>
    <s v="TNM"/>
    <s v="HOGAR C/FF"/>
    <s v="SERRANO SOTO MANUEL"/>
    <x v="13"/>
    <s v="Santiago"/>
    <s v="Metropolitana"/>
    <s v="SIN IDENTIFICAR"/>
    <s v="506J6"/>
  </r>
  <r>
    <s v="506RS"/>
    <s v="METRO LA CISTERNA"/>
    <s v="METRO LA CISTERNA"/>
    <n v="5"/>
    <x v="0"/>
    <s v="T2024"/>
    <s v="RECESO"/>
    <s v="SERRANO SOTO MANUEL"/>
    <x v="8"/>
    <s v="La Cisterna"/>
    <s v="Metropolitana"/>
    <s v="JOSE NAVARRO"/>
    <s v="506RS"/>
  </r>
  <r>
    <s v="506ZY"/>
    <s v="PEDRO TORRES"/>
    <s v="PEDRO TORRES"/>
    <n v="5"/>
    <x v="1"/>
    <s v="TNM"/>
    <s v="HOGAR C/FF"/>
    <s v="SERRANO SOTO MANUEL"/>
    <x v="2"/>
    <s v="Ñuñoa"/>
    <s v="Metropolitana "/>
    <s v="BENJAMIN SERRANO"/>
    <s v="506ZY"/>
  </r>
  <r>
    <s v="508NJ"/>
    <s v="LINARES"/>
    <s v="LINARES 1"/>
    <n v="5"/>
    <x v="1"/>
    <s v="TNM"/>
    <s v="RECESO"/>
    <s v="SERRANO SOTO MANUEL"/>
    <x v="9"/>
    <s v="Linares"/>
    <s v="Maule"/>
    <s v="MAIKEL PALOMARES"/>
    <s v="508NJ"/>
  </r>
  <r>
    <s v="5091B"/>
    <s v="HOLANDA 3"/>
    <s v="HOLANDA 3"/>
    <n v="5"/>
    <x v="1"/>
    <s v="TNM"/>
    <s v="RECESO"/>
    <s v="SERRANO SOTO MANUEL"/>
    <x v="13"/>
    <s v="Providencia"/>
    <s v="Metropolitana "/>
    <s v="SIN IDENTIFICAR"/>
    <s v="5091B"/>
  </r>
  <r>
    <s v="509H6"/>
    <s v="MACHALI SEWEL"/>
    <s v="MACHALÍ SEWEL"/>
    <n v="5"/>
    <x v="1"/>
    <s v="TNM"/>
    <s v="HOGAR C/FF"/>
    <s v="SERRANO SOTO MANUEL"/>
    <x v="9"/>
    <s v="Machalí"/>
    <s v="O'Higgins"/>
    <s v="MAIKEL PALOMARES"/>
    <s v="509H6"/>
  </r>
  <r>
    <s v="50AC1"/>
    <s v="PLAZA DEL INCA"/>
    <s v="PLAZA DEL INCA"/>
    <n v="5"/>
    <x v="0"/>
    <s v="TNM"/>
    <s v="BASE"/>
    <s v="SERRANO SOTO MANUEL"/>
    <x v="5"/>
    <s v="Las Condes"/>
    <s v="Metropolitana"/>
    <s v="DIANA ROJAS"/>
    <s v="50AC1"/>
  </r>
  <r>
    <s v="50AFU"/>
    <s v="SANTA AMALIA"/>
    <s v="SANTA AMALIA"/>
    <n v="5"/>
    <x v="1"/>
    <s v="TNM"/>
    <s v="RECESO"/>
    <s v="SERRANO SOTO MANUEL"/>
    <x v="12"/>
    <s v="La Florida"/>
    <s v="Metropolitana"/>
    <s v="DIANA ROJAS"/>
    <s v="50AFU"/>
  </r>
  <r>
    <s v="50AGU"/>
    <s v="EL AGUILUCHO"/>
    <s v="EL AGUILUCHO"/>
    <n v="5"/>
    <x v="1"/>
    <s v="TNM"/>
    <s v="HOGAR C/FF"/>
    <s v="SERRANO SOTO MANUEL"/>
    <x v="12"/>
    <s v="Providencia"/>
    <s v="Metropolitana "/>
    <s v="DIANA ROJAS"/>
    <s v="50AGU"/>
  </r>
  <r>
    <s v="50AJL"/>
    <s v="LA CASTELLANA"/>
    <s v="LA CASTELLANA"/>
    <n v="5"/>
    <x v="1"/>
    <s v="T2024"/>
    <s v="HOGAR C/FF"/>
    <s v="SERRANO SOTO MANUEL"/>
    <x v="7"/>
    <s v="Las Condes"/>
    <s v="Metropolitana"/>
    <s v="BENJAMIN SERRANO"/>
    <s v="50AJL"/>
  </r>
  <r>
    <s v="50AL4"/>
    <s v="ANIBAL PINTO"/>
    <s v="ANIBAL PINTO"/>
    <n v="5"/>
    <x v="1"/>
    <s v="T2024"/>
    <s v="RECESO"/>
    <s v="SERRANO SOTO MANUEL"/>
    <x v="14"/>
    <s v="Concepción"/>
    <s v="Biobío"/>
    <s v="MAIKEL PALOMARES"/>
    <s v="50AL4"/>
  </r>
  <r>
    <s v="50ALM"/>
    <s v="APOQUINDO LOS MILITARES"/>
    <s v="APOQUINDO - LOS MILITARES"/>
    <n v="5"/>
    <x v="0"/>
    <s v="TMCB"/>
    <s v="RECESO"/>
    <s v="SESA DIEGO MIGUEL"/>
    <x v="2"/>
    <s v="Las Condes"/>
    <s v="Metropolitana"/>
    <s v="BENJAMIN SERRANO"/>
    <s v="50ALM"/>
  </r>
  <r>
    <s v="50AMA"/>
    <s v="BALMORAL ALONSO DE CORDOVA"/>
    <s v="BALMORAL  ALONSO DE CORDOVA"/>
    <n v="5"/>
    <x v="0"/>
    <s v="TMCB"/>
    <s v="BASE"/>
    <s v="SERRANO SOTO MANUEL"/>
    <x v="10"/>
    <s v="Las Condes"/>
    <s v="Metropolitana"/>
    <s v="JOSE NAVARRO"/>
    <s v="50AMA"/>
  </r>
  <r>
    <s v="50APB"/>
    <s v="PATIO QUILICURA"/>
    <s v="OXXO  Patio Quilicura"/>
    <n v="5"/>
    <x v="0"/>
    <s v="T2024"/>
    <s v="RECESO"/>
    <s v="SERRANO SOTO MANUEL"/>
    <x v="9"/>
    <s v="Quilicura  "/>
    <s v="Metropolitana"/>
    <s v="MAIKEL PALOMARES"/>
    <s v="50APB"/>
  </r>
  <r>
    <s v="50APO"/>
    <s v="APOQUINDO 8"/>
    <s v="APOQUINDO 8"/>
    <n v="5"/>
    <x v="0"/>
    <s v="TMCB"/>
    <s v="RECESO"/>
    <s v="SESA DIEGO MIGUEL"/>
    <x v="2"/>
    <s v="Las Condes"/>
    <s v="Metropolitana"/>
    <s v="BENJAMIN SERRANO"/>
    <s v="50APO"/>
  </r>
  <r>
    <s v="50AQL"/>
    <s v="EBRO"/>
    <s v="EBRO"/>
    <n v="5"/>
    <x v="0"/>
    <s v="TMCB"/>
    <s v="BASE"/>
    <s v="SERRANO SOTO MANUEL"/>
    <x v="10"/>
    <s v="Las Condes"/>
    <s v="Metropolitana"/>
    <s v="JOSE NAVARRO"/>
    <s v="50AQL"/>
  </r>
  <r>
    <s v="50ARL"/>
    <s v="ARLEGUI"/>
    <s v="ARLEGUI"/>
    <n v="6"/>
    <x v="0"/>
    <s v="TMCB"/>
    <s v="RECESO"/>
    <s v="SESA DIEGO MIGUEL"/>
    <x v="4"/>
    <s v="Viña del Mar"/>
    <s v="Valparaiso"/>
    <s v="MAIKEL PALOMARES"/>
    <s v="50ARL"/>
  </r>
  <r>
    <s v="50AVA"/>
    <s v="SAN DIEGO COQUIMBO"/>
    <s v="SAN DIEGO - COQUIMBO"/>
    <n v="5"/>
    <x v="0"/>
    <s v="TMCB"/>
    <s v="BASE"/>
    <s v="SERRANO SOTO MANUEL"/>
    <x v="6"/>
    <s v="Santiago"/>
    <s v="Metropolitana "/>
    <s v="DIANA ROJAS"/>
    <s v="50AVA"/>
  </r>
  <r>
    <s v="50AZF"/>
    <s v="PUDAHUEL SAN PABLO 2"/>
    <s v="PUDAHUEL SAN PABLO 2"/>
    <n v="5"/>
    <x v="1"/>
    <s v="TNM"/>
    <s v="RECESO"/>
    <s v="SERRANO SOTO MANUEL"/>
    <x v="13"/>
    <s v="Pudahuel"/>
    <s v="Metropolitana "/>
    <s v="SIN IDENTIFICAR"/>
    <s v="50AZF"/>
  </r>
  <r>
    <s v="50B51"/>
    <s v="LOS TALAVERAS"/>
    <s v="OXXO  Los Talaveras"/>
    <n v="5"/>
    <x v="0"/>
    <s v="T2024"/>
    <s v="HOGAR"/>
    <s v="SERRANO SOTO MANUEL"/>
    <x v="11"/>
    <s v="Ñuñoa"/>
    <s v="Metropolitana"/>
    <s v="DIANA ROJAS"/>
    <s v="50B51"/>
  </r>
  <r>
    <s v="50BAR"/>
    <s v="BARROS ERRAZURIZ"/>
    <s v="BARROS ERRAZURIZ CLP"/>
    <n v="5.45"/>
    <x v="0"/>
    <s v="TMCB"/>
    <s v="BASE"/>
    <s v="SERRANO SOTO MANUEL"/>
    <x v="7"/>
    <s v="Providencia"/>
    <s v="Metropolitana "/>
    <s v="BENJAMIN SERRANO"/>
    <s v="50BAR"/>
  </r>
  <r>
    <s v="50BER"/>
    <s v="EL BERGANTIN"/>
    <s v="EL BERGANTIN"/>
    <n v="5"/>
    <x v="1"/>
    <s v="TMCB"/>
    <s v="HOGAR"/>
    <s v="SERRANO SOTO MANUEL"/>
    <x v="6"/>
    <s v="Las Condes"/>
    <s v="Metropolitana"/>
    <s v="DIANA ROJAS"/>
    <s v="50BER"/>
  </r>
  <r>
    <s v="50BFI"/>
    <s v="SAN MARTIN CAUPOLICAN"/>
    <s v="SAN MARTIN CAUPOLICAN"/>
    <n v="5"/>
    <x v="0"/>
    <s v="TNM"/>
    <s v="RECESO"/>
    <s v="SESA DIEGO MIGUEL"/>
    <x v="14"/>
    <s v="Concepción"/>
    <s v="Biobío"/>
    <s v="MAIKEL PALOMARES"/>
    <s v="50BFI"/>
  </r>
  <r>
    <s v="50BLL"/>
    <s v="BILBAO LOS LEONES"/>
    <s v="BILBAO  LOS LEONES"/>
    <n v="5"/>
    <x v="1"/>
    <s v="TMCB"/>
    <s v="HOGAR C/FF"/>
    <s v="SERRANO SOTO MANUEL"/>
    <x v="8"/>
    <s v="Providencia"/>
    <s v="Metropolitana "/>
    <s v="JOSE NAVARRO"/>
    <s v="50BLL"/>
  </r>
  <r>
    <s v="50BMP"/>
    <s v="SANTO DOMINGO"/>
    <s v="SANTO DOMINGO"/>
    <n v="5"/>
    <x v="1"/>
    <s v="TNM"/>
    <s v="RECESO"/>
    <s v="SERRANO SOTO MANUEL"/>
    <x v="5"/>
    <s v="Santiago"/>
    <s v="Metropolitana "/>
    <s v="DIANA ROJAS"/>
    <s v="50BMP"/>
  </r>
  <r>
    <s v="50CEI"/>
    <s v="BARCELONA"/>
    <s v="BARCELONA"/>
    <n v="5"/>
    <x v="1"/>
    <s v="T2024"/>
    <s v="HOGAR"/>
    <s v="SERRANO SOTO MANUEL"/>
    <x v="12"/>
    <s v="La Florida"/>
    <s v="Metropolitana"/>
    <s v="DIANA ROJAS"/>
    <s v="50CEI"/>
  </r>
  <r>
    <s v="50CLM"/>
    <s v="LOMAS SAN SEBASTIAN"/>
    <s v="LOMAS SAN SEBASTIAN"/>
    <n v="5"/>
    <x v="0"/>
    <s v="T2024"/>
    <s v="HOGAR"/>
    <s v="SESA DIEGO MIGUEL"/>
    <x v="14"/>
    <s v="Concepción"/>
    <s v="Biobío"/>
    <s v="MAIKEL PALOMARES"/>
    <s v="50CLM"/>
  </r>
  <r>
    <s v="50COL"/>
    <s v="CERRO COLORADO"/>
    <s v="CERRO COLORADO"/>
    <n v="5"/>
    <x v="0"/>
    <s v="TMCB"/>
    <s v="BASE"/>
    <s v="SERRANO SOTO MANUEL"/>
    <x v="10"/>
    <s v="Las Condes"/>
    <s v="Metropolitana"/>
    <s v="JOSE NAVARRO"/>
    <s v="50COL"/>
  </r>
  <r>
    <s v="50D6N"/>
    <s v="5 NORTE"/>
    <s v="5 NORTE"/>
    <n v="5"/>
    <x v="0"/>
    <s v="TNM"/>
    <s v="RECESO"/>
    <s v="SESA DIEGO MIGUEL"/>
    <x v="3"/>
    <s v="Viña del Mar"/>
    <s v="Valparaiso"/>
    <s v="MAIKEL PALOMARES"/>
    <s v="50D6N"/>
  </r>
  <r>
    <s v="50DBW"/>
    <s v="RENACA 1"/>
    <s v="REÑACA 1"/>
    <n v="5"/>
    <x v="1"/>
    <s v="TNM"/>
    <s v="HOGAR C/FF"/>
    <s v="SERRANO SOTO MANUEL"/>
    <x v="3"/>
    <s v="Viña del Mar"/>
    <s v="Valparaiso"/>
    <s v="MAIKEL PALOMARES"/>
    <s v="50DBW"/>
  </r>
  <r>
    <s v="50DKQ"/>
    <s v="FELIX BULNES"/>
    <s v="FELIX BULNES"/>
    <n v="5"/>
    <x v="0"/>
    <s v="TNM"/>
    <s v="RECESO"/>
    <s v="SERRANO SOTO MANUEL"/>
    <x v="9"/>
    <s v="Cerro Navia"/>
    <s v="Metropolitana"/>
    <s v="MAIKEL PALOMARES"/>
    <s v="50DKQ"/>
  </r>
  <r>
    <s v="50DPR"/>
    <s v="PADRE MARIANO"/>
    <s v="PADRE MARIANO"/>
    <n v="5"/>
    <x v="0"/>
    <s v="TMCB"/>
    <s v="RECESO"/>
    <s v="SERRANO SOTO MANUEL"/>
    <x v="7"/>
    <s v="Providencia"/>
    <s v="Metropolitana "/>
    <s v="BENJAMIN SERRANO"/>
    <s v="50DPR"/>
  </r>
  <r>
    <s v="50DWS"/>
    <s v="IRARRAZAVAL SAN JORGE"/>
    <s v="IRARRAZAVAL - SAN JORGE"/>
    <n v="5"/>
    <x v="0"/>
    <s v="TMCB"/>
    <s v="BASE"/>
    <s v="SERRANO SOTO MANUEL"/>
    <x v="11"/>
    <s v="Ñuñoa"/>
    <s v="Metropolitana "/>
    <s v="DIANA ROJAS"/>
    <s v="50DWS"/>
  </r>
  <r>
    <s v="50DXJ"/>
    <s v="PROVIDENCIA 1"/>
    <s v="PROVIDENCIA 1"/>
    <n v="5"/>
    <x v="1"/>
    <s v="TMCB"/>
    <s v="HOGAR C/FF"/>
    <s v="SERRANO SOTO MANUEL"/>
    <x v="13"/>
    <s v="Providencia"/>
    <s v="Metropolitana "/>
    <s v="SIN IDENTIFICAR"/>
    <s v="50DXJ"/>
  </r>
  <r>
    <s v="50EFH"/>
    <s v="PLACA LA DEHESA"/>
    <s v="PLACA LA DEHESA"/>
    <n v="5"/>
    <x v="0"/>
    <s v="TNM"/>
    <s v="RECESO"/>
    <s v="SERRANO SOTO MANUEL"/>
    <x v="12"/>
    <s v="Lo Barnechea"/>
    <s v="Metropolitana"/>
    <s v="DIANA ROJAS"/>
    <s v="50EFH"/>
  </r>
  <r>
    <s v="50EVA"/>
    <s v="PRAT SALINAS"/>
    <s v="PRAT SALINAS"/>
    <n v="5"/>
    <x v="1"/>
    <s v="TNM"/>
    <s v="RECESO"/>
    <s v="SERRANO SOTO MANUEL"/>
    <x v="0"/>
    <s v="San Felipe"/>
    <s v="Valparaiso"/>
    <s v="JOSE NAVARRO"/>
    <s v="50EVA"/>
  </r>
  <r>
    <s v="50F4M"/>
    <s v="SAN ANTONIO"/>
    <s v="SAN ANTONIO 80"/>
    <n v="5"/>
    <x v="0"/>
    <s v="T2024"/>
    <s v="RECESO"/>
    <s v="SERRANO SOTO MANUEL"/>
    <x v="6"/>
    <s v="Santiago"/>
    <s v="Metropolitana"/>
    <s v="DIANA ROJAS"/>
    <s v="50F4M"/>
  </r>
  <r>
    <s v="50FF5"/>
    <s v="METRO GRUTA LOURDES"/>
    <s v="Metro Gruta de Lourdes"/>
    <n v="5"/>
    <x v="0"/>
    <s v="T2024"/>
    <s v="RECESO"/>
    <s v="SERRANO SOTO MANUEL"/>
    <x v="8"/>
    <s v="Quinta Normal"/>
    <s v="Metropolitana"/>
    <s v="JOSE NAVARRO"/>
    <s v="50FF5"/>
  </r>
  <r>
    <s v="50FLF"/>
    <s v="LAS VERBENAS"/>
    <s v="LAS VERBENAS"/>
    <n v="5"/>
    <x v="1"/>
    <s v="T2024"/>
    <s v="HOGAR"/>
    <s v="SERRANO SOTO MANUEL"/>
    <x v="2"/>
    <s v="Las Condes"/>
    <s v="Metropolitana"/>
    <s v="BENJAMIN SERRANO"/>
    <s v="50FLF"/>
  </r>
  <r>
    <s v="50FLP"/>
    <s v="LA FORESTA VINA DEL MAR"/>
    <s v="LA FORESTA - VIÑA DEL MAR"/>
    <n v="6"/>
    <x v="0"/>
    <s v="TMCB"/>
    <s v="HOGAR"/>
    <s v="SESA DIEGO MIGUEL"/>
    <x v="3"/>
    <s v="Viña del Mar"/>
    <s v="Valparaiso"/>
    <s v="MAIKEL PALOMARES"/>
    <s v="50FLP"/>
  </r>
  <r>
    <s v="50FNM"/>
    <s v="OHIGGINS"/>
    <s v="OHIGGINS 716"/>
    <n v="5"/>
    <x v="0"/>
    <s v="TNM"/>
    <s v="RECESO"/>
    <s v="SESA DIEGO MIGUEL"/>
    <x v="14"/>
    <s v="Concepción"/>
    <s v="Biobío"/>
    <s v="MAIKEL PALOMARES"/>
    <s v="50FNM"/>
  </r>
  <r>
    <s v="50FTC"/>
    <s v="SAN EUGENIO"/>
    <s v="SAN EUGENIO"/>
    <n v="5"/>
    <x v="0"/>
    <s v="TNM"/>
    <s v="RECESO"/>
    <s v="SERRANO SOTO MANUEL"/>
    <x v="11"/>
    <s v="Ñuñoa"/>
    <s v="Metropolitana "/>
    <s v="DIANA ROJAS"/>
    <s v="50FTC"/>
  </r>
  <r>
    <s v="50FVZ"/>
    <s v="ASTURIAS"/>
    <s v="ASTURIAS"/>
    <n v="5"/>
    <x v="0"/>
    <s v="TNM"/>
    <s v="BASE"/>
    <s v="SESA DIEGO MIGUEL"/>
    <x v="2"/>
    <s v="Las Condes"/>
    <s v="Metropolitana"/>
    <s v="BENJAMIN SERRANO"/>
    <s v="50FVZ"/>
  </r>
  <r>
    <s v="50FZZ"/>
    <s v="MIRADOR AZUL"/>
    <s v="MIRADOR AZUL"/>
    <n v="5"/>
    <x v="0"/>
    <s v="T2024"/>
    <s v="HOGAR"/>
    <s v="SERRANO SOTO MANUEL"/>
    <x v="9"/>
    <s v="La Florida"/>
    <s v="Metropolitana"/>
    <s v="MAIKEL PALOMARES"/>
    <s v="50FZZ"/>
  </r>
  <r>
    <s v="50GDJ"/>
    <s v="APOQUINDO SAN PASCUAL"/>
    <s v="APOQUINDO  SAN PASCUAL"/>
    <n v="5"/>
    <x v="1"/>
    <s v="TMCB"/>
    <s v="RECESO"/>
    <s v="SERRANO SOTO MANUEL"/>
    <x v="7"/>
    <s v="Las Condes"/>
    <s v="Metropolitana"/>
    <s v="BENJAMIN SERRANO"/>
    <s v="50GDJ"/>
  </r>
  <r>
    <s v="50GIA"/>
    <s v="AGUSTINAS SAN MARTIN 2"/>
    <s v="AGUSTINAS SAN MARTIN 2"/>
    <n v="5"/>
    <x v="1"/>
    <s v="TNM"/>
    <s v="HOGAR C/FF"/>
    <s v="SERRANO SOTO MANUEL"/>
    <x v="7"/>
    <s v="Santiago"/>
    <s v="Metropolitana "/>
    <s v="BENJAMIN SERRANO"/>
    <s v="50GIA"/>
  </r>
  <r>
    <s v="50GNW"/>
    <s v="SAN PABLO MORANDE"/>
    <s v="SAN PABLO   MORANDE"/>
    <n v="5"/>
    <x v="1"/>
    <s v="TMCB"/>
    <s v="RECESO"/>
    <s v="SERRANO SOTO MANUEL"/>
    <x v="0"/>
    <s v="Santiago"/>
    <s v="Metropolitana "/>
    <s v="JOSE NAVARRO"/>
    <s v="50GNW"/>
  </r>
  <r>
    <s v="50GP4"/>
    <s v="OROMPELLO"/>
    <s v="OROMPELLO"/>
    <n v="5"/>
    <x v="1"/>
    <s v="TNM"/>
    <s v="RECESO"/>
    <s v="SERRANO SOTO MANUEL"/>
    <x v="14"/>
    <s v="Concepción"/>
    <s v="Biobío"/>
    <s v="MAIKEL PALOMARES"/>
    <s v="50GP4"/>
  </r>
  <r>
    <s v="50GRE"/>
    <s v="GRECIA EXEQUIEL"/>
    <s v="GRECIA EXEQUIEL"/>
    <n v="5"/>
    <x v="1"/>
    <s v="TMCB"/>
    <s v="RECESO"/>
    <s v="SERRANO SOTO MANUEL"/>
    <x v="9"/>
    <s v="Ñuñoa"/>
    <s v="Metropolitana "/>
    <s v="MAIKEL PALOMARES"/>
    <s v="50GRE"/>
  </r>
  <r>
    <s v="50GXO"/>
    <s v="RENATO SANCHEZ"/>
    <s v="RENATO SANCHEZ"/>
    <n v="5"/>
    <x v="0"/>
    <s v="TNM"/>
    <s v="BASE"/>
    <s v="SERRANO SOTO MANUEL"/>
    <x v="10"/>
    <s v="Las Condes"/>
    <s v="Metropolitana"/>
    <s v="DIANA ROJAS"/>
    <s v="50GXO"/>
  </r>
  <r>
    <s v="50H1H"/>
    <s v="MALL PASEO SAN BERNARDO"/>
    <s v="MALL PASEO SAN BERNARDO"/>
    <n v="5"/>
    <x v="0"/>
    <s v="TNM"/>
    <s v="RECESO"/>
    <s v="SERRANO SOTO MANUEL"/>
    <x v="9"/>
    <s v="San Bernardo"/>
    <s v="Metropolitana "/>
    <s v="MAIKEL PALOMARES"/>
    <s v="50H1H"/>
  </r>
  <r>
    <s v="50H7X"/>
    <s v="WORK LA DEHESA"/>
    <s v="WORK LA DEHESA"/>
    <n v="5"/>
    <x v="0"/>
    <s v="T2024"/>
    <s v="HOGAR"/>
    <s v="SERRANO SOTO MANUEL"/>
    <x v="12"/>
    <s v="Lo Barnechea"/>
    <s v="Metropolitana"/>
    <s v="DIANA ROJAS"/>
    <s v="50H7X"/>
  </r>
  <r>
    <s v="50HXH"/>
    <s v="WORLD TRADE CENTER"/>
    <s v="WORLD TRADE CENTER"/>
    <n v="5"/>
    <x v="0"/>
    <s v="TNM"/>
    <s v="RECESO"/>
    <s v="SERRANO SOTO MANUEL"/>
    <x v="10"/>
    <s v="Las Condes"/>
    <s v="Metropolitana"/>
    <s v="JOSE NAVARRO"/>
    <s v="50HXH"/>
  </r>
  <r>
    <s v="50IAB"/>
    <s v="IRARRAZAVAL ANTONIO VARAS"/>
    <s v="IRARRAZAVAL  ANTONIO VARAS"/>
    <n v="5"/>
    <x v="1"/>
    <s v="TMCB"/>
    <s v="HOGAR C/FF"/>
    <s v="SERRANO SOTO MANUEL"/>
    <x v="12"/>
    <s v="Ñuñoa"/>
    <s v="Metropolitana "/>
    <s v="DIANA ROJAS"/>
    <s v="50IAB"/>
  </r>
  <r>
    <s v="50IHX"/>
    <s v="VILLA ALEMANA 2"/>
    <s v="VILLA ALEMANA 2"/>
    <n v="5"/>
    <x v="1"/>
    <s v="TNM"/>
    <s v="RECESO"/>
    <s v="SERRANO SOTO MANUEL"/>
    <x v="4"/>
    <s v="Villa Alemana"/>
    <s v="Valparaiso"/>
    <s v="MAIKEL PALOMARES"/>
    <s v="50IHX"/>
  </r>
  <r>
    <s v="50INN"/>
    <s v="QUILLOTA 1"/>
    <s v="QUILLOTA 1"/>
    <n v="5"/>
    <x v="1"/>
    <s v="TNM"/>
    <s v="RECESO"/>
    <s v="SERRANO SOTO MANUEL"/>
    <x v="4"/>
    <s v="Quillota"/>
    <s v="Valparaiso"/>
    <s v="MAIKEL PALOMARES"/>
    <s v="50INN"/>
  </r>
  <r>
    <s v="50ISI"/>
    <s v="ISIDORA 2"/>
    <s v="ISIDORA 2"/>
    <n v="5"/>
    <x v="0"/>
    <s v="TMCB"/>
    <s v="BASE"/>
    <s v="SERRANO SOTO MANUEL"/>
    <x v="10"/>
    <s v="Las Condes"/>
    <s v="Metropolitana"/>
    <s v="JOSE NAVARRO"/>
    <s v="50ISI"/>
  </r>
  <r>
    <s v="50ISU"/>
    <s v="IRARRAZAVAL SUECIA"/>
    <s v="IRARRAZAVAL  SUECIA"/>
    <n v="5"/>
    <x v="1"/>
    <s v="TNM"/>
    <s v="HOGAR C/FF"/>
    <s v="SERRANO SOTO MANUEL"/>
    <x v="13"/>
    <s v="Ñuñoa"/>
    <s v="Metropolitana "/>
    <s v="SIN IDENTIFICAR"/>
    <s v="50ISU"/>
  </r>
  <r>
    <s v="50ITA"/>
    <s v="IRARRAZAVAL ITALIA"/>
    <s v="IRARRAZAVAL  ITALIA"/>
    <n v="5"/>
    <x v="1"/>
    <s v="TMCB"/>
    <s v="HOGAR C/FF"/>
    <s v="SERRANO SOTO MANUEL"/>
    <x v="11"/>
    <s v="Ñuñoa"/>
    <s v="Metropolitana "/>
    <s v="DIANA ROJAS"/>
    <s v="50ITA"/>
  </r>
  <r>
    <s v="50IVB"/>
    <s v="IRARRAZAVAL BUSTAMANTE"/>
    <s v="IRARRAZAVAL - BUSTAMANTE"/>
    <n v="5"/>
    <x v="0"/>
    <s v="TMCB"/>
    <s v="BASE"/>
    <s v="SERRANO SOTO MANUEL"/>
    <x v="11"/>
    <s v="Ñuñoa"/>
    <s v="Metropolitana "/>
    <s v="DIANA ROJAS"/>
    <s v="50IVB"/>
  </r>
  <r>
    <s v="50JAK"/>
    <s v="SANTA VICTORIA"/>
    <s v="SANTA VICTORIA"/>
    <n v="5"/>
    <x v="0"/>
    <s v="TMCB"/>
    <s v="BASE"/>
    <s v="SERRANO SOTO MANUEL"/>
    <x v="6"/>
    <s v="Santiago"/>
    <s v="Metropolitana "/>
    <s v="DIANA ROJAS"/>
    <s v="50JAK"/>
  </r>
  <r>
    <s v="50K17"/>
    <s v="PEDRO DE VALDIVIA 5"/>
    <s v="PEDRO DE VALDIVIA 5"/>
    <n v="5"/>
    <x v="1"/>
    <s v="TNM"/>
    <s v="HOGAR C/FF"/>
    <s v="SERRANO SOTO MANUEL"/>
    <x v="0"/>
    <s v="Ñuñoa"/>
    <s v="Metropolitana "/>
    <s v="JOSE NAVARRO"/>
    <s v="50K17"/>
  </r>
  <r>
    <s v="50KAD"/>
    <s v="DR JOHOW"/>
    <s v="DR JOHOW"/>
    <n v="5"/>
    <x v="1"/>
    <s v="TNM"/>
    <s v="HOGAR"/>
    <s v="SERRANO SOTO MANUEL"/>
    <x v="9"/>
    <s v="Ñuñoa"/>
    <s v="Metropolitana "/>
    <s v="MAIKEL PALOMARES"/>
    <s v="50KAD"/>
  </r>
  <r>
    <s v="50KJP"/>
    <s v="METRO HOSPITAL EL PINO"/>
    <s v="METRO HOSPITAL PINO"/>
    <n v="5"/>
    <x v="0"/>
    <s v="T2024"/>
    <s v="RECESO"/>
    <s v="SERRANO SOTO MANUEL"/>
    <x v="8"/>
    <s v="San Bernardo"/>
    <s v="Metropolitana"/>
    <s v="JOSE NAVARRO"/>
    <s v="50KJP"/>
  </r>
  <r>
    <s v="50KT5"/>
    <s v="PEDRO ONA"/>
    <s v="PEDRO DE OÑA"/>
    <n v="5"/>
    <x v="1"/>
    <s v="TNM"/>
    <s v="HOGAR C/FF"/>
    <s v="SERRANO SOTO MANUEL"/>
    <x v="11"/>
    <s v="Ñuñoa"/>
    <s v="Metropolitana "/>
    <s v="DIANA ROJAS"/>
    <s v="50KT5"/>
  </r>
  <r>
    <s v="50KT9"/>
    <s v="PLAZA CALERA"/>
    <s v="RIPLEY LA CALERA"/>
    <n v="5"/>
    <x v="1"/>
    <s v="T2024"/>
    <s v="RECESO"/>
    <s v="SERRANO SOTO MANUEL"/>
    <x v="4"/>
    <s v="La Calera"/>
    <s v="Valparaiso"/>
    <s v="MAIKEL PALOMARES"/>
    <s v="50KT9"/>
  </r>
  <r>
    <s v="50LAE"/>
    <s v="CONCON RENACA"/>
    <s v="CONCON  REÑACA"/>
    <n v="5"/>
    <x v="0"/>
    <s v="TNM"/>
    <s v="BASE"/>
    <s v="SESA DIEGO MIGUEL"/>
    <x v="3"/>
    <s v="Concón"/>
    <s v="Valparaiso"/>
    <s v="MAIKEL PALOMARES"/>
    <s v="50LAE"/>
  </r>
  <r>
    <s v="50LBB"/>
    <s v="LOS BARBECHOS"/>
    <s v="LOS BARBECHOS"/>
    <n v="5"/>
    <x v="1"/>
    <s v="TMCB"/>
    <s v="HOGAR C/FF"/>
    <s v="SERRANO SOTO MANUEL"/>
    <x v="2"/>
    <s v="Las Condes"/>
    <s v="Metropolitana"/>
    <s v="BENJAMIN SERRANO"/>
    <s v="50LBB"/>
  </r>
  <r>
    <s v="50LCO"/>
    <s v="LIRA CURICO"/>
    <s v="LIRA CURICO "/>
    <n v="5"/>
    <x v="1"/>
    <s v="T2023"/>
    <s v="HOGAR C/FF"/>
    <s v="SERRANO SOTO MANUEL"/>
    <x v="13"/>
    <s v="Santiago"/>
    <s v="Metropolitana "/>
    <s v="SIN IDENTIFICAR"/>
    <s v="50LCO"/>
  </r>
  <r>
    <s v="50LIB"/>
    <s v="LIBERTAD"/>
    <s v="LIBERTAD (V REGION)"/>
    <n v="5"/>
    <x v="0"/>
    <s v="TMCB"/>
    <s v="BASE"/>
    <s v="SESA DIEGO MIGUEL"/>
    <x v="3"/>
    <s v="Viña del Mar"/>
    <s v="Valparaiso"/>
    <s v="MAIKEL PALOMARES"/>
    <s v="50LIB"/>
  </r>
  <r>
    <s v="50LOT"/>
    <s v="HUERFANOS"/>
    <s v="HUERFANOS"/>
    <n v="5"/>
    <x v="0"/>
    <s v="TMCB"/>
    <s v="RECESO"/>
    <s v="SERRANO SOTO MANUEL"/>
    <x v="6"/>
    <s v="Santiago"/>
    <s v="Metropolitana "/>
    <s v="DIANA ROJAS"/>
    <s v="50LOT"/>
  </r>
  <r>
    <s v="50LRA"/>
    <s v="LIRA 43"/>
    <s v="LIRA 43"/>
    <n v="5"/>
    <x v="0"/>
    <s v="TMCB"/>
    <s v="RECESO"/>
    <s v="SERRANO SOTO MANUEL"/>
    <x v="6"/>
    <s v="Santiago"/>
    <s v="Metropolitana "/>
    <s v="DIANA ROJAS"/>
    <s v="50LRA"/>
  </r>
  <r>
    <s v="50LRR"/>
    <s v="LARRAIN"/>
    <s v="LARRAIN"/>
    <n v="5"/>
    <x v="1"/>
    <s v="TMCB"/>
    <s v="HOGAR C/FF"/>
    <s v="SERRANO SOTO MANUEL"/>
    <x v="13"/>
    <s v="La Reina"/>
    <s v="Metropolitana"/>
    <s v="SIN IDENTIFICAR"/>
    <s v="50LRR"/>
  </r>
  <r>
    <s v="50LTD"/>
    <s v="EMILIA TELLEZ"/>
    <s v="EMILIA TELLEZ"/>
    <n v="5"/>
    <x v="1"/>
    <s v="TMCB"/>
    <s v="HOGAR C/FF"/>
    <s v="SERRANO SOTO MANUEL"/>
    <x v="7"/>
    <s v="Ñuñoa"/>
    <s v="Metropolitana "/>
    <s v="BENJAMIN SERRANO"/>
    <s v="50LTD"/>
  </r>
  <r>
    <s v="50LVH"/>
    <s v="SAN MARTIN 6 PONIENTE"/>
    <s v="6 PONIENTE"/>
    <n v="9"/>
    <x v="0"/>
    <s v="T2024"/>
    <s v="BASE"/>
    <s v="SESA DIEGO MIGUEL"/>
    <x v="4"/>
    <s v="Viña del Mar"/>
    <s v="Valparaiso"/>
    <s v="MAIKEL PALOMARES"/>
    <s v="50LVH"/>
  </r>
  <r>
    <s v="50LVO"/>
    <s v="EL MANZANO"/>
    <s v="EL MANZANO"/>
    <n v="5"/>
    <x v="1"/>
    <s v="TNM"/>
    <s v="HOGAR C/FF"/>
    <s v="SERRANO SOTO MANUEL"/>
    <x v="13"/>
    <s v="Recoleta"/>
    <s v="Metropolitana "/>
    <s v="SIN IDENTIFICAR"/>
    <s v="50LVO"/>
  </r>
  <r>
    <s v="50MAD"/>
    <s v="METRO BIO BIO"/>
    <s v="METRO BIOBIO"/>
    <n v="5"/>
    <x v="0"/>
    <s v="TMCB"/>
    <s v="RECESO"/>
    <s v="SERRANO SOTO MANUEL"/>
    <x v="8"/>
    <s v="San Miguel"/>
    <s v="Metropolitana "/>
    <s v="JOSE NAVARRO"/>
    <s v="50MAD"/>
  </r>
  <r>
    <s v="50MCA"/>
    <s v="MATUCANA"/>
    <s v="MATUCANA  (matucana mapocho)"/>
    <n v="5"/>
    <x v="1"/>
    <s v="TMCB"/>
    <s v="HOGAR C/FF"/>
    <s v="SERRANO SOTO MANUEL"/>
    <x v="13"/>
    <s v="Santiago"/>
    <s v="Metropolitana "/>
    <s v="SIN IDENTIFICAR"/>
    <s v="50MCA"/>
  </r>
  <r>
    <s v="50MD2"/>
    <s v="HUERFANOS 2"/>
    <s v="HUERFANOS 2"/>
    <n v="5"/>
    <x v="1"/>
    <s v="T2023"/>
    <s v="HOGAR C/FF"/>
    <s v="SERRANO SOTO MANUEL"/>
    <x v="13"/>
    <s v="Santiago"/>
    <s v="Metropolitana "/>
    <s v="SIN IDENTIFICAR"/>
    <s v="50MD2"/>
  </r>
  <r>
    <s v="50MMT"/>
    <s v="MARTIN DE ZAMORA"/>
    <s v="MARTIN DE ZAMORA"/>
    <n v="5"/>
    <x v="1"/>
    <s v="TNM"/>
    <s v="HOGAR C/FF"/>
    <s v="SERRANO SOTO MANUEL"/>
    <x v="15"/>
    <s v="Las Condes"/>
    <s v="Metropolitana"/>
    <s v="DIANA ROJAS"/>
    <s v="50MMT"/>
  </r>
  <r>
    <s v="50MNO"/>
    <s v="MANQUEHUE NORTE"/>
    <s v="MANQUEHUE NORTE CLP"/>
    <n v="5"/>
    <x v="0"/>
    <s v="TNM"/>
    <s v="BASE"/>
    <s v="SERRANO SOTO MANUEL"/>
    <x v="5"/>
    <s v="Las Condes"/>
    <s v="Metropolitana"/>
    <s v="JOSE NAVARRO"/>
    <s v="50MNO"/>
  </r>
  <r>
    <s v="50NF1"/>
    <s v="13 NORTE"/>
    <s v="13 NORTE"/>
    <n v="5"/>
    <x v="0"/>
    <s v="TNM"/>
    <s v="RECESO"/>
    <s v="SESA DIEGO MIGUEL"/>
    <x v="3"/>
    <s v="Viña del Mar"/>
    <s v="Valparaiso"/>
    <s v="MAIKEL PALOMARES"/>
    <s v="50NF1"/>
  </r>
  <r>
    <s v="50NU9"/>
    <s v="NATANIEL 2"/>
    <m/>
    <n v="5"/>
    <x v="1"/>
    <s v="TNM"/>
    <s v="HOGAR"/>
    <s v="SERRANO SOTO MANUEL"/>
    <x v="13"/>
    <s v="Santiago"/>
    <s v="Metropolitana "/>
    <s v="SIN IDENTIFICAR"/>
    <s v="50NU9"/>
  </r>
  <r>
    <s v="50OAC"/>
    <s v="OKM ALONSO DE CAMARGO"/>
    <s v="OKM ALONSO DE CAMARGO K126  CAJAS"/>
    <n v="5"/>
    <x v="0"/>
    <s v="TMCB OKM"/>
    <s v="HOGAR"/>
    <s v="SERRANO SOTO MANUEL"/>
    <x v="5"/>
    <s v="Las Condes"/>
    <s v="Metropolitana"/>
    <s v="DIANA ROJAS"/>
    <s v="50OAC"/>
  </r>
  <r>
    <s v="50OAD"/>
    <s v="OKM ABDON CIFUENTES"/>
    <s v="OKM ABDON CIFUENTES"/>
    <n v="5"/>
    <x v="1"/>
    <s v="TMCB OKM"/>
    <s v="RECESO"/>
    <s v="SERRANO SOTO MANUEL"/>
    <x v="5"/>
    <s v="Santiago"/>
    <s v="Metropolitana"/>
    <s v="DIANA ROJAS"/>
    <s v="50OAD"/>
  </r>
  <r>
    <s v="50OAE"/>
    <s v="ARAUCO ESTACION"/>
    <s v="OKM ARAUCO ESTACION"/>
    <n v="5"/>
    <x v="1"/>
    <s v="TMCB OKM"/>
    <s v="RECESO"/>
    <s v="SERRANO SOTO MANUEL"/>
    <x v="13"/>
    <s v="Estacion Central "/>
    <s v="Metropolitana"/>
    <s v="SIN IDENTIFICAR"/>
    <s v="50OAE"/>
  </r>
  <r>
    <s v="50OAG"/>
    <s v="AIEP GRAJALES"/>
    <s v="AIEP GRAJALES "/>
    <n v="5"/>
    <x v="1"/>
    <s v="TMCB OKM"/>
    <s v="RECESO"/>
    <s v="SERRANO SOTO MANUEL"/>
    <x v="13"/>
    <s v="Santiago"/>
    <s v="Metropolitana "/>
    <s v="SIN IDENTIFICAR"/>
    <s v="50OAG"/>
  </r>
  <r>
    <s v="50OAP"/>
    <s v="ALMIRANTE PASTENE"/>
    <s v="OKM ALMIRANTE PASTENE"/>
    <n v="5"/>
    <x v="0"/>
    <s v="TMCB OKM"/>
    <s v="RECESO"/>
    <s v="SERRANO SOTO MANUEL"/>
    <x v="7"/>
    <s v="Providencia"/>
    <s v="Metropolitana"/>
    <s v="BENJAMIN SERRANO"/>
    <s v="50OAP"/>
  </r>
  <r>
    <s v="50OAZ"/>
    <s v="ALVAREZ"/>
    <s v="OKM ALVAREZ"/>
    <n v="5"/>
    <x v="1"/>
    <s v="TMCB OKM"/>
    <s v="RECESO"/>
    <s v="SERRANO SOTO MANUEL"/>
    <x v="13"/>
    <s v="Viña Del Mar"/>
    <s v="Valparaiso"/>
    <s v="SIN IDENTIFICAR"/>
    <s v="50OAZ"/>
  </r>
  <r>
    <s v="50OBM"/>
    <s v="MONTEMAR"/>
    <s v="OKM BOSQUES DE MONTEMAR K173CAJAS"/>
    <n v="5"/>
    <x v="0"/>
    <s v="TMCB OKM"/>
    <s v="HOGAR"/>
    <s v="SESA DIEGO MIGUEL"/>
    <x v="3"/>
    <s v="Concón"/>
    <s v="Valparaiso"/>
    <s v="MAIKEL PALOMARES"/>
    <s v="50OBM"/>
  </r>
  <r>
    <s v="50OBO"/>
    <s v="BORGONO"/>
    <s v="OKM BORGOÑO K165 - CAJAS"/>
    <n v="5"/>
    <x v="1"/>
    <s v="TMCB OKM"/>
    <s v="HOGAR C/FF"/>
    <s v="SERRANO SOTO MANUEL"/>
    <x v="3"/>
    <s v="Viña Del Mar"/>
    <s v="Valparaíso"/>
    <s v="MAIKEL PALOMARES"/>
    <s v="50OBO"/>
  </r>
  <r>
    <s v="50OBS"/>
    <s v="BOULEVARD DEL SOL"/>
    <s v="BOULEVARD DEL SOL CL"/>
    <n v="5"/>
    <x v="1"/>
    <s v="TMCB OKM"/>
    <s v="HOGAR"/>
    <s v="SERRANO SOTO MANUEL"/>
    <x v="3"/>
    <s v="Viña Del Mar"/>
    <s v="Valparaíso"/>
    <s v="MAIKEL PALOMARES"/>
    <s v="50OBS"/>
  </r>
  <r>
    <s v="50OCD"/>
    <s v="OKM CATEDRAL TEATINOS"/>
    <s v="OKM CATEDRAL TEATINOS"/>
    <n v="5"/>
    <x v="1"/>
    <s v="TMCB OKM"/>
    <s v="RECESO"/>
    <s v="SERRANO SOTO MANUEL"/>
    <x v="13"/>
    <s v="Santiago"/>
    <s v="Metropolitana"/>
    <s v="SIN IDENTIFICAR"/>
    <s v="50OCD"/>
  </r>
  <r>
    <s v="50OCI"/>
    <s v="CARMEN SANTA ISABEL"/>
    <s v="OKM CARMEN"/>
    <n v="5"/>
    <x v="1"/>
    <s v="TMCB OKM"/>
    <s v="HOGAR"/>
    <s v="SERRANO SOTO MANUEL"/>
    <x v="6"/>
    <s v="Santiago"/>
    <s v="Metropolitana"/>
    <s v="DIANA ROJAS"/>
    <s v="50OCI"/>
  </r>
  <r>
    <s v="50OCM"/>
    <s v="CHAMISERO"/>
    <s v="OKM CHAMISERO K168  CAJAS"/>
    <n v="5"/>
    <x v="0"/>
    <s v="TMCB OKM"/>
    <s v="HOGAR"/>
    <s v="SERRANO SOTO MANUEL"/>
    <x v="0"/>
    <s v="Colina"/>
    <s v="Metropolitana"/>
    <s v="JOSE NAVARRO"/>
    <s v="50OCM"/>
  </r>
  <r>
    <s v="50OCS"/>
    <s v="OKM CARMEN SYLVA"/>
    <s v="OKM CARMEN SILVA"/>
    <n v="5"/>
    <x v="0"/>
    <s v="TMCB OKM"/>
    <s v="HOGAR"/>
    <s v="SERRANO SOTO MANUEL"/>
    <x v="1"/>
    <s v="Providencia"/>
    <s v="Metropolitana"/>
    <s v="BENJAMIN SERRANO"/>
    <s v="50OCS"/>
  </r>
  <r>
    <s v="50OCV"/>
    <s v="OKM CASTILLO VELASCO"/>
    <s v="OKM EDO. CASTILLO VELASCO"/>
    <n v="5"/>
    <x v="1"/>
    <s v="TMCB OKM"/>
    <s v="HOGAR C/FF"/>
    <s v="SERRANO SOTO MANUEL"/>
    <x v="12"/>
    <s v="Ñuñoa"/>
    <s v="Metropolitana"/>
    <s v="DIANA ROJAS"/>
    <s v="50OCV"/>
  </r>
  <r>
    <s v="50ODG"/>
    <s v="INGLATERRA"/>
    <s v="INGLATERRA"/>
    <n v="5"/>
    <x v="1"/>
    <s v="TNM"/>
    <s v="HOGAR"/>
    <s v="SERRANO SOTO MANUEL"/>
    <x v="13"/>
    <s v="La Florida "/>
    <s v="Metropolitana"/>
    <s v="SIN IDENTIFICAR"/>
    <s v="50ODG"/>
  </r>
  <r>
    <s v="50OEB"/>
    <s v="OKM EL BOSQUE"/>
    <s v="OKM EL BOSQUE"/>
    <n v="5"/>
    <x v="1"/>
    <s v="TMCB OKM"/>
    <s v="HOGAR C/FF"/>
    <s v="SERRANO SOTO MANUEL"/>
    <x v="1"/>
    <s v="Las Condes"/>
    <s v="Metropolitana"/>
    <s v="BENJAMIN SERRANO"/>
    <s v="50OEB"/>
  </r>
  <r>
    <s v="50OEN"/>
    <s v="OKM ENCOMENDEROS"/>
    <s v="OKM ENCOMENDEROS"/>
    <n v="5"/>
    <x v="1"/>
    <s v="TMCB OKM"/>
    <s v="HOGAR C/FF"/>
    <s v="SERRANO SOTO MANUEL"/>
    <x v="11"/>
    <s v="Las Condes"/>
    <s v="Metropolitana"/>
    <s v="DIANA ROJAS"/>
    <s v="50OEN"/>
  </r>
  <r>
    <s v="50OEX"/>
    <s v="EXEQUIEL FERNANDEZ 2"/>
    <s v="OKM EXEQUIEL FERNANDEZ"/>
    <n v="5"/>
    <x v="1"/>
    <s v="TMCB OKM"/>
    <s v="HOGAR C/FF"/>
    <s v="SERRANO SOTO MANUEL"/>
    <x v="13"/>
    <s v="Ñuñoa"/>
    <s v="Metropolitana"/>
    <s v="SIN IDENTIFICAR"/>
    <s v="50OEX"/>
  </r>
  <r>
    <s v="50OFG"/>
    <s v="OKM FRANCISCO NOGUERA"/>
    <s v="OKM FRANCISCO NOGUERA"/>
    <n v="5"/>
    <x v="1"/>
    <s v="TMCB OKM"/>
    <s v="RECESO"/>
    <s v="SERRANO SOTO MANUEL"/>
    <x v="13"/>
    <s v="Providencia"/>
    <s v="Metropolitana"/>
    <s v="SIN IDENTIFICAR"/>
    <s v="50OFG"/>
  </r>
  <r>
    <s v="50OFN"/>
    <s v="EL BOSQUE NORTE"/>
    <s v="EL BOSQUE NORTE"/>
    <n v="5"/>
    <x v="0"/>
    <s v="TMCB"/>
    <s v="BASE"/>
    <s v="SERRANO SOTO MANUEL"/>
    <x v="10"/>
    <s v="Las Condes"/>
    <s v="Metropolitana"/>
    <s v="JOSE NAVARRO"/>
    <s v="50OFN"/>
  </r>
  <r>
    <s v="50OIM"/>
    <s v="JUAN MOYA"/>
    <s v="OKM JUAN MOYA"/>
    <n v="5"/>
    <x v="0"/>
    <s v="TMCB OKM"/>
    <s v="BASE"/>
    <s v="SERRANO SOTO MANUEL"/>
    <x v="11"/>
    <s v="Ñuñoa"/>
    <s v="Metropolitana "/>
    <s v="DIANA ROJAS"/>
    <s v="50OIM"/>
  </r>
  <r>
    <s v="50OIS"/>
    <s v="OKM ISABEL LA CATOLICA"/>
    <s v="OKM ISABEL LA CATOLICA"/>
    <n v="5"/>
    <x v="1"/>
    <s v="TMCB OKM"/>
    <s v="HOGAR C/FF"/>
    <s v="SERRANO SOTO MANUEL"/>
    <x v="13"/>
    <s v="Las Condes"/>
    <s v="Metropolitana"/>
    <s v="SIN IDENTIFICAR"/>
    <s v="50OIS"/>
  </r>
  <r>
    <s v="50OJC"/>
    <s v="JOSE DOMINGO CANAS"/>
    <s v="OKM JOSE DOMINGO CAÑAS K145  CAJAS"/>
    <n v="5"/>
    <x v="0"/>
    <s v="TMCB OKM"/>
    <s v="BASE"/>
    <s v="SERRANO SOTO MANUEL"/>
    <x v="11"/>
    <s v="Ñuñoa"/>
    <s v="Metropolitana "/>
    <s v="DIANA ROJAS"/>
    <s v="50OJC"/>
  </r>
  <r>
    <s v="50OLH"/>
    <s v="LAS HUALTATAS"/>
    <s v="OKM LAS HUALTATAS"/>
    <n v="5"/>
    <x v="0"/>
    <s v="TMCB OKM"/>
    <s v="BASE"/>
    <s v="SERRANO SOTO MANUEL"/>
    <x v="0"/>
    <s v="Vitacura"/>
    <s v="Metropolitana"/>
    <s v="JOSE NAVARRO"/>
    <s v="50OLH"/>
  </r>
  <r>
    <s v="50OLL"/>
    <s v="LAS LILAS"/>
    <s v="OKM LAS LILAS"/>
    <n v="5"/>
    <x v="1"/>
    <s v="TMCB OKM"/>
    <s v="HOGAR C/FF"/>
    <s v="SERRANO SOTO MANUEL"/>
    <x v="8"/>
    <s v="Providencia"/>
    <s v="Metropolitana"/>
    <s v="JOSE NAVARRO"/>
    <s v="50OLL"/>
  </r>
  <r>
    <s v="50OLM"/>
    <s v="ESCUELA MILITAR 1"/>
    <s v="OKM ESCUELA MILITAR"/>
    <n v="5"/>
    <x v="1"/>
    <s v="TMCB OKM"/>
    <s v="AL PASO"/>
    <s v="SERRANO SOTO MANUEL"/>
    <x v="7"/>
    <s v="Las Condes"/>
    <s v="Metropolitana"/>
    <s v="BENJAMIN SERRANO"/>
    <s v="50OLM"/>
  </r>
  <r>
    <s v="50OLY"/>
    <s v="OKM LINCOYAN"/>
    <s v="OKM LINCOYAN K138  CAJAS"/>
    <n v="5"/>
    <x v="0"/>
    <s v="TMCB OKM"/>
    <s v="RECESO"/>
    <s v="SESA DIEGO MIGUEL"/>
    <x v="14"/>
    <s v="Concepción"/>
    <s v="Biobío"/>
    <s v="MAIKEL PALOMARES"/>
    <s v="50OLY"/>
  </r>
  <r>
    <s v="50OMD"/>
    <s v="MIDDLETON"/>
    <s v="MIDDLETON "/>
    <n v="5"/>
    <x v="1"/>
    <s v="TMCB OKM"/>
    <s v="HOGAR"/>
    <s v="SERRANO SOTO MANUEL"/>
    <x v="13"/>
    <s v="Providencia"/>
    <s v="Metropolitana "/>
    <s v="SIN IDENTIFICAR"/>
    <s v="50OMD"/>
  </r>
  <r>
    <s v="50OMH"/>
    <s v="MARCHANT PEREIRA 2"/>
    <s v="OKM MARCHANT PEREIRA"/>
    <n v="5"/>
    <x v="1"/>
    <s v="TMCB OKM"/>
    <s v="RECESO"/>
    <s v="SERRANO SOTO MANUEL"/>
    <x v="13"/>
    <s v="Providencia"/>
    <s v="Metropolitana"/>
    <s v="SIN IDENTIFICAR"/>
    <s v="50OMH"/>
  </r>
  <r>
    <s v="50OMI"/>
    <s v="OKM MIRAFLORES"/>
    <s v="OKM MIRAFLORES"/>
    <n v="5"/>
    <x v="1"/>
    <s v="TMCB OKM"/>
    <s v="RECESO"/>
    <s v="SERRANO SOTO MANUEL"/>
    <x v="5"/>
    <s v="Santiago"/>
    <s v="Metropolitana"/>
    <s v="DIANA ROJAS"/>
    <s v="50OMI"/>
  </r>
  <r>
    <s v="50OML"/>
    <s v="OKM METRO LOS LEONES"/>
    <s v="OKM METRO LOS LEONES K172  CAJAS"/>
    <n v="5"/>
    <x v="0"/>
    <s v="TMCB OKM"/>
    <s v="RECESO"/>
    <s v="SERRANO SOTO MANUEL"/>
    <x v="8"/>
    <s v="Providencia"/>
    <s v="Metropolitana"/>
    <s v="JOSE NAVARRO"/>
    <s v="50OML"/>
  </r>
  <r>
    <s v="50OMM"/>
    <s v="MAYOR ABE"/>
    <s v="OKM MAYOR ABE"/>
    <n v="5"/>
    <x v="1"/>
    <s v="TMCB OKM"/>
    <s v="HOGAR"/>
    <s v="SERRANO SOTO MANUEL"/>
    <x v="9"/>
    <s v="Macul"/>
    <s v="Metropolitana"/>
    <s v="MAIKEL PALOMARES"/>
    <s v="50OMM"/>
  </r>
  <r>
    <s v="50OMO"/>
    <s v="MANUEL MONTT 2"/>
    <s v="OKM MANUEL MONTT"/>
    <n v="5"/>
    <x v="0"/>
    <s v="TMCB OKM"/>
    <s v="RECESO"/>
    <s v="SERRANO SOTO MANUEL"/>
    <x v="1"/>
    <s v="Providencia"/>
    <s v="Metropolitana "/>
    <s v="BENJAMIN SERRANO"/>
    <s v="50OMO"/>
  </r>
  <r>
    <s v="50OMT"/>
    <s v="MAITENCILLO"/>
    <s v="OKM MAITENCILLO"/>
    <n v="5"/>
    <x v="1"/>
    <s v="TMCB OKM"/>
    <s v="HOGAR"/>
    <s v="SERRANO SOTO MANUEL"/>
    <x v="3"/>
    <s v="Valparaiso"/>
    <s v="Valparaiso"/>
    <s v="MAIKEL PALOMARES"/>
    <s v="50OMT"/>
  </r>
  <r>
    <s v="50OOC"/>
    <s v="VINA DEL MAR"/>
    <s v="VIÑA DEL MAR"/>
    <n v="5"/>
    <x v="0"/>
    <s v="TMCB"/>
    <s v="BASE"/>
    <s v="SESA DIEGO MIGUEL"/>
    <x v="3"/>
    <s v="Viña del Mar"/>
    <s v="Valparaiso"/>
    <s v="MAIKEL PALOMARES"/>
    <s v="50OOC"/>
  </r>
  <r>
    <s v="50OPN"/>
    <s v="PLAZA EGANA"/>
    <s v="PLAZA EGANA"/>
    <n v="5"/>
    <x v="0"/>
    <s v="TMCB OKM"/>
    <s v="BASE"/>
    <s v="SERRANO SOTO MANUEL"/>
    <x v="11"/>
    <s v="Ñuñoa"/>
    <s v="Metropolitana"/>
    <s v="DIANA ROJAS"/>
    <s v="50OPN"/>
  </r>
  <r>
    <s v="50OPV"/>
    <s v="OKM PEDRO DE VALDIVIA"/>
    <s v="OKM PEDRO DE VALDIVIA"/>
    <n v="5"/>
    <x v="1"/>
    <s v="TMCB OKM"/>
    <s v="HOGAR C/FF"/>
    <s v="SERRANO SOTO MANUEL"/>
    <x v="12"/>
    <s v="Ñuñoa"/>
    <s v="Metropolitana"/>
    <s v="DIANA ROJAS"/>
    <s v="50OPV"/>
  </r>
  <r>
    <s v="50ORE"/>
    <s v="CAMINO REAL"/>
    <s v="CAMINO REAL CL"/>
    <n v="5"/>
    <x v="1"/>
    <s v="TMCB OKM"/>
    <s v="HOGAR C/FF"/>
    <s v="SERRANO SOTO MANUEL"/>
    <x v="13"/>
    <s v="Valparaiso"/>
    <s v="Valparaíso"/>
    <s v="SIN IDENTIFICAR"/>
    <s v="50ORE"/>
  </r>
  <r>
    <s v="50ORO"/>
    <s v="CAPITAN ORELLA"/>
    <s v="CAPITAN ORELLA K208  CAJAS"/>
    <n v="5"/>
    <x v="0"/>
    <s v="TMCB OKM"/>
    <s v="BASE"/>
    <s v="SERRANO SOTO MANUEL"/>
    <x v="11"/>
    <s v="Ñuñoa"/>
    <s v="Metropolitana "/>
    <s v="DIANA ROJAS"/>
    <s v="50ORO"/>
  </r>
  <r>
    <s v="50ORY"/>
    <s v="OKM LYON"/>
    <s v="LYON CL"/>
    <n v="5"/>
    <x v="1"/>
    <s v="TMCB OKM"/>
    <s v="HOGAR C/FF"/>
    <s v="SERRANO SOTO MANUEL"/>
    <x v="13"/>
    <s v="Providencia"/>
    <s v="Metropolitana "/>
    <s v="SIN IDENTIFICAR"/>
    <s v="50ORY"/>
  </r>
  <r>
    <s v="50OSF"/>
    <s v="OKM STRIP SAN FRANCISCO"/>
    <s v="SAN FRANCISO/STA ISABEL "/>
    <n v="5"/>
    <x v="1"/>
    <s v="TMCB OKM"/>
    <s v="HOGAR"/>
    <s v="SERRANO SOTO MANUEL"/>
    <x v="13"/>
    <s v="Santiago"/>
    <s v="Metropolitana"/>
    <s v="SIN IDENTIFICAR"/>
    <s v="50OSF"/>
  </r>
  <r>
    <s v="50OSI"/>
    <s v="OKM SANTA ISABEL"/>
    <s v="OKM SANTA ISABEL"/>
    <n v="5"/>
    <x v="1"/>
    <s v="TMCB OKM"/>
    <s v="HOGAR C/FF"/>
    <s v="SERRANO SOTO MANUEL"/>
    <x v="11"/>
    <s v="Providencia"/>
    <s v="Metropolitana"/>
    <s v="DIANA ROJAS"/>
    <s v="50OSI"/>
  </r>
  <r>
    <s v="50OSO"/>
    <s v="OKM STRIP OSSA"/>
    <s v="OKM STRIP OSSA"/>
    <n v="5"/>
    <x v="1"/>
    <s v="TMCB OKM"/>
    <s v="RECESO"/>
    <s v="SERRANO SOTO MANUEL"/>
    <x v="9"/>
    <s v="Ñuñoa"/>
    <s v="Metropolitana"/>
    <s v="MAIKEL PALOMARES"/>
    <s v="50OSO"/>
  </r>
  <r>
    <s v="50OSU"/>
    <s v="SUCRE"/>
    <s v="OKM SUCRE"/>
    <n v="5"/>
    <x v="1"/>
    <s v="TMCB OKM"/>
    <s v="HOGAR C/FF"/>
    <s v="SERRANO SOTO MANUEL"/>
    <x v="11"/>
    <s v="Ñuñoa"/>
    <s v="Metropolitana "/>
    <s v="DIANA ROJAS"/>
    <s v="50OSU"/>
  </r>
  <r>
    <s v="50OTE"/>
    <s v="TEATINOS"/>
    <s v="OKM TEATINOS"/>
    <n v="5"/>
    <x v="1"/>
    <s v="TMCB OKM"/>
    <s v="RECESO"/>
    <s v="SERRANO SOTO MANUEL"/>
    <x v="7"/>
    <s v="Santiago"/>
    <s v="Metropolitana"/>
    <s v="BENJAMIN SERRANO"/>
    <s v="50OTE"/>
  </r>
  <r>
    <s v="50OTI"/>
    <s v="OKM INMACULADA"/>
    <s v="OKM INMACULADA"/>
    <n v="5"/>
    <x v="0"/>
    <s v="TMCB OKM"/>
    <s v="RECESO"/>
    <s v="SESA DIEGO MIGUEL"/>
    <x v="14"/>
    <s v="Concepción"/>
    <s v="Biobío"/>
    <s v="MAIKEL PALOMARES"/>
    <s v="50OTI"/>
  </r>
  <r>
    <s v="50OTT"/>
    <s v="OKM METRO MATTA"/>
    <s v="OKM METRO MATTA"/>
    <n v="5"/>
    <x v="0"/>
    <s v="TMCB OKM"/>
    <s v="RECESO"/>
    <s v="SERRANO SOTO MANUEL"/>
    <x v="8"/>
    <s v="Santiago"/>
    <s v="Metropolitana"/>
    <s v="JOSE NAVARRO"/>
    <s v="50OTT"/>
  </r>
  <r>
    <s v="50OUV"/>
    <s v="UNAB VINA"/>
    <s v="OKM UNAB VIÑA K137  CAJAS"/>
    <n v="5"/>
    <x v="0"/>
    <s v="TMCB OKM"/>
    <s v="RECESO"/>
    <s v="SESA DIEGO MIGUEL"/>
    <x v="3"/>
    <s v="Viña Del Mar"/>
    <s v="Valparaiso"/>
    <s v="MAIKEL PALOMARES"/>
    <s v="50OUV"/>
  </r>
  <r>
    <s v="50OVM"/>
    <s v="VICUNA MACKENNA"/>
    <s v="OKM VICUÑA MACKENNA"/>
    <n v="5"/>
    <x v="1"/>
    <s v="TMCB OKM"/>
    <s v="HOGAR C/FF"/>
    <s v="SERRANO SOTO MANUEL"/>
    <x v="12"/>
    <s v="La Florida"/>
    <s v="Metropolitana"/>
    <s v="DIANA ROJAS"/>
    <s v="50OVM"/>
  </r>
  <r>
    <s v="50OVN"/>
    <s v="ANTONIO BELLET"/>
    <s v="ANTONIO BELLET"/>
    <n v="5"/>
    <x v="0"/>
    <s v="TMCB"/>
    <s v="RECESO"/>
    <s v="SERRANO SOTO MANUEL"/>
    <x v="7"/>
    <s v="Providencia"/>
    <s v="Metropolitana "/>
    <s v="BENJAMIN SERRANO"/>
    <s v="50OVN"/>
  </r>
  <r>
    <s v="50P7X"/>
    <s v="PEDRO DE VALDIVIA 6"/>
    <s v="PEDRO DE VALDIVIA 6"/>
    <n v="5"/>
    <x v="1"/>
    <s v="TNM"/>
    <s v="HOGAR"/>
    <s v="SERRANO SOTO MANUEL"/>
    <x v="12"/>
    <s v="Providencia"/>
    <s v="Metropolitana "/>
    <s v="DIANA ROJAS"/>
    <s v="50P7X"/>
  </r>
  <r>
    <s v="50PCH"/>
    <s v="PLAZA DE ASIS"/>
    <s v="PLAZA DE ASIS"/>
    <n v="5"/>
    <x v="1"/>
    <s v="TMCB"/>
    <s v="HOGAR C/FF"/>
    <s v="SERRANO SOTO MANUEL"/>
    <x v="13"/>
    <s v="Las Condes"/>
    <s v="Metropolitana"/>
    <s v="SIN IDENTIFICAR"/>
    <s v="50PCH"/>
  </r>
  <r>
    <s v="50PCL"/>
    <s v="CONDELL 1"/>
    <s v="CONDELL 1"/>
    <n v="5"/>
    <x v="1"/>
    <s v="TMCB"/>
    <s v="RECESO"/>
    <s v="SERRANO SOTO MANUEL"/>
    <x v="13"/>
    <s v="Valparaiso"/>
    <s v="Valparaiso"/>
    <s v="SIN IDENTIFICAR"/>
    <s v="50PCL"/>
  </r>
  <r>
    <s v="50PDV"/>
    <s v="PEDRO DE VALDIVIA 4"/>
    <s v="P. DE VALDIVIA 4 CLP"/>
    <n v="5"/>
    <x v="1"/>
    <s v="TNM"/>
    <s v="HOGAR"/>
    <s v="SERRANO SOTO MANUEL"/>
    <x v="0"/>
    <s v="Ñuñoa"/>
    <s v="Metropolitana "/>
    <s v="JOSE NAVARRO"/>
    <s v="50PDV"/>
  </r>
  <r>
    <s v="50PFO"/>
    <s v="PEDRO FONTOVA"/>
    <s v="PEDRO FONTOVA"/>
    <n v="5"/>
    <x v="0"/>
    <s v="TMCB"/>
    <s v="RECESO"/>
    <s v="SERRANO SOTO MANUEL"/>
    <x v="0"/>
    <s v="Huechuraba"/>
    <s v="Metropolitana"/>
    <s v="JOSE NAVARRO"/>
    <s v="50PFO"/>
  </r>
  <r>
    <s v="50PJ0"/>
    <s v="MONUMENTO CHACABUCO"/>
    <s v="MONUMENTO CHACABUCO"/>
    <n v="5"/>
    <x v="1"/>
    <s v="TNM"/>
    <s v="RECESO"/>
    <s v="SERRANO SOTO MANUEL"/>
    <x v="13"/>
    <s v="Maipu"/>
    <s v="Metropolitana"/>
    <s v="SIN IDENTIFICAR"/>
    <s v="50PJ0"/>
  </r>
  <r>
    <s v="50PUF"/>
    <s v="AGUSTINAS SAN MARTIN"/>
    <s v="AGUSTINAS SAN MARTIN"/>
    <n v="5"/>
    <x v="0"/>
    <s v="TMCB"/>
    <s v="RECESO"/>
    <s v="SERRANO SOTO MANUEL"/>
    <x v="6"/>
    <s v="Santiago"/>
    <s v="Metropolitana "/>
    <s v="DIANA ROJAS"/>
    <s v="50PUF"/>
  </r>
  <r>
    <s v="50PWL"/>
    <s v="NATANIEL COX 1"/>
    <s v="NATANIEL COX – COPIAPO"/>
    <n v="5"/>
    <x v="1"/>
    <s v="TNM"/>
    <s v="HOGAR C/FF"/>
    <s v="SERRANO SOTO MANUEL"/>
    <x v="15"/>
    <s v="Santiago"/>
    <s v="Metropolitana"/>
    <s v="DIANA ROJAS"/>
    <s v="50PWL"/>
  </r>
  <r>
    <s v="50PZC"/>
    <s v="PLAZA CHACABUCO"/>
    <s v="PLAZA CHACABUCO"/>
    <n v="5"/>
    <x v="1"/>
    <s v="TMCB"/>
    <s v="RECESO"/>
    <s v="SERRANO SOTO MANUEL"/>
    <x v="13"/>
    <s v="Independencia"/>
    <s v="Metropolitana"/>
    <s v="SIN IDENTIFICAR"/>
    <s v="50PZC"/>
  </r>
  <r>
    <s v="50QM5"/>
    <s v="PLAZA INES DE SUAREZ"/>
    <s v="PLAZA INES DE SUAREZ"/>
    <n v="5"/>
    <x v="1"/>
    <s v="TNM"/>
    <s v="HOGAR C/FF"/>
    <s v="SERRANO SOTO MANUEL"/>
    <x v="8"/>
    <s v="Providencia"/>
    <s v="Metropolitana"/>
    <s v="JOSE NAVARRO"/>
    <s v="50QM5"/>
  </r>
  <r>
    <s v="50QO5"/>
    <s v="MALL PLAZA EGANA 2"/>
    <s v="MALL PLAZA EGANA 2"/>
    <n v="5"/>
    <x v="0"/>
    <s v="T2024"/>
    <s v="RECESO"/>
    <s v="SERRANO SOTO MANUEL"/>
    <x v="11"/>
    <s v="La Reina"/>
    <s v="Metropolitana"/>
    <s v="DIANA ROJAS"/>
    <s v="50QO5"/>
  </r>
  <r>
    <s v="50ROS"/>
    <s v="ROSARIO SUR"/>
    <s v="ROSARIO SUR"/>
    <n v="5"/>
    <x v="1"/>
    <s v="TMCB"/>
    <s v="HOGAR C/FF"/>
    <s v="SERRANO SOTO MANUEL"/>
    <x v="7"/>
    <s v="Las Condes"/>
    <s v="Metropolitana"/>
    <s v="BENJAMIN SERRANO"/>
    <s v="50ROS"/>
  </r>
  <r>
    <s v="50SAS"/>
    <s v="ELEUTERIO RAMIREZ NATANIEL COX"/>
    <s v="ELEUTERIO RAMIREZ  NATANIEL COX"/>
    <n v="5"/>
    <x v="1"/>
    <s v="TMCB"/>
    <s v="HOGAR C/FF"/>
    <s v="SERRANO SOTO MANUEL"/>
    <x v="15"/>
    <s v="Santiago"/>
    <s v="Metropolitana "/>
    <s v="DIANA ROJAS"/>
    <s v="50SAS"/>
  </r>
  <r>
    <s v="50SBL"/>
    <s v="PEDRO DE VALDIVIA 2"/>
    <s v="PEDRO DE VALDIVIA 2"/>
    <n v="5"/>
    <x v="0"/>
    <s v="TMCB"/>
    <s v="BASE"/>
    <s v="SERRANO SOTO MANUEL"/>
    <x v="11"/>
    <s v="Ñuñoa"/>
    <s v="Metropolitana "/>
    <s v="DIANA ROJAS"/>
    <s v="50SBL"/>
  </r>
  <r>
    <s v="50SEA"/>
    <s v="OUTLET PATIO MAIPU"/>
    <s v="OUTLET PATIO MAIPU"/>
    <n v="5"/>
    <x v="0"/>
    <s v="TNM"/>
    <s v="RECESO"/>
    <s v="SERRANO SOTO MANUEL"/>
    <x v="9"/>
    <s v="Maipu"/>
    <s v="Metropolitana"/>
    <s v="MAIKEL PALOMARES"/>
    <s v="50SEA"/>
  </r>
  <r>
    <s v="50SEJ"/>
    <s v="METRO MONEDA"/>
    <s v="METRO MONEDA"/>
    <n v="5"/>
    <x v="0"/>
    <s v="T2024"/>
    <s v="RECESO"/>
    <s v="SERRANO SOTO MANUEL"/>
    <x v="8"/>
    <s v="Santiago"/>
    <s v="Metropolitana"/>
    <s v="JOSE NAVARRO"/>
    <s v="50SEJ"/>
  </r>
  <r>
    <s v="50SEM"/>
    <s v="SEMINARIO"/>
    <s v="SEMINARIO"/>
    <n v="5"/>
    <x v="0"/>
    <s v="TMCB"/>
    <s v="BASE"/>
    <s v="SERRANO SOTO MANUEL"/>
    <x v="11"/>
    <s v="Ñuñoa"/>
    <s v="Metropolitana "/>
    <s v="DIANA ROJAS"/>
    <s v="50SEM"/>
  </r>
  <r>
    <s v="50SQ0"/>
    <s v="METRO PLAZA EGANA"/>
    <s v="PLAZA EGAÑA"/>
    <n v="5"/>
    <x v="0"/>
    <s v="T2024"/>
    <s v="RECESO"/>
    <s v="SERRANO SOTO MANUEL"/>
    <x v="8"/>
    <s v="Ñuñoa"/>
    <s v="Metropolitana"/>
    <s v="JOSE NAVARRO"/>
    <s v="50SQ0"/>
  </r>
  <r>
    <s v="50SRE"/>
    <s v="AUGUSTA GERONA"/>
    <s v="AUGUSTA GERONA"/>
    <n v="5"/>
    <x v="1"/>
    <s v="TNM"/>
    <s v="RECESO"/>
    <s v="SERRANO SOTO MANUEL"/>
    <x v="2"/>
    <s v="Las Condes"/>
    <s v="Metropolitana"/>
    <s v="BENJAMIN SERRANO"/>
    <s v="50SRE"/>
  </r>
  <r>
    <s v="50TAJ"/>
    <s v="NUEVA TAJAMAR"/>
    <s v="NUEVA TAJAMAR"/>
    <n v="5"/>
    <x v="1"/>
    <s v="TMCB"/>
    <s v="RECESO"/>
    <s v="SERRANO SOTO MANUEL"/>
    <x v="10"/>
    <s v="Las Condes"/>
    <s v="Metropolitana"/>
    <s v="JOSE NAVARRO"/>
    <s v="50TAJ"/>
  </r>
  <r>
    <s v="50TCP"/>
    <s v="MATUCANA SD"/>
    <s v="MATUCANA SD"/>
    <n v="5"/>
    <x v="1"/>
    <s v="TNM"/>
    <s v="HOGAR"/>
    <s v="SERRANO SOTO MANUEL"/>
    <x v="13"/>
    <s v="Santiago"/>
    <s v="Metropolitana "/>
    <s v="SIN IDENTIFICAR"/>
    <s v="50TCP"/>
  </r>
  <r>
    <s v="50TEB"/>
    <s v="TERMINAL DE BUSES"/>
    <s v="TERMINAL DE BUSES "/>
    <n v="5"/>
    <x v="1"/>
    <s v="TMCB"/>
    <s v="RECESO"/>
    <s v="SERRANO SOTO MANUEL"/>
    <x v="13"/>
    <s v="Estacion Central "/>
    <s v="Metropolitana"/>
    <s v="SIN IDENTIFICAR"/>
    <s v="50TEB"/>
  </r>
  <r>
    <s v="50TEJ"/>
    <s v="MARDOQUEO FERNANDEZ"/>
    <s v="MARDOQUEO FERNANDEZ"/>
    <n v="5"/>
    <x v="0"/>
    <s v="TNM"/>
    <s v="RECESO"/>
    <s v="SERRANO SOTO MANUEL"/>
    <x v="7"/>
    <s v="Providencia"/>
    <s v="Metropolitana "/>
    <s v="BENJAMIN SERRANO"/>
    <s v="50TEJ"/>
  </r>
  <r>
    <s v="50TFX"/>
    <s v="CHESTERTON 1"/>
    <s v="CHESTERTON 1"/>
    <n v="5"/>
    <x v="0"/>
    <s v="TNM"/>
    <s v="RECESO"/>
    <s v="SESA DIEGO MIGUEL"/>
    <x v="2"/>
    <s v="las Condes"/>
    <s v="Metropolitana"/>
    <s v="BENJAMIN SERRANO"/>
    <s v="50TFX"/>
  </r>
  <r>
    <s v="50TI7"/>
    <s v="RENGO FREIRE"/>
    <s v="RENGO FREIRE"/>
    <n v="5"/>
    <x v="1"/>
    <s v="TNM"/>
    <s v="RECESO"/>
    <s v="SERRANO SOTO MANUEL"/>
    <x v="14"/>
    <s v="Concepción"/>
    <s v="Biobío"/>
    <s v="MAIKEL PALOMARES"/>
    <s v="50TI7"/>
  </r>
  <r>
    <s v="50TMT"/>
    <s v="TORO MAZOTE"/>
    <s v="TORO MAZOTTE "/>
    <n v="5"/>
    <x v="1"/>
    <s v="TMCB"/>
    <s v="RECESO"/>
    <s v="SERRANO SOTO MANUEL"/>
    <x v="13"/>
    <s v="Estacion Central "/>
    <s v="Metropolitana"/>
    <s v="SIN IDENTIFICAR"/>
    <s v="50TMT"/>
  </r>
  <r>
    <s v="50TQB"/>
    <s v="PASEO ESTADO MONEDA"/>
    <s v="ESTADO MONEDA"/>
    <n v="5"/>
    <x v="0"/>
    <s v="T2024"/>
    <s v="RECESO"/>
    <s v="SERRANO SOTO MANUEL"/>
    <x v="6"/>
    <s v="Santiago"/>
    <s v="Metropolitana"/>
    <s v="DIANA ROJAS"/>
    <s v="50TQB"/>
  </r>
  <r>
    <s v="50TSA"/>
    <s v="BANDERA"/>
    <s v="BANDERA"/>
    <n v="5"/>
    <x v="0"/>
    <s v="TMCB"/>
    <s v="RECESO"/>
    <s v="SERRANO SOTO MANUEL"/>
    <x v="6"/>
    <s v="Santiago"/>
    <s v="Metropolitana "/>
    <s v="DIANA ROJAS"/>
    <s v="50TSA"/>
  </r>
  <r>
    <s v="50UC4"/>
    <s v="LAUTARO FERRER"/>
    <s v="LAUTARO FERRER"/>
    <n v="5"/>
    <x v="1"/>
    <s v="TNM"/>
    <s v="HOGAR"/>
    <s v="SERRANO SOTO MANUEL"/>
    <x v="12"/>
    <s v="Providencia"/>
    <s v="Metropolitana "/>
    <s v="DIANA ROJAS"/>
    <s v="50UC4"/>
  </r>
  <r>
    <s v="50UD1"/>
    <s v="BULNES"/>
    <s v="PASEO BULNES"/>
    <n v="5"/>
    <x v="0"/>
    <s v="TNM"/>
    <s v="BASE"/>
    <s v="SERRANO SOTO MANUEL"/>
    <x v="6"/>
    <s v="Santiago"/>
    <s v="Metropolitana "/>
    <s v="DIANA ROJAS"/>
    <s v="50UD1"/>
  </r>
  <r>
    <s v="50UPK"/>
    <s v="QUILICURA 1"/>
    <s v="QUILICURA"/>
    <n v="5"/>
    <x v="0"/>
    <s v="TNM"/>
    <s v="RECESO"/>
    <s v="SERRANO SOTO MANUEL"/>
    <x v="9"/>
    <s v="Quilicura  "/>
    <s v="Metropolitana"/>
    <s v="MAIKEL PALOMARES"/>
    <s v="50UPK"/>
  </r>
  <r>
    <s v="50UYZ"/>
    <s v="PASEO EL TAMARUGO"/>
    <s v="TAMARUGO"/>
    <n v="5"/>
    <x v="0"/>
    <s v="TNM"/>
    <s v="RECESO"/>
    <s v="SERRANO SOTO MANUEL"/>
    <x v="0"/>
    <s v="Vitacura"/>
    <s v="Metropolitana"/>
    <s v="JOSE NAVARRO"/>
    <s v="50UYZ"/>
  </r>
  <r>
    <s v="50V11"/>
    <s v="ARENAS DE TALAGANTE"/>
    <s v="ARENAS DE TALAGANTE"/>
    <n v="4"/>
    <x v="1"/>
    <s v="T2024"/>
    <s v="RECESO"/>
    <s v="SERRANO SOTO MANUEL"/>
    <x v="13"/>
    <s v="Talagante"/>
    <s v="Metropolitana"/>
    <s v="SIN IDENTIFICAR"/>
    <s v="50V11"/>
  </r>
  <r>
    <s v="50V5C"/>
    <s v="ESTORIL"/>
    <s v="ESTORIL"/>
    <n v="5"/>
    <x v="0"/>
    <s v="TNM"/>
    <s v="RECESO"/>
    <s v="SERRANO SOTO MANUEL"/>
    <x v="12"/>
    <s v="Las Condes"/>
    <s v="Metropolitana"/>
    <s v="DIANA ROJAS"/>
    <s v="50V5C"/>
  </r>
  <r>
    <s v="50VAL"/>
    <s v="VESPUCIO ALBACETE"/>
    <s v="VESPUCIO  ALBACETE"/>
    <n v="5"/>
    <x v="0"/>
    <s v="TMCB"/>
    <s v="BASE"/>
    <s v="SERRANO SOTO MANUEL"/>
    <x v="5"/>
    <s v="Las Condes"/>
    <s v="Metropolitana"/>
    <s v="DIANA ROJAS"/>
    <s v="50VAL"/>
  </r>
  <r>
    <s v="50VLL"/>
    <s v="MALL PLAZA VESPUCIO"/>
    <s v="MALL PLAZA VESPUCIO"/>
    <n v="5"/>
    <x v="0"/>
    <s v="TMCB"/>
    <s v="RECESO"/>
    <s v="SERRANO SOTO MANUEL"/>
    <x v="9"/>
    <s v="La Florida"/>
    <s v="Metropolitana"/>
    <s v="MAIKEL PALOMARES"/>
    <s v="50VLL"/>
  </r>
  <r>
    <s v="50VNA"/>
    <s v="VIANA"/>
    <s v="VIANA"/>
    <n v="5"/>
    <x v="0"/>
    <s v="TMCB"/>
    <s v="BASE"/>
    <s v="SESA DIEGO MIGUEL"/>
    <x v="4"/>
    <s v="Viña del Mar"/>
    <s v="Valparaiso"/>
    <s v="MAIKEL PALOMARES"/>
    <s v="50VNA"/>
  </r>
  <r>
    <s v="50VOR"/>
    <s v="PROVIDENCIA 2"/>
    <s v="PROVIDENCIA 2"/>
    <n v="5"/>
    <x v="0"/>
    <s v="TMCB"/>
    <s v="RECESO"/>
    <s v="SERRANO SOTO MANUEL"/>
    <x v="7"/>
    <s v="Providencia"/>
    <s v="Metropolitana "/>
    <s v="BENJAMIN SERRANO"/>
    <s v="50VOR"/>
  </r>
  <r>
    <s v="50VRH"/>
    <s v="ABDON CIFUENTES"/>
    <s v="ABDON CIFUENTES"/>
    <n v="5"/>
    <x v="1"/>
    <s v="TNM"/>
    <s v="RECESO"/>
    <s v="SERRANO SOTO MANUEL"/>
    <x v="7"/>
    <s v="Santiago"/>
    <s v="Metropolitana "/>
    <s v="BENJAMIN SERRANO"/>
    <s v="50VRH"/>
  </r>
  <r>
    <s v="50VSD"/>
    <s v="MALL PLAZA NORTE"/>
    <s v="MALL PLAZA NORTE"/>
    <n v="5"/>
    <x v="0"/>
    <s v="TNM"/>
    <s v="RECESO"/>
    <s v="SERRANO SOTO MANUEL"/>
    <x v="0"/>
    <s v="Huechuraba"/>
    <s v="Metropolitana"/>
    <s v="JOSE NAVARRO"/>
    <s v="50VSD"/>
  </r>
  <r>
    <s v="50VSU"/>
    <s v="SAN FRANCISCO"/>
    <s v="SAN FRANCISCO"/>
    <n v="5"/>
    <x v="1"/>
    <s v="TMCB"/>
    <s v="RECESO"/>
    <s v="SERRANO SOTO MANUEL"/>
    <x v="13"/>
    <s v="Las Condes"/>
    <s v="Metropolitana"/>
    <s v="SIN IDENTIFICAR"/>
    <s v="50VSU"/>
  </r>
  <r>
    <s v="50VVE"/>
    <s v="VITACURA VESPUCIO"/>
    <s v="VITACURA  VESPUCIO"/>
    <n v="5"/>
    <x v="1"/>
    <s v="TMCB"/>
    <s v="RECESO"/>
    <s v="SERRANO SOTO MANUEL"/>
    <x v="10"/>
    <s v="Vitacura"/>
    <s v="Metropolitana"/>
    <s v="JOSE NAVARRO"/>
    <s v="50VVE"/>
  </r>
  <r>
    <s v="50W0N"/>
    <s v="SANTIAGO DOWNTOWN"/>
    <s v="SANTIAGO DOWNTOWN CLP"/>
    <n v="5"/>
    <x v="0"/>
    <s v="TNM"/>
    <s v="RECESO"/>
    <s v="SERRANO SOTO MANUEL"/>
    <x v="6"/>
    <s v="Santiago"/>
    <s v="Metropolitana "/>
    <s v="DIANA ROJAS"/>
    <s v="50W0N"/>
  </r>
  <r>
    <s v="50WGH"/>
    <s v="MIGUEL DE OLIVARES"/>
    <s v="MIGUEL DE OLIVARES"/>
    <n v="5"/>
    <x v="1"/>
    <s v="TMCB"/>
    <s v="RECESO"/>
    <s v="SERRANO SOTO MANUEL"/>
    <x v="15"/>
    <s v="Santiago"/>
    <s v="Metropolitana "/>
    <s v="DIANA ROJAS"/>
    <s v="50WGH"/>
  </r>
  <r>
    <s v="50WIL"/>
    <s v="CARLOS WILSON"/>
    <s v="CARLOS WILSON"/>
    <n v="5"/>
    <x v="0"/>
    <s v="TMCB"/>
    <s v="HOGAR"/>
    <s v="SERRANO SOTO MANUEL"/>
    <x v="1"/>
    <s v="Providencia"/>
    <s v="Metropolitana "/>
    <s v="BENJAMIN SERRANO"/>
    <s v="50WIL"/>
  </r>
  <r>
    <s v="50WUM"/>
    <s v="RODRIGUEZ PINTO"/>
    <s v="RODRIGUEZ PINTO"/>
    <n v="5"/>
    <x v="1"/>
    <s v="TNM"/>
    <s v="HOGAR"/>
    <s v="SERRANO SOTO MANUEL"/>
    <x v="14"/>
    <s v="Concepción"/>
    <s v="Biobío"/>
    <s v="MAIKEL PALOMARES"/>
    <s v="50WUM"/>
  </r>
  <r>
    <s v="50XC6"/>
    <s v="ALTO MACUL"/>
    <s v="ALTO MACUL (TIENDA APERTURA)"/>
    <n v="5"/>
    <x v="0"/>
    <s v="T2024"/>
    <s v="BASE"/>
    <s v="SERRANO SOTO MANUEL"/>
    <x v="9"/>
    <s v="Peñalolen"/>
    <s v="Metropolitana"/>
    <s v="MAIKEL PALOMARES"/>
    <s v="50XC6"/>
  </r>
  <r>
    <s v="50XCV"/>
    <s v="CRUZ DEL SUR"/>
    <s v="CRUZ DEL SUR"/>
    <n v="5"/>
    <x v="1"/>
    <s v="TNM"/>
    <s v="RECESO"/>
    <s v="SERRANO SOTO MANUEL"/>
    <x v="1"/>
    <s v="Las Condes"/>
    <s v="Metropolitana"/>
    <s v="BENJAMIN SERRANO"/>
    <s v="50XCV"/>
  </r>
  <r>
    <s v="50XEV"/>
    <s v="HOLANDA PIO X"/>
    <s v="HOLANDA  PIO X"/>
    <n v="5"/>
    <x v="0"/>
    <s v="TMCB"/>
    <s v="BASE"/>
    <s v="SERRANO SOTO MANUEL"/>
    <x v="1"/>
    <s v="Providencia"/>
    <s v="Metropolitana "/>
    <s v="BENJAMIN SERRANO"/>
    <s v="50XEV"/>
  </r>
  <r>
    <s v="50XFE"/>
    <s v="SANTA ROSA PORVENIR"/>
    <s v="SANTA ROSA  PORVENIR"/>
    <n v="5"/>
    <x v="1"/>
    <s v="TMCB"/>
    <s v="HOGAR"/>
    <s v="SERRANO SOTO MANUEL"/>
    <x v="15"/>
    <s v="Santiago"/>
    <s v="Metropolitana "/>
    <s v="DIANA ROJAS"/>
    <s v="50XFE"/>
  </r>
  <r>
    <s v="50XJP"/>
    <s v="JOSE LUIS COO"/>
    <s v="JOSE LUIS COO"/>
    <n v="5"/>
    <x v="1"/>
    <s v="TNM"/>
    <s v="RECESO"/>
    <s v="SERRANO SOTO MANUEL"/>
    <x v="9"/>
    <s v="Puente Alto"/>
    <s v="Metropolitana"/>
    <s v="MAIKEL PALOMARES"/>
    <s v="50XJP"/>
  </r>
  <r>
    <s v="50XWC"/>
    <s v="CERRO EL PLOMO"/>
    <s v="CERRO EL PLOMO"/>
    <n v="5"/>
    <x v="0"/>
    <s v="T2024"/>
    <s v="RECESO"/>
    <s v="SERRANO SOTO MANUEL"/>
    <x v="10"/>
    <s v="Las Condes"/>
    <s v="Metropolitana"/>
    <s v="JOSE NAVARRO"/>
    <s v="50XWC"/>
  </r>
  <r>
    <s v="50Y74"/>
    <s v="10 DE JULIO SAN DIEGO"/>
    <s v="10 JULIO SAN DIEGO"/>
    <n v="5"/>
    <x v="1"/>
    <s v="TNM"/>
    <s v="RECESO"/>
    <s v="SERRANO SOTO MANUEL"/>
    <x v="6"/>
    <s v="Santiago"/>
    <s v="Metropolitana"/>
    <s v="DIANA ROJAS"/>
    <s v="50Y74"/>
  </r>
  <r>
    <s v="50Z8X"/>
    <s v="AV ARGENTINA 2"/>
    <s v="OXXO  Av. Argentina 2"/>
    <n v="5"/>
    <x v="0"/>
    <s v="T2024"/>
    <s v="RECESO"/>
    <s v="SESA DIEGO MIGUEL"/>
    <x v="4"/>
    <s v="Valparaiso"/>
    <s v="Valparaiso"/>
    <s v="MAIKEL PALOMARES"/>
    <s v="50Z8X"/>
  </r>
  <r>
    <s v="50ZIR"/>
    <s v="VICUNA DIAGONAL"/>
    <s v="VICUÑA DIAGONAL PARAGUAY"/>
    <n v="5"/>
    <x v="0"/>
    <s v="TNM"/>
    <s v="RECESO"/>
    <s v="SERRANO SOTO MANUEL"/>
    <x v="6"/>
    <s v="Santiago"/>
    <s v="Metropolitana"/>
    <s v="DIANA ROJAS"/>
    <s v="50ZIR"/>
  </r>
  <r>
    <s v="50SOC"/>
    <s v="SOCOFAR"/>
    <s v="SOCOFAR"/>
    <n v="2"/>
    <x v="0"/>
    <s v="TMCB"/>
    <s v="RECESO"/>
    <s v="SERRANO SOTO MANUEL"/>
    <x v="0"/>
    <s v="Huechuraba"/>
    <s v="Metropolitana"/>
    <s v="JOSE NAVARRO"/>
    <s v="50SOC"/>
  </r>
  <r>
    <s v="506IM"/>
    <s v="MALL PASEO VINA"/>
    <s v="OXXO  Mall Paseo Viña"/>
    <n v="5"/>
    <x v="0"/>
    <s v="T2024"/>
    <s v="RECESO"/>
    <s v="SESA DIEGO MIGUEL"/>
    <x v="4"/>
    <s v="Vina del Mar"/>
    <s v="Valparaiso"/>
    <s v="MAIKEL PALOMARES"/>
    <s v="506IM"/>
  </r>
  <r>
    <s v="50FQG"/>
    <s v="CHICUREO 2"/>
    <s v="OXXO  Chicureo 2"/>
    <n v="5"/>
    <x v="1"/>
    <s v="T2024"/>
    <s v="HOGAR C/FF"/>
    <s v="SERRANO SOTO MANUEL"/>
    <x v="0"/>
    <s v="Colina"/>
    <s v="Metropolitana"/>
    <s v="JOSE NAVARRO"/>
    <s v="50FQG"/>
  </r>
  <r>
    <s v="50QVX"/>
    <s v="COSTA MONTEMAR"/>
    <s v="OKM MONTEMAR"/>
    <n v="6"/>
    <x v="0"/>
    <s v="T2024"/>
    <s v="BASE"/>
    <s v="SESA DIEGO MIGUEL"/>
    <x v="3"/>
    <s v="Concón"/>
    <s v="Valparaiso"/>
    <s v="MAIKEL PALOMARES"/>
    <s v="50QVX"/>
  </r>
  <r>
    <s v="50UKP"/>
    <s v="METRO PLAZA PUENTE ALTO"/>
    <s v="METRO PLAZA PUENTE ALTO"/>
    <n v="5"/>
    <x v="3"/>
    <s v="SIN IDENTIFICAR"/>
    <s v="SIN IDENTIFICAR"/>
    <s v="SIN IDENTIFICAR"/>
    <x v="16"/>
    <s v="Puente Alto"/>
    <s v="Metropolitana"/>
    <s v="SIN IDENTIFICAR"/>
    <s v="50UKP"/>
  </r>
  <r>
    <s v="OS"/>
    <s v="CASA MATRIZ OS"/>
    <s v="CASA MATRIZ OS"/>
    <m/>
    <x v="4"/>
    <m/>
    <m/>
    <m/>
    <x v="17"/>
    <m/>
    <m/>
    <m/>
    <s v="OS"/>
  </r>
  <r>
    <s v="OS"/>
    <s v="CASA MATRIZ OS"/>
    <s v="CASA MATRIZ OS"/>
    <m/>
    <x v="4"/>
    <m/>
    <m/>
    <m/>
    <x v="17"/>
    <m/>
    <m/>
    <m/>
    <s v="OS"/>
  </r>
  <r>
    <s v="CEDIS"/>
    <s v="CEDIS"/>
    <s v="CEDIS"/>
    <m/>
    <x v="4"/>
    <m/>
    <m/>
    <m/>
    <x v="17"/>
    <m/>
    <m/>
    <m/>
    <s v="CEDIS"/>
  </r>
  <r>
    <s v="CUADRILLA OXXO"/>
    <s v="CUADRILLA OXXO"/>
    <s v="CUADRILLA OXXO"/>
    <m/>
    <x v="4"/>
    <m/>
    <m/>
    <m/>
    <x v="17"/>
    <m/>
    <m/>
    <m/>
    <s v="CUADRILLA OXXO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3">
  <r>
    <s v="50GBU"/>
    <s v="FRANCISCO DE AGUIRRE"/>
    <s v="FRANCISCO DE AGUIRRE"/>
    <n v="11.68"/>
    <x v="0"/>
    <s v="TMCB"/>
    <s v="BASE"/>
    <s v="SERRANO SOTO MANUEL"/>
    <x v="0"/>
    <x v="0"/>
    <x v="0"/>
    <s v="JOSE NAVARRO"/>
    <s v="50GBU"/>
    <s v="NO"/>
  </r>
  <r>
    <s v="50JMU"/>
    <s v="LYON 1"/>
    <s v="LYON 1"/>
    <n v="11.68"/>
    <x v="0"/>
    <s v="TMCB"/>
    <s v="HOGAR"/>
    <s v="SERRANO SOTO MANUEL"/>
    <x v="1"/>
    <x v="1"/>
    <x v="0"/>
    <s v="BENJAMIN SERRANO"/>
    <s v="50JMU"/>
    <s v="NO"/>
  </r>
  <r>
    <s v="50OSP"/>
    <s v="SAN PASCUAL"/>
    <s v="OKM SAN PASCUAL"/>
    <n v="11.68"/>
    <x v="0"/>
    <s v="TMCB OKM"/>
    <s v="HOGAR"/>
    <s v="SESA DIEGO MIGUEL"/>
    <x v="2"/>
    <x v="2"/>
    <x v="0"/>
    <s v="BENJAMIN SERRANO"/>
    <s v="50OSP"/>
    <s v="NO"/>
  </r>
  <r>
    <s v="50OLI"/>
    <s v="OKM LIBERTAD"/>
    <s v="OKM VIÑA DEL MAR K006  CAJAS"/>
    <n v="10"/>
    <x v="0"/>
    <s v="TMCB OKM"/>
    <s v="BASE"/>
    <s v="SESA DIEGO MIGUEL"/>
    <x v="3"/>
    <x v="3"/>
    <x v="1"/>
    <s v="MAIKEL PALOMARES"/>
    <s v="50OLI"/>
    <s v="NO"/>
  </r>
  <r>
    <s v="50RBP"/>
    <s v="LIMACHE VIANA"/>
    <s v="LIMACHE  VIANA"/>
    <n v="10"/>
    <x v="0"/>
    <s v="TMCB"/>
    <s v="BASE"/>
    <s v="SESA DIEGO MIGUEL"/>
    <x v="4"/>
    <x v="3"/>
    <x v="1"/>
    <s v="MAIKEL PALOMARES"/>
    <s v="50RBP"/>
    <s v="NO"/>
  </r>
  <r>
    <s v="50JIO"/>
    <s v="APOQUINDO 7"/>
    <s v="APOQUINDO 7"/>
    <n v="9.1300000000000008"/>
    <x v="0"/>
    <s v="TMCB"/>
    <s v="RECESO"/>
    <s v="SESA DIEGO MIGUEL"/>
    <x v="2"/>
    <x v="2"/>
    <x v="0"/>
    <s v="BENJAMIN SERRANO"/>
    <s v="50JIO"/>
    <s v="NO"/>
  </r>
  <r>
    <s v="50OMQ"/>
    <s v="MANQUEHUE"/>
    <s v="OKM MANQUEHUE SUR"/>
    <n v="8.9"/>
    <x v="0"/>
    <s v="TMCB OKM"/>
    <s v="HOGAR"/>
    <s v="SERRANO SOTO MANUEL"/>
    <x v="5"/>
    <x v="2"/>
    <x v="0"/>
    <s v="DIANA ROJAS"/>
    <s v="50OMQ"/>
    <s v="NO"/>
  </r>
  <r>
    <s v="50OMS"/>
    <s v="MANUEL DE LA LASTRA"/>
    <s v="OKM MANUEL DE LA LASTRA K071 - CAJAS"/>
    <n v="9.4499999999999993"/>
    <x v="0"/>
    <s v="TMCB OKM"/>
    <s v="HOGAR"/>
    <s v="SERRANO SOTO MANUEL"/>
    <x v="5"/>
    <x v="4"/>
    <x v="0"/>
    <s v="DIANA ROJAS"/>
    <s v="50OMS"/>
    <s v="NO"/>
  </r>
  <r>
    <s v="506J4"/>
    <s v="PORTUGAL"/>
    <s v="PORTUGAL"/>
    <n v="8"/>
    <x v="0"/>
    <s v="T2024"/>
    <s v="RECESO"/>
    <s v="SERRANO SOTO MANUEL"/>
    <x v="6"/>
    <x v="5"/>
    <x v="0"/>
    <s v="DIANA ROJAS"/>
    <s v="506J4"/>
    <s v="NO"/>
  </r>
  <r>
    <s v="50OEY"/>
    <s v="ELIODORO YANEZ 2"/>
    <s v="ELIODORO YAÑEZ 2"/>
    <n v="8.9"/>
    <x v="0"/>
    <s v="TMCB OKM"/>
    <s v="BASE"/>
    <s v="SERRANO SOTO MANUEL"/>
    <x v="7"/>
    <x v="1"/>
    <x v="0"/>
    <s v="BENJAMIN SERRANO"/>
    <s v="50OEY"/>
    <s v="NO"/>
  </r>
  <r>
    <s v="50RNT"/>
    <s v="ROSARIO NORTE"/>
    <s v="ROSARIO NORTE"/>
    <n v="8"/>
    <x v="0"/>
    <s v="TMCB"/>
    <s v="RECESO"/>
    <s v="SESA DIEGO MIGUEL"/>
    <x v="2"/>
    <x v="2"/>
    <x v="0"/>
    <s v="BENJAMIN SERRANO"/>
    <s v="50RNT"/>
    <s v="NO"/>
  </r>
  <r>
    <s v="50DKO"/>
    <s v="METRO FRANKLIN"/>
    <s v="METRO FRANKLIN"/>
    <n v="7.45"/>
    <x v="0"/>
    <s v="TMCB"/>
    <s v="RECESO"/>
    <s v="SERRANO SOTO MANUEL"/>
    <x v="8"/>
    <x v="5"/>
    <x v="0"/>
    <s v="JOSE NAVARRO"/>
    <s v="50DKO"/>
    <s v="NO"/>
  </r>
  <r>
    <s v="50DSH"/>
    <s v="METRO NUNOA"/>
    <s v="METRO ÑUÑOA"/>
    <n v="7.45"/>
    <x v="0"/>
    <s v="TMCB"/>
    <s v="RECESO"/>
    <s v="SERRANO SOTO MANUEL"/>
    <x v="8"/>
    <x v="6"/>
    <x v="0"/>
    <s v="JOSE NAVARRO"/>
    <s v="50DSH"/>
    <s v="NO"/>
  </r>
  <r>
    <s v="50GJS"/>
    <s v="METRO LOS LEONES"/>
    <s v="METRO LOS LEONES"/>
    <n v="7.45"/>
    <x v="0"/>
    <s v="TMCB"/>
    <s v="RECESO"/>
    <s v="SERRANO SOTO MANUEL"/>
    <x v="8"/>
    <x v="1"/>
    <x v="0"/>
    <s v="JOSE NAVARRO"/>
    <s v="50GJS"/>
    <s v="NO"/>
  </r>
  <r>
    <s v="50OPI"/>
    <s v="OKM PLAZA ITALIA"/>
    <s v="OKM PLAZA ITALIA K053  CAJAS"/>
    <n v="9"/>
    <x v="0"/>
    <s v="TMCB OKM"/>
    <s v="RECESO"/>
    <s v="SERRANO SOTO MANUEL"/>
    <x v="7"/>
    <x v="1"/>
    <x v="0"/>
    <s v="BENJAMIN SERRANO"/>
    <s v="50OPI"/>
    <s v="NO"/>
  </r>
  <r>
    <s v="50KOA"/>
    <s v="LUIS PASTEUR"/>
    <s v="LUIS PASTEUR"/>
    <n v="7"/>
    <x v="0"/>
    <s v="TMCB"/>
    <s v="BASE"/>
    <s v="SERRANO SOTO MANUEL"/>
    <x v="0"/>
    <x v="0"/>
    <x v="0"/>
    <s v="JOSE NAVARRO"/>
    <s v="50KOA"/>
    <s v="NO"/>
  </r>
  <r>
    <s v="50NRA"/>
    <s v="APOQUINDO 2"/>
    <s v="APOQUINDO 2"/>
    <n v="7"/>
    <x v="0"/>
    <s v="TMCB"/>
    <s v="BASE"/>
    <s v="SESA DIEGO MIGUEL"/>
    <x v="2"/>
    <x v="2"/>
    <x v="0"/>
    <s v="BENJAMIN SERRANO"/>
    <s v="50NRA"/>
    <s v="NO"/>
  </r>
  <r>
    <s v="50OAM"/>
    <s v="OKM MALL ARAUCO MAIPU"/>
    <s v="OKM MALL ARAUCO MAIPU K166  CAJAS"/>
    <n v="7"/>
    <x v="0"/>
    <s v="TMCB OKM"/>
    <s v="RECESO"/>
    <s v="SERRANO SOTO MANUEL"/>
    <x v="9"/>
    <x v="7"/>
    <x v="0"/>
    <s v="MAIKEL PALOMARES"/>
    <s v="50OAM"/>
    <s v="SI"/>
  </r>
  <r>
    <s v="50OJJ"/>
    <s v="BADAJOZ"/>
    <s v="BADAJOZ CLP"/>
    <n v="7"/>
    <x v="0"/>
    <s v="TNM"/>
    <s v="RECESO"/>
    <s v="SESA DIEGO MIGUEL"/>
    <x v="2"/>
    <x v="2"/>
    <x v="0"/>
    <s v="BENJAMIN SERRANO"/>
    <s v="50OJJ"/>
    <s v="NO"/>
  </r>
  <r>
    <s v="50VKK"/>
    <s v="ALCANTARA 1"/>
    <s v="ALCANTARA 1"/>
    <n v="7"/>
    <x v="0"/>
    <s v="TMCB"/>
    <s v="BASE"/>
    <s v="SERRANO SOTO MANUEL"/>
    <x v="5"/>
    <x v="2"/>
    <x v="0"/>
    <s v="DIANA ROJAS"/>
    <s v="50VKK"/>
    <s v="NO"/>
  </r>
  <r>
    <s v="50OMC"/>
    <s v="MACUL"/>
    <s v="OKM MACUL"/>
    <n v="8.68"/>
    <x v="0"/>
    <s v="TMCB OKM"/>
    <s v="BASE"/>
    <s v="SERRANO SOTO MANUEL"/>
    <x v="9"/>
    <x v="8"/>
    <x v="0"/>
    <s v="MAIKEL PALOMARES"/>
    <s v="50OMC"/>
    <s v="NO"/>
  </r>
  <r>
    <s v="50UMT"/>
    <s v="LYON 3"/>
    <s v="LYON 3"/>
    <n v="7"/>
    <x v="0"/>
    <s v="TMCB"/>
    <s v="BASE"/>
    <s v="SERRANO SOTO MANUEL"/>
    <x v="1"/>
    <x v="1"/>
    <x v="0"/>
    <s v="BENJAMIN SERRANO"/>
    <s v="50UMT"/>
    <s v="NO"/>
  </r>
  <r>
    <s v="50EDF"/>
    <s v="EJERCITO ALAMEDA"/>
    <s v="EJERCITO  ALAMEDA"/>
    <n v="7"/>
    <x v="0"/>
    <s v="TMCB"/>
    <s v="RECESO"/>
    <s v="SERRANO SOTO MANUEL"/>
    <x v="6"/>
    <x v="5"/>
    <x v="0"/>
    <s v="DIANA ROJAS"/>
    <s v="50EDF"/>
    <s v="NO"/>
  </r>
  <r>
    <s v="50HCL"/>
    <s v="ALCANTARA 2"/>
    <s v="ALCANTARA 2"/>
    <n v="7"/>
    <x v="0"/>
    <s v="TMCB"/>
    <s v="RECESO"/>
    <s v="SESA DIEGO MIGUEL"/>
    <x v="2"/>
    <x v="2"/>
    <x v="0"/>
    <s v="BENJAMIN SERRANO"/>
    <s v="50HCL"/>
    <s v="NO"/>
  </r>
  <r>
    <s v="50OLS"/>
    <s v="LUIS CARRERA"/>
    <s v="LUIS CARRERA"/>
    <n v="7"/>
    <x v="0"/>
    <s v="TMCB OKM"/>
    <s v="BASE"/>
    <s v="SERRANO SOTO MANUEL"/>
    <x v="0"/>
    <x v="0"/>
    <x v="0"/>
    <s v="JOSE NAVARRO"/>
    <s v="50OLS"/>
    <s v="NO"/>
  </r>
  <r>
    <s v="50OTP"/>
    <s v="TOBALABA 1"/>
    <s v="OKM TOBALABA"/>
    <n v="7"/>
    <x v="0"/>
    <s v="TMCB OKM"/>
    <s v="RECESO"/>
    <s v="SERRANO SOTO MANUEL"/>
    <x v="10"/>
    <x v="2"/>
    <x v="0"/>
    <s v="JOSE NAVARRO"/>
    <s v="50OTP"/>
    <s v="SI"/>
  </r>
  <r>
    <s v="50OAL"/>
    <s v="ALAMEDA 1"/>
    <s v="OKM ALAMEDA"/>
    <n v="6.68"/>
    <x v="0"/>
    <s v="TMCB OKM"/>
    <s v="RECESO"/>
    <s v="SERRANO SOTO MANUEL"/>
    <x v="6"/>
    <x v="5"/>
    <x v="0"/>
    <s v="DIANA ROJAS"/>
    <s v="50OAL"/>
    <s v="NO"/>
  </r>
  <r>
    <s v="50UCH"/>
    <s v="METRO U DE CHILE"/>
    <s v="METRO U DE CHILE"/>
    <n v="6.68"/>
    <x v="0"/>
    <s v="TMCB"/>
    <s v="RECESO"/>
    <s v="SERRANO SOTO MANUEL"/>
    <x v="8"/>
    <x v="5"/>
    <x v="0"/>
    <s v="JOSE NAVARRO"/>
    <s v="50UCH"/>
    <s v="NO"/>
  </r>
  <r>
    <s v="50ARD"/>
    <s v="NUNOA"/>
    <s v="ÑUÑOA"/>
    <n v="6"/>
    <x v="0"/>
    <s v="TMCB"/>
    <s v="RECESO"/>
    <s v="SERRANO SOTO MANUEL"/>
    <x v="11"/>
    <x v="6"/>
    <x v="0"/>
    <s v="DIANA ROJAS"/>
    <s v="50ARD"/>
    <s v="NO"/>
  </r>
  <r>
    <s v="50ARE"/>
    <s v="COLON 1"/>
    <s v="COLON 1"/>
    <n v="6"/>
    <x v="0"/>
    <s v="TMCB"/>
    <s v="HOGAR"/>
    <s v="SERRANO SOTO MANUEL"/>
    <x v="5"/>
    <x v="2"/>
    <x v="0"/>
    <s v="DIANA ROJAS"/>
    <s v="50ARE"/>
    <s v="NO"/>
  </r>
  <r>
    <s v="50CPN"/>
    <s v="CARLOS PENA"/>
    <s v="CARLOS PEÑA"/>
    <n v="6"/>
    <x v="0"/>
    <s v="TMCB"/>
    <s v="BASE"/>
    <s v="SERRANO SOTO MANUEL"/>
    <x v="12"/>
    <x v="2"/>
    <x v="0"/>
    <s v="DIANA ROJAS"/>
    <s v="50CPN"/>
    <s v="NO"/>
  </r>
  <r>
    <s v="50HSP"/>
    <s v="HOSPITALES"/>
    <s v="HOSPITALES"/>
    <n v="6"/>
    <x v="0"/>
    <s v="TMCB"/>
    <s v="RECESO"/>
    <s v="SERRANO SOTO MANUEL"/>
    <x v="9"/>
    <x v="9"/>
    <x v="0"/>
    <s v="MAIKEL PALOMARES"/>
    <s v="50HSP"/>
    <s v="NO"/>
  </r>
  <r>
    <s v="50NMT"/>
    <s v="EL GOLF"/>
    <s v="EL GOLF"/>
    <n v="6"/>
    <x v="0"/>
    <s v="TMCB"/>
    <s v="BASE"/>
    <s v="SESA DIEGO MIGUEL"/>
    <x v="2"/>
    <x v="2"/>
    <x v="0"/>
    <s v="BENJAMIN SERRANO"/>
    <s v="50NMT"/>
    <s v="NO"/>
  </r>
  <r>
    <s v="50OCH"/>
    <s v="CACHAGUA"/>
    <s v="OKM CACHAGUA K123  CAJAS"/>
    <n v="8"/>
    <x v="0"/>
    <s v="TMCB OKM"/>
    <s v="HOGAR"/>
    <s v="SESA DIEGO MIGUEL"/>
    <x v="3"/>
    <x v="10"/>
    <x v="1"/>
    <s v="MAIKEL PALOMARES"/>
    <s v="50OCH"/>
    <s v="NO"/>
  </r>
  <r>
    <s v="50OEM"/>
    <s v="OKM CIUDAD EMPRESARIAL"/>
    <s v="OKM CIUDAD EMPRESARIAL"/>
    <n v="6"/>
    <x v="1"/>
    <s v="TMCB OKM"/>
    <s v="RECESO"/>
    <s v="SERRANO SOTO MANUEL"/>
    <x v="13"/>
    <x v="11"/>
    <x v="0"/>
    <s v="SIN IDENTIFICAR"/>
    <s v="50OEM"/>
    <s v="NO"/>
  </r>
  <r>
    <s v="50OIR"/>
    <s v="OKM IRARRAZAVAL"/>
    <s v="OKM IRARRAZAVAL K070  CAJAS"/>
    <n v="8"/>
    <x v="0"/>
    <s v="TMCB OKM"/>
    <s v="BASE"/>
    <s v="SERRANO SOTO MANUEL"/>
    <x v="11"/>
    <x v="6"/>
    <x v="0"/>
    <s v="DIANA ROJAS"/>
    <s v="50OIR"/>
    <s v="NO"/>
  </r>
  <r>
    <s v="50OPD"/>
    <s v="PROVIDENCIA - CONDELL"/>
    <s v="OKM PROVIDENCIA"/>
    <n v="6"/>
    <x v="0"/>
    <s v="TMCB OKM"/>
    <s v="BASE"/>
    <s v="SERRANO SOTO MANUEL"/>
    <x v="7"/>
    <x v="1"/>
    <x v="0"/>
    <s v="SIN IDENTIFICAR"/>
    <s v="50OPD"/>
    <s v="NO"/>
  </r>
  <r>
    <s v="50OQU"/>
    <s v="OKM QUINTA"/>
    <s v="OKM QUINTA K034  CAJAS"/>
    <n v="7"/>
    <x v="0"/>
    <s v="TMCB OKM"/>
    <s v="RECESO"/>
    <s v="SESA DIEGO MIGUEL"/>
    <x v="4"/>
    <x v="3"/>
    <x v="1"/>
    <s v="MAIKEL PALOMARES"/>
    <s v="50OQU"/>
    <s v="SI"/>
  </r>
  <r>
    <s v="50OZA"/>
    <s v="ZAPALLAR"/>
    <s v="OKM ZAPALLAR K151  CAJAS"/>
    <n v="7"/>
    <x v="0"/>
    <s v="TMCB OKM"/>
    <s v="HOGAR"/>
    <s v="SESA DIEGO MIGUEL"/>
    <x v="3"/>
    <x v="10"/>
    <x v="1"/>
    <s v="MAIKEL PALOMARES"/>
    <s v="50OZA"/>
    <s v="SI"/>
  </r>
  <r>
    <s v="50SLM"/>
    <s v="APOQUINDO 4"/>
    <s v="APOQUINDO 4"/>
    <n v="6"/>
    <x v="0"/>
    <s v="TMCB"/>
    <s v="BASE"/>
    <s v="SESA DIEGO MIGUEL"/>
    <x v="2"/>
    <x v="2"/>
    <x v="0"/>
    <s v="BENJAMIN SERRANO"/>
    <s v="50SLM"/>
    <s v="NO"/>
  </r>
  <r>
    <s v="50VLX"/>
    <s v="APOQUINDO 1"/>
    <s v="APOQUINDO 1"/>
    <n v="6"/>
    <x v="0"/>
    <s v="TMCB"/>
    <s v="BASE"/>
    <s v="SESA DIEGO MIGUEL"/>
    <x v="2"/>
    <x v="2"/>
    <x v="0"/>
    <s v="BENJAMIN SERRANO"/>
    <s v="50VLX"/>
    <s v="NO"/>
  </r>
  <r>
    <s v="50VOP"/>
    <s v="SAN DAMIAN"/>
    <s v="SAN DAMIAN"/>
    <n v="6.68"/>
    <x v="0"/>
    <s v="TMCB"/>
    <s v="BASE"/>
    <s v="SERRANO SOTO MANUEL"/>
    <x v="12"/>
    <x v="2"/>
    <x v="0"/>
    <s v="DIANA ROJAS"/>
    <s v="50VOP"/>
    <s v="NO"/>
  </r>
  <r>
    <s v="5033F"/>
    <s v="VITACURA RIESCO"/>
    <s v="VITACURARIESCO"/>
    <n v="6"/>
    <x v="0"/>
    <s v="TNM"/>
    <s v="BASE"/>
    <s v="SERRANO SOTO MANUEL"/>
    <x v="0"/>
    <x v="2"/>
    <x v="0"/>
    <s v="JOSE NAVARRO"/>
    <s v="5033F"/>
    <s v="NO"/>
  </r>
  <r>
    <s v="50BJT"/>
    <s v="HUECHURABA"/>
    <s v="HUECHURABA"/>
    <n v="6.68"/>
    <x v="0"/>
    <s v="TMCB"/>
    <s v="HOGAR"/>
    <s v="SERRANO SOTO MANUEL"/>
    <x v="0"/>
    <x v="11"/>
    <x v="0"/>
    <s v="JOSE NAVARRO"/>
    <s v="50BJT"/>
    <s v="NO"/>
  </r>
  <r>
    <s v="50BPT"/>
    <s v="ECUADOR PURISIMA"/>
    <s v="ECUADOR  PURISIMA"/>
    <n v="5"/>
    <x v="1"/>
    <s v="TMCB"/>
    <s v="HOGAR C/FF"/>
    <s v="SERRANO SOTO MANUEL"/>
    <x v="13"/>
    <x v="12"/>
    <x v="0"/>
    <s v="SIN IDENTIFICAR"/>
    <s v="50BPT"/>
    <s v="NO"/>
  </r>
  <r>
    <s v="50BRI"/>
    <s v="LAS BRISAS"/>
    <s v="LAS BRISAS"/>
    <n v="6"/>
    <x v="0"/>
    <s v="TNM"/>
    <s v="HOGAR"/>
    <s v="SERRANO SOTO MANUEL"/>
    <x v="0"/>
    <x v="13"/>
    <x v="0"/>
    <s v="JOSE NAVARRO"/>
    <s v="50BRI"/>
    <s v="NO"/>
  </r>
  <r>
    <s v="50CLC"/>
    <s v="CLINICA LAS CONDES"/>
    <s v="CLINICA LAS CONDES"/>
    <n v="6"/>
    <x v="0"/>
    <s v="TMCB"/>
    <s v="RECESO"/>
    <s v="SERRANO SOTO MANUEL"/>
    <x v="12"/>
    <x v="2"/>
    <x v="0"/>
    <s v="DIANA ROJAS"/>
    <s v="50CLC"/>
    <s v="NO"/>
  </r>
  <r>
    <s v="50CQD"/>
    <s v="MARCHANT PEREIRA"/>
    <s v="MARCHANT PEREIRA"/>
    <n v="6"/>
    <x v="0"/>
    <s v="TMCB"/>
    <s v="RECESO"/>
    <s v="SERRANO SOTO MANUEL"/>
    <x v="7"/>
    <x v="1"/>
    <x v="0"/>
    <s v="BENJAMIN SERRANO"/>
    <s v="50CQD"/>
    <s v="NO"/>
  </r>
  <r>
    <s v="50HEN"/>
    <s v="HENDAYA"/>
    <s v="HENDAYA"/>
    <n v="6"/>
    <x v="0"/>
    <s v="TMCB"/>
    <s v="BASE"/>
    <s v="SERRANO SOTO MANUEL"/>
    <x v="10"/>
    <x v="2"/>
    <x v="0"/>
    <s v="JOSE NAVARRO"/>
    <s v="50HEN"/>
    <s v="NO"/>
  </r>
  <r>
    <s v="50HIS"/>
    <s v="PLAZA SOTOMAYOR VALPARAISO"/>
    <s v="PLAZA SOTOMAYOR  VALPARAISO"/>
    <n v="10"/>
    <x v="0"/>
    <s v="TMCB"/>
    <s v="RECESO"/>
    <s v="SESA DIEGO MIGUEL"/>
    <x v="4"/>
    <x v="14"/>
    <x v="1"/>
    <s v="MAIKEL PALOMARES"/>
    <s v="50HIS"/>
    <s v="NO"/>
  </r>
  <r>
    <s v="50NBN"/>
    <s v="BILBAO MONTT"/>
    <s v="BILBAO - MONTT"/>
    <n v="6"/>
    <x v="0"/>
    <s v="TMCB"/>
    <s v="BASE"/>
    <s v="SERRANO SOTO MANUEL"/>
    <x v="1"/>
    <x v="1"/>
    <x v="0"/>
    <s v="BENJAMIN SERRANO"/>
    <s v="50NBN"/>
    <s v="NO"/>
  </r>
  <r>
    <s v="50OCT"/>
    <s v="NORUEGA"/>
    <s v="NORUEGA"/>
    <n v="6"/>
    <x v="0"/>
    <s v="TMCB"/>
    <s v="HOGAR"/>
    <s v="SERRANO SOTO MANUEL"/>
    <x v="5"/>
    <x v="2"/>
    <x v="0"/>
    <s v="JOSE NAVARRO"/>
    <s v="50OCT"/>
    <s v="NO"/>
  </r>
  <r>
    <s v="50OPH"/>
    <s v="GUARDIA VIEJA"/>
    <s v="GUARDIA VIEJA"/>
    <n v="6"/>
    <x v="0"/>
    <s v="TMCB"/>
    <s v="BASE"/>
    <s v="SERRANO SOTO MANUEL"/>
    <x v="7"/>
    <x v="1"/>
    <x v="0"/>
    <s v="BENJAMIN SERRANO"/>
    <s v="50OPH"/>
    <s v="NO"/>
  </r>
  <r>
    <s v="50XUH"/>
    <s v="MATTE PEREZ"/>
    <s v="MATTE PEREZ CLP"/>
    <n v="6"/>
    <x v="0"/>
    <s v="TNM"/>
    <s v="BASE"/>
    <s v="SERRANO SOTO MANUEL"/>
    <x v="1"/>
    <x v="1"/>
    <x v="0"/>
    <s v="BENJAMIN SERRANO"/>
    <s v="50XUH"/>
    <s v="NO"/>
  </r>
  <r>
    <s v="508R8"/>
    <s v="METRO TOBALABA"/>
    <s v="METRO TOBALABA"/>
    <n v="6"/>
    <x v="0"/>
    <s v="TNM"/>
    <s v="RECESO"/>
    <s v="SERRANO SOTO MANUEL"/>
    <x v="8"/>
    <x v="1"/>
    <x v="0"/>
    <s v="JOSE NAVARRO"/>
    <s v="508R8"/>
    <s v="NO"/>
  </r>
  <r>
    <s v="50EFO"/>
    <s v="ENRIQUE FOSTER"/>
    <s v="ENRIQUE FOSTER"/>
    <n v="6"/>
    <x v="0"/>
    <s v="TMCB"/>
    <s v="BASE"/>
    <s v="SESA DIEGO MIGUEL"/>
    <x v="2"/>
    <x v="2"/>
    <x v="0"/>
    <s v="BENJAMIN SERRANO"/>
    <s v="50EFO"/>
    <s v="NO"/>
  </r>
  <r>
    <s v="50MPC"/>
    <s v="METRO CAL Y CANTO"/>
    <s v="METRO CAL Y CANTO"/>
    <n v="6"/>
    <x v="0"/>
    <s v="TMCB"/>
    <s v="RECESO"/>
    <s v="SERRANO SOTO MANUEL"/>
    <x v="8"/>
    <x v="5"/>
    <x v="0"/>
    <s v="JOSE NAVARRO"/>
    <s v="50MPC"/>
    <s v="NO"/>
  </r>
  <r>
    <s v="50ONL"/>
    <s v="NUEVA LAS CONDES 2"/>
    <s v="OKM NUEVA LAS CONDES 2"/>
    <n v="6"/>
    <x v="0"/>
    <s v="TMCB OKM"/>
    <s v="RECESO"/>
    <s v="SERRANO SOTO MANUEL"/>
    <x v="10"/>
    <x v="2"/>
    <x v="0"/>
    <s v="JOSE NAVARRO"/>
    <s v="50ONL"/>
    <s v="NO"/>
  </r>
  <r>
    <s v="50ORN"/>
    <s v="ROSARIO NORTE 2"/>
    <s v="OXXO ROSARIO NORTE 2 (Ex OKM)"/>
    <n v="6"/>
    <x v="0"/>
    <s v="TMCB OKM"/>
    <s v="RECESO"/>
    <s v="SERRANO SOTO MANUEL"/>
    <x v="10"/>
    <x v="2"/>
    <x v="0"/>
    <s v="JOSE NAVARRO"/>
    <s v="50ORN"/>
    <s v="NO"/>
  </r>
  <r>
    <s v="50Q3X"/>
    <s v="PATIO BELLAVISTA"/>
    <s v="PATIO BELLAVISTA"/>
    <n v="6"/>
    <x v="0"/>
    <s v="TNM"/>
    <s v="RECESO"/>
    <s v="SERRANO SOTO MANUEL"/>
    <x v="7"/>
    <x v="1"/>
    <x v="0"/>
    <s v="BENJAMIN SERRANO"/>
    <s v="50Q3X"/>
    <s v="NO"/>
  </r>
  <r>
    <s v="50UXA"/>
    <s v="LA PLAZA"/>
    <s v="LA PLAZA"/>
    <n v="6"/>
    <x v="0"/>
    <s v="TMCB"/>
    <s v="BASE"/>
    <s v="SERRANO SOTO MANUEL"/>
    <x v="12"/>
    <x v="2"/>
    <x v="0"/>
    <s v="DIANA ROJAS"/>
    <s v="50UXA"/>
    <s v="NO"/>
  </r>
  <r>
    <s v="50OBN"/>
    <s v="BROWN NORTE"/>
    <s v="OKM BROWN NORTE"/>
    <n v="5.45"/>
    <x v="0"/>
    <s v="TMCB OKM"/>
    <s v="BASE"/>
    <s v="SERRANO SOTO MANUEL"/>
    <x v="11"/>
    <x v="6"/>
    <x v="0"/>
    <s v="DIANA ROJAS"/>
    <s v="50OBN"/>
    <s v="NO"/>
  </r>
  <r>
    <s v="50OCA"/>
    <s v="OKM CHACABUCO"/>
    <s v="OKM CHACABUCO"/>
    <n v="5.9"/>
    <x v="0"/>
    <s v="TMCB OKM"/>
    <s v="RECESO"/>
    <s v="SESA DIEGO MIGUEL"/>
    <x v="14"/>
    <x v="15"/>
    <x v="2"/>
    <s v="MAIKEL PALOMARES"/>
    <s v="50OCA"/>
    <s v="SI"/>
  </r>
  <r>
    <s v="50OCO"/>
    <s v="OKM CHICUREO"/>
    <s v="OKM CHICUREO K017 - CAJAS"/>
    <n v="6.9"/>
    <x v="0"/>
    <s v="TMCB OKM"/>
    <s v="HOGAR"/>
    <s v="SERRANO SOTO MANUEL"/>
    <x v="0"/>
    <x v="13"/>
    <x v="0"/>
    <s v="JOSE NAVARRO"/>
    <s v="50OCO"/>
    <s v="NO"/>
  </r>
  <r>
    <s v="50OCR"/>
    <s v="CHESTERTON 2"/>
    <s v="OKM CHESTERTON K028  CAJAS"/>
    <n v="5.9"/>
    <x v="0"/>
    <s v="TMCB OKM"/>
    <s v="HOGAR"/>
    <s v="SERRANO SOTO MANUEL"/>
    <x v="5"/>
    <x v="2"/>
    <x v="0"/>
    <s v="DIANA ROJAS"/>
    <s v="50OCR"/>
    <s v="SI"/>
  </r>
  <r>
    <s v="50ODA"/>
    <s v="OKM DIEGO DE ALMAGRO"/>
    <s v="OKM DIEGO DE ALMAGRO"/>
    <n v="5.9"/>
    <x v="1"/>
    <s v="TMCB OKM"/>
    <s v="HOGAR"/>
    <s v="SERRANO SOTO MANUEL"/>
    <x v="8"/>
    <x v="1"/>
    <x v="0"/>
    <s v="JOSE NAVARRO"/>
    <s v="50ODA"/>
    <s v="NO"/>
  </r>
  <r>
    <s v="50ODP"/>
    <s v="OKM DIEGO PORTALES"/>
    <s v="OKM DIEGO PORTALES"/>
    <n v="5.9"/>
    <x v="2"/>
    <s v="TMCB OKM"/>
    <s v="HOGAR"/>
    <s v="SERRANO SOTO MANUEL"/>
    <x v="13"/>
    <x v="3"/>
    <x v="1"/>
    <s v="SIN IDENTIFICAR"/>
    <s v="50ODP"/>
    <s v="NO"/>
  </r>
  <r>
    <s v="50OEP"/>
    <s v="OKM ELIECER PARADA"/>
    <s v="OKM ELIECER PARADA"/>
    <n v="5.9"/>
    <x v="0"/>
    <s v="TMCB OKM"/>
    <s v="HOGAR"/>
    <s v="SERRANO SOTO MANUEL"/>
    <x v="5"/>
    <x v="6"/>
    <x v="0"/>
    <s v="DIANA ROJAS"/>
    <s v="50OEP"/>
    <s v="SI"/>
  </r>
  <r>
    <s v="50OER"/>
    <s v="OKM EL RODEO"/>
    <s v="OKM EL RODEO K022  CAJAS"/>
    <n v="6.45"/>
    <x v="0"/>
    <s v="TMCB OKM"/>
    <s v="HOGAR"/>
    <s v="SERRANO SOTO MANUEL"/>
    <x v="12"/>
    <x v="16"/>
    <x v="0"/>
    <s v="DIANA ROJAS"/>
    <s v="50OER"/>
    <s v="SI"/>
  </r>
  <r>
    <s v="50OHM"/>
    <s v="OKM HERNANDO DE MAGALLANES"/>
    <s v="OKM HERNANDO DE MAGALLANES K131  CAJAS"/>
    <n v="5.9"/>
    <x v="0"/>
    <s v="TMCB OKM"/>
    <s v="BASE"/>
    <s v="SERRANO SOTO MANUEL"/>
    <x v="5"/>
    <x v="2"/>
    <x v="0"/>
    <s v="DIANA ROJAS"/>
    <s v="50OHM"/>
    <s v="SI"/>
  </r>
  <r>
    <s v="50OIN"/>
    <s v="LOS INGLESES"/>
    <s v="OKM LOS INGLESES K060  CAJAS"/>
    <n v="5.9"/>
    <x v="0"/>
    <s v="TMCB OKM"/>
    <s v="BASE"/>
    <s v="SERRANO SOTO MANUEL"/>
    <x v="0"/>
    <x v="13"/>
    <x v="0"/>
    <s v="JOSE NAVARRO"/>
    <s v="50OIN"/>
    <s v="SI"/>
  </r>
  <r>
    <s v="50OKA"/>
    <s v="OKM ACACIOS"/>
    <s v="OKM ACACIOS"/>
    <n v="5.68"/>
    <x v="0"/>
    <s v="TMCB OKM"/>
    <s v="HOGAR"/>
    <s v="SESA DIEGO MIGUEL"/>
    <x v="14"/>
    <x v="17"/>
    <x v="2"/>
    <s v="MAIKEL PALOMARES"/>
    <s v="50OKA"/>
    <s v="SI"/>
  </r>
  <r>
    <s v="50OLT"/>
    <s v="OKM SUECIA"/>
    <s v="OKM SUECIA K049  CAJAS"/>
    <n v="6.13"/>
    <x v="0"/>
    <s v="TMCB OKM"/>
    <s v="HOGAR"/>
    <s v="SERRANO SOTO MANUEL"/>
    <x v="1"/>
    <x v="1"/>
    <x v="0"/>
    <s v="BENJAMIN SERRANO"/>
    <s v="50OLT"/>
    <s v="NO"/>
  </r>
  <r>
    <s v="50OMN"/>
    <s v="OKM MORANDE"/>
    <s v="OKM MORANDE"/>
    <n v="5.9"/>
    <x v="1"/>
    <s v="TMCB OKM"/>
    <s v="RECESO"/>
    <s v="SERRANO SOTO MANUEL"/>
    <x v="7"/>
    <x v="5"/>
    <x v="0"/>
    <s v="BENJAMIN SERRANO"/>
    <s v="50OMN"/>
    <s v="NO"/>
  </r>
  <r>
    <s v="50OMZ"/>
    <s v="MARTIN DE ZAMORA 2"/>
    <s v="OKM MARTIN DE ZAMORA"/>
    <n v="5.9"/>
    <x v="0"/>
    <s v="TMCB OKM"/>
    <s v="HOGAR"/>
    <s v="SERRANO SOTO MANUEL"/>
    <x v="5"/>
    <x v="2"/>
    <x v="0"/>
    <s v="DIANA ROJAS"/>
    <s v="50OMZ"/>
    <s v="NO"/>
  </r>
  <r>
    <s v="50OPM"/>
    <s v="OKM METRO PLAZA MAIPU"/>
    <s v="OKM METRO PLAZA MAIPÚ"/>
    <n v="5.9"/>
    <x v="0"/>
    <s v="TMCB OKM"/>
    <s v="RECESO"/>
    <s v="SERRANO SOTO MANUEL"/>
    <x v="8"/>
    <x v="7"/>
    <x v="0"/>
    <s v="JOSE NAVARRO"/>
    <s v="50OPM"/>
    <s v="NO"/>
  </r>
  <r>
    <s v="50OQH"/>
    <s v="OKM QUINCHAMALI"/>
    <s v="OKM QUINCHAMALI K021  CAJAS"/>
    <n v="5.9"/>
    <x v="0"/>
    <s v="TMCB OKM"/>
    <s v="HOGAR"/>
    <s v="SERRANO SOTO MANUEL"/>
    <x v="12"/>
    <x v="2"/>
    <x v="0"/>
    <s v="DIANA ROJAS"/>
    <s v="50OQH"/>
    <s v="NO"/>
  </r>
  <r>
    <s v="50ORC"/>
    <s v="OKM RECREO I"/>
    <s v="OKM RECREO 1 K041  CAJAS"/>
    <n v="7.9"/>
    <x v="0"/>
    <s v="TMCB OKM"/>
    <s v="HOGAR"/>
    <s v="SESA DIEGO MIGUEL"/>
    <x v="4"/>
    <x v="3"/>
    <x v="1"/>
    <s v="MAIKEL PALOMARES"/>
    <s v="50ORC"/>
    <s v="NO"/>
  </r>
  <r>
    <s v="50ORI"/>
    <s v="RIESCO 2"/>
    <s v="OKM RIESCO"/>
    <n v="5.9"/>
    <x v="0"/>
    <s v="TMCB OKM"/>
    <s v="HOGAR"/>
    <s v="SERRANO SOTO MANUEL"/>
    <x v="10"/>
    <x v="2"/>
    <x v="0"/>
    <s v="DIANA ROJAS"/>
    <s v="50ORI"/>
    <s v="SI"/>
  </r>
  <r>
    <s v="50ORM"/>
    <s v="RENACA 2"/>
    <s v="OKM REÑACA 2"/>
    <n v="9.9"/>
    <x v="0"/>
    <s v="TMCB OKM"/>
    <s v="BASE"/>
    <s v="SESA DIEGO MIGUEL"/>
    <x v="3"/>
    <x v="18"/>
    <x v="1"/>
    <s v="MAIKEL PALOMARES"/>
    <s v="50ORM"/>
    <s v="SI"/>
  </r>
  <r>
    <s v="50OSB"/>
    <s v="SIMON BOLIVAR 2"/>
    <s v="OKM SIMÓN BOLIVAR"/>
    <n v="5.9"/>
    <x v="1"/>
    <s v="TMCB OKM"/>
    <s v="HOGAR C/FF"/>
    <s v="SERRANO SOTO MANUEL"/>
    <x v="2"/>
    <x v="6"/>
    <x v="0"/>
    <s v="BENJAMIN SERRANO"/>
    <s v="50OSB"/>
    <s v="NO"/>
  </r>
  <r>
    <s v="50OSC"/>
    <s v="OKM SANTA BLANCA"/>
    <s v="OKM SANTA BLANCA  K004  CAJAS"/>
    <n v="8.9"/>
    <x v="0"/>
    <s v="TMCB OKM"/>
    <s v="HOGAR"/>
    <s v="SERRANO SOTO MANUEL"/>
    <x v="12"/>
    <x v="16"/>
    <x v="0"/>
    <s v="DIANA ROJAS"/>
    <s v="50OSC"/>
    <s v="SI"/>
  </r>
  <r>
    <s v="50OST"/>
    <s v="OKM SUBCENTRO"/>
    <s v="OKM SUBCENTRO"/>
    <n v="5.9"/>
    <x v="0"/>
    <s v="TMCB OKM"/>
    <s v="BASE"/>
    <s v="SERRANO SOTO MANUEL"/>
    <x v="8"/>
    <x v="2"/>
    <x v="0"/>
    <s v="JOSE NAVARRO"/>
    <s v="50OST"/>
    <s v="SI"/>
  </r>
  <r>
    <s v="50OTA"/>
    <s v="TERMINAL ALAMEDA"/>
    <s v="TERMINAL DE BUSES ALAMEDA"/>
    <n v="5.9"/>
    <x v="0"/>
    <s v="TMCB OKM"/>
    <s v="RECESO"/>
    <s v="SERRANO SOTO MANUEL"/>
    <x v="9"/>
    <x v="12"/>
    <x v="0"/>
    <s v="MAIKEL PALOMARES"/>
    <s v="50OTA"/>
    <s v="NO"/>
  </r>
  <r>
    <s v="50OTO"/>
    <s v="OKM TOESCA"/>
    <s v="OKM TOESCA"/>
    <n v="5.9"/>
    <x v="1"/>
    <s v="TMCB OKM"/>
    <s v="RECESO"/>
    <s v="SERRANO SOTO MANUEL"/>
    <x v="15"/>
    <x v="5"/>
    <x v="0"/>
    <s v="DIANA ROJAS"/>
    <s v="50OTO"/>
    <s v="NO"/>
  </r>
  <r>
    <s v="50OVL"/>
    <s v="OKM VILLUCO"/>
    <s v="OKM VILLUCO"/>
    <n v="5.9"/>
    <x v="0"/>
    <s v="TMCB OKM"/>
    <s v="HOGAR"/>
    <s v="SESA DIEGO MIGUEL"/>
    <x v="14"/>
    <x v="19"/>
    <x v="2"/>
    <s v="MAIKEL PALOMARES"/>
    <s v="50OVL"/>
    <s v="SI"/>
  </r>
  <r>
    <s v="50BM6"/>
    <s v="JOSEFINA EDWARD"/>
    <s v="JOSEFINA EDWARDS CLP"/>
    <n v="5.68"/>
    <x v="0"/>
    <s v="TNM"/>
    <s v="RECESO"/>
    <s v="SERRANO SOTO MANUEL"/>
    <x v="7"/>
    <x v="1"/>
    <x v="0"/>
    <s v="BENJAMIN SERRANO"/>
    <s v="50BM6"/>
    <s v="NO"/>
  </r>
  <r>
    <s v="50ORP"/>
    <s v="REPUBLICA"/>
    <s v="OKM REPÚBLICA"/>
    <n v="5.68"/>
    <x v="0"/>
    <s v="TMCB OKM"/>
    <s v="RECESO"/>
    <s v="SERRANO SOTO MANUEL"/>
    <x v="6"/>
    <x v="5"/>
    <x v="0"/>
    <s v="DIANA ROJAS"/>
    <s v="50ORP"/>
    <s v="SI"/>
  </r>
  <r>
    <s v="50ASM"/>
    <s v="APOQUINDO SANTA MAGDALENA"/>
    <s v="APOQUINDO - SANTA MAGDALENA"/>
    <n v="5.45"/>
    <x v="0"/>
    <s v="TMCB"/>
    <s v="BASE"/>
    <s v="SESA DIEGO MIGUEL"/>
    <x v="2"/>
    <x v="2"/>
    <x v="0"/>
    <s v="BENJAMIN SERRANO"/>
    <s v="50ASM"/>
    <s v="NO"/>
  </r>
  <r>
    <s v="50CRX"/>
    <s v="APOQUINDO 6"/>
    <s v="APOQUINDO 6"/>
    <n v="5.45"/>
    <x v="0"/>
    <s v="TMCB"/>
    <s v="BASE"/>
    <s v="SESA DIEGO MIGUEL"/>
    <x v="2"/>
    <x v="2"/>
    <x v="0"/>
    <s v="BENJAMIN SERRANO"/>
    <s v="50CRX"/>
    <s v="NO"/>
  </r>
  <r>
    <s v="50DGG"/>
    <s v="HERNANDO DE AGUIRRE"/>
    <s v="HERNANDO DE AGUIRRE"/>
    <n v="5.45"/>
    <x v="0"/>
    <s v="TMCB"/>
    <s v="BASE"/>
    <s v="SERRANO SOTO MANUEL"/>
    <x v="1"/>
    <x v="1"/>
    <x v="0"/>
    <s v="BENJAMIN SERRANO"/>
    <s v="50DGG"/>
    <s v="NO"/>
  </r>
  <r>
    <s v="50EER"/>
    <s v="LAS CONDES 1"/>
    <s v="LAS CONDES 1"/>
    <n v="5.45"/>
    <x v="0"/>
    <s v="TNM"/>
    <s v="BASE"/>
    <s v="SESA DIEGO MIGUEL"/>
    <x v="2"/>
    <x v="2"/>
    <x v="0"/>
    <s v="BENJAMIN SERRANO"/>
    <s v="50EER"/>
    <s v="NO"/>
  </r>
  <r>
    <s v="50GDL"/>
    <s v="LOS COLIGUES"/>
    <s v="LOS COLIGUES"/>
    <n v="5.45"/>
    <x v="0"/>
    <s v="TNM"/>
    <s v="RECESO"/>
    <s v="SERRANO SOTO MANUEL"/>
    <x v="0"/>
    <x v="0"/>
    <x v="0"/>
    <s v="JOSE NAVARRO"/>
    <s v="50GDL"/>
    <s v="NO"/>
  </r>
  <r>
    <s v="50GKR"/>
    <s v="PEDRO DE VALDIVIA 3"/>
    <s v="PEDRO DE VALDIVIA 3"/>
    <n v="6"/>
    <x v="0"/>
    <s v="TMCB"/>
    <s v="BASE"/>
    <s v="SERRANO SOTO MANUEL"/>
    <x v="1"/>
    <x v="1"/>
    <x v="0"/>
    <s v="BENJAMIN SERRANO"/>
    <s v="50GKR"/>
    <s v="NO"/>
  </r>
  <r>
    <s v="50HPU"/>
    <s v="LUIS THAYER OJEDA"/>
    <s v="LUIS THAYER OJEDA"/>
    <n v="5.45"/>
    <x v="0"/>
    <s v="TMCB"/>
    <s v="BASE"/>
    <s v="SERRANO SOTO MANUEL"/>
    <x v="1"/>
    <x v="1"/>
    <x v="0"/>
    <s v="BENJAMIN SERRANO"/>
    <s v="50HPU"/>
    <s v="NO"/>
  </r>
  <r>
    <s v="50HZO"/>
    <s v="TRISTAN MATTA"/>
    <s v="TRISTAN MATTA"/>
    <n v="5"/>
    <x v="0"/>
    <s v="TNM"/>
    <s v="BASE"/>
    <s v="SERRANO SOTO MANUEL"/>
    <x v="9"/>
    <x v="20"/>
    <x v="0"/>
    <s v="MAIKEL PALOMARES"/>
    <s v="50HZO"/>
    <s v="NO"/>
  </r>
  <r>
    <s v="50KJI"/>
    <s v="SIMON BOLIVAR HAMBURGO"/>
    <s v="SIMON BOLIVAR  HAMBURGO"/>
    <n v="5.45"/>
    <x v="0"/>
    <s v="TMCB"/>
    <s v="HOGAR"/>
    <s v="SERRANO SOTO MANUEL"/>
    <x v="5"/>
    <x v="6"/>
    <x v="0"/>
    <s v="DIANA ROJAS"/>
    <s v="50KJI"/>
    <s v="NO"/>
  </r>
  <r>
    <s v="50KUF"/>
    <s v="CAMINO EL ALBA"/>
    <s v="CAMINO EL ALBA"/>
    <n v="5.45"/>
    <x v="0"/>
    <s v="TMCB"/>
    <s v="HOGAR"/>
    <s v="SERRANO SOTO MANUEL"/>
    <x v="12"/>
    <x v="2"/>
    <x v="0"/>
    <s v="DIANA ROJAS"/>
    <s v="50KUF"/>
    <s v="NO"/>
  </r>
  <r>
    <s v="50LAF"/>
    <s v="OUTLET LA FLORIDA"/>
    <s v="OUTLET LA FLORIDA"/>
    <n v="5.45"/>
    <x v="0"/>
    <s v="TMCB"/>
    <s v="RECESO"/>
    <s v="SERRANO SOTO MANUEL"/>
    <x v="9"/>
    <x v="21"/>
    <x v="0"/>
    <s v="MAIKEL PALOMARES"/>
    <s v="50LAF"/>
    <s v="NO"/>
  </r>
  <r>
    <s v="50MAI"/>
    <s v="PLAZA MAIPU"/>
    <s v="PLAZA MAIPU"/>
    <n v="5.45"/>
    <x v="0"/>
    <s v="TMCB"/>
    <s v="RECESO"/>
    <s v="SERRANO SOTO MANUEL"/>
    <x v="9"/>
    <x v="7"/>
    <x v="0"/>
    <s v="MAIKEL PALOMARES"/>
    <s v="50MAI"/>
    <s v="SI"/>
  </r>
  <r>
    <s v="50MLM"/>
    <s v="PIO XI"/>
    <s v="PIO XI"/>
    <n v="5.45"/>
    <x v="0"/>
    <s v="TMCB"/>
    <s v="RECESO"/>
    <s v="SERRANO SOTO MANUEL"/>
    <x v="0"/>
    <x v="1"/>
    <x v="0"/>
    <s v="JOSE NAVARRO"/>
    <s v="50MLM"/>
    <s v="NO"/>
  </r>
  <r>
    <s v="50NC0"/>
    <s v="EL FARO"/>
    <s v="EL FARO"/>
    <n v="5.45"/>
    <x v="0"/>
    <s v="TNM"/>
    <s v="RECESO"/>
    <s v="SESA DIEGO MIGUEL"/>
    <x v="2"/>
    <x v="2"/>
    <x v="0"/>
    <s v="BENJAMIN SERRANO"/>
    <s v="50NC0"/>
    <s v="NO"/>
  </r>
  <r>
    <s v="50OAV"/>
    <s v="ANTONIO VARAS"/>
    <s v=" OKM ANTONIO VARAS"/>
    <n v="5.45"/>
    <x v="0"/>
    <s v="TMCB OKM"/>
    <s v="BASE"/>
    <s v="SERRANO SOTO MANUEL"/>
    <x v="11"/>
    <x v="6"/>
    <x v="0"/>
    <s v="DIANA ROJAS"/>
    <s v="50OAV"/>
    <s v="NO"/>
  </r>
  <r>
    <s v="50OGD"/>
    <s v="GENERAL DEL CANTO"/>
    <s v="OKM GENERAL DEL CANTO"/>
    <n v="5.45"/>
    <x v="0"/>
    <s v="TMCB OKM"/>
    <s v="RECESO"/>
    <s v="SERRANO SOTO MANUEL"/>
    <x v="7"/>
    <x v="1"/>
    <x v="0"/>
    <s v="BENJAMIN SERRANO"/>
    <s v="50OGD"/>
    <s v="NO"/>
  </r>
  <r>
    <s v="50OJM"/>
    <s v="JORGE MATTE"/>
    <s v="OKM JORGE MATTE"/>
    <n v="5.45"/>
    <x v="0"/>
    <s v="TMCB OKM"/>
    <s v="BASE"/>
    <s v="SERRANO SOTO MANUEL"/>
    <x v="5"/>
    <x v="1"/>
    <x v="0"/>
    <s v="DIANA ROJAS"/>
    <s v="50OJM"/>
    <s v="NO"/>
  </r>
  <r>
    <s v="50OSL"/>
    <s v="STRIP LARRAIN"/>
    <s v="OKM STRIP LARRAÍN"/>
    <n v="5.45"/>
    <x v="0"/>
    <s v="TMCB OKM"/>
    <s v="BASE"/>
    <s v="SERRANO SOTO MANUEL"/>
    <x v="11"/>
    <x v="4"/>
    <x v="0"/>
    <s v="DIANA ROJAS"/>
    <s v="50OSL"/>
    <s v="NO"/>
  </r>
  <r>
    <s v="50QKJ"/>
    <s v="LYON 2"/>
    <s v="LYON 2"/>
    <n v="5"/>
    <x v="0"/>
    <s v="TMCB"/>
    <s v="BASE"/>
    <s v="SERRANO SOTO MANUEL"/>
    <x v="1"/>
    <x v="1"/>
    <x v="0"/>
    <s v="BENJAMIN SERRANO"/>
    <s v="50QKJ"/>
    <s v="NO"/>
  </r>
  <r>
    <s v="50SKV"/>
    <s v="ISIDORA"/>
    <s v="ISIDORA"/>
    <n v="5.45"/>
    <x v="0"/>
    <s v="TMCB"/>
    <s v="BASE"/>
    <s v="SERRANO SOTO MANUEL"/>
    <x v="10"/>
    <x v="2"/>
    <x v="0"/>
    <s v="JOSE NAVARRO"/>
    <s v="50SKV"/>
    <s v="NO"/>
  </r>
  <r>
    <s v="50SWS"/>
    <s v="SIMON BOLIVAR"/>
    <s v="SIMON BOLIVAR"/>
    <n v="5.45"/>
    <x v="0"/>
    <s v="TMCB"/>
    <s v="HOGAR"/>
    <s v="SERRANO SOTO MANUEL"/>
    <x v="11"/>
    <x v="6"/>
    <x v="0"/>
    <s v="DIANA ROJAS"/>
    <s v="50SWS"/>
    <s v="NO"/>
  </r>
  <r>
    <s v="50TKS"/>
    <s v="LOS TRAPENSES"/>
    <s v="LOS TRAPENSES"/>
    <n v="6.13"/>
    <x v="0"/>
    <s v="TMCB"/>
    <s v="RECESO"/>
    <s v="SERRANO SOTO MANUEL"/>
    <x v="12"/>
    <x v="16"/>
    <x v="0"/>
    <s v="DIANA ROJAS"/>
    <s v="50TKS"/>
    <s v="NO"/>
  </r>
  <r>
    <s v="50VHN"/>
    <s v="LA CONCEPCION"/>
    <s v="LA CONCEPCION"/>
    <n v="5.45"/>
    <x v="0"/>
    <s v="TMCB"/>
    <s v="RECESO"/>
    <s v="SERRANO SOTO MANUEL"/>
    <x v="7"/>
    <x v="1"/>
    <x v="0"/>
    <s v="BENJAMIN SERRANO"/>
    <s v="50VHN"/>
    <s v="NO"/>
  </r>
  <r>
    <s v="50XLL"/>
    <s v="MANUEL MONTT 1"/>
    <s v="MANUEL MONTT 1"/>
    <n v="5.45"/>
    <x v="0"/>
    <s v="TMCB"/>
    <s v="RECESO"/>
    <s v="SERRANO SOTO MANUEL"/>
    <x v="1"/>
    <x v="1"/>
    <x v="0"/>
    <s v="BENJAMIN SERRANO"/>
    <s v="50XLL"/>
    <s v="NO"/>
  </r>
  <r>
    <s v="50XRJ"/>
    <s v="LOS MILITARES"/>
    <s v="LOS MILITARES"/>
    <n v="5.45"/>
    <x v="0"/>
    <s v="TMCB"/>
    <s v="BASE"/>
    <s v="SERRANO SOTO MANUEL"/>
    <x v="10"/>
    <x v="2"/>
    <x v="0"/>
    <s v="JOSE NAVARRO"/>
    <s v="50XRJ"/>
    <s v="NO"/>
  </r>
  <r>
    <s v="5026M"/>
    <s v="PLAZA VERGARA"/>
    <s v="PLAZA VERGARA"/>
    <n v="5.45"/>
    <x v="0"/>
    <s v="TNM"/>
    <s v="RECESO"/>
    <s v="SESA DIEGO MIGUEL"/>
    <x v="4"/>
    <x v="3"/>
    <x v="1"/>
    <s v="MAIKEL PALOMARES"/>
    <s v="5026M"/>
    <s v="NO"/>
  </r>
  <r>
    <s v="5032O"/>
    <s v="BARROS BORGONO"/>
    <s v="DLL BARROS BORGOÑO"/>
    <n v="5.45"/>
    <x v="0"/>
    <s v="TNM"/>
    <s v="BASE"/>
    <s v="SERRANO SOTO MANUEL"/>
    <x v="7"/>
    <x v="1"/>
    <x v="0"/>
    <s v="BENJAMIN SERRANO"/>
    <s v="5032O"/>
    <s v="NO"/>
  </r>
  <r>
    <s v="50AAF"/>
    <s v="PIEDRA ROJA"/>
    <s v="PIEDRA ROJA"/>
    <n v="5.45"/>
    <x v="0"/>
    <s v="TNM"/>
    <s v="BASE"/>
    <s v="SERRANO SOTO MANUEL"/>
    <x v="0"/>
    <x v="13"/>
    <x v="0"/>
    <s v="JOSE NAVARRO"/>
    <s v="50AAF"/>
    <s v="NO"/>
  </r>
  <r>
    <s v="50AQY"/>
    <s v="PEDRO DE VALDIVIA 9"/>
    <s v="PEDRO DE VALDIVIA 9"/>
    <n v="5.45"/>
    <x v="0"/>
    <s v="TNM"/>
    <s v="BASE"/>
    <s v="SERRANO SOTO MANUEL"/>
    <x v="1"/>
    <x v="1"/>
    <x v="0"/>
    <s v="BENJAMIN SERRANO"/>
    <s v="50AQY"/>
    <s v="NO"/>
  </r>
  <r>
    <s v="50FKT"/>
    <s v="BARROS ARANA"/>
    <s v="BARROS ARANA"/>
    <n v="5.45"/>
    <x v="0"/>
    <s v="TNM"/>
    <s v="RECESO"/>
    <s v="SESA DIEGO MIGUEL"/>
    <x v="14"/>
    <x v="15"/>
    <x v="2"/>
    <s v="MAIKEL PALOMARES"/>
    <s v="50FKT"/>
    <s v="NO"/>
  </r>
  <r>
    <s v="50OME"/>
    <s v="OKM METRO CHILE ESPANA"/>
    <s v="OKM METRO CHILEESPAÑA"/>
    <n v="5.45"/>
    <x v="0"/>
    <s v="TMCB OKM"/>
    <s v="RECESO"/>
    <s v="SERRANO SOTO MANUEL"/>
    <x v="8"/>
    <x v="6"/>
    <x v="0"/>
    <s v="JOSE NAVARRO"/>
    <s v="50OME"/>
    <s v="NO"/>
  </r>
  <r>
    <s v="50ORS"/>
    <s v="ROSARIO SUR 2"/>
    <s v="OKM ROSARIO SUR 2"/>
    <n v="5.45"/>
    <x v="0"/>
    <s v="TMCB OKM"/>
    <s v="RECESO"/>
    <s v="SESA DIEGO MIGUEL"/>
    <x v="2"/>
    <x v="2"/>
    <x v="0"/>
    <s v="BENJAMIN SERRANO"/>
    <s v="50ORS"/>
    <s v="NO"/>
  </r>
  <r>
    <s v="50OTL"/>
    <s v="TOLEDO"/>
    <s v="OKM TOLEDO K147  CAJAS"/>
    <n v="5.45"/>
    <x v="0"/>
    <s v="TMCB OKM"/>
    <s v="HOGAR"/>
    <s v="SERRANO SOTO MANUEL"/>
    <x v="1"/>
    <x v="1"/>
    <x v="0"/>
    <s v="BENJAMIN SERRANO"/>
    <s v="50OTL"/>
    <s v="NO"/>
  </r>
  <r>
    <s v="50XQO"/>
    <s v="NAPOLEON"/>
    <s v="NAPOLEON"/>
    <n v="5.45"/>
    <x v="0"/>
    <s v="TMCB"/>
    <s v="BASE"/>
    <s v="SERRANO SOTO MANUEL"/>
    <x v="10"/>
    <x v="2"/>
    <x v="0"/>
    <s v="JOSE NAVARRO"/>
    <s v="50XQO"/>
    <s v="NO"/>
  </r>
  <r>
    <s v="50AQC"/>
    <s v="VON SCHROEDER"/>
    <s v="VON SCHROEDER"/>
    <n v="9"/>
    <x v="0"/>
    <s v="TMCB"/>
    <s v="BASE"/>
    <s v="SESA DIEGO MIGUEL"/>
    <x v="4"/>
    <x v="3"/>
    <x v="1"/>
    <s v="MAIKEL PALOMARES"/>
    <s v="50AQC"/>
    <s v="NO"/>
  </r>
  <r>
    <s v="50ELY"/>
    <s v="ELIODORO YANEZ"/>
    <s v="ELIODORO YAÑEZ"/>
    <n v="5"/>
    <x v="0"/>
    <s v="TMCB"/>
    <s v="RECESO"/>
    <s v="SERRANO SOTO MANUEL"/>
    <x v="1"/>
    <x v="1"/>
    <x v="0"/>
    <s v="BENJAMIN SERRANO"/>
    <s v="50ELY"/>
    <s v="SI"/>
  </r>
  <r>
    <s v="50OAJ"/>
    <s v="ARMANDO JARAMILLO"/>
    <s v="OKM ARMANDO JARAMILLO"/>
    <n v="5"/>
    <x v="0"/>
    <s v="TMCB OKM"/>
    <s v="BASE"/>
    <s v="SERRANO SOTO MANUEL"/>
    <x v="0"/>
    <x v="0"/>
    <x v="0"/>
    <s v="JOSE NAVARRO"/>
    <s v="50OAJ"/>
    <s v="SI"/>
  </r>
  <r>
    <s v="50OHT"/>
    <s v="HAMBURGO 2"/>
    <s v="OKM HAMBURGO"/>
    <n v="5"/>
    <x v="1"/>
    <s v="TMCB OKM"/>
    <s v="HOGAR C/FF"/>
    <s v="SERRANO SOTO MANUEL"/>
    <x v="7"/>
    <x v="6"/>
    <x v="0"/>
    <s v="BENJAMIN SERRANO"/>
    <s v="50OHT"/>
    <s v="NO"/>
  </r>
  <r>
    <s v="50OHU"/>
    <s v="OKM HUINGANAL II"/>
    <s v="OKM HUINGANAL K024  CAJAS"/>
    <n v="5"/>
    <x v="0"/>
    <s v="TMCB OKM"/>
    <s v="HOGAR"/>
    <s v="SERRANO SOTO MANUEL"/>
    <x v="12"/>
    <x v="16"/>
    <x v="0"/>
    <s v="DIANA ROJAS"/>
    <s v="50OHU"/>
    <s v="SI"/>
  </r>
  <r>
    <s v="50OMP"/>
    <s v="OKM MALL PLAZA OESTE"/>
    <s v="OKM MALL PLAZA OESTE"/>
    <n v="5"/>
    <x v="2"/>
    <s v="TMCB OKM"/>
    <s v="RECESO"/>
    <s v="SERRANO SOTO MANUEL"/>
    <x v="9"/>
    <x v="22"/>
    <x v="0"/>
    <s v="MAIKEL PALOMARES"/>
    <s v="50OMP"/>
    <s v="NO"/>
  </r>
  <r>
    <s v="50ONC"/>
    <s v="NATANIEL COX 2"/>
    <s v="NATANIEL COX  2"/>
    <n v="5.68"/>
    <x v="0"/>
    <s v="TMCB OKM"/>
    <s v="BASE"/>
    <s v="SERRANO SOTO MANUEL"/>
    <x v="6"/>
    <x v="5"/>
    <x v="0"/>
    <s v="DIANA ROJAS"/>
    <s v="50ONC"/>
    <s v="NO"/>
  </r>
  <r>
    <s v="50OPE"/>
    <s v="OKM EL PARQUE"/>
    <s v="OKM EL PARQUE K068  CAJAS"/>
    <n v="5"/>
    <x v="0"/>
    <s v="TMCB OKM"/>
    <s v="RECESO"/>
    <s v="SERRANO SOTO MANUEL"/>
    <x v="0"/>
    <x v="11"/>
    <x v="0"/>
    <s v="JOSE NAVARRO"/>
    <s v="50OPE"/>
    <s v="NO"/>
  </r>
  <r>
    <s v="50OPR"/>
    <s v="AVENIDA PERU"/>
    <s v="OKM AVENIDA PERÚ"/>
    <n v="5"/>
    <x v="1"/>
    <s v="TMCB OKM"/>
    <s v="HOGAR C/FF"/>
    <s v="SERRANO SOTO MANUEL"/>
    <x v="13"/>
    <x v="23"/>
    <x v="0"/>
    <s v="SIN IDENTIFICAR"/>
    <s v="50OPR"/>
    <s v="NO"/>
  </r>
  <r>
    <s v="50OSZ"/>
    <s v="OKM SANTA BEATRIZ"/>
    <s v="OKM SANTA BEATRIZ"/>
    <n v="5"/>
    <x v="0"/>
    <s v="TMCB OKM"/>
    <s v="BASE"/>
    <s v="SERRANO SOTO MANUEL"/>
    <x v="7"/>
    <x v="1"/>
    <x v="0"/>
    <s v="BENJAMIN SERRANO"/>
    <s v="50OSZ"/>
    <s v="NO"/>
  </r>
  <r>
    <s v="50OTH"/>
    <s v="OKM LUIS THAYER OJEDA"/>
    <s v="OKM LUIS THAYER OJEDA"/>
    <n v="5"/>
    <x v="0"/>
    <s v="TMCB OKM"/>
    <s v="RECESO"/>
    <s v="SERRANO SOTO MANUEL"/>
    <x v="7"/>
    <x v="1"/>
    <x v="0"/>
    <s v="BENJAMIN SERRANO"/>
    <s v="50OTH"/>
    <s v="NO"/>
  </r>
  <r>
    <s v="50POS"/>
    <s v="COLON 2"/>
    <s v="COLON 2"/>
    <n v="6"/>
    <x v="0"/>
    <s v="TMCB"/>
    <s v="HOGAR"/>
    <s v="SERRANO SOTO MANUEL"/>
    <x v="5"/>
    <x v="2"/>
    <x v="0"/>
    <s v="DIANA ROJAS"/>
    <s v="50POS"/>
    <s v="NO"/>
  </r>
  <r>
    <s v="50REU"/>
    <s v="COLON PONTEVEDRA"/>
    <s v="COLON  PONTEVEDRA"/>
    <n v="5"/>
    <x v="0"/>
    <s v="TMCB"/>
    <s v="HOGAR"/>
    <s v="SERRANO SOTO MANUEL"/>
    <x v="5"/>
    <x v="2"/>
    <x v="0"/>
    <s v="DIANA ROJAS"/>
    <s v="50REU"/>
    <s v="NO"/>
  </r>
  <r>
    <s v="508LO"/>
    <s v="AMUNATEGUI"/>
    <s v="AMUNATEGUI"/>
    <n v="5"/>
    <x v="0"/>
    <s v="TNM"/>
    <s v="BASE"/>
    <s v="SERRANO SOTO MANUEL"/>
    <x v="6"/>
    <x v="5"/>
    <x v="0"/>
    <s v="DIANA ROJAS"/>
    <s v="508LO"/>
    <s v="NO"/>
  </r>
  <r>
    <s v="50AMU"/>
    <s v="TORRE AMUNATEGUI"/>
    <s v="TORRE AMUNATEGUI"/>
    <n v="5"/>
    <x v="1"/>
    <s v="TNM"/>
    <s v="RECESO"/>
    <s v="SERRANO SOTO MANUEL"/>
    <x v="13"/>
    <x v="5"/>
    <x v="0"/>
    <s v="SIN IDENTIFICAR"/>
    <s v="50AMU"/>
    <s v="NO"/>
  </r>
  <r>
    <s v="50SJS"/>
    <s v="SAN JOSE DE LA SIERRA"/>
    <s v="SAN JOSE DE LA SIERRA"/>
    <n v="5"/>
    <x v="0"/>
    <s v="TMCB"/>
    <s v="HOGAR"/>
    <s v="SERRANO SOTO MANUEL"/>
    <x v="12"/>
    <x v="16"/>
    <x v="0"/>
    <s v="DIANA ROJAS"/>
    <s v="50SJS"/>
    <s v="NO"/>
  </r>
  <r>
    <n v="50096"/>
    <s v="INFANTE"/>
    <s v="JOSE MANUEL INFANTE"/>
    <n v="5"/>
    <x v="0"/>
    <s v="T2024"/>
    <s v="RECESO"/>
    <s v="SERRANO SOTO MANUEL"/>
    <x v="1"/>
    <x v="1"/>
    <x v="0"/>
    <s v="BENJAMIN SERRANO"/>
    <n v="50096"/>
    <s v="NO"/>
  </r>
  <r>
    <n v="50724"/>
    <s v="LLICO"/>
    <s v="LLICO"/>
    <n v="5"/>
    <x v="0"/>
    <s v="T2023"/>
    <s v="RECESO"/>
    <s v="SERRANO SOTO MANUEL"/>
    <x v="9"/>
    <x v="20"/>
    <x v="0"/>
    <s v="MAIKEL PALOMARES"/>
    <n v="50724"/>
    <s v="NO"/>
  </r>
  <r>
    <n v="50863"/>
    <s v="CONCHA Y TORO"/>
    <s v="CONCHA Y TORO 199"/>
    <n v="5"/>
    <x v="0"/>
    <s v="T2023"/>
    <s v="RECESO"/>
    <s v="SERRANO SOTO MANUEL"/>
    <x v="9"/>
    <x v="24"/>
    <x v="0"/>
    <s v="MAIKEL PALOMARES"/>
    <n v="50863"/>
    <s v="NO"/>
  </r>
  <r>
    <s v="500LI"/>
    <s v="JJ PEREZ"/>
    <s v="JJ PEREZ"/>
    <n v="5"/>
    <x v="1"/>
    <s v="TNM"/>
    <s v="RECESO"/>
    <s v="SERRANO SOTO MANUEL"/>
    <x v="4"/>
    <x v="25"/>
    <x v="1"/>
    <s v="MAIKEL PALOMARES"/>
    <s v="500LI"/>
    <s v="NO"/>
  </r>
  <r>
    <s v="500UN"/>
    <s v="PLAZA CHIGUAYANTE"/>
    <s v="PLAZA CHIGUAYANTE"/>
    <n v="5"/>
    <x v="1"/>
    <s v="T2024"/>
    <s v="HOGAR"/>
    <s v="SERRANO SOTO MANUEL"/>
    <x v="14"/>
    <x v="19"/>
    <x v="2"/>
    <s v="MAIKEL PALOMARES"/>
    <s v="500UN"/>
    <s v="NO"/>
  </r>
  <r>
    <s v="5019M"/>
    <s v="LOS MILITARES 2"/>
    <s v="LOS MILITARES 2"/>
    <n v="5"/>
    <x v="0"/>
    <s v="TNM"/>
    <s v="BASE"/>
    <s v="SERRANO SOTO MANUEL"/>
    <x v="10"/>
    <x v="2"/>
    <x v="0"/>
    <s v="JOSE NAVARRO"/>
    <s v="5019M"/>
    <s v="NO"/>
  </r>
  <r>
    <s v="501CG"/>
    <s v="IRARRAZAVAL 1"/>
    <s v="IRARRAZAVAL 1"/>
    <n v="5"/>
    <x v="1"/>
    <s v="TNM"/>
    <s v="HOGAR C/FF"/>
    <s v="SERRANO SOTO MANUEL"/>
    <x v="11"/>
    <x v="6"/>
    <x v="0"/>
    <s v="DIANA ROJAS"/>
    <s v="501CG"/>
    <s v="NO"/>
  </r>
  <r>
    <s v="501KO"/>
    <s v="TALCA 1"/>
    <s v="TALCA 1"/>
    <n v="5"/>
    <x v="0"/>
    <s v="TNM"/>
    <s v="RECESO"/>
    <s v="SESA DIEGO MIGUEL"/>
    <x v="14"/>
    <x v="26"/>
    <x v="3"/>
    <s v="MAIKEL PALOMARES"/>
    <s v="501KO"/>
    <s v="NO"/>
  </r>
  <r>
    <s v="502IY"/>
    <s v="INDEPENDENCIA 2"/>
    <s v="INDEPENDENCIA 2"/>
    <n v="5"/>
    <x v="1"/>
    <s v="TNM"/>
    <s v="HOGAR C/FF"/>
    <s v="SERRANO SOTO MANUEL"/>
    <x v="13"/>
    <x v="9"/>
    <x v="0"/>
    <s v="SIN IDENTIFICAR"/>
    <s v="502IY"/>
    <s v="NO"/>
  </r>
  <r>
    <s v="502UE"/>
    <s v="MIRAFLORES"/>
    <s v="MIRAFLORES"/>
    <n v="5"/>
    <x v="1"/>
    <s v="TNM"/>
    <s v="RECESO"/>
    <s v="SERRANO SOTO MANUEL"/>
    <x v="5"/>
    <x v="5"/>
    <x v="0"/>
    <s v="DIANA ROJAS"/>
    <s v="502UE"/>
    <s v="NO"/>
  </r>
  <r>
    <s v="5033A"/>
    <s v="EDMUNDO ELUCHANS"/>
    <s v="EDMUNDO ELUCHANS"/>
    <n v="5"/>
    <x v="0"/>
    <s v="TNM"/>
    <s v="HOGAR"/>
    <s v="SESA DIEGO MIGUEL"/>
    <x v="3"/>
    <x v="3"/>
    <x v="1"/>
    <s v="MAIKEL PALOMARES"/>
    <s v="5033A"/>
    <s v="NO"/>
  </r>
  <r>
    <s v="503LC"/>
    <s v="TALCA 2"/>
    <s v="TALCA 2"/>
    <n v="5"/>
    <x v="1"/>
    <s v="TNM"/>
    <s v="RECESO"/>
    <s v="SERRANO SOTO MANUEL"/>
    <x v="9"/>
    <x v="26"/>
    <x v="3"/>
    <s v="MAIKEL PALOMARES"/>
    <s v="503LC"/>
    <s v="NO"/>
  </r>
  <r>
    <s v="503YO"/>
    <s v="SAN DIEGO 2"/>
    <s v="SAN DIEGO 2"/>
    <n v="5"/>
    <x v="1"/>
    <s v="TNM"/>
    <s v="HOGAR C/FF"/>
    <s v="SERRANO SOTO MANUEL"/>
    <x v="5"/>
    <x v="5"/>
    <x v="0"/>
    <s v="DIANA ROJAS"/>
    <s v="503YO"/>
    <s v="NO"/>
  </r>
  <r>
    <s v="504A3"/>
    <s v="TERMINAL DE BUSES II"/>
    <s v="TERMINAL DE BUSES II"/>
    <n v="5"/>
    <x v="0"/>
    <s v="TNM"/>
    <s v="RECESO"/>
    <s v="SERRANO SOTO MANUEL"/>
    <x v="9"/>
    <x v="12"/>
    <x v="0"/>
    <s v="MAIKEL PALOMARES"/>
    <s v="504A3"/>
    <s v="NO"/>
  </r>
  <r>
    <s v="504GZ"/>
    <s v="OHIGGINS ANGOL"/>
    <s v="OHIGGINS ANGOL"/>
    <n v="5"/>
    <x v="1"/>
    <s v="TNM"/>
    <s v="RECESO"/>
    <s v="SERRANO SOTO MANUEL"/>
    <x v="14"/>
    <x v="15"/>
    <x v="2"/>
    <s v="MAIKEL PALOMARES"/>
    <s v="504GZ"/>
    <s v="NO"/>
  </r>
  <r>
    <s v="504UJ"/>
    <s v="BANDERA 2"/>
    <s v="BANDERA 2"/>
    <n v="5"/>
    <x v="1"/>
    <s v="TNM"/>
    <s v="RECESO"/>
    <s v="SERRANO SOTO MANUEL"/>
    <x v="7"/>
    <x v="5"/>
    <x v="0"/>
    <s v="BENJAMIN SERRANO"/>
    <s v="504UJ"/>
    <s v="NO"/>
  </r>
  <r>
    <s v="5050J"/>
    <s v="MALL PATIO RANCAGUA"/>
    <s v="PATIO RANCAGUA"/>
    <n v="5"/>
    <x v="1"/>
    <s v="TNM"/>
    <s v="AL PASO"/>
    <s v="SESA DIEGO MIGUEL"/>
    <x v="9"/>
    <x v="27"/>
    <x v="4"/>
    <s v="MAIKEL PALOMARES"/>
    <s v="5050J"/>
    <s v="NO"/>
  </r>
  <r>
    <s v="505F3"/>
    <s v="OUTLET LA FABRICA"/>
    <s v="OUTLET LA FABRICA"/>
    <n v="5"/>
    <x v="0"/>
    <s v="TNM"/>
    <s v="RECESO"/>
    <s v="SERRANO SOTO MANUEL"/>
    <x v="9"/>
    <x v="28"/>
    <x v="0"/>
    <s v="MAIKEL PALOMARES"/>
    <s v="505F3"/>
    <s v="NO"/>
  </r>
  <r>
    <s v="505VE"/>
    <s v="PATIO LOS LEONES"/>
    <s v="PATIO LOS LEONES"/>
    <n v="5"/>
    <x v="0"/>
    <s v="T2024"/>
    <s v="BASE"/>
    <s v="SERRANO SOTO MANUEL"/>
    <x v="1"/>
    <x v="1"/>
    <x v="0"/>
    <s v="BENJAMIN SERRANO"/>
    <s v="505VE"/>
    <s v="NO"/>
  </r>
  <r>
    <s v="505WD"/>
    <s v="PARTENON 2"/>
    <s v="PARTENON 2"/>
    <n v="5"/>
    <x v="0"/>
    <s v="TNM"/>
    <s v="RECESO"/>
    <s v="SERRANO SOTO MANUEL"/>
    <x v="0"/>
    <x v="0"/>
    <x v="0"/>
    <s v="JOSE NAVARRO"/>
    <s v="505WD"/>
    <s v="NO"/>
  </r>
  <r>
    <s v="505XC"/>
    <s v="PLAZA VICTORIA"/>
    <s v="PLAZA VICTORIA"/>
    <n v="5"/>
    <x v="0"/>
    <s v="TNM"/>
    <s v="RECESO"/>
    <s v="SESA DIEGO MIGUEL"/>
    <x v="4"/>
    <x v="14"/>
    <x v="1"/>
    <s v="MAIKEL PALOMARES"/>
    <s v="505XC"/>
    <s v="NO"/>
  </r>
  <r>
    <s v="506HQ"/>
    <s v="CANTAGALLO"/>
    <s v="CANTAGALLOS"/>
    <n v="5"/>
    <x v="0"/>
    <s v="TNM"/>
    <s v="RECESO"/>
    <s v="SERRANO SOTO MANUEL"/>
    <x v="12"/>
    <x v="2"/>
    <x v="0"/>
    <s v="DIANA ROJAS"/>
    <s v="506HQ"/>
    <s v="NO"/>
  </r>
  <r>
    <s v="506J6"/>
    <s v="ABATE MOLINA"/>
    <s v="ABATE MOLINA"/>
    <n v="5"/>
    <x v="1"/>
    <s v="TNM"/>
    <s v="HOGAR C/FF"/>
    <s v="SERRANO SOTO MANUEL"/>
    <x v="13"/>
    <x v="5"/>
    <x v="0"/>
    <s v="SIN IDENTIFICAR"/>
    <s v="506J6"/>
    <s v="NO"/>
  </r>
  <r>
    <s v="506RS"/>
    <s v="METRO LA CISTERNA"/>
    <s v="METRO LA CISTERNA"/>
    <n v="5"/>
    <x v="0"/>
    <s v="T2024"/>
    <s v="RECESO"/>
    <s v="SERRANO SOTO MANUEL"/>
    <x v="8"/>
    <x v="29"/>
    <x v="0"/>
    <s v="JOSE NAVARRO"/>
    <s v="506RS"/>
    <s v="NO"/>
  </r>
  <r>
    <s v="506ZY"/>
    <s v="PEDRO TORRES"/>
    <s v="PEDRO TORRES"/>
    <n v="5"/>
    <x v="1"/>
    <s v="TNM"/>
    <s v="HOGAR C/FF"/>
    <s v="SERRANO SOTO MANUEL"/>
    <x v="2"/>
    <x v="6"/>
    <x v="0"/>
    <s v="BENJAMIN SERRANO"/>
    <s v="506ZY"/>
    <s v="NO"/>
  </r>
  <r>
    <s v="508NJ"/>
    <s v="LINARES"/>
    <s v="LINARES 1"/>
    <n v="5"/>
    <x v="1"/>
    <s v="TNM"/>
    <s v="RECESO"/>
    <s v="SERRANO SOTO MANUEL"/>
    <x v="9"/>
    <x v="30"/>
    <x v="3"/>
    <s v="MAIKEL PALOMARES"/>
    <s v="508NJ"/>
    <s v="NO"/>
  </r>
  <r>
    <s v="5091B"/>
    <s v="HOLANDA 3"/>
    <s v="HOLANDA 3"/>
    <n v="5"/>
    <x v="1"/>
    <s v="TNM"/>
    <s v="RECESO"/>
    <s v="SERRANO SOTO MANUEL"/>
    <x v="13"/>
    <x v="1"/>
    <x v="0"/>
    <s v="SIN IDENTIFICAR"/>
    <s v="5091B"/>
    <s v="NO"/>
  </r>
  <r>
    <s v="509H6"/>
    <s v="MACHALI SEWEL"/>
    <s v="MACHALÍ SEWEL"/>
    <n v="5"/>
    <x v="1"/>
    <s v="TNM"/>
    <s v="HOGAR C/FF"/>
    <s v="SERRANO SOTO MANUEL"/>
    <x v="9"/>
    <x v="31"/>
    <x v="4"/>
    <s v="MAIKEL PALOMARES"/>
    <s v="509H6"/>
    <s v="NO"/>
  </r>
  <r>
    <s v="50AC1"/>
    <s v="PLAZA DEL INCA"/>
    <s v="PLAZA DEL INCA"/>
    <n v="5"/>
    <x v="0"/>
    <s v="TNM"/>
    <s v="BASE"/>
    <s v="SERRANO SOTO MANUEL"/>
    <x v="5"/>
    <x v="2"/>
    <x v="0"/>
    <s v="DIANA ROJAS"/>
    <s v="50AC1"/>
    <s v="NO"/>
  </r>
  <r>
    <s v="50AFU"/>
    <s v="SANTA AMALIA"/>
    <s v="SANTA AMALIA"/>
    <n v="5"/>
    <x v="1"/>
    <s v="TNM"/>
    <s v="RECESO"/>
    <s v="SERRANO SOTO MANUEL"/>
    <x v="12"/>
    <x v="21"/>
    <x v="0"/>
    <s v="DIANA ROJAS"/>
    <s v="50AFU"/>
    <s v="NO"/>
  </r>
  <r>
    <s v="50AGU"/>
    <s v="EL AGUILUCHO"/>
    <s v="EL AGUILUCHO"/>
    <n v="5"/>
    <x v="1"/>
    <s v="TNM"/>
    <s v="HOGAR C/FF"/>
    <s v="SERRANO SOTO MANUEL"/>
    <x v="12"/>
    <x v="1"/>
    <x v="0"/>
    <s v="DIANA ROJAS"/>
    <s v="50AGU"/>
    <s v="NO"/>
  </r>
  <r>
    <s v="50AJL"/>
    <s v="LA CASTELLANA"/>
    <s v="LA CASTELLANA"/>
    <n v="5"/>
    <x v="1"/>
    <s v="T2024"/>
    <s v="HOGAR C/FF"/>
    <s v="SERRANO SOTO MANUEL"/>
    <x v="7"/>
    <x v="2"/>
    <x v="0"/>
    <s v="BENJAMIN SERRANO"/>
    <s v="50AJL"/>
    <s v="NO"/>
  </r>
  <r>
    <s v="50AL4"/>
    <s v="ANIBAL PINTO"/>
    <s v="ANIBAL PINTO"/>
    <n v="5"/>
    <x v="1"/>
    <s v="T2024"/>
    <s v="RECESO"/>
    <s v="SERRANO SOTO MANUEL"/>
    <x v="14"/>
    <x v="15"/>
    <x v="2"/>
    <s v="MAIKEL PALOMARES"/>
    <s v="50AL4"/>
    <s v="NO"/>
  </r>
  <r>
    <s v="50ALM"/>
    <s v="APOQUINDO LOS MILITARES"/>
    <s v="APOQUINDO - LOS MILITARES"/>
    <n v="5"/>
    <x v="0"/>
    <s v="TMCB"/>
    <s v="RECESO"/>
    <s v="SESA DIEGO MIGUEL"/>
    <x v="2"/>
    <x v="2"/>
    <x v="0"/>
    <s v="BENJAMIN SERRANO"/>
    <s v="50ALM"/>
    <s v="SI"/>
  </r>
  <r>
    <s v="50AMA"/>
    <s v="BALMORAL ALONSO DE CORDOVA"/>
    <s v="BALMORAL  ALONSO DE CORDOVA"/>
    <n v="5"/>
    <x v="0"/>
    <s v="TMCB"/>
    <s v="BASE"/>
    <s v="SERRANO SOTO MANUEL"/>
    <x v="10"/>
    <x v="2"/>
    <x v="0"/>
    <s v="JOSE NAVARRO"/>
    <s v="50AMA"/>
    <s v="NO"/>
  </r>
  <r>
    <s v="50APB"/>
    <s v="PATIO QUILICURA"/>
    <s v="OXXO  Patio Quilicura"/>
    <n v="5"/>
    <x v="0"/>
    <s v="T2024"/>
    <s v="RECESO"/>
    <s v="SERRANO SOTO MANUEL"/>
    <x v="9"/>
    <x v="32"/>
    <x v="0"/>
    <s v="MAIKEL PALOMARES"/>
    <s v="50APB"/>
    <s v="NO"/>
  </r>
  <r>
    <s v="50APO"/>
    <s v="APOQUINDO 8"/>
    <s v="APOQUINDO 8"/>
    <n v="5"/>
    <x v="0"/>
    <s v="TMCB"/>
    <s v="RECESO"/>
    <s v="SESA DIEGO MIGUEL"/>
    <x v="2"/>
    <x v="2"/>
    <x v="0"/>
    <s v="BENJAMIN SERRANO"/>
    <s v="50APO"/>
    <s v="NO"/>
  </r>
  <r>
    <s v="50AQL"/>
    <s v="EBRO"/>
    <s v="EBRO"/>
    <n v="5"/>
    <x v="0"/>
    <s v="TMCB"/>
    <s v="BASE"/>
    <s v="SERRANO SOTO MANUEL"/>
    <x v="10"/>
    <x v="2"/>
    <x v="0"/>
    <s v="JOSE NAVARRO"/>
    <s v="50AQL"/>
    <s v="NO"/>
  </r>
  <r>
    <s v="50ARL"/>
    <s v="ARLEGUI"/>
    <s v="ARLEGUI"/>
    <n v="6"/>
    <x v="0"/>
    <s v="TMCB"/>
    <s v="RECESO"/>
    <s v="SESA DIEGO MIGUEL"/>
    <x v="4"/>
    <x v="3"/>
    <x v="1"/>
    <s v="MAIKEL PALOMARES"/>
    <s v="50ARL"/>
    <s v="NO"/>
  </r>
  <r>
    <s v="50AVA"/>
    <s v="SAN DIEGO COQUIMBO"/>
    <s v="SAN DIEGO - COQUIMBO"/>
    <n v="5"/>
    <x v="0"/>
    <s v="TMCB"/>
    <s v="BASE"/>
    <s v="SERRANO SOTO MANUEL"/>
    <x v="6"/>
    <x v="5"/>
    <x v="0"/>
    <s v="DIANA ROJAS"/>
    <s v="50AVA"/>
    <s v="NO"/>
  </r>
  <r>
    <s v="50AZF"/>
    <s v="PUDAHUEL SAN PABLO 2"/>
    <s v="PUDAHUEL SAN PABLO 2"/>
    <n v="5"/>
    <x v="1"/>
    <s v="TNM"/>
    <s v="RECESO"/>
    <s v="SERRANO SOTO MANUEL"/>
    <x v="13"/>
    <x v="33"/>
    <x v="0"/>
    <s v="SIN IDENTIFICAR"/>
    <s v="50AZF"/>
    <s v="NO"/>
  </r>
  <r>
    <s v="50B51"/>
    <s v="LOS TALAVERAS"/>
    <s v="OXXO  Los Talaveras"/>
    <n v="5"/>
    <x v="0"/>
    <s v="T2024"/>
    <s v="HOGAR"/>
    <s v="SERRANO SOTO MANUEL"/>
    <x v="11"/>
    <x v="6"/>
    <x v="0"/>
    <s v="DIANA ROJAS"/>
    <s v="50B51"/>
    <s v="NO"/>
  </r>
  <r>
    <s v="50BAR"/>
    <s v="BARROS ERRAZURIZ"/>
    <s v="BARROS ERRAZURIZ CLP"/>
    <n v="5.45"/>
    <x v="0"/>
    <s v="TMCB"/>
    <s v="BASE"/>
    <s v="SERRANO SOTO MANUEL"/>
    <x v="7"/>
    <x v="1"/>
    <x v="0"/>
    <s v="BENJAMIN SERRANO"/>
    <s v="50BAR"/>
    <s v="NO"/>
  </r>
  <r>
    <s v="50BER"/>
    <s v="EL BERGANTIN"/>
    <s v="EL BERGANTIN"/>
    <n v="5"/>
    <x v="1"/>
    <s v="TMCB"/>
    <s v="HOGAR"/>
    <s v="SERRANO SOTO MANUEL"/>
    <x v="6"/>
    <x v="2"/>
    <x v="0"/>
    <s v="DIANA ROJAS"/>
    <s v="50BER"/>
    <s v="NO"/>
  </r>
  <r>
    <s v="50BFI"/>
    <s v="SAN MARTIN CAUPOLICAN"/>
    <s v="SAN MARTIN CAUPOLICAN"/>
    <n v="5"/>
    <x v="0"/>
    <s v="TNM"/>
    <s v="RECESO"/>
    <s v="SESA DIEGO MIGUEL"/>
    <x v="14"/>
    <x v="15"/>
    <x v="2"/>
    <s v="MAIKEL PALOMARES"/>
    <s v="50BFI"/>
    <s v="NO"/>
  </r>
  <r>
    <s v="50BLL"/>
    <s v="BILBAO LOS LEONES"/>
    <s v="BILBAO  LOS LEONES"/>
    <n v="5"/>
    <x v="1"/>
    <s v="TMCB"/>
    <s v="HOGAR C/FF"/>
    <s v="SERRANO SOTO MANUEL"/>
    <x v="8"/>
    <x v="1"/>
    <x v="0"/>
    <s v="JOSE NAVARRO"/>
    <s v="50BLL"/>
    <s v="NO"/>
  </r>
  <r>
    <s v="50BMP"/>
    <s v="SANTO DOMINGO"/>
    <s v="SANTO DOMINGO"/>
    <n v="5"/>
    <x v="1"/>
    <s v="TNM"/>
    <s v="RECESO"/>
    <s v="SERRANO SOTO MANUEL"/>
    <x v="5"/>
    <x v="5"/>
    <x v="0"/>
    <s v="DIANA ROJAS"/>
    <s v="50BMP"/>
    <s v="NO"/>
  </r>
  <r>
    <s v="50CEI"/>
    <s v="BARCELONA"/>
    <s v="BARCELONA"/>
    <n v="5"/>
    <x v="1"/>
    <s v="T2024"/>
    <s v="HOGAR"/>
    <s v="SERRANO SOTO MANUEL"/>
    <x v="12"/>
    <x v="21"/>
    <x v="0"/>
    <s v="DIANA ROJAS"/>
    <s v="50CEI"/>
    <s v="NO"/>
  </r>
  <r>
    <s v="50CLM"/>
    <s v="LOMAS SAN SEBASTIAN"/>
    <s v="LOMAS SAN SEBASTIAN"/>
    <n v="5"/>
    <x v="0"/>
    <s v="T2024"/>
    <s v="HOGAR"/>
    <s v="SESA DIEGO MIGUEL"/>
    <x v="14"/>
    <x v="15"/>
    <x v="2"/>
    <s v="MAIKEL PALOMARES"/>
    <s v="50CLM"/>
    <s v="NO"/>
  </r>
  <r>
    <s v="50COL"/>
    <s v="CERRO COLORADO"/>
    <s v="CERRO COLORADO"/>
    <n v="5"/>
    <x v="0"/>
    <s v="TMCB"/>
    <s v="BASE"/>
    <s v="SERRANO SOTO MANUEL"/>
    <x v="10"/>
    <x v="2"/>
    <x v="0"/>
    <s v="JOSE NAVARRO"/>
    <s v="50COL"/>
    <s v="NO"/>
  </r>
  <r>
    <s v="50D6N"/>
    <s v="5 NORTE"/>
    <s v="5 NORTE"/>
    <n v="5"/>
    <x v="0"/>
    <s v="TNM"/>
    <s v="RECESO"/>
    <s v="SESA DIEGO MIGUEL"/>
    <x v="3"/>
    <x v="3"/>
    <x v="1"/>
    <s v="MAIKEL PALOMARES"/>
    <s v="50D6N"/>
    <s v="NO"/>
  </r>
  <r>
    <s v="50DBW"/>
    <s v="RENACA 1"/>
    <s v="REÑACA 1"/>
    <n v="5"/>
    <x v="1"/>
    <s v="TNM"/>
    <s v="HOGAR C/FF"/>
    <s v="SERRANO SOTO MANUEL"/>
    <x v="3"/>
    <x v="3"/>
    <x v="1"/>
    <s v="MAIKEL PALOMARES"/>
    <s v="50DBW"/>
    <s v="NO"/>
  </r>
  <r>
    <s v="50DKQ"/>
    <s v="FELIX BULNES"/>
    <s v="FELIX BULNES"/>
    <n v="5"/>
    <x v="0"/>
    <s v="TNM"/>
    <s v="RECESO"/>
    <s v="SERRANO SOTO MANUEL"/>
    <x v="9"/>
    <x v="34"/>
    <x v="0"/>
    <s v="MAIKEL PALOMARES"/>
    <s v="50DKQ"/>
    <s v="NO"/>
  </r>
  <r>
    <s v="50DPR"/>
    <s v="PADRE MARIANO"/>
    <s v="PADRE MARIANO"/>
    <n v="5"/>
    <x v="0"/>
    <s v="TMCB"/>
    <s v="RECESO"/>
    <s v="SERRANO SOTO MANUEL"/>
    <x v="7"/>
    <x v="1"/>
    <x v="0"/>
    <s v="BENJAMIN SERRANO"/>
    <s v="50DPR"/>
    <s v="NO"/>
  </r>
  <r>
    <s v="50DWS"/>
    <s v="IRARRAZAVAL SAN JORGE"/>
    <s v="IRARRAZAVAL - SAN JORGE"/>
    <n v="5"/>
    <x v="0"/>
    <s v="TMCB"/>
    <s v="BASE"/>
    <s v="SERRANO SOTO MANUEL"/>
    <x v="11"/>
    <x v="6"/>
    <x v="0"/>
    <s v="DIANA ROJAS"/>
    <s v="50DWS"/>
    <s v="SI"/>
  </r>
  <r>
    <s v="50DXJ"/>
    <s v="PROVIDENCIA 1"/>
    <s v="PROVIDENCIA 1"/>
    <n v="5"/>
    <x v="1"/>
    <s v="TMCB"/>
    <s v="HOGAR C/FF"/>
    <s v="SERRANO SOTO MANUEL"/>
    <x v="13"/>
    <x v="1"/>
    <x v="0"/>
    <s v="SIN IDENTIFICAR"/>
    <s v="50DXJ"/>
    <s v="NO"/>
  </r>
  <r>
    <s v="50EFH"/>
    <s v="PLACA LA DEHESA"/>
    <s v="PLACA LA DEHESA"/>
    <n v="5"/>
    <x v="0"/>
    <s v="TNM"/>
    <s v="RECESO"/>
    <s v="SERRANO SOTO MANUEL"/>
    <x v="12"/>
    <x v="16"/>
    <x v="0"/>
    <s v="DIANA ROJAS"/>
    <s v="50EFH"/>
    <s v="NO"/>
  </r>
  <r>
    <s v="50EVA"/>
    <s v="PRAT SALINAS"/>
    <s v="PRAT SALINAS"/>
    <n v="5"/>
    <x v="1"/>
    <s v="TNM"/>
    <s v="RECESO"/>
    <s v="SERRANO SOTO MANUEL"/>
    <x v="0"/>
    <x v="35"/>
    <x v="1"/>
    <s v="JOSE NAVARRO"/>
    <s v="50EVA"/>
    <s v="NO"/>
  </r>
  <r>
    <s v="50F4M"/>
    <s v="SAN ANTONIO"/>
    <s v="SAN ANTONIO 80"/>
    <n v="5"/>
    <x v="0"/>
    <s v="T2024"/>
    <s v="RECESO"/>
    <s v="SERRANO SOTO MANUEL"/>
    <x v="6"/>
    <x v="5"/>
    <x v="0"/>
    <s v="DIANA ROJAS"/>
    <s v="50F4M"/>
    <s v="NO"/>
  </r>
  <r>
    <s v="50FF5"/>
    <s v="METRO GRUTA LOURDES"/>
    <s v="Metro Gruta de Lourdes"/>
    <n v="5"/>
    <x v="0"/>
    <s v="T2024"/>
    <s v="RECESO"/>
    <s v="SERRANO SOTO MANUEL"/>
    <x v="8"/>
    <x v="36"/>
    <x v="0"/>
    <s v="JOSE NAVARRO"/>
    <s v="50FF5"/>
    <s v="NO"/>
  </r>
  <r>
    <s v="50FLF"/>
    <s v="LAS VERBENAS"/>
    <s v="LAS VERBENAS"/>
    <n v="5"/>
    <x v="1"/>
    <s v="T2024"/>
    <s v="HOGAR"/>
    <s v="SERRANO SOTO MANUEL"/>
    <x v="2"/>
    <x v="2"/>
    <x v="0"/>
    <s v="BENJAMIN SERRANO"/>
    <s v="50FLF"/>
    <s v="NO"/>
  </r>
  <r>
    <s v="50FLP"/>
    <s v="LA FORESTA VINA DEL MAR"/>
    <s v="LA FORESTA - VIÑA DEL MAR"/>
    <n v="6"/>
    <x v="0"/>
    <s v="TMCB"/>
    <s v="HOGAR"/>
    <s v="SESA DIEGO MIGUEL"/>
    <x v="3"/>
    <x v="3"/>
    <x v="1"/>
    <s v="MAIKEL PALOMARES"/>
    <s v="50FLP"/>
    <s v="SI"/>
  </r>
  <r>
    <s v="50FNM"/>
    <s v="OHIGGINS"/>
    <s v="OHIGGINS 716"/>
    <n v="5"/>
    <x v="0"/>
    <s v="TNM"/>
    <s v="RECESO"/>
    <s v="SESA DIEGO MIGUEL"/>
    <x v="14"/>
    <x v="15"/>
    <x v="2"/>
    <s v="MAIKEL PALOMARES"/>
    <s v="50FNM"/>
    <s v="NO"/>
  </r>
  <r>
    <s v="50FTC"/>
    <s v="SAN EUGENIO"/>
    <s v="SAN EUGENIO"/>
    <n v="5"/>
    <x v="0"/>
    <s v="TNM"/>
    <s v="RECESO"/>
    <s v="SERRANO SOTO MANUEL"/>
    <x v="11"/>
    <x v="6"/>
    <x v="0"/>
    <s v="DIANA ROJAS"/>
    <s v="50FTC"/>
    <s v="NO"/>
  </r>
  <r>
    <s v="50FVZ"/>
    <s v="ASTURIAS"/>
    <s v="ASTURIAS"/>
    <n v="5"/>
    <x v="0"/>
    <s v="TNM"/>
    <s v="BASE"/>
    <s v="SESA DIEGO MIGUEL"/>
    <x v="2"/>
    <x v="2"/>
    <x v="0"/>
    <s v="BENJAMIN SERRANO"/>
    <s v="50FVZ"/>
    <s v="NO"/>
  </r>
  <r>
    <s v="50FZZ"/>
    <s v="MIRADOR AZUL"/>
    <s v="MIRADOR AZUL"/>
    <n v="5"/>
    <x v="0"/>
    <s v="T2024"/>
    <s v="HOGAR"/>
    <s v="SERRANO SOTO MANUEL"/>
    <x v="9"/>
    <x v="21"/>
    <x v="0"/>
    <s v="MAIKEL PALOMARES"/>
    <s v="50FZZ"/>
    <s v="NO"/>
  </r>
  <r>
    <s v="50GDJ"/>
    <s v="APOQUINDO SAN PASCUAL"/>
    <s v="APOQUINDO  SAN PASCUAL"/>
    <n v="5"/>
    <x v="1"/>
    <s v="TMCB"/>
    <s v="RECESO"/>
    <s v="SERRANO SOTO MANUEL"/>
    <x v="7"/>
    <x v="2"/>
    <x v="0"/>
    <s v="BENJAMIN SERRANO"/>
    <s v="50GDJ"/>
    <s v="NO"/>
  </r>
  <r>
    <s v="50GIA"/>
    <s v="AGUSTINAS SAN MARTIN 2"/>
    <s v="AGUSTINAS SAN MARTIN 2"/>
    <n v="5"/>
    <x v="1"/>
    <s v="TNM"/>
    <s v="HOGAR C/FF"/>
    <s v="SERRANO SOTO MANUEL"/>
    <x v="7"/>
    <x v="5"/>
    <x v="0"/>
    <s v="BENJAMIN SERRANO"/>
    <s v="50GIA"/>
    <s v="NO"/>
  </r>
  <r>
    <s v="50GNW"/>
    <s v="SAN PABLO MORANDE"/>
    <s v="SAN PABLO   MORANDE"/>
    <n v="5"/>
    <x v="1"/>
    <s v="TMCB"/>
    <s v="RECESO"/>
    <s v="SERRANO SOTO MANUEL"/>
    <x v="0"/>
    <x v="5"/>
    <x v="0"/>
    <s v="JOSE NAVARRO"/>
    <s v="50GNW"/>
    <s v="NO"/>
  </r>
  <r>
    <s v="50GP4"/>
    <s v="OROMPELLO"/>
    <s v="OROMPELLO"/>
    <n v="5"/>
    <x v="1"/>
    <s v="TNM"/>
    <s v="RECESO"/>
    <s v="SERRANO SOTO MANUEL"/>
    <x v="14"/>
    <x v="15"/>
    <x v="2"/>
    <s v="MAIKEL PALOMARES"/>
    <s v="50GP4"/>
    <s v="NO"/>
  </r>
  <r>
    <s v="50GRE"/>
    <s v="GRECIA EXEQUIEL"/>
    <s v="GRECIA EXEQUIEL"/>
    <n v="5"/>
    <x v="1"/>
    <s v="TMCB"/>
    <s v="RECESO"/>
    <s v="SERRANO SOTO MANUEL"/>
    <x v="9"/>
    <x v="6"/>
    <x v="0"/>
    <s v="MAIKEL PALOMARES"/>
    <s v="50GRE"/>
    <s v="NO"/>
  </r>
  <r>
    <s v="50GXO"/>
    <s v="RENATO SANCHEZ"/>
    <s v="RENATO SANCHEZ"/>
    <n v="5"/>
    <x v="0"/>
    <s v="TNM"/>
    <s v="BASE"/>
    <s v="SERRANO SOTO MANUEL"/>
    <x v="10"/>
    <x v="2"/>
    <x v="0"/>
    <s v="DIANA ROJAS"/>
    <s v="50GXO"/>
    <s v="NO"/>
  </r>
  <r>
    <s v="50H1H"/>
    <s v="MALL PASEO SAN BERNARDO"/>
    <s v="MALL PASEO SAN BERNARDO"/>
    <n v="5"/>
    <x v="0"/>
    <s v="TNM"/>
    <s v="RECESO"/>
    <s v="SERRANO SOTO MANUEL"/>
    <x v="9"/>
    <x v="37"/>
    <x v="0"/>
    <s v="MAIKEL PALOMARES"/>
    <s v="50H1H"/>
    <s v="NO"/>
  </r>
  <r>
    <s v="50H7X"/>
    <s v="WORK LA DEHESA"/>
    <s v="WORK LA DEHESA"/>
    <n v="5"/>
    <x v="0"/>
    <s v="T2024"/>
    <s v="HOGAR"/>
    <s v="SERRANO SOTO MANUEL"/>
    <x v="12"/>
    <x v="16"/>
    <x v="0"/>
    <s v="DIANA ROJAS"/>
    <s v="50H7X"/>
    <s v="NO"/>
  </r>
  <r>
    <s v="50HXH"/>
    <s v="WORLD TRADE CENTER"/>
    <s v="WORLD TRADE CENTER"/>
    <n v="5"/>
    <x v="0"/>
    <s v="TNM"/>
    <s v="RECESO"/>
    <s v="SERRANO SOTO MANUEL"/>
    <x v="10"/>
    <x v="2"/>
    <x v="0"/>
    <s v="JOSE NAVARRO"/>
    <s v="50HXH"/>
    <s v="NO"/>
  </r>
  <r>
    <s v="50IAB"/>
    <s v="IRARRAZAVAL ANTONIO VARAS"/>
    <s v="IRARRAZAVAL  ANTONIO VARAS"/>
    <n v="5"/>
    <x v="1"/>
    <s v="TMCB"/>
    <s v="HOGAR C/FF"/>
    <s v="SERRANO SOTO MANUEL"/>
    <x v="12"/>
    <x v="6"/>
    <x v="0"/>
    <s v="DIANA ROJAS"/>
    <s v="50IAB"/>
    <s v="NO"/>
  </r>
  <r>
    <s v="50IHX"/>
    <s v="VILLA ALEMANA 2"/>
    <s v="VILLA ALEMANA 2"/>
    <n v="5"/>
    <x v="1"/>
    <s v="TNM"/>
    <s v="RECESO"/>
    <s v="SERRANO SOTO MANUEL"/>
    <x v="4"/>
    <x v="38"/>
    <x v="1"/>
    <s v="MAIKEL PALOMARES"/>
    <s v="50IHX"/>
    <s v="NO"/>
  </r>
  <r>
    <s v="50INN"/>
    <s v="QUILLOTA 1"/>
    <s v="QUILLOTA 1"/>
    <n v="5"/>
    <x v="1"/>
    <s v="TNM"/>
    <s v="RECESO"/>
    <s v="SERRANO SOTO MANUEL"/>
    <x v="4"/>
    <x v="39"/>
    <x v="1"/>
    <s v="MAIKEL PALOMARES"/>
    <s v="50INN"/>
    <s v="NO"/>
  </r>
  <r>
    <s v="50ISI"/>
    <s v="ISIDORA 2"/>
    <s v="ISIDORA 2"/>
    <n v="5"/>
    <x v="0"/>
    <s v="TMCB"/>
    <s v="BASE"/>
    <s v="SERRANO SOTO MANUEL"/>
    <x v="10"/>
    <x v="2"/>
    <x v="0"/>
    <s v="JOSE NAVARRO"/>
    <s v="50ISI"/>
    <s v="NO"/>
  </r>
  <r>
    <s v="50ISU"/>
    <s v="IRARRAZAVAL SUECIA"/>
    <s v="IRARRAZAVAL  SUECIA"/>
    <n v="5"/>
    <x v="1"/>
    <s v="TNM"/>
    <s v="HOGAR C/FF"/>
    <s v="SERRANO SOTO MANUEL"/>
    <x v="13"/>
    <x v="6"/>
    <x v="0"/>
    <s v="SIN IDENTIFICAR"/>
    <s v="50ISU"/>
    <s v="NO"/>
  </r>
  <r>
    <s v="50ITA"/>
    <s v="IRARRAZAVAL ITALIA"/>
    <s v="IRARRAZAVAL  ITALIA"/>
    <n v="5"/>
    <x v="1"/>
    <s v="TMCB"/>
    <s v="HOGAR C/FF"/>
    <s v="SERRANO SOTO MANUEL"/>
    <x v="11"/>
    <x v="6"/>
    <x v="0"/>
    <s v="DIANA ROJAS"/>
    <s v="50ITA"/>
    <s v="NO"/>
  </r>
  <r>
    <s v="50IVB"/>
    <s v="IRARRAZAVAL BUSTAMANTE"/>
    <s v="IRARRAZAVAL - BUSTAMANTE"/>
    <n v="5"/>
    <x v="0"/>
    <s v="TMCB"/>
    <s v="BASE"/>
    <s v="SERRANO SOTO MANUEL"/>
    <x v="11"/>
    <x v="6"/>
    <x v="0"/>
    <s v="DIANA ROJAS"/>
    <s v="50IVB"/>
    <s v="NO"/>
  </r>
  <r>
    <s v="50JAK"/>
    <s v="SANTA VICTORIA"/>
    <s v="SANTA VICTORIA"/>
    <n v="5"/>
    <x v="0"/>
    <s v="TMCB"/>
    <s v="BASE"/>
    <s v="SERRANO SOTO MANUEL"/>
    <x v="6"/>
    <x v="5"/>
    <x v="0"/>
    <s v="DIANA ROJAS"/>
    <s v="50JAK"/>
    <s v="NO"/>
  </r>
  <r>
    <s v="50K17"/>
    <s v="PEDRO DE VALDIVIA 5"/>
    <s v="PEDRO DE VALDIVIA 5"/>
    <n v="5"/>
    <x v="1"/>
    <s v="TNM"/>
    <s v="HOGAR C/FF"/>
    <s v="SERRANO SOTO MANUEL"/>
    <x v="0"/>
    <x v="6"/>
    <x v="0"/>
    <s v="JOSE NAVARRO"/>
    <s v="50K17"/>
    <s v="NO"/>
  </r>
  <r>
    <s v="50KAD"/>
    <s v="DR JOHOW"/>
    <s v="DR JOHOW"/>
    <n v="5"/>
    <x v="1"/>
    <s v="TNM"/>
    <s v="HOGAR"/>
    <s v="SERRANO SOTO MANUEL"/>
    <x v="9"/>
    <x v="6"/>
    <x v="0"/>
    <s v="MAIKEL PALOMARES"/>
    <s v="50KAD"/>
    <s v="NO"/>
  </r>
  <r>
    <s v="50KJP"/>
    <s v="METRO HOSPITAL EL PINO"/>
    <s v="METRO HOSPITAL PINO"/>
    <n v="5"/>
    <x v="0"/>
    <s v="T2024"/>
    <s v="RECESO"/>
    <s v="SERRANO SOTO MANUEL"/>
    <x v="8"/>
    <x v="37"/>
    <x v="0"/>
    <s v="JOSE NAVARRO"/>
    <s v="50KJP"/>
    <s v="NO"/>
  </r>
  <r>
    <s v="50KT5"/>
    <s v="PEDRO ONA"/>
    <s v="PEDRO DE OÑA"/>
    <n v="5"/>
    <x v="1"/>
    <s v="TNM"/>
    <s v="HOGAR C/FF"/>
    <s v="SERRANO SOTO MANUEL"/>
    <x v="11"/>
    <x v="6"/>
    <x v="0"/>
    <s v="DIANA ROJAS"/>
    <s v="50KT5"/>
    <s v="NO"/>
  </r>
  <r>
    <s v="50KT9"/>
    <s v="PLAZA CALERA"/>
    <s v="RIPLEY LA CALERA"/>
    <n v="5"/>
    <x v="1"/>
    <s v="T2024"/>
    <s v="RECESO"/>
    <s v="SERRANO SOTO MANUEL"/>
    <x v="4"/>
    <x v="40"/>
    <x v="1"/>
    <s v="MAIKEL PALOMARES"/>
    <s v="50KT9"/>
    <s v="NO"/>
  </r>
  <r>
    <s v="50LAE"/>
    <s v="CONCON RENACA"/>
    <s v="CONCON  REÑACA"/>
    <n v="5"/>
    <x v="0"/>
    <s v="TNM"/>
    <s v="BASE"/>
    <s v="SESA DIEGO MIGUEL"/>
    <x v="3"/>
    <x v="41"/>
    <x v="1"/>
    <s v="MAIKEL PALOMARES"/>
    <s v="50LAE"/>
    <s v="NO"/>
  </r>
  <r>
    <s v="50LBB"/>
    <s v="LOS BARBECHOS"/>
    <s v="LOS BARBECHOS"/>
    <n v="5"/>
    <x v="1"/>
    <s v="TMCB"/>
    <s v="HOGAR C/FF"/>
    <s v="SERRANO SOTO MANUEL"/>
    <x v="2"/>
    <x v="2"/>
    <x v="0"/>
    <s v="BENJAMIN SERRANO"/>
    <s v="50LBB"/>
    <s v="NO"/>
  </r>
  <r>
    <s v="50LCO"/>
    <s v="LIRA CURICO"/>
    <s v="LIRA CURICO "/>
    <n v="5"/>
    <x v="1"/>
    <s v="T2023"/>
    <s v="HOGAR C/FF"/>
    <s v="SERRANO SOTO MANUEL"/>
    <x v="13"/>
    <x v="5"/>
    <x v="0"/>
    <s v="SIN IDENTIFICAR"/>
    <s v="50LCO"/>
    <s v="NO"/>
  </r>
  <r>
    <s v="50LIB"/>
    <s v="LIBERTAD"/>
    <s v="LIBERTAD (V REGION)"/>
    <n v="5"/>
    <x v="0"/>
    <s v="TMCB"/>
    <s v="BASE"/>
    <s v="SESA DIEGO MIGUEL"/>
    <x v="3"/>
    <x v="3"/>
    <x v="1"/>
    <s v="MAIKEL PALOMARES"/>
    <s v="50LIB"/>
    <s v="SI"/>
  </r>
  <r>
    <s v="50LOT"/>
    <s v="HUERFANOS"/>
    <s v="HUERFANOS"/>
    <n v="5"/>
    <x v="0"/>
    <s v="TMCB"/>
    <s v="RECESO"/>
    <s v="SERRANO SOTO MANUEL"/>
    <x v="6"/>
    <x v="5"/>
    <x v="0"/>
    <s v="DIANA ROJAS"/>
    <s v="50LOT"/>
    <s v="NO"/>
  </r>
  <r>
    <s v="50LRA"/>
    <s v="LIRA 43"/>
    <s v="LIRA 43"/>
    <n v="5"/>
    <x v="0"/>
    <s v="TMCB"/>
    <s v="RECESO"/>
    <s v="SERRANO SOTO MANUEL"/>
    <x v="6"/>
    <x v="5"/>
    <x v="0"/>
    <s v="DIANA ROJAS"/>
    <s v="50LRA"/>
    <s v="NO"/>
  </r>
  <r>
    <s v="50LRR"/>
    <s v="LARRAIN"/>
    <s v="LARRAIN"/>
    <n v="5"/>
    <x v="1"/>
    <s v="TMCB"/>
    <s v="HOGAR C/FF"/>
    <s v="SERRANO SOTO MANUEL"/>
    <x v="13"/>
    <x v="4"/>
    <x v="0"/>
    <s v="SIN IDENTIFICAR"/>
    <s v="50LRR"/>
    <s v="NO"/>
  </r>
  <r>
    <s v="50LTD"/>
    <s v="EMILIA TELLEZ"/>
    <s v="EMILIA TELLEZ"/>
    <n v="5"/>
    <x v="1"/>
    <s v="TMCB"/>
    <s v="HOGAR C/FF"/>
    <s v="SERRANO SOTO MANUEL"/>
    <x v="7"/>
    <x v="6"/>
    <x v="0"/>
    <s v="BENJAMIN SERRANO"/>
    <s v="50LTD"/>
    <s v="NO"/>
  </r>
  <r>
    <s v="50LVH"/>
    <s v="SAN MARTIN 6 PONIENTE"/>
    <s v="6 PONIENTE"/>
    <n v="9"/>
    <x v="0"/>
    <s v="T2024"/>
    <s v="BASE"/>
    <s v="SESA DIEGO MIGUEL"/>
    <x v="4"/>
    <x v="3"/>
    <x v="1"/>
    <s v="MAIKEL PALOMARES"/>
    <s v="50LVH"/>
    <s v="NO"/>
  </r>
  <r>
    <s v="50LVO"/>
    <s v="EL MANZANO"/>
    <s v="EL MANZANO"/>
    <n v="5"/>
    <x v="1"/>
    <s v="TNM"/>
    <s v="HOGAR C/FF"/>
    <s v="SERRANO SOTO MANUEL"/>
    <x v="13"/>
    <x v="23"/>
    <x v="0"/>
    <s v="SIN IDENTIFICAR"/>
    <s v="50LVO"/>
    <s v="NO"/>
  </r>
  <r>
    <s v="50MAD"/>
    <s v="METRO BIO BIO"/>
    <s v="METRO BIOBIO"/>
    <n v="5"/>
    <x v="0"/>
    <s v="TMCB"/>
    <s v="RECESO"/>
    <s v="SERRANO SOTO MANUEL"/>
    <x v="8"/>
    <x v="20"/>
    <x v="0"/>
    <s v="JOSE NAVARRO"/>
    <s v="50MAD"/>
    <s v="NO"/>
  </r>
  <r>
    <s v="50MCA"/>
    <s v="MATUCANA"/>
    <s v="MATUCANA  (matucana mapocho)"/>
    <n v="5"/>
    <x v="1"/>
    <s v="TMCB"/>
    <s v="HOGAR C/FF"/>
    <s v="SERRANO SOTO MANUEL"/>
    <x v="13"/>
    <x v="5"/>
    <x v="0"/>
    <s v="SIN IDENTIFICAR"/>
    <s v="50MCA"/>
    <s v="NO"/>
  </r>
  <r>
    <s v="50MD2"/>
    <s v="HUERFANOS 2"/>
    <s v="HUERFANOS 2"/>
    <n v="5"/>
    <x v="1"/>
    <s v="T2023"/>
    <s v="HOGAR C/FF"/>
    <s v="SERRANO SOTO MANUEL"/>
    <x v="13"/>
    <x v="5"/>
    <x v="0"/>
    <s v="SIN IDENTIFICAR"/>
    <s v="50MD2"/>
    <s v="NO"/>
  </r>
  <r>
    <s v="50MMT"/>
    <s v="MARTIN DE ZAMORA"/>
    <s v="MARTIN DE ZAMORA"/>
    <n v="5"/>
    <x v="1"/>
    <s v="TNM"/>
    <s v="HOGAR C/FF"/>
    <s v="SERRANO SOTO MANUEL"/>
    <x v="15"/>
    <x v="2"/>
    <x v="0"/>
    <s v="DIANA ROJAS"/>
    <s v="50MMT"/>
    <s v="NO"/>
  </r>
  <r>
    <s v="50MNO"/>
    <s v="MANQUEHUE NORTE"/>
    <s v="MANQUEHUE NORTE CLP"/>
    <n v="5"/>
    <x v="0"/>
    <s v="TNM"/>
    <s v="BASE"/>
    <s v="SERRANO SOTO MANUEL"/>
    <x v="5"/>
    <x v="2"/>
    <x v="0"/>
    <s v="JOSE NAVARRO"/>
    <s v="50MNO"/>
    <s v="NO"/>
  </r>
  <r>
    <s v="50NF1"/>
    <s v="13 NORTE"/>
    <s v="13 NORTE"/>
    <n v="5"/>
    <x v="0"/>
    <s v="TNM"/>
    <s v="RECESO"/>
    <s v="SESA DIEGO MIGUEL"/>
    <x v="3"/>
    <x v="3"/>
    <x v="1"/>
    <s v="MAIKEL PALOMARES"/>
    <s v="50NF1"/>
    <s v="NO"/>
  </r>
  <r>
    <s v="50NU9"/>
    <s v="NATANIEL 2"/>
    <m/>
    <n v="5"/>
    <x v="1"/>
    <s v="TNM"/>
    <s v="HOGAR"/>
    <s v="SERRANO SOTO MANUEL"/>
    <x v="13"/>
    <x v="5"/>
    <x v="0"/>
    <s v="SIN IDENTIFICAR"/>
    <s v="50NU9"/>
    <s v="NO"/>
  </r>
  <r>
    <s v="50OAC"/>
    <s v="OKM ALONSO DE CAMARGO"/>
    <s v="OKM ALONSO DE CAMARGO K126  CAJAS"/>
    <n v="5"/>
    <x v="0"/>
    <s v="TMCB OKM"/>
    <s v="HOGAR"/>
    <s v="SERRANO SOTO MANUEL"/>
    <x v="5"/>
    <x v="2"/>
    <x v="0"/>
    <s v="DIANA ROJAS"/>
    <s v="50OAC"/>
    <s v="SI"/>
  </r>
  <r>
    <s v="50OAD"/>
    <s v="OKM ABDON CIFUENTES"/>
    <s v="OKM ABDON CIFUENTES"/>
    <n v="5"/>
    <x v="1"/>
    <s v="TMCB OKM"/>
    <s v="RECESO"/>
    <s v="SERRANO SOTO MANUEL"/>
    <x v="5"/>
    <x v="5"/>
    <x v="0"/>
    <s v="DIANA ROJAS"/>
    <s v="50OAD"/>
    <s v="NO"/>
  </r>
  <r>
    <s v="50OAE"/>
    <s v="ARAUCO ESTACION"/>
    <s v="OKM ARAUCO ESTACION"/>
    <n v="5"/>
    <x v="1"/>
    <s v="TMCB OKM"/>
    <s v="RECESO"/>
    <s v="SERRANO SOTO MANUEL"/>
    <x v="13"/>
    <x v="12"/>
    <x v="0"/>
    <s v="SIN IDENTIFICAR"/>
    <s v="50OAE"/>
    <s v="NO"/>
  </r>
  <r>
    <s v="50OAG"/>
    <s v="AIEP GRAJALES"/>
    <s v="AIEP GRAJALES "/>
    <n v="5"/>
    <x v="1"/>
    <s v="TMCB OKM"/>
    <s v="RECESO"/>
    <s v="SERRANO SOTO MANUEL"/>
    <x v="13"/>
    <x v="5"/>
    <x v="0"/>
    <s v="SIN IDENTIFICAR"/>
    <s v="50OAG"/>
    <s v="NO"/>
  </r>
  <r>
    <s v="50OAP"/>
    <s v="ALMIRANTE PASTENE"/>
    <s v="OKM ALMIRANTE PASTENE"/>
    <n v="5"/>
    <x v="0"/>
    <s v="TMCB OKM"/>
    <s v="RECESO"/>
    <s v="SERRANO SOTO MANUEL"/>
    <x v="7"/>
    <x v="1"/>
    <x v="0"/>
    <s v="BENJAMIN SERRANO"/>
    <s v="50OAP"/>
    <s v="NO"/>
  </r>
  <r>
    <s v="50OAZ"/>
    <s v="ALVAREZ"/>
    <s v="OKM ALVAREZ"/>
    <n v="5"/>
    <x v="1"/>
    <s v="TMCB OKM"/>
    <s v="RECESO"/>
    <s v="SERRANO SOTO MANUEL"/>
    <x v="13"/>
    <x v="3"/>
    <x v="1"/>
    <s v="SIN IDENTIFICAR"/>
    <s v="50OAZ"/>
    <s v="NO"/>
  </r>
  <r>
    <s v="50OBM"/>
    <s v="MONTEMAR"/>
    <s v="OKM BOSQUES DE MONTEMAR K173CAJAS"/>
    <n v="5"/>
    <x v="0"/>
    <s v="TMCB OKM"/>
    <s v="HOGAR"/>
    <s v="SESA DIEGO MIGUEL"/>
    <x v="3"/>
    <x v="41"/>
    <x v="1"/>
    <s v="MAIKEL PALOMARES"/>
    <s v="50OBM"/>
    <s v="SI"/>
  </r>
  <r>
    <s v="50OBO"/>
    <s v="BORGONO"/>
    <s v="OKM BORGOÑO K165 - CAJAS"/>
    <n v="5"/>
    <x v="1"/>
    <s v="TMCB OKM"/>
    <s v="HOGAR C/FF"/>
    <s v="SERRANO SOTO MANUEL"/>
    <x v="3"/>
    <x v="3"/>
    <x v="1"/>
    <s v="MAIKEL PALOMARES"/>
    <s v="50OBO"/>
    <s v="NO"/>
  </r>
  <r>
    <s v="50OBS"/>
    <s v="BOULEVARD DEL SOL"/>
    <s v="BOULEVARD DEL SOL CL"/>
    <n v="5"/>
    <x v="1"/>
    <s v="TMCB OKM"/>
    <s v="HOGAR"/>
    <s v="SERRANO SOTO MANUEL"/>
    <x v="3"/>
    <x v="3"/>
    <x v="1"/>
    <s v="MAIKEL PALOMARES"/>
    <s v="50OBS"/>
    <s v="NO"/>
  </r>
  <r>
    <s v="50OCD"/>
    <s v="OKM CATEDRAL TEATINOS"/>
    <s v="OKM CATEDRAL TEATINOS"/>
    <n v="5"/>
    <x v="1"/>
    <s v="TMCB OKM"/>
    <s v="RECESO"/>
    <s v="SERRANO SOTO MANUEL"/>
    <x v="13"/>
    <x v="5"/>
    <x v="0"/>
    <s v="SIN IDENTIFICAR"/>
    <s v="50OCD"/>
    <s v="NO"/>
  </r>
  <r>
    <s v="50OCI"/>
    <s v="CARMEN SANTA ISABEL"/>
    <s v="OKM CARMEN"/>
    <n v="5"/>
    <x v="1"/>
    <s v="TMCB OKM"/>
    <s v="HOGAR"/>
    <s v="SERRANO SOTO MANUEL"/>
    <x v="6"/>
    <x v="5"/>
    <x v="0"/>
    <s v="DIANA ROJAS"/>
    <s v="50OCI"/>
    <s v="NO"/>
  </r>
  <r>
    <s v="50OCM"/>
    <s v="CHAMISERO"/>
    <s v="OKM CHAMISERO K168  CAJAS"/>
    <n v="5"/>
    <x v="0"/>
    <s v="TMCB OKM"/>
    <s v="HOGAR"/>
    <s v="SERRANO SOTO MANUEL"/>
    <x v="0"/>
    <x v="13"/>
    <x v="0"/>
    <s v="JOSE NAVARRO"/>
    <s v="50OCM"/>
    <s v="SI"/>
  </r>
  <r>
    <s v="50OCS"/>
    <s v="OKM CARMEN SYLVA"/>
    <s v="OKM CARMEN SILVA"/>
    <n v="5"/>
    <x v="0"/>
    <s v="TMCB OKM"/>
    <s v="HOGAR"/>
    <s v="SERRANO SOTO MANUEL"/>
    <x v="1"/>
    <x v="1"/>
    <x v="0"/>
    <s v="BENJAMIN SERRANO"/>
    <s v="50OCS"/>
    <s v="SI"/>
  </r>
  <r>
    <s v="50OCV"/>
    <s v="OKM CASTILLO VELASCO"/>
    <s v="OKM EDO. CASTILLO VELASCO"/>
    <n v="5"/>
    <x v="1"/>
    <s v="TMCB OKM"/>
    <s v="HOGAR C/FF"/>
    <s v="SERRANO SOTO MANUEL"/>
    <x v="12"/>
    <x v="6"/>
    <x v="0"/>
    <s v="DIANA ROJAS"/>
    <s v="50OCV"/>
    <s v="NO"/>
  </r>
  <r>
    <s v="50ODG"/>
    <s v="INGLATERRA"/>
    <s v="INGLATERRA"/>
    <n v="5"/>
    <x v="1"/>
    <s v="TNM"/>
    <s v="HOGAR"/>
    <s v="SERRANO SOTO MANUEL"/>
    <x v="13"/>
    <x v="42"/>
    <x v="0"/>
    <s v="SIN IDENTIFICAR"/>
    <s v="50ODG"/>
    <s v="NO"/>
  </r>
  <r>
    <s v="50OEB"/>
    <s v="OKM EL BOSQUE"/>
    <s v="OKM EL BOSQUE"/>
    <n v="5"/>
    <x v="1"/>
    <s v="TMCB OKM"/>
    <s v="HOGAR C/FF"/>
    <s v="SERRANO SOTO MANUEL"/>
    <x v="1"/>
    <x v="2"/>
    <x v="0"/>
    <s v="BENJAMIN SERRANO"/>
    <s v="50OEB"/>
    <s v="NO"/>
  </r>
  <r>
    <s v="50OEN"/>
    <s v="OKM ENCOMENDEROS"/>
    <s v="OKM ENCOMENDEROS"/>
    <n v="5"/>
    <x v="1"/>
    <s v="TMCB OKM"/>
    <s v="HOGAR C/FF"/>
    <s v="SERRANO SOTO MANUEL"/>
    <x v="11"/>
    <x v="2"/>
    <x v="0"/>
    <s v="DIANA ROJAS"/>
    <s v="50OEN"/>
    <s v="NO"/>
  </r>
  <r>
    <s v="50OEX"/>
    <s v="EXEQUIEL FERNANDEZ 2"/>
    <s v="OKM EXEQUIEL FERNANDEZ"/>
    <n v="5"/>
    <x v="1"/>
    <s v="TMCB OKM"/>
    <s v="HOGAR C/FF"/>
    <s v="SERRANO SOTO MANUEL"/>
    <x v="13"/>
    <x v="6"/>
    <x v="0"/>
    <s v="SIN IDENTIFICAR"/>
    <s v="50OEX"/>
    <s v="NO"/>
  </r>
  <r>
    <s v="50OFG"/>
    <s v="OKM FRANCISCO NOGUERA"/>
    <s v="OKM FRANCISCO NOGUERA"/>
    <n v="5"/>
    <x v="1"/>
    <s v="TMCB OKM"/>
    <s v="RECESO"/>
    <s v="SERRANO SOTO MANUEL"/>
    <x v="13"/>
    <x v="1"/>
    <x v="0"/>
    <s v="SIN IDENTIFICAR"/>
    <s v="50OFG"/>
    <s v="NO"/>
  </r>
  <r>
    <s v="50OFN"/>
    <s v="EL BOSQUE NORTE"/>
    <s v="EL BOSQUE NORTE"/>
    <n v="5"/>
    <x v="0"/>
    <s v="TMCB"/>
    <s v="BASE"/>
    <s v="SERRANO SOTO MANUEL"/>
    <x v="10"/>
    <x v="2"/>
    <x v="0"/>
    <s v="JOSE NAVARRO"/>
    <s v="50OFN"/>
    <s v="NO"/>
  </r>
  <r>
    <s v="50OIM"/>
    <s v="JUAN MOYA"/>
    <s v="OKM JUAN MOYA"/>
    <n v="5"/>
    <x v="0"/>
    <s v="TMCB OKM"/>
    <s v="BASE"/>
    <s v="SERRANO SOTO MANUEL"/>
    <x v="11"/>
    <x v="6"/>
    <x v="0"/>
    <s v="DIANA ROJAS"/>
    <s v="50OIM"/>
    <s v="SI"/>
  </r>
  <r>
    <s v="50OIS"/>
    <s v="OKM ISABEL LA CATOLICA"/>
    <s v="OKM ISABEL LA CATOLICA"/>
    <n v="5"/>
    <x v="1"/>
    <s v="TMCB OKM"/>
    <s v="HOGAR C/FF"/>
    <s v="SERRANO SOTO MANUEL"/>
    <x v="13"/>
    <x v="2"/>
    <x v="0"/>
    <s v="SIN IDENTIFICAR"/>
    <s v="50OIS"/>
    <s v="NO"/>
  </r>
  <r>
    <s v="50OJC"/>
    <s v="JOSE DOMINGO CANAS"/>
    <s v="OKM JOSE DOMINGO CAÑAS K145  CAJAS"/>
    <n v="5"/>
    <x v="0"/>
    <s v="TMCB OKM"/>
    <s v="BASE"/>
    <s v="SERRANO SOTO MANUEL"/>
    <x v="11"/>
    <x v="6"/>
    <x v="0"/>
    <s v="DIANA ROJAS"/>
    <s v="50OJC"/>
    <s v="NO"/>
  </r>
  <r>
    <s v="50OLH"/>
    <s v="LAS HUALTATAS"/>
    <s v="OKM LAS HUALTATAS"/>
    <n v="5"/>
    <x v="0"/>
    <s v="TMCB OKM"/>
    <s v="BASE"/>
    <s v="SERRANO SOTO MANUEL"/>
    <x v="0"/>
    <x v="0"/>
    <x v="0"/>
    <s v="JOSE NAVARRO"/>
    <s v="50OLH"/>
    <s v="NO"/>
  </r>
  <r>
    <s v="50OLL"/>
    <s v="LAS LILAS"/>
    <s v="OKM LAS LILAS"/>
    <n v="5"/>
    <x v="1"/>
    <s v="TMCB OKM"/>
    <s v="HOGAR C/FF"/>
    <s v="SERRANO SOTO MANUEL"/>
    <x v="8"/>
    <x v="1"/>
    <x v="0"/>
    <s v="JOSE NAVARRO"/>
    <s v="50OLL"/>
    <s v="NO"/>
  </r>
  <r>
    <s v="50OLM"/>
    <s v="ESCUELA MILITAR 1"/>
    <s v="OKM ESCUELA MILITAR"/>
    <n v="5"/>
    <x v="1"/>
    <s v="TMCB OKM"/>
    <s v="AL PASO"/>
    <s v="SERRANO SOTO MANUEL"/>
    <x v="7"/>
    <x v="2"/>
    <x v="0"/>
    <s v="BENJAMIN SERRANO"/>
    <s v="50OLM"/>
    <s v="NO"/>
  </r>
  <r>
    <s v="50OLY"/>
    <s v="OKM LINCOYAN"/>
    <s v="OKM LINCOYAN K138  CAJAS"/>
    <n v="5"/>
    <x v="0"/>
    <s v="TMCB OKM"/>
    <s v="RECESO"/>
    <s v="SESA DIEGO MIGUEL"/>
    <x v="14"/>
    <x v="15"/>
    <x v="2"/>
    <s v="MAIKEL PALOMARES"/>
    <s v="50OLY"/>
    <s v="NO"/>
  </r>
  <r>
    <s v="50OMD"/>
    <s v="MIDDLETON"/>
    <s v="MIDDLETON "/>
    <n v="5"/>
    <x v="1"/>
    <s v="TMCB OKM"/>
    <s v="HOGAR"/>
    <s v="SERRANO SOTO MANUEL"/>
    <x v="13"/>
    <x v="1"/>
    <x v="0"/>
    <s v="SIN IDENTIFICAR"/>
    <s v="50OMD"/>
    <s v="NO"/>
  </r>
  <r>
    <s v="50OMH"/>
    <s v="MARCHANT PEREIRA 2"/>
    <s v="OKM MARCHANT PEREIRA"/>
    <n v="5"/>
    <x v="1"/>
    <s v="TMCB OKM"/>
    <s v="RECESO"/>
    <s v="SERRANO SOTO MANUEL"/>
    <x v="13"/>
    <x v="1"/>
    <x v="0"/>
    <s v="SIN IDENTIFICAR"/>
    <s v="50OMH"/>
    <s v="NO"/>
  </r>
  <r>
    <s v="50OMI"/>
    <s v="OKM MIRAFLORES"/>
    <s v="OKM MIRAFLORES"/>
    <n v="5"/>
    <x v="1"/>
    <s v="TMCB OKM"/>
    <s v="RECESO"/>
    <s v="SERRANO SOTO MANUEL"/>
    <x v="5"/>
    <x v="5"/>
    <x v="0"/>
    <s v="DIANA ROJAS"/>
    <s v="50OMI"/>
    <s v="NO"/>
  </r>
  <r>
    <s v="50OML"/>
    <s v="OKM METRO LOS LEONES"/>
    <s v="OKM METRO LOS LEONES K172  CAJAS"/>
    <n v="5"/>
    <x v="0"/>
    <s v="TMCB OKM"/>
    <s v="RECESO"/>
    <s v="SERRANO SOTO MANUEL"/>
    <x v="8"/>
    <x v="1"/>
    <x v="0"/>
    <s v="JOSE NAVARRO"/>
    <s v="50OML"/>
    <s v="NO"/>
  </r>
  <r>
    <s v="50OMM"/>
    <s v="MAYOR ABE"/>
    <s v="OKM MAYOR ABE"/>
    <n v="5"/>
    <x v="1"/>
    <s v="TMCB OKM"/>
    <s v="HOGAR"/>
    <s v="SERRANO SOTO MANUEL"/>
    <x v="9"/>
    <x v="8"/>
    <x v="0"/>
    <s v="MAIKEL PALOMARES"/>
    <s v="50OMM"/>
    <s v="NO"/>
  </r>
  <r>
    <s v="50OMO"/>
    <s v="MANUEL MONTT 2"/>
    <s v="OKM MANUEL MONTT"/>
    <n v="5"/>
    <x v="0"/>
    <s v="TMCB OKM"/>
    <s v="RECESO"/>
    <s v="SERRANO SOTO MANUEL"/>
    <x v="1"/>
    <x v="1"/>
    <x v="0"/>
    <s v="BENJAMIN SERRANO"/>
    <s v="50OMO"/>
    <s v="SI"/>
  </r>
  <r>
    <s v="50OMT"/>
    <s v="MAITENCILLO"/>
    <s v="OKM MAITENCILLO"/>
    <n v="5"/>
    <x v="1"/>
    <s v="TMCB OKM"/>
    <s v="HOGAR"/>
    <s v="SERRANO SOTO MANUEL"/>
    <x v="3"/>
    <x v="14"/>
    <x v="1"/>
    <s v="MAIKEL PALOMARES"/>
    <s v="50OMT"/>
    <s v="NO"/>
  </r>
  <r>
    <s v="50OOC"/>
    <s v="VINA DEL MAR"/>
    <s v="VIÑA DEL MAR"/>
    <n v="5"/>
    <x v="0"/>
    <s v="TMCB"/>
    <s v="BASE"/>
    <s v="SESA DIEGO MIGUEL"/>
    <x v="3"/>
    <x v="3"/>
    <x v="1"/>
    <s v="MAIKEL PALOMARES"/>
    <s v="50OOC"/>
    <s v="SI"/>
  </r>
  <r>
    <s v="50OPN"/>
    <s v="PLAZA EGANA"/>
    <s v="PLAZA EGANA"/>
    <n v="5"/>
    <x v="0"/>
    <s v="TMCB OKM"/>
    <s v="BASE"/>
    <s v="SERRANO SOTO MANUEL"/>
    <x v="11"/>
    <x v="6"/>
    <x v="0"/>
    <s v="DIANA ROJAS"/>
    <s v="50OPN"/>
    <s v="SI"/>
  </r>
  <r>
    <s v="50OPV"/>
    <s v="OKM PEDRO DE VALDIVIA"/>
    <s v="OKM PEDRO DE VALDIVIA"/>
    <n v="5"/>
    <x v="1"/>
    <s v="TMCB OKM"/>
    <s v="HOGAR C/FF"/>
    <s v="SERRANO SOTO MANUEL"/>
    <x v="12"/>
    <x v="6"/>
    <x v="0"/>
    <s v="DIANA ROJAS"/>
    <s v="50OPV"/>
    <s v="NO"/>
  </r>
  <r>
    <s v="50ORE"/>
    <s v="CAMINO REAL"/>
    <s v="CAMINO REAL CL"/>
    <n v="5"/>
    <x v="1"/>
    <s v="TMCB OKM"/>
    <s v="HOGAR C/FF"/>
    <s v="SERRANO SOTO MANUEL"/>
    <x v="13"/>
    <x v="14"/>
    <x v="1"/>
    <s v="SIN IDENTIFICAR"/>
    <s v="50ORE"/>
    <s v="NO"/>
  </r>
  <r>
    <s v="50ORO"/>
    <s v="CAPITAN ORELLA"/>
    <s v="CAPITAN ORELLA K208  CAJAS"/>
    <n v="5"/>
    <x v="0"/>
    <s v="TMCB OKM"/>
    <s v="BASE"/>
    <s v="SERRANO SOTO MANUEL"/>
    <x v="11"/>
    <x v="6"/>
    <x v="0"/>
    <s v="DIANA ROJAS"/>
    <s v="50ORO"/>
    <s v="SI"/>
  </r>
  <r>
    <s v="50ORY"/>
    <s v="OKM LYON"/>
    <s v="LYON CL"/>
    <n v="5"/>
    <x v="1"/>
    <s v="TMCB OKM"/>
    <s v="HOGAR C/FF"/>
    <s v="SERRANO SOTO MANUEL"/>
    <x v="13"/>
    <x v="1"/>
    <x v="0"/>
    <s v="SIN IDENTIFICAR"/>
    <s v="50ORY"/>
    <s v="NO"/>
  </r>
  <r>
    <s v="50OSF"/>
    <s v="OKM STRIP SAN FRANCISCO"/>
    <s v="SAN FRANCISO/STA ISABEL "/>
    <n v="5"/>
    <x v="1"/>
    <s v="TMCB OKM"/>
    <s v="HOGAR"/>
    <s v="SERRANO SOTO MANUEL"/>
    <x v="13"/>
    <x v="5"/>
    <x v="0"/>
    <s v="SIN IDENTIFICAR"/>
    <s v="50OSF"/>
    <s v="NO"/>
  </r>
  <r>
    <s v="50OSI"/>
    <s v="OKM SANTA ISABEL"/>
    <s v="OKM SANTA ISABEL"/>
    <n v="5"/>
    <x v="1"/>
    <s v="TMCB OKM"/>
    <s v="HOGAR C/FF"/>
    <s v="SERRANO SOTO MANUEL"/>
    <x v="11"/>
    <x v="1"/>
    <x v="0"/>
    <s v="DIANA ROJAS"/>
    <s v="50OSI"/>
    <s v="NO"/>
  </r>
  <r>
    <s v="50OSO"/>
    <s v="OKM STRIP OSSA"/>
    <s v="OKM STRIP OSSA"/>
    <n v="5"/>
    <x v="1"/>
    <s v="TMCB OKM"/>
    <s v="RECESO"/>
    <s v="SERRANO SOTO MANUEL"/>
    <x v="9"/>
    <x v="6"/>
    <x v="0"/>
    <s v="MAIKEL PALOMARES"/>
    <s v="50OSO"/>
    <s v="NO"/>
  </r>
  <r>
    <s v="50OSU"/>
    <s v="SUCRE"/>
    <s v="OKM SUCRE"/>
    <n v="5"/>
    <x v="1"/>
    <s v="TMCB OKM"/>
    <s v="HOGAR C/FF"/>
    <s v="SERRANO SOTO MANUEL"/>
    <x v="11"/>
    <x v="6"/>
    <x v="0"/>
    <s v="DIANA ROJAS"/>
    <s v="50OSU"/>
    <s v="NO"/>
  </r>
  <r>
    <s v="50OTE"/>
    <s v="TEATINOS"/>
    <s v="OKM TEATINOS"/>
    <n v="5"/>
    <x v="1"/>
    <s v="TMCB OKM"/>
    <s v="RECESO"/>
    <s v="SERRANO SOTO MANUEL"/>
    <x v="7"/>
    <x v="5"/>
    <x v="0"/>
    <s v="BENJAMIN SERRANO"/>
    <s v="50OTE"/>
    <s v="NO"/>
  </r>
  <r>
    <s v="50OTI"/>
    <s v="OKM INMACULADA"/>
    <s v="OKM INMACULADA"/>
    <n v="5"/>
    <x v="0"/>
    <s v="TMCB OKM"/>
    <s v="RECESO"/>
    <s v="SESA DIEGO MIGUEL"/>
    <x v="14"/>
    <x v="15"/>
    <x v="2"/>
    <s v="MAIKEL PALOMARES"/>
    <s v="50OTI"/>
    <s v="NO"/>
  </r>
  <r>
    <s v="50OTT"/>
    <s v="OKM METRO MATTA"/>
    <s v="OKM METRO MATTA"/>
    <n v="5"/>
    <x v="0"/>
    <s v="TMCB OKM"/>
    <s v="RECESO"/>
    <s v="SERRANO SOTO MANUEL"/>
    <x v="8"/>
    <x v="5"/>
    <x v="0"/>
    <s v="JOSE NAVARRO"/>
    <s v="50OTT"/>
    <s v="NO"/>
  </r>
  <r>
    <s v="50OUV"/>
    <s v="UNAB VINA"/>
    <s v="OKM UNAB VIÑA K137  CAJAS"/>
    <n v="5"/>
    <x v="0"/>
    <s v="TMCB OKM"/>
    <s v="RECESO"/>
    <s v="SESA DIEGO MIGUEL"/>
    <x v="3"/>
    <x v="3"/>
    <x v="1"/>
    <s v="MAIKEL PALOMARES"/>
    <s v="50OUV"/>
    <s v="NO"/>
  </r>
  <r>
    <s v="50OVM"/>
    <s v="VICUNA MACKENNA"/>
    <s v="OKM VICUÑA MACKENNA"/>
    <n v="5"/>
    <x v="1"/>
    <s v="TMCB OKM"/>
    <s v="HOGAR C/FF"/>
    <s v="SERRANO SOTO MANUEL"/>
    <x v="12"/>
    <x v="21"/>
    <x v="0"/>
    <s v="DIANA ROJAS"/>
    <s v="50OVM"/>
    <s v="NO"/>
  </r>
  <r>
    <s v="50OVN"/>
    <s v="ANTONIO BELLET"/>
    <s v="ANTONIO BELLET"/>
    <n v="5"/>
    <x v="0"/>
    <s v="TMCB"/>
    <s v="RECESO"/>
    <s v="SERRANO SOTO MANUEL"/>
    <x v="7"/>
    <x v="1"/>
    <x v="0"/>
    <s v="BENJAMIN SERRANO"/>
    <s v="50OVN"/>
    <s v="NO"/>
  </r>
  <r>
    <s v="50P7X"/>
    <s v="PEDRO DE VALDIVIA 6"/>
    <s v="PEDRO DE VALDIVIA 6"/>
    <n v="5"/>
    <x v="1"/>
    <s v="TNM"/>
    <s v="HOGAR"/>
    <s v="SERRANO SOTO MANUEL"/>
    <x v="12"/>
    <x v="1"/>
    <x v="0"/>
    <s v="DIANA ROJAS"/>
    <s v="50P7X"/>
    <s v="NO"/>
  </r>
  <r>
    <s v="50PCH"/>
    <s v="PLAZA DE ASIS"/>
    <s v="PLAZA DE ASIS"/>
    <n v="5"/>
    <x v="1"/>
    <s v="TMCB"/>
    <s v="HOGAR C/FF"/>
    <s v="SERRANO SOTO MANUEL"/>
    <x v="13"/>
    <x v="2"/>
    <x v="0"/>
    <s v="SIN IDENTIFICAR"/>
    <s v="50PCH"/>
    <s v="NO"/>
  </r>
  <r>
    <s v="50PCL"/>
    <s v="CONDELL 1"/>
    <s v="CONDELL 1"/>
    <n v="5"/>
    <x v="1"/>
    <s v="TMCB"/>
    <s v="RECESO"/>
    <s v="SERRANO SOTO MANUEL"/>
    <x v="13"/>
    <x v="14"/>
    <x v="1"/>
    <s v="SIN IDENTIFICAR"/>
    <s v="50PCL"/>
    <s v="NO"/>
  </r>
  <r>
    <s v="50PDV"/>
    <s v="PEDRO DE VALDIVIA 4"/>
    <s v="P. DE VALDIVIA 4 CLP"/>
    <n v="5"/>
    <x v="1"/>
    <s v="TNM"/>
    <s v="HOGAR"/>
    <s v="SERRANO SOTO MANUEL"/>
    <x v="0"/>
    <x v="6"/>
    <x v="0"/>
    <s v="JOSE NAVARRO"/>
    <s v="50PDV"/>
    <s v="NO"/>
  </r>
  <r>
    <s v="50PFO"/>
    <s v="PEDRO FONTOVA"/>
    <s v="PEDRO FONTOVA"/>
    <n v="5"/>
    <x v="0"/>
    <s v="TMCB"/>
    <s v="RECESO"/>
    <s v="SERRANO SOTO MANUEL"/>
    <x v="0"/>
    <x v="11"/>
    <x v="0"/>
    <s v="JOSE NAVARRO"/>
    <s v="50PFO"/>
    <s v="SI"/>
  </r>
  <r>
    <s v="50PJ0"/>
    <s v="MONUMENTO CHACABUCO"/>
    <s v="MONUMENTO CHACABUCO"/>
    <n v="5"/>
    <x v="1"/>
    <s v="TNM"/>
    <s v="RECESO"/>
    <s v="SERRANO SOTO MANUEL"/>
    <x v="13"/>
    <x v="7"/>
    <x v="0"/>
    <s v="SIN IDENTIFICAR"/>
    <s v="50PJ0"/>
    <s v="NO"/>
  </r>
  <r>
    <s v="50PUF"/>
    <s v="AGUSTINAS SAN MARTIN"/>
    <s v="AGUSTINAS SAN MARTIN"/>
    <n v="5"/>
    <x v="0"/>
    <s v="TMCB"/>
    <s v="RECESO"/>
    <s v="SERRANO SOTO MANUEL"/>
    <x v="6"/>
    <x v="5"/>
    <x v="0"/>
    <s v="DIANA ROJAS"/>
    <s v="50PUF"/>
    <s v="NO"/>
  </r>
  <r>
    <s v="50PWL"/>
    <s v="NATANIEL COX 1"/>
    <s v="NATANIEL COX – COPIAPO"/>
    <n v="5"/>
    <x v="1"/>
    <s v="TNM"/>
    <s v="HOGAR C/FF"/>
    <s v="SERRANO SOTO MANUEL"/>
    <x v="15"/>
    <x v="5"/>
    <x v="0"/>
    <s v="DIANA ROJAS"/>
    <s v="50PWL"/>
    <s v="NO"/>
  </r>
  <r>
    <s v="50PZC"/>
    <s v="PLAZA CHACABUCO"/>
    <s v="PLAZA CHACABUCO"/>
    <n v="5"/>
    <x v="1"/>
    <s v="TMCB"/>
    <s v="RECESO"/>
    <s v="SERRANO SOTO MANUEL"/>
    <x v="13"/>
    <x v="9"/>
    <x v="0"/>
    <s v="SIN IDENTIFICAR"/>
    <s v="50PZC"/>
    <s v="NO"/>
  </r>
  <r>
    <s v="50QM5"/>
    <s v="PLAZA INES DE SUAREZ"/>
    <s v="PLAZA INES DE SUAREZ"/>
    <n v="5"/>
    <x v="1"/>
    <s v="TNM"/>
    <s v="HOGAR C/FF"/>
    <s v="SERRANO SOTO MANUEL"/>
    <x v="8"/>
    <x v="1"/>
    <x v="0"/>
    <s v="JOSE NAVARRO"/>
    <s v="50QM5"/>
    <s v="NO"/>
  </r>
  <r>
    <s v="50QO5"/>
    <s v="MALL PLAZA EGANA 2"/>
    <s v="MALL PLAZA EGANA 2"/>
    <n v="5"/>
    <x v="0"/>
    <s v="T2024"/>
    <s v="RECESO"/>
    <s v="SERRANO SOTO MANUEL"/>
    <x v="11"/>
    <x v="4"/>
    <x v="0"/>
    <s v="DIANA ROJAS"/>
    <s v="50QO5"/>
    <s v="NO"/>
  </r>
  <r>
    <s v="50ROS"/>
    <s v="ROSARIO SUR"/>
    <s v="ROSARIO SUR"/>
    <n v="5"/>
    <x v="1"/>
    <s v="TMCB"/>
    <s v="HOGAR C/FF"/>
    <s v="SERRANO SOTO MANUEL"/>
    <x v="7"/>
    <x v="2"/>
    <x v="0"/>
    <s v="BENJAMIN SERRANO"/>
    <s v="50ROS"/>
    <s v="NO"/>
  </r>
  <r>
    <s v="50SAS"/>
    <s v="ELEUTERIO RAMIREZ NATANIEL COX"/>
    <s v="ELEUTERIO RAMIREZ  NATANIEL COX"/>
    <n v="5"/>
    <x v="1"/>
    <s v="TMCB"/>
    <s v="HOGAR C/FF"/>
    <s v="SERRANO SOTO MANUEL"/>
    <x v="15"/>
    <x v="5"/>
    <x v="0"/>
    <s v="DIANA ROJAS"/>
    <s v="50SAS"/>
    <s v="NO"/>
  </r>
  <r>
    <s v="50SBL"/>
    <s v="PEDRO DE VALDIVIA 2"/>
    <s v="PEDRO DE VALDIVIA 2"/>
    <n v="5"/>
    <x v="0"/>
    <s v="TMCB"/>
    <s v="BASE"/>
    <s v="SERRANO SOTO MANUEL"/>
    <x v="11"/>
    <x v="6"/>
    <x v="0"/>
    <s v="DIANA ROJAS"/>
    <s v="50SBL"/>
    <s v="NO"/>
  </r>
  <r>
    <s v="50SEA"/>
    <s v="OUTLET PATIO MAIPU"/>
    <s v="OUTLET PATIO MAIPU"/>
    <n v="5"/>
    <x v="0"/>
    <s v="TNM"/>
    <s v="RECESO"/>
    <s v="SERRANO SOTO MANUEL"/>
    <x v="9"/>
    <x v="7"/>
    <x v="0"/>
    <s v="MAIKEL PALOMARES"/>
    <s v="50SEA"/>
    <s v="NO"/>
  </r>
  <r>
    <s v="50SEJ"/>
    <s v="METRO MONEDA"/>
    <s v="METRO MONEDA"/>
    <n v="5"/>
    <x v="0"/>
    <s v="T2024"/>
    <s v="RECESO"/>
    <s v="SERRANO SOTO MANUEL"/>
    <x v="8"/>
    <x v="5"/>
    <x v="0"/>
    <s v="JOSE NAVARRO"/>
    <s v="50SEJ"/>
    <s v="NO"/>
  </r>
  <r>
    <s v="50SEM"/>
    <s v="SEMINARIO"/>
    <s v="SEMINARIO"/>
    <n v="5"/>
    <x v="0"/>
    <s v="TMCB"/>
    <s v="BASE"/>
    <s v="SERRANO SOTO MANUEL"/>
    <x v="11"/>
    <x v="6"/>
    <x v="0"/>
    <s v="DIANA ROJAS"/>
    <s v="50SEM"/>
    <s v="SI"/>
  </r>
  <r>
    <s v="50SQ0"/>
    <s v="METRO PLAZA EGANA"/>
    <s v="PLAZA EGAÑA"/>
    <n v="5"/>
    <x v="0"/>
    <s v="T2024"/>
    <s v="RECESO"/>
    <s v="SERRANO SOTO MANUEL"/>
    <x v="8"/>
    <x v="6"/>
    <x v="0"/>
    <s v="JOSE NAVARRO"/>
    <s v="50SQ0"/>
    <s v="NO"/>
  </r>
  <r>
    <s v="50SRE"/>
    <s v="AUGUSTA GERONA"/>
    <s v="AUGUSTA GERONA"/>
    <n v="5"/>
    <x v="1"/>
    <s v="TNM"/>
    <s v="RECESO"/>
    <s v="SERRANO SOTO MANUEL"/>
    <x v="2"/>
    <x v="2"/>
    <x v="0"/>
    <s v="BENJAMIN SERRANO"/>
    <s v="50SRE"/>
    <s v="NO"/>
  </r>
  <r>
    <s v="50TAJ"/>
    <s v="NUEVA TAJAMAR"/>
    <s v="NUEVA TAJAMAR"/>
    <n v="5"/>
    <x v="1"/>
    <s v="TMCB"/>
    <s v="RECESO"/>
    <s v="SERRANO SOTO MANUEL"/>
    <x v="10"/>
    <x v="2"/>
    <x v="0"/>
    <s v="JOSE NAVARRO"/>
    <s v="50TAJ"/>
    <s v="NO"/>
  </r>
  <r>
    <s v="50TCP"/>
    <s v="MATUCANA SD"/>
    <s v="MATUCANA SD"/>
    <n v="5"/>
    <x v="1"/>
    <s v="TNM"/>
    <s v="HOGAR"/>
    <s v="SERRANO SOTO MANUEL"/>
    <x v="13"/>
    <x v="5"/>
    <x v="0"/>
    <s v="SIN IDENTIFICAR"/>
    <s v="50TCP"/>
    <s v="NO"/>
  </r>
  <r>
    <s v="50TEB"/>
    <s v="TERMINAL DE BUSES"/>
    <s v="TERMINAL DE BUSES "/>
    <n v="5"/>
    <x v="1"/>
    <s v="TMCB"/>
    <s v="RECESO"/>
    <s v="SERRANO SOTO MANUEL"/>
    <x v="13"/>
    <x v="12"/>
    <x v="0"/>
    <s v="SIN IDENTIFICAR"/>
    <s v="50TEB"/>
    <s v="NO"/>
  </r>
  <r>
    <s v="50TEJ"/>
    <s v="MARDOQUEO FERNANDEZ"/>
    <s v="MARDOQUEO FERNANDEZ"/>
    <n v="5"/>
    <x v="0"/>
    <s v="TNM"/>
    <s v="RECESO"/>
    <s v="SERRANO SOTO MANUEL"/>
    <x v="7"/>
    <x v="1"/>
    <x v="0"/>
    <s v="BENJAMIN SERRANO"/>
    <s v="50TEJ"/>
    <s v="NO"/>
  </r>
  <r>
    <s v="50TFX"/>
    <s v="CHESTERTON 1"/>
    <s v="CHESTERTON 1"/>
    <n v="5"/>
    <x v="0"/>
    <s v="TNM"/>
    <s v="RECESO"/>
    <s v="SESA DIEGO MIGUEL"/>
    <x v="2"/>
    <x v="2"/>
    <x v="0"/>
    <s v="BENJAMIN SERRANO"/>
    <s v="50TFX"/>
    <s v="NO"/>
  </r>
  <r>
    <s v="50TI7"/>
    <s v="RENGO FREIRE"/>
    <s v="RENGO FREIRE"/>
    <n v="5"/>
    <x v="1"/>
    <s v="TNM"/>
    <s v="RECESO"/>
    <s v="SERRANO SOTO MANUEL"/>
    <x v="14"/>
    <x v="15"/>
    <x v="2"/>
    <s v="MAIKEL PALOMARES"/>
    <s v="50TI7"/>
    <s v="NO"/>
  </r>
  <r>
    <s v="50TMT"/>
    <s v="TORO MAZOTE"/>
    <s v="TORO MAZOTTE "/>
    <n v="5"/>
    <x v="1"/>
    <s v="TMCB"/>
    <s v="RECESO"/>
    <s v="SERRANO SOTO MANUEL"/>
    <x v="13"/>
    <x v="12"/>
    <x v="0"/>
    <s v="SIN IDENTIFICAR"/>
    <s v="50TMT"/>
    <s v="NO"/>
  </r>
  <r>
    <s v="50TQB"/>
    <s v="PASEO ESTADO MONEDA"/>
    <s v="ESTADO MONEDA"/>
    <n v="5"/>
    <x v="0"/>
    <s v="T2024"/>
    <s v="RECESO"/>
    <s v="SERRANO SOTO MANUEL"/>
    <x v="6"/>
    <x v="5"/>
    <x v="0"/>
    <s v="DIANA ROJAS"/>
    <s v="50TQB"/>
    <s v="NO"/>
  </r>
  <r>
    <s v="50TSA"/>
    <s v="BANDERA"/>
    <s v="BANDERA"/>
    <n v="5"/>
    <x v="0"/>
    <s v="TMCB"/>
    <s v="RECESO"/>
    <s v="SERRANO SOTO MANUEL"/>
    <x v="6"/>
    <x v="5"/>
    <x v="0"/>
    <s v="DIANA ROJAS"/>
    <s v="50TSA"/>
    <s v="NO"/>
  </r>
  <r>
    <s v="50UC4"/>
    <s v="LAUTARO FERRER"/>
    <s v="LAUTARO FERRER"/>
    <n v="5"/>
    <x v="1"/>
    <s v="TNM"/>
    <s v="HOGAR"/>
    <s v="SERRANO SOTO MANUEL"/>
    <x v="12"/>
    <x v="1"/>
    <x v="0"/>
    <s v="DIANA ROJAS"/>
    <s v="50UC4"/>
    <s v="NO"/>
  </r>
  <r>
    <s v="50UD1"/>
    <s v="BULNES"/>
    <s v="PASEO BULNES"/>
    <n v="5"/>
    <x v="0"/>
    <s v="TNM"/>
    <s v="BASE"/>
    <s v="SERRANO SOTO MANUEL"/>
    <x v="6"/>
    <x v="5"/>
    <x v="0"/>
    <s v="DIANA ROJAS"/>
    <s v="50UD1"/>
    <s v="NO"/>
  </r>
  <r>
    <s v="50UPK"/>
    <s v="QUILICURA 1"/>
    <s v="QUILICURA"/>
    <n v="5"/>
    <x v="0"/>
    <s v="TNM"/>
    <s v="RECESO"/>
    <s v="SERRANO SOTO MANUEL"/>
    <x v="9"/>
    <x v="32"/>
    <x v="0"/>
    <s v="MAIKEL PALOMARES"/>
    <s v="50UPK"/>
    <s v="NO"/>
  </r>
  <r>
    <s v="50UYZ"/>
    <s v="PASEO EL TAMARUGO"/>
    <s v="TAMARUGO"/>
    <n v="5"/>
    <x v="0"/>
    <s v="TNM"/>
    <s v="RECESO"/>
    <s v="SERRANO SOTO MANUEL"/>
    <x v="0"/>
    <x v="0"/>
    <x v="0"/>
    <s v="JOSE NAVARRO"/>
    <s v="50UYZ"/>
    <s v="NO"/>
  </r>
  <r>
    <s v="50V11"/>
    <s v="ARENAS DE TALAGANTE"/>
    <s v="ARENAS DE TALAGANTE"/>
    <n v="4"/>
    <x v="1"/>
    <s v="T2024"/>
    <s v="RECESO"/>
    <s v="SERRANO SOTO MANUEL"/>
    <x v="13"/>
    <x v="43"/>
    <x v="0"/>
    <s v="SIN IDENTIFICAR"/>
    <s v="50V11"/>
    <s v="NO"/>
  </r>
  <r>
    <s v="50V5C"/>
    <s v="ESTORIL"/>
    <s v="ESTORIL"/>
    <n v="5"/>
    <x v="0"/>
    <s v="TNM"/>
    <s v="RECESO"/>
    <s v="SERRANO SOTO MANUEL"/>
    <x v="12"/>
    <x v="2"/>
    <x v="0"/>
    <s v="DIANA ROJAS"/>
    <s v="50V5C"/>
    <s v="NO"/>
  </r>
  <r>
    <s v="50VAL"/>
    <s v="VESPUCIO ALBACETE"/>
    <s v="VESPUCIO  ALBACETE"/>
    <n v="5"/>
    <x v="0"/>
    <s v="TMCB"/>
    <s v="BASE"/>
    <s v="SERRANO SOTO MANUEL"/>
    <x v="5"/>
    <x v="2"/>
    <x v="0"/>
    <s v="DIANA ROJAS"/>
    <s v="50VAL"/>
    <s v="NO"/>
  </r>
  <r>
    <s v="50VLL"/>
    <s v="MALL PLAZA VESPUCIO"/>
    <s v="MALL PLAZA VESPUCIO"/>
    <n v="5"/>
    <x v="0"/>
    <s v="TMCB"/>
    <s v="RECESO"/>
    <s v="SERRANO SOTO MANUEL"/>
    <x v="9"/>
    <x v="21"/>
    <x v="0"/>
    <s v="MAIKEL PALOMARES"/>
    <s v="50VLL"/>
    <s v="NO"/>
  </r>
  <r>
    <s v="50VNA"/>
    <s v="VIANA"/>
    <s v="VIANA"/>
    <n v="5"/>
    <x v="0"/>
    <s v="TMCB"/>
    <s v="BASE"/>
    <s v="SESA DIEGO MIGUEL"/>
    <x v="4"/>
    <x v="3"/>
    <x v="1"/>
    <s v="MAIKEL PALOMARES"/>
    <s v="50VNA"/>
    <s v="SI"/>
  </r>
  <r>
    <s v="50VOR"/>
    <s v="PROVIDENCIA 2"/>
    <s v="PROVIDENCIA 2"/>
    <n v="5"/>
    <x v="0"/>
    <s v="TMCB"/>
    <s v="RECESO"/>
    <s v="SERRANO SOTO MANUEL"/>
    <x v="7"/>
    <x v="1"/>
    <x v="0"/>
    <s v="BENJAMIN SERRANO"/>
    <s v="50VOR"/>
    <s v="NO"/>
  </r>
  <r>
    <s v="50VRH"/>
    <s v="ABDON CIFUENTES"/>
    <s v="ABDON CIFUENTES"/>
    <n v="5"/>
    <x v="1"/>
    <s v="TNM"/>
    <s v="RECESO"/>
    <s v="SERRANO SOTO MANUEL"/>
    <x v="7"/>
    <x v="5"/>
    <x v="0"/>
    <s v="BENJAMIN SERRANO"/>
    <s v="50VRH"/>
    <s v="NO"/>
  </r>
  <r>
    <s v="50VSD"/>
    <s v="MALL PLAZA NORTE"/>
    <s v="MALL PLAZA NORTE"/>
    <n v="5"/>
    <x v="0"/>
    <s v="TNM"/>
    <s v="RECESO"/>
    <s v="SERRANO SOTO MANUEL"/>
    <x v="0"/>
    <x v="11"/>
    <x v="0"/>
    <s v="JOSE NAVARRO"/>
    <s v="50VSD"/>
    <s v="NO"/>
  </r>
  <r>
    <s v="50VSU"/>
    <s v="SAN FRANCISCO"/>
    <s v="SAN FRANCISCO"/>
    <n v="5"/>
    <x v="1"/>
    <s v="TMCB"/>
    <s v="RECESO"/>
    <s v="SERRANO SOTO MANUEL"/>
    <x v="13"/>
    <x v="2"/>
    <x v="0"/>
    <s v="SIN IDENTIFICAR"/>
    <s v="50VSU"/>
    <s v="NO"/>
  </r>
  <r>
    <s v="50VVE"/>
    <s v="VITACURA VESPUCIO"/>
    <s v="VITACURA  VESPUCIO"/>
    <n v="5"/>
    <x v="1"/>
    <s v="TMCB"/>
    <s v="RECESO"/>
    <s v="SERRANO SOTO MANUEL"/>
    <x v="10"/>
    <x v="0"/>
    <x v="0"/>
    <s v="JOSE NAVARRO"/>
    <s v="50VVE"/>
    <s v="NO"/>
  </r>
  <r>
    <s v="50W0N"/>
    <s v="SANTIAGO DOWNTOWN"/>
    <s v="SANTIAGO DOWNTOWN CLP"/>
    <n v="5"/>
    <x v="0"/>
    <s v="TNM"/>
    <s v="RECESO"/>
    <s v="SERRANO SOTO MANUEL"/>
    <x v="6"/>
    <x v="5"/>
    <x v="0"/>
    <s v="DIANA ROJAS"/>
    <s v="50W0N"/>
    <s v="NO"/>
  </r>
  <r>
    <s v="50WGH"/>
    <s v="MIGUEL DE OLIVARES"/>
    <s v="MIGUEL DE OLIVARES"/>
    <n v="5"/>
    <x v="1"/>
    <s v="TMCB"/>
    <s v="RECESO"/>
    <s v="SERRANO SOTO MANUEL"/>
    <x v="15"/>
    <x v="5"/>
    <x v="0"/>
    <s v="DIANA ROJAS"/>
    <s v="50WGH"/>
    <s v="NO"/>
  </r>
  <r>
    <s v="50WIL"/>
    <s v="CARLOS WILSON"/>
    <s v="CARLOS WILSON"/>
    <n v="5"/>
    <x v="0"/>
    <s v="TMCB"/>
    <s v="HOGAR"/>
    <s v="SERRANO SOTO MANUEL"/>
    <x v="1"/>
    <x v="1"/>
    <x v="0"/>
    <s v="BENJAMIN SERRANO"/>
    <s v="50WIL"/>
    <s v="NO"/>
  </r>
  <r>
    <s v="50WUM"/>
    <s v="RODRIGUEZ PINTO"/>
    <s v="RODRIGUEZ PINTO"/>
    <n v="5"/>
    <x v="1"/>
    <s v="TNM"/>
    <s v="HOGAR"/>
    <s v="SERRANO SOTO MANUEL"/>
    <x v="14"/>
    <x v="15"/>
    <x v="2"/>
    <s v="MAIKEL PALOMARES"/>
    <s v="50WUM"/>
    <s v="NO"/>
  </r>
  <r>
    <s v="50XC6"/>
    <s v="ALTO MACUL"/>
    <s v="ALTO MACUL (TIENDA APERTURA)"/>
    <n v="5"/>
    <x v="0"/>
    <s v="T2024"/>
    <s v="BASE"/>
    <s v="SERRANO SOTO MANUEL"/>
    <x v="9"/>
    <x v="44"/>
    <x v="0"/>
    <s v="MAIKEL PALOMARES"/>
    <s v="50XC6"/>
    <s v="NO"/>
  </r>
  <r>
    <s v="50XCV"/>
    <s v="CRUZ DEL SUR"/>
    <s v="CRUZ DEL SUR"/>
    <n v="5"/>
    <x v="1"/>
    <s v="TNM"/>
    <s v="RECESO"/>
    <s v="SERRANO SOTO MANUEL"/>
    <x v="1"/>
    <x v="2"/>
    <x v="0"/>
    <s v="BENJAMIN SERRANO"/>
    <s v="50XCV"/>
    <s v="NO"/>
  </r>
  <r>
    <s v="50XEV"/>
    <s v="HOLANDA PIO X"/>
    <s v="HOLANDA  PIO X"/>
    <n v="5"/>
    <x v="0"/>
    <s v="TMCB"/>
    <s v="BASE"/>
    <s v="SERRANO SOTO MANUEL"/>
    <x v="1"/>
    <x v="1"/>
    <x v="0"/>
    <s v="BENJAMIN SERRANO"/>
    <s v="50XEV"/>
    <s v="NO"/>
  </r>
  <r>
    <s v="50XFE"/>
    <s v="SANTA ROSA PORVENIR"/>
    <s v="SANTA ROSA  PORVENIR"/>
    <n v="5"/>
    <x v="1"/>
    <s v="TMCB"/>
    <s v="HOGAR"/>
    <s v="SERRANO SOTO MANUEL"/>
    <x v="15"/>
    <x v="5"/>
    <x v="0"/>
    <s v="DIANA ROJAS"/>
    <s v="50XFE"/>
    <s v="NO"/>
  </r>
  <r>
    <s v="50XJP"/>
    <s v="JOSE LUIS COO"/>
    <s v="JOSE LUIS COO"/>
    <n v="5"/>
    <x v="1"/>
    <s v="TNM"/>
    <s v="RECESO"/>
    <s v="SERRANO SOTO MANUEL"/>
    <x v="9"/>
    <x v="24"/>
    <x v="0"/>
    <s v="MAIKEL PALOMARES"/>
    <s v="50XJP"/>
    <s v="NO"/>
  </r>
  <r>
    <s v="50XWC"/>
    <s v="CERRO EL PLOMO"/>
    <s v="CERRO EL PLOMO"/>
    <n v="5"/>
    <x v="0"/>
    <s v="T2024"/>
    <s v="RECESO"/>
    <s v="SERRANO SOTO MANUEL"/>
    <x v="10"/>
    <x v="2"/>
    <x v="0"/>
    <s v="JOSE NAVARRO"/>
    <s v="50XWC"/>
    <s v="NO"/>
  </r>
  <r>
    <s v="50Y74"/>
    <s v="10 DE JULIO SAN DIEGO"/>
    <s v="10 JULIO SAN DIEGO"/>
    <n v="5"/>
    <x v="1"/>
    <s v="TNM"/>
    <s v="RECESO"/>
    <s v="SERRANO SOTO MANUEL"/>
    <x v="6"/>
    <x v="5"/>
    <x v="0"/>
    <s v="DIANA ROJAS"/>
    <s v="50Y74"/>
    <s v="NO"/>
  </r>
  <r>
    <s v="50Z8X"/>
    <s v="AV ARGENTINA 2"/>
    <s v="OXXO  Av. Argentina 2"/>
    <n v="5"/>
    <x v="0"/>
    <s v="T2024"/>
    <s v="RECESO"/>
    <s v="SESA DIEGO MIGUEL"/>
    <x v="4"/>
    <x v="14"/>
    <x v="1"/>
    <s v="MAIKEL PALOMARES"/>
    <s v="50Z8X"/>
    <s v="NO"/>
  </r>
  <r>
    <s v="50ZIR"/>
    <s v="VICUNA DIAGONAL"/>
    <s v="VICUÑA DIAGONAL PARAGUAY"/>
    <n v="5"/>
    <x v="0"/>
    <s v="TNM"/>
    <s v="RECESO"/>
    <s v="SERRANO SOTO MANUEL"/>
    <x v="6"/>
    <x v="5"/>
    <x v="0"/>
    <s v="DIANA ROJAS"/>
    <s v="50ZIR"/>
    <s v="NO"/>
  </r>
  <r>
    <s v="50SOC"/>
    <s v="SOCOFAR"/>
    <s v="SOCOFAR"/>
    <n v="2"/>
    <x v="0"/>
    <s v="TMCB"/>
    <s v="RECESO"/>
    <s v="SERRANO SOTO MANUEL"/>
    <x v="0"/>
    <x v="11"/>
    <x v="0"/>
    <s v="JOSE NAVARRO"/>
    <s v="50SOC"/>
    <s v="NO"/>
  </r>
  <r>
    <s v="506IM"/>
    <s v="MALL PASEO VINA"/>
    <s v="OXXO  Mall Paseo Viña"/>
    <n v="5"/>
    <x v="0"/>
    <s v="T2024"/>
    <s v="RECESO"/>
    <s v="SESA DIEGO MIGUEL"/>
    <x v="4"/>
    <x v="3"/>
    <x v="1"/>
    <s v="MAIKEL PALOMARES"/>
    <s v="506IM"/>
    <s v="NO"/>
  </r>
  <r>
    <s v="50FQG"/>
    <s v="CHICUREO 2"/>
    <s v="OXXO  Chicureo 2"/>
    <n v="5"/>
    <x v="1"/>
    <s v="T2024"/>
    <s v="HOGAR C/FF"/>
    <s v="SERRANO SOTO MANUEL"/>
    <x v="0"/>
    <x v="13"/>
    <x v="0"/>
    <s v="JOSE NAVARRO"/>
    <s v="50FQG"/>
    <s v="NO"/>
  </r>
  <r>
    <s v="50QVX"/>
    <s v="COSTA MONTEMAR"/>
    <s v="OKM MONTEMAR"/>
    <n v="6"/>
    <x v="0"/>
    <s v="T2024"/>
    <s v="BASE"/>
    <s v="SESA DIEGO MIGUEL"/>
    <x v="3"/>
    <x v="41"/>
    <x v="1"/>
    <s v="MAIKEL PALOMARES"/>
    <s v="50QVX"/>
    <s v="NO"/>
  </r>
  <r>
    <s v="50UKP"/>
    <s v="METRO PLAZA PUENTE ALTO"/>
    <s v="METRO PLAZA PUENTE ALTO"/>
    <n v="5"/>
    <x v="3"/>
    <s v="SIN IDENTIFICAR"/>
    <s v="SIN IDENTIFICAR"/>
    <s v="SIN IDENTIFICAR"/>
    <x v="16"/>
    <x v="24"/>
    <x v="0"/>
    <s v="SIN IDENTIFICAR"/>
    <s v="50UKP"/>
    <s v="N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CF7A28-141F-4C00-9C6A-275620B5D255}" name="TablaDinámica4" cacheId="36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J375:K408" firstHeaderRow="1" firstDataRow="1" firstDataCol="1" rowPageCount="1" colPageCount="1"/>
  <pivotFields count="14">
    <pivotField showAll="0"/>
    <pivotField showAll="0"/>
    <pivotField showAll="0"/>
    <pivotField dataField="1" showAll="0"/>
    <pivotField axis="axisPage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axis="axisRow" showAll="0" sortType="descending">
      <items count="49">
        <item x="25"/>
        <item x="22"/>
        <item x="34"/>
        <item x="19"/>
        <item x="13"/>
        <item x="15"/>
        <item x="41"/>
        <item x="12"/>
        <item x="11"/>
        <item x="9"/>
        <item x="40"/>
        <item x="29"/>
        <item x="21"/>
        <item x="42"/>
        <item x="4"/>
        <item x="2"/>
        <item m="1" x="45"/>
        <item x="30"/>
        <item x="16"/>
        <item x="31"/>
        <item x="8"/>
        <item x="7"/>
        <item x="6"/>
        <item x="44"/>
        <item x="1"/>
        <item x="33"/>
        <item x="24"/>
        <item x="32"/>
        <item x="39"/>
        <item x="36"/>
        <item x="27"/>
        <item x="23"/>
        <item x="18"/>
        <item x="37"/>
        <item x="35"/>
        <item x="28"/>
        <item x="20"/>
        <item x="17"/>
        <item x="5"/>
        <item x="43"/>
        <item x="26"/>
        <item x="14"/>
        <item x="38"/>
        <item m="1" x="47"/>
        <item x="3"/>
        <item x="0"/>
        <item m="1" x="46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9">
        <item x="2"/>
        <item x="3"/>
        <item m="1" x="5"/>
        <item m="1" x="6"/>
        <item x="4"/>
        <item x="1"/>
        <item m="1" x="7"/>
        <item x="0"/>
        <item t="default"/>
      </items>
    </pivotField>
    <pivotField showAll="0"/>
    <pivotField showAll="0"/>
    <pivotField showAll="0"/>
  </pivotFields>
  <rowFields count="1">
    <field x="9"/>
  </rowFields>
  <rowItems count="33">
    <i>
      <x v="15"/>
    </i>
    <i>
      <x v="24"/>
    </i>
    <i>
      <x v="38"/>
    </i>
    <i>
      <x v="44"/>
    </i>
    <i>
      <x v="22"/>
    </i>
    <i>
      <x v="45"/>
    </i>
    <i>
      <x v="18"/>
    </i>
    <i>
      <x v="5"/>
    </i>
    <i>
      <x v="4"/>
    </i>
    <i>
      <x v="8"/>
    </i>
    <i>
      <x v="21"/>
    </i>
    <i>
      <x v="41"/>
    </i>
    <i>
      <x v="14"/>
    </i>
    <i>
      <x v="6"/>
    </i>
    <i>
      <x v="12"/>
    </i>
    <i>
      <x v="36"/>
    </i>
    <i>
      <x v="47"/>
    </i>
    <i>
      <x v="7"/>
    </i>
    <i>
      <x v="33"/>
    </i>
    <i>
      <x v="27"/>
    </i>
    <i>
      <x v="32"/>
    </i>
    <i>
      <x v="20"/>
    </i>
    <i>
      <x v="9"/>
    </i>
    <i>
      <x v="3"/>
    </i>
    <i>
      <x v="37"/>
    </i>
    <i>
      <x v="23"/>
    </i>
    <i>
      <x v="11"/>
    </i>
    <i>
      <x v="2"/>
    </i>
    <i>
      <x v="35"/>
    </i>
    <i>
      <x v="29"/>
    </i>
    <i>
      <x v="40"/>
    </i>
    <i>
      <x v="26"/>
    </i>
    <i t="grand">
      <x/>
    </i>
  </rowItems>
  <colItems count="1">
    <i/>
  </colItems>
  <pageFields count="1">
    <pageField fld="4" item="0" hier="-1"/>
  </pageFields>
  <dataFields count="1">
    <dataField name="Suma de FTE AUT" fld="3" baseField="0" baseItem="0"/>
  </dataFields>
  <formats count="6">
    <format dxfId="50">
      <pivotArea type="all" dataOnly="0" outline="0" fieldPosition="0"/>
    </format>
    <format dxfId="49">
      <pivotArea outline="0" collapsedLevelsAreSubtotals="1" fieldPosition="0"/>
    </format>
    <format dxfId="48">
      <pivotArea field="9" type="button" dataOnly="0" labelOnly="1" outline="0" axis="axisRow" fieldPosition="0"/>
    </format>
    <format dxfId="47">
      <pivotArea dataOnly="0" labelOnly="1" fieldPosition="0">
        <references count="1">
          <reference field="9" count="32">
            <x v="2"/>
            <x v="3"/>
            <x v="4"/>
            <x v="5"/>
            <x v="6"/>
            <x v="7"/>
            <x v="8"/>
            <x v="9"/>
            <x v="11"/>
            <x v="12"/>
            <x v="14"/>
            <x v="15"/>
            <x v="18"/>
            <x v="20"/>
            <x v="21"/>
            <x v="22"/>
            <x v="23"/>
            <x v="24"/>
            <x v="26"/>
            <x v="27"/>
            <x v="29"/>
            <x v="32"/>
            <x v="33"/>
            <x v="35"/>
            <x v="36"/>
            <x v="37"/>
            <x v="38"/>
            <x v="40"/>
            <x v="41"/>
            <x v="44"/>
            <x v="45"/>
            <x v="47"/>
          </reference>
        </references>
      </pivotArea>
    </format>
    <format dxfId="46">
      <pivotArea dataOnly="0" labelOnly="1" grandRow="1" outline="0" fieldPosition="0"/>
    </format>
    <format dxfId="4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B06211-BD35-466A-91E4-E94CF8E0EEA9}" name="TablaDinámica3" cacheId="36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J363:K368" firstHeaderRow="1" firstDataRow="1" firstDataCol="1" rowPageCount="1" colPageCount="1"/>
  <pivotFields count="14">
    <pivotField showAll="0"/>
    <pivotField showAll="0"/>
    <pivotField showAll="0"/>
    <pivotField dataField="1" showAll="0"/>
    <pivotField axis="axisPage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axis="axisRow" showAll="0">
      <items count="9">
        <item x="2"/>
        <item x="3"/>
        <item m="1" x="5"/>
        <item m="1" x="6"/>
        <item x="4"/>
        <item x="1"/>
        <item m="1" x="7"/>
        <item x="0"/>
        <item t="default"/>
      </items>
    </pivotField>
    <pivotField showAll="0"/>
    <pivotField showAll="0"/>
    <pivotField showAll="0"/>
  </pivotFields>
  <rowFields count="1">
    <field x="10"/>
  </rowFields>
  <rowItems count="5">
    <i>
      <x/>
    </i>
    <i>
      <x v="1"/>
    </i>
    <i>
      <x v="5"/>
    </i>
    <i>
      <x v="7"/>
    </i>
    <i t="grand">
      <x/>
    </i>
  </rowItems>
  <colItems count="1">
    <i/>
  </colItems>
  <pageFields count="1">
    <pageField fld="4" item="0" hier="-1"/>
  </pageFields>
  <dataFields count="1">
    <dataField name="Suma de FTE AUT" fld="3" baseField="0" baseItem="0"/>
  </dataFields>
  <formats count="6">
    <format dxfId="56">
      <pivotArea type="all" dataOnly="0" outline="0" fieldPosition="0"/>
    </format>
    <format dxfId="55">
      <pivotArea outline="0" collapsedLevelsAreSubtotals="1" fieldPosition="0"/>
    </format>
    <format dxfId="54">
      <pivotArea field="10" type="button" dataOnly="0" labelOnly="1" outline="0" axis="axisRow" fieldPosition="0"/>
    </format>
    <format dxfId="53">
      <pivotArea dataOnly="0" labelOnly="1" fieldPosition="0">
        <references count="1">
          <reference field="10" count="4">
            <x v="0"/>
            <x v="1"/>
            <x v="5"/>
            <x v="7"/>
          </reference>
        </references>
      </pivotArea>
    </format>
    <format dxfId="52">
      <pivotArea dataOnly="0" labelOnly="1" grandRow="1" outline="0" fieldPosition="0"/>
    </format>
    <format dxfId="5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DD0389-7C92-40D3-98F2-BA69400461A4}" name="TablaDinámica15" cacheId="36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J416:K431" firstHeaderRow="1" firstDataRow="1" firstDataCol="1" rowPageCount="1" colPageCount="1"/>
  <pivotFields count="13">
    <pivotField showAll="0"/>
    <pivotField showAll="0"/>
    <pivotField showAll="0"/>
    <pivotField dataField="1" showAll="0"/>
    <pivotField axis="axisPage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axis="axisRow" showAll="0">
      <items count="19">
        <item x="13"/>
        <item x="12"/>
        <item x="1"/>
        <item x="5"/>
        <item x="3"/>
        <item x="2"/>
        <item x="6"/>
        <item x="7"/>
        <item x="0"/>
        <item x="10"/>
        <item x="9"/>
        <item x="15"/>
        <item x="8"/>
        <item x="4"/>
        <item x="11"/>
        <item x="16"/>
        <item x="14"/>
        <item x="17"/>
        <item t="default"/>
      </items>
    </pivotField>
    <pivotField showAll="0"/>
    <pivotField showAll="0"/>
    <pivotField showAll="0"/>
    <pivotField showAll="0"/>
  </pivotFields>
  <rowFields count="1">
    <field x="8"/>
  </rowFields>
  <rowItems count="15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>
      <x v="14"/>
    </i>
    <i>
      <x v="16"/>
    </i>
    <i t="grand">
      <x/>
    </i>
  </rowItems>
  <colItems count="1">
    <i/>
  </colItems>
  <pageFields count="1">
    <pageField fld="4" item="0" hier="-1"/>
  </pageFields>
  <dataFields count="1">
    <dataField name="Suma de FTE AUT" fld="3" baseField="0" baseItem="0"/>
  </dataFields>
  <formats count="6">
    <format dxfId="62">
      <pivotArea type="all" dataOnly="0" outline="0" fieldPosition="0"/>
    </format>
    <format dxfId="61">
      <pivotArea outline="0" collapsedLevelsAreSubtotals="1" fieldPosition="0"/>
    </format>
    <format dxfId="60">
      <pivotArea field="8" type="button" dataOnly="0" labelOnly="1" outline="0" axis="axisRow" fieldPosition="0"/>
    </format>
    <format dxfId="59">
      <pivotArea dataOnly="0" labelOnly="1" fieldPosition="0">
        <references count="1">
          <reference field="8" count="14">
            <x v="1"/>
            <x v="2"/>
            <x v="3"/>
            <x v="4"/>
            <x v="5"/>
            <x v="6"/>
            <x v="7"/>
            <x v="8"/>
            <x v="9"/>
            <x v="10"/>
            <x v="12"/>
            <x v="13"/>
            <x v="14"/>
            <x v="16"/>
          </reference>
        </references>
      </pivotArea>
    </format>
    <format dxfId="58">
      <pivotArea dataOnly="0" labelOnly="1" grandRow="1" outline="0" fieldPosition="0"/>
    </format>
    <format dxfId="5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52" dT="2026-03-11T18:16:22.04" personId="{76E8D55C-B0E0-4DCE-9C57-E9CC454366BE}" id="{18ECBED8-FB21-4ABA-B743-509B38BE62D0}">
    <text xml:space="preserve">Actualizado marzo26
</text>
  </threadedComment>
  <threadedComment ref="F168" dT="2026-04-06T19:53:26.95" personId="{76E8D55C-B0E0-4DCE-9C57-E9CC454366BE}" id="{B5DAF259-EB7B-401D-BE29-BED2BB3AEC59}">
    <text xml:space="preserve">ACTUALIZACIÓN FTE PENDIENTE DE OCT 25
</text>
  </threadedComment>
  <threadedComment ref="F231" dT="2025-10-29T17:41:47.14" personId="{138F461D-BD35-4740-82DD-D208171ADA57}" id="{F093A287-B84F-4DD2-83E8-98ED580DF543}">
    <text>Incrementar 1 PT 25 intermedio</text>
  </threadedComment>
  <threadedComment ref="F313" dT="2025-10-29T17:51:04.20" personId="{138F461D-BD35-4740-82DD-D208171ADA57}" id="{77951FFF-27AA-4DDC-8120-E0464DCFB114}">
    <text>+  1 PT 25 INTERMEDIO</text>
  </threadedComment>
  <threadedComment ref="F343" dT="2026-04-06T19:54:46.02" personId="{76E8D55C-B0E0-4DCE-9C57-E9CC454366BE}" id="{BB038D5F-F703-4FC4-93B8-94C9422F38B4}">
    <text xml:space="preserve">ACTUALIZACIÓN PENDIENTE OCT 25, GRUPO DE TIENDAS LUIS LOPEZ
</text>
  </threadedComment>
  <threadedComment ref="F353" dT="2025-10-29T17:44:54.14" personId="{138F461D-BD35-4740-82DD-D208171ADA57}" id="{A157F3A1-6415-440C-9D1E-D04A3AF36E3D}">
    <text>+ 1 PT25 PM</text>
  </threadedComment>
  <threadedComment ref="F354" dT="2025-05-15T16:15:42.54" personId="{138F461D-BD35-4740-82DD-D208171ADA57}" id="{1A74067B-5B11-4A9A-9E88-F3E5423532C8}">
    <text>Se aumenta por 24 hrs</text>
  </threadedComment>
  <threadedComment ref="F354" dT="2025-10-23T16:15:46.77" personId="{138F461D-BD35-4740-82DD-D208171ADA57}" id="{D3734318-3E96-48AF-8D19-DEF7DC3C8E32}" parentId="{1A74067B-5B11-4A9A-9E88-F3E5423532C8}">
    <text>23 de octubre, se incrementa 1 Cajero Full producto de 2 mujeres embarazadas (correo 23-10)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F152" dT="2026-03-11T18:16:22.04" personId="{76E8D55C-B0E0-4DCE-9C57-E9CC454366BE}" id="{9A565DE0-AE2D-4496-9215-1F408652AA9C}">
    <text xml:space="preserve">Actualizado marzo26
</text>
  </threadedComment>
  <threadedComment ref="F231" dT="2025-10-29T17:41:47.14" personId="{138F461D-BD35-4740-82DD-D208171ADA57}" id="{100D1BA2-7A29-4B2E-A31F-A67AE223C197}">
    <text>Incrementar 1 PT 25 intermedio</text>
  </threadedComment>
  <threadedComment ref="F313" dT="2025-10-29T17:51:04.20" personId="{138F461D-BD35-4740-82DD-D208171ADA57}" id="{DACEC484-9AC9-44FB-BBBC-0F0BFBB928BF}">
    <text>+  1 PT 25 INTERMEDIO</text>
  </threadedComment>
  <threadedComment ref="F353" dT="2025-10-29T17:44:54.14" personId="{138F461D-BD35-4740-82DD-D208171ADA57}" id="{11D8C49A-80C7-43DC-9A33-60207DB5BA16}">
    <text>+ 1 PT25 PM</text>
  </threadedComment>
  <threadedComment ref="F354" dT="2025-05-15T16:15:42.54" personId="{138F461D-BD35-4740-82DD-D208171ADA57}" id="{5D1D0021-42C6-41B4-81A2-D6476F8BF20D}">
    <text>Se aumenta por 24 hrs</text>
  </threadedComment>
  <threadedComment ref="F354" dT="2025-10-23T16:15:46.77" personId="{138F461D-BD35-4740-82DD-D208171ADA57}" id="{66F5E361-4352-497D-BC14-1A44BB6C5C47}" parentId="{5D1D0021-42C6-41B4-81A2-D6476F8BF20D}">
    <text>23 de octubre, se incrementa 1 Cajero Full producto de 2 mujeres embarazadas (correo 23-10)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F50" dT="2025-10-29T17:41:47.14" personId="{138F461D-BD35-4740-82DD-D208171ADA57}" id="{DB0CA0E5-C8E4-4951-A68A-4E6FE180B70E}">
    <text>Incrementar 1 PT 25 intermedio</text>
  </threadedComment>
  <threadedComment ref="F51" dT="2025-10-29T17:44:54.14" personId="{138F461D-BD35-4740-82DD-D208171ADA57}" id="{3E00A6F1-60D9-44E3-92D2-D429A1C4FD31}">
    <text>+ 1 PT25 PM</text>
  </threadedComment>
  <threadedComment ref="F53" dT="2025-05-15T16:15:42.54" personId="{138F461D-BD35-4740-82DD-D208171ADA57}" id="{5B3CB41D-FDF7-4067-A5CB-FD3694239BE3}">
    <text>Se aumenta por 24 hrs</text>
  </threadedComment>
  <threadedComment ref="F53" dT="2025-10-23T16:15:46.77" personId="{138F461D-BD35-4740-82DD-D208171ADA57}" id="{FB801AD0-79E3-40C6-BFFC-16FC7F242FD9}" parentId="{5B3CB41D-FDF7-4067-A5CB-FD3694239BE3}">
    <text>23 de octubre, se incrementa 1 Cajero Full producto de 2 mujeres embarazadas (correo 23-10)</text>
  </threadedComment>
  <threadedComment ref="F71" dT="2025-10-29T17:51:04.20" personId="{138F461D-BD35-4740-82DD-D208171ADA57}" id="{B18CB499-5491-4D03-8A87-87AD80DA32D9}">
    <text>+  1 PT 25 INTERMEDIO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D46" dT="2025-10-29T17:41:47.14" personId="{138F461D-BD35-4740-82DD-D208171ADA57}" id="{A1E6D2E8-561F-458C-90A5-C6D0EEA3DE0A}">
    <text>Incrementar 1 PT 25 intermedio</text>
  </threadedComment>
  <threadedComment ref="D47" dT="2025-10-29T17:44:54.14" personId="{138F461D-BD35-4740-82DD-D208171ADA57}" id="{F169C6AC-B773-4F9E-BEAD-57B20EB2CB0A}">
    <text>+ 1 PT25 PM</text>
  </threadedComment>
  <threadedComment ref="D49" dT="2025-05-15T16:15:42.54" personId="{138F461D-BD35-4740-82DD-D208171ADA57}" id="{441910F0-9D9E-44BC-B8FF-4B22BD7DD0A1}">
    <text>Se aumenta por 24 hrs</text>
  </threadedComment>
  <threadedComment ref="D49" dT="2025-10-23T16:15:46.77" personId="{138F461D-BD35-4740-82DD-D208171ADA57}" id="{D7FCB509-2981-452D-92ED-67FFB681662F}" parentId="{441910F0-9D9E-44BC-B8FF-4B22BD7DD0A1}">
    <text>23 de octubre, se incrementa 1 Cajero Full producto de 2 mujeres embarazadas (correo 23-10)</text>
  </threadedComment>
  <threadedComment ref="D67" dT="2025-10-29T17:51:04.20" personId="{138F461D-BD35-4740-82DD-D208171ADA57}" id="{F3C28588-B199-4883-B61A-D19526E75833}">
    <text>+  1 PT 25 INTERMEDIO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F50" dT="2025-10-29T17:41:47.14" personId="{138F461D-BD35-4740-82DD-D208171ADA57}" id="{0D5683C9-F0ED-470B-BED2-741DBB92FBFA}">
    <text>Incrementar 1 PT 25 intermedio</text>
  </threadedComment>
  <threadedComment ref="F51" dT="2025-10-29T17:44:54.14" personId="{138F461D-BD35-4740-82DD-D208171ADA57}" id="{4D2501EF-21AE-4118-9C68-CD9E664DD3FF}">
    <text>+ 1 PT25 PM</text>
  </threadedComment>
  <threadedComment ref="F53" dT="2025-05-15T16:15:42.54" personId="{138F461D-BD35-4740-82DD-D208171ADA57}" id="{6399D11A-ABB8-4FEE-A22B-A4EE76D33B50}">
    <text>Se aumenta por 24 hrs</text>
  </threadedComment>
  <threadedComment ref="F53" dT="2025-10-23T16:15:46.77" personId="{138F461D-BD35-4740-82DD-D208171ADA57}" id="{9E7BA0C3-4BC7-4D16-8CE1-EE94C8761A07}" parentId="{6399D11A-ABB8-4FEE-A22B-A4EE76D33B50}">
    <text>23 de octubre, se incrementa 1 Cajero Full producto de 2 mujeres embarazadas (correo 23-10)</text>
  </threadedComment>
  <threadedComment ref="F71" dT="2025-10-29T17:51:04.20" personId="{138F461D-BD35-4740-82DD-D208171ADA57}" id="{EAD42D31-0F17-40F0-B6C5-80CC03A26DBE}">
    <text>+  1 PT 25 INTERMEDIO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F50" dT="2025-10-29T17:41:47.14" personId="{138F461D-BD35-4740-82DD-D208171ADA57}" id="{2725A457-D4BE-4512-9A58-4FDDECD2FC05}">
    <text>Incrementar 1 PT 25 intermedio</text>
  </threadedComment>
  <threadedComment ref="F51" dT="2025-10-29T17:44:54.14" personId="{138F461D-BD35-4740-82DD-D208171ADA57}" id="{526DB2F2-8003-4C02-A761-54EE51F0938F}">
    <text>+ 1 PT25 PM</text>
  </threadedComment>
  <threadedComment ref="F53" dT="2025-05-15T16:15:42.54" personId="{138F461D-BD35-4740-82DD-D208171ADA57}" id="{1F966884-100C-46C0-9468-567AC65BEE4B}">
    <text>Se aumenta por 24 hrs</text>
  </threadedComment>
  <threadedComment ref="F53" dT="2025-10-23T16:15:46.77" personId="{138F461D-BD35-4740-82DD-D208171ADA57}" id="{97300BD5-A5B5-4AC0-8826-32F2C4940344}" parentId="{1F966884-100C-46C0-9468-567AC65BEE4B}">
    <text>23 de octubre, se incrementa 1 Cajero Full producto de 2 mujeres embarazadas (correo 23-10)</text>
  </threadedComment>
  <threadedComment ref="F71" dT="2025-10-29T17:51:04.20" personId="{138F461D-BD35-4740-82DD-D208171ADA57}" id="{637401C7-7380-44E3-88A0-09F3AE263B3A}">
    <text>+  1 PT 25 INTERMEDIO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F50" dT="2025-10-29T17:41:47.14" personId="{138F461D-BD35-4740-82DD-D208171ADA57}" id="{00CC1E3B-9D63-49F4-A899-1777698EB939}">
    <text>Incrementar 1 PT 25 intermedio</text>
  </threadedComment>
  <threadedComment ref="F51" dT="2025-10-29T17:44:54.14" personId="{138F461D-BD35-4740-82DD-D208171ADA57}" id="{52F35580-13B2-4574-BC7A-D2D884D915A9}">
    <text>+ 1 PT25 PM</text>
  </threadedComment>
  <threadedComment ref="F53" dT="2025-05-15T16:15:42.54" personId="{138F461D-BD35-4740-82DD-D208171ADA57}" id="{D72E2413-81DF-479F-88A5-5B9801EED6AB}">
    <text>Se aumenta por 24 hrs</text>
  </threadedComment>
  <threadedComment ref="F53" dT="2025-10-23T16:15:46.77" personId="{138F461D-BD35-4740-82DD-D208171ADA57}" id="{51208FDA-B443-47A5-9435-27672980209A}" parentId="{D72E2413-81DF-479F-88A5-5B9801EED6AB}">
    <text>23 de octubre, se incrementa 1 Cajero Full producto de 2 mujeres embarazadas (correo 23-10)</text>
  </threadedComment>
  <threadedComment ref="F71" dT="2025-10-29T17:51:04.20" personId="{138F461D-BD35-4740-82DD-D208171ADA57}" id="{60B028D5-AD24-4530-9EB1-F6061E448E52}">
    <text>+  1 PT 25 INTERMEDIO</text>
  </threadedComment>
  <threadedComment ref="F167" dT="2025-11-07T01:46:27.13" personId="{138F461D-BD35-4740-82DD-D208171ADA57}" id="{547FF833-90D7-4DE8-9166-1CAC69EAF759}">
    <text>A partir del 06-11 se modifica a 3,93</text>
  </threadedComment>
  <threadedComment ref="F202" dT="2025-11-07T01:46:27.13" personId="{138F461D-BD35-4740-82DD-D208171ADA57}" id="{42BE4721-2E72-4DCC-8D91-C4A69C669007}">
    <text>A partir del 06-11 se modifica a 3,93</text>
  </threadedComment>
  <threadedComment ref="F239" dT="2025-11-11T12:20:21.37" personId="{138F461D-BD35-4740-82DD-D208171ADA57}" id="{81404AFA-7E03-409C-998A-64520984ABD5}">
    <text>+ 1 PT 25 INTERMEDIO (11-11-25)</text>
  </threadedComment>
  <threadedComment ref="F343" dT="2025-11-11T12:20:21.37" personId="{138F461D-BD35-4740-82DD-D208171ADA57}" id="{55A501D6-0673-473F-AA06-C526CE87A157}">
    <text>+ 1 PT 25 INTERMEDIO (11-11-25)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F9" dT="2025-05-15T14:01:13.77" personId="{138F461D-BD35-4740-82DD-D208171ADA57}" id="{DC807D37-E33B-4CA5-8656-4E744E7E1022}">
    <text>Aumentar FTE a 12</text>
  </threadedComment>
  <threadedComment ref="F29" dT="2025-05-15T14:06:56.31" personId="{138F461D-BD35-4740-82DD-D208171ADA57}" id="{75EB8C94-C6D8-4333-98A3-512D5F4C526C}">
    <text>Aumentar FTE a 7</text>
  </threadedComment>
  <threadedComment ref="F49" dT="2025-05-15T16:06:37.08" personId="{138F461D-BD35-4740-82DD-D208171ADA57}" id="{3D9DAD1B-3286-44D2-B934-2021A7ABE755}">
    <text>Aumentar 3 por cajeros nocturnos (9,68), desde junio</text>
  </threadedComment>
  <threadedComment ref="F50" dT="2025-10-29T17:41:47.14" personId="{138F461D-BD35-4740-82DD-D208171ADA57}" id="{BCF57F45-F514-4318-8F08-1E6E9716CFC4}">
    <text>Incrementar 1 PT 25 intermedio</text>
  </threadedComment>
  <threadedComment ref="F51" dT="2025-10-29T17:44:54.14" personId="{138F461D-BD35-4740-82DD-D208171ADA57}" id="{2B590F8A-CE18-4FED-AF42-BEBB2C50D929}">
    <text>+ 1 PT25 PM</text>
  </threadedComment>
  <threadedComment ref="F53" dT="2025-05-15T16:15:42.54" personId="{138F461D-BD35-4740-82DD-D208171ADA57}" id="{A2C46600-69E2-4932-AF48-10393C9FE6AB}">
    <text>Se aumenta por 24 hrs</text>
  </threadedComment>
  <threadedComment ref="F53" dT="2025-10-23T16:15:46.77" personId="{138F461D-BD35-4740-82DD-D208171ADA57}" id="{79C659E2-B52B-4569-9C58-2FA4D8097F1D}" parentId="{A2C46600-69E2-4932-AF48-10393C9FE6AB}">
    <text>23 de octubre, se incrementa 1 Cajero Full producto de 2 mujeres embarazadas (correo 23-10)</text>
  </threadedComment>
  <threadedComment ref="F71" dT="2025-10-29T17:51:04.20" personId="{138F461D-BD35-4740-82DD-D208171ADA57}" id="{45278DAE-FC6B-4842-9925-6D2AAB09A877}">
    <text>+  1 PT 25 INTERMEDIO</text>
  </threadedComment>
  <threadedComment ref="F263" dT="2025-05-15T14:11:25.20" personId="{138F461D-BD35-4740-82DD-D208171ADA57}" id="{6E6FEDB7-2DEC-41B5-A55E-FA785FD1FB24}">
    <text>Aumentar FTE a 6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F9" dT="2025-05-15T14:01:13.77" personId="{138F461D-BD35-4740-82DD-D208171ADA57}" id="{3843B2A5-AFBC-47AE-ACAB-CC1F43667B68}">
    <text>Aumentar FTE a 12</text>
  </threadedComment>
  <threadedComment ref="F29" dT="2025-05-15T14:06:56.31" personId="{138F461D-BD35-4740-82DD-D208171ADA57}" id="{8171FF29-1AA9-4541-9D7E-889FC966B695}">
    <text>Aumentar FTE a 7</text>
  </threadedComment>
  <threadedComment ref="F37" dT="2025-04-30T16:22:15.64" personId="{138F461D-BD35-4740-82DD-D208171ADA57}" id="{0F34CF0F-FF24-4BDF-AF86-E1C1BBB1233C}">
    <text>Aumentar a 6</text>
  </threadedComment>
  <threadedComment ref="F49" dT="2025-05-15T16:06:37.08" personId="{138F461D-BD35-4740-82DD-D208171ADA57}" id="{4E041B6B-76F6-44D8-AADC-3DF233B07C8A}">
    <text>Aumentar 3 por cajeros nocturnos (9,68), desde junio</text>
  </threadedComment>
  <threadedComment ref="F53" dT="2025-05-15T16:15:42.54" personId="{138F461D-BD35-4740-82DD-D208171ADA57}" id="{B9C2B232-5413-4C20-8459-6D02B58B9928}">
    <text>Se aumenta por 24 hrs</text>
  </threadedComment>
  <threadedComment ref="F72" dT="2025-05-15T14:58:16.65" personId="{138F461D-BD35-4740-82DD-D208171ADA57}" id="{8DEA5BEE-D176-4DE9-B0D6-AA02CAC2BB81}">
    <text>Se aumenta el FTE debido a que la tienda cuenta con Uber</text>
  </threadedComment>
  <threadedComment ref="F75" dT="2025-05-15T14:59:11.16" personId="{138F461D-BD35-4740-82DD-D208171ADA57}" id="{628091EB-9A58-4F3C-938B-B36F6D6E95E5}">
    <text>Aumenta el FTE debido a que la tienda cuenta con Uber</text>
  </threadedComment>
  <threadedComment ref="F95" dT="2025-05-15T15:15:40.97" personId="{138F461D-BD35-4740-82DD-D208171ADA57}" id="{7DAB70EA-7E62-4F09-9886-66F90B45E677}">
    <text>Aumentar FTE a 7</text>
  </threadedComment>
  <threadedComment ref="F98" dT="2025-05-15T13:54:01.59" personId="{138F461D-BD35-4740-82DD-D208171ADA57}" id="{5171493E-E786-4376-B702-EA833B071B98}">
    <text>Aumentar a 6</text>
  </threadedComment>
  <threadedComment ref="F102" dT="2025-05-15T13:57:52.62" personId="{138F461D-BD35-4740-82DD-D208171ADA57}" id="{B148219A-7F21-426C-A24D-160206312C6D}">
    <text>Aumentar a 5,45</text>
  </threadedComment>
  <threadedComment ref="F137" dT="2025-05-15T16:21:42.10" personId="{138F461D-BD35-4740-82DD-D208171ADA57}" id="{00522D54-26BB-42F1-85F1-E706DA3FBFBD}">
    <text>Se incrementa un PT 20 hrs</text>
  </threadedComment>
  <threadedComment ref="F263" dT="2025-05-15T14:11:25.20" personId="{138F461D-BD35-4740-82DD-D208171ADA57}" id="{B92A87DB-99F5-4228-A8CE-C49424A57AEE}">
    <text>Aumentar FTE a 6</text>
  </threadedComment>
</ThreadedComments>
</file>

<file path=xl/threadedComments/threadedComment10.xml><?xml version="1.0" encoding="utf-8"?>
<ThreadedComments xmlns="http://schemas.microsoft.com/office/spreadsheetml/2018/threadedcomments" xmlns:x="http://schemas.openxmlformats.org/spreadsheetml/2006/main">
  <threadedComment ref="F5" dT="2025-05-15T14:01:13.77" personId="{138F461D-BD35-4740-82DD-D208171ADA57}" id="{5D9D916C-C337-4FDB-8216-BE0B0E351268}">
    <text>Aumentar FTE a 12</text>
  </threadedComment>
  <threadedComment ref="F25" dT="2025-05-15T14:06:56.31" personId="{138F461D-BD35-4740-82DD-D208171ADA57}" id="{2FDA7C2F-A59B-4499-97EA-6DDF54E38D64}">
    <text>Aumentar FTE a 7</text>
  </threadedComment>
  <threadedComment ref="F33" dT="2025-04-30T16:22:15.64" personId="{138F461D-BD35-4740-82DD-D208171ADA57}" id="{8809C50C-B00F-41F1-898E-216B12E40B88}">
    <text>Aumentar a 6</text>
  </threadedComment>
  <threadedComment ref="F45" dT="2025-05-15T16:06:37.08" personId="{138F461D-BD35-4740-82DD-D208171ADA57}" id="{3FF3B6CA-2376-4A5B-9896-581CD922DB30}">
    <text>Aumentar 3 por cajeros nocturnos (9,68), desde junio</text>
  </threadedComment>
  <threadedComment ref="F49" dT="2025-05-15T16:15:42.54" personId="{138F461D-BD35-4740-82DD-D208171ADA57}" id="{35A8AB3C-DEB3-4D22-9933-32E7C5270225}">
    <text>Se aumenta por 24 hrs</text>
  </threadedComment>
  <threadedComment ref="F68" dT="2025-05-15T14:58:16.65" personId="{138F461D-BD35-4740-82DD-D208171ADA57}" id="{F75F08B4-131B-4A33-BCA0-DF9BDB1B64B7}">
    <text>Se aumenta el FTE debido a que la tienda cuenta con Uber</text>
  </threadedComment>
  <threadedComment ref="F71" dT="2025-05-15T14:59:11.16" personId="{138F461D-BD35-4740-82DD-D208171ADA57}" id="{006DD8D7-80F5-4481-A2B3-A544D32363D3}">
    <text>Aumenta el FTE debido a que la tienda cuenta con Uber</text>
  </threadedComment>
  <threadedComment ref="F91" dT="2025-05-15T15:15:40.97" personId="{138F461D-BD35-4740-82DD-D208171ADA57}" id="{5736CD87-CE3E-45A9-8C0E-8A192C5AF4EC}">
    <text>Aumentar FTE a 7</text>
  </threadedComment>
  <threadedComment ref="F94" dT="2025-05-15T13:54:01.59" personId="{138F461D-BD35-4740-82DD-D208171ADA57}" id="{FB2C9C98-0074-465C-8E00-0D46DA656B65}">
    <text>Aumentar a 6</text>
  </threadedComment>
  <threadedComment ref="F98" dT="2025-05-15T13:57:52.62" personId="{138F461D-BD35-4740-82DD-D208171ADA57}" id="{837BE774-D9FB-4BC2-896A-2F9FCD578E9C}">
    <text>Aumentar a 5,45</text>
  </threadedComment>
  <threadedComment ref="F133" dT="2025-05-15T16:21:42.10" personId="{138F461D-BD35-4740-82DD-D208171ADA57}" id="{AF37BD93-153A-4A5F-A7AD-C3869252C5FF}">
    <text>Se incrementa un PT 20 hrs</text>
  </threadedComment>
  <threadedComment ref="F259" dT="2025-05-15T14:11:25.20" personId="{138F461D-BD35-4740-82DD-D208171ADA57}" id="{B3CB5467-302C-4E87-BCC6-6164344FBB30}">
    <text>Aumentar FTE a 6</text>
  </threadedComment>
</ThreadedComments>
</file>

<file path=xl/threadedComments/threadedComment11.xml><?xml version="1.0" encoding="utf-8"?>
<ThreadedComments xmlns="http://schemas.microsoft.com/office/spreadsheetml/2018/threadedcomments" xmlns:x="http://schemas.openxmlformats.org/spreadsheetml/2006/main">
  <threadedComment ref="F5" dT="2025-05-15T14:01:13.77" personId="{138F461D-BD35-4740-82DD-D208171ADA57}" id="{C67EF822-778D-4597-A818-F56B2C6C8642}">
    <text>Aumentar FTE a 12</text>
  </threadedComment>
  <threadedComment ref="F25" dT="2025-05-15T14:06:56.31" personId="{138F461D-BD35-4740-82DD-D208171ADA57}" id="{309EF4B2-FA60-41FE-BC3D-E17897D3E74F}">
    <text>Aumentar FTE a 7</text>
  </threadedComment>
  <threadedComment ref="F33" dT="2025-04-30T16:22:15.64" personId="{138F461D-BD35-4740-82DD-D208171ADA57}" id="{C3BE2382-363B-4B20-87C9-53E8EF9EBCE4}">
    <text>Aumentar a 6</text>
  </threadedComment>
  <threadedComment ref="F45" dT="2025-05-15T16:06:37.08" personId="{138F461D-BD35-4740-82DD-D208171ADA57}" id="{7068DCA2-8008-4818-A2AD-402DCAB6574E}">
    <text>Aumentar 3 por cajeros nocturnos (9,68), desde junio</text>
  </threadedComment>
  <threadedComment ref="F49" dT="2025-05-15T16:15:42.54" personId="{138F461D-BD35-4740-82DD-D208171ADA57}" id="{E2806E14-7459-4BB5-A57A-CBCCC914F715}">
    <text>Se aumenta por 24 hrs</text>
  </threadedComment>
  <threadedComment ref="F68" dT="2025-05-15T14:58:16.65" personId="{138F461D-BD35-4740-82DD-D208171ADA57}" id="{EB22A1B6-0A5D-4448-BA88-EA3ECBCB532C}">
    <text>Se aumenta el FTE debido a que la tienda cuenta con Uber</text>
  </threadedComment>
  <threadedComment ref="F71" dT="2025-05-15T14:59:11.16" personId="{138F461D-BD35-4740-82DD-D208171ADA57}" id="{02D79C64-9625-42AA-9851-447647C830FF}">
    <text>Aumenta el FTE debido a que la tienda cuenta con Uber</text>
  </threadedComment>
  <threadedComment ref="F91" dT="2025-05-15T15:15:40.97" personId="{138F461D-BD35-4740-82DD-D208171ADA57}" id="{B7AF87A8-FC58-49C6-8C57-1570D41CC07E}">
    <text>Aumentar FTE a 7</text>
  </threadedComment>
  <threadedComment ref="F94" dT="2025-05-15T13:54:01.59" personId="{138F461D-BD35-4740-82DD-D208171ADA57}" id="{9484D19E-586C-43FD-8412-5BB97DE4A240}">
    <text>Aumentar a 6</text>
  </threadedComment>
  <threadedComment ref="F98" dT="2025-05-15T13:57:52.62" personId="{138F461D-BD35-4740-82DD-D208171ADA57}" id="{9CFCE6E3-9F42-4941-8D2C-99CAD8F23CAA}">
    <text>Aumentar a 5,45</text>
  </threadedComment>
  <threadedComment ref="F133" dT="2025-05-15T16:21:42.10" personId="{138F461D-BD35-4740-82DD-D208171ADA57}" id="{46F93FD6-AF07-4AF8-99FB-6553040C733D}">
    <text>Se incrementa un PT 20 hrs</text>
  </threadedComment>
  <threadedComment ref="F259" dT="2025-05-15T14:11:25.20" personId="{138F461D-BD35-4740-82DD-D208171ADA57}" id="{C23A65F4-1398-4F6F-898B-D79C5E8BEF1A}">
    <text>Aumentar FTE a 6</text>
  </threadedComment>
</ThreadedComments>
</file>

<file path=xl/threadedComments/threadedComment12.xml><?xml version="1.0" encoding="utf-8"?>
<ThreadedComments xmlns="http://schemas.microsoft.com/office/spreadsheetml/2018/threadedcomments" xmlns:x="http://schemas.openxmlformats.org/spreadsheetml/2006/main">
  <threadedComment ref="F5" dT="2025-05-15T14:01:13.77" personId="{138F461D-BD35-4740-82DD-D208171ADA57}" id="{6FDFAF8A-A9CC-4881-8449-B1A2F2108A79}">
    <text>Aumentar FTE a 12</text>
  </threadedComment>
  <threadedComment ref="F25" dT="2025-05-15T14:06:56.31" personId="{138F461D-BD35-4740-82DD-D208171ADA57}" id="{25965BE5-C179-47B8-A0BF-496D4FDEA362}">
    <text>Aumentar FTE a 7</text>
  </threadedComment>
  <threadedComment ref="F33" dT="2025-04-30T16:22:15.64" personId="{138F461D-BD35-4740-82DD-D208171ADA57}" id="{BEAA7DA3-83D3-494F-A178-51AA308D2CFF}">
    <text>Aumentar a 6</text>
  </threadedComment>
  <threadedComment ref="F45" dT="2025-05-15T16:06:37.08" personId="{138F461D-BD35-4740-82DD-D208171ADA57}" id="{6C9F9030-7BA9-4E49-8743-7ABF18E73417}">
    <text>Aumentar 3 por cajeros nocturnos (9,68), desde junio</text>
  </threadedComment>
  <threadedComment ref="F49" dT="2025-05-15T16:15:42.54" personId="{138F461D-BD35-4740-82DD-D208171ADA57}" id="{F1EAB1E6-3C92-434D-9E2E-D6F75F555818}">
    <text>Se aumenta por 24 hrs</text>
  </threadedComment>
  <threadedComment ref="F68" dT="2025-05-15T14:58:16.65" personId="{138F461D-BD35-4740-82DD-D208171ADA57}" id="{8E781BC2-1053-4D95-B5E3-1B870118AC9D}">
    <text>Se aumenta el FTE debido a que la tienda cuenta con Uber</text>
  </threadedComment>
  <threadedComment ref="F71" dT="2025-05-15T14:59:11.16" personId="{138F461D-BD35-4740-82DD-D208171ADA57}" id="{C508DE04-260F-4536-96F2-60F67DDD9DED}">
    <text>Aumenta el FTE debido a que la tienda cuenta con Uber</text>
  </threadedComment>
  <threadedComment ref="F91" dT="2025-05-15T15:15:40.97" personId="{138F461D-BD35-4740-82DD-D208171ADA57}" id="{6A565AE3-CB27-4131-9F13-C6305FB2664B}">
    <text>Aumentar FTE a 7</text>
  </threadedComment>
  <threadedComment ref="F94" dT="2025-05-15T13:54:01.59" personId="{138F461D-BD35-4740-82DD-D208171ADA57}" id="{EF907C02-5849-4B59-ABA2-445D35E596C9}">
    <text>Aumentar a 6</text>
  </threadedComment>
  <threadedComment ref="F98" dT="2025-05-15T13:57:52.62" personId="{138F461D-BD35-4740-82DD-D208171ADA57}" id="{0BDDF551-20F4-4883-AE3F-93AE179D4D05}">
    <text>Aumentar a 5,45</text>
  </threadedComment>
  <threadedComment ref="F133" dT="2025-05-15T16:21:42.10" personId="{138F461D-BD35-4740-82DD-D208171ADA57}" id="{50FC9C20-D261-4C04-AB38-8152B535A9EB}">
    <text>Se incrementa un PT 20 hrs</text>
  </threadedComment>
  <threadedComment ref="F259" dT="2025-05-15T14:11:25.20" personId="{138F461D-BD35-4740-82DD-D208171ADA57}" id="{85D551D9-EE3F-43C6-BC84-F09182433593}">
    <text>Aumentar FTE a 6</text>
  </threadedComment>
</ThreadedComments>
</file>

<file path=xl/threadedComments/threadedComment13.xml><?xml version="1.0" encoding="utf-8"?>
<ThreadedComments xmlns="http://schemas.microsoft.com/office/spreadsheetml/2018/threadedcomments" xmlns:x="http://schemas.openxmlformats.org/spreadsheetml/2006/main">
  <threadedComment ref="F5" dT="2025-05-15T14:01:13.77" personId="{138F461D-BD35-4740-82DD-D208171ADA57}" id="{7DC08274-A342-4376-8F7E-40963251D355}">
    <text>Aumentar FTE a 12</text>
  </threadedComment>
  <threadedComment ref="F25" dT="2025-05-15T14:06:56.31" personId="{138F461D-BD35-4740-82DD-D208171ADA57}" id="{E3839A5A-D382-4D00-BD90-94C3AA8C35B9}">
    <text>Aumentar FTE a 7</text>
  </threadedComment>
  <threadedComment ref="F33" dT="2025-04-30T16:22:15.64" personId="{138F461D-BD35-4740-82DD-D208171ADA57}" id="{F7658562-D532-45E8-A4BD-2CE43A77D775}">
    <text>Aumentar a 6</text>
  </threadedComment>
  <threadedComment ref="F45" dT="2025-05-15T16:06:37.08" personId="{138F461D-BD35-4740-82DD-D208171ADA57}" id="{ED7F8343-151A-445A-B806-BFC3A1E9914C}">
    <text>Aumentar 3 por cajeros nocturnos (9,68), desde junio</text>
  </threadedComment>
  <threadedComment ref="F49" dT="2025-05-15T16:15:42.54" personId="{138F461D-BD35-4740-82DD-D208171ADA57}" id="{4FDA5604-C9C7-4132-8A73-BF470AFB0CEA}">
    <text>Se aumenta por 24 hrs</text>
  </threadedComment>
  <threadedComment ref="F68" dT="2025-05-15T14:58:16.65" personId="{138F461D-BD35-4740-82DD-D208171ADA57}" id="{AA2F3517-CF1C-4924-9874-64747D67EE91}">
    <text>Se aumenta el FTE debido a que la tienda cuenta con Uber</text>
  </threadedComment>
  <threadedComment ref="F71" dT="2025-05-15T14:59:11.16" personId="{138F461D-BD35-4740-82DD-D208171ADA57}" id="{7A243DD8-4E24-4722-B02D-C7DD5D7D8B50}">
    <text>Aumenta el FTE debido a que la tienda cuenta con Uber</text>
  </threadedComment>
  <threadedComment ref="F91" dT="2025-05-15T15:15:40.97" personId="{138F461D-BD35-4740-82DD-D208171ADA57}" id="{8D92A479-C160-4712-B0C3-E7556415CA86}">
    <text>Aumentar FTE a 7</text>
  </threadedComment>
  <threadedComment ref="F94" dT="2025-05-15T13:54:01.59" personId="{138F461D-BD35-4740-82DD-D208171ADA57}" id="{D1CA83DF-5194-4A48-9C92-E4AE64ECC09F}">
    <text>Aumentar a 6</text>
  </threadedComment>
  <threadedComment ref="F98" dT="2025-05-15T13:57:52.62" personId="{138F461D-BD35-4740-82DD-D208171ADA57}" id="{5D588F42-332F-47BA-B87F-E3049218FCAA}">
    <text>Aumentar a 5,45</text>
  </threadedComment>
  <threadedComment ref="F133" dT="2025-05-15T16:21:42.10" personId="{138F461D-BD35-4740-82DD-D208171ADA57}" id="{662D6D46-B6B5-4A78-ABE3-F5FF648F13DF}">
    <text>Se incrementa un PT 20 hrs</text>
  </threadedComment>
  <threadedComment ref="F259" dT="2025-05-15T14:11:25.20" personId="{138F461D-BD35-4740-82DD-D208171ADA57}" id="{7807FB9B-B46D-4B6B-A18F-33B97B63BE49}">
    <text>Aumentar FTE a 6</text>
  </threadedComment>
</ThreadedComments>
</file>

<file path=xl/threadedComments/threadedComment14.xml><?xml version="1.0" encoding="utf-8"?>
<ThreadedComments xmlns="http://schemas.microsoft.com/office/spreadsheetml/2018/threadedcomments" xmlns:x="http://schemas.openxmlformats.org/spreadsheetml/2006/main">
  <threadedComment ref="F33" dT="2025-04-30T16:22:15.64" personId="{138F461D-BD35-4740-82DD-D208171ADA57}" id="{4ECDA99F-9781-4A86-B7C1-FB5DBEDAF9F2}">
    <text>Aumentar a 6</text>
  </threadedComment>
</ThreadedComments>
</file>

<file path=xl/threadedComments/threadedComment15.xml><?xml version="1.0" encoding="utf-8"?>
<ThreadedComments xmlns="http://schemas.microsoft.com/office/spreadsheetml/2018/threadedcomments" xmlns:x="http://schemas.openxmlformats.org/spreadsheetml/2006/main">
  <threadedComment ref="G39" dT="2025-03-24T19:13:14.66" personId="{138F461D-BD35-4740-82DD-D208171ADA57}" id="{2429DDFF-DFF5-4E52-9DB4-30B779EFD4BB}">
    <text xml:space="preserve">14-03-2025
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3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6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6.bin"/><Relationship Id="rId4" Type="http://schemas.microsoft.com/office/2017/10/relationships/threadedComment" Target="../threadedComments/threadedComment7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7.bin"/><Relationship Id="rId4" Type="http://schemas.microsoft.com/office/2017/10/relationships/threadedComment" Target="../threadedComments/threadedComment8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8.bin"/><Relationship Id="rId4" Type="http://schemas.microsoft.com/office/2017/10/relationships/threadedComment" Target="../threadedComments/threadedComment9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9.bin"/><Relationship Id="rId4" Type="http://schemas.microsoft.com/office/2017/10/relationships/threadedComment" Target="../threadedComments/threadedComment10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0.bin"/><Relationship Id="rId4" Type="http://schemas.microsoft.com/office/2017/10/relationships/threadedComment" Target="../threadedComments/threadedComment11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1.bin"/><Relationship Id="rId4" Type="http://schemas.microsoft.com/office/2017/10/relationships/threadedComment" Target="../threadedComments/threadedComment12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2.bin"/><Relationship Id="rId4" Type="http://schemas.microsoft.com/office/2017/10/relationships/threadedComment" Target="../threadedComments/threadedComment13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3.bin"/><Relationship Id="rId4" Type="http://schemas.microsoft.com/office/2017/10/relationships/threadedComment" Target="../threadedComments/threadedComment14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4.bin"/><Relationship Id="rId4" Type="http://schemas.microsoft.com/office/2017/10/relationships/threadedComment" Target="../threadedComments/threadedComment15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4B178-2023-4A53-AD4B-8AB50F335E33}">
  <sheetPr codeName="Hoja5">
    <tabColor theme="4" tint="-0.249977111117893"/>
  </sheetPr>
  <dimension ref="A2:AN42"/>
  <sheetViews>
    <sheetView topLeftCell="A13" zoomScale="90" zoomScaleNormal="90" workbookViewId="0">
      <pane ySplit="3" topLeftCell="A24" activePane="bottomLeft" state="frozen"/>
      <selection activeCell="A13" sqref="A13"/>
      <selection pane="bottomLeft" activeCell="C27" sqref="C27"/>
    </sheetView>
  </sheetViews>
  <sheetFormatPr baseColWidth="10" defaultColWidth="10.81640625" defaultRowHeight="12.5" x14ac:dyDescent="0.25"/>
  <cols>
    <col min="1" max="1" width="10.81640625" style="2"/>
    <col min="2" max="2" width="20.81640625" style="2" customWidth="1"/>
    <col min="3" max="3" width="16.54296875" style="2" customWidth="1"/>
    <col min="4" max="7" width="23.26953125" style="2" customWidth="1"/>
    <col min="8" max="8" width="9.54296875" style="2" customWidth="1"/>
    <col min="9" max="9" width="18.1796875" style="2" customWidth="1"/>
    <col min="10" max="35" width="10.81640625" style="2" customWidth="1"/>
    <col min="36" max="36" width="14.453125" style="2" customWidth="1"/>
    <col min="37" max="16384" width="10.81640625" style="2"/>
  </cols>
  <sheetData>
    <row r="2" spans="1:40" ht="13" thickBot="1" x14ac:dyDescent="0.3"/>
    <row r="3" spans="1:40" ht="14.5" thickBot="1" x14ac:dyDescent="0.35">
      <c r="A3"/>
      <c r="B3" s="62" t="s">
        <v>0</v>
      </c>
      <c r="C3" s="63">
        <v>10</v>
      </c>
      <c r="D3" s="63">
        <v>11</v>
      </c>
      <c r="E3" s="63">
        <v>5</v>
      </c>
      <c r="F3" s="63">
        <v>6</v>
      </c>
      <c r="G3" s="63">
        <v>10.462400000000001</v>
      </c>
      <c r="H3" s="63">
        <v>11.462400000000001</v>
      </c>
      <c r="I3" s="63">
        <v>5.2024999999999997</v>
      </c>
      <c r="J3" s="63">
        <v>8</v>
      </c>
      <c r="K3" s="63">
        <v>10.58</v>
      </c>
      <c r="L3" s="63">
        <v>7</v>
      </c>
      <c r="M3" s="63">
        <v>6.4050000000000002</v>
      </c>
      <c r="N3" s="63">
        <v>7.2024999999999997</v>
      </c>
      <c r="O3" s="63">
        <v>8.2025000000000006</v>
      </c>
      <c r="P3" s="63">
        <v>9</v>
      </c>
      <c r="Q3" s="63">
        <v>2</v>
      </c>
      <c r="R3" s="63">
        <v>4</v>
      </c>
      <c r="S3" s="63">
        <v>5.45</v>
      </c>
      <c r="T3" s="63">
        <v>5.4050000000000002</v>
      </c>
      <c r="U3" s="63">
        <v>6.4623999999999997</v>
      </c>
      <c r="V3" s="63">
        <v>8.4049999999999994</v>
      </c>
      <c r="W3" s="63">
        <v>8.6649000000000012</v>
      </c>
      <c r="X3" s="63">
        <v>6.2024999999999997</v>
      </c>
      <c r="Y3" s="63">
        <v>5.6648999999999994</v>
      </c>
      <c r="Z3" s="63">
        <v>8.4624000000000006</v>
      </c>
      <c r="AA3" s="63">
        <v>9.2025000000000006</v>
      </c>
      <c r="AB3" s="63">
        <v>7.4050000000000002</v>
      </c>
      <c r="AC3" s="63">
        <v>9.4049999999999994</v>
      </c>
      <c r="AD3" s="63">
        <v>12</v>
      </c>
      <c r="AE3" s="63">
        <v>9.8673999999999999</v>
      </c>
      <c r="AF3" s="63">
        <v>9.6649000000000012</v>
      </c>
      <c r="AG3" s="63">
        <v>3</v>
      </c>
      <c r="AH3" s="67">
        <v>5.04</v>
      </c>
      <c r="AI3" s="67">
        <v>4.4800000000000004</v>
      </c>
      <c r="AJ3" s="67">
        <v>6.160000000000001</v>
      </c>
      <c r="AK3" s="67">
        <v>5.6</v>
      </c>
      <c r="AL3" s="67">
        <v>3.3600000000000003</v>
      </c>
    </row>
    <row r="4" spans="1:40" ht="14" x14ac:dyDescent="0.3">
      <c r="A4" s="2">
        <v>1</v>
      </c>
      <c r="B4" s="57" t="s">
        <v>1</v>
      </c>
      <c r="C4" s="58">
        <v>1</v>
      </c>
      <c r="D4" s="58">
        <v>1</v>
      </c>
      <c r="E4" s="59">
        <v>1</v>
      </c>
      <c r="F4" s="59">
        <v>1</v>
      </c>
      <c r="G4" s="58">
        <v>1</v>
      </c>
      <c r="H4" s="58">
        <v>1</v>
      </c>
      <c r="I4" s="59">
        <v>1</v>
      </c>
      <c r="J4" s="58">
        <v>1</v>
      </c>
      <c r="K4" s="58">
        <v>1</v>
      </c>
      <c r="L4" s="58">
        <v>1</v>
      </c>
      <c r="M4" s="59">
        <v>1</v>
      </c>
      <c r="N4" s="58">
        <v>1</v>
      </c>
      <c r="O4" s="58">
        <v>1</v>
      </c>
      <c r="P4" s="58">
        <v>1</v>
      </c>
      <c r="Q4" s="59">
        <v>1</v>
      </c>
      <c r="R4" s="59">
        <v>1</v>
      </c>
      <c r="S4" s="58">
        <v>1</v>
      </c>
      <c r="T4" s="58">
        <v>1</v>
      </c>
      <c r="U4" s="58">
        <v>1</v>
      </c>
      <c r="V4" s="58">
        <v>1</v>
      </c>
      <c r="W4" s="58">
        <v>1</v>
      </c>
      <c r="X4" s="59">
        <v>1</v>
      </c>
      <c r="Y4" s="59">
        <v>1</v>
      </c>
      <c r="Z4" s="58">
        <v>1</v>
      </c>
      <c r="AA4" s="58">
        <v>1</v>
      </c>
      <c r="AB4" s="58">
        <v>1</v>
      </c>
      <c r="AC4" s="58">
        <v>1</v>
      </c>
      <c r="AD4" s="58">
        <v>1</v>
      </c>
      <c r="AE4" s="58">
        <v>1</v>
      </c>
      <c r="AF4" s="58">
        <v>1</v>
      </c>
      <c r="AG4" s="58">
        <v>1</v>
      </c>
      <c r="AH4" s="59">
        <v>1</v>
      </c>
      <c r="AI4" s="57">
        <v>1</v>
      </c>
      <c r="AJ4" s="57">
        <v>1</v>
      </c>
      <c r="AK4" s="57">
        <v>1</v>
      </c>
      <c r="AL4" s="57">
        <v>1</v>
      </c>
    </row>
    <row r="5" spans="1:40" ht="14" x14ac:dyDescent="0.3">
      <c r="A5" s="2">
        <v>1</v>
      </c>
      <c r="B5" s="59" t="s">
        <v>2</v>
      </c>
      <c r="C5" s="58">
        <v>2</v>
      </c>
      <c r="D5" s="58">
        <v>2</v>
      </c>
      <c r="E5" s="59">
        <v>2</v>
      </c>
      <c r="F5" s="59">
        <v>2</v>
      </c>
      <c r="G5" s="58">
        <v>2</v>
      </c>
      <c r="H5" s="58">
        <v>2</v>
      </c>
      <c r="I5" s="59">
        <v>2</v>
      </c>
      <c r="J5" s="58">
        <v>2</v>
      </c>
      <c r="K5" s="58">
        <v>2</v>
      </c>
      <c r="L5" s="58">
        <v>2</v>
      </c>
      <c r="M5" s="59">
        <v>2</v>
      </c>
      <c r="N5" s="58">
        <v>2</v>
      </c>
      <c r="O5" s="58">
        <v>2</v>
      </c>
      <c r="P5" s="58">
        <v>2</v>
      </c>
      <c r="Q5" s="59">
        <v>0</v>
      </c>
      <c r="R5" s="59">
        <v>1</v>
      </c>
      <c r="S5" s="58">
        <v>2</v>
      </c>
      <c r="T5" s="58">
        <v>2</v>
      </c>
      <c r="U5" s="58">
        <v>2</v>
      </c>
      <c r="V5" s="58">
        <v>2</v>
      </c>
      <c r="W5" s="58">
        <v>2</v>
      </c>
      <c r="X5" s="59">
        <v>2</v>
      </c>
      <c r="Y5" s="59">
        <v>2</v>
      </c>
      <c r="Z5" s="58">
        <v>2</v>
      </c>
      <c r="AA5" s="58">
        <v>2</v>
      </c>
      <c r="AB5" s="58">
        <v>2</v>
      </c>
      <c r="AC5" s="58">
        <v>2</v>
      </c>
      <c r="AD5" s="58">
        <v>2</v>
      </c>
      <c r="AE5" s="58">
        <v>1</v>
      </c>
      <c r="AF5" s="58">
        <v>2</v>
      </c>
      <c r="AG5" s="58">
        <v>2</v>
      </c>
      <c r="AH5" s="59">
        <v>1</v>
      </c>
      <c r="AI5" s="59">
        <v>1</v>
      </c>
      <c r="AJ5" s="59">
        <v>1</v>
      </c>
      <c r="AK5" s="59">
        <v>1</v>
      </c>
      <c r="AL5" s="59">
        <v>1</v>
      </c>
    </row>
    <row r="6" spans="1:40" ht="14" x14ac:dyDescent="0.3">
      <c r="A6" s="2">
        <v>1</v>
      </c>
      <c r="B6" s="59" t="s">
        <v>3</v>
      </c>
      <c r="C6" s="58">
        <v>7</v>
      </c>
      <c r="D6" s="58">
        <v>8</v>
      </c>
      <c r="E6" s="59">
        <v>2</v>
      </c>
      <c r="F6" s="59">
        <v>3</v>
      </c>
      <c r="G6" s="58">
        <v>7</v>
      </c>
      <c r="H6" s="58">
        <v>8</v>
      </c>
      <c r="I6" s="59">
        <v>2</v>
      </c>
      <c r="J6" s="58">
        <v>5</v>
      </c>
      <c r="K6" s="58">
        <v>6</v>
      </c>
      <c r="L6" s="58">
        <v>4</v>
      </c>
      <c r="M6" s="59">
        <v>3</v>
      </c>
      <c r="N6" s="58">
        <v>4</v>
      </c>
      <c r="O6" s="58">
        <v>5</v>
      </c>
      <c r="P6" s="58">
        <v>6</v>
      </c>
      <c r="Q6" s="59">
        <v>1</v>
      </c>
      <c r="R6" s="59">
        <v>2</v>
      </c>
      <c r="S6" s="58">
        <v>2</v>
      </c>
      <c r="T6" s="58">
        <v>2</v>
      </c>
      <c r="U6" s="58">
        <v>3</v>
      </c>
      <c r="V6" s="58">
        <v>5</v>
      </c>
      <c r="W6" s="58">
        <v>5</v>
      </c>
      <c r="X6" s="59">
        <v>3</v>
      </c>
      <c r="Y6" s="59">
        <v>2</v>
      </c>
      <c r="Z6" s="58">
        <v>5</v>
      </c>
      <c r="AA6" s="58">
        <v>6</v>
      </c>
      <c r="AB6" s="58">
        <v>4</v>
      </c>
      <c r="AC6" s="58">
        <v>6</v>
      </c>
      <c r="AD6" s="58">
        <v>9</v>
      </c>
      <c r="AE6" s="58">
        <v>7</v>
      </c>
      <c r="AF6" s="58">
        <v>6</v>
      </c>
      <c r="AG6" s="59"/>
      <c r="AH6" s="59"/>
      <c r="AI6" s="59"/>
      <c r="AJ6" s="59">
        <v>0</v>
      </c>
      <c r="AK6" s="59">
        <v>0</v>
      </c>
      <c r="AL6" s="59">
        <v>0</v>
      </c>
    </row>
    <row r="7" spans="1:40" ht="14" x14ac:dyDescent="0.3">
      <c r="A7" s="2">
        <v>0.45</v>
      </c>
      <c r="B7" s="59" t="s">
        <v>4</v>
      </c>
      <c r="C7" s="58">
        <v>0</v>
      </c>
      <c r="D7" s="58">
        <v>0</v>
      </c>
      <c r="E7" s="59">
        <v>0</v>
      </c>
      <c r="F7" s="59">
        <v>0</v>
      </c>
      <c r="G7" s="58">
        <v>0.45</v>
      </c>
      <c r="H7" s="58">
        <v>0</v>
      </c>
      <c r="I7" s="59">
        <v>0.45</v>
      </c>
      <c r="J7" s="58">
        <v>0</v>
      </c>
      <c r="K7" s="58">
        <v>2</v>
      </c>
      <c r="L7" s="58">
        <v>0</v>
      </c>
      <c r="M7" s="59">
        <v>0.9</v>
      </c>
      <c r="N7" s="58">
        <v>0.45</v>
      </c>
      <c r="O7" s="58">
        <v>0.45</v>
      </c>
      <c r="P7" s="58">
        <v>0</v>
      </c>
      <c r="Q7" s="59">
        <v>0</v>
      </c>
      <c r="R7" s="59">
        <v>0</v>
      </c>
      <c r="S7" s="58">
        <v>0.45</v>
      </c>
      <c r="T7" s="58">
        <v>0.9</v>
      </c>
      <c r="U7" s="58">
        <v>0</v>
      </c>
      <c r="V7" s="58">
        <v>0.9</v>
      </c>
      <c r="W7" s="58">
        <v>0.45</v>
      </c>
      <c r="X7" s="59">
        <v>0.45</v>
      </c>
      <c r="Y7" s="59">
        <v>0.45</v>
      </c>
      <c r="Z7" s="58">
        <v>0</v>
      </c>
      <c r="AA7" s="58">
        <v>0.45</v>
      </c>
      <c r="AB7" s="58">
        <v>0.9</v>
      </c>
      <c r="AC7" s="58">
        <v>0.9</v>
      </c>
      <c r="AD7" s="58">
        <v>0</v>
      </c>
      <c r="AE7" s="58">
        <v>0.9</v>
      </c>
      <c r="AF7" s="58">
        <v>0.45</v>
      </c>
      <c r="AG7" s="59"/>
      <c r="AH7" s="59"/>
      <c r="AI7" s="59"/>
      <c r="AJ7" s="59">
        <v>0</v>
      </c>
      <c r="AK7" s="59">
        <v>0</v>
      </c>
      <c r="AL7" s="59">
        <v>0</v>
      </c>
    </row>
    <row r="8" spans="1:40" ht="14" x14ac:dyDescent="0.3">
      <c r="A8" s="2">
        <v>0.68</v>
      </c>
      <c r="B8" s="59" t="s">
        <v>5</v>
      </c>
      <c r="C8" s="59">
        <v>0</v>
      </c>
      <c r="D8" s="59">
        <v>0</v>
      </c>
      <c r="E8" s="59">
        <v>0</v>
      </c>
      <c r="F8" s="59">
        <v>0</v>
      </c>
      <c r="G8" s="58">
        <v>0</v>
      </c>
      <c r="H8" s="58">
        <v>0.68</v>
      </c>
      <c r="I8" s="59">
        <v>0</v>
      </c>
      <c r="J8" s="59">
        <v>0</v>
      </c>
      <c r="K8" s="59">
        <v>1</v>
      </c>
      <c r="L8" s="59">
        <v>0</v>
      </c>
      <c r="M8" s="59">
        <v>0</v>
      </c>
      <c r="N8" s="59">
        <v>0</v>
      </c>
      <c r="O8" s="59">
        <v>0</v>
      </c>
      <c r="P8" s="59">
        <v>0</v>
      </c>
      <c r="Q8" s="59">
        <v>0</v>
      </c>
      <c r="R8" s="59">
        <v>0</v>
      </c>
      <c r="S8" s="58">
        <v>0</v>
      </c>
      <c r="T8" s="58">
        <v>0</v>
      </c>
      <c r="U8" s="58">
        <v>0.68</v>
      </c>
      <c r="V8" s="58">
        <v>0</v>
      </c>
      <c r="W8" s="58">
        <v>0.68</v>
      </c>
      <c r="X8" s="59">
        <v>0</v>
      </c>
      <c r="Y8" s="59">
        <v>0.68</v>
      </c>
      <c r="Z8" s="59">
        <v>0.68</v>
      </c>
      <c r="AA8" s="59">
        <v>0</v>
      </c>
      <c r="AB8" s="59">
        <v>0</v>
      </c>
      <c r="AC8" s="59">
        <v>0</v>
      </c>
      <c r="AD8" s="58">
        <v>0</v>
      </c>
      <c r="AE8" s="59">
        <v>0.68</v>
      </c>
      <c r="AF8" s="58">
        <v>0.68</v>
      </c>
      <c r="AG8" s="59"/>
      <c r="AH8" s="59"/>
      <c r="AI8" s="59"/>
      <c r="AJ8" s="59">
        <v>0</v>
      </c>
      <c r="AK8" s="59">
        <v>0</v>
      </c>
      <c r="AL8" s="59">
        <v>2</v>
      </c>
    </row>
    <row r="9" spans="1:40" ht="14" x14ac:dyDescent="0.3">
      <c r="A9" s="2">
        <v>0.56000000000000005</v>
      </c>
      <c r="B9" s="59" t="s">
        <v>6</v>
      </c>
      <c r="C9" s="59"/>
      <c r="D9" s="59"/>
      <c r="E9" s="59"/>
      <c r="F9" s="59"/>
      <c r="G9" s="58"/>
      <c r="H9" s="58"/>
      <c r="I9" s="59"/>
      <c r="J9" s="59"/>
      <c r="K9" s="59"/>
      <c r="L9" s="59"/>
      <c r="M9" s="59"/>
      <c r="N9" s="59"/>
      <c r="O9" s="59"/>
      <c r="P9" s="59"/>
      <c r="Q9" s="59"/>
      <c r="R9" s="59"/>
      <c r="S9" s="58"/>
      <c r="T9" s="58"/>
      <c r="U9" s="58"/>
      <c r="V9" s="58"/>
      <c r="W9" s="58"/>
      <c r="X9" s="59"/>
      <c r="Y9" s="59"/>
      <c r="Z9" s="59"/>
      <c r="AA9" s="59"/>
      <c r="AB9" s="59"/>
      <c r="AC9" s="59"/>
      <c r="AD9" s="58"/>
      <c r="AE9" s="59"/>
      <c r="AF9" s="58"/>
      <c r="AG9" s="59"/>
      <c r="AH9" s="59">
        <v>3</v>
      </c>
      <c r="AI9" s="59">
        <v>2</v>
      </c>
      <c r="AJ9" s="59">
        <v>5</v>
      </c>
      <c r="AK9" s="59">
        <v>4</v>
      </c>
      <c r="AL9" s="59">
        <v>0</v>
      </c>
    </row>
    <row r="10" spans="1:40" ht="14.5" thickBot="1" x14ac:dyDescent="0.35">
      <c r="A10" s="2">
        <v>0.34</v>
      </c>
      <c r="B10" s="60" t="s">
        <v>7</v>
      </c>
      <c r="C10" s="60"/>
      <c r="D10" s="60"/>
      <c r="E10" s="60"/>
      <c r="F10" s="60"/>
      <c r="G10" s="61"/>
      <c r="H10" s="61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1"/>
      <c r="T10" s="61"/>
      <c r="U10" s="61"/>
      <c r="V10" s="61"/>
      <c r="W10" s="61"/>
      <c r="X10" s="60"/>
      <c r="Y10" s="60"/>
      <c r="Z10" s="60"/>
      <c r="AA10" s="60"/>
      <c r="AB10" s="60"/>
      <c r="AC10" s="60"/>
      <c r="AD10" s="61"/>
      <c r="AE10" s="60"/>
      <c r="AF10" s="61"/>
      <c r="AG10" s="60"/>
      <c r="AH10" s="59">
        <v>4</v>
      </c>
      <c r="AI10" s="60">
        <v>4</v>
      </c>
      <c r="AJ10" s="60">
        <v>4</v>
      </c>
      <c r="AK10" s="60">
        <v>4</v>
      </c>
      <c r="AL10" s="60">
        <v>0</v>
      </c>
    </row>
    <row r="11" spans="1:40" ht="13.5" thickBot="1" x14ac:dyDescent="0.3">
      <c r="B11" s="56" t="s">
        <v>8</v>
      </c>
      <c r="C11" s="64">
        <f t="shared" ref="C11:AI11" si="0">($A$4*C4)+($A$5*C5)+($A$6*C6)+($A$7*C7)+($A$8*C8)+($A$9*C9)+($A$10*C10)</f>
        <v>10</v>
      </c>
      <c r="D11" s="64">
        <f t="shared" si="0"/>
        <v>11</v>
      </c>
      <c r="E11" s="64">
        <f t="shared" si="0"/>
        <v>5</v>
      </c>
      <c r="F11" s="64">
        <f t="shared" si="0"/>
        <v>6</v>
      </c>
      <c r="G11" s="64">
        <f t="shared" si="0"/>
        <v>10.202500000000001</v>
      </c>
      <c r="H11" s="64">
        <f t="shared" si="0"/>
        <v>11.462400000000001</v>
      </c>
      <c r="I11" s="64">
        <f t="shared" si="0"/>
        <v>5.2024999999999997</v>
      </c>
      <c r="J11" s="64">
        <f t="shared" si="0"/>
        <v>8</v>
      </c>
      <c r="K11" s="64">
        <f t="shared" si="0"/>
        <v>10.58</v>
      </c>
      <c r="L11" s="64">
        <f t="shared" si="0"/>
        <v>7</v>
      </c>
      <c r="M11" s="64">
        <f t="shared" si="0"/>
        <v>6.4050000000000002</v>
      </c>
      <c r="N11" s="64">
        <f t="shared" si="0"/>
        <v>7.2024999999999997</v>
      </c>
      <c r="O11" s="64">
        <f t="shared" si="0"/>
        <v>8.2025000000000006</v>
      </c>
      <c r="P11" s="64">
        <f t="shared" si="0"/>
        <v>9</v>
      </c>
      <c r="Q11" s="64">
        <f t="shared" si="0"/>
        <v>2</v>
      </c>
      <c r="R11" s="64">
        <f t="shared" si="0"/>
        <v>4</v>
      </c>
      <c r="S11" s="64">
        <f>($A$4*S4)+($A$5*S5)+($A$6*S6)+($A$7*S7)+($A$8*S8)+($A$9*S9)+($A$10*S10)</f>
        <v>5.2024999999999997</v>
      </c>
      <c r="T11" s="64">
        <f t="shared" si="0"/>
        <v>5.4050000000000002</v>
      </c>
      <c r="U11" s="64">
        <f t="shared" si="0"/>
        <v>6.4623999999999997</v>
      </c>
      <c r="V11" s="64">
        <f t="shared" si="0"/>
        <v>8.4049999999999994</v>
      </c>
      <c r="W11" s="64">
        <f t="shared" si="0"/>
        <v>8.6649000000000012</v>
      </c>
      <c r="X11" s="64">
        <f t="shared" si="0"/>
        <v>6.2024999999999997</v>
      </c>
      <c r="Y11" s="64">
        <f t="shared" si="0"/>
        <v>5.6648999999999994</v>
      </c>
      <c r="Z11" s="64">
        <f t="shared" si="0"/>
        <v>8.4624000000000006</v>
      </c>
      <c r="AA11" s="64">
        <f t="shared" si="0"/>
        <v>9.2025000000000006</v>
      </c>
      <c r="AB11" s="64">
        <f t="shared" si="0"/>
        <v>7.4050000000000002</v>
      </c>
      <c r="AC11" s="64">
        <f t="shared" si="0"/>
        <v>9.4049999999999994</v>
      </c>
      <c r="AD11" s="64">
        <f t="shared" si="0"/>
        <v>12</v>
      </c>
      <c r="AE11" s="64">
        <f t="shared" si="0"/>
        <v>9.8673999999999999</v>
      </c>
      <c r="AF11" s="64">
        <f t="shared" si="0"/>
        <v>9.6649000000000012</v>
      </c>
      <c r="AG11" s="64">
        <f t="shared" si="0"/>
        <v>3</v>
      </c>
      <c r="AH11" s="65">
        <f t="shared" si="0"/>
        <v>5.04</v>
      </c>
      <c r="AI11" s="65">
        <f t="shared" si="0"/>
        <v>4.4800000000000004</v>
      </c>
      <c r="AJ11" s="64">
        <f>($A$4*AJ4)+($A$5*AJ5)+($A$6*AJ6)+($A$7*AJ7)+($A$8*AJ8)+($A$9*AJ9)+($A$10*AJ10)</f>
        <v>6.160000000000001</v>
      </c>
      <c r="AK11" s="64">
        <f>($A$4*AK4)+($A$5*AK5)+($A$6*AK6)+($A$7*AK7)+($A$8*AK8)+($A$9*AK9)+($A$10*AK10)</f>
        <v>5.6000000000000005</v>
      </c>
      <c r="AL11" s="64">
        <f>($A$4*AL4)+($A$5*AL5)+($A$6*AL6)+($A$7*AL7)+($A$8*AL8)+($A$9*AL9)+($A$10*AL10)</f>
        <v>3.3600000000000003</v>
      </c>
      <c r="AM11" s="2">
        <f>5.26-0.56</f>
        <v>4.6999999999999993</v>
      </c>
      <c r="AN11" s="66">
        <f>AM11-AK11</f>
        <v>-0.90000000000000124</v>
      </c>
    </row>
    <row r="13" spans="1:40" x14ac:dyDescent="0.25">
      <c r="K13" s="2">
        <v>9.4499999999999993</v>
      </c>
    </row>
    <row r="14" spans="1:40" ht="13" thickBot="1" x14ac:dyDescent="0.3">
      <c r="K14" s="66">
        <f>K13-K11</f>
        <v>-1.1300000000000008</v>
      </c>
    </row>
    <row r="15" spans="1:40" ht="13.5" thickBot="1" x14ac:dyDescent="0.3">
      <c r="C15" s="6" t="s">
        <v>8</v>
      </c>
      <c r="D15" s="3" t="s">
        <v>1</v>
      </c>
      <c r="E15" s="3" t="s">
        <v>2</v>
      </c>
      <c r="F15" s="3" t="s">
        <v>3</v>
      </c>
      <c r="G15" s="3" t="s">
        <v>5</v>
      </c>
      <c r="H15" s="2" t="s">
        <v>9</v>
      </c>
      <c r="I15" s="3" t="s">
        <v>4</v>
      </c>
      <c r="J15" s="2" t="s">
        <v>10</v>
      </c>
      <c r="Q15" s="3" t="s">
        <v>4</v>
      </c>
      <c r="S15" s="2">
        <v>0.45</v>
      </c>
    </row>
    <row r="16" spans="1:40" ht="13.5" thickBot="1" x14ac:dyDescent="0.35">
      <c r="C16" s="7">
        <v>10</v>
      </c>
      <c r="D16" s="10">
        <v>1</v>
      </c>
      <c r="E16" s="12">
        <v>2</v>
      </c>
      <c r="F16" s="12">
        <v>7</v>
      </c>
      <c r="G16" s="3">
        <v>0</v>
      </c>
      <c r="I16" s="12">
        <v>0</v>
      </c>
      <c r="Q16" s="3" t="s">
        <v>5</v>
      </c>
      <c r="S16" s="2">
        <v>0.68</v>
      </c>
    </row>
    <row r="17" spans="3:19" ht="13.5" thickBot="1" x14ac:dyDescent="0.35">
      <c r="C17" s="7">
        <v>11</v>
      </c>
      <c r="D17" s="10">
        <v>1</v>
      </c>
      <c r="E17" s="12">
        <v>2</v>
      </c>
      <c r="F17" s="12">
        <v>8</v>
      </c>
      <c r="G17" s="3">
        <v>0</v>
      </c>
      <c r="I17" s="12">
        <v>0</v>
      </c>
      <c r="Q17" s="3" t="s">
        <v>6</v>
      </c>
      <c r="S17" s="2">
        <v>0.56000000000000005</v>
      </c>
    </row>
    <row r="18" spans="3:19" ht="13.5" thickBot="1" x14ac:dyDescent="0.35">
      <c r="C18" s="8">
        <v>5</v>
      </c>
      <c r="D18" s="11">
        <v>1</v>
      </c>
      <c r="E18" s="3">
        <v>2</v>
      </c>
      <c r="F18" s="3">
        <v>2</v>
      </c>
      <c r="G18" s="3">
        <v>0</v>
      </c>
      <c r="I18" s="3">
        <v>0</v>
      </c>
      <c r="Q18" s="3" t="s">
        <v>7</v>
      </c>
      <c r="S18" s="2">
        <v>0.34</v>
      </c>
    </row>
    <row r="19" spans="3:19" ht="13.5" thickBot="1" x14ac:dyDescent="0.35">
      <c r="C19" s="8">
        <v>6</v>
      </c>
      <c r="D19" s="11">
        <v>1</v>
      </c>
      <c r="E19" s="3">
        <v>2</v>
      </c>
      <c r="F19" s="3">
        <v>3</v>
      </c>
      <c r="G19" s="3">
        <v>0</v>
      </c>
      <c r="I19" s="3">
        <v>0</v>
      </c>
    </row>
    <row r="20" spans="3:19" ht="13.5" thickBot="1" x14ac:dyDescent="0.35">
      <c r="C20" s="8">
        <v>10.68</v>
      </c>
      <c r="D20" s="10">
        <v>1</v>
      </c>
      <c r="E20" s="12">
        <v>2</v>
      </c>
      <c r="F20" s="12">
        <v>7</v>
      </c>
      <c r="G20" s="12">
        <v>0.68</v>
      </c>
      <c r="I20" s="12">
        <v>0</v>
      </c>
    </row>
    <row r="21" spans="3:19" ht="13.5" thickBot="1" x14ac:dyDescent="0.35">
      <c r="C21" s="8">
        <v>11.68</v>
      </c>
      <c r="D21" s="10">
        <v>1</v>
      </c>
      <c r="E21" s="12">
        <v>2</v>
      </c>
      <c r="F21" s="12">
        <v>8</v>
      </c>
      <c r="G21" s="12">
        <v>0.68</v>
      </c>
      <c r="I21" s="12">
        <v>0</v>
      </c>
    </row>
    <row r="22" spans="3:19" ht="13.5" thickBot="1" x14ac:dyDescent="0.35">
      <c r="C22" s="8">
        <v>5.45</v>
      </c>
      <c r="D22" s="11">
        <v>1</v>
      </c>
      <c r="E22" s="3">
        <v>2</v>
      </c>
      <c r="F22" s="3">
        <v>2</v>
      </c>
      <c r="G22" s="3">
        <v>0</v>
      </c>
      <c r="I22" s="3">
        <v>0.45</v>
      </c>
    </row>
    <row r="23" spans="3:19" ht="13.5" thickBot="1" x14ac:dyDescent="0.35">
      <c r="C23" s="8">
        <v>8</v>
      </c>
      <c r="D23" s="10">
        <v>1</v>
      </c>
      <c r="E23" s="12">
        <v>2</v>
      </c>
      <c r="F23" s="12">
        <v>5</v>
      </c>
      <c r="G23" s="3">
        <v>0</v>
      </c>
      <c r="I23" s="12">
        <v>0</v>
      </c>
    </row>
    <row r="24" spans="3:19" ht="13.5" thickBot="1" x14ac:dyDescent="0.35">
      <c r="C24" s="8">
        <v>7</v>
      </c>
      <c r="D24" s="10">
        <v>1</v>
      </c>
      <c r="E24" s="12">
        <v>2</v>
      </c>
      <c r="F24" s="12">
        <v>4</v>
      </c>
      <c r="G24" s="3">
        <v>0</v>
      </c>
      <c r="I24" s="12">
        <v>0</v>
      </c>
    </row>
    <row r="25" spans="3:19" ht="13.5" thickBot="1" x14ac:dyDescent="0.35">
      <c r="C25" s="8">
        <v>6.9</v>
      </c>
      <c r="D25" s="11">
        <v>1</v>
      </c>
      <c r="E25" s="3">
        <v>2</v>
      </c>
      <c r="F25" s="3">
        <v>3</v>
      </c>
      <c r="G25" s="3">
        <v>0</v>
      </c>
      <c r="I25" s="3">
        <v>0.9</v>
      </c>
    </row>
    <row r="26" spans="3:19" ht="13.5" thickBot="1" x14ac:dyDescent="0.35">
      <c r="C26" s="8">
        <v>7.45</v>
      </c>
      <c r="D26" s="10">
        <v>1</v>
      </c>
      <c r="E26" s="12">
        <v>2</v>
      </c>
      <c r="F26" s="12">
        <v>4</v>
      </c>
      <c r="G26" s="3">
        <v>0</v>
      </c>
      <c r="I26" s="12">
        <v>0.45</v>
      </c>
    </row>
    <row r="27" spans="3:19" ht="13.5" thickBot="1" x14ac:dyDescent="0.35">
      <c r="C27" s="8">
        <v>8.4499999999999993</v>
      </c>
      <c r="D27" s="10">
        <v>1</v>
      </c>
      <c r="E27" s="12">
        <v>2</v>
      </c>
      <c r="F27" s="12">
        <v>5</v>
      </c>
      <c r="G27" s="3">
        <v>0</v>
      </c>
      <c r="I27" s="12">
        <v>0.45</v>
      </c>
    </row>
    <row r="28" spans="3:19" ht="13.5" thickBot="1" x14ac:dyDescent="0.35">
      <c r="C28" s="8">
        <v>9</v>
      </c>
      <c r="D28" s="10">
        <v>1</v>
      </c>
      <c r="E28" s="12">
        <v>2</v>
      </c>
      <c r="F28" s="12">
        <v>6</v>
      </c>
      <c r="G28" s="3">
        <v>0</v>
      </c>
      <c r="I28" s="12">
        <v>0</v>
      </c>
    </row>
    <row r="29" spans="3:19" ht="13.5" thickBot="1" x14ac:dyDescent="0.35">
      <c r="C29" s="8">
        <v>2</v>
      </c>
      <c r="D29" s="11">
        <v>1</v>
      </c>
      <c r="E29" s="3">
        <v>0</v>
      </c>
      <c r="F29" s="3">
        <v>1</v>
      </c>
      <c r="G29" s="3">
        <v>0</v>
      </c>
      <c r="I29" s="3">
        <v>0</v>
      </c>
    </row>
    <row r="30" spans="3:19" ht="13.5" thickBot="1" x14ac:dyDescent="0.35">
      <c r="C30" s="8">
        <v>4</v>
      </c>
      <c r="D30" s="11">
        <v>1</v>
      </c>
      <c r="E30" s="3">
        <v>1</v>
      </c>
      <c r="F30" s="3">
        <v>2</v>
      </c>
      <c r="G30" s="3">
        <v>0</v>
      </c>
      <c r="I30" s="3">
        <v>0</v>
      </c>
    </row>
    <row r="31" spans="3:19" ht="13.5" thickBot="1" x14ac:dyDescent="0.35">
      <c r="C31" s="8">
        <v>5.68</v>
      </c>
      <c r="D31" s="10">
        <v>1</v>
      </c>
      <c r="E31" s="12">
        <v>2</v>
      </c>
      <c r="F31" s="12">
        <v>2</v>
      </c>
      <c r="G31" s="12">
        <v>0.68</v>
      </c>
      <c r="I31" s="12">
        <v>0</v>
      </c>
    </row>
    <row r="32" spans="3:19" ht="13.5" thickBot="1" x14ac:dyDescent="0.35">
      <c r="C32" s="8">
        <v>5.9</v>
      </c>
      <c r="D32" s="10">
        <v>1</v>
      </c>
      <c r="E32" s="12">
        <v>2</v>
      </c>
      <c r="F32" s="12">
        <v>2</v>
      </c>
      <c r="G32" s="12">
        <v>0</v>
      </c>
      <c r="I32" s="12">
        <v>0.9</v>
      </c>
    </row>
    <row r="33" spans="3:10" ht="13.5" thickBot="1" x14ac:dyDescent="0.35">
      <c r="C33" s="8">
        <v>6.68</v>
      </c>
      <c r="D33" s="10">
        <v>1</v>
      </c>
      <c r="E33" s="12">
        <v>2</v>
      </c>
      <c r="F33" s="12">
        <v>3</v>
      </c>
      <c r="G33" s="12">
        <v>0.68</v>
      </c>
      <c r="I33" s="12">
        <v>0</v>
      </c>
    </row>
    <row r="34" spans="3:10" ht="13.5" thickBot="1" x14ac:dyDescent="0.35">
      <c r="C34" s="9">
        <v>8.9</v>
      </c>
      <c r="D34" s="10">
        <v>1</v>
      </c>
      <c r="E34" s="12">
        <v>2</v>
      </c>
      <c r="F34" s="12">
        <v>5</v>
      </c>
      <c r="G34" s="12">
        <v>0</v>
      </c>
      <c r="I34" s="12">
        <v>0.9</v>
      </c>
    </row>
    <row r="35" spans="3:10" ht="13" x14ac:dyDescent="0.3">
      <c r="C35" s="15">
        <v>9.1300000000000008</v>
      </c>
      <c r="D35" s="12">
        <v>1</v>
      </c>
      <c r="E35" s="12">
        <v>2</v>
      </c>
      <c r="F35" s="12">
        <v>5</v>
      </c>
      <c r="G35" s="12">
        <v>0.68</v>
      </c>
      <c r="I35" s="12">
        <v>0.45</v>
      </c>
    </row>
    <row r="36" spans="3:10" ht="13" x14ac:dyDescent="0.3">
      <c r="C36" s="15">
        <v>6.45</v>
      </c>
      <c r="D36" s="3">
        <v>1</v>
      </c>
      <c r="E36" s="3">
        <v>2</v>
      </c>
      <c r="F36" s="3">
        <v>3</v>
      </c>
      <c r="G36" s="3">
        <v>0</v>
      </c>
      <c r="I36" s="3">
        <v>0.45</v>
      </c>
    </row>
    <row r="37" spans="3:10" ht="13" x14ac:dyDescent="0.3">
      <c r="C37" s="15">
        <v>6.13</v>
      </c>
      <c r="D37" s="3">
        <v>1</v>
      </c>
      <c r="E37" s="3">
        <v>2</v>
      </c>
      <c r="F37" s="3">
        <v>2</v>
      </c>
      <c r="G37" s="3">
        <v>0.68</v>
      </c>
      <c r="I37" s="3">
        <v>0.45</v>
      </c>
    </row>
    <row r="38" spans="3:10" ht="13" x14ac:dyDescent="0.3">
      <c r="C38" s="15">
        <v>8.68</v>
      </c>
      <c r="D38" s="12">
        <v>1</v>
      </c>
      <c r="E38" s="12">
        <v>2</v>
      </c>
      <c r="F38" s="12">
        <v>5</v>
      </c>
      <c r="G38" s="3">
        <v>0.68</v>
      </c>
      <c r="I38" s="12">
        <v>0</v>
      </c>
    </row>
    <row r="39" spans="3:10" ht="13" x14ac:dyDescent="0.3">
      <c r="C39" s="15">
        <v>9.4499999999999993</v>
      </c>
      <c r="D39" s="12">
        <v>1</v>
      </c>
      <c r="E39" s="12">
        <v>2</v>
      </c>
      <c r="F39" s="12">
        <v>6</v>
      </c>
      <c r="G39" s="3">
        <v>0</v>
      </c>
      <c r="I39" s="12">
        <v>0.45</v>
      </c>
    </row>
    <row r="40" spans="3:10" x14ac:dyDescent="0.25">
      <c r="C40" s="14">
        <v>5.04</v>
      </c>
      <c r="D40" s="2">
        <v>1</v>
      </c>
      <c r="E40" s="2">
        <v>1</v>
      </c>
      <c r="F40" s="2">
        <v>0</v>
      </c>
      <c r="G40" s="2">
        <v>0</v>
      </c>
      <c r="H40" s="2">
        <v>3</v>
      </c>
      <c r="I40" s="2">
        <v>0</v>
      </c>
      <c r="J40" s="2">
        <v>4</v>
      </c>
    </row>
    <row r="41" spans="3:10" x14ac:dyDescent="0.25">
      <c r="C41" s="14">
        <v>6.28</v>
      </c>
      <c r="D41" s="2">
        <v>1</v>
      </c>
      <c r="E41" s="2">
        <v>1</v>
      </c>
      <c r="G41" s="2">
        <v>1</v>
      </c>
      <c r="H41" s="2">
        <v>4</v>
      </c>
      <c r="J41" s="2">
        <v>4</v>
      </c>
    </row>
    <row r="42" spans="3:10" x14ac:dyDescent="0.25">
      <c r="C42" s="14">
        <v>2.1</v>
      </c>
      <c r="D42" s="2">
        <v>1</v>
      </c>
      <c r="G42" s="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73A1C-683A-44B2-9120-EC616E1086FB}">
  <sheetPr filterMode="1"/>
  <dimension ref="A1:AE413"/>
  <sheetViews>
    <sheetView tabSelected="1" zoomScale="70" zoomScaleNormal="70" workbookViewId="0">
      <selection activeCell="C311" sqref="C7:F311"/>
    </sheetView>
  </sheetViews>
  <sheetFormatPr baseColWidth="10" defaultColWidth="10.81640625" defaultRowHeight="12.5" x14ac:dyDescent="0.25"/>
  <cols>
    <col min="1" max="1" width="6.453125" style="48" customWidth="1"/>
    <col min="2" max="2" width="5.26953125" style="48" customWidth="1"/>
    <col min="3" max="3" width="17.26953125" style="48" bestFit="1" customWidth="1"/>
    <col min="4" max="4" width="40.54296875" style="48" customWidth="1"/>
    <col min="5" max="5" width="42.54296875" style="48" customWidth="1"/>
    <col min="6" max="6" width="23" style="48" customWidth="1"/>
    <col min="7" max="8" width="23.54296875" style="48" customWidth="1"/>
    <col min="9" max="9" width="30" style="48" customWidth="1"/>
    <col min="10" max="10" width="39.81640625" style="48" customWidth="1"/>
    <col min="11" max="11" width="24.81640625" style="48" customWidth="1"/>
    <col min="12" max="14" width="31.453125" style="48" customWidth="1"/>
    <col min="15" max="15" width="10.81640625" style="48" customWidth="1"/>
    <col min="16" max="16" width="33.81640625" style="48" customWidth="1"/>
    <col min="17" max="17" width="23" style="48" customWidth="1"/>
    <col min="18" max="18" width="25.453125" style="48" customWidth="1"/>
    <col min="19" max="19" width="34.54296875" style="48" customWidth="1"/>
    <col min="20" max="20" width="16" style="48" customWidth="1"/>
    <col min="21" max="21" width="22.26953125" style="48" customWidth="1"/>
    <col min="22" max="22" width="12.1796875" style="48" customWidth="1"/>
    <col min="23" max="23" width="14.81640625" style="48" customWidth="1"/>
    <col min="24" max="24" width="17" style="48" customWidth="1"/>
    <col min="25" max="25" width="12.54296875" style="48" customWidth="1"/>
    <col min="26" max="26" width="15.7265625" style="48" customWidth="1"/>
    <col min="27" max="27" width="13" style="48" customWidth="1"/>
    <col min="28" max="28" width="17.81640625" style="48" customWidth="1"/>
    <col min="29" max="29" width="12.1796875" style="48" customWidth="1"/>
    <col min="30" max="16384" width="10.81640625" style="48"/>
  </cols>
  <sheetData>
    <row r="1" spans="3:31" x14ac:dyDescent="0.25">
      <c r="C1" s="53"/>
    </row>
    <row r="3" spans="3:31" x14ac:dyDescent="0.25">
      <c r="D3" s="80" t="s">
        <v>1221</v>
      </c>
      <c r="F3" s="54"/>
    </row>
    <row r="4" spans="3:31" x14ac:dyDescent="0.25">
      <c r="F4" s="54"/>
    </row>
    <row r="5" spans="3:31" x14ac:dyDescent="0.25">
      <c r="D5" s="54"/>
      <c r="E5" s="55"/>
    </row>
    <row r="6" spans="3:31" s="78" customFormat="1" ht="29.5" x14ac:dyDescent="0.25">
      <c r="C6" s="78">
        <v>1</v>
      </c>
      <c r="D6" s="78">
        <f>C6+1</f>
        <v>2</v>
      </c>
      <c r="E6" s="78">
        <f t="shared" ref="E6:T6" si="0">D6+1</f>
        <v>3</v>
      </c>
      <c r="F6" s="78">
        <f t="shared" si="0"/>
        <v>4</v>
      </c>
      <c r="G6" s="78">
        <v>5</v>
      </c>
      <c r="H6" s="78">
        <f>G6+1</f>
        <v>6</v>
      </c>
      <c r="I6" s="78">
        <f t="shared" si="0"/>
        <v>7</v>
      </c>
      <c r="J6" s="78">
        <f t="shared" si="0"/>
        <v>8</v>
      </c>
      <c r="K6" s="78">
        <f t="shared" si="0"/>
        <v>9</v>
      </c>
      <c r="L6" s="78">
        <f t="shared" si="0"/>
        <v>10</v>
      </c>
      <c r="M6" s="78">
        <f t="shared" si="0"/>
        <v>11</v>
      </c>
      <c r="N6" s="78">
        <f t="shared" si="0"/>
        <v>12</v>
      </c>
      <c r="O6" s="78">
        <f t="shared" si="0"/>
        <v>13</v>
      </c>
      <c r="P6" s="78">
        <f t="shared" si="0"/>
        <v>14</v>
      </c>
      <c r="Q6" s="78">
        <f>P6+1</f>
        <v>15</v>
      </c>
      <c r="R6" s="78">
        <f t="shared" si="0"/>
        <v>16</v>
      </c>
      <c r="S6" s="78">
        <f t="shared" si="0"/>
        <v>17</v>
      </c>
      <c r="T6" s="78">
        <f t="shared" si="0"/>
        <v>18</v>
      </c>
      <c r="U6" s="78">
        <v>20</v>
      </c>
      <c r="W6" s="78">
        <v>1</v>
      </c>
      <c r="X6" s="78">
        <v>1</v>
      </c>
      <c r="Y6" s="78">
        <v>1</v>
      </c>
      <c r="Z6" s="88">
        <f>30/44</f>
        <v>0.68181818181818177</v>
      </c>
      <c r="AA6" s="89">
        <f>25/44</f>
        <v>0.56818181818181823</v>
      </c>
      <c r="AB6" s="89">
        <f>20/44</f>
        <v>0.45454545454545453</v>
      </c>
      <c r="AC6" s="78">
        <f>15/44</f>
        <v>0.34090909090909088</v>
      </c>
    </row>
    <row r="7" spans="3:31" ht="13" x14ac:dyDescent="0.25">
      <c r="C7" s="1" t="s">
        <v>15</v>
      </c>
      <c r="D7" s="1" t="s">
        <v>16</v>
      </c>
      <c r="E7" s="1" t="s">
        <v>17</v>
      </c>
      <c r="F7" s="1" t="s">
        <v>18</v>
      </c>
      <c r="G7" s="1" t="s">
        <v>19</v>
      </c>
      <c r="H7" s="1" t="s">
        <v>20</v>
      </c>
      <c r="I7" s="1" t="s">
        <v>21</v>
      </c>
      <c r="J7" s="1" t="s">
        <v>22</v>
      </c>
      <c r="K7" s="73" t="s">
        <v>23</v>
      </c>
      <c r="L7" s="1" t="s">
        <v>24</v>
      </c>
      <c r="M7" s="1" t="s">
        <v>25</v>
      </c>
      <c r="N7" s="1" t="s">
        <v>26</v>
      </c>
      <c r="O7" s="1" t="s">
        <v>15</v>
      </c>
      <c r="P7" s="1" t="s">
        <v>27</v>
      </c>
      <c r="Q7" s="1" t="s">
        <v>28</v>
      </c>
      <c r="R7" s="1" t="s">
        <v>29</v>
      </c>
      <c r="S7" s="1" t="s">
        <v>30</v>
      </c>
      <c r="T7" s="1" t="s">
        <v>31</v>
      </c>
      <c r="U7" s="1" t="s">
        <v>32</v>
      </c>
      <c r="V7" s="76" t="s">
        <v>33</v>
      </c>
      <c r="W7" s="1" t="s">
        <v>1</v>
      </c>
      <c r="X7" s="1" t="s">
        <v>2</v>
      </c>
      <c r="Y7" s="1" t="s">
        <v>3</v>
      </c>
      <c r="Z7" s="1" t="s">
        <v>5</v>
      </c>
      <c r="AA7" s="1" t="s">
        <v>9</v>
      </c>
      <c r="AB7" s="1" t="s">
        <v>4</v>
      </c>
      <c r="AC7" s="1" t="s">
        <v>10</v>
      </c>
      <c r="AD7" s="1" t="s">
        <v>1217</v>
      </c>
      <c r="AE7" s="1"/>
    </row>
    <row r="8" spans="3:31" hidden="1" x14ac:dyDescent="0.25">
      <c r="C8" s="87" t="s">
        <v>34</v>
      </c>
      <c r="D8" s="4" t="s">
        <v>35</v>
      </c>
      <c r="E8" s="4" t="s">
        <v>35</v>
      </c>
      <c r="F8" s="4" t="s">
        <v>36</v>
      </c>
      <c r="G8" s="4" t="s">
        <v>37</v>
      </c>
      <c r="H8" s="4" t="s">
        <v>38</v>
      </c>
      <c r="I8" s="4"/>
      <c r="J8" s="4">
        <v>0</v>
      </c>
      <c r="K8" s="4"/>
      <c r="L8" s="4" t="s">
        <v>39</v>
      </c>
      <c r="M8" s="4" t="s">
        <v>40</v>
      </c>
      <c r="N8" s="4" t="s">
        <v>41</v>
      </c>
      <c r="O8" s="4" t="s">
        <v>34</v>
      </c>
      <c r="P8" s="4" t="s">
        <v>42</v>
      </c>
      <c r="Q8" s="50" t="s">
        <v>43</v>
      </c>
      <c r="R8" s="50"/>
      <c r="S8" s="50">
        <v>0</v>
      </c>
      <c r="T8" s="4" t="s">
        <v>43</v>
      </c>
      <c r="U8" s="4" t="s">
        <v>43</v>
      </c>
      <c r="AD8" s="91">
        <f>SUMPRODUCT($W$6:$AC$6,W8:AC8)</f>
        <v>0</v>
      </c>
      <c r="AE8" s="48" t="e">
        <f>VLOOKUP(C8,#REF!,1,0)</f>
        <v>#REF!</v>
      </c>
    </row>
    <row r="9" spans="3:31" hidden="1" x14ac:dyDescent="0.25">
      <c r="C9" s="87" t="s">
        <v>44</v>
      </c>
      <c r="D9" s="4" t="s">
        <v>45</v>
      </c>
      <c r="E9" s="4" t="s">
        <v>45</v>
      </c>
      <c r="F9" s="4" t="s">
        <v>36</v>
      </c>
      <c r="G9" s="4" t="s">
        <v>37</v>
      </c>
      <c r="H9" s="4" t="s">
        <v>46</v>
      </c>
      <c r="I9" s="4"/>
      <c r="J9" s="4">
        <v>0</v>
      </c>
      <c r="K9" s="4"/>
      <c r="L9" s="4" t="s">
        <v>47</v>
      </c>
      <c r="M9" s="4" t="s">
        <v>40</v>
      </c>
      <c r="N9" s="4" t="s">
        <v>41</v>
      </c>
      <c r="O9" s="4" t="s">
        <v>44</v>
      </c>
      <c r="P9" s="4" t="s">
        <v>42</v>
      </c>
      <c r="Q9" s="50" t="s">
        <v>43</v>
      </c>
      <c r="R9" s="50"/>
      <c r="S9" s="50">
        <v>0</v>
      </c>
      <c r="T9" s="4" t="s">
        <v>43</v>
      </c>
      <c r="U9" s="4" t="s">
        <v>43</v>
      </c>
      <c r="AD9" s="91">
        <f t="shared" ref="AD9:AD72" si="1">SUMPRODUCT($W$6:$AC$6,W9:AC9)</f>
        <v>0</v>
      </c>
      <c r="AE9" s="48" t="e">
        <f>VLOOKUP(C9,#REF!,1,0)</f>
        <v>#REF!</v>
      </c>
    </row>
    <row r="10" spans="3:31" hidden="1" x14ac:dyDescent="0.25">
      <c r="C10" s="87" t="s">
        <v>48</v>
      </c>
      <c r="D10" s="4" t="s">
        <v>49</v>
      </c>
      <c r="E10" s="4" t="s">
        <v>49</v>
      </c>
      <c r="F10" s="4" t="s">
        <v>36</v>
      </c>
      <c r="G10" s="4" t="s">
        <v>37</v>
      </c>
      <c r="H10" s="4" t="s">
        <v>38</v>
      </c>
      <c r="I10" s="4"/>
      <c r="J10" s="4" t="s">
        <v>50</v>
      </c>
      <c r="K10" s="4"/>
      <c r="L10" s="4" t="s">
        <v>51</v>
      </c>
      <c r="M10" s="4" t="s">
        <v>40</v>
      </c>
      <c r="N10" s="4" t="s">
        <v>41</v>
      </c>
      <c r="O10" s="4" t="s">
        <v>48</v>
      </c>
      <c r="P10" s="4" t="s">
        <v>42</v>
      </c>
      <c r="Q10" s="50" t="s">
        <v>43</v>
      </c>
      <c r="R10" s="50"/>
      <c r="S10" s="50">
        <v>0</v>
      </c>
      <c r="T10" s="4" t="s">
        <v>43</v>
      </c>
      <c r="U10" s="4" t="s">
        <v>43</v>
      </c>
      <c r="AD10" s="91">
        <f t="shared" si="1"/>
        <v>0</v>
      </c>
      <c r="AE10" s="48" t="e">
        <f>VLOOKUP(C10,#REF!,1,0)</f>
        <v>#REF!</v>
      </c>
    </row>
    <row r="11" spans="3:31" hidden="1" x14ac:dyDescent="0.25">
      <c r="C11" s="87" t="s">
        <v>52</v>
      </c>
      <c r="D11" s="4" t="s">
        <v>53</v>
      </c>
      <c r="E11" s="4" t="s">
        <v>53</v>
      </c>
      <c r="F11" s="4" t="s">
        <v>36</v>
      </c>
      <c r="G11" s="4" t="s">
        <v>37</v>
      </c>
      <c r="H11" s="4" t="s">
        <v>38</v>
      </c>
      <c r="I11" s="4"/>
      <c r="J11" s="4">
        <v>0</v>
      </c>
      <c r="K11" s="4"/>
      <c r="L11" s="4" t="s">
        <v>54</v>
      </c>
      <c r="M11" s="4" t="s">
        <v>55</v>
      </c>
      <c r="N11" s="4" t="s">
        <v>41</v>
      </c>
      <c r="O11" s="4" t="s">
        <v>52</v>
      </c>
      <c r="P11" s="4" t="s">
        <v>42</v>
      </c>
      <c r="Q11" s="50" t="s">
        <v>43</v>
      </c>
      <c r="R11" s="50"/>
      <c r="S11" s="50">
        <v>0</v>
      </c>
      <c r="T11" s="4" t="s">
        <v>43</v>
      </c>
      <c r="U11" s="4" t="s">
        <v>43</v>
      </c>
      <c r="AD11" s="91">
        <f t="shared" si="1"/>
        <v>0</v>
      </c>
      <c r="AE11" s="48" t="e">
        <f>VLOOKUP(C11,#REF!,1,0)</f>
        <v>#REF!</v>
      </c>
    </row>
    <row r="12" spans="3:31" hidden="1" x14ac:dyDescent="0.25">
      <c r="C12" s="87" t="s">
        <v>56</v>
      </c>
      <c r="D12" s="4" t="s">
        <v>57</v>
      </c>
      <c r="E12" s="4" t="s">
        <v>57</v>
      </c>
      <c r="F12" s="4" t="s">
        <v>36</v>
      </c>
      <c r="G12" s="4" t="s">
        <v>37</v>
      </c>
      <c r="H12" s="4" t="s">
        <v>38</v>
      </c>
      <c r="I12" s="4"/>
      <c r="J12" s="4" t="s">
        <v>58</v>
      </c>
      <c r="K12" s="4"/>
      <c r="L12" s="4" t="s">
        <v>59</v>
      </c>
      <c r="M12" s="4" t="s">
        <v>40</v>
      </c>
      <c r="N12" s="4" t="s">
        <v>41</v>
      </c>
      <c r="O12" s="4" t="s">
        <v>56</v>
      </c>
      <c r="P12" s="4" t="s">
        <v>42</v>
      </c>
      <c r="Q12" s="50" t="s">
        <v>43</v>
      </c>
      <c r="R12" s="50"/>
      <c r="S12" s="50">
        <v>0</v>
      </c>
      <c r="T12" s="4" t="s">
        <v>43</v>
      </c>
      <c r="U12" s="4" t="s">
        <v>43</v>
      </c>
      <c r="AD12" s="91">
        <f t="shared" si="1"/>
        <v>0</v>
      </c>
      <c r="AE12" s="48" t="e">
        <f>VLOOKUP(C12,#REF!,1,0)</f>
        <v>#REF!</v>
      </c>
    </row>
    <row r="13" spans="3:31" hidden="1" x14ac:dyDescent="0.25">
      <c r="C13" s="87" t="s">
        <v>60</v>
      </c>
      <c r="D13" s="4" t="s">
        <v>61</v>
      </c>
      <c r="E13" s="4" t="s">
        <v>62</v>
      </c>
      <c r="F13" s="4" t="s">
        <v>36</v>
      </c>
      <c r="G13" s="4" t="s">
        <v>37</v>
      </c>
      <c r="H13" s="4" t="s">
        <v>38</v>
      </c>
      <c r="I13" s="4"/>
      <c r="J13" s="4" t="s">
        <v>63</v>
      </c>
      <c r="K13" s="4"/>
      <c r="L13" s="4" t="s">
        <v>64</v>
      </c>
      <c r="M13" s="4" t="s">
        <v>40</v>
      </c>
      <c r="N13" s="4" t="s">
        <v>41</v>
      </c>
      <c r="O13" s="4" t="s">
        <v>60</v>
      </c>
      <c r="P13" s="4" t="s">
        <v>42</v>
      </c>
      <c r="Q13" s="50" t="s">
        <v>43</v>
      </c>
      <c r="R13" s="50"/>
      <c r="S13" s="50">
        <v>0</v>
      </c>
      <c r="T13" s="4" t="s">
        <v>43</v>
      </c>
      <c r="U13" s="4" t="s">
        <v>43</v>
      </c>
      <c r="AD13" s="91">
        <f t="shared" si="1"/>
        <v>0</v>
      </c>
      <c r="AE13" s="48" t="e">
        <f>VLOOKUP(C13,#REF!,1,0)</f>
        <v>#REF!</v>
      </c>
    </row>
    <row r="14" spans="3:31" hidden="1" x14ac:dyDescent="0.25">
      <c r="C14" s="87" t="s">
        <v>65</v>
      </c>
      <c r="D14" s="4" t="s">
        <v>66</v>
      </c>
      <c r="E14" s="4" t="s">
        <v>66</v>
      </c>
      <c r="F14" s="4" t="s">
        <v>36</v>
      </c>
      <c r="G14" s="4" t="s">
        <v>37</v>
      </c>
      <c r="H14" s="4" t="s">
        <v>38</v>
      </c>
      <c r="I14" s="4"/>
      <c r="J14" s="4" t="s">
        <v>67</v>
      </c>
      <c r="K14" s="4"/>
      <c r="L14" s="4" t="s">
        <v>59</v>
      </c>
      <c r="M14" s="4" t="s">
        <v>40</v>
      </c>
      <c r="N14" s="4" t="s">
        <v>41</v>
      </c>
      <c r="O14" s="4" t="s">
        <v>65</v>
      </c>
      <c r="P14" s="4" t="s">
        <v>42</v>
      </c>
      <c r="Q14" s="50" t="s">
        <v>43</v>
      </c>
      <c r="R14" s="50"/>
      <c r="S14" s="50">
        <v>0</v>
      </c>
      <c r="T14" s="4" t="s">
        <v>43</v>
      </c>
      <c r="U14" s="4" t="s">
        <v>43</v>
      </c>
      <c r="AD14" s="91">
        <f t="shared" si="1"/>
        <v>0</v>
      </c>
      <c r="AE14" s="48" t="e">
        <f>VLOOKUP(C14,#REF!,1,0)</f>
        <v>#REF!</v>
      </c>
    </row>
    <row r="15" spans="3:31" hidden="1" x14ac:dyDescent="0.25">
      <c r="C15" s="87" t="s">
        <v>68</v>
      </c>
      <c r="D15" s="4" t="s">
        <v>69</v>
      </c>
      <c r="E15" s="4" t="s">
        <v>70</v>
      </c>
      <c r="F15" s="4" t="s">
        <v>36</v>
      </c>
      <c r="G15" s="4" t="s">
        <v>37</v>
      </c>
      <c r="H15" s="4" t="s">
        <v>38</v>
      </c>
      <c r="I15" s="4"/>
      <c r="J15" s="4" t="s">
        <v>58</v>
      </c>
      <c r="K15" s="4"/>
      <c r="L15" s="4" t="s">
        <v>64</v>
      </c>
      <c r="M15" s="4" t="s">
        <v>40</v>
      </c>
      <c r="N15" s="4" t="s">
        <v>41</v>
      </c>
      <c r="O15" s="4" t="s">
        <v>68</v>
      </c>
      <c r="P15" s="4" t="s">
        <v>42</v>
      </c>
      <c r="Q15" s="50" t="s">
        <v>43</v>
      </c>
      <c r="R15" s="50"/>
      <c r="S15" s="50">
        <v>0</v>
      </c>
      <c r="T15" s="4" t="s">
        <v>43</v>
      </c>
      <c r="U15" s="4" t="s">
        <v>43</v>
      </c>
      <c r="AD15" s="90">
        <f t="shared" si="1"/>
        <v>0</v>
      </c>
      <c r="AE15" s="48" t="e">
        <f>VLOOKUP(C15,#REF!,1,0)</f>
        <v>#REF!</v>
      </c>
    </row>
    <row r="16" spans="3:31" hidden="1" x14ac:dyDescent="0.25">
      <c r="C16" s="87" t="s">
        <v>71</v>
      </c>
      <c r="D16" s="4" t="s">
        <v>72</v>
      </c>
      <c r="E16" s="4" t="s">
        <v>72</v>
      </c>
      <c r="F16" s="92">
        <v>0</v>
      </c>
      <c r="G16" s="4" t="s">
        <v>37</v>
      </c>
      <c r="H16" s="4" t="s">
        <v>46</v>
      </c>
      <c r="I16" s="4"/>
      <c r="J16" s="4" t="s">
        <v>73</v>
      </c>
      <c r="K16" s="4"/>
      <c r="L16" s="4" t="s">
        <v>74</v>
      </c>
      <c r="M16" s="4" t="s">
        <v>40</v>
      </c>
      <c r="N16" s="4" t="s">
        <v>41</v>
      </c>
      <c r="O16" s="4" t="s">
        <v>71</v>
      </c>
      <c r="P16" s="4" t="s">
        <v>42</v>
      </c>
      <c r="Q16" s="50" t="s">
        <v>43</v>
      </c>
      <c r="R16" s="50"/>
      <c r="S16" s="50">
        <v>0</v>
      </c>
      <c r="T16" s="4" t="s">
        <v>43</v>
      </c>
      <c r="U16" s="4" t="s">
        <v>43</v>
      </c>
      <c r="AD16" s="91">
        <f t="shared" si="1"/>
        <v>0</v>
      </c>
      <c r="AE16" s="48" t="e">
        <f>VLOOKUP(C16,#REF!,1,0)</f>
        <v>#REF!</v>
      </c>
    </row>
    <row r="17" spans="3:31" hidden="1" x14ac:dyDescent="0.25">
      <c r="C17" s="87" t="s">
        <v>75</v>
      </c>
      <c r="D17" s="4" t="s">
        <v>76</v>
      </c>
      <c r="E17" s="4" t="s">
        <v>77</v>
      </c>
      <c r="F17" s="4" t="s">
        <v>36</v>
      </c>
      <c r="G17" s="4" t="s">
        <v>37</v>
      </c>
      <c r="H17" s="4" t="s">
        <v>38</v>
      </c>
      <c r="I17" s="4"/>
      <c r="J17" s="4">
        <v>0</v>
      </c>
      <c r="K17" s="4"/>
      <c r="L17" s="4" t="s">
        <v>78</v>
      </c>
      <c r="M17" s="4" t="s">
        <v>40</v>
      </c>
      <c r="N17" s="4" t="s">
        <v>41</v>
      </c>
      <c r="O17" s="4" t="s">
        <v>75</v>
      </c>
      <c r="P17" s="4" t="s">
        <v>42</v>
      </c>
      <c r="Q17" s="50" t="s">
        <v>43</v>
      </c>
      <c r="R17" s="50"/>
      <c r="S17" s="50">
        <v>0</v>
      </c>
      <c r="T17" s="4" t="s">
        <v>43</v>
      </c>
      <c r="U17" s="4" t="s">
        <v>43</v>
      </c>
      <c r="AD17" s="91">
        <f t="shared" si="1"/>
        <v>0</v>
      </c>
      <c r="AE17" s="48" t="e">
        <f>VLOOKUP(C17,#REF!,1,0)</f>
        <v>#REF!</v>
      </c>
    </row>
    <row r="18" spans="3:31" hidden="1" x14ac:dyDescent="0.25">
      <c r="C18" s="87" t="s">
        <v>79</v>
      </c>
      <c r="D18" s="4" t="s">
        <v>80</v>
      </c>
      <c r="E18" s="4" t="s">
        <v>80</v>
      </c>
      <c r="F18" s="4" t="s">
        <v>36</v>
      </c>
      <c r="G18" s="4" t="s">
        <v>37</v>
      </c>
      <c r="H18" s="4" t="s">
        <v>81</v>
      </c>
      <c r="I18" s="4"/>
      <c r="J18" s="4">
        <v>0</v>
      </c>
      <c r="K18" s="4"/>
      <c r="L18" s="4" t="s">
        <v>59</v>
      </c>
      <c r="M18" s="4" t="s">
        <v>40</v>
      </c>
      <c r="N18" s="4" t="s">
        <v>41</v>
      </c>
      <c r="O18" s="4" t="s">
        <v>79</v>
      </c>
      <c r="P18" s="4" t="s">
        <v>42</v>
      </c>
      <c r="Q18" s="50" t="s">
        <v>43</v>
      </c>
      <c r="R18" s="50"/>
      <c r="S18" s="50">
        <v>0</v>
      </c>
      <c r="T18" s="4" t="s">
        <v>43</v>
      </c>
      <c r="U18" s="4" t="s">
        <v>43</v>
      </c>
      <c r="AD18" s="91">
        <f t="shared" si="1"/>
        <v>0</v>
      </c>
      <c r="AE18" s="48" t="e">
        <f>VLOOKUP(C18,#REF!,1,0)</f>
        <v>#REF!</v>
      </c>
    </row>
    <row r="19" spans="3:31" hidden="1" x14ac:dyDescent="0.25">
      <c r="C19" s="87" t="s">
        <v>82</v>
      </c>
      <c r="D19" s="4" t="s">
        <v>83</v>
      </c>
      <c r="E19" s="4" t="s">
        <v>83</v>
      </c>
      <c r="F19" s="4" t="s">
        <v>36</v>
      </c>
      <c r="G19" s="4" t="s">
        <v>37</v>
      </c>
      <c r="H19" s="4" t="s">
        <v>81</v>
      </c>
      <c r="I19" s="4"/>
      <c r="J19" s="4" t="s">
        <v>84</v>
      </c>
      <c r="K19" s="4"/>
      <c r="L19" s="4" t="s">
        <v>85</v>
      </c>
      <c r="M19" s="4" t="s">
        <v>55</v>
      </c>
      <c r="N19" s="4" t="s">
        <v>41</v>
      </c>
      <c r="O19" s="4" t="s">
        <v>82</v>
      </c>
      <c r="P19" s="4" t="s">
        <v>42</v>
      </c>
      <c r="Q19" s="50" t="s">
        <v>43</v>
      </c>
      <c r="R19" s="50"/>
      <c r="S19" s="50">
        <v>0</v>
      </c>
      <c r="T19" s="4" t="s">
        <v>43</v>
      </c>
      <c r="U19" s="4" t="s">
        <v>43</v>
      </c>
      <c r="AD19" s="91">
        <f t="shared" si="1"/>
        <v>0</v>
      </c>
      <c r="AE19" s="48" t="e">
        <f>VLOOKUP(C19,#REF!,1,0)</f>
        <v>#REF!</v>
      </c>
    </row>
    <row r="20" spans="3:31" hidden="1" x14ac:dyDescent="0.25">
      <c r="C20" s="87" t="s">
        <v>86</v>
      </c>
      <c r="D20" s="4" t="s">
        <v>87</v>
      </c>
      <c r="E20" s="4" t="s">
        <v>87</v>
      </c>
      <c r="F20" s="4" t="s">
        <v>36</v>
      </c>
      <c r="G20" s="4" t="s">
        <v>37</v>
      </c>
      <c r="H20" s="4" t="s">
        <v>88</v>
      </c>
      <c r="I20" s="4"/>
      <c r="J20" s="4" t="s">
        <v>89</v>
      </c>
      <c r="K20" s="4"/>
      <c r="L20" s="4" t="s">
        <v>90</v>
      </c>
      <c r="M20" s="4" t="s">
        <v>91</v>
      </c>
      <c r="N20" s="4" t="s">
        <v>41</v>
      </c>
      <c r="O20" s="4" t="s">
        <v>86</v>
      </c>
      <c r="P20" s="4" t="s">
        <v>42</v>
      </c>
      <c r="Q20" s="50" t="s">
        <v>43</v>
      </c>
      <c r="R20" s="50"/>
      <c r="S20" s="50">
        <v>0</v>
      </c>
      <c r="T20" s="4" t="s">
        <v>43</v>
      </c>
      <c r="U20" s="4" t="s">
        <v>43</v>
      </c>
      <c r="AD20" s="91">
        <f t="shared" si="1"/>
        <v>0</v>
      </c>
      <c r="AE20" s="48" t="e">
        <f>VLOOKUP(C20,#REF!,1,0)</f>
        <v>#REF!</v>
      </c>
    </row>
    <row r="21" spans="3:31" hidden="1" x14ac:dyDescent="0.25">
      <c r="C21" s="87" t="s">
        <v>92</v>
      </c>
      <c r="D21" s="4" t="s">
        <v>93</v>
      </c>
      <c r="E21" s="4" t="s">
        <v>93</v>
      </c>
      <c r="F21" s="4" t="s">
        <v>36</v>
      </c>
      <c r="G21" s="4" t="s">
        <v>37</v>
      </c>
      <c r="H21" s="4" t="s">
        <v>81</v>
      </c>
      <c r="I21" s="4"/>
      <c r="J21" s="4" t="s">
        <v>94</v>
      </c>
      <c r="K21" s="4"/>
      <c r="L21" s="4" t="s">
        <v>64</v>
      </c>
      <c r="M21" s="4" t="s">
        <v>40</v>
      </c>
      <c r="N21" s="4" t="s">
        <v>41</v>
      </c>
      <c r="O21" s="4" t="s">
        <v>92</v>
      </c>
      <c r="P21" s="4" t="s">
        <v>42</v>
      </c>
      <c r="Q21" s="50" t="s">
        <v>43</v>
      </c>
      <c r="R21" s="50"/>
      <c r="S21" s="50">
        <v>0</v>
      </c>
      <c r="T21" s="4" t="s">
        <v>43</v>
      </c>
      <c r="U21" s="4" t="s">
        <v>43</v>
      </c>
      <c r="AD21" s="91">
        <f t="shared" si="1"/>
        <v>0</v>
      </c>
      <c r="AE21" s="48" t="e">
        <f>VLOOKUP(C21,#REF!,1,0)</f>
        <v>#REF!</v>
      </c>
    </row>
    <row r="22" spans="3:31" hidden="1" x14ac:dyDescent="0.25">
      <c r="C22" s="87" t="s">
        <v>95</v>
      </c>
      <c r="D22" s="4" t="s">
        <v>96</v>
      </c>
      <c r="E22" s="4" t="s">
        <v>96</v>
      </c>
      <c r="F22" s="4" t="s">
        <v>36</v>
      </c>
      <c r="G22" s="4" t="s">
        <v>37</v>
      </c>
      <c r="H22" s="4" t="s">
        <v>81</v>
      </c>
      <c r="I22" s="4"/>
      <c r="J22" s="4">
        <v>0</v>
      </c>
      <c r="K22" s="4"/>
      <c r="L22" s="4" t="s">
        <v>97</v>
      </c>
      <c r="M22" s="4" t="s">
        <v>40</v>
      </c>
      <c r="N22" s="4" t="s">
        <v>41</v>
      </c>
      <c r="O22" s="4" t="s">
        <v>95</v>
      </c>
      <c r="P22" s="4" t="s">
        <v>42</v>
      </c>
      <c r="Q22" s="50" t="s">
        <v>43</v>
      </c>
      <c r="R22" s="50"/>
      <c r="S22" s="50">
        <v>0</v>
      </c>
      <c r="T22" s="4" t="s">
        <v>43</v>
      </c>
      <c r="U22" s="4" t="s">
        <v>43</v>
      </c>
      <c r="AD22" s="91">
        <f t="shared" si="1"/>
        <v>0</v>
      </c>
      <c r="AE22" s="48" t="e">
        <f>VLOOKUP(C22,#REF!,1,0)</f>
        <v>#REF!</v>
      </c>
    </row>
    <row r="23" spans="3:31" hidden="1" x14ac:dyDescent="0.25">
      <c r="C23" s="87" t="s">
        <v>98</v>
      </c>
      <c r="D23" s="4" t="s">
        <v>99</v>
      </c>
      <c r="E23" s="4" t="s">
        <v>99</v>
      </c>
      <c r="F23" s="4" t="s">
        <v>36</v>
      </c>
      <c r="G23" s="4" t="s">
        <v>37</v>
      </c>
      <c r="H23" s="4" t="s">
        <v>81</v>
      </c>
      <c r="I23" s="4"/>
      <c r="J23" s="4" t="s">
        <v>100</v>
      </c>
      <c r="K23" s="4"/>
      <c r="L23" s="4" t="s">
        <v>59</v>
      </c>
      <c r="M23" s="4" t="s">
        <v>40</v>
      </c>
      <c r="N23" s="4" t="s">
        <v>41</v>
      </c>
      <c r="O23" s="4" t="s">
        <v>98</v>
      </c>
      <c r="P23" s="4" t="s">
        <v>42</v>
      </c>
      <c r="Q23" s="50" t="s">
        <v>43</v>
      </c>
      <c r="R23" s="50"/>
      <c r="S23" s="50">
        <v>0</v>
      </c>
      <c r="T23" s="4" t="s">
        <v>43</v>
      </c>
      <c r="U23" s="4" t="s">
        <v>43</v>
      </c>
      <c r="AD23" s="91">
        <f t="shared" si="1"/>
        <v>0</v>
      </c>
      <c r="AE23" s="48" t="e">
        <f>VLOOKUP(C23,#REF!,1,0)</f>
        <v>#REF!</v>
      </c>
    </row>
    <row r="24" spans="3:31" hidden="1" x14ac:dyDescent="0.25">
      <c r="C24" s="87" t="s">
        <v>101</v>
      </c>
      <c r="D24" s="4" t="s">
        <v>102</v>
      </c>
      <c r="E24" s="4" t="s">
        <v>102</v>
      </c>
      <c r="F24" s="4" t="s">
        <v>36</v>
      </c>
      <c r="G24" s="4" t="s">
        <v>37</v>
      </c>
      <c r="H24" s="4" t="s">
        <v>81</v>
      </c>
      <c r="I24" s="4"/>
      <c r="J24" s="4" t="s">
        <v>73</v>
      </c>
      <c r="K24" s="4"/>
      <c r="L24" s="4" t="s">
        <v>103</v>
      </c>
      <c r="M24" s="4" t="s">
        <v>104</v>
      </c>
      <c r="N24" s="4" t="s">
        <v>41</v>
      </c>
      <c r="O24" s="4" t="s">
        <v>101</v>
      </c>
      <c r="P24" s="4" t="s">
        <v>42</v>
      </c>
      <c r="Q24" s="50" t="s">
        <v>43</v>
      </c>
      <c r="R24" s="50"/>
      <c r="S24" s="50">
        <v>0</v>
      </c>
      <c r="T24" s="4" t="s">
        <v>43</v>
      </c>
      <c r="U24" s="4" t="s">
        <v>43</v>
      </c>
      <c r="AD24" s="91">
        <f t="shared" si="1"/>
        <v>0</v>
      </c>
      <c r="AE24" s="48" t="e">
        <f>VLOOKUP(C24,#REF!,1,0)</f>
        <v>#REF!</v>
      </c>
    </row>
    <row r="25" spans="3:31" hidden="1" x14ac:dyDescent="0.25">
      <c r="C25" s="87" t="s">
        <v>105</v>
      </c>
      <c r="D25" s="4" t="s">
        <v>106</v>
      </c>
      <c r="E25" s="4" t="s">
        <v>106</v>
      </c>
      <c r="F25" s="4" t="s">
        <v>36</v>
      </c>
      <c r="G25" s="4" t="s">
        <v>37</v>
      </c>
      <c r="H25" s="4" t="s">
        <v>81</v>
      </c>
      <c r="I25" s="4"/>
      <c r="J25" s="4" t="s">
        <v>100</v>
      </c>
      <c r="K25" s="4"/>
      <c r="L25" s="4" t="s">
        <v>59</v>
      </c>
      <c r="M25" s="4" t="s">
        <v>40</v>
      </c>
      <c r="N25" s="4" t="s">
        <v>41</v>
      </c>
      <c r="O25" s="4" t="s">
        <v>105</v>
      </c>
      <c r="P25" s="4" t="s">
        <v>42</v>
      </c>
      <c r="Q25" s="50" t="s">
        <v>43</v>
      </c>
      <c r="R25" s="50"/>
      <c r="S25" s="50">
        <v>0</v>
      </c>
      <c r="T25" s="4" t="s">
        <v>43</v>
      </c>
      <c r="U25" s="4" t="s">
        <v>43</v>
      </c>
      <c r="AD25" s="91">
        <f t="shared" si="1"/>
        <v>0</v>
      </c>
      <c r="AE25" s="48" t="e">
        <f>VLOOKUP(C25,#REF!,1,0)</f>
        <v>#REF!</v>
      </c>
    </row>
    <row r="26" spans="3:31" hidden="1" x14ac:dyDescent="0.25">
      <c r="C26" s="87" t="s">
        <v>107</v>
      </c>
      <c r="D26" s="4" t="s">
        <v>108</v>
      </c>
      <c r="E26" s="4" t="s">
        <v>108</v>
      </c>
      <c r="F26" s="4" t="s">
        <v>36</v>
      </c>
      <c r="G26" s="4" t="s">
        <v>37</v>
      </c>
      <c r="H26" s="4" t="s">
        <v>81</v>
      </c>
      <c r="I26" s="4"/>
      <c r="J26" s="4" t="s">
        <v>89</v>
      </c>
      <c r="K26" s="4"/>
      <c r="L26" s="4" t="s">
        <v>109</v>
      </c>
      <c r="M26" s="4" t="s">
        <v>91</v>
      </c>
      <c r="N26" s="4" t="s">
        <v>41</v>
      </c>
      <c r="O26" s="4" t="s">
        <v>107</v>
      </c>
      <c r="P26" s="4" t="s">
        <v>42</v>
      </c>
      <c r="Q26" s="50" t="s">
        <v>43</v>
      </c>
      <c r="R26" s="50"/>
      <c r="S26" s="50">
        <v>0</v>
      </c>
      <c r="T26" s="4" t="s">
        <v>43</v>
      </c>
      <c r="U26" s="4" t="s">
        <v>43</v>
      </c>
      <c r="AD26" s="91">
        <f t="shared" si="1"/>
        <v>0</v>
      </c>
      <c r="AE26" s="48" t="e">
        <f>VLOOKUP(C26,#REF!,1,0)</f>
        <v>#REF!</v>
      </c>
    </row>
    <row r="27" spans="3:31" hidden="1" x14ac:dyDescent="0.25">
      <c r="C27" s="87" t="s">
        <v>110</v>
      </c>
      <c r="D27" s="4" t="s">
        <v>111</v>
      </c>
      <c r="E27" s="4" t="s">
        <v>111</v>
      </c>
      <c r="F27" s="4" t="s">
        <v>36</v>
      </c>
      <c r="G27" s="4" t="s">
        <v>37</v>
      </c>
      <c r="H27" s="4" t="s">
        <v>81</v>
      </c>
      <c r="I27" s="4"/>
      <c r="J27" s="4" t="s">
        <v>58</v>
      </c>
      <c r="K27" s="4"/>
      <c r="L27" s="4" t="s">
        <v>59</v>
      </c>
      <c r="M27" s="4" t="s">
        <v>40</v>
      </c>
      <c r="N27" s="4" t="s">
        <v>41</v>
      </c>
      <c r="O27" s="4" t="s">
        <v>110</v>
      </c>
      <c r="P27" s="4" t="s">
        <v>42</v>
      </c>
      <c r="Q27" s="50" t="s">
        <v>43</v>
      </c>
      <c r="R27" s="50"/>
      <c r="S27" s="50">
        <v>0</v>
      </c>
      <c r="T27" s="4" t="s">
        <v>43</v>
      </c>
      <c r="U27" s="4" t="s">
        <v>43</v>
      </c>
      <c r="AD27" s="91">
        <f t="shared" si="1"/>
        <v>0</v>
      </c>
      <c r="AE27" s="48" t="e">
        <f>VLOOKUP(C27,#REF!,1,0)</f>
        <v>#REF!</v>
      </c>
    </row>
    <row r="28" spans="3:31" hidden="1" x14ac:dyDescent="0.25">
      <c r="C28" s="87" t="s">
        <v>112</v>
      </c>
      <c r="D28" s="4" t="s">
        <v>113</v>
      </c>
      <c r="E28" s="4" t="s">
        <v>114</v>
      </c>
      <c r="F28" s="4" t="s">
        <v>36</v>
      </c>
      <c r="G28" s="4" t="s">
        <v>37</v>
      </c>
      <c r="H28" s="4" t="s">
        <v>81</v>
      </c>
      <c r="I28" s="4"/>
      <c r="J28" s="4" t="s">
        <v>73</v>
      </c>
      <c r="K28" s="4"/>
      <c r="L28" s="4" t="s">
        <v>115</v>
      </c>
      <c r="M28" s="4" t="s">
        <v>116</v>
      </c>
      <c r="N28" s="4" t="s">
        <v>41</v>
      </c>
      <c r="O28" s="4" t="s">
        <v>112</v>
      </c>
      <c r="P28" s="4" t="s">
        <v>42</v>
      </c>
      <c r="Q28" s="50" t="s">
        <v>43</v>
      </c>
      <c r="R28" s="50"/>
      <c r="S28" s="50">
        <v>0</v>
      </c>
      <c r="T28" s="4" t="s">
        <v>43</v>
      </c>
      <c r="U28" s="4" t="s">
        <v>43</v>
      </c>
      <c r="AD28" s="91">
        <f t="shared" si="1"/>
        <v>0</v>
      </c>
      <c r="AE28" s="48" t="e">
        <f>VLOOKUP(C28,#REF!,1,0)</f>
        <v>#REF!</v>
      </c>
    </row>
    <row r="29" spans="3:31" hidden="1" x14ac:dyDescent="0.25">
      <c r="C29" s="87" t="s">
        <v>117</v>
      </c>
      <c r="D29" s="4" t="s">
        <v>118</v>
      </c>
      <c r="E29" s="4" t="s">
        <v>118</v>
      </c>
      <c r="F29" s="4" t="s">
        <v>36</v>
      </c>
      <c r="G29" s="4" t="s">
        <v>37</v>
      </c>
      <c r="H29" s="4" t="s">
        <v>81</v>
      </c>
      <c r="I29" s="4"/>
      <c r="J29" s="4">
        <v>0</v>
      </c>
      <c r="K29" s="4"/>
      <c r="L29" s="4" t="s">
        <v>59</v>
      </c>
      <c r="M29" s="4" t="s">
        <v>40</v>
      </c>
      <c r="N29" s="4" t="s">
        <v>41</v>
      </c>
      <c r="O29" s="4" t="s">
        <v>117</v>
      </c>
      <c r="P29" s="4" t="s">
        <v>42</v>
      </c>
      <c r="Q29" s="50" t="s">
        <v>43</v>
      </c>
      <c r="R29" s="50"/>
      <c r="S29" s="50">
        <v>0</v>
      </c>
      <c r="T29" s="4" t="s">
        <v>43</v>
      </c>
      <c r="U29" s="4" t="s">
        <v>43</v>
      </c>
      <c r="AD29" s="91">
        <f t="shared" si="1"/>
        <v>0</v>
      </c>
      <c r="AE29" s="48" t="e">
        <f>VLOOKUP(C29,#REF!,1,0)</f>
        <v>#REF!</v>
      </c>
    </row>
    <row r="30" spans="3:31" hidden="1" x14ac:dyDescent="0.25">
      <c r="C30" s="87" t="s">
        <v>119</v>
      </c>
      <c r="D30" s="4" t="s">
        <v>120</v>
      </c>
      <c r="E30" s="4" t="s">
        <v>120</v>
      </c>
      <c r="F30" s="4" t="s">
        <v>36</v>
      </c>
      <c r="G30" s="4" t="s">
        <v>37</v>
      </c>
      <c r="H30" s="4" t="s">
        <v>81</v>
      </c>
      <c r="I30" s="4"/>
      <c r="J30" s="4" t="s">
        <v>63</v>
      </c>
      <c r="K30" s="4"/>
      <c r="L30" s="4" t="s">
        <v>64</v>
      </c>
      <c r="M30" s="4" t="s">
        <v>40</v>
      </c>
      <c r="N30" s="4" t="s">
        <v>41</v>
      </c>
      <c r="O30" s="4" t="s">
        <v>119</v>
      </c>
      <c r="P30" s="4" t="s">
        <v>42</v>
      </c>
      <c r="Q30" s="50" t="s">
        <v>43</v>
      </c>
      <c r="R30" s="50"/>
      <c r="S30" s="50">
        <v>0</v>
      </c>
      <c r="T30" s="4" t="s">
        <v>43</v>
      </c>
      <c r="U30" s="4" t="s">
        <v>43</v>
      </c>
      <c r="AD30" s="91">
        <f t="shared" si="1"/>
        <v>0</v>
      </c>
      <c r="AE30" s="48" t="e">
        <f>VLOOKUP(C30,#REF!,1,0)</f>
        <v>#REF!</v>
      </c>
    </row>
    <row r="31" spans="3:31" hidden="1" x14ac:dyDescent="0.25">
      <c r="C31" s="87" t="s">
        <v>121</v>
      </c>
      <c r="D31" s="4" t="s">
        <v>122</v>
      </c>
      <c r="E31" s="4" t="s">
        <v>123</v>
      </c>
      <c r="F31" s="4" t="s">
        <v>36</v>
      </c>
      <c r="G31" s="4" t="s">
        <v>37</v>
      </c>
      <c r="H31" s="4" t="s">
        <v>81</v>
      </c>
      <c r="I31" s="4"/>
      <c r="J31" s="4" t="s">
        <v>73</v>
      </c>
      <c r="K31" s="4"/>
      <c r="L31" s="4" t="s">
        <v>122</v>
      </c>
      <c r="M31" s="4" t="s">
        <v>104</v>
      </c>
      <c r="N31" s="4" t="s">
        <v>41</v>
      </c>
      <c r="O31" s="4" t="s">
        <v>121</v>
      </c>
      <c r="P31" s="4" t="s">
        <v>42</v>
      </c>
      <c r="Q31" s="50" t="s">
        <v>43</v>
      </c>
      <c r="R31" s="50"/>
      <c r="S31" s="50">
        <v>0</v>
      </c>
      <c r="T31" s="4" t="s">
        <v>43</v>
      </c>
      <c r="U31" s="4" t="s">
        <v>43</v>
      </c>
      <c r="AD31" s="91">
        <f t="shared" si="1"/>
        <v>0</v>
      </c>
      <c r="AE31" s="48" t="e">
        <f>VLOOKUP(C31,#REF!,1,0)</f>
        <v>#REF!</v>
      </c>
    </row>
    <row r="32" spans="3:31" hidden="1" x14ac:dyDescent="0.25">
      <c r="C32" s="87" t="s">
        <v>124</v>
      </c>
      <c r="D32" s="4" t="s">
        <v>125</v>
      </c>
      <c r="E32" s="4" t="s">
        <v>125</v>
      </c>
      <c r="F32" s="4" t="s">
        <v>36</v>
      </c>
      <c r="G32" s="4" t="s">
        <v>37</v>
      </c>
      <c r="H32" s="4" t="s">
        <v>81</v>
      </c>
      <c r="I32" s="4"/>
      <c r="J32" s="4">
        <v>0</v>
      </c>
      <c r="K32" s="4"/>
      <c r="L32" s="4" t="s">
        <v>51</v>
      </c>
      <c r="M32" s="4" t="s">
        <v>40</v>
      </c>
      <c r="N32" s="4" t="s">
        <v>41</v>
      </c>
      <c r="O32" s="4" t="s">
        <v>124</v>
      </c>
      <c r="P32" s="4" t="s">
        <v>42</v>
      </c>
      <c r="Q32" s="50" t="s">
        <v>43</v>
      </c>
      <c r="R32" s="50"/>
      <c r="S32" s="50">
        <v>0</v>
      </c>
      <c r="T32" s="4" t="s">
        <v>43</v>
      </c>
      <c r="U32" s="4" t="s">
        <v>43</v>
      </c>
      <c r="AD32" s="91">
        <f t="shared" si="1"/>
        <v>0</v>
      </c>
      <c r="AE32" s="48" t="e">
        <f>VLOOKUP(C32,#REF!,1,0)</f>
        <v>#REF!</v>
      </c>
    </row>
    <row r="33" spans="3:31" hidden="1" x14ac:dyDescent="0.25">
      <c r="C33" s="87" t="s">
        <v>126</v>
      </c>
      <c r="D33" s="4" t="s">
        <v>127</v>
      </c>
      <c r="E33" s="4" t="s">
        <v>128</v>
      </c>
      <c r="F33" s="4" t="s">
        <v>36</v>
      </c>
      <c r="G33" s="4" t="s">
        <v>37</v>
      </c>
      <c r="H33" s="4" t="s">
        <v>81</v>
      </c>
      <c r="I33" s="4"/>
      <c r="J33" s="4" t="s">
        <v>73</v>
      </c>
      <c r="K33" s="4"/>
      <c r="L33" s="4" t="s">
        <v>129</v>
      </c>
      <c r="M33" s="4" t="s">
        <v>116</v>
      </c>
      <c r="N33" s="4" t="s">
        <v>41</v>
      </c>
      <c r="O33" s="4" t="s">
        <v>126</v>
      </c>
      <c r="P33" s="4" t="s">
        <v>42</v>
      </c>
      <c r="Q33" s="50" t="s">
        <v>43</v>
      </c>
      <c r="R33" s="50"/>
      <c r="S33" s="50">
        <v>0</v>
      </c>
      <c r="T33" s="4" t="s">
        <v>43</v>
      </c>
      <c r="U33" s="4" t="s">
        <v>43</v>
      </c>
      <c r="AD33" s="91">
        <f t="shared" si="1"/>
        <v>0</v>
      </c>
      <c r="AE33" s="48" t="e">
        <f>VLOOKUP(C33,#REF!,1,0)</f>
        <v>#REF!</v>
      </c>
    </row>
    <row r="34" spans="3:31" hidden="1" x14ac:dyDescent="0.25">
      <c r="C34" s="87" t="s">
        <v>130</v>
      </c>
      <c r="D34" s="4" t="s">
        <v>131</v>
      </c>
      <c r="E34" s="4" t="s">
        <v>131</v>
      </c>
      <c r="F34" s="4" t="s">
        <v>36</v>
      </c>
      <c r="G34" s="4" t="s">
        <v>37</v>
      </c>
      <c r="H34" s="4" t="s">
        <v>81</v>
      </c>
      <c r="I34" s="4"/>
      <c r="J34" s="4" t="s">
        <v>132</v>
      </c>
      <c r="K34" s="4"/>
      <c r="L34" s="4" t="s">
        <v>133</v>
      </c>
      <c r="M34" s="4" t="s">
        <v>40</v>
      </c>
      <c r="N34" s="4" t="s">
        <v>41</v>
      </c>
      <c r="O34" s="4" t="s">
        <v>130</v>
      </c>
      <c r="P34" s="4" t="s">
        <v>42</v>
      </c>
      <c r="Q34" s="50" t="s">
        <v>43</v>
      </c>
      <c r="R34" s="50"/>
      <c r="S34" s="50">
        <v>0</v>
      </c>
      <c r="T34" s="4" t="s">
        <v>43</v>
      </c>
      <c r="U34" s="4" t="s">
        <v>43</v>
      </c>
      <c r="AD34" s="91">
        <f t="shared" si="1"/>
        <v>0</v>
      </c>
      <c r="AE34" s="48" t="e">
        <f>VLOOKUP(C34,#REF!,1,0)</f>
        <v>#REF!</v>
      </c>
    </row>
    <row r="35" spans="3:31" hidden="1" x14ac:dyDescent="0.25">
      <c r="C35" s="87" t="s">
        <v>134</v>
      </c>
      <c r="D35" s="4" t="s">
        <v>135</v>
      </c>
      <c r="E35" s="4" t="s">
        <v>135</v>
      </c>
      <c r="F35" s="4" t="s">
        <v>36</v>
      </c>
      <c r="G35" s="4" t="s">
        <v>37</v>
      </c>
      <c r="H35" s="4" t="s">
        <v>81</v>
      </c>
      <c r="I35" s="4"/>
      <c r="J35" s="4" t="s">
        <v>132</v>
      </c>
      <c r="K35" s="4"/>
      <c r="L35" s="4" t="s">
        <v>51</v>
      </c>
      <c r="M35" s="4" t="s">
        <v>40</v>
      </c>
      <c r="N35" s="4" t="s">
        <v>41</v>
      </c>
      <c r="O35" s="4" t="s">
        <v>134</v>
      </c>
      <c r="P35" s="4" t="s">
        <v>42</v>
      </c>
      <c r="Q35" s="50" t="s">
        <v>43</v>
      </c>
      <c r="R35" s="50"/>
      <c r="S35" s="50">
        <v>0</v>
      </c>
      <c r="T35" s="4" t="s">
        <v>43</v>
      </c>
      <c r="U35" s="4" t="s">
        <v>43</v>
      </c>
      <c r="AD35" s="91">
        <f t="shared" si="1"/>
        <v>0</v>
      </c>
      <c r="AE35" s="48" t="e">
        <f>VLOOKUP(C35,#REF!,1,0)</f>
        <v>#REF!</v>
      </c>
    </row>
    <row r="36" spans="3:31" hidden="1" x14ac:dyDescent="0.25">
      <c r="C36" s="87" t="s">
        <v>136</v>
      </c>
      <c r="D36" s="4" t="s">
        <v>137</v>
      </c>
      <c r="E36" s="4" t="s">
        <v>137</v>
      </c>
      <c r="F36" s="4" t="s">
        <v>36</v>
      </c>
      <c r="G36" s="4" t="s">
        <v>37</v>
      </c>
      <c r="H36" s="4" t="s">
        <v>88</v>
      </c>
      <c r="I36" s="4"/>
      <c r="J36" s="4" t="s">
        <v>58</v>
      </c>
      <c r="K36" s="4"/>
      <c r="L36" s="4" t="s">
        <v>138</v>
      </c>
      <c r="M36" s="4" t="s">
        <v>40</v>
      </c>
      <c r="N36" s="4" t="s">
        <v>41</v>
      </c>
      <c r="O36" s="4" t="s">
        <v>136</v>
      </c>
      <c r="P36" s="4" t="s">
        <v>42</v>
      </c>
      <c r="Q36" s="50" t="s">
        <v>43</v>
      </c>
      <c r="R36" s="50"/>
      <c r="S36" s="50">
        <v>0</v>
      </c>
      <c r="T36" s="4" t="s">
        <v>43</v>
      </c>
      <c r="U36" s="4" t="s">
        <v>43</v>
      </c>
      <c r="AD36" s="91">
        <f t="shared" si="1"/>
        <v>0</v>
      </c>
      <c r="AE36" s="48" t="e">
        <f>VLOOKUP(C36,#REF!,1,0)</f>
        <v>#REF!</v>
      </c>
    </row>
    <row r="37" spans="3:31" hidden="1" x14ac:dyDescent="0.25">
      <c r="C37" s="87" t="s">
        <v>139</v>
      </c>
      <c r="D37" s="4" t="s">
        <v>140</v>
      </c>
      <c r="E37" s="4" t="s">
        <v>140</v>
      </c>
      <c r="F37" s="4" t="s">
        <v>36</v>
      </c>
      <c r="G37" s="4" t="s">
        <v>37</v>
      </c>
      <c r="H37" s="4" t="s">
        <v>88</v>
      </c>
      <c r="I37" s="4"/>
      <c r="J37" s="4" t="s">
        <v>89</v>
      </c>
      <c r="K37" s="4"/>
      <c r="L37" s="4" t="s">
        <v>109</v>
      </c>
      <c r="M37" s="4" t="s">
        <v>91</v>
      </c>
      <c r="N37" s="4" t="s">
        <v>41</v>
      </c>
      <c r="O37" s="4" t="s">
        <v>139</v>
      </c>
      <c r="P37" s="4" t="s">
        <v>42</v>
      </c>
      <c r="Q37" s="50" t="s">
        <v>43</v>
      </c>
      <c r="R37" s="50"/>
      <c r="S37" s="50">
        <v>0</v>
      </c>
      <c r="T37" s="4" t="s">
        <v>43</v>
      </c>
      <c r="U37" s="4" t="s">
        <v>43</v>
      </c>
      <c r="AD37" s="91">
        <f t="shared" si="1"/>
        <v>0</v>
      </c>
      <c r="AE37" s="48" t="e">
        <f>VLOOKUP(C37,#REF!,1,0)</f>
        <v>#REF!</v>
      </c>
    </row>
    <row r="38" spans="3:31" hidden="1" x14ac:dyDescent="0.25">
      <c r="C38" s="87" t="s">
        <v>141</v>
      </c>
      <c r="D38" s="4" t="s">
        <v>142</v>
      </c>
      <c r="E38" s="4" t="s">
        <v>142</v>
      </c>
      <c r="F38" s="4" t="s">
        <v>36</v>
      </c>
      <c r="G38" s="4" t="s">
        <v>37</v>
      </c>
      <c r="H38" s="4" t="s">
        <v>81</v>
      </c>
      <c r="I38" s="4"/>
      <c r="J38" s="4">
        <v>0</v>
      </c>
      <c r="K38" s="4"/>
      <c r="L38" s="4" t="s">
        <v>143</v>
      </c>
      <c r="M38" s="4" t="s">
        <v>40</v>
      </c>
      <c r="N38" s="4" t="s">
        <v>41</v>
      </c>
      <c r="O38" s="4" t="s">
        <v>141</v>
      </c>
      <c r="P38" s="4" t="s">
        <v>42</v>
      </c>
      <c r="Q38" s="50" t="s">
        <v>43</v>
      </c>
      <c r="R38" s="50"/>
      <c r="S38" s="50">
        <v>0</v>
      </c>
      <c r="T38" s="4" t="s">
        <v>43</v>
      </c>
      <c r="U38" s="4" t="s">
        <v>43</v>
      </c>
      <c r="AD38" s="91">
        <f t="shared" si="1"/>
        <v>0</v>
      </c>
      <c r="AE38" s="48" t="e">
        <f>VLOOKUP(C38,#REF!,1,0)</f>
        <v>#REF!</v>
      </c>
    </row>
    <row r="39" spans="3:31" hidden="1" x14ac:dyDescent="0.25">
      <c r="C39" s="87" t="s">
        <v>144</v>
      </c>
      <c r="D39" s="4" t="s">
        <v>145</v>
      </c>
      <c r="E39" s="4" t="s">
        <v>145</v>
      </c>
      <c r="F39" s="4" t="s">
        <v>36</v>
      </c>
      <c r="G39" s="4" t="s">
        <v>37</v>
      </c>
      <c r="H39" s="4" t="s">
        <v>46</v>
      </c>
      <c r="I39" s="4"/>
      <c r="J39" s="4" t="s">
        <v>146</v>
      </c>
      <c r="K39" s="4"/>
      <c r="L39" s="4" t="s">
        <v>138</v>
      </c>
      <c r="M39" s="4" t="s">
        <v>40</v>
      </c>
      <c r="N39" s="4" t="s">
        <v>41</v>
      </c>
      <c r="O39" s="4" t="s">
        <v>144</v>
      </c>
      <c r="P39" s="4" t="s">
        <v>42</v>
      </c>
      <c r="Q39" s="50" t="s">
        <v>43</v>
      </c>
      <c r="R39" s="50"/>
      <c r="S39" s="50">
        <v>0</v>
      </c>
      <c r="T39" s="4" t="s">
        <v>43</v>
      </c>
      <c r="U39" s="4" t="s">
        <v>43</v>
      </c>
      <c r="AD39" s="91">
        <f t="shared" si="1"/>
        <v>0</v>
      </c>
      <c r="AE39" s="48" t="e">
        <f>VLOOKUP(C39,#REF!,1,0)</f>
        <v>#REF!</v>
      </c>
    </row>
    <row r="40" spans="3:31" hidden="1" x14ac:dyDescent="0.25">
      <c r="C40" s="87" t="s">
        <v>147</v>
      </c>
      <c r="D40" s="4" t="s">
        <v>148</v>
      </c>
      <c r="E40" s="4" t="s">
        <v>148</v>
      </c>
      <c r="F40" s="4" t="s">
        <v>36</v>
      </c>
      <c r="G40" s="4" t="s">
        <v>37</v>
      </c>
      <c r="H40" s="4" t="s">
        <v>46</v>
      </c>
      <c r="I40" s="4"/>
      <c r="J40" s="4" t="s">
        <v>50</v>
      </c>
      <c r="K40" s="4"/>
      <c r="L40" s="4" t="s">
        <v>51</v>
      </c>
      <c r="M40" s="4" t="s">
        <v>40</v>
      </c>
      <c r="N40" s="4" t="s">
        <v>41</v>
      </c>
      <c r="O40" s="4" t="s">
        <v>147</v>
      </c>
      <c r="P40" s="4" t="s">
        <v>42</v>
      </c>
      <c r="Q40" s="50" t="s">
        <v>43</v>
      </c>
      <c r="R40" s="50"/>
      <c r="S40" s="50">
        <v>0</v>
      </c>
      <c r="T40" s="4" t="s">
        <v>43</v>
      </c>
      <c r="U40" s="4" t="s">
        <v>43</v>
      </c>
      <c r="AD40" s="91">
        <f t="shared" si="1"/>
        <v>0</v>
      </c>
      <c r="AE40" s="48" t="e">
        <f>VLOOKUP(C40,#REF!,1,0)</f>
        <v>#REF!</v>
      </c>
    </row>
    <row r="41" spans="3:31" hidden="1" x14ac:dyDescent="0.25">
      <c r="C41" s="87" t="s">
        <v>149</v>
      </c>
      <c r="D41" s="4" t="s">
        <v>150</v>
      </c>
      <c r="E41" s="4" t="s">
        <v>150</v>
      </c>
      <c r="F41" s="4" t="s">
        <v>36</v>
      </c>
      <c r="G41" s="4" t="s">
        <v>37</v>
      </c>
      <c r="H41" s="4" t="s">
        <v>81</v>
      </c>
      <c r="I41" s="4"/>
      <c r="J41" s="4" t="s">
        <v>100</v>
      </c>
      <c r="K41" s="4"/>
      <c r="L41" s="4" t="s">
        <v>59</v>
      </c>
      <c r="M41" s="4" t="s">
        <v>40</v>
      </c>
      <c r="N41" s="4" t="s">
        <v>41</v>
      </c>
      <c r="O41" s="4" t="s">
        <v>149</v>
      </c>
      <c r="P41" s="4" t="s">
        <v>42</v>
      </c>
      <c r="Q41" s="50" t="s">
        <v>43</v>
      </c>
      <c r="R41" s="50"/>
      <c r="S41" s="50">
        <v>0</v>
      </c>
      <c r="T41" s="4" t="s">
        <v>43</v>
      </c>
      <c r="U41" s="4" t="s">
        <v>43</v>
      </c>
      <c r="AD41" s="91">
        <f t="shared" si="1"/>
        <v>0</v>
      </c>
      <c r="AE41" s="48" t="e">
        <f>VLOOKUP(C41,#REF!,1,0)</f>
        <v>#REF!</v>
      </c>
    </row>
    <row r="42" spans="3:31" hidden="1" x14ac:dyDescent="0.25">
      <c r="C42" s="87" t="s">
        <v>151</v>
      </c>
      <c r="D42" s="4" t="s">
        <v>152</v>
      </c>
      <c r="E42" s="4" t="s">
        <v>152</v>
      </c>
      <c r="F42" s="4" t="s">
        <v>36</v>
      </c>
      <c r="G42" s="4" t="s">
        <v>37</v>
      </c>
      <c r="H42" s="4" t="s">
        <v>88</v>
      </c>
      <c r="I42" s="4"/>
      <c r="J42" s="4" t="s">
        <v>132</v>
      </c>
      <c r="K42" s="4"/>
      <c r="L42" s="4" t="s">
        <v>133</v>
      </c>
      <c r="M42" s="4" t="s">
        <v>40</v>
      </c>
      <c r="N42" s="4" t="s">
        <v>41</v>
      </c>
      <c r="O42" s="4" t="s">
        <v>151</v>
      </c>
      <c r="P42" s="4" t="s">
        <v>42</v>
      </c>
      <c r="Q42" s="50" t="s">
        <v>43</v>
      </c>
      <c r="R42" s="50"/>
      <c r="S42" s="50">
        <v>0</v>
      </c>
      <c r="T42" s="4" t="s">
        <v>43</v>
      </c>
      <c r="U42" s="4" t="s">
        <v>43</v>
      </c>
      <c r="AD42" s="91">
        <f t="shared" si="1"/>
        <v>0</v>
      </c>
      <c r="AE42" s="48" t="e">
        <f>VLOOKUP(C42,#REF!,1,0)</f>
        <v>#REF!</v>
      </c>
    </row>
    <row r="43" spans="3:31" hidden="1" x14ac:dyDescent="0.25">
      <c r="C43" s="87" t="s">
        <v>153</v>
      </c>
      <c r="D43" s="4" t="s">
        <v>154</v>
      </c>
      <c r="E43" s="4" t="s">
        <v>155</v>
      </c>
      <c r="F43" s="4" t="s">
        <v>36</v>
      </c>
      <c r="G43" s="4" t="s">
        <v>37</v>
      </c>
      <c r="H43" s="4" t="s">
        <v>81</v>
      </c>
      <c r="I43" s="4"/>
      <c r="J43" s="4" t="s">
        <v>84</v>
      </c>
      <c r="K43" s="4"/>
      <c r="L43" s="4" t="s">
        <v>54</v>
      </c>
      <c r="M43" s="4" t="s">
        <v>55</v>
      </c>
      <c r="N43" s="4" t="s">
        <v>41</v>
      </c>
      <c r="O43" s="4" t="s">
        <v>153</v>
      </c>
      <c r="P43" s="4" t="s">
        <v>42</v>
      </c>
      <c r="Q43" s="50" t="s">
        <v>43</v>
      </c>
      <c r="R43" s="50"/>
      <c r="S43" s="50">
        <v>0</v>
      </c>
      <c r="T43" s="4" t="s">
        <v>43</v>
      </c>
      <c r="U43" s="4" t="s">
        <v>43</v>
      </c>
      <c r="AD43" s="91">
        <f t="shared" si="1"/>
        <v>0</v>
      </c>
      <c r="AE43" s="48" t="e">
        <f>VLOOKUP(C43,#REF!,1,0)</f>
        <v>#REF!</v>
      </c>
    </row>
    <row r="44" spans="3:31" hidden="1" x14ac:dyDescent="0.25">
      <c r="C44" s="87" t="s">
        <v>156</v>
      </c>
      <c r="D44" s="4" t="s">
        <v>157</v>
      </c>
      <c r="E44" s="4" t="s">
        <v>157</v>
      </c>
      <c r="F44" s="4" t="s">
        <v>36</v>
      </c>
      <c r="G44" s="4" t="s">
        <v>37</v>
      </c>
      <c r="H44" s="4" t="s">
        <v>46</v>
      </c>
      <c r="I44" s="4"/>
      <c r="J44" s="4">
        <v>0</v>
      </c>
      <c r="K44" s="4"/>
      <c r="L44" s="4" t="s">
        <v>51</v>
      </c>
      <c r="M44" s="4" t="s">
        <v>40</v>
      </c>
      <c r="N44" s="4" t="s">
        <v>41</v>
      </c>
      <c r="O44" s="4" t="s">
        <v>156</v>
      </c>
      <c r="P44" s="4" t="s">
        <v>42</v>
      </c>
      <c r="Q44" s="50" t="s">
        <v>43</v>
      </c>
      <c r="R44" s="50"/>
      <c r="S44" s="50">
        <v>0</v>
      </c>
      <c r="T44" s="4" t="s">
        <v>43</v>
      </c>
      <c r="U44" s="4" t="s">
        <v>43</v>
      </c>
      <c r="AD44" s="91">
        <f t="shared" si="1"/>
        <v>0</v>
      </c>
      <c r="AE44" s="48" t="e">
        <f>VLOOKUP(C44,#REF!,1,0)</f>
        <v>#REF!</v>
      </c>
    </row>
    <row r="45" spans="3:31" hidden="1" x14ac:dyDescent="0.25">
      <c r="C45" s="87" t="s">
        <v>158</v>
      </c>
      <c r="D45" s="4" t="s">
        <v>159</v>
      </c>
      <c r="E45" s="4" t="s">
        <v>159</v>
      </c>
      <c r="F45" s="4" t="s">
        <v>36</v>
      </c>
      <c r="G45" s="4" t="s">
        <v>37</v>
      </c>
      <c r="H45" s="4" t="s">
        <v>81</v>
      </c>
      <c r="I45" s="4"/>
      <c r="J45" s="4" t="s">
        <v>160</v>
      </c>
      <c r="K45" s="4"/>
      <c r="L45" s="4" t="s">
        <v>161</v>
      </c>
      <c r="M45" s="4" t="s">
        <v>55</v>
      </c>
      <c r="N45" s="4" t="s">
        <v>41</v>
      </c>
      <c r="O45" s="4" t="s">
        <v>158</v>
      </c>
      <c r="P45" s="4" t="s">
        <v>42</v>
      </c>
      <c r="Q45" s="50" t="s">
        <v>43</v>
      </c>
      <c r="R45" s="50"/>
      <c r="S45" s="50">
        <v>0</v>
      </c>
      <c r="T45" s="4" t="s">
        <v>43</v>
      </c>
      <c r="U45" s="4" t="s">
        <v>43</v>
      </c>
      <c r="AD45" s="91">
        <f t="shared" si="1"/>
        <v>0</v>
      </c>
      <c r="AE45" s="48" t="e">
        <f>VLOOKUP(C45,#REF!,1,0)</f>
        <v>#REF!</v>
      </c>
    </row>
    <row r="46" spans="3:31" hidden="1" x14ac:dyDescent="0.25">
      <c r="C46" s="87" t="s">
        <v>162</v>
      </c>
      <c r="D46" s="4" t="s">
        <v>163</v>
      </c>
      <c r="E46" s="4" t="s">
        <v>163</v>
      </c>
      <c r="F46" s="4" t="s">
        <v>36</v>
      </c>
      <c r="G46" s="4" t="s">
        <v>37</v>
      </c>
      <c r="H46" s="4" t="s">
        <v>88</v>
      </c>
      <c r="I46" s="4"/>
      <c r="J46" s="4" t="s">
        <v>63</v>
      </c>
      <c r="K46" s="4"/>
      <c r="L46" s="4" t="s">
        <v>138</v>
      </c>
      <c r="M46" s="4" t="s">
        <v>40</v>
      </c>
      <c r="N46" s="4" t="s">
        <v>41</v>
      </c>
      <c r="O46" s="4" t="s">
        <v>162</v>
      </c>
      <c r="P46" s="4" t="s">
        <v>42</v>
      </c>
      <c r="Q46" s="50" t="s">
        <v>43</v>
      </c>
      <c r="R46" s="50"/>
      <c r="S46" s="50">
        <v>0</v>
      </c>
      <c r="T46" s="4" t="s">
        <v>43</v>
      </c>
      <c r="U46" s="4" t="s">
        <v>43</v>
      </c>
      <c r="AD46" s="91">
        <f t="shared" si="1"/>
        <v>0</v>
      </c>
      <c r="AE46" s="48" t="e">
        <f>VLOOKUP(C46,#REF!,1,0)</f>
        <v>#REF!</v>
      </c>
    </row>
    <row r="47" spans="3:31" hidden="1" x14ac:dyDescent="0.25">
      <c r="C47" s="87" t="s">
        <v>164</v>
      </c>
      <c r="D47" s="4" t="s">
        <v>165</v>
      </c>
      <c r="E47" s="4" t="s">
        <v>165</v>
      </c>
      <c r="F47" s="4" t="s">
        <v>36</v>
      </c>
      <c r="G47" s="4" t="s">
        <v>37</v>
      </c>
      <c r="H47" s="4" t="s">
        <v>46</v>
      </c>
      <c r="I47" s="4"/>
      <c r="J47" s="4" t="s">
        <v>58</v>
      </c>
      <c r="K47" s="4"/>
      <c r="L47" s="4" t="s">
        <v>138</v>
      </c>
      <c r="M47" s="4" t="s">
        <v>40</v>
      </c>
      <c r="N47" s="4" t="s">
        <v>41</v>
      </c>
      <c r="O47" s="4" t="s">
        <v>164</v>
      </c>
      <c r="P47" s="4" t="s">
        <v>42</v>
      </c>
      <c r="Q47" s="50" t="s">
        <v>43</v>
      </c>
      <c r="R47" s="50"/>
      <c r="S47" s="50">
        <v>0</v>
      </c>
      <c r="T47" s="4" t="s">
        <v>43</v>
      </c>
      <c r="U47" s="4" t="s">
        <v>43</v>
      </c>
      <c r="AD47" s="91">
        <f t="shared" si="1"/>
        <v>0</v>
      </c>
      <c r="AE47" s="48" t="e">
        <f>VLOOKUP(C47,#REF!,1,0)</f>
        <v>#REF!</v>
      </c>
    </row>
    <row r="48" spans="3:31" hidden="1" x14ac:dyDescent="0.25">
      <c r="C48" s="87" t="s">
        <v>166</v>
      </c>
      <c r="D48" s="4" t="s">
        <v>167</v>
      </c>
      <c r="E48" s="4" t="s">
        <v>167</v>
      </c>
      <c r="F48" s="4" t="s">
        <v>36</v>
      </c>
      <c r="G48" s="4" t="s">
        <v>37</v>
      </c>
      <c r="H48" s="4" t="s">
        <v>81</v>
      </c>
      <c r="I48" s="4"/>
      <c r="J48" s="4" t="s">
        <v>58</v>
      </c>
      <c r="K48" s="4"/>
      <c r="L48" s="4" t="s">
        <v>59</v>
      </c>
      <c r="M48" s="4" t="s">
        <v>40</v>
      </c>
      <c r="N48" s="4" t="s">
        <v>41</v>
      </c>
      <c r="O48" s="4" t="s">
        <v>166</v>
      </c>
      <c r="P48" s="4" t="s">
        <v>42</v>
      </c>
      <c r="Q48" s="50" t="s">
        <v>43</v>
      </c>
      <c r="R48" s="50"/>
      <c r="S48" s="50">
        <v>0</v>
      </c>
      <c r="T48" s="4" t="s">
        <v>43</v>
      </c>
      <c r="U48" s="4" t="s">
        <v>43</v>
      </c>
      <c r="AD48" s="91">
        <f t="shared" si="1"/>
        <v>0</v>
      </c>
      <c r="AE48" s="48" t="e">
        <f>VLOOKUP(C48,#REF!,1,0)</f>
        <v>#REF!</v>
      </c>
    </row>
    <row r="49" spans="3:31" hidden="1" x14ac:dyDescent="0.25">
      <c r="C49" s="87" t="s">
        <v>168</v>
      </c>
      <c r="D49" s="4" t="s">
        <v>169</v>
      </c>
      <c r="E49" s="4" t="s">
        <v>170</v>
      </c>
      <c r="F49" s="4" t="s">
        <v>36</v>
      </c>
      <c r="G49" s="4" t="s">
        <v>37</v>
      </c>
      <c r="H49" s="4" t="s">
        <v>46</v>
      </c>
      <c r="I49" s="4"/>
      <c r="J49" s="4" t="s">
        <v>160</v>
      </c>
      <c r="K49" s="4"/>
      <c r="L49" s="4" t="s">
        <v>59</v>
      </c>
      <c r="M49" s="4" t="s">
        <v>40</v>
      </c>
      <c r="N49" s="4" t="s">
        <v>41</v>
      </c>
      <c r="O49" s="4" t="s">
        <v>168</v>
      </c>
      <c r="P49" s="4" t="s">
        <v>42</v>
      </c>
      <c r="Q49" s="50" t="s">
        <v>43</v>
      </c>
      <c r="R49" s="50"/>
      <c r="S49" s="50">
        <v>0</v>
      </c>
      <c r="T49" s="4" t="s">
        <v>43</v>
      </c>
      <c r="U49" s="4" t="s">
        <v>43</v>
      </c>
      <c r="AD49" s="91">
        <f t="shared" si="1"/>
        <v>0</v>
      </c>
      <c r="AE49" s="48" t="e">
        <f>VLOOKUP(C49,#REF!,1,0)</f>
        <v>#REF!</v>
      </c>
    </row>
    <row r="50" spans="3:31" hidden="1" x14ac:dyDescent="0.25">
      <c r="C50" s="87" t="s">
        <v>171</v>
      </c>
      <c r="D50" s="4" t="s">
        <v>172</v>
      </c>
      <c r="E50" s="4" t="s">
        <v>172</v>
      </c>
      <c r="F50" s="4" t="s">
        <v>36</v>
      </c>
      <c r="G50" s="4" t="s">
        <v>37</v>
      </c>
      <c r="H50" s="4" t="s">
        <v>81</v>
      </c>
      <c r="I50" s="4"/>
      <c r="J50" s="4" t="s">
        <v>89</v>
      </c>
      <c r="K50" s="4"/>
      <c r="L50" s="4" t="s">
        <v>109</v>
      </c>
      <c r="M50" s="4" t="s">
        <v>91</v>
      </c>
      <c r="N50" s="4" t="s">
        <v>41</v>
      </c>
      <c r="O50" s="4" t="s">
        <v>171</v>
      </c>
      <c r="P50" s="4" t="s">
        <v>42</v>
      </c>
      <c r="Q50" s="50" t="s">
        <v>43</v>
      </c>
      <c r="R50" s="50"/>
      <c r="S50" s="50">
        <v>0</v>
      </c>
      <c r="T50" s="4" t="s">
        <v>43</v>
      </c>
      <c r="U50" s="4" t="s">
        <v>43</v>
      </c>
      <c r="AD50" s="94">
        <f t="shared" si="1"/>
        <v>0</v>
      </c>
      <c r="AE50" s="48" t="e">
        <f>VLOOKUP(C50,#REF!,1,0)</f>
        <v>#REF!</v>
      </c>
    </row>
    <row r="51" spans="3:31" hidden="1" x14ac:dyDescent="0.25">
      <c r="C51" s="87" t="s">
        <v>173</v>
      </c>
      <c r="D51" s="4" t="s">
        <v>174</v>
      </c>
      <c r="E51" s="4" t="s">
        <v>174</v>
      </c>
      <c r="F51" s="4" t="s">
        <v>36</v>
      </c>
      <c r="G51" s="4" t="s">
        <v>37</v>
      </c>
      <c r="H51" s="4" t="s">
        <v>46</v>
      </c>
      <c r="I51" s="4"/>
      <c r="J51" s="4" t="s">
        <v>73</v>
      </c>
      <c r="K51" s="4"/>
      <c r="L51" s="4" t="s">
        <v>64</v>
      </c>
      <c r="M51" s="4" t="s">
        <v>40</v>
      </c>
      <c r="N51" s="4" t="s">
        <v>41</v>
      </c>
      <c r="O51" s="4" t="s">
        <v>173</v>
      </c>
      <c r="P51" s="4" t="s">
        <v>42</v>
      </c>
      <c r="Q51" s="50" t="s">
        <v>43</v>
      </c>
      <c r="R51" s="50"/>
      <c r="S51" s="50">
        <v>0</v>
      </c>
      <c r="T51" s="4" t="s">
        <v>43</v>
      </c>
      <c r="U51" s="4" t="s">
        <v>43</v>
      </c>
      <c r="AD51" s="91">
        <f t="shared" si="1"/>
        <v>0</v>
      </c>
      <c r="AE51" s="48" t="e">
        <f>VLOOKUP(C51,#REF!,1,0)</f>
        <v>#REF!</v>
      </c>
    </row>
    <row r="52" spans="3:31" hidden="1" x14ac:dyDescent="0.25">
      <c r="C52" s="87" t="s">
        <v>175</v>
      </c>
      <c r="D52" s="4" t="s">
        <v>176</v>
      </c>
      <c r="E52" s="4" t="s">
        <v>176</v>
      </c>
      <c r="F52" s="4" t="s">
        <v>36</v>
      </c>
      <c r="G52" s="4" t="s">
        <v>37</v>
      </c>
      <c r="H52" s="4" t="s">
        <v>46</v>
      </c>
      <c r="I52" s="4"/>
      <c r="J52" s="4" t="s">
        <v>132</v>
      </c>
      <c r="K52" s="4"/>
      <c r="L52" s="4" t="s">
        <v>64</v>
      </c>
      <c r="M52" s="4" t="s">
        <v>40</v>
      </c>
      <c r="N52" s="4" t="s">
        <v>41</v>
      </c>
      <c r="O52" s="4" t="s">
        <v>175</v>
      </c>
      <c r="P52" s="4" t="s">
        <v>42</v>
      </c>
      <c r="Q52" s="50" t="s">
        <v>43</v>
      </c>
      <c r="R52" s="50"/>
      <c r="S52" s="50">
        <v>0</v>
      </c>
      <c r="T52" s="4" t="s">
        <v>43</v>
      </c>
      <c r="U52" s="4" t="s">
        <v>43</v>
      </c>
      <c r="AD52" s="91">
        <f t="shared" si="1"/>
        <v>0</v>
      </c>
      <c r="AE52" s="48" t="e">
        <f>VLOOKUP(C52,#REF!,1,0)</f>
        <v>#REF!</v>
      </c>
    </row>
    <row r="53" spans="3:31" hidden="1" x14ac:dyDescent="0.25">
      <c r="C53" s="87" t="s">
        <v>177</v>
      </c>
      <c r="D53" s="4" t="s">
        <v>178</v>
      </c>
      <c r="E53" s="4" t="s">
        <v>178</v>
      </c>
      <c r="F53" s="4" t="s">
        <v>36</v>
      </c>
      <c r="G53" s="4" t="s">
        <v>37</v>
      </c>
      <c r="H53" s="4" t="s">
        <v>81</v>
      </c>
      <c r="I53" s="4"/>
      <c r="J53" s="4" t="s">
        <v>84</v>
      </c>
      <c r="K53" s="4"/>
      <c r="L53" s="4" t="s">
        <v>179</v>
      </c>
      <c r="M53" s="4" t="s">
        <v>55</v>
      </c>
      <c r="N53" s="4" t="s">
        <v>41</v>
      </c>
      <c r="O53" s="4" t="s">
        <v>177</v>
      </c>
      <c r="P53" s="4" t="s">
        <v>42</v>
      </c>
      <c r="Q53" s="50" t="s">
        <v>43</v>
      </c>
      <c r="R53" s="50"/>
      <c r="S53" s="50">
        <v>0</v>
      </c>
      <c r="T53" s="4" t="s">
        <v>43</v>
      </c>
      <c r="U53" s="4" t="s">
        <v>43</v>
      </c>
      <c r="AD53" s="91">
        <f t="shared" si="1"/>
        <v>0</v>
      </c>
      <c r="AE53" s="48" t="e">
        <f>VLOOKUP(C53,#REF!,1,0)</f>
        <v>#REF!</v>
      </c>
    </row>
    <row r="54" spans="3:31" hidden="1" x14ac:dyDescent="0.25">
      <c r="C54" s="87" t="s">
        <v>180</v>
      </c>
      <c r="D54" s="4" t="s">
        <v>181</v>
      </c>
      <c r="E54" s="4" t="s">
        <v>181</v>
      </c>
      <c r="F54" s="4" t="s">
        <v>36</v>
      </c>
      <c r="G54" s="4" t="s">
        <v>37</v>
      </c>
      <c r="H54" s="4" t="s">
        <v>81</v>
      </c>
      <c r="I54" s="4"/>
      <c r="J54" s="4" t="s">
        <v>84</v>
      </c>
      <c r="K54" s="4"/>
      <c r="L54" s="4" t="s">
        <v>182</v>
      </c>
      <c r="M54" s="4" t="s">
        <v>55</v>
      </c>
      <c r="N54" s="4" t="s">
        <v>41</v>
      </c>
      <c r="O54" s="4" t="s">
        <v>180</v>
      </c>
      <c r="P54" s="4" t="s">
        <v>42</v>
      </c>
      <c r="Q54" s="50" t="s">
        <v>43</v>
      </c>
      <c r="R54" s="50"/>
      <c r="S54" s="50">
        <v>0</v>
      </c>
      <c r="T54" s="4" t="s">
        <v>43</v>
      </c>
      <c r="U54" s="4" t="s">
        <v>43</v>
      </c>
      <c r="AD54" s="91">
        <f t="shared" si="1"/>
        <v>0</v>
      </c>
      <c r="AE54" s="48" t="e">
        <f>VLOOKUP(C54,#REF!,1,0)</f>
        <v>#REF!</v>
      </c>
    </row>
    <row r="55" spans="3:31" hidden="1" x14ac:dyDescent="0.25">
      <c r="C55" s="87" t="s">
        <v>183</v>
      </c>
      <c r="D55" s="4" t="s">
        <v>184</v>
      </c>
      <c r="E55" s="4" t="s">
        <v>184</v>
      </c>
      <c r="F55" s="4" t="s">
        <v>36</v>
      </c>
      <c r="G55" s="4" t="s">
        <v>37</v>
      </c>
      <c r="H55" s="4" t="s">
        <v>81</v>
      </c>
      <c r="I55" s="4"/>
      <c r="J55" s="4">
        <v>0</v>
      </c>
      <c r="K55" s="4"/>
      <c r="L55" s="4" t="s">
        <v>64</v>
      </c>
      <c r="M55" s="4" t="s">
        <v>40</v>
      </c>
      <c r="N55" s="4" t="s">
        <v>41</v>
      </c>
      <c r="O55" s="4" t="s">
        <v>183</v>
      </c>
      <c r="P55" s="4" t="s">
        <v>42</v>
      </c>
      <c r="Q55" s="50" t="s">
        <v>43</v>
      </c>
      <c r="R55" s="50"/>
      <c r="S55" s="50">
        <v>0</v>
      </c>
      <c r="T55" s="4" t="s">
        <v>43</v>
      </c>
      <c r="U55" s="4" t="s">
        <v>43</v>
      </c>
      <c r="AD55" s="91">
        <f t="shared" si="1"/>
        <v>0</v>
      </c>
      <c r="AE55" s="48" t="e">
        <f>VLOOKUP(C55,#REF!,1,0)</f>
        <v>#REF!</v>
      </c>
    </row>
    <row r="56" spans="3:31" hidden="1" x14ac:dyDescent="0.25">
      <c r="C56" s="87" t="s">
        <v>185</v>
      </c>
      <c r="D56" s="4" t="s">
        <v>186</v>
      </c>
      <c r="E56" s="4" t="s">
        <v>186</v>
      </c>
      <c r="F56" s="4" t="s">
        <v>36</v>
      </c>
      <c r="G56" s="4" t="s">
        <v>37</v>
      </c>
      <c r="H56" s="4" t="s">
        <v>46</v>
      </c>
      <c r="I56" s="4"/>
      <c r="J56" s="4" t="s">
        <v>94</v>
      </c>
      <c r="K56" s="4"/>
      <c r="L56" s="4" t="s">
        <v>64</v>
      </c>
      <c r="M56" s="4" t="s">
        <v>40</v>
      </c>
      <c r="N56" s="4" t="s">
        <v>41</v>
      </c>
      <c r="O56" s="4" t="s">
        <v>185</v>
      </c>
      <c r="P56" s="4" t="s">
        <v>42</v>
      </c>
      <c r="Q56" s="50" t="s">
        <v>43</v>
      </c>
      <c r="R56" s="50"/>
      <c r="S56" s="50">
        <v>0</v>
      </c>
      <c r="T56" s="4" t="s">
        <v>43</v>
      </c>
      <c r="U56" s="4" t="s">
        <v>43</v>
      </c>
      <c r="AD56" s="91">
        <f t="shared" si="1"/>
        <v>0</v>
      </c>
      <c r="AE56" s="48" t="e">
        <f>VLOOKUP(C56,#REF!,1,0)</f>
        <v>#REF!</v>
      </c>
    </row>
    <row r="57" spans="3:31" hidden="1" x14ac:dyDescent="0.25">
      <c r="C57" s="87" t="s">
        <v>187</v>
      </c>
      <c r="D57" s="4" t="s">
        <v>188</v>
      </c>
      <c r="E57" s="4" t="s">
        <v>188</v>
      </c>
      <c r="F57" s="4" t="s">
        <v>36</v>
      </c>
      <c r="G57" s="4" t="s">
        <v>37</v>
      </c>
      <c r="H57" s="4" t="s">
        <v>81</v>
      </c>
      <c r="I57" s="4"/>
      <c r="J57" s="4" t="s">
        <v>160</v>
      </c>
      <c r="K57" s="4"/>
      <c r="L57" s="4" t="s">
        <v>64</v>
      </c>
      <c r="M57" s="4" t="s">
        <v>40</v>
      </c>
      <c r="N57" s="4" t="s">
        <v>41</v>
      </c>
      <c r="O57" s="4" t="s">
        <v>187</v>
      </c>
      <c r="P57" s="4" t="s">
        <v>42</v>
      </c>
      <c r="Q57" s="50" t="s">
        <v>43</v>
      </c>
      <c r="R57" s="50"/>
      <c r="S57" s="50">
        <v>0</v>
      </c>
      <c r="T57" s="4" t="s">
        <v>43</v>
      </c>
      <c r="U57" s="4" t="s">
        <v>43</v>
      </c>
      <c r="AD57" s="91">
        <f t="shared" si="1"/>
        <v>0</v>
      </c>
      <c r="AE57" s="48" t="e">
        <f>VLOOKUP(C57,#REF!,1,0)</f>
        <v>#REF!</v>
      </c>
    </row>
    <row r="58" spans="3:31" hidden="1" x14ac:dyDescent="0.25">
      <c r="C58" s="87" t="s">
        <v>189</v>
      </c>
      <c r="D58" s="4" t="s">
        <v>190</v>
      </c>
      <c r="E58" s="4" t="s">
        <v>190</v>
      </c>
      <c r="F58" s="4" t="s">
        <v>36</v>
      </c>
      <c r="G58" s="4" t="s">
        <v>37</v>
      </c>
      <c r="H58" s="4" t="s">
        <v>81</v>
      </c>
      <c r="I58" s="4"/>
      <c r="J58" s="4" t="s">
        <v>73</v>
      </c>
      <c r="K58" s="4"/>
      <c r="L58" s="4" t="s">
        <v>64</v>
      </c>
      <c r="M58" s="4" t="s">
        <v>40</v>
      </c>
      <c r="N58" s="4" t="s">
        <v>41</v>
      </c>
      <c r="O58" s="4" t="s">
        <v>189</v>
      </c>
      <c r="P58" s="4" t="s">
        <v>42</v>
      </c>
      <c r="Q58" s="50" t="s">
        <v>43</v>
      </c>
      <c r="R58" s="50"/>
      <c r="S58" s="50">
        <v>0</v>
      </c>
      <c r="T58" s="4" t="s">
        <v>43</v>
      </c>
      <c r="U58" s="4" t="s">
        <v>43</v>
      </c>
      <c r="AD58" s="91">
        <f t="shared" si="1"/>
        <v>0</v>
      </c>
      <c r="AE58" s="48" t="e">
        <f>VLOOKUP(C58,#REF!,1,0)</f>
        <v>#REF!</v>
      </c>
    </row>
    <row r="59" spans="3:31" hidden="1" x14ac:dyDescent="0.25">
      <c r="C59" s="87" t="s">
        <v>191</v>
      </c>
      <c r="D59" s="4" t="s">
        <v>192</v>
      </c>
      <c r="E59" s="4" t="s">
        <v>193</v>
      </c>
      <c r="F59" s="4" t="s">
        <v>36</v>
      </c>
      <c r="G59" s="4" t="s">
        <v>37</v>
      </c>
      <c r="H59" s="4" t="s">
        <v>81</v>
      </c>
      <c r="I59" s="4"/>
      <c r="J59" s="4" t="s">
        <v>94</v>
      </c>
      <c r="K59" s="4"/>
      <c r="L59" s="4" t="s">
        <v>64</v>
      </c>
      <c r="M59" s="4" t="s">
        <v>40</v>
      </c>
      <c r="N59" s="4" t="s">
        <v>41</v>
      </c>
      <c r="O59" s="4" t="s">
        <v>191</v>
      </c>
      <c r="P59" s="4" t="s">
        <v>42</v>
      </c>
      <c r="Q59" s="50" t="s">
        <v>43</v>
      </c>
      <c r="R59" s="50"/>
      <c r="S59" s="50">
        <v>0</v>
      </c>
      <c r="T59" s="4" t="s">
        <v>43</v>
      </c>
      <c r="U59" s="4" t="s">
        <v>43</v>
      </c>
      <c r="AD59" s="91">
        <f t="shared" si="1"/>
        <v>0</v>
      </c>
      <c r="AE59" s="48" t="e">
        <f>VLOOKUP(C59,#REF!,1,0)</f>
        <v>#REF!</v>
      </c>
    </row>
    <row r="60" spans="3:31" hidden="1" x14ac:dyDescent="0.25">
      <c r="C60" s="87" t="s">
        <v>194</v>
      </c>
      <c r="D60" s="4" t="s">
        <v>195</v>
      </c>
      <c r="E60" s="4" t="s">
        <v>196</v>
      </c>
      <c r="F60" s="4" t="s">
        <v>36</v>
      </c>
      <c r="G60" s="4" t="s">
        <v>37</v>
      </c>
      <c r="H60" s="4" t="s">
        <v>88</v>
      </c>
      <c r="I60" s="4"/>
      <c r="J60" s="4" t="s">
        <v>84</v>
      </c>
      <c r="K60" s="4"/>
      <c r="L60" s="4" t="s">
        <v>85</v>
      </c>
      <c r="M60" s="4" t="s">
        <v>55</v>
      </c>
      <c r="N60" s="4" t="s">
        <v>41</v>
      </c>
      <c r="O60" s="4" t="s">
        <v>194</v>
      </c>
      <c r="P60" s="4" t="s">
        <v>42</v>
      </c>
      <c r="Q60" s="50" t="s">
        <v>43</v>
      </c>
      <c r="R60" s="50"/>
      <c r="S60" s="50">
        <v>0</v>
      </c>
      <c r="T60" s="4" t="s">
        <v>43</v>
      </c>
      <c r="U60" s="4" t="s">
        <v>43</v>
      </c>
      <c r="AD60" s="91">
        <f t="shared" si="1"/>
        <v>0</v>
      </c>
      <c r="AE60" s="48" t="e">
        <f>VLOOKUP(C60,#REF!,1,0)</f>
        <v>#REF!</v>
      </c>
    </row>
    <row r="61" spans="3:31" hidden="1" x14ac:dyDescent="0.25">
      <c r="C61" s="87" t="s">
        <v>197</v>
      </c>
      <c r="D61" s="4" t="s">
        <v>198</v>
      </c>
      <c r="E61" s="4" t="s">
        <v>198</v>
      </c>
      <c r="F61" s="4" t="s">
        <v>36</v>
      </c>
      <c r="G61" s="4" t="s">
        <v>37</v>
      </c>
      <c r="H61" s="4" t="s">
        <v>46</v>
      </c>
      <c r="I61" s="4"/>
      <c r="J61" s="4" t="s">
        <v>63</v>
      </c>
      <c r="K61" s="4"/>
      <c r="L61" s="4" t="s">
        <v>138</v>
      </c>
      <c r="M61" s="4" t="s">
        <v>40</v>
      </c>
      <c r="N61" s="4" t="s">
        <v>41</v>
      </c>
      <c r="O61" s="4" t="s">
        <v>197</v>
      </c>
      <c r="P61" s="4" t="s">
        <v>42</v>
      </c>
      <c r="Q61" s="50" t="s">
        <v>43</v>
      </c>
      <c r="R61" s="50"/>
      <c r="S61" s="50">
        <v>0</v>
      </c>
      <c r="T61" s="4" t="s">
        <v>43</v>
      </c>
      <c r="U61" s="4" t="s">
        <v>43</v>
      </c>
      <c r="AD61" s="91">
        <f t="shared" si="1"/>
        <v>0</v>
      </c>
      <c r="AE61" s="48" t="e">
        <f>VLOOKUP(C61,#REF!,1,0)</f>
        <v>#REF!</v>
      </c>
    </row>
    <row r="62" spans="3:31" hidden="1" x14ac:dyDescent="0.25">
      <c r="C62" s="87" t="s">
        <v>199</v>
      </c>
      <c r="D62" s="4" t="s">
        <v>200</v>
      </c>
      <c r="E62" s="4" t="s">
        <v>201</v>
      </c>
      <c r="F62" s="4" t="s">
        <v>36</v>
      </c>
      <c r="G62" s="4" t="s">
        <v>37</v>
      </c>
      <c r="H62" s="4" t="s">
        <v>202</v>
      </c>
      <c r="I62" s="4"/>
      <c r="J62" s="4">
        <v>0</v>
      </c>
      <c r="K62" s="4"/>
      <c r="L62" s="4" t="s">
        <v>59</v>
      </c>
      <c r="M62" s="4" t="s">
        <v>40</v>
      </c>
      <c r="N62" s="4" t="s">
        <v>41</v>
      </c>
      <c r="O62" s="4" t="s">
        <v>199</v>
      </c>
      <c r="P62" s="4" t="s">
        <v>42</v>
      </c>
      <c r="Q62" s="50" t="s">
        <v>43</v>
      </c>
      <c r="R62" s="50"/>
      <c r="S62" s="50">
        <v>0</v>
      </c>
      <c r="T62" s="4" t="s">
        <v>43</v>
      </c>
      <c r="U62" s="4" t="s">
        <v>43</v>
      </c>
      <c r="AD62" s="91">
        <f t="shared" si="1"/>
        <v>0</v>
      </c>
      <c r="AE62" s="48" t="e">
        <f>VLOOKUP(C62,#REF!,1,0)</f>
        <v>#REF!</v>
      </c>
    </row>
    <row r="63" spans="3:31" hidden="1" x14ac:dyDescent="0.25">
      <c r="C63" s="87" t="s">
        <v>203</v>
      </c>
      <c r="D63" s="4" t="s">
        <v>204</v>
      </c>
      <c r="E63" s="4" t="s">
        <v>204</v>
      </c>
      <c r="F63" s="4" t="s">
        <v>36</v>
      </c>
      <c r="G63" s="4" t="s">
        <v>37</v>
      </c>
      <c r="H63" s="4" t="s">
        <v>46</v>
      </c>
      <c r="I63" s="4"/>
      <c r="J63" s="4">
        <v>0</v>
      </c>
      <c r="K63" s="4"/>
      <c r="L63" s="4" t="s">
        <v>205</v>
      </c>
      <c r="M63" s="4" t="s">
        <v>40</v>
      </c>
      <c r="N63" s="4" t="s">
        <v>41</v>
      </c>
      <c r="O63" s="4" t="s">
        <v>203</v>
      </c>
      <c r="P63" s="4" t="s">
        <v>42</v>
      </c>
      <c r="Q63" s="50" t="s">
        <v>43</v>
      </c>
      <c r="R63" s="50"/>
      <c r="S63" s="50">
        <v>0</v>
      </c>
      <c r="T63" s="4" t="s">
        <v>43</v>
      </c>
      <c r="U63" s="4" t="s">
        <v>43</v>
      </c>
      <c r="AD63" s="91">
        <f t="shared" si="1"/>
        <v>0</v>
      </c>
      <c r="AE63" s="48" t="e">
        <f>VLOOKUP(C63,#REF!,1,0)</f>
        <v>#REF!</v>
      </c>
    </row>
    <row r="64" spans="3:31" hidden="1" x14ac:dyDescent="0.25">
      <c r="C64" s="87" t="s">
        <v>206</v>
      </c>
      <c r="D64" s="4" t="s">
        <v>207</v>
      </c>
      <c r="E64" s="4" t="s">
        <v>207</v>
      </c>
      <c r="F64" s="4" t="s">
        <v>36</v>
      </c>
      <c r="G64" s="4" t="s">
        <v>37</v>
      </c>
      <c r="H64" s="4" t="s">
        <v>46</v>
      </c>
      <c r="I64" s="4"/>
      <c r="J64" s="4" t="s">
        <v>58</v>
      </c>
      <c r="K64" s="4"/>
      <c r="L64" s="4" t="s">
        <v>64</v>
      </c>
      <c r="M64" s="4" t="s">
        <v>40</v>
      </c>
      <c r="N64" s="4" t="s">
        <v>41</v>
      </c>
      <c r="O64" s="4" t="s">
        <v>206</v>
      </c>
      <c r="P64" s="4" t="s">
        <v>42</v>
      </c>
      <c r="Q64" s="50" t="s">
        <v>43</v>
      </c>
      <c r="R64" s="50"/>
      <c r="S64" s="50">
        <v>0</v>
      </c>
      <c r="T64" s="4" t="s">
        <v>43</v>
      </c>
      <c r="U64" s="4" t="s">
        <v>43</v>
      </c>
      <c r="AD64" s="91">
        <f t="shared" si="1"/>
        <v>0</v>
      </c>
      <c r="AE64" s="48" t="e">
        <f>VLOOKUP(C64,#REF!,1,0)</f>
        <v>#REF!</v>
      </c>
    </row>
    <row r="65" spans="3:31" hidden="1" x14ac:dyDescent="0.25">
      <c r="C65" s="87" t="s">
        <v>208</v>
      </c>
      <c r="D65" s="4" t="s">
        <v>209</v>
      </c>
      <c r="E65" s="4" t="s">
        <v>209</v>
      </c>
      <c r="F65" s="4" t="s">
        <v>36</v>
      </c>
      <c r="G65" s="4" t="s">
        <v>37</v>
      </c>
      <c r="H65" s="4" t="s">
        <v>81</v>
      </c>
      <c r="I65" s="4"/>
      <c r="J65" s="4">
        <v>0</v>
      </c>
      <c r="K65" s="4"/>
      <c r="L65" s="4" t="s">
        <v>78</v>
      </c>
      <c r="M65" s="4" t="s">
        <v>40</v>
      </c>
      <c r="N65" s="4" t="s">
        <v>41</v>
      </c>
      <c r="O65" s="4" t="s">
        <v>208</v>
      </c>
      <c r="P65" s="4" t="s">
        <v>42</v>
      </c>
      <c r="Q65" s="50" t="s">
        <v>43</v>
      </c>
      <c r="R65" s="50"/>
      <c r="S65" s="50">
        <v>0</v>
      </c>
      <c r="T65" s="4" t="s">
        <v>43</v>
      </c>
      <c r="U65" s="4" t="s">
        <v>43</v>
      </c>
      <c r="AD65" s="91">
        <f t="shared" si="1"/>
        <v>0</v>
      </c>
      <c r="AE65" s="48" t="e">
        <f>VLOOKUP(C65,#REF!,1,0)</f>
        <v>#REF!</v>
      </c>
    </row>
    <row r="66" spans="3:31" hidden="1" x14ac:dyDescent="0.25">
      <c r="C66" s="87" t="s">
        <v>210</v>
      </c>
      <c r="D66" s="4" t="s">
        <v>211</v>
      </c>
      <c r="E66" s="4" t="s">
        <v>212</v>
      </c>
      <c r="F66" s="4" t="s">
        <v>36</v>
      </c>
      <c r="G66" s="4" t="s">
        <v>37</v>
      </c>
      <c r="H66" s="4" t="s">
        <v>46</v>
      </c>
      <c r="I66" s="4"/>
      <c r="J66" s="4">
        <v>0</v>
      </c>
      <c r="K66" s="4"/>
      <c r="L66" s="4" t="s">
        <v>59</v>
      </c>
      <c r="M66" s="4" t="s">
        <v>40</v>
      </c>
      <c r="N66" s="4" t="s">
        <v>41</v>
      </c>
      <c r="O66" s="4" t="s">
        <v>210</v>
      </c>
      <c r="P66" s="4" t="s">
        <v>42</v>
      </c>
      <c r="Q66" s="50" t="s">
        <v>43</v>
      </c>
      <c r="R66" s="50"/>
      <c r="S66" s="50">
        <v>0</v>
      </c>
      <c r="T66" s="4" t="s">
        <v>43</v>
      </c>
      <c r="U66" s="4" t="s">
        <v>43</v>
      </c>
      <c r="AD66" s="91">
        <f t="shared" si="1"/>
        <v>0</v>
      </c>
      <c r="AE66" s="48" t="e">
        <f>VLOOKUP(C66,#REF!,1,0)</f>
        <v>#REF!</v>
      </c>
    </row>
    <row r="67" spans="3:31" hidden="1" x14ac:dyDescent="0.25">
      <c r="C67" s="87" t="s">
        <v>213</v>
      </c>
      <c r="D67" s="4" t="s">
        <v>214</v>
      </c>
      <c r="E67" s="4" t="s">
        <v>214</v>
      </c>
      <c r="F67" s="4" t="s">
        <v>36</v>
      </c>
      <c r="G67" s="4" t="s">
        <v>37</v>
      </c>
      <c r="H67" s="4" t="s">
        <v>202</v>
      </c>
      <c r="I67" s="4"/>
      <c r="J67" s="4">
        <v>0</v>
      </c>
      <c r="K67" s="4"/>
      <c r="L67" s="4" t="s">
        <v>59</v>
      </c>
      <c r="M67" s="4" t="s">
        <v>40</v>
      </c>
      <c r="N67" s="4" t="s">
        <v>41</v>
      </c>
      <c r="O67" s="4" t="s">
        <v>213</v>
      </c>
      <c r="P67" s="4" t="s">
        <v>42</v>
      </c>
      <c r="Q67" s="50" t="s">
        <v>43</v>
      </c>
      <c r="R67" s="50"/>
      <c r="S67" s="50">
        <v>0</v>
      </c>
      <c r="T67" s="4" t="s">
        <v>43</v>
      </c>
      <c r="U67" s="4" t="s">
        <v>43</v>
      </c>
      <c r="AD67" s="91">
        <f t="shared" si="1"/>
        <v>0</v>
      </c>
      <c r="AE67" s="48" t="e">
        <f>VLOOKUP(C67,#REF!,1,0)</f>
        <v>#REF!</v>
      </c>
    </row>
    <row r="68" spans="3:31" hidden="1" x14ac:dyDescent="0.25">
      <c r="C68" s="87" t="s">
        <v>215</v>
      </c>
      <c r="D68" s="4" t="s">
        <v>216</v>
      </c>
      <c r="E68" s="4" t="s">
        <v>216</v>
      </c>
      <c r="F68" s="4" t="s">
        <v>36</v>
      </c>
      <c r="G68" s="4" t="s">
        <v>37</v>
      </c>
      <c r="H68" s="4" t="s">
        <v>81</v>
      </c>
      <c r="I68" s="4"/>
      <c r="J68" s="4" t="s">
        <v>67</v>
      </c>
      <c r="K68" s="4"/>
      <c r="L68" s="4" t="s">
        <v>138</v>
      </c>
      <c r="M68" s="4" t="s">
        <v>40</v>
      </c>
      <c r="N68" s="4" t="s">
        <v>41</v>
      </c>
      <c r="O68" s="4" t="s">
        <v>215</v>
      </c>
      <c r="P68" s="4" t="s">
        <v>42</v>
      </c>
      <c r="Q68" s="50" t="s">
        <v>43</v>
      </c>
      <c r="R68" s="50"/>
      <c r="S68" s="50">
        <v>0</v>
      </c>
      <c r="T68" s="4" t="s">
        <v>43</v>
      </c>
      <c r="U68" s="4" t="s">
        <v>43</v>
      </c>
      <c r="AD68" s="91">
        <f t="shared" si="1"/>
        <v>0</v>
      </c>
      <c r="AE68" s="48" t="e">
        <f>VLOOKUP(C68,#REF!,1,0)</f>
        <v>#REF!</v>
      </c>
    </row>
    <row r="69" spans="3:31" hidden="1" x14ac:dyDescent="0.25">
      <c r="C69" s="87" t="s">
        <v>217</v>
      </c>
      <c r="D69" s="4" t="s">
        <v>218</v>
      </c>
      <c r="E69" s="4"/>
      <c r="F69" s="4" t="s">
        <v>36</v>
      </c>
      <c r="G69" s="4" t="s">
        <v>37</v>
      </c>
      <c r="H69" s="4" t="s">
        <v>81</v>
      </c>
      <c r="I69" s="4"/>
      <c r="J69" s="4">
        <v>0</v>
      </c>
      <c r="K69" s="4"/>
      <c r="L69" s="4" t="s">
        <v>59</v>
      </c>
      <c r="M69" s="4" t="s">
        <v>40</v>
      </c>
      <c r="N69" s="4" t="s">
        <v>41</v>
      </c>
      <c r="O69" s="4" t="s">
        <v>217</v>
      </c>
      <c r="P69" s="4" t="s">
        <v>42</v>
      </c>
      <c r="Q69" s="50" t="s">
        <v>43</v>
      </c>
      <c r="R69" s="50"/>
      <c r="S69" s="50">
        <v>0</v>
      </c>
      <c r="T69" s="4" t="s">
        <v>43</v>
      </c>
      <c r="U69" s="4" t="s">
        <v>43</v>
      </c>
      <c r="AD69" s="91">
        <f t="shared" si="1"/>
        <v>0</v>
      </c>
      <c r="AE69" s="48" t="e">
        <f>VLOOKUP(C69,#REF!,1,0)</f>
        <v>#REF!</v>
      </c>
    </row>
    <row r="70" spans="3:31" hidden="1" x14ac:dyDescent="0.25">
      <c r="C70" s="87" t="s">
        <v>219</v>
      </c>
      <c r="D70" s="4" t="s">
        <v>220</v>
      </c>
      <c r="E70" s="4" t="s">
        <v>220</v>
      </c>
      <c r="F70" s="4" t="s">
        <v>36</v>
      </c>
      <c r="G70" s="4" t="s">
        <v>37</v>
      </c>
      <c r="H70" s="4" t="s">
        <v>38</v>
      </c>
      <c r="I70" s="4"/>
      <c r="J70" s="4" t="s">
        <v>100</v>
      </c>
      <c r="K70" s="4"/>
      <c r="L70" s="4" t="s">
        <v>59</v>
      </c>
      <c r="M70" s="4" t="s">
        <v>40</v>
      </c>
      <c r="N70" s="4" t="s">
        <v>41</v>
      </c>
      <c r="O70" s="4" t="s">
        <v>219</v>
      </c>
      <c r="P70" s="4" t="s">
        <v>42</v>
      </c>
      <c r="Q70" s="50" t="s">
        <v>43</v>
      </c>
      <c r="R70" s="50"/>
      <c r="S70" s="50">
        <v>0</v>
      </c>
      <c r="T70" s="4" t="s">
        <v>43</v>
      </c>
      <c r="U70" s="4" t="s">
        <v>43</v>
      </c>
      <c r="AD70" s="91">
        <f t="shared" si="1"/>
        <v>0</v>
      </c>
      <c r="AE70" s="48" t="e">
        <f>VLOOKUP(C70,#REF!,1,0)</f>
        <v>#REF!</v>
      </c>
    </row>
    <row r="71" spans="3:31" hidden="1" x14ac:dyDescent="0.25">
      <c r="C71" s="87" t="s">
        <v>221</v>
      </c>
      <c r="D71" s="4" t="s">
        <v>222</v>
      </c>
      <c r="E71" s="4" t="s">
        <v>223</v>
      </c>
      <c r="F71" s="4" t="s">
        <v>36</v>
      </c>
      <c r="G71" s="4" t="s">
        <v>37</v>
      </c>
      <c r="H71" s="4" t="s">
        <v>38</v>
      </c>
      <c r="I71" s="4"/>
      <c r="J71" s="4">
        <v>0</v>
      </c>
      <c r="K71" s="4"/>
      <c r="L71" s="4" t="s">
        <v>47</v>
      </c>
      <c r="M71" s="4" t="s">
        <v>40</v>
      </c>
      <c r="N71" s="4" t="s">
        <v>41</v>
      </c>
      <c r="O71" s="4" t="s">
        <v>221</v>
      </c>
      <c r="P71" s="4" t="s">
        <v>42</v>
      </c>
      <c r="Q71" s="50" t="s">
        <v>43</v>
      </c>
      <c r="R71" s="50"/>
      <c r="S71" s="50">
        <v>0</v>
      </c>
      <c r="T71" s="4" t="s">
        <v>43</v>
      </c>
      <c r="U71" s="4" t="s">
        <v>43</v>
      </c>
      <c r="AD71" s="91">
        <f t="shared" si="1"/>
        <v>0</v>
      </c>
      <c r="AE71" s="48" t="e">
        <f>VLOOKUP(C71,#REF!,1,0)</f>
        <v>#REF!</v>
      </c>
    </row>
    <row r="72" spans="3:31" hidden="1" x14ac:dyDescent="0.25">
      <c r="C72" s="87" t="s">
        <v>224</v>
      </c>
      <c r="D72" s="4" t="s">
        <v>225</v>
      </c>
      <c r="E72" s="4" t="s">
        <v>226</v>
      </c>
      <c r="F72" s="4" t="s">
        <v>36</v>
      </c>
      <c r="G72" s="4" t="s">
        <v>37</v>
      </c>
      <c r="H72" s="4" t="s">
        <v>38</v>
      </c>
      <c r="I72" s="4"/>
      <c r="J72" s="4">
        <v>0</v>
      </c>
      <c r="K72" s="4"/>
      <c r="L72" s="4" t="s">
        <v>59</v>
      </c>
      <c r="M72" s="4" t="s">
        <v>40</v>
      </c>
      <c r="N72" s="4" t="s">
        <v>41</v>
      </c>
      <c r="O72" s="4" t="s">
        <v>224</v>
      </c>
      <c r="P72" s="4" t="s">
        <v>42</v>
      </c>
      <c r="Q72" s="50" t="s">
        <v>43</v>
      </c>
      <c r="R72" s="50"/>
      <c r="S72" s="50">
        <v>0</v>
      </c>
      <c r="T72" s="4" t="s">
        <v>43</v>
      </c>
      <c r="U72" s="4" t="s">
        <v>43</v>
      </c>
      <c r="AD72" s="91">
        <f t="shared" si="1"/>
        <v>0</v>
      </c>
      <c r="AE72" s="48" t="e">
        <f>VLOOKUP(C72,#REF!,1,0)</f>
        <v>#REF!</v>
      </c>
    </row>
    <row r="73" spans="3:31" hidden="1" x14ac:dyDescent="0.25">
      <c r="C73" s="87" t="s">
        <v>227</v>
      </c>
      <c r="D73" s="4" t="s">
        <v>228</v>
      </c>
      <c r="E73" s="4" t="s">
        <v>229</v>
      </c>
      <c r="F73" s="4" t="s">
        <v>36</v>
      </c>
      <c r="G73" s="4" t="s">
        <v>37</v>
      </c>
      <c r="H73" s="4" t="s">
        <v>38</v>
      </c>
      <c r="I73" s="4"/>
      <c r="J73" s="4">
        <v>0</v>
      </c>
      <c r="K73" s="4"/>
      <c r="L73" s="4" t="s">
        <v>54</v>
      </c>
      <c r="M73" s="4" t="s">
        <v>55</v>
      </c>
      <c r="N73" s="4" t="s">
        <v>41</v>
      </c>
      <c r="O73" s="4" t="s">
        <v>227</v>
      </c>
      <c r="P73" s="4" t="s">
        <v>42</v>
      </c>
      <c r="Q73" s="50" t="s">
        <v>43</v>
      </c>
      <c r="R73" s="50"/>
      <c r="S73" s="50">
        <v>0</v>
      </c>
      <c r="T73" s="4" t="s">
        <v>43</v>
      </c>
      <c r="U73" s="4" t="s">
        <v>43</v>
      </c>
      <c r="AD73" s="91">
        <f t="shared" ref="AD73:AD136" si="2">SUMPRODUCT($W$6:$AC$6,W73:AC73)</f>
        <v>0</v>
      </c>
      <c r="AE73" s="48" t="e">
        <f>VLOOKUP(C73,#REF!,1,0)</f>
        <v>#REF!</v>
      </c>
    </row>
    <row r="74" spans="3:31" hidden="1" x14ac:dyDescent="0.25">
      <c r="C74" s="87" t="s">
        <v>230</v>
      </c>
      <c r="D74" s="4" t="s">
        <v>231</v>
      </c>
      <c r="E74" s="4" t="s">
        <v>232</v>
      </c>
      <c r="F74" s="4" t="s">
        <v>36</v>
      </c>
      <c r="G74" s="4" t="s">
        <v>37</v>
      </c>
      <c r="H74" s="4" t="s">
        <v>38</v>
      </c>
      <c r="I74" s="4"/>
      <c r="J74" s="4" t="s">
        <v>84</v>
      </c>
      <c r="K74" s="4"/>
      <c r="L74" s="4" t="s">
        <v>54</v>
      </c>
      <c r="M74" s="4" t="s">
        <v>55</v>
      </c>
      <c r="N74" s="4" t="s">
        <v>41</v>
      </c>
      <c r="O74" s="4" t="s">
        <v>230</v>
      </c>
      <c r="P74" s="4" t="s">
        <v>42</v>
      </c>
      <c r="Q74" s="50" t="s">
        <v>43</v>
      </c>
      <c r="R74" s="50"/>
      <c r="S74" s="50">
        <v>0</v>
      </c>
      <c r="T74" s="4" t="s">
        <v>43</v>
      </c>
      <c r="U74" s="4" t="s">
        <v>43</v>
      </c>
      <c r="AD74" s="91">
        <f t="shared" si="2"/>
        <v>0</v>
      </c>
      <c r="AE74" s="48" t="e">
        <f>VLOOKUP(C74,#REF!,1,0)</f>
        <v>#REF!</v>
      </c>
    </row>
    <row r="75" spans="3:31" hidden="1" x14ac:dyDescent="0.25">
      <c r="C75" s="87" t="s">
        <v>233</v>
      </c>
      <c r="D75" s="4" t="s">
        <v>234</v>
      </c>
      <c r="E75" s="4" t="s">
        <v>235</v>
      </c>
      <c r="F75" s="4" t="s">
        <v>36</v>
      </c>
      <c r="G75" s="4" t="s">
        <v>37</v>
      </c>
      <c r="H75" s="4" t="s">
        <v>38</v>
      </c>
      <c r="I75" s="4"/>
      <c r="J75" s="4" t="s">
        <v>84</v>
      </c>
      <c r="K75" s="4"/>
      <c r="L75" s="4" t="s">
        <v>54</v>
      </c>
      <c r="M75" s="4" t="s">
        <v>55</v>
      </c>
      <c r="N75" s="4" t="s">
        <v>41</v>
      </c>
      <c r="O75" s="4" t="s">
        <v>233</v>
      </c>
      <c r="P75" s="4" t="s">
        <v>42</v>
      </c>
      <c r="Q75" s="50" t="s">
        <v>43</v>
      </c>
      <c r="R75" s="50"/>
      <c r="S75" s="50">
        <v>0</v>
      </c>
      <c r="T75" s="4" t="s">
        <v>43</v>
      </c>
      <c r="U75" s="4" t="s">
        <v>43</v>
      </c>
      <c r="AD75" s="91">
        <f t="shared" si="2"/>
        <v>0</v>
      </c>
      <c r="AE75" s="48" t="e">
        <f>VLOOKUP(C75,#REF!,1,0)</f>
        <v>#REF!</v>
      </c>
    </row>
    <row r="76" spans="3:31" hidden="1" x14ac:dyDescent="0.25">
      <c r="C76" s="87" t="s">
        <v>236</v>
      </c>
      <c r="D76" s="4" t="s">
        <v>237</v>
      </c>
      <c r="E76" s="4" t="s">
        <v>237</v>
      </c>
      <c r="F76" s="4" t="s">
        <v>36</v>
      </c>
      <c r="G76" s="4" t="s">
        <v>37</v>
      </c>
      <c r="H76" s="4" t="s">
        <v>38</v>
      </c>
      <c r="I76" s="4"/>
      <c r="J76" s="4">
        <v>0</v>
      </c>
      <c r="K76" s="4"/>
      <c r="L76" s="4" t="s">
        <v>59</v>
      </c>
      <c r="M76" s="4" t="s">
        <v>40</v>
      </c>
      <c r="N76" s="4" t="s">
        <v>41</v>
      </c>
      <c r="O76" s="4" t="s">
        <v>236</v>
      </c>
      <c r="P76" s="4" t="s">
        <v>42</v>
      </c>
      <c r="Q76" s="50" t="s">
        <v>43</v>
      </c>
      <c r="R76" s="50"/>
      <c r="S76" s="50">
        <v>0</v>
      </c>
      <c r="T76" s="4" t="s">
        <v>43</v>
      </c>
      <c r="U76" s="4" t="s">
        <v>43</v>
      </c>
      <c r="AD76" s="91">
        <f t="shared" si="2"/>
        <v>0</v>
      </c>
      <c r="AE76" s="48" t="e">
        <f>VLOOKUP(C76,#REF!,1,0)</f>
        <v>#REF!</v>
      </c>
    </row>
    <row r="77" spans="3:31" hidden="1" x14ac:dyDescent="0.25">
      <c r="C77" s="87" t="s">
        <v>238</v>
      </c>
      <c r="D77" s="4" t="s">
        <v>239</v>
      </c>
      <c r="E77" s="4" t="s">
        <v>240</v>
      </c>
      <c r="F77" s="4" t="s">
        <v>36</v>
      </c>
      <c r="G77" s="4" t="s">
        <v>37</v>
      </c>
      <c r="H77" s="4" t="s">
        <v>38</v>
      </c>
      <c r="I77" s="4"/>
      <c r="J77" s="4" t="s">
        <v>146</v>
      </c>
      <c r="K77" s="4"/>
      <c r="L77" s="4" t="s">
        <v>59</v>
      </c>
      <c r="M77" s="4" t="s">
        <v>40</v>
      </c>
      <c r="N77" s="4" t="s">
        <v>41</v>
      </c>
      <c r="O77" s="4" t="s">
        <v>238</v>
      </c>
      <c r="P77" s="4" t="s">
        <v>42</v>
      </c>
      <c r="Q77" s="50" t="s">
        <v>43</v>
      </c>
      <c r="R77" s="50"/>
      <c r="S77" s="50">
        <v>0</v>
      </c>
      <c r="T77" s="4" t="s">
        <v>43</v>
      </c>
      <c r="U77" s="4" t="s">
        <v>43</v>
      </c>
      <c r="AD77" s="91">
        <f t="shared" si="2"/>
        <v>0</v>
      </c>
      <c r="AE77" s="48" t="e">
        <f>VLOOKUP(C77,#REF!,1,0)</f>
        <v>#REF!</v>
      </c>
    </row>
    <row r="78" spans="3:31" hidden="1" x14ac:dyDescent="0.25">
      <c r="C78" s="87" t="s">
        <v>241</v>
      </c>
      <c r="D78" s="4" t="s">
        <v>242</v>
      </c>
      <c r="E78" s="4" t="s">
        <v>243</v>
      </c>
      <c r="F78" s="4" t="s">
        <v>36</v>
      </c>
      <c r="G78" s="4" t="s">
        <v>37</v>
      </c>
      <c r="H78" s="4" t="s">
        <v>38</v>
      </c>
      <c r="I78" s="4"/>
      <c r="J78" s="4" t="s">
        <v>132</v>
      </c>
      <c r="K78" s="4"/>
      <c r="L78" s="4" t="s">
        <v>64</v>
      </c>
      <c r="M78" s="4" t="s">
        <v>40</v>
      </c>
      <c r="N78" s="4" t="s">
        <v>41</v>
      </c>
      <c r="O78" s="4" t="s">
        <v>241</v>
      </c>
      <c r="P78" s="4" t="s">
        <v>42</v>
      </c>
      <c r="Q78" s="50" t="s">
        <v>43</v>
      </c>
      <c r="R78" s="50"/>
      <c r="S78" s="50">
        <v>0</v>
      </c>
      <c r="T78" s="4" t="s">
        <v>43</v>
      </c>
      <c r="U78" s="4" t="s">
        <v>43</v>
      </c>
      <c r="V78" s="4"/>
      <c r="AD78" s="90">
        <f t="shared" si="2"/>
        <v>0</v>
      </c>
      <c r="AE78" s="48" t="e">
        <f>VLOOKUP(C78,#REF!,1,0)</f>
        <v>#REF!</v>
      </c>
    </row>
    <row r="79" spans="3:31" hidden="1" x14ac:dyDescent="0.25">
      <c r="C79" s="87" t="s">
        <v>244</v>
      </c>
      <c r="D79" s="4" t="s">
        <v>245</v>
      </c>
      <c r="E79" s="4" t="s">
        <v>245</v>
      </c>
      <c r="F79" s="4" t="s">
        <v>36</v>
      </c>
      <c r="G79" s="4" t="s">
        <v>37</v>
      </c>
      <c r="H79" s="4" t="s">
        <v>81</v>
      </c>
      <c r="I79" s="4"/>
      <c r="J79" s="4">
        <v>0</v>
      </c>
      <c r="K79" s="4"/>
      <c r="L79" s="4" t="s">
        <v>133</v>
      </c>
      <c r="M79" s="4" t="s">
        <v>40</v>
      </c>
      <c r="N79" s="4" t="s">
        <v>41</v>
      </c>
      <c r="O79" s="4" t="s">
        <v>244</v>
      </c>
      <c r="P79" s="4" t="s">
        <v>42</v>
      </c>
      <c r="Q79" s="50" t="s">
        <v>43</v>
      </c>
      <c r="R79" s="50"/>
      <c r="S79" s="50">
        <v>0</v>
      </c>
      <c r="T79" s="4" t="s">
        <v>43</v>
      </c>
      <c r="U79" s="4" t="s">
        <v>43</v>
      </c>
      <c r="AD79" s="91">
        <f t="shared" si="2"/>
        <v>0</v>
      </c>
      <c r="AE79" s="48" t="e">
        <f>VLOOKUP(C79,#REF!,1,0)</f>
        <v>#REF!</v>
      </c>
    </row>
    <row r="80" spans="3:31" hidden="1" x14ac:dyDescent="0.25">
      <c r="C80" s="87" t="s">
        <v>246</v>
      </c>
      <c r="D80" s="4" t="s">
        <v>247</v>
      </c>
      <c r="E80" s="4" t="s">
        <v>247</v>
      </c>
      <c r="F80" s="4" t="s">
        <v>36</v>
      </c>
      <c r="G80" s="4" t="s">
        <v>37</v>
      </c>
      <c r="H80" s="4" t="s">
        <v>38</v>
      </c>
      <c r="I80" s="4"/>
      <c r="J80" s="4" t="s">
        <v>248</v>
      </c>
      <c r="K80" s="4"/>
      <c r="L80" s="4" t="s">
        <v>138</v>
      </c>
      <c r="M80" s="4" t="s">
        <v>40</v>
      </c>
      <c r="N80" s="4" t="s">
        <v>41</v>
      </c>
      <c r="O80" s="4" t="s">
        <v>246</v>
      </c>
      <c r="P80" s="4" t="s">
        <v>42</v>
      </c>
      <c r="Q80" s="50" t="s">
        <v>43</v>
      </c>
      <c r="R80" s="50"/>
      <c r="S80" s="50">
        <v>0</v>
      </c>
      <c r="T80" s="4" t="s">
        <v>43</v>
      </c>
      <c r="U80" s="4" t="s">
        <v>43</v>
      </c>
      <c r="AD80" s="91">
        <f t="shared" si="2"/>
        <v>0</v>
      </c>
      <c r="AE80" s="48" t="e">
        <f>VLOOKUP(C80,#REF!,1,0)</f>
        <v>#REF!</v>
      </c>
    </row>
    <row r="81" spans="3:31" hidden="1" x14ac:dyDescent="0.25">
      <c r="C81" s="87" t="s">
        <v>249</v>
      </c>
      <c r="D81" s="4" t="s">
        <v>250</v>
      </c>
      <c r="E81" s="4" t="s">
        <v>250</v>
      </c>
      <c r="F81" s="4" t="s">
        <v>36</v>
      </c>
      <c r="G81" s="4" t="s">
        <v>37</v>
      </c>
      <c r="H81" s="4" t="s">
        <v>38</v>
      </c>
      <c r="I81" s="4"/>
      <c r="J81" s="4" t="s">
        <v>94</v>
      </c>
      <c r="K81" s="4"/>
      <c r="L81" s="4" t="s">
        <v>138</v>
      </c>
      <c r="M81" s="4" t="s">
        <v>40</v>
      </c>
      <c r="N81" s="4" t="s">
        <v>41</v>
      </c>
      <c r="O81" s="4" t="s">
        <v>249</v>
      </c>
      <c r="P81" s="4" t="s">
        <v>42</v>
      </c>
      <c r="Q81" s="50" t="s">
        <v>43</v>
      </c>
      <c r="R81" s="50"/>
      <c r="S81" s="50">
        <v>0</v>
      </c>
      <c r="T81" s="4" t="s">
        <v>43</v>
      </c>
      <c r="U81" s="4" t="s">
        <v>43</v>
      </c>
      <c r="AD81" s="91">
        <f t="shared" si="2"/>
        <v>0</v>
      </c>
      <c r="AE81" s="48" t="e">
        <f>VLOOKUP(C81,#REF!,1,0)</f>
        <v>#REF!</v>
      </c>
    </row>
    <row r="82" spans="3:31" hidden="1" x14ac:dyDescent="0.25">
      <c r="C82" s="87" t="s">
        <v>251</v>
      </c>
      <c r="D82" s="4" t="s">
        <v>252</v>
      </c>
      <c r="E82" s="4" t="s">
        <v>253</v>
      </c>
      <c r="F82" s="4" t="s">
        <v>36</v>
      </c>
      <c r="G82" s="4" t="s">
        <v>37</v>
      </c>
      <c r="H82" s="4" t="s">
        <v>38</v>
      </c>
      <c r="I82" s="4"/>
      <c r="J82" s="4">
        <v>0</v>
      </c>
      <c r="K82" s="4"/>
      <c r="L82" s="4" t="s">
        <v>64</v>
      </c>
      <c r="M82" s="4" t="s">
        <v>40</v>
      </c>
      <c r="N82" s="4" t="s">
        <v>41</v>
      </c>
      <c r="O82" s="4" t="s">
        <v>251</v>
      </c>
      <c r="P82" s="4" t="s">
        <v>42</v>
      </c>
      <c r="Q82" s="50" t="s">
        <v>43</v>
      </c>
      <c r="R82" s="50"/>
      <c r="S82" s="50">
        <v>0</v>
      </c>
      <c r="T82" s="4" t="s">
        <v>43</v>
      </c>
      <c r="U82" s="4" t="s">
        <v>43</v>
      </c>
      <c r="AD82" s="91">
        <f t="shared" si="2"/>
        <v>0</v>
      </c>
      <c r="AE82" s="48" t="e">
        <f>VLOOKUP(C82,#REF!,1,0)</f>
        <v>#REF!</v>
      </c>
    </row>
    <row r="83" spans="3:31" hidden="1" x14ac:dyDescent="0.25">
      <c r="C83" s="87" t="s">
        <v>254</v>
      </c>
      <c r="D83" s="4" t="s">
        <v>255</v>
      </c>
      <c r="E83" s="4" t="s">
        <v>255</v>
      </c>
      <c r="F83" s="4" t="s">
        <v>36</v>
      </c>
      <c r="G83" s="4" t="s">
        <v>37</v>
      </c>
      <c r="H83" s="4" t="s">
        <v>38</v>
      </c>
      <c r="I83" s="4"/>
      <c r="J83" s="4">
        <v>0</v>
      </c>
      <c r="K83" s="4"/>
      <c r="L83" s="4" t="s">
        <v>51</v>
      </c>
      <c r="M83" s="4" t="s">
        <v>40</v>
      </c>
      <c r="N83" s="4" t="s">
        <v>41</v>
      </c>
      <c r="O83" s="4" t="s">
        <v>254</v>
      </c>
      <c r="P83" s="4" t="s">
        <v>42</v>
      </c>
      <c r="Q83" s="50" t="s">
        <v>43</v>
      </c>
      <c r="R83" s="50"/>
      <c r="S83" s="50">
        <v>0</v>
      </c>
      <c r="T83" s="4" t="s">
        <v>43</v>
      </c>
      <c r="U83" s="4" t="s">
        <v>43</v>
      </c>
      <c r="AD83" s="91">
        <f t="shared" si="2"/>
        <v>0</v>
      </c>
      <c r="AE83" s="48" t="e">
        <f>VLOOKUP(C83,#REF!,1,0)</f>
        <v>#REF!</v>
      </c>
    </row>
    <row r="84" spans="3:31" hidden="1" x14ac:dyDescent="0.25">
      <c r="C84" s="87" t="s">
        <v>256</v>
      </c>
      <c r="D84" s="4" t="s">
        <v>257</v>
      </c>
      <c r="E84" s="4" t="s">
        <v>257</v>
      </c>
      <c r="F84" s="4" t="s">
        <v>36</v>
      </c>
      <c r="G84" s="4" t="s">
        <v>37</v>
      </c>
      <c r="H84" s="4" t="s">
        <v>38</v>
      </c>
      <c r="I84" s="4"/>
      <c r="J84" s="4">
        <v>0</v>
      </c>
      <c r="K84" s="4"/>
      <c r="L84" s="4" t="s">
        <v>138</v>
      </c>
      <c r="M84" s="4" t="s">
        <v>40</v>
      </c>
      <c r="N84" s="4" t="s">
        <v>41</v>
      </c>
      <c r="O84" s="4" t="s">
        <v>256</v>
      </c>
      <c r="P84" s="4" t="s">
        <v>42</v>
      </c>
      <c r="Q84" s="50" t="s">
        <v>43</v>
      </c>
      <c r="R84" s="50"/>
      <c r="S84" s="50">
        <v>0</v>
      </c>
      <c r="T84" s="4" t="s">
        <v>43</v>
      </c>
      <c r="U84" s="4" t="s">
        <v>43</v>
      </c>
      <c r="AD84" s="91">
        <f t="shared" si="2"/>
        <v>0</v>
      </c>
      <c r="AE84" s="48" t="e">
        <f>VLOOKUP(C84,#REF!,1,0)</f>
        <v>#REF!</v>
      </c>
    </row>
    <row r="85" spans="3:31" hidden="1" x14ac:dyDescent="0.25">
      <c r="C85" s="87" t="s">
        <v>258</v>
      </c>
      <c r="D85" s="4" t="s">
        <v>259</v>
      </c>
      <c r="E85" s="4" t="s">
        <v>260</v>
      </c>
      <c r="F85" s="4" t="s">
        <v>36</v>
      </c>
      <c r="G85" s="4" t="s">
        <v>37</v>
      </c>
      <c r="H85" s="4" t="s">
        <v>38</v>
      </c>
      <c r="I85" s="4"/>
      <c r="J85" s="4" t="s">
        <v>50</v>
      </c>
      <c r="K85" s="4"/>
      <c r="L85" s="4" t="s">
        <v>51</v>
      </c>
      <c r="M85" s="4" t="s">
        <v>40</v>
      </c>
      <c r="N85" s="4" t="s">
        <v>41</v>
      </c>
      <c r="O85" s="4" t="s">
        <v>258</v>
      </c>
      <c r="P85" s="4" t="s">
        <v>42</v>
      </c>
      <c r="Q85" s="50" t="s">
        <v>43</v>
      </c>
      <c r="R85" s="50"/>
      <c r="S85" s="50">
        <v>0</v>
      </c>
      <c r="T85" s="4" t="s">
        <v>43</v>
      </c>
      <c r="U85" s="4" t="s">
        <v>43</v>
      </c>
      <c r="AD85" s="91">
        <f t="shared" si="2"/>
        <v>0</v>
      </c>
      <c r="AE85" s="48" t="e">
        <f>VLOOKUP(C85,#REF!,1,0)</f>
        <v>#REF!</v>
      </c>
    </row>
    <row r="86" spans="3:31" hidden="1" x14ac:dyDescent="0.25">
      <c r="C86" s="87" t="s">
        <v>261</v>
      </c>
      <c r="D86" s="4" t="s">
        <v>262</v>
      </c>
      <c r="E86" s="4" t="s">
        <v>263</v>
      </c>
      <c r="F86" s="4" t="s">
        <v>36</v>
      </c>
      <c r="G86" s="4" t="s">
        <v>37</v>
      </c>
      <c r="H86" s="4" t="s">
        <v>38</v>
      </c>
      <c r="I86" s="4"/>
      <c r="J86" s="4" t="s">
        <v>58</v>
      </c>
      <c r="K86" s="4"/>
      <c r="L86" s="4" t="s">
        <v>138</v>
      </c>
      <c r="M86" s="4" t="s">
        <v>40</v>
      </c>
      <c r="N86" s="4" t="s">
        <v>41</v>
      </c>
      <c r="O86" s="4" t="s">
        <v>261</v>
      </c>
      <c r="P86" s="4" t="s">
        <v>42</v>
      </c>
      <c r="Q86" s="50" t="s">
        <v>43</v>
      </c>
      <c r="R86" s="50"/>
      <c r="S86" s="50">
        <v>0</v>
      </c>
      <c r="T86" s="4" t="s">
        <v>43</v>
      </c>
      <c r="U86" s="4" t="s">
        <v>43</v>
      </c>
      <c r="AD86" s="91">
        <f t="shared" si="2"/>
        <v>0</v>
      </c>
      <c r="AE86" s="48" t="e">
        <f>VLOOKUP(C86,#REF!,1,0)</f>
        <v>#REF!</v>
      </c>
    </row>
    <row r="87" spans="3:31" hidden="1" x14ac:dyDescent="0.25">
      <c r="C87" s="87" t="s">
        <v>264</v>
      </c>
      <c r="D87" s="4" t="s">
        <v>265</v>
      </c>
      <c r="E87" s="4" t="s">
        <v>266</v>
      </c>
      <c r="F87" s="4" t="s">
        <v>36</v>
      </c>
      <c r="G87" s="4" t="s">
        <v>37</v>
      </c>
      <c r="H87" s="4" t="s">
        <v>38</v>
      </c>
      <c r="I87" s="4"/>
      <c r="J87" s="4">
        <v>0</v>
      </c>
      <c r="K87" s="4"/>
      <c r="L87" s="4" t="s">
        <v>51</v>
      </c>
      <c r="M87" s="4" t="s">
        <v>40</v>
      </c>
      <c r="N87" s="4" t="s">
        <v>41</v>
      </c>
      <c r="O87" s="4" t="s">
        <v>264</v>
      </c>
      <c r="P87" s="4" t="s">
        <v>42</v>
      </c>
      <c r="Q87" s="50" t="s">
        <v>43</v>
      </c>
      <c r="R87" s="50"/>
      <c r="S87" s="50">
        <v>0</v>
      </c>
      <c r="T87" s="4" t="s">
        <v>43</v>
      </c>
      <c r="U87" s="4" t="s">
        <v>43</v>
      </c>
      <c r="AD87" s="91">
        <f t="shared" si="2"/>
        <v>0</v>
      </c>
      <c r="AE87" s="48" t="e">
        <f>VLOOKUP(C87,#REF!,1,0)</f>
        <v>#REF!</v>
      </c>
    </row>
    <row r="88" spans="3:31" hidden="1" x14ac:dyDescent="0.25">
      <c r="C88" s="87" t="s">
        <v>267</v>
      </c>
      <c r="D88" s="4" t="s">
        <v>268</v>
      </c>
      <c r="E88" s="4" t="s">
        <v>269</v>
      </c>
      <c r="F88" s="4" t="s">
        <v>36</v>
      </c>
      <c r="G88" s="4" t="s">
        <v>37</v>
      </c>
      <c r="H88" s="4" t="s">
        <v>38</v>
      </c>
      <c r="I88" s="4"/>
      <c r="J88" s="4">
        <v>0</v>
      </c>
      <c r="K88" s="4"/>
      <c r="L88" s="4" t="s">
        <v>51</v>
      </c>
      <c r="M88" s="4" t="s">
        <v>40</v>
      </c>
      <c r="N88" s="4" t="s">
        <v>41</v>
      </c>
      <c r="O88" s="4" t="s">
        <v>267</v>
      </c>
      <c r="P88" s="4" t="s">
        <v>42</v>
      </c>
      <c r="Q88" s="50" t="s">
        <v>43</v>
      </c>
      <c r="R88" s="50"/>
      <c r="S88" s="50">
        <v>0</v>
      </c>
      <c r="T88" s="4" t="s">
        <v>43</v>
      </c>
      <c r="U88" s="4" t="s">
        <v>43</v>
      </c>
      <c r="AD88" s="91">
        <f t="shared" si="2"/>
        <v>0</v>
      </c>
      <c r="AE88" s="48" t="e">
        <f>VLOOKUP(C88,#REF!,1,0)</f>
        <v>#REF!</v>
      </c>
    </row>
    <row r="89" spans="3:31" hidden="1" x14ac:dyDescent="0.25">
      <c r="C89" s="87" t="s">
        <v>270</v>
      </c>
      <c r="D89" s="4" t="s">
        <v>271</v>
      </c>
      <c r="E89" s="4" t="s">
        <v>271</v>
      </c>
      <c r="F89" s="4" t="s">
        <v>36</v>
      </c>
      <c r="G89" s="4" t="s">
        <v>37</v>
      </c>
      <c r="H89" s="4" t="s">
        <v>38</v>
      </c>
      <c r="I89" s="4"/>
      <c r="J89" s="4" t="s">
        <v>100</v>
      </c>
      <c r="K89" s="4"/>
      <c r="L89" s="4" t="s">
        <v>59</v>
      </c>
      <c r="M89" s="4" t="s">
        <v>40</v>
      </c>
      <c r="N89" s="4" t="s">
        <v>41</v>
      </c>
      <c r="O89" s="4" t="s">
        <v>270</v>
      </c>
      <c r="P89" s="4" t="s">
        <v>42</v>
      </c>
      <c r="Q89" s="50" t="s">
        <v>43</v>
      </c>
      <c r="R89" s="50"/>
      <c r="S89" s="50">
        <v>0</v>
      </c>
      <c r="T89" s="4" t="s">
        <v>43</v>
      </c>
      <c r="U89" s="4" t="s">
        <v>43</v>
      </c>
      <c r="AD89" s="91">
        <f t="shared" si="2"/>
        <v>0</v>
      </c>
      <c r="AE89" s="48" t="e">
        <f>VLOOKUP(C89,#REF!,1,0)</f>
        <v>#REF!</v>
      </c>
    </row>
    <row r="90" spans="3:31" hidden="1" x14ac:dyDescent="0.25">
      <c r="C90" s="87" t="s">
        <v>272</v>
      </c>
      <c r="D90" s="4" t="s">
        <v>273</v>
      </c>
      <c r="E90" s="4" t="s">
        <v>274</v>
      </c>
      <c r="F90" s="4" t="s">
        <v>36</v>
      </c>
      <c r="G90" s="4" t="s">
        <v>37</v>
      </c>
      <c r="H90" s="4" t="s">
        <v>38</v>
      </c>
      <c r="I90" s="4"/>
      <c r="J90" s="4" t="s">
        <v>73</v>
      </c>
      <c r="K90" s="4"/>
      <c r="L90" s="4" t="s">
        <v>275</v>
      </c>
      <c r="M90" s="4" t="s">
        <v>40</v>
      </c>
      <c r="N90" s="4" t="s">
        <v>41</v>
      </c>
      <c r="O90" s="4" t="s">
        <v>272</v>
      </c>
      <c r="P90" s="4" t="s">
        <v>42</v>
      </c>
      <c r="Q90" s="50" t="s">
        <v>43</v>
      </c>
      <c r="R90" s="50"/>
      <c r="S90" s="50">
        <v>0</v>
      </c>
      <c r="T90" s="4" t="s">
        <v>43</v>
      </c>
      <c r="U90" s="4" t="s">
        <v>43</v>
      </c>
      <c r="AD90" s="91">
        <f t="shared" si="2"/>
        <v>0</v>
      </c>
      <c r="AE90" s="48" t="e">
        <f>VLOOKUP(C90,#REF!,1,0)</f>
        <v>#REF!</v>
      </c>
    </row>
    <row r="91" spans="3:31" hidden="1" x14ac:dyDescent="0.25">
      <c r="C91" s="87" t="s">
        <v>276</v>
      </c>
      <c r="D91" s="4" t="s">
        <v>277</v>
      </c>
      <c r="E91" s="4" t="s">
        <v>278</v>
      </c>
      <c r="F91" s="4" t="s">
        <v>36</v>
      </c>
      <c r="G91" s="4" t="s">
        <v>37</v>
      </c>
      <c r="H91" s="4" t="s">
        <v>38</v>
      </c>
      <c r="I91" s="4"/>
      <c r="J91" s="4" t="s">
        <v>84</v>
      </c>
      <c r="K91" s="4"/>
      <c r="L91" s="4" t="s">
        <v>279</v>
      </c>
      <c r="M91" s="4" t="s">
        <v>55</v>
      </c>
      <c r="N91" s="4" t="s">
        <v>41</v>
      </c>
      <c r="O91" s="4" t="s">
        <v>276</v>
      </c>
      <c r="P91" s="4" t="s">
        <v>42</v>
      </c>
      <c r="Q91" s="50" t="s">
        <v>43</v>
      </c>
      <c r="R91" s="50"/>
      <c r="S91" s="50">
        <v>0</v>
      </c>
      <c r="T91" s="4" t="s">
        <v>43</v>
      </c>
      <c r="U91" s="4" t="s">
        <v>43</v>
      </c>
      <c r="AD91" s="91">
        <f t="shared" si="2"/>
        <v>0</v>
      </c>
      <c r="AE91" s="48" t="e">
        <f>VLOOKUP(C91,#REF!,1,0)</f>
        <v>#REF!</v>
      </c>
    </row>
    <row r="92" spans="3:31" hidden="1" x14ac:dyDescent="0.25">
      <c r="C92" s="87" t="s">
        <v>280</v>
      </c>
      <c r="D92" s="4" t="s">
        <v>281</v>
      </c>
      <c r="E92" s="4" t="s">
        <v>281</v>
      </c>
      <c r="F92" s="4" t="s">
        <v>36</v>
      </c>
      <c r="G92" s="4" t="s">
        <v>37</v>
      </c>
      <c r="H92" s="4" t="s">
        <v>38</v>
      </c>
      <c r="I92" s="4"/>
      <c r="J92" s="4" t="s">
        <v>132</v>
      </c>
      <c r="K92" s="4"/>
      <c r="L92" s="4" t="s">
        <v>64</v>
      </c>
      <c r="M92" s="4" t="s">
        <v>40</v>
      </c>
      <c r="N92" s="4" t="s">
        <v>41</v>
      </c>
      <c r="O92" s="4" t="s">
        <v>280</v>
      </c>
      <c r="P92" s="4" t="s">
        <v>42</v>
      </c>
      <c r="Q92" s="50" t="s">
        <v>43</v>
      </c>
      <c r="R92" s="50"/>
      <c r="S92" s="50">
        <v>0</v>
      </c>
      <c r="T92" s="4" t="s">
        <v>43</v>
      </c>
      <c r="U92" s="4" t="s">
        <v>43</v>
      </c>
      <c r="AD92" s="91">
        <f t="shared" si="2"/>
        <v>0</v>
      </c>
      <c r="AE92" s="48" t="e">
        <f>VLOOKUP(C92,#REF!,1,0)</f>
        <v>#REF!</v>
      </c>
    </row>
    <row r="93" spans="3:31" hidden="1" x14ac:dyDescent="0.25">
      <c r="C93" s="87" t="s">
        <v>282</v>
      </c>
      <c r="D93" s="4" t="s">
        <v>283</v>
      </c>
      <c r="E93" s="4" t="s">
        <v>284</v>
      </c>
      <c r="F93" s="4" t="s">
        <v>36</v>
      </c>
      <c r="G93" s="4" t="s">
        <v>37</v>
      </c>
      <c r="H93" s="4" t="s">
        <v>38</v>
      </c>
      <c r="I93" s="4"/>
      <c r="J93" s="4">
        <v>0</v>
      </c>
      <c r="K93" s="4"/>
      <c r="L93" s="4" t="s">
        <v>279</v>
      </c>
      <c r="M93" s="4" t="s">
        <v>55</v>
      </c>
      <c r="N93" s="4" t="s">
        <v>41</v>
      </c>
      <c r="O93" s="4" t="s">
        <v>282</v>
      </c>
      <c r="P93" s="4" t="s">
        <v>42</v>
      </c>
      <c r="Q93" s="50" t="s">
        <v>43</v>
      </c>
      <c r="R93" s="50"/>
      <c r="S93" s="50">
        <v>0</v>
      </c>
      <c r="T93" s="4" t="s">
        <v>43</v>
      </c>
      <c r="U93" s="4" t="s">
        <v>43</v>
      </c>
      <c r="AD93" s="91">
        <f t="shared" si="2"/>
        <v>0</v>
      </c>
      <c r="AE93" s="48" t="e">
        <f>VLOOKUP(C93,#REF!,1,0)</f>
        <v>#REF!</v>
      </c>
    </row>
    <row r="94" spans="3:31" hidden="1" x14ac:dyDescent="0.25">
      <c r="C94" s="87" t="s">
        <v>285</v>
      </c>
      <c r="D94" s="4" t="s">
        <v>286</v>
      </c>
      <c r="E94" s="4" t="s">
        <v>287</v>
      </c>
      <c r="F94" s="4" t="s">
        <v>36</v>
      </c>
      <c r="G94" s="4" t="s">
        <v>37</v>
      </c>
      <c r="H94" s="4" t="s">
        <v>38</v>
      </c>
      <c r="I94" s="4"/>
      <c r="J94" s="4">
        <v>0</v>
      </c>
      <c r="K94" s="4"/>
      <c r="L94" s="4" t="s">
        <v>51</v>
      </c>
      <c r="M94" s="4" t="s">
        <v>40</v>
      </c>
      <c r="N94" s="4" t="s">
        <v>41</v>
      </c>
      <c r="O94" s="4" t="s">
        <v>285</v>
      </c>
      <c r="P94" s="4" t="s">
        <v>42</v>
      </c>
      <c r="Q94" s="50" t="s">
        <v>43</v>
      </c>
      <c r="R94" s="50"/>
      <c r="S94" s="50">
        <v>0</v>
      </c>
      <c r="T94" s="4" t="s">
        <v>43</v>
      </c>
      <c r="U94" s="4" t="s">
        <v>43</v>
      </c>
      <c r="AD94" s="91">
        <f t="shared" si="2"/>
        <v>0</v>
      </c>
      <c r="AE94" s="48" t="e">
        <f>VLOOKUP(C94,#REF!,1,0)</f>
        <v>#REF!</v>
      </c>
    </row>
    <row r="95" spans="3:31" hidden="1" x14ac:dyDescent="0.25">
      <c r="C95" s="87" t="s">
        <v>288</v>
      </c>
      <c r="D95" s="4" t="s">
        <v>289</v>
      </c>
      <c r="E95" s="4" t="s">
        <v>290</v>
      </c>
      <c r="F95" s="4" t="s">
        <v>36</v>
      </c>
      <c r="G95" s="4" t="s">
        <v>37</v>
      </c>
      <c r="H95" s="4" t="s">
        <v>38</v>
      </c>
      <c r="I95" s="4"/>
      <c r="J95" s="4">
        <v>0</v>
      </c>
      <c r="K95" s="4"/>
      <c r="L95" s="4" t="s">
        <v>59</v>
      </c>
      <c r="M95" s="4" t="s">
        <v>40</v>
      </c>
      <c r="N95" s="4" t="s">
        <v>41</v>
      </c>
      <c r="O95" s="4" t="s">
        <v>288</v>
      </c>
      <c r="P95" s="4" t="s">
        <v>42</v>
      </c>
      <c r="Q95" s="50" t="s">
        <v>43</v>
      </c>
      <c r="R95" s="50"/>
      <c r="S95" s="50">
        <v>0</v>
      </c>
      <c r="T95" s="4" t="s">
        <v>43</v>
      </c>
      <c r="U95" s="4" t="s">
        <v>43</v>
      </c>
      <c r="AD95" s="91">
        <f t="shared" si="2"/>
        <v>0</v>
      </c>
      <c r="AE95" s="48" t="e">
        <f>VLOOKUP(C95,#REF!,1,0)</f>
        <v>#REF!</v>
      </c>
    </row>
    <row r="96" spans="3:31" hidden="1" x14ac:dyDescent="0.25">
      <c r="C96" s="87" t="s">
        <v>291</v>
      </c>
      <c r="D96" s="4" t="s">
        <v>292</v>
      </c>
      <c r="E96" s="4" t="s">
        <v>292</v>
      </c>
      <c r="F96" s="4" t="s">
        <v>36</v>
      </c>
      <c r="G96" s="4" t="s">
        <v>37</v>
      </c>
      <c r="H96" s="4" t="s">
        <v>38</v>
      </c>
      <c r="I96" s="4"/>
      <c r="J96" s="4" t="s">
        <v>94</v>
      </c>
      <c r="K96" s="4"/>
      <c r="L96" s="4" t="s">
        <v>51</v>
      </c>
      <c r="M96" s="4" t="s">
        <v>40</v>
      </c>
      <c r="N96" s="4" t="s">
        <v>41</v>
      </c>
      <c r="O96" s="4" t="s">
        <v>291</v>
      </c>
      <c r="P96" s="4" t="s">
        <v>42</v>
      </c>
      <c r="Q96" s="50" t="s">
        <v>43</v>
      </c>
      <c r="R96" s="50"/>
      <c r="S96" s="50">
        <v>0</v>
      </c>
      <c r="T96" s="4" t="s">
        <v>43</v>
      </c>
      <c r="U96" s="4" t="s">
        <v>43</v>
      </c>
      <c r="AD96" s="91">
        <f t="shared" si="2"/>
        <v>0</v>
      </c>
      <c r="AE96" s="48" t="e">
        <f>VLOOKUP(C96,#REF!,1,0)</f>
        <v>#REF!</v>
      </c>
    </row>
    <row r="97" spans="3:31" hidden="1" x14ac:dyDescent="0.25">
      <c r="C97" s="87" t="s">
        <v>293</v>
      </c>
      <c r="D97" s="4" t="s">
        <v>294</v>
      </c>
      <c r="E97" s="4" t="s">
        <v>294</v>
      </c>
      <c r="F97" s="4" t="s">
        <v>36</v>
      </c>
      <c r="G97" s="4" t="s">
        <v>37</v>
      </c>
      <c r="H97" s="4" t="s">
        <v>38</v>
      </c>
      <c r="I97" s="4"/>
      <c r="J97" s="4" t="s">
        <v>73</v>
      </c>
      <c r="K97" s="4"/>
      <c r="L97" s="4" t="s">
        <v>64</v>
      </c>
      <c r="M97" s="4" t="s">
        <v>40</v>
      </c>
      <c r="N97" s="4" t="s">
        <v>41</v>
      </c>
      <c r="O97" s="4" t="s">
        <v>293</v>
      </c>
      <c r="P97" s="4" t="s">
        <v>42</v>
      </c>
      <c r="Q97" s="50" t="s">
        <v>43</v>
      </c>
      <c r="R97" s="50"/>
      <c r="S97" s="50">
        <v>0</v>
      </c>
      <c r="T97" s="4" t="s">
        <v>43</v>
      </c>
      <c r="U97" s="4" t="s">
        <v>43</v>
      </c>
      <c r="AD97" s="91">
        <f t="shared" si="2"/>
        <v>0</v>
      </c>
      <c r="AE97" s="48" t="e">
        <f>VLOOKUP(C97,#REF!,1,0)</f>
        <v>#REF!</v>
      </c>
    </row>
    <row r="98" spans="3:31" hidden="1" x14ac:dyDescent="0.25">
      <c r="C98" s="87" t="s">
        <v>295</v>
      </c>
      <c r="D98" s="4" t="s">
        <v>296</v>
      </c>
      <c r="E98" s="4" t="s">
        <v>297</v>
      </c>
      <c r="F98" s="4" t="s">
        <v>36</v>
      </c>
      <c r="G98" s="4" t="s">
        <v>37</v>
      </c>
      <c r="H98" s="4" t="s">
        <v>38</v>
      </c>
      <c r="I98" s="4"/>
      <c r="J98" s="4" t="s">
        <v>94</v>
      </c>
      <c r="K98" s="4"/>
      <c r="L98" s="4" t="s">
        <v>64</v>
      </c>
      <c r="M98" s="4" t="s">
        <v>40</v>
      </c>
      <c r="N98" s="4" t="s">
        <v>41</v>
      </c>
      <c r="O98" s="4" t="s">
        <v>295</v>
      </c>
      <c r="P98" s="4" t="s">
        <v>42</v>
      </c>
      <c r="Q98" s="50" t="s">
        <v>43</v>
      </c>
      <c r="R98" s="50"/>
      <c r="S98" s="50">
        <v>0</v>
      </c>
      <c r="T98" s="4" t="s">
        <v>43</v>
      </c>
      <c r="U98" s="4" t="s">
        <v>43</v>
      </c>
      <c r="AD98" s="91">
        <f t="shared" si="2"/>
        <v>0</v>
      </c>
      <c r="AE98" s="48" t="e">
        <f>VLOOKUP(C98,#REF!,1,0)</f>
        <v>#REF!</v>
      </c>
    </row>
    <row r="99" spans="3:31" hidden="1" x14ac:dyDescent="0.25">
      <c r="C99" s="87" t="s">
        <v>298</v>
      </c>
      <c r="D99" s="4" t="s">
        <v>299</v>
      </c>
      <c r="E99" s="4" t="s">
        <v>300</v>
      </c>
      <c r="F99" s="4" t="s">
        <v>36</v>
      </c>
      <c r="G99" s="4" t="s">
        <v>37</v>
      </c>
      <c r="H99" s="4" t="s">
        <v>38</v>
      </c>
      <c r="I99" s="4"/>
      <c r="J99" s="4" t="s">
        <v>58</v>
      </c>
      <c r="K99" s="4"/>
      <c r="L99" s="4" t="s">
        <v>59</v>
      </c>
      <c r="M99" s="4" t="s">
        <v>40</v>
      </c>
      <c r="N99" s="4" t="s">
        <v>41</v>
      </c>
      <c r="O99" s="4" t="s">
        <v>298</v>
      </c>
      <c r="P99" s="4" t="s">
        <v>42</v>
      </c>
      <c r="Q99" s="50" t="s">
        <v>43</v>
      </c>
      <c r="R99" s="50"/>
      <c r="S99" s="50">
        <v>0</v>
      </c>
      <c r="T99" s="4" t="s">
        <v>43</v>
      </c>
      <c r="U99" s="4" t="s">
        <v>43</v>
      </c>
      <c r="AD99" s="91">
        <f t="shared" si="2"/>
        <v>0</v>
      </c>
      <c r="AE99" s="48" t="e">
        <f>VLOOKUP(C99,#REF!,1,0)</f>
        <v>#REF!</v>
      </c>
    </row>
    <row r="100" spans="3:31" hidden="1" x14ac:dyDescent="0.25">
      <c r="C100" s="87" t="s">
        <v>301</v>
      </c>
      <c r="D100" s="4" t="s">
        <v>302</v>
      </c>
      <c r="E100" s="4" t="s">
        <v>303</v>
      </c>
      <c r="F100" s="4" t="s">
        <v>36</v>
      </c>
      <c r="G100" s="4" t="s">
        <v>37</v>
      </c>
      <c r="H100" s="4" t="s">
        <v>38</v>
      </c>
      <c r="I100" s="4"/>
      <c r="J100" s="4" t="s">
        <v>132</v>
      </c>
      <c r="K100" s="4"/>
      <c r="L100" s="4" t="s">
        <v>133</v>
      </c>
      <c r="M100" s="4" t="s">
        <v>40</v>
      </c>
      <c r="N100" s="4" t="s">
        <v>41</v>
      </c>
      <c r="O100" s="4" t="s">
        <v>301</v>
      </c>
      <c r="P100" s="4" t="s">
        <v>42</v>
      </c>
      <c r="Q100" s="50" t="s">
        <v>43</v>
      </c>
      <c r="R100" s="50"/>
      <c r="S100" s="50">
        <v>0</v>
      </c>
      <c r="T100" s="48" t="s">
        <v>43</v>
      </c>
      <c r="U100" s="4" t="s">
        <v>43</v>
      </c>
      <c r="AD100" s="91">
        <f t="shared" si="2"/>
        <v>0</v>
      </c>
      <c r="AE100" s="48" t="e">
        <f>VLOOKUP(C100,#REF!,1,0)</f>
        <v>#REF!</v>
      </c>
    </row>
    <row r="101" spans="3:31" hidden="1" x14ac:dyDescent="0.25">
      <c r="C101" s="87" t="s">
        <v>304</v>
      </c>
      <c r="D101" s="4" t="s">
        <v>305</v>
      </c>
      <c r="E101" s="4" t="s">
        <v>305</v>
      </c>
      <c r="F101" s="4" t="s">
        <v>36</v>
      </c>
      <c r="G101" s="4" t="s">
        <v>37</v>
      </c>
      <c r="H101" s="4" t="s">
        <v>81</v>
      </c>
      <c r="I101" s="4"/>
      <c r="J101" s="4" t="s">
        <v>132</v>
      </c>
      <c r="K101" s="4"/>
      <c r="L101" s="4" t="s">
        <v>51</v>
      </c>
      <c r="M101" s="4" t="s">
        <v>40</v>
      </c>
      <c r="N101" s="4" t="s">
        <v>41</v>
      </c>
      <c r="O101" s="4" t="s">
        <v>304</v>
      </c>
      <c r="P101" s="4" t="s">
        <v>42</v>
      </c>
      <c r="Q101" s="50" t="s">
        <v>43</v>
      </c>
      <c r="R101" s="50"/>
      <c r="S101" s="50">
        <v>0</v>
      </c>
      <c r="T101" s="4" t="s">
        <v>43</v>
      </c>
      <c r="U101" s="4" t="s">
        <v>43</v>
      </c>
      <c r="AD101" s="91">
        <f t="shared" si="2"/>
        <v>0</v>
      </c>
      <c r="AE101" s="48" t="e">
        <f>VLOOKUP(C101,#REF!,1,0)</f>
        <v>#REF!</v>
      </c>
    </row>
    <row r="102" spans="3:31" hidden="1" x14ac:dyDescent="0.25">
      <c r="C102" s="87" t="s">
        <v>306</v>
      </c>
      <c r="D102" s="4" t="s">
        <v>307</v>
      </c>
      <c r="E102" s="4" t="s">
        <v>307</v>
      </c>
      <c r="F102" s="4" t="s">
        <v>36</v>
      </c>
      <c r="G102" s="4" t="s">
        <v>37</v>
      </c>
      <c r="H102" s="4" t="s">
        <v>46</v>
      </c>
      <c r="I102" s="4"/>
      <c r="J102" s="4">
        <v>0</v>
      </c>
      <c r="K102" s="4"/>
      <c r="L102" s="4" t="s">
        <v>138</v>
      </c>
      <c r="M102" s="4" t="s">
        <v>40</v>
      </c>
      <c r="N102" s="4" t="s">
        <v>41</v>
      </c>
      <c r="O102" s="4" t="s">
        <v>306</v>
      </c>
      <c r="P102" s="4" t="s">
        <v>42</v>
      </c>
      <c r="Q102" s="50" t="s">
        <v>43</v>
      </c>
      <c r="R102" s="50"/>
      <c r="S102" s="50">
        <v>0</v>
      </c>
      <c r="T102" s="4" t="s">
        <v>43</v>
      </c>
      <c r="U102" s="4" t="s">
        <v>43</v>
      </c>
      <c r="AD102" s="91">
        <f t="shared" si="2"/>
        <v>0</v>
      </c>
      <c r="AE102" s="48" t="e">
        <f>VLOOKUP(C102,#REF!,1,0)</f>
        <v>#REF!</v>
      </c>
    </row>
    <row r="103" spans="3:31" hidden="1" x14ac:dyDescent="0.25">
      <c r="C103" s="87" t="s">
        <v>308</v>
      </c>
      <c r="D103" s="4" t="s">
        <v>309</v>
      </c>
      <c r="E103" s="4" t="s">
        <v>309</v>
      </c>
      <c r="F103" s="4" t="s">
        <v>36</v>
      </c>
      <c r="G103" s="4" t="s">
        <v>37</v>
      </c>
      <c r="H103" s="4" t="s">
        <v>46</v>
      </c>
      <c r="I103" s="4"/>
      <c r="J103" s="4">
        <v>0</v>
      </c>
      <c r="K103" s="4"/>
      <c r="L103" s="4" t="s">
        <v>279</v>
      </c>
      <c r="M103" s="4" t="s">
        <v>55</v>
      </c>
      <c r="N103" s="4" t="s">
        <v>41</v>
      </c>
      <c r="O103" s="4" t="s">
        <v>308</v>
      </c>
      <c r="P103" s="4" t="s">
        <v>42</v>
      </c>
      <c r="Q103" s="50" t="s">
        <v>43</v>
      </c>
      <c r="R103" s="50"/>
      <c r="S103" s="50">
        <v>0</v>
      </c>
      <c r="T103" s="4" t="s">
        <v>43</v>
      </c>
      <c r="U103" s="4" t="s">
        <v>43</v>
      </c>
      <c r="AD103" s="91">
        <f t="shared" si="2"/>
        <v>0</v>
      </c>
      <c r="AE103" s="48" t="e">
        <f>VLOOKUP(C103,#REF!,1,0)</f>
        <v>#REF!</v>
      </c>
    </row>
    <row r="104" spans="3:31" hidden="1" x14ac:dyDescent="0.25">
      <c r="C104" s="87" t="s">
        <v>310</v>
      </c>
      <c r="D104" s="4" t="s">
        <v>311</v>
      </c>
      <c r="E104" s="4" t="s">
        <v>312</v>
      </c>
      <c r="F104" s="4" t="s">
        <v>36</v>
      </c>
      <c r="G104" s="4" t="s">
        <v>37</v>
      </c>
      <c r="H104" s="4" t="s">
        <v>81</v>
      </c>
      <c r="I104" s="4"/>
      <c r="J104" s="4" t="s">
        <v>160</v>
      </c>
      <c r="K104" s="4"/>
      <c r="L104" s="4" t="s">
        <v>64</v>
      </c>
      <c r="M104" s="4" t="s">
        <v>40</v>
      </c>
      <c r="N104" s="4" t="s">
        <v>41</v>
      </c>
      <c r="O104" s="4" t="s">
        <v>310</v>
      </c>
      <c r="P104" s="4" t="s">
        <v>42</v>
      </c>
      <c r="Q104" s="50" t="s">
        <v>43</v>
      </c>
      <c r="R104" s="50"/>
      <c r="S104" s="50">
        <v>0</v>
      </c>
      <c r="T104" s="4" t="s">
        <v>43</v>
      </c>
      <c r="U104" s="4" t="s">
        <v>43</v>
      </c>
      <c r="AD104" s="91">
        <f t="shared" si="2"/>
        <v>0</v>
      </c>
      <c r="AE104" s="48" t="e">
        <f>VLOOKUP(C104,#REF!,1,0)</f>
        <v>#REF!</v>
      </c>
    </row>
    <row r="105" spans="3:31" hidden="1" x14ac:dyDescent="0.25">
      <c r="C105" s="87" t="s">
        <v>313</v>
      </c>
      <c r="D105" s="4" t="s">
        <v>314</v>
      </c>
      <c r="E105" s="4" t="s">
        <v>314</v>
      </c>
      <c r="F105" s="4" t="s">
        <v>36</v>
      </c>
      <c r="G105" s="4" t="s">
        <v>37</v>
      </c>
      <c r="H105" s="4" t="s">
        <v>81</v>
      </c>
      <c r="I105" s="4"/>
      <c r="J105" s="4">
        <v>0</v>
      </c>
      <c r="K105" s="4"/>
      <c r="L105" s="4" t="s">
        <v>315</v>
      </c>
      <c r="M105" s="4" t="s">
        <v>40</v>
      </c>
      <c r="N105" s="4" t="s">
        <v>41</v>
      </c>
      <c r="O105" s="4" t="s">
        <v>313</v>
      </c>
      <c r="P105" s="4" t="s">
        <v>42</v>
      </c>
      <c r="Q105" s="50" t="s">
        <v>43</v>
      </c>
      <c r="R105" s="50"/>
      <c r="S105" s="50">
        <v>0</v>
      </c>
      <c r="T105" s="4" t="s">
        <v>43</v>
      </c>
      <c r="U105" s="4" t="s">
        <v>43</v>
      </c>
      <c r="AD105" s="91">
        <f t="shared" si="2"/>
        <v>0</v>
      </c>
      <c r="AE105" s="48" t="e">
        <f>VLOOKUP(C105,#REF!,1,0)</f>
        <v>#REF!</v>
      </c>
    </row>
    <row r="106" spans="3:31" hidden="1" x14ac:dyDescent="0.25">
      <c r="C106" s="87" t="s">
        <v>316</v>
      </c>
      <c r="D106" s="4" t="s">
        <v>317</v>
      </c>
      <c r="E106" s="4" t="s">
        <v>318</v>
      </c>
      <c r="F106" s="4" t="s">
        <v>36</v>
      </c>
      <c r="G106" s="4" t="s">
        <v>37</v>
      </c>
      <c r="H106" s="4" t="s">
        <v>81</v>
      </c>
      <c r="I106" s="4"/>
      <c r="J106" s="4" t="s">
        <v>67</v>
      </c>
      <c r="K106" s="4"/>
      <c r="L106" s="4" t="s">
        <v>59</v>
      </c>
      <c r="M106" s="4" t="s">
        <v>40</v>
      </c>
      <c r="N106" s="4" t="s">
        <v>41</v>
      </c>
      <c r="O106" s="4" t="s">
        <v>316</v>
      </c>
      <c r="P106" s="4" t="s">
        <v>42</v>
      </c>
      <c r="Q106" s="50" t="s">
        <v>43</v>
      </c>
      <c r="R106" s="50"/>
      <c r="S106" s="50">
        <v>0</v>
      </c>
      <c r="T106" s="4" t="s">
        <v>43</v>
      </c>
      <c r="U106" s="4" t="s">
        <v>43</v>
      </c>
      <c r="AD106" s="91">
        <f t="shared" si="2"/>
        <v>0</v>
      </c>
      <c r="AE106" s="48" t="e">
        <f>VLOOKUP(C106,#REF!,1,0)</f>
        <v>#REF!</v>
      </c>
    </row>
    <row r="107" spans="3:31" hidden="1" x14ac:dyDescent="0.25">
      <c r="C107" s="87" t="s">
        <v>319</v>
      </c>
      <c r="D107" s="4" t="s">
        <v>320</v>
      </c>
      <c r="E107" s="4" t="s">
        <v>320</v>
      </c>
      <c r="F107" s="4" t="s">
        <v>36</v>
      </c>
      <c r="G107" s="4" t="s">
        <v>37</v>
      </c>
      <c r="H107" s="4" t="s">
        <v>46</v>
      </c>
      <c r="I107" s="4"/>
      <c r="J107" s="4">
        <v>0</v>
      </c>
      <c r="K107" s="4"/>
      <c r="L107" s="4" t="s">
        <v>97</v>
      </c>
      <c r="M107" s="4" t="s">
        <v>40</v>
      </c>
      <c r="N107" s="4" t="s">
        <v>41</v>
      </c>
      <c r="O107" s="4" t="s">
        <v>319</v>
      </c>
      <c r="P107" s="4" t="s">
        <v>42</v>
      </c>
      <c r="Q107" s="50" t="s">
        <v>43</v>
      </c>
      <c r="R107" s="50"/>
      <c r="S107" s="50">
        <v>0</v>
      </c>
      <c r="T107" s="4" t="s">
        <v>43</v>
      </c>
      <c r="U107" s="4" t="s">
        <v>43</v>
      </c>
      <c r="AD107" s="91">
        <f t="shared" si="2"/>
        <v>0</v>
      </c>
      <c r="AE107" s="48" t="e">
        <f>VLOOKUP(C107,#REF!,1,0)</f>
        <v>#REF!</v>
      </c>
    </row>
    <row r="108" spans="3:31" hidden="1" x14ac:dyDescent="0.25">
      <c r="C108" s="87" t="s">
        <v>321</v>
      </c>
      <c r="D108" s="4" t="s">
        <v>322</v>
      </c>
      <c r="E108" s="4" t="s">
        <v>322</v>
      </c>
      <c r="F108" s="4" t="s">
        <v>36</v>
      </c>
      <c r="G108" s="4" t="s">
        <v>37</v>
      </c>
      <c r="H108" s="4" t="s">
        <v>81</v>
      </c>
      <c r="I108" s="4"/>
      <c r="J108" s="4" t="s">
        <v>50</v>
      </c>
      <c r="K108" s="4"/>
      <c r="L108" s="4" t="s">
        <v>51</v>
      </c>
      <c r="M108" s="4" t="s">
        <v>40</v>
      </c>
      <c r="N108" s="4" t="s">
        <v>41</v>
      </c>
      <c r="O108" s="4" t="s">
        <v>321</v>
      </c>
      <c r="P108" s="4" t="s">
        <v>42</v>
      </c>
      <c r="Q108" s="50" t="s">
        <v>43</v>
      </c>
      <c r="R108" s="50"/>
      <c r="S108" s="50">
        <v>0</v>
      </c>
      <c r="T108" s="4" t="s">
        <v>43</v>
      </c>
      <c r="U108" s="4" t="s">
        <v>43</v>
      </c>
      <c r="AD108" s="91">
        <f t="shared" si="2"/>
        <v>0</v>
      </c>
      <c r="AE108" s="48" t="e">
        <f>VLOOKUP(C108,#REF!,1,0)</f>
        <v>#REF!</v>
      </c>
    </row>
    <row r="109" spans="3:31" hidden="1" x14ac:dyDescent="0.25">
      <c r="C109" s="87" t="s">
        <v>323</v>
      </c>
      <c r="D109" s="4" t="s">
        <v>324</v>
      </c>
      <c r="E109" s="4" t="s">
        <v>324</v>
      </c>
      <c r="F109" s="4" t="s">
        <v>36</v>
      </c>
      <c r="G109" s="4" t="s">
        <v>37</v>
      </c>
      <c r="H109" s="4" t="s">
        <v>46</v>
      </c>
      <c r="I109" s="4"/>
      <c r="J109" s="4" t="s">
        <v>58</v>
      </c>
      <c r="K109" s="4"/>
      <c r="L109" s="4" t="s">
        <v>138</v>
      </c>
      <c r="M109" s="4" t="s">
        <v>40</v>
      </c>
      <c r="N109" s="4" t="s">
        <v>41</v>
      </c>
      <c r="O109" s="4" t="s">
        <v>323</v>
      </c>
      <c r="P109" s="4" t="s">
        <v>42</v>
      </c>
      <c r="Q109" s="50" t="s">
        <v>43</v>
      </c>
      <c r="R109" s="50"/>
      <c r="S109" s="50">
        <v>0</v>
      </c>
      <c r="T109" s="4" t="s">
        <v>43</v>
      </c>
      <c r="U109" s="4" t="s">
        <v>43</v>
      </c>
      <c r="AD109" s="91">
        <f t="shared" si="2"/>
        <v>0</v>
      </c>
      <c r="AE109" s="48" t="e">
        <f>VLOOKUP(C109,#REF!,1,0)</f>
        <v>#REF!</v>
      </c>
    </row>
    <row r="110" spans="3:31" hidden="1" x14ac:dyDescent="0.25">
      <c r="C110" s="87" t="s">
        <v>325</v>
      </c>
      <c r="D110" s="4" t="s">
        <v>326</v>
      </c>
      <c r="E110" s="4" t="s">
        <v>326</v>
      </c>
      <c r="F110" s="4" t="s">
        <v>36</v>
      </c>
      <c r="G110" s="4" t="s">
        <v>37</v>
      </c>
      <c r="H110" s="4" t="s">
        <v>46</v>
      </c>
      <c r="I110" s="4"/>
      <c r="J110" s="4" t="s">
        <v>67</v>
      </c>
      <c r="K110" s="4"/>
      <c r="L110" s="4" t="s">
        <v>59</v>
      </c>
      <c r="M110" s="4" t="s">
        <v>40</v>
      </c>
      <c r="N110" s="4" t="s">
        <v>41</v>
      </c>
      <c r="O110" s="4" t="s">
        <v>325</v>
      </c>
      <c r="P110" s="4" t="s">
        <v>42</v>
      </c>
      <c r="Q110" s="50" t="s">
        <v>43</v>
      </c>
      <c r="R110" s="50"/>
      <c r="S110" s="50">
        <v>0</v>
      </c>
      <c r="T110" s="4" t="s">
        <v>43</v>
      </c>
      <c r="U110" s="4" t="s">
        <v>43</v>
      </c>
      <c r="AD110" s="91">
        <f t="shared" si="2"/>
        <v>0</v>
      </c>
      <c r="AE110" s="48" t="e">
        <f>VLOOKUP(C110,#REF!,1,0)</f>
        <v>#REF!</v>
      </c>
    </row>
    <row r="111" spans="3:31" hidden="1" x14ac:dyDescent="0.25">
      <c r="C111" s="87" t="s">
        <v>327</v>
      </c>
      <c r="D111" s="4" t="s">
        <v>328</v>
      </c>
      <c r="E111" s="4" t="s">
        <v>328</v>
      </c>
      <c r="F111" s="4" t="s">
        <v>36</v>
      </c>
      <c r="G111" s="4" t="s">
        <v>37</v>
      </c>
      <c r="H111" s="4" t="s">
        <v>81</v>
      </c>
      <c r="I111" s="4"/>
      <c r="J111" s="4" t="s">
        <v>63</v>
      </c>
      <c r="K111" s="4"/>
      <c r="L111" s="4" t="s">
        <v>138</v>
      </c>
      <c r="M111" s="4" t="s">
        <v>40</v>
      </c>
      <c r="N111" s="4" t="s">
        <v>41</v>
      </c>
      <c r="O111" s="4" t="s">
        <v>327</v>
      </c>
      <c r="P111" s="4" t="s">
        <v>42</v>
      </c>
      <c r="Q111" s="50" t="s">
        <v>43</v>
      </c>
      <c r="R111" s="50"/>
      <c r="S111" s="50">
        <v>0</v>
      </c>
      <c r="T111" s="4" t="s">
        <v>43</v>
      </c>
      <c r="U111" s="4" t="s">
        <v>43</v>
      </c>
      <c r="AD111" s="91">
        <f t="shared" si="2"/>
        <v>0</v>
      </c>
      <c r="AE111" s="48" t="e">
        <f>VLOOKUP(C111,#REF!,1,0)</f>
        <v>#REF!</v>
      </c>
    </row>
    <row r="112" spans="3:31" hidden="1" x14ac:dyDescent="0.25">
      <c r="C112" s="87" t="s">
        <v>329</v>
      </c>
      <c r="D112" s="4" t="s">
        <v>330</v>
      </c>
      <c r="E112" s="4" t="s">
        <v>330</v>
      </c>
      <c r="F112" s="4" t="s">
        <v>36</v>
      </c>
      <c r="G112" s="4" t="s">
        <v>37</v>
      </c>
      <c r="H112" s="4" t="s">
        <v>46</v>
      </c>
      <c r="I112" s="4"/>
      <c r="J112" s="4" t="s">
        <v>331</v>
      </c>
      <c r="K112" s="4"/>
      <c r="L112" s="4" t="s">
        <v>138</v>
      </c>
      <c r="M112" s="4" t="s">
        <v>40</v>
      </c>
      <c r="N112" s="4" t="s">
        <v>41</v>
      </c>
      <c r="O112" s="4" t="s">
        <v>329</v>
      </c>
      <c r="P112" s="4" t="s">
        <v>42</v>
      </c>
      <c r="Q112" s="50" t="s">
        <v>43</v>
      </c>
      <c r="R112" s="50"/>
      <c r="S112" s="50">
        <v>0</v>
      </c>
      <c r="T112" s="4" t="s">
        <v>43</v>
      </c>
      <c r="U112" s="4" t="s">
        <v>43</v>
      </c>
      <c r="AD112" s="91">
        <f t="shared" si="2"/>
        <v>0</v>
      </c>
      <c r="AE112" s="48" t="e">
        <f>VLOOKUP(C112,#REF!,1,0)</f>
        <v>#REF!</v>
      </c>
    </row>
    <row r="113" spans="3:31" hidden="1" x14ac:dyDescent="0.25">
      <c r="C113" s="87" t="s">
        <v>332</v>
      </c>
      <c r="D113" s="4" t="s">
        <v>333</v>
      </c>
      <c r="E113" s="4" t="s">
        <v>333</v>
      </c>
      <c r="F113" s="4" t="s">
        <v>36</v>
      </c>
      <c r="G113" s="4" t="s">
        <v>37</v>
      </c>
      <c r="H113" s="4" t="s">
        <v>81</v>
      </c>
      <c r="I113" s="4"/>
      <c r="J113" s="4">
        <v>0</v>
      </c>
      <c r="K113" s="4"/>
      <c r="L113" s="4" t="s">
        <v>59</v>
      </c>
      <c r="M113" s="4" t="s">
        <v>40</v>
      </c>
      <c r="N113" s="4" t="s">
        <v>41</v>
      </c>
      <c r="O113" s="4" t="s">
        <v>332</v>
      </c>
      <c r="P113" s="4" t="s">
        <v>42</v>
      </c>
      <c r="Q113" s="50" t="s">
        <v>43</v>
      </c>
      <c r="R113" s="50"/>
      <c r="S113" s="50">
        <v>0</v>
      </c>
      <c r="T113" s="4" t="s">
        <v>43</v>
      </c>
      <c r="U113" s="4" t="s">
        <v>43</v>
      </c>
      <c r="AD113" s="91">
        <f t="shared" si="2"/>
        <v>0</v>
      </c>
      <c r="AE113" s="48" t="e">
        <f>VLOOKUP(C113,#REF!,1,0)</f>
        <v>#REF!</v>
      </c>
    </row>
    <row r="114" spans="3:31" hidden="1" x14ac:dyDescent="0.25">
      <c r="C114" s="87" t="s">
        <v>334</v>
      </c>
      <c r="D114" s="4" t="s">
        <v>335</v>
      </c>
      <c r="E114" s="4" t="s">
        <v>336</v>
      </c>
      <c r="F114" s="4" t="s">
        <v>36</v>
      </c>
      <c r="G114" s="4" t="s">
        <v>37</v>
      </c>
      <c r="H114" s="4" t="s">
        <v>46</v>
      </c>
      <c r="I114" s="4"/>
      <c r="J114" s="4">
        <v>0</v>
      </c>
      <c r="K114" s="4"/>
      <c r="L114" s="4" t="s">
        <v>47</v>
      </c>
      <c r="M114" s="4" t="s">
        <v>40</v>
      </c>
      <c r="N114" s="4" t="s">
        <v>41</v>
      </c>
      <c r="O114" s="4" t="s">
        <v>334</v>
      </c>
      <c r="P114" s="4" t="s">
        <v>42</v>
      </c>
      <c r="Q114" s="50" t="s">
        <v>43</v>
      </c>
      <c r="R114" s="50"/>
      <c r="S114" s="50">
        <v>0</v>
      </c>
      <c r="T114" s="4" t="s">
        <v>43</v>
      </c>
      <c r="U114" s="4" t="s">
        <v>43</v>
      </c>
      <c r="AD114" s="91">
        <f t="shared" si="2"/>
        <v>0</v>
      </c>
      <c r="AE114" s="48" t="e">
        <f>VLOOKUP(C114,#REF!,1,0)</f>
        <v>#REF!</v>
      </c>
    </row>
    <row r="115" spans="3:31" hidden="1" x14ac:dyDescent="0.25">
      <c r="C115" s="87" t="s">
        <v>337</v>
      </c>
      <c r="D115" s="4" t="s">
        <v>338</v>
      </c>
      <c r="E115" s="4" t="s">
        <v>338</v>
      </c>
      <c r="F115" s="4" t="s">
        <v>36</v>
      </c>
      <c r="G115" s="4" t="s">
        <v>37</v>
      </c>
      <c r="H115" s="4" t="s">
        <v>81</v>
      </c>
      <c r="I115" s="4"/>
      <c r="J115" s="4" t="s">
        <v>89</v>
      </c>
      <c r="K115" s="4"/>
      <c r="L115" s="4" t="s">
        <v>109</v>
      </c>
      <c r="M115" s="4" t="s">
        <v>91</v>
      </c>
      <c r="N115" s="4" t="s">
        <v>41</v>
      </c>
      <c r="O115" s="4" t="s">
        <v>337</v>
      </c>
      <c r="P115" s="4" t="s">
        <v>42</v>
      </c>
      <c r="Q115" s="50" t="s">
        <v>43</v>
      </c>
      <c r="R115" s="50"/>
      <c r="S115" s="50">
        <v>0</v>
      </c>
      <c r="T115" s="4" t="s">
        <v>43</v>
      </c>
      <c r="U115" s="4" t="s">
        <v>43</v>
      </c>
      <c r="AD115" s="91">
        <f t="shared" si="2"/>
        <v>0</v>
      </c>
      <c r="AE115" s="48" t="e">
        <f>VLOOKUP(C115,#REF!,1,0)</f>
        <v>#REF!</v>
      </c>
    </row>
    <row r="116" spans="3:31" hidden="1" x14ac:dyDescent="0.25">
      <c r="C116" s="87" t="s">
        <v>339</v>
      </c>
      <c r="D116" s="4" t="s">
        <v>340</v>
      </c>
      <c r="E116" s="4" t="s">
        <v>341</v>
      </c>
      <c r="F116" s="4" t="s">
        <v>36</v>
      </c>
      <c r="G116" s="4" t="s">
        <v>37</v>
      </c>
      <c r="H116" s="4" t="s">
        <v>46</v>
      </c>
      <c r="I116" s="4"/>
      <c r="J116" s="4">
        <v>0</v>
      </c>
      <c r="K116" s="4"/>
      <c r="L116" s="4" t="s">
        <v>47</v>
      </c>
      <c r="M116" s="4" t="s">
        <v>40</v>
      </c>
      <c r="N116" s="4" t="s">
        <v>41</v>
      </c>
      <c r="O116" s="4" t="s">
        <v>339</v>
      </c>
      <c r="P116" s="4" t="s">
        <v>42</v>
      </c>
      <c r="Q116" s="50" t="s">
        <v>43</v>
      </c>
      <c r="R116" s="50"/>
      <c r="S116" s="50">
        <v>0</v>
      </c>
      <c r="T116" s="4" t="s">
        <v>43</v>
      </c>
      <c r="U116" s="4" t="s">
        <v>43</v>
      </c>
      <c r="AD116" s="91">
        <f t="shared" si="2"/>
        <v>0</v>
      </c>
      <c r="AE116" s="48" t="e">
        <f>VLOOKUP(C116,#REF!,1,0)</f>
        <v>#REF!</v>
      </c>
    </row>
    <row r="117" spans="3:31" hidden="1" x14ac:dyDescent="0.25">
      <c r="C117" s="87" t="s">
        <v>342</v>
      </c>
      <c r="D117" s="4" t="s">
        <v>343</v>
      </c>
      <c r="E117" s="4" t="s">
        <v>343</v>
      </c>
      <c r="F117" s="4" t="s">
        <v>36</v>
      </c>
      <c r="G117" s="4" t="s">
        <v>37</v>
      </c>
      <c r="H117" s="4" t="s">
        <v>81</v>
      </c>
      <c r="I117" s="4"/>
      <c r="J117" s="4" t="s">
        <v>132</v>
      </c>
      <c r="K117" s="4"/>
      <c r="L117" s="4" t="s">
        <v>51</v>
      </c>
      <c r="M117" s="4" t="s">
        <v>40</v>
      </c>
      <c r="N117" s="4" t="s">
        <v>41</v>
      </c>
      <c r="O117" s="4" t="s">
        <v>342</v>
      </c>
      <c r="P117" s="4" t="s">
        <v>42</v>
      </c>
      <c r="Q117" s="50" t="s">
        <v>43</v>
      </c>
      <c r="R117" s="50"/>
      <c r="S117" s="50">
        <v>0</v>
      </c>
      <c r="T117" s="4" t="s">
        <v>43</v>
      </c>
      <c r="U117" s="4" t="s">
        <v>43</v>
      </c>
      <c r="AD117" s="91">
        <f t="shared" si="2"/>
        <v>0</v>
      </c>
      <c r="AE117" s="48" t="e">
        <f>VLOOKUP(C117,#REF!,1,0)</f>
        <v>#REF!</v>
      </c>
    </row>
    <row r="118" spans="3:31" hidden="1" x14ac:dyDescent="0.25">
      <c r="C118" s="87" t="s">
        <v>344</v>
      </c>
      <c r="D118" s="4" t="s">
        <v>345</v>
      </c>
      <c r="E118" s="4" t="s">
        <v>345</v>
      </c>
      <c r="F118" s="4" t="s">
        <v>36</v>
      </c>
      <c r="G118" s="4" t="s">
        <v>37</v>
      </c>
      <c r="H118" s="4" t="s">
        <v>88</v>
      </c>
      <c r="I118" s="4"/>
      <c r="J118" s="4">
        <v>0</v>
      </c>
      <c r="K118" s="4"/>
      <c r="L118" s="4" t="s">
        <v>346</v>
      </c>
      <c r="M118" s="4" t="s">
        <v>40</v>
      </c>
      <c r="N118" s="4" t="s">
        <v>41</v>
      </c>
      <c r="O118" s="4" t="s">
        <v>344</v>
      </c>
      <c r="P118" s="4" t="s">
        <v>42</v>
      </c>
      <c r="Q118" s="50" t="s">
        <v>43</v>
      </c>
      <c r="R118" s="50"/>
      <c r="S118" s="50">
        <v>0</v>
      </c>
      <c r="T118" s="4" t="s">
        <v>43</v>
      </c>
      <c r="U118" s="4" t="s">
        <v>43</v>
      </c>
      <c r="AD118" s="91">
        <f t="shared" si="2"/>
        <v>0</v>
      </c>
      <c r="AE118" s="48" t="e">
        <f>VLOOKUP(C118,#REF!,1,0)</f>
        <v>#REF!</v>
      </c>
    </row>
    <row r="119" spans="3:31" hidden="1" x14ac:dyDescent="0.25">
      <c r="C119" s="87" t="s">
        <v>347</v>
      </c>
      <c r="D119" s="4" t="s">
        <v>348</v>
      </c>
      <c r="E119" s="4" t="s">
        <v>348</v>
      </c>
      <c r="F119" s="4" t="s">
        <v>36</v>
      </c>
      <c r="G119" s="4" t="s">
        <v>37</v>
      </c>
      <c r="H119" s="4" t="s">
        <v>81</v>
      </c>
      <c r="I119" s="4"/>
      <c r="J119" s="4" t="s">
        <v>58</v>
      </c>
      <c r="K119" s="4"/>
      <c r="L119" s="4" t="s">
        <v>59</v>
      </c>
      <c r="M119" s="4" t="s">
        <v>40</v>
      </c>
      <c r="N119" s="4" t="s">
        <v>41</v>
      </c>
      <c r="O119" s="4" t="s">
        <v>347</v>
      </c>
      <c r="P119" s="4" t="s">
        <v>42</v>
      </c>
      <c r="Q119" s="50" t="s">
        <v>43</v>
      </c>
      <c r="R119" s="50"/>
      <c r="S119" s="50">
        <v>0</v>
      </c>
      <c r="T119" s="4" t="s">
        <v>43</v>
      </c>
      <c r="U119" s="4" t="s">
        <v>43</v>
      </c>
      <c r="AD119" s="91">
        <f t="shared" si="2"/>
        <v>0</v>
      </c>
      <c r="AE119" s="48" t="e">
        <f>VLOOKUP(C119,#REF!,1,0)</f>
        <v>#REF!</v>
      </c>
    </row>
    <row r="120" spans="3:31" hidden="1" x14ac:dyDescent="0.25">
      <c r="C120" s="87" t="s">
        <v>349</v>
      </c>
      <c r="D120" s="4" t="s">
        <v>350</v>
      </c>
      <c r="E120" s="4" t="s">
        <v>350</v>
      </c>
      <c r="F120" s="4" t="s">
        <v>36</v>
      </c>
      <c r="G120" s="4" t="s">
        <v>37</v>
      </c>
      <c r="H120" s="4" t="s">
        <v>46</v>
      </c>
      <c r="I120" s="4"/>
      <c r="J120" s="4">
        <v>0</v>
      </c>
      <c r="K120" s="4"/>
      <c r="L120" s="4" t="s">
        <v>138</v>
      </c>
      <c r="M120" s="4" t="s">
        <v>40</v>
      </c>
      <c r="N120" s="4" t="s">
        <v>41</v>
      </c>
      <c r="O120" s="4" t="s">
        <v>349</v>
      </c>
      <c r="P120" s="4" t="s">
        <v>42</v>
      </c>
      <c r="Q120" s="50" t="s">
        <v>43</v>
      </c>
      <c r="R120" s="50"/>
      <c r="S120" s="50">
        <v>0</v>
      </c>
      <c r="T120" s="4" t="s">
        <v>43</v>
      </c>
      <c r="U120" s="4" t="s">
        <v>43</v>
      </c>
      <c r="AD120" s="91">
        <f t="shared" si="2"/>
        <v>0</v>
      </c>
      <c r="AE120" s="48" t="e">
        <f>VLOOKUP(C120,#REF!,1,0)</f>
        <v>#REF!</v>
      </c>
    </row>
    <row r="121" spans="3:31" hidden="1" x14ac:dyDescent="0.25">
      <c r="C121" s="87" t="s">
        <v>351</v>
      </c>
      <c r="D121" s="4" t="s">
        <v>352</v>
      </c>
      <c r="E121" s="4" t="s">
        <v>352</v>
      </c>
      <c r="F121" s="4" t="s">
        <v>36</v>
      </c>
      <c r="G121" s="4" t="s">
        <v>37</v>
      </c>
      <c r="H121" s="4" t="s">
        <v>46</v>
      </c>
      <c r="I121" s="4"/>
      <c r="J121" s="4" t="s">
        <v>331</v>
      </c>
      <c r="K121" s="4"/>
      <c r="L121" s="4" t="s">
        <v>353</v>
      </c>
      <c r="M121" s="4" t="s">
        <v>40</v>
      </c>
      <c r="N121" s="4" t="s">
        <v>41</v>
      </c>
      <c r="O121" s="4" t="s">
        <v>351</v>
      </c>
      <c r="P121" s="4" t="s">
        <v>42</v>
      </c>
      <c r="Q121" s="50" t="s">
        <v>43</v>
      </c>
      <c r="R121" s="50"/>
      <c r="S121" s="50">
        <v>0</v>
      </c>
      <c r="T121" s="4" t="s">
        <v>43</v>
      </c>
      <c r="U121" s="4" t="s">
        <v>43</v>
      </c>
      <c r="AD121" s="91">
        <f t="shared" si="2"/>
        <v>0</v>
      </c>
      <c r="AE121" s="48" t="e">
        <f>VLOOKUP(C121,#REF!,1,0)</f>
        <v>#REF!</v>
      </c>
    </row>
    <row r="122" spans="3:31" hidden="1" x14ac:dyDescent="0.25">
      <c r="C122" s="87" t="s">
        <v>354</v>
      </c>
      <c r="D122" s="4" t="s">
        <v>355</v>
      </c>
      <c r="E122" s="4" t="s">
        <v>355</v>
      </c>
      <c r="F122" s="4" t="s">
        <v>36</v>
      </c>
      <c r="G122" s="4" t="s">
        <v>37</v>
      </c>
      <c r="H122" s="4" t="s">
        <v>46</v>
      </c>
      <c r="I122" s="4"/>
      <c r="J122" s="4" t="s">
        <v>67</v>
      </c>
      <c r="K122" s="4"/>
      <c r="L122" s="4" t="s">
        <v>59</v>
      </c>
      <c r="M122" s="4" t="s">
        <v>40</v>
      </c>
      <c r="N122" s="4" t="s">
        <v>41</v>
      </c>
      <c r="O122" s="4" t="s">
        <v>354</v>
      </c>
      <c r="P122" s="4" t="s">
        <v>42</v>
      </c>
      <c r="Q122" s="50" t="s">
        <v>43</v>
      </c>
      <c r="R122" s="50"/>
      <c r="S122" s="50">
        <v>0</v>
      </c>
      <c r="T122" s="4" t="s">
        <v>43</v>
      </c>
      <c r="U122" s="4" t="s">
        <v>43</v>
      </c>
      <c r="AD122" s="91">
        <f t="shared" si="2"/>
        <v>0</v>
      </c>
      <c r="AE122" s="48" t="e">
        <f>VLOOKUP(C122,#REF!,1,0)</f>
        <v>#REF!</v>
      </c>
    </row>
    <row r="123" spans="3:31" hidden="1" x14ac:dyDescent="0.25">
      <c r="C123" s="87" t="s">
        <v>356</v>
      </c>
      <c r="D123" s="4" t="s">
        <v>357</v>
      </c>
      <c r="E123" s="4" t="s">
        <v>357</v>
      </c>
      <c r="F123" s="4" t="s">
        <v>36</v>
      </c>
      <c r="G123" s="4" t="s">
        <v>37</v>
      </c>
      <c r="H123" s="4" t="s">
        <v>81</v>
      </c>
      <c r="I123" s="4"/>
      <c r="J123" s="4" t="s">
        <v>89</v>
      </c>
      <c r="K123" s="4"/>
      <c r="L123" s="4" t="s">
        <v>109</v>
      </c>
      <c r="M123" s="4" t="s">
        <v>91</v>
      </c>
      <c r="N123" s="4" t="s">
        <v>41</v>
      </c>
      <c r="O123" s="4" t="s">
        <v>356</v>
      </c>
      <c r="P123" s="4" t="s">
        <v>42</v>
      </c>
      <c r="Q123" s="50" t="s">
        <v>43</v>
      </c>
      <c r="R123" s="50"/>
      <c r="S123" s="50">
        <v>0</v>
      </c>
      <c r="T123" s="4" t="s">
        <v>43</v>
      </c>
      <c r="U123" s="4" t="s">
        <v>43</v>
      </c>
      <c r="AD123" s="91">
        <f t="shared" si="2"/>
        <v>0</v>
      </c>
      <c r="AE123" s="48" t="e">
        <f>VLOOKUP(C123,#REF!,1,0)</f>
        <v>#REF!</v>
      </c>
    </row>
    <row r="124" spans="3:31" hidden="1" x14ac:dyDescent="0.25">
      <c r="C124" s="87" t="s">
        <v>358</v>
      </c>
      <c r="D124" s="4" t="s">
        <v>359</v>
      </c>
      <c r="E124" s="4" t="s">
        <v>359</v>
      </c>
      <c r="F124" s="4" t="s">
        <v>36</v>
      </c>
      <c r="G124" s="4" t="s">
        <v>37</v>
      </c>
      <c r="H124" s="4" t="s">
        <v>81</v>
      </c>
      <c r="I124" s="4"/>
      <c r="J124" s="4" t="s">
        <v>248</v>
      </c>
      <c r="K124" s="4"/>
      <c r="L124" s="4" t="s">
        <v>138</v>
      </c>
      <c r="M124" s="4" t="s">
        <v>40</v>
      </c>
      <c r="N124" s="4" t="s">
        <v>41</v>
      </c>
      <c r="O124" s="4" t="s">
        <v>358</v>
      </c>
      <c r="P124" s="4" t="s">
        <v>42</v>
      </c>
      <c r="Q124" s="50" t="s">
        <v>43</v>
      </c>
      <c r="R124" s="50"/>
      <c r="S124" s="50">
        <v>0</v>
      </c>
      <c r="T124" s="4" t="s">
        <v>43</v>
      </c>
      <c r="U124" s="4" t="s">
        <v>43</v>
      </c>
      <c r="AD124" s="91">
        <f t="shared" si="2"/>
        <v>0</v>
      </c>
      <c r="AE124" s="48" t="e">
        <f>VLOOKUP(C124,#REF!,1,0)</f>
        <v>#REF!</v>
      </c>
    </row>
    <row r="125" spans="3:31" hidden="1" x14ac:dyDescent="0.25">
      <c r="C125" s="87" t="s">
        <v>360</v>
      </c>
      <c r="D125" s="4" t="s">
        <v>361</v>
      </c>
      <c r="E125" s="4" t="s">
        <v>361</v>
      </c>
      <c r="F125" s="4" t="s">
        <v>36</v>
      </c>
      <c r="G125" s="4" t="s">
        <v>37</v>
      </c>
      <c r="H125" s="4" t="s">
        <v>46</v>
      </c>
      <c r="I125" s="4"/>
      <c r="J125" s="4" t="s">
        <v>67</v>
      </c>
      <c r="K125" s="4"/>
      <c r="L125" s="4" t="s">
        <v>59</v>
      </c>
      <c r="M125" s="4" t="s">
        <v>40</v>
      </c>
      <c r="N125" s="4" t="s">
        <v>41</v>
      </c>
      <c r="O125" s="4" t="s">
        <v>360</v>
      </c>
      <c r="P125" s="4" t="s">
        <v>42</v>
      </c>
      <c r="Q125" s="50" t="s">
        <v>43</v>
      </c>
      <c r="R125" s="50"/>
      <c r="S125" s="50">
        <v>0</v>
      </c>
      <c r="T125" s="4" t="s">
        <v>43</v>
      </c>
      <c r="U125" s="4" t="s">
        <v>43</v>
      </c>
      <c r="AD125" s="91">
        <f t="shared" si="2"/>
        <v>0</v>
      </c>
      <c r="AE125" s="48" t="e">
        <f>VLOOKUP(C125,#REF!,1,0)</f>
        <v>#REF!</v>
      </c>
    </row>
    <row r="126" spans="3:31" hidden="1" x14ac:dyDescent="0.25">
      <c r="C126" s="87" t="s">
        <v>362</v>
      </c>
      <c r="D126" s="4" t="s">
        <v>363</v>
      </c>
      <c r="E126" s="4" t="s">
        <v>363</v>
      </c>
      <c r="F126" s="4" t="s">
        <v>36</v>
      </c>
      <c r="G126" s="4" t="s">
        <v>37</v>
      </c>
      <c r="H126" s="4" t="s">
        <v>81</v>
      </c>
      <c r="I126" s="4"/>
      <c r="J126" s="4" t="s">
        <v>73</v>
      </c>
      <c r="K126" s="4"/>
      <c r="L126" s="4" t="s">
        <v>364</v>
      </c>
      <c r="M126" s="4" t="s">
        <v>40</v>
      </c>
      <c r="N126" s="4" t="s">
        <v>41</v>
      </c>
      <c r="O126" s="4" t="s">
        <v>362</v>
      </c>
      <c r="P126" s="4" t="s">
        <v>42</v>
      </c>
      <c r="Q126" s="50" t="s">
        <v>43</v>
      </c>
      <c r="R126" s="50"/>
      <c r="S126" s="50">
        <v>0</v>
      </c>
      <c r="T126" s="4" t="s">
        <v>43</v>
      </c>
      <c r="U126" s="4" t="s">
        <v>43</v>
      </c>
      <c r="AD126" s="91">
        <f t="shared" si="2"/>
        <v>0</v>
      </c>
      <c r="AE126" s="48" t="e">
        <f>VLOOKUP(C126,#REF!,1,0)</f>
        <v>#REF!</v>
      </c>
    </row>
    <row r="127" spans="3:31" hidden="1" x14ac:dyDescent="0.25">
      <c r="C127" s="87" t="s">
        <v>365</v>
      </c>
      <c r="D127" s="4" t="s">
        <v>366</v>
      </c>
      <c r="E127" s="4" t="s">
        <v>367</v>
      </c>
      <c r="F127" s="4" t="s">
        <v>36</v>
      </c>
      <c r="G127" s="4" t="s">
        <v>37</v>
      </c>
      <c r="H127" s="4" t="s">
        <v>81</v>
      </c>
      <c r="I127" s="4"/>
      <c r="J127" s="4" t="s">
        <v>146</v>
      </c>
      <c r="K127" s="4"/>
      <c r="L127" s="4" t="s">
        <v>59</v>
      </c>
      <c r="M127" s="4" t="s">
        <v>40</v>
      </c>
      <c r="N127" s="4" t="s">
        <v>41</v>
      </c>
      <c r="O127" s="4" t="s">
        <v>365</v>
      </c>
      <c r="P127" s="4" t="s">
        <v>42</v>
      </c>
      <c r="Q127" s="50" t="s">
        <v>43</v>
      </c>
      <c r="R127" s="50"/>
      <c r="S127" s="50">
        <v>0</v>
      </c>
      <c r="T127" s="4" t="s">
        <v>43</v>
      </c>
      <c r="U127" s="4" t="s">
        <v>43</v>
      </c>
      <c r="AD127" s="91">
        <f t="shared" si="2"/>
        <v>0</v>
      </c>
      <c r="AE127" s="48" t="e">
        <f>VLOOKUP(C127,#REF!,1,0)</f>
        <v>#REF!</v>
      </c>
    </row>
    <row r="128" spans="3:31" hidden="1" x14ac:dyDescent="0.25">
      <c r="C128" s="87" t="s">
        <v>368</v>
      </c>
      <c r="D128" s="4" t="s">
        <v>369</v>
      </c>
      <c r="E128" s="4" t="s">
        <v>370</v>
      </c>
      <c r="F128" s="4" t="s">
        <v>36</v>
      </c>
      <c r="G128" s="4" t="s">
        <v>37</v>
      </c>
      <c r="H128" s="4" t="s">
        <v>88</v>
      </c>
      <c r="I128" s="4"/>
      <c r="J128" s="4" t="s">
        <v>160</v>
      </c>
      <c r="K128" s="4"/>
      <c r="L128" s="4" t="s">
        <v>371</v>
      </c>
      <c r="M128" s="4" t="s">
        <v>40</v>
      </c>
      <c r="N128" s="4" t="s">
        <v>41</v>
      </c>
      <c r="O128" s="4" t="s">
        <v>368</v>
      </c>
      <c r="P128" s="4" t="s">
        <v>42</v>
      </c>
      <c r="Q128" s="50" t="s">
        <v>43</v>
      </c>
      <c r="R128" s="50"/>
      <c r="S128" s="50">
        <v>0</v>
      </c>
      <c r="T128" s="4" t="s">
        <v>43</v>
      </c>
      <c r="U128" s="4" t="s">
        <v>43</v>
      </c>
      <c r="AD128" s="91">
        <f t="shared" si="2"/>
        <v>0</v>
      </c>
      <c r="AE128" s="48" t="e">
        <f>VLOOKUP(C128,#REF!,1,0)</f>
        <v>#REF!</v>
      </c>
    </row>
    <row r="129" spans="3:31" hidden="1" x14ac:dyDescent="0.25">
      <c r="C129" s="87" t="s">
        <v>372</v>
      </c>
      <c r="D129" s="4" t="s">
        <v>372</v>
      </c>
      <c r="E129" s="4" t="s">
        <v>372</v>
      </c>
      <c r="F129" s="4"/>
      <c r="G129" s="4" t="s">
        <v>372</v>
      </c>
      <c r="H129" s="4" t="s">
        <v>372</v>
      </c>
      <c r="I129" s="4"/>
      <c r="J129" s="4" t="s">
        <v>372</v>
      </c>
      <c r="K129" s="4"/>
      <c r="L129" s="4" t="s">
        <v>372</v>
      </c>
      <c r="M129" s="4" t="s">
        <v>372</v>
      </c>
      <c r="N129" s="4" t="s">
        <v>372</v>
      </c>
      <c r="O129" s="4" t="s">
        <v>372</v>
      </c>
      <c r="P129" s="4" t="s">
        <v>372</v>
      </c>
      <c r="Q129" s="4" t="s">
        <v>372</v>
      </c>
      <c r="R129" s="50"/>
      <c r="S129" s="50" t="s">
        <v>372</v>
      </c>
      <c r="T129" s="4" t="s">
        <v>43</v>
      </c>
      <c r="U129" s="4" t="s">
        <v>43</v>
      </c>
      <c r="AD129" s="91">
        <f t="shared" si="2"/>
        <v>0</v>
      </c>
      <c r="AE129" s="48" t="e">
        <f>VLOOKUP(C129,#REF!,1,0)</f>
        <v>#REF!</v>
      </c>
    </row>
    <row r="130" spans="3:31" hidden="1" x14ac:dyDescent="0.25">
      <c r="C130" s="87" t="s">
        <v>373</v>
      </c>
      <c r="D130" s="4" t="s">
        <v>374</v>
      </c>
      <c r="E130" s="4" t="s">
        <v>375</v>
      </c>
      <c r="F130" s="92">
        <v>11.68</v>
      </c>
      <c r="G130" s="4" t="s">
        <v>376</v>
      </c>
      <c r="H130" s="4" t="s">
        <v>46</v>
      </c>
      <c r="I130" s="4" t="s">
        <v>377</v>
      </c>
      <c r="J130" s="4" t="s">
        <v>160</v>
      </c>
      <c r="K130" s="4" t="s">
        <v>43</v>
      </c>
      <c r="L130" s="4" t="s">
        <v>138</v>
      </c>
      <c r="M130" s="4" t="s">
        <v>40</v>
      </c>
      <c r="N130" s="4" t="s">
        <v>378</v>
      </c>
      <c r="O130" s="4" t="s">
        <v>373</v>
      </c>
      <c r="P130" s="4" t="s">
        <v>379</v>
      </c>
      <c r="Q130" s="50" t="s">
        <v>43</v>
      </c>
      <c r="R130" s="50"/>
      <c r="S130" s="50" t="s">
        <v>380</v>
      </c>
      <c r="T130" s="4" t="s">
        <v>43</v>
      </c>
      <c r="U130" s="4" t="s">
        <v>43</v>
      </c>
      <c r="W130" s="48">
        <v>1</v>
      </c>
      <c r="X130" s="48">
        <v>2</v>
      </c>
      <c r="Y130" s="48">
        <v>8</v>
      </c>
      <c r="Z130" s="48">
        <v>1</v>
      </c>
      <c r="AD130" s="91">
        <f t="shared" si="2"/>
        <v>11.681818181818182</v>
      </c>
      <c r="AE130" s="48" t="e">
        <f>VLOOKUP(C130,#REF!,1,0)</f>
        <v>#REF!</v>
      </c>
    </row>
    <row r="131" spans="3:31" hidden="1" x14ac:dyDescent="0.25">
      <c r="C131" s="87" t="s">
        <v>381</v>
      </c>
      <c r="D131" s="4" t="s">
        <v>382</v>
      </c>
      <c r="E131" s="4" t="s">
        <v>382</v>
      </c>
      <c r="F131" s="92">
        <v>8.4499999999999993</v>
      </c>
      <c r="G131" s="4" t="s">
        <v>376</v>
      </c>
      <c r="H131" s="4" t="s">
        <v>46</v>
      </c>
      <c r="I131" s="4" t="s">
        <v>377</v>
      </c>
      <c r="J131" s="4" t="s">
        <v>160</v>
      </c>
      <c r="K131" s="4" t="s">
        <v>43</v>
      </c>
      <c r="L131" s="4" t="s">
        <v>138</v>
      </c>
      <c r="M131" s="4" t="s">
        <v>40</v>
      </c>
      <c r="N131" s="4" t="s">
        <v>378</v>
      </c>
      <c r="O131" s="4" t="s">
        <v>381</v>
      </c>
      <c r="P131" s="4" t="s">
        <v>379</v>
      </c>
      <c r="Q131" s="50" t="s">
        <v>43</v>
      </c>
      <c r="R131" s="50"/>
      <c r="S131" s="50" t="s">
        <v>380</v>
      </c>
      <c r="T131" s="4" t="s">
        <v>43</v>
      </c>
      <c r="U131" s="4" t="s">
        <v>43</v>
      </c>
      <c r="W131" s="48">
        <v>1</v>
      </c>
      <c r="X131" s="48">
        <v>2</v>
      </c>
      <c r="Y131" s="48">
        <v>5</v>
      </c>
      <c r="AB131" s="48">
        <v>1</v>
      </c>
      <c r="AD131" s="91">
        <f t="shared" si="2"/>
        <v>8.454545454545455</v>
      </c>
      <c r="AE131" s="48" t="e">
        <f>VLOOKUP(C131,#REF!,1,0)</f>
        <v>#REF!</v>
      </c>
    </row>
    <row r="132" spans="3:31" hidden="1" x14ac:dyDescent="0.25">
      <c r="C132" s="87" t="s">
        <v>383</v>
      </c>
      <c r="D132" s="4" t="s">
        <v>384</v>
      </c>
      <c r="E132" s="4" t="s">
        <v>384</v>
      </c>
      <c r="F132" s="92">
        <v>8</v>
      </c>
      <c r="G132" s="4" t="s">
        <v>376</v>
      </c>
      <c r="H132" s="4" t="s">
        <v>46</v>
      </c>
      <c r="I132" s="4" t="s">
        <v>377</v>
      </c>
      <c r="J132" s="4" t="s">
        <v>160</v>
      </c>
      <c r="K132" s="4" t="s">
        <v>43</v>
      </c>
      <c r="L132" s="4" t="s">
        <v>138</v>
      </c>
      <c r="M132" s="4" t="s">
        <v>40</v>
      </c>
      <c r="N132" s="4" t="s">
        <v>378</v>
      </c>
      <c r="O132" s="4" t="s">
        <v>383</v>
      </c>
      <c r="P132" s="4" t="s">
        <v>42</v>
      </c>
      <c r="Q132" s="50" t="s">
        <v>43</v>
      </c>
      <c r="R132" s="50"/>
      <c r="S132" s="50" t="s">
        <v>380</v>
      </c>
      <c r="T132" s="4" t="s">
        <v>43</v>
      </c>
      <c r="U132" s="4" t="s">
        <v>43</v>
      </c>
      <c r="W132" s="48">
        <v>1</v>
      </c>
      <c r="X132" s="48">
        <v>1</v>
      </c>
      <c r="Y132" s="48">
        <v>6</v>
      </c>
      <c r="AD132" s="91">
        <f t="shared" si="2"/>
        <v>8</v>
      </c>
      <c r="AE132" s="48" t="e">
        <f>VLOOKUP(C132,#REF!,1,0)</f>
        <v>#REF!</v>
      </c>
    </row>
    <row r="133" spans="3:31" hidden="1" x14ac:dyDescent="0.25">
      <c r="C133" s="87" t="s">
        <v>385</v>
      </c>
      <c r="D133" s="4" t="s">
        <v>386</v>
      </c>
      <c r="E133" s="4" t="s">
        <v>386</v>
      </c>
      <c r="F133" s="92">
        <v>7</v>
      </c>
      <c r="G133" s="4" t="s">
        <v>376</v>
      </c>
      <c r="H133" s="4" t="s">
        <v>46</v>
      </c>
      <c r="I133" s="4" t="s">
        <v>377</v>
      </c>
      <c r="J133" s="4" t="s">
        <v>160</v>
      </c>
      <c r="K133" s="4" t="s">
        <v>43</v>
      </c>
      <c r="L133" s="4" t="s">
        <v>138</v>
      </c>
      <c r="M133" s="4" t="s">
        <v>40</v>
      </c>
      <c r="N133" s="4" t="s">
        <v>378</v>
      </c>
      <c r="O133" s="4" t="s">
        <v>385</v>
      </c>
      <c r="P133" s="4" t="s">
        <v>42</v>
      </c>
      <c r="Q133" s="50" t="s">
        <v>43</v>
      </c>
      <c r="R133" s="50"/>
      <c r="S133" s="50" t="s">
        <v>380</v>
      </c>
      <c r="T133" s="4" t="s">
        <v>43</v>
      </c>
      <c r="U133" s="4" t="s">
        <v>43</v>
      </c>
      <c r="W133" s="48">
        <v>1</v>
      </c>
      <c r="X133" s="48">
        <v>1</v>
      </c>
      <c r="Y133" s="48">
        <v>5</v>
      </c>
      <c r="AD133" s="91">
        <f t="shared" si="2"/>
        <v>7</v>
      </c>
      <c r="AE133" s="48" t="e">
        <f>VLOOKUP(C133,#REF!,1,0)</f>
        <v>#REF!</v>
      </c>
    </row>
    <row r="134" spans="3:31" hidden="1" x14ac:dyDescent="0.25">
      <c r="C134" s="87" t="s">
        <v>387</v>
      </c>
      <c r="D134" s="4" t="s">
        <v>388</v>
      </c>
      <c r="E134" s="4" t="s">
        <v>389</v>
      </c>
      <c r="F134" s="92">
        <v>6.68</v>
      </c>
      <c r="G134" s="4" t="s">
        <v>376</v>
      </c>
      <c r="H134" s="4" t="s">
        <v>46</v>
      </c>
      <c r="I134" s="4" t="s">
        <v>377</v>
      </c>
      <c r="J134" s="4" t="s">
        <v>160</v>
      </c>
      <c r="K134" s="4" t="s">
        <v>43</v>
      </c>
      <c r="L134" s="4" t="s">
        <v>138</v>
      </c>
      <c r="M134" s="4" t="s">
        <v>40</v>
      </c>
      <c r="N134" s="4" t="s">
        <v>378</v>
      </c>
      <c r="O134" s="4" t="s">
        <v>387</v>
      </c>
      <c r="P134" s="4" t="s">
        <v>42</v>
      </c>
      <c r="Q134" s="50" t="s">
        <v>43</v>
      </c>
      <c r="R134" s="50"/>
      <c r="S134" s="50" t="s">
        <v>380</v>
      </c>
      <c r="T134" s="4" t="s">
        <v>43</v>
      </c>
      <c r="U134" s="4" t="s">
        <v>43</v>
      </c>
      <c r="W134" s="48">
        <v>1</v>
      </c>
      <c r="X134" s="48">
        <v>1</v>
      </c>
      <c r="Y134" s="48">
        <v>4</v>
      </c>
      <c r="Z134" s="48">
        <v>1</v>
      </c>
      <c r="AD134" s="91">
        <f t="shared" si="2"/>
        <v>6.6818181818181817</v>
      </c>
      <c r="AE134" s="48" t="e">
        <f>VLOOKUP(C134,#REF!,1,0)</f>
        <v>#REF!</v>
      </c>
    </row>
    <row r="135" spans="3:31" hidden="1" x14ac:dyDescent="0.25">
      <c r="C135" s="87" t="s">
        <v>390</v>
      </c>
      <c r="D135" s="4" t="s">
        <v>391</v>
      </c>
      <c r="E135" s="4" t="s">
        <v>391</v>
      </c>
      <c r="F135" s="92">
        <v>7</v>
      </c>
      <c r="G135" s="4" t="s">
        <v>376</v>
      </c>
      <c r="H135" s="4" t="s">
        <v>46</v>
      </c>
      <c r="I135" s="4" t="s">
        <v>377</v>
      </c>
      <c r="J135" s="4" t="s">
        <v>160</v>
      </c>
      <c r="K135" s="4" t="s">
        <v>43</v>
      </c>
      <c r="L135" s="4" t="s">
        <v>138</v>
      </c>
      <c r="M135" s="4" t="s">
        <v>40</v>
      </c>
      <c r="N135" s="4" t="s">
        <v>378</v>
      </c>
      <c r="O135" s="4" t="s">
        <v>390</v>
      </c>
      <c r="P135" s="4" t="s">
        <v>42</v>
      </c>
      <c r="Q135" s="50" t="s">
        <v>43</v>
      </c>
      <c r="R135" s="50"/>
      <c r="S135" s="50" t="s">
        <v>380</v>
      </c>
      <c r="T135" s="4" t="s">
        <v>43</v>
      </c>
      <c r="U135" s="4" t="s">
        <v>43</v>
      </c>
      <c r="W135" s="48">
        <v>1</v>
      </c>
      <c r="X135" s="48">
        <v>1</v>
      </c>
      <c r="Y135" s="48">
        <v>5</v>
      </c>
      <c r="AD135" s="91">
        <f t="shared" si="2"/>
        <v>7</v>
      </c>
      <c r="AE135" s="48" t="e">
        <f>VLOOKUP(C135,#REF!,1,0)</f>
        <v>#REF!</v>
      </c>
    </row>
    <row r="136" spans="3:31" hidden="1" x14ac:dyDescent="0.25">
      <c r="C136" s="87" t="s">
        <v>392</v>
      </c>
      <c r="D136" s="4" t="s">
        <v>393</v>
      </c>
      <c r="E136" s="4" t="s">
        <v>393</v>
      </c>
      <c r="F136" s="92">
        <v>5</v>
      </c>
      <c r="G136" s="4" t="s">
        <v>376</v>
      </c>
      <c r="H136" s="4" t="s">
        <v>46</v>
      </c>
      <c r="I136" s="4" t="s">
        <v>377</v>
      </c>
      <c r="J136" s="4" t="s">
        <v>160</v>
      </c>
      <c r="K136" s="4" t="s">
        <v>43</v>
      </c>
      <c r="L136" s="4" t="s">
        <v>138</v>
      </c>
      <c r="M136" s="4" t="s">
        <v>40</v>
      </c>
      <c r="N136" s="4" t="s">
        <v>378</v>
      </c>
      <c r="O136" s="4" t="s">
        <v>392</v>
      </c>
      <c r="P136" s="4" t="s">
        <v>42</v>
      </c>
      <c r="Q136" s="50" t="s">
        <v>43</v>
      </c>
      <c r="R136" s="50"/>
      <c r="S136" s="50" t="s">
        <v>380</v>
      </c>
      <c r="T136" s="4" t="s">
        <v>43</v>
      </c>
      <c r="U136" s="4" t="s">
        <v>43</v>
      </c>
      <c r="W136" s="48">
        <v>1</v>
      </c>
      <c r="X136" s="48">
        <v>1</v>
      </c>
      <c r="Y136" s="48">
        <v>3</v>
      </c>
      <c r="AD136" s="91">
        <f t="shared" si="2"/>
        <v>5</v>
      </c>
      <c r="AE136" s="48" t="s">
        <v>1220</v>
      </c>
    </row>
    <row r="137" spans="3:31" hidden="1" x14ac:dyDescent="0.25">
      <c r="C137" s="87" t="s">
        <v>394</v>
      </c>
      <c r="D137" s="4" t="s">
        <v>395</v>
      </c>
      <c r="E137" s="4" t="s">
        <v>395</v>
      </c>
      <c r="F137" s="92">
        <v>6</v>
      </c>
      <c r="G137" s="4" t="s">
        <v>376</v>
      </c>
      <c r="H137" s="4" t="s">
        <v>46</v>
      </c>
      <c r="I137" s="4" t="s">
        <v>377</v>
      </c>
      <c r="J137" s="4" t="s">
        <v>160</v>
      </c>
      <c r="K137" s="4" t="s">
        <v>43</v>
      </c>
      <c r="L137" s="4" t="s">
        <v>138</v>
      </c>
      <c r="M137" s="4" t="s">
        <v>40</v>
      </c>
      <c r="N137" s="4" t="s">
        <v>378</v>
      </c>
      <c r="O137" s="4" t="s">
        <v>394</v>
      </c>
      <c r="P137" s="4" t="s">
        <v>42</v>
      </c>
      <c r="Q137" s="50" t="s">
        <v>43</v>
      </c>
      <c r="R137" s="50"/>
      <c r="S137" s="50" t="s">
        <v>380</v>
      </c>
      <c r="T137" s="4" t="s">
        <v>43</v>
      </c>
      <c r="U137" s="4" t="s">
        <v>43</v>
      </c>
      <c r="W137" s="48">
        <v>1</v>
      </c>
      <c r="X137" s="48">
        <v>1</v>
      </c>
      <c r="Y137" s="48">
        <v>4</v>
      </c>
      <c r="AD137" s="91">
        <f t="shared" ref="AD137:AD200" si="3">SUMPRODUCT($W$6:$AC$6,W137:AC137)</f>
        <v>6</v>
      </c>
      <c r="AE137" s="48" t="e">
        <f>VLOOKUP(C137,#REF!,1,0)</f>
        <v>#REF!</v>
      </c>
    </row>
    <row r="138" spans="3:31" hidden="1" x14ac:dyDescent="0.25">
      <c r="C138" s="87" t="s">
        <v>396</v>
      </c>
      <c r="D138" s="4" t="s">
        <v>397</v>
      </c>
      <c r="E138" s="4" t="s">
        <v>397</v>
      </c>
      <c r="F138" s="92">
        <v>6</v>
      </c>
      <c r="G138" s="4" t="s">
        <v>376</v>
      </c>
      <c r="H138" s="4" t="s">
        <v>46</v>
      </c>
      <c r="I138" s="4" t="s">
        <v>377</v>
      </c>
      <c r="J138" s="4" t="s">
        <v>160</v>
      </c>
      <c r="K138" s="4" t="s">
        <v>43</v>
      </c>
      <c r="L138" s="4" t="s">
        <v>138</v>
      </c>
      <c r="M138" s="4" t="s">
        <v>40</v>
      </c>
      <c r="N138" s="4" t="s">
        <v>378</v>
      </c>
      <c r="O138" s="4" t="s">
        <v>396</v>
      </c>
      <c r="P138" s="4" t="s">
        <v>42</v>
      </c>
      <c r="Q138" s="50" t="s">
        <v>43</v>
      </c>
      <c r="R138" s="50"/>
      <c r="S138" s="50" t="s">
        <v>380</v>
      </c>
      <c r="T138" s="4" t="s">
        <v>43</v>
      </c>
      <c r="U138" s="4" t="s">
        <v>43</v>
      </c>
      <c r="W138" s="48">
        <v>1</v>
      </c>
      <c r="X138" s="48">
        <v>1</v>
      </c>
      <c r="Y138" s="48">
        <v>4</v>
      </c>
      <c r="AD138" s="91">
        <f t="shared" si="3"/>
        <v>6</v>
      </c>
      <c r="AE138" s="48" t="e">
        <f>VLOOKUP(C138,#REF!,1,0)</f>
        <v>#REF!</v>
      </c>
    </row>
    <row r="139" spans="3:31" hidden="1" x14ac:dyDescent="0.25">
      <c r="C139" s="87" t="s">
        <v>398</v>
      </c>
      <c r="D139" s="4" t="s">
        <v>399</v>
      </c>
      <c r="E139" s="4" t="s">
        <v>399</v>
      </c>
      <c r="F139" s="92">
        <v>5</v>
      </c>
      <c r="G139" s="4" t="s">
        <v>376</v>
      </c>
      <c r="H139" s="4" t="s">
        <v>46</v>
      </c>
      <c r="I139" s="4" t="s">
        <v>377</v>
      </c>
      <c r="J139" s="4" t="s">
        <v>160</v>
      </c>
      <c r="K139" s="4" t="s">
        <v>43</v>
      </c>
      <c r="L139" s="4" t="s">
        <v>138</v>
      </c>
      <c r="M139" s="4" t="s">
        <v>40</v>
      </c>
      <c r="N139" s="4" t="s">
        <v>378</v>
      </c>
      <c r="O139" s="4" t="s">
        <v>398</v>
      </c>
      <c r="P139" s="4" t="s">
        <v>42</v>
      </c>
      <c r="Q139" s="50" t="s">
        <v>43</v>
      </c>
      <c r="R139" s="50"/>
      <c r="S139" s="50" t="s">
        <v>380</v>
      </c>
      <c r="T139" s="4" t="s">
        <v>43</v>
      </c>
      <c r="U139" s="4" t="s">
        <v>43</v>
      </c>
      <c r="W139" s="48">
        <v>1</v>
      </c>
      <c r="X139" s="48">
        <v>1</v>
      </c>
      <c r="Y139" s="48">
        <v>3</v>
      </c>
      <c r="AD139" s="91">
        <f t="shared" si="3"/>
        <v>5</v>
      </c>
      <c r="AE139" s="48" t="s">
        <v>1220</v>
      </c>
    </row>
    <row r="140" spans="3:31" hidden="1" x14ac:dyDescent="0.25">
      <c r="C140" s="87" t="s">
        <v>400</v>
      </c>
      <c r="D140" s="4" t="s">
        <v>401</v>
      </c>
      <c r="E140" s="4" t="s">
        <v>401</v>
      </c>
      <c r="F140" s="92">
        <v>5.45</v>
      </c>
      <c r="G140" s="4" t="s">
        <v>376</v>
      </c>
      <c r="H140" s="4" t="s">
        <v>46</v>
      </c>
      <c r="I140" s="4" t="s">
        <v>377</v>
      </c>
      <c r="J140" s="4" t="s">
        <v>160</v>
      </c>
      <c r="K140" s="4" t="s">
        <v>43</v>
      </c>
      <c r="L140" s="4" t="s">
        <v>138</v>
      </c>
      <c r="M140" s="4" t="s">
        <v>40</v>
      </c>
      <c r="N140" s="4" t="s">
        <v>378</v>
      </c>
      <c r="O140" s="4" t="s">
        <v>400</v>
      </c>
      <c r="P140" s="4" t="s">
        <v>42</v>
      </c>
      <c r="Q140" s="50" t="s">
        <v>43</v>
      </c>
      <c r="R140" s="50"/>
      <c r="S140" s="50" t="s">
        <v>380</v>
      </c>
      <c r="T140" s="4" t="s">
        <v>43</v>
      </c>
      <c r="U140" s="4" t="s">
        <v>43</v>
      </c>
      <c r="W140" s="48">
        <v>1</v>
      </c>
      <c r="X140" s="48">
        <v>1</v>
      </c>
      <c r="Y140" s="48">
        <v>3</v>
      </c>
      <c r="AB140" s="48">
        <v>1</v>
      </c>
      <c r="AD140" s="91">
        <f t="shared" si="3"/>
        <v>5.4545454545454541</v>
      </c>
      <c r="AE140" s="48" t="e">
        <f>VLOOKUP(C140,#REF!,1,0)</f>
        <v>#REF!</v>
      </c>
    </row>
    <row r="141" spans="3:31" hidden="1" x14ac:dyDescent="0.25">
      <c r="C141" s="87" t="s">
        <v>402</v>
      </c>
      <c r="D141" s="4" t="s">
        <v>403</v>
      </c>
      <c r="E141" s="4" t="s">
        <v>403</v>
      </c>
      <c r="F141" s="92">
        <v>5.45</v>
      </c>
      <c r="G141" s="4" t="s">
        <v>376</v>
      </c>
      <c r="H141" s="4" t="s">
        <v>46</v>
      </c>
      <c r="I141" s="4" t="s">
        <v>377</v>
      </c>
      <c r="J141" s="4" t="s">
        <v>160</v>
      </c>
      <c r="K141" s="4" t="s">
        <v>43</v>
      </c>
      <c r="L141" s="4" t="s">
        <v>138</v>
      </c>
      <c r="M141" s="4" t="s">
        <v>40</v>
      </c>
      <c r="N141" s="4" t="s">
        <v>378</v>
      </c>
      <c r="O141" s="4" t="s">
        <v>402</v>
      </c>
      <c r="P141" s="4" t="s">
        <v>42</v>
      </c>
      <c r="Q141" s="50" t="s">
        <v>43</v>
      </c>
      <c r="R141" s="50"/>
      <c r="S141" s="50" t="s">
        <v>380</v>
      </c>
      <c r="T141" s="4" t="s">
        <v>43</v>
      </c>
      <c r="U141" s="4" t="s">
        <v>43</v>
      </c>
      <c r="W141" s="48">
        <v>1</v>
      </c>
      <c r="X141" s="48">
        <v>1</v>
      </c>
      <c r="Y141" s="48">
        <v>3</v>
      </c>
      <c r="AB141" s="48">
        <v>1</v>
      </c>
      <c r="AD141" s="91">
        <f t="shared" si="3"/>
        <v>5.4545454545454541</v>
      </c>
      <c r="AE141" s="48" t="e">
        <f>VLOOKUP(C141,#REF!,1,0)</f>
        <v>#REF!</v>
      </c>
    </row>
    <row r="142" spans="3:31" hidden="1" x14ac:dyDescent="0.25">
      <c r="C142" s="87" t="s">
        <v>404</v>
      </c>
      <c r="D142" s="4" t="s">
        <v>405</v>
      </c>
      <c r="E142" s="4" t="s">
        <v>405</v>
      </c>
      <c r="F142" s="92">
        <v>5</v>
      </c>
      <c r="G142" s="4" t="s">
        <v>376</v>
      </c>
      <c r="H142" s="4" t="s">
        <v>46</v>
      </c>
      <c r="I142" s="4" t="s">
        <v>377</v>
      </c>
      <c r="J142" s="4" t="s">
        <v>160</v>
      </c>
      <c r="K142" s="4" t="s">
        <v>43</v>
      </c>
      <c r="L142" s="4" t="s">
        <v>138</v>
      </c>
      <c r="M142" s="4" t="s">
        <v>40</v>
      </c>
      <c r="N142" s="4" t="s">
        <v>378</v>
      </c>
      <c r="O142" s="4" t="s">
        <v>404</v>
      </c>
      <c r="P142" s="4" t="s">
        <v>42</v>
      </c>
      <c r="Q142" s="50" t="s">
        <v>43</v>
      </c>
      <c r="R142" s="50"/>
      <c r="S142" s="50" t="s">
        <v>380</v>
      </c>
      <c r="T142" s="4" t="s">
        <v>43</v>
      </c>
      <c r="U142" s="4" t="s">
        <v>43</v>
      </c>
      <c r="W142" s="48">
        <v>1</v>
      </c>
      <c r="X142" s="48">
        <v>1</v>
      </c>
      <c r="Y142" s="48">
        <v>3</v>
      </c>
      <c r="AD142" s="91">
        <f t="shared" si="3"/>
        <v>5</v>
      </c>
      <c r="AE142" s="48" t="s">
        <v>1220</v>
      </c>
    </row>
    <row r="143" spans="3:31" hidden="1" x14ac:dyDescent="0.25">
      <c r="C143" s="87" t="s">
        <v>406</v>
      </c>
      <c r="D143" s="4" t="s">
        <v>407</v>
      </c>
      <c r="E143" s="4" t="s">
        <v>407</v>
      </c>
      <c r="F143" s="92">
        <v>5.45</v>
      </c>
      <c r="G143" s="4" t="s">
        <v>376</v>
      </c>
      <c r="H143" s="4" t="s">
        <v>46</v>
      </c>
      <c r="I143" s="4" t="s">
        <v>377</v>
      </c>
      <c r="J143" s="4" t="s">
        <v>160</v>
      </c>
      <c r="K143" s="4" t="s">
        <v>43</v>
      </c>
      <c r="L143" s="4" t="s">
        <v>138</v>
      </c>
      <c r="M143" s="4" t="s">
        <v>40</v>
      </c>
      <c r="N143" s="4" t="s">
        <v>378</v>
      </c>
      <c r="O143" s="4" t="s">
        <v>406</v>
      </c>
      <c r="P143" s="4" t="s">
        <v>42</v>
      </c>
      <c r="Q143" s="50" t="s">
        <v>43</v>
      </c>
      <c r="R143" s="50"/>
      <c r="S143" s="50" t="s">
        <v>380</v>
      </c>
      <c r="T143" s="4" t="s">
        <v>43</v>
      </c>
      <c r="U143" s="4" t="s">
        <v>43</v>
      </c>
      <c r="W143" s="48">
        <v>1</v>
      </c>
      <c r="X143" s="48">
        <v>1</v>
      </c>
      <c r="Y143" s="48">
        <v>3</v>
      </c>
      <c r="AB143" s="48">
        <v>1</v>
      </c>
      <c r="AD143" s="91">
        <f t="shared" si="3"/>
        <v>5.4545454545454541</v>
      </c>
      <c r="AE143" s="48" t="e">
        <f>VLOOKUP(C143,#REF!,1,0)</f>
        <v>#REF!</v>
      </c>
    </row>
    <row r="144" spans="3:31" hidden="1" x14ac:dyDescent="0.25">
      <c r="C144" s="87" t="s">
        <v>411</v>
      </c>
      <c r="D144" s="4" t="s">
        <v>412</v>
      </c>
      <c r="E144" s="4" t="s">
        <v>412</v>
      </c>
      <c r="F144" s="92">
        <v>5</v>
      </c>
      <c r="G144" s="4" t="s">
        <v>376</v>
      </c>
      <c r="H144" s="4" t="s">
        <v>46</v>
      </c>
      <c r="I144" s="4" t="s">
        <v>377</v>
      </c>
      <c r="J144" s="4" t="s">
        <v>160</v>
      </c>
      <c r="K144" s="4" t="s">
        <v>43</v>
      </c>
      <c r="L144" s="4" t="s">
        <v>138</v>
      </c>
      <c r="M144" s="4" t="s">
        <v>40</v>
      </c>
      <c r="N144" s="4" t="s">
        <v>378</v>
      </c>
      <c r="O144" s="4" t="s">
        <v>411</v>
      </c>
      <c r="P144" s="4" t="s">
        <v>42</v>
      </c>
      <c r="Q144" s="50" t="s">
        <v>43</v>
      </c>
      <c r="R144" s="50"/>
      <c r="S144" s="50" t="s">
        <v>380</v>
      </c>
      <c r="T144" s="4" t="s">
        <v>43</v>
      </c>
      <c r="U144" s="4" t="s">
        <v>43</v>
      </c>
      <c r="W144" s="48">
        <v>1</v>
      </c>
      <c r="X144" s="48">
        <v>1</v>
      </c>
      <c r="Y144" s="48">
        <v>3</v>
      </c>
      <c r="AD144" s="91">
        <f t="shared" si="3"/>
        <v>5</v>
      </c>
      <c r="AE144" s="48" t="s">
        <v>1220</v>
      </c>
    </row>
    <row r="145" spans="3:31" hidden="1" x14ac:dyDescent="0.25">
      <c r="C145" s="87" t="s">
        <v>413</v>
      </c>
      <c r="D145" s="4" t="s">
        <v>414</v>
      </c>
      <c r="E145" s="4" t="s">
        <v>414</v>
      </c>
      <c r="F145" s="92">
        <v>5</v>
      </c>
      <c r="G145" s="4" t="s">
        <v>376</v>
      </c>
      <c r="H145" s="4" t="s">
        <v>46</v>
      </c>
      <c r="I145" s="4" t="s">
        <v>377</v>
      </c>
      <c r="J145" s="4" t="s">
        <v>160</v>
      </c>
      <c r="K145" s="4" t="s">
        <v>43</v>
      </c>
      <c r="L145" s="4" t="s">
        <v>138</v>
      </c>
      <c r="M145" s="4" t="s">
        <v>40</v>
      </c>
      <c r="N145" s="4" t="s">
        <v>378</v>
      </c>
      <c r="O145" s="4" t="s">
        <v>413</v>
      </c>
      <c r="P145" s="4" t="s">
        <v>42</v>
      </c>
      <c r="Q145" s="50" t="s">
        <v>43</v>
      </c>
      <c r="R145" s="50"/>
      <c r="S145" s="50" t="s">
        <v>380</v>
      </c>
      <c r="T145" s="4" t="s">
        <v>43</v>
      </c>
      <c r="U145" s="4" t="s">
        <v>43</v>
      </c>
      <c r="W145" s="48">
        <v>1</v>
      </c>
      <c r="X145" s="48">
        <v>1</v>
      </c>
      <c r="Y145" s="48">
        <v>3</v>
      </c>
      <c r="AD145" s="91">
        <f t="shared" si="3"/>
        <v>5</v>
      </c>
      <c r="AE145" s="48" t="s">
        <v>1220</v>
      </c>
    </row>
    <row r="146" spans="3:31" hidden="1" x14ac:dyDescent="0.25">
      <c r="C146" s="87" t="s">
        <v>415</v>
      </c>
      <c r="D146" s="4" t="s">
        <v>416</v>
      </c>
      <c r="E146" s="4" t="s">
        <v>416</v>
      </c>
      <c r="F146" s="92">
        <v>5</v>
      </c>
      <c r="G146" s="4" t="s">
        <v>376</v>
      </c>
      <c r="H146" s="4" t="s">
        <v>81</v>
      </c>
      <c r="I146" s="4" t="s">
        <v>377</v>
      </c>
      <c r="J146" s="4" t="s">
        <v>160</v>
      </c>
      <c r="K146" s="4" t="s">
        <v>43</v>
      </c>
      <c r="L146" s="4" t="s">
        <v>138</v>
      </c>
      <c r="M146" s="4" t="s">
        <v>40</v>
      </c>
      <c r="N146" s="4" t="s">
        <v>378</v>
      </c>
      <c r="O146" s="4" t="s">
        <v>415</v>
      </c>
      <c r="P146" s="4" t="s">
        <v>42</v>
      </c>
      <c r="Q146" s="50" t="s">
        <v>43</v>
      </c>
      <c r="R146" s="50"/>
      <c r="S146" s="50" t="s">
        <v>380</v>
      </c>
      <c r="T146" s="4" t="s">
        <v>43</v>
      </c>
      <c r="U146" s="4" t="s">
        <v>43</v>
      </c>
      <c r="W146" s="48">
        <v>1</v>
      </c>
      <c r="X146" s="48">
        <v>1</v>
      </c>
      <c r="Y146" s="48">
        <v>3</v>
      </c>
      <c r="AD146" s="91">
        <f t="shared" si="3"/>
        <v>5</v>
      </c>
      <c r="AE146" s="48" t="s">
        <v>1220</v>
      </c>
    </row>
    <row r="147" spans="3:31" hidden="1" x14ac:dyDescent="0.25">
      <c r="C147" s="87" t="s">
        <v>417</v>
      </c>
      <c r="D147" s="4" t="s">
        <v>418</v>
      </c>
      <c r="E147" s="4" t="s">
        <v>418</v>
      </c>
      <c r="F147" s="92">
        <v>5</v>
      </c>
      <c r="G147" s="4" t="s">
        <v>376</v>
      </c>
      <c r="H147" s="4" t="s">
        <v>46</v>
      </c>
      <c r="I147" s="4" t="s">
        <v>377</v>
      </c>
      <c r="J147" s="4" t="s">
        <v>160</v>
      </c>
      <c r="K147" s="4" t="s">
        <v>43</v>
      </c>
      <c r="L147" s="4" t="s">
        <v>138</v>
      </c>
      <c r="M147" s="4" t="s">
        <v>40</v>
      </c>
      <c r="N147" s="4" t="s">
        <v>378</v>
      </c>
      <c r="O147" s="4" t="s">
        <v>417</v>
      </c>
      <c r="P147" s="4" t="s">
        <v>42</v>
      </c>
      <c r="Q147" s="50" t="s">
        <v>43</v>
      </c>
      <c r="R147" s="50"/>
      <c r="S147" s="50" t="s">
        <v>380</v>
      </c>
      <c r="T147" s="4" t="s">
        <v>43</v>
      </c>
      <c r="U147" s="4" t="s">
        <v>43</v>
      </c>
      <c r="W147" s="48">
        <v>1</v>
      </c>
      <c r="X147" s="48">
        <v>1</v>
      </c>
      <c r="Y147" s="48">
        <v>3</v>
      </c>
      <c r="AD147" s="91">
        <f t="shared" si="3"/>
        <v>5</v>
      </c>
      <c r="AE147" s="48" t="s">
        <v>1220</v>
      </c>
    </row>
    <row r="148" spans="3:31" hidden="1" x14ac:dyDescent="0.25">
      <c r="C148" s="87" t="s">
        <v>435</v>
      </c>
      <c r="D148" s="4" t="s">
        <v>436</v>
      </c>
      <c r="E148" s="4" t="s">
        <v>436</v>
      </c>
      <c r="F148" s="92">
        <v>5</v>
      </c>
      <c r="G148" s="4" t="s">
        <v>376</v>
      </c>
      <c r="H148" s="4" t="s">
        <v>46</v>
      </c>
      <c r="I148" s="4" t="s">
        <v>421</v>
      </c>
      <c r="J148" s="4" t="s">
        <v>94</v>
      </c>
      <c r="K148" s="4" t="s">
        <v>43</v>
      </c>
      <c r="L148" s="4" t="s">
        <v>64</v>
      </c>
      <c r="M148" s="4" t="s">
        <v>40</v>
      </c>
      <c r="N148" s="4" t="s">
        <v>422</v>
      </c>
      <c r="O148" s="4" t="s">
        <v>435</v>
      </c>
      <c r="P148" s="4" t="s">
        <v>42</v>
      </c>
      <c r="Q148" s="50" t="s">
        <v>43</v>
      </c>
      <c r="R148" s="50"/>
      <c r="S148" s="50" t="s">
        <v>423</v>
      </c>
      <c r="T148" s="4" t="s">
        <v>43</v>
      </c>
      <c r="U148" s="4" t="s">
        <v>43</v>
      </c>
      <c r="W148" s="48">
        <v>1</v>
      </c>
      <c r="X148" s="48">
        <v>1</v>
      </c>
      <c r="Y148" s="48">
        <v>3</v>
      </c>
      <c r="AD148" s="91">
        <f t="shared" si="3"/>
        <v>5</v>
      </c>
      <c r="AE148" s="48" t="s">
        <v>1220</v>
      </c>
    </row>
    <row r="149" spans="3:31" hidden="1" x14ac:dyDescent="0.25">
      <c r="C149" s="87" t="s">
        <v>419</v>
      </c>
      <c r="D149" s="4" t="s">
        <v>420</v>
      </c>
      <c r="E149" s="4" t="s">
        <v>64</v>
      </c>
      <c r="F149" s="92">
        <v>6</v>
      </c>
      <c r="G149" s="4" t="s">
        <v>376</v>
      </c>
      <c r="H149" s="4" t="s">
        <v>46</v>
      </c>
      <c r="I149" s="4" t="s">
        <v>421</v>
      </c>
      <c r="J149" s="4" t="s">
        <v>94</v>
      </c>
      <c r="K149" s="4" t="s">
        <v>43</v>
      </c>
      <c r="L149" s="4" t="s">
        <v>64</v>
      </c>
      <c r="M149" s="4" t="s">
        <v>40</v>
      </c>
      <c r="N149" s="4" t="s">
        <v>422</v>
      </c>
      <c r="O149" s="4" t="s">
        <v>419</v>
      </c>
      <c r="P149" s="4" t="s">
        <v>42</v>
      </c>
      <c r="Q149" s="50" t="s">
        <v>43</v>
      </c>
      <c r="R149" s="50"/>
      <c r="S149" s="50" t="s">
        <v>423</v>
      </c>
      <c r="T149" s="4" t="s">
        <v>43</v>
      </c>
      <c r="U149" s="4" t="s">
        <v>43</v>
      </c>
      <c r="W149" s="48">
        <v>1</v>
      </c>
      <c r="X149" s="48">
        <v>1</v>
      </c>
      <c r="Y149" s="48">
        <v>4</v>
      </c>
      <c r="AD149" s="91">
        <f t="shared" si="3"/>
        <v>6</v>
      </c>
      <c r="AE149" s="48" t="e">
        <f>VLOOKUP(C149,#REF!,1,0)</f>
        <v>#REF!</v>
      </c>
    </row>
    <row r="150" spans="3:31" hidden="1" x14ac:dyDescent="0.25">
      <c r="C150" s="87" t="s">
        <v>424</v>
      </c>
      <c r="D150" s="4" t="s">
        <v>425</v>
      </c>
      <c r="E150" s="4" t="s">
        <v>425</v>
      </c>
      <c r="F150" s="92">
        <v>6</v>
      </c>
      <c r="G150" s="4" t="s">
        <v>37</v>
      </c>
      <c r="H150" s="4" t="s">
        <v>46</v>
      </c>
      <c r="I150" s="4" t="s">
        <v>421</v>
      </c>
      <c r="J150" s="4" t="s">
        <v>94</v>
      </c>
      <c r="K150" s="4"/>
      <c r="L150" s="4" t="s">
        <v>64</v>
      </c>
      <c r="M150" s="4" t="s">
        <v>40</v>
      </c>
      <c r="N150" s="4" t="s">
        <v>41</v>
      </c>
      <c r="O150" s="4" t="s">
        <v>424</v>
      </c>
      <c r="P150" s="4" t="s">
        <v>42</v>
      </c>
      <c r="Q150" s="50" t="s">
        <v>43</v>
      </c>
      <c r="R150" s="50"/>
      <c r="S150" s="50" t="s">
        <v>423</v>
      </c>
      <c r="T150" s="4" t="s">
        <v>43</v>
      </c>
      <c r="U150" s="4" t="s">
        <v>43</v>
      </c>
      <c r="AD150" s="91">
        <f t="shared" si="3"/>
        <v>0</v>
      </c>
      <c r="AE150" s="48" t="e">
        <f>VLOOKUP(C150,#REF!,1,0)</f>
        <v>#REF!</v>
      </c>
    </row>
    <row r="151" spans="3:31" hidden="1" x14ac:dyDescent="0.25">
      <c r="C151" s="87" t="s">
        <v>437</v>
      </c>
      <c r="D151" s="4" t="s">
        <v>438</v>
      </c>
      <c r="E151" s="4" t="s">
        <v>439</v>
      </c>
      <c r="F151" s="92">
        <v>5</v>
      </c>
      <c r="G151" s="4" t="s">
        <v>376</v>
      </c>
      <c r="H151" s="4" t="s">
        <v>81</v>
      </c>
      <c r="I151" s="4" t="s">
        <v>421</v>
      </c>
      <c r="J151" s="4" t="s">
        <v>94</v>
      </c>
      <c r="K151" s="4" t="s">
        <v>43</v>
      </c>
      <c r="L151" s="4" t="s">
        <v>64</v>
      </c>
      <c r="M151" s="4" t="s">
        <v>40</v>
      </c>
      <c r="N151" s="4" t="s">
        <v>422</v>
      </c>
      <c r="O151" s="4" t="s">
        <v>437</v>
      </c>
      <c r="P151" s="4" t="s">
        <v>42</v>
      </c>
      <c r="Q151" s="50" t="s">
        <v>43</v>
      </c>
      <c r="R151" s="50"/>
      <c r="S151" s="50" t="s">
        <v>423</v>
      </c>
      <c r="T151" s="82" t="s">
        <v>440</v>
      </c>
      <c r="U151" s="4" t="s">
        <v>43</v>
      </c>
      <c r="W151" s="48">
        <v>1</v>
      </c>
      <c r="X151" s="48">
        <v>1</v>
      </c>
      <c r="Y151" s="48">
        <v>3</v>
      </c>
      <c r="AD151" s="91">
        <f t="shared" si="3"/>
        <v>5</v>
      </c>
      <c r="AE151" s="48" t="s">
        <v>1220</v>
      </c>
    </row>
    <row r="152" spans="3:31" hidden="1" x14ac:dyDescent="0.25">
      <c r="C152" s="87" t="s">
        <v>429</v>
      </c>
      <c r="D152" s="4" t="s">
        <v>430</v>
      </c>
      <c r="E152" s="4" t="s">
        <v>431</v>
      </c>
      <c r="F152" s="92">
        <v>8</v>
      </c>
      <c r="G152" s="4" t="s">
        <v>376</v>
      </c>
      <c r="H152" s="4" t="s">
        <v>46</v>
      </c>
      <c r="I152" s="4" t="s">
        <v>421</v>
      </c>
      <c r="J152" s="4" t="s">
        <v>94</v>
      </c>
      <c r="K152" s="4" t="s">
        <v>43</v>
      </c>
      <c r="L152" s="4" t="s">
        <v>64</v>
      </c>
      <c r="M152" s="4" t="s">
        <v>40</v>
      </c>
      <c r="N152" s="4" t="s">
        <v>422</v>
      </c>
      <c r="O152" s="4" t="s">
        <v>429</v>
      </c>
      <c r="P152" s="4" t="s">
        <v>42</v>
      </c>
      <c r="Q152" s="50" t="s">
        <v>43</v>
      </c>
      <c r="R152" s="50"/>
      <c r="S152" s="50" t="s">
        <v>423</v>
      </c>
      <c r="T152" s="4" t="s">
        <v>43</v>
      </c>
      <c r="U152" s="4" t="s">
        <v>43</v>
      </c>
      <c r="W152" s="48">
        <v>1</v>
      </c>
      <c r="X152" s="48">
        <v>2</v>
      </c>
      <c r="Y152" s="48">
        <v>5</v>
      </c>
      <c r="AD152" s="91">
        <f t="shared" si="3"/>
        <v>8</v>
      </c>
      <c r="AE152" s="48" t="e">
        <f>VLOOKUP(C152,#REF!,1,0)</f>
        <v>#REF!</v>
      </c>
    </row>
    <row r="153" spans="3:31" hidden="1" x14ac:dyDescent="0.25">
      <c r="C153" s="87" t="s">
        <v>432</v>
      </c>
      <c r="D153" s="4" t="s">
        <v>433</v>
      </c>
      <c r="E153" s="4" t="s">
        <v>434</v>
      </c>
      <c r="F153" s="92">
        <v>5.45</v>
      </c>
      <c r="G153" s="4" t="s">
        <v>376</v>
      </c>
      <c r="H153" s="4" t="s">
        <v>46</v>
      </c>
      <c r="I153" s="4" t="s">
        <v>421</v>
      </c>
      <c r="J153" s="4" t="s">
        <v>94</v>
      </c>
      <c r="K153" s="4" t="s">
        <v>43</v>
      </c>
      <c r="L153" s="4" t="s">
        <v>205</v>
      </c>
      <c r="M153" s="4" t="s">
        <v>40</v>
      </c>
      <c r="N153" s="4" t="s">
        <v>422</v>
      </c>
      <c r="O153" s="4" t="s">
        <v>432</v>
      </c>
      <c r="P153" s="4" t="s">
        <v>42</v>
      </c>
      <c r="Q153" s="50" t="s">
        <v>43</v>
      </c>
      <c r="R153" s="50"/>
      <c r="S153" s="50" t="s">
        <v>423</v>
      </c>
      <c r="T153" s="4" t="s">
        <v>43</v>
      </c>
      <c r="U153" s="4" t="s">
        <v>43</v>
      </c>
      <c r="W153" s="48">
        <v>1</v>
      </c>
      <c r="X153" s="48">
        <v>2</v>
      </c>
      <c r="Y153" s="48">
        <v>2</v>
      </c>
      <c r="AB153" s="48">
        <v>1</v>
      </c>
      <c r="AD153" s="91">
        <f t="shared" si="3"/>
        <v>5.4545454545454541</v>
      </c>
      <c r="AE153" s="48" t="e">
        <f>VLOOKUP(C153,#REF!,1,0)</f>
        <v>#REF!</v>
      </c>
    </row>
    <row r="154" spans="3:31" hidden="1" x14ac:dyDescent="0.25">
      <c r="C154" s="87" t="s">
        <v>441</v>
      </c>
      <c r="D154" s="4" t="s">
        <v>442</v>
      </c>
      <c r="E154" s="4" t="s">
        <v>442</v>
      </c>
      <c r="F154" s="92">
        <v>5</v>
      </c>
      <c r="G154" s="4" t="s">
        <v>376</v>
      </c>
      <c r="H154" s="4" t="s">
        <v>46</v>
      </c>
      <c r="I154" s="4" t="s">
        <v>421</v>
      </c>
      <c r="J154" s="4" t="s">
        <v>94</v>
      </c>
      <c r="K154" s="4" t="s">
        <v>43</v>
      </c>
      <c r="L154" s="4" t="s">
        <v>64</v>
      </c>
      <c r="M154" s="4" t="s">
        <v>40</v>
      </c>
      <c r="N154" s="4" t="s">
        <v>422</v>
      </c>
      <c r="O154" s="4" t="s">
        <v>441</v>
      </c>
      <c r="P154" s="4" t="s">
        <v>42</v>
      </c>
      <c r="Q154" s="50" t="s">
        <v>43</v>
      </c>
      <c r="R154" s="50"/>
      <c r="S154" s="50" t="s">
        <v>423</v>
      </c>
      <c r="T154" s="4" t="s">
        <v>43</v>
      </c>
      <c r="U154" s="4" t="s">
        <v>43</v>
      </c>
      <c r="W154" s="48">
        <v>1</v>
      </c>
      <c r="X154" s="48">
        <v>1</v>
      </c>
      <c r="Y154" s="48">
        <v>3</v>
      </c>
      <c r="AD154" s="91">
        <f t="shared" si="3"/>
        <v>5</v>
      </c>
      <c r="AE154" s="48" t="s">
        <v>1220</v>
      </c>
    </row>
    <row r="155" spans="3:31" hidden="1" x14ac:dyDescent="0.25">
      <c r="C155" s="87" t="s">
        <v>445</v>
      </c>
      <c r="D155" s="4" t="s">
        <v>446</v>
      </c>
      <c r="E155" s="4" t="s">
        <v>446</v>
      </c>
      <c r="F155" s="92">
        <v>5</v>
      </c>
      <c r="G155" s="4" t="s">
        <v>376</v>
      </c>
      <c r="H155" s="4" t="s">
        <v>46</v>
      </c>
      <c r="I155" s="4" t="s">
        <v>421</v>
      </c>
      <c r="J155" s="4" t="s">
        <v>94</v>
      </c>
      <c r="K155" s="4" t="s">
        <v>43</v>
      </c>
      <c r="L155" s="4" t="s">
        <v>64</v>
      </c>
      <c r="M155" s="4" t="s">
        <v>40</v>
      </c>
      <c r="N155" s="4" t="s">
        <v>422</v>
      </c>
      <c r="O155" s="4" t="s">
        <v>445</v>
      </c>
      <c r="P155" s="4" t="s">
        <v>42</v>
      </c>
      <c r="Q155" s="50" t="s">
        <v>43</v>
      </c>
      <c r="R155" s="50"/>
      <c r="S155" s="50" t="s">
        <v>423</v>
      </c>
      <c r="T155" s="4" t="s">
        <v>43</v>
      </c>
      <c r="U155" s="4" t="s">
        <v>43</v>
      </c>
      <c r="W155" s="48">
        <v>1</v>
      </c>
      <c r="X155" s="48">
        <v>1</v>
      </c>
      <c r="Y155" s="48">
        <v>3</v>
      </c>
      <c r="AD155" s="91">
        <f t="shared" si="3"/>
        <v>5</v>
      </c>
      <c r="AE155" s="48" t="s">
        <v>1220</v>
      </c>
    </row>
    <row r="156" spans="3:31" hidden="1" x14ac:dyDescent="0.25">
      <c r="C156" s="87" t="s">
        <v>453</v>
      </c>
      <c r="D156" s="4" t="s">
        <v>454</v>
      </c>
      <c r="E156" s="4" t="s">
        <v>454</v>
      </c>
      <c r="F156" s="92">
        <v>5</v>
      </c>
      <c r="G156" s="4" t="s">
        <v>376</v>
      </c>
      <c r="H156" s="4" t="s">
        <v>46</v>
      </c>
      <c r="I156" s="4" t="s">
        <v>421</v>
      </c>
      <c r="J156" s="4" t="s">
        <v>94</v>
      </c>
      <c r="K156" s="4" t="s">
        <v>43</v>
      </c>
      <c r="L156" s="4" t="s">
        <v>64</v>
      </c>
      <c r="M156" s="4" t="s">
        <v>40</v>
      </c>
      <c r="N156" s="4" t="s">
        <v>422</v>
      </c>
      <c r="O156" s="4" t="s">
        <v>453</v>
      </c>
      <c r="P156" s="4" t="s">
        <v>42</v>
      </c>
      <c r="Q156" s="50" t="s">
        <v>43</v>
      </c>
      <c r="R156" s="50"/>
      <c r="S156" s="50" t="s">
        <v>423</v>
      </c>
      <c r="T156" s="4" t="s">
        <v>43</v>
      </c>
      <c r="U156" s="4" t="s">
        <v>43</v>
      </c>
      <c r="W156" s="48">
        <v>1</v>
      </c>
      <c r="X156" s="48">
        <v>1</v>
      </c>
      <c r="Y156" s="48">
        <v>3</v>
      </c>
      <c r="AD156" s="91">
        <f t="shared" si="3"/>
        <v>5</v>
      </c>
      <c r="AE156" s="48" t="s">
        <v>1220</v>
      </c>
    </row>
    <row r="157" spans="3:31" hidden="1" x14ac:dyDescent="0.25">
      <c r="C157" s="87" t="s">
        <v>443</v>
      </c>
      <c r="D157" s="4" t="s">
        <v>444</v>
      </c>
      <c r="E157" s="4" t="s">
        <v>444</v>
      </c>
      <c r="F157" s="92">
        <v>7</v>
      </c>
      <c r="G157" s="4" t="s">
        <v>376</v>
      </c>
      <c r="H157" s="4" t="s">
        <v>81</v>
      </c>
      <c r="I157" s="4" t="s">
        <v>421</v>
      </c>
      <c r="J157" s="4" t="s">
        <v>94</v>
      </c>
      <c r="K157" s="4" t="s">
        <v>43</v>
      </c>
      <c r="L157" s="4" t="s">
        <v>64</v>
      </c>
      <c r="M157" s="4" t="s">
        <v>40</v>
      </c>
      <c r="N157" s="4" t="s">
        <v>422</v>
      </c>
      <c r="O157" s="4" t="s">
        <v>443</v>
      </c>
      <c r="P157" s="4" t="s">
        <v>42</v>
      </c>
      <c r="Q157" s="50" t="s">
        <v>43</v>
      </c>
      <c r="R157" s="50"/>
      <c r="S157" s="50" t="s">
        <v>423</v>
      </c>
      <c r="T157" s="4" t="s">
        <v>43</v>
      </c>
      <c r="U157" s="4" t="s">
        <v>43</v>
      </c>
      <c r="W157" s="48">
        <v>1</v>
      </c>
      <c r="X157" s="48">
        <v>1</v>
      </c>
      <c r="Y157" s="48">
        <v>3</v>
      </c>
      <c r="AD157" s="91">
        <f t="shared" si="3"/>
        <v>5</v>
      </c>
      <c r="AE157" s="48" t="e">
        <f>VLOOKUP(C157,#REF!,1,0)</f>
        <v>#REF!</v>
      </c>
    </row>
    <row r="158" spans="3:31" hidden="1" x14ac:dyDescent="0.25">
      <c r="C158" s="87" t="s">
        <v>455</v>
      </c>
      <c r="D158" s="4" t="s">
        <v>456</v>
      </c>
      <c r="E158" s="4" t="s">
        <v>456</v>
      </c>
      <c r="F158" s="92">
        <v>5</v>
      </c>
      <c r="G158" s="4" t="s">
        <v>376</v>
      </c>
      <c r="H158" s="4" t="s">
        <v>46</v>
      </c>
      <c r="I158" s="4" t="s">
        <v>421</v>
      </c>
      <c r="J158" s="4" t="s">
        <v>94</v>
      </c>
      <c r="K158" s="4" t="s">
        <v>43</v>
      </c>
      <c r="L158" s="4" t="s">
        <v>64</v>
      </c>
      <c r="M158" s="4" t="s">
        <v>40</v>
      </c>
      <c r="N158" s="4" t="s">
        <v>422</v>
      </c>
      <c r="O158" s="4" t="s">
        <v>455</v>
      </c>
      <c r="P158" s="4" t="s">
        <v>42</v>
      </c>
      <c r="Q158" s="50" t="s">
        <v>43</v>
      </c>
      <c r="R158" s="50"/>
      <c r="S158" s="50" t="s">
        <v>423</v>
      </c>
      <c r="T158" s="4" t="s">
        <v>43</v>
      </c>
      <c r="U158" s="4" t="s">
        <v>43</v>
      </c>
      <c r="W158" s="48">
        <v>1</v>
      </c>
      <c r="X158" s="48">
        <v>1</v>
      </c>
      <c r="Y158" s="48">
        <v>3</v>
      </c>
      <c r="AD158" s="91">
        <f t="shared" si="3"/>
        <v>5</v>
      </c>
      <c r="AE158" s="48" t="s">
        <v>1220</v>
      </c>
    </row>
    <row r="159" spans="3:31" hidden="1" x14ac:dyDescent="0.25">
      <c r="C159" s="87" t="s">
        <v>447</v>
      </c>
      <c r="D159" s="4" t="s">
        <v>448</v>
      </c>
      <c r="E159" s="4" t="s">
        <v>449</v>
      </c>
      <c r="F159" s="92">
        <v>6</v>
      </c>
      <c r="G159" s="4" t="s">
        <v>376</v>
      </c>
      <c r="H159" s="4" t="s">
        <v>46</v>
      </c>
      <c r="I159" s="4" t="s">
        <v>421</v>
      </c>
      <c r="J159" s="4" t="s">
        <v>94</v>
      </c>
      <c r="K159" s="4" t="s">
        <v>43</v>
      </c>
      <c r="L159" s="4" t="s">
        <v>64</v>
      </c>
      <c r="M159" s="4" t="s">
        <v>40</v>
      </c>
      <c r="N159" s="4" t="s">
        <v>422</v>
      </c>
      <c r="O159" s="4" t="s">
        <v>447</v>
      </c>
      <c r="P159" s="4" t="s">
        <v>42</v>
      </c>
      <c r="Q159" s="50" t="s">
        <v>43</v>
      </c>
      <c r="R159" s="50"/>
      <c r="S159" s="50" t="s">
        <v>423</v>
      </c>
      <c r="T159" s="4" t="s">
        <v>43</v>
      </c>
      <c r="U159" s="4" t="s">
        <v>43</v>
      </c>
      <c r="W159" s="48">
        <v>1</v>
      </c>
      <c r="X159" s="48">
        <v>2</v>
      </c>
      <c r="Y159" s="48">
        <v>3</v>
      </c>
      <c r="AD159" s="91">
        <f t="shared" si="3"/>
        <v>6</v>
      </c>
      <c r="AE159" s="48" t="e">
        <f>VLOOKUP(C159,#REF!,1,0)</f>
        <v>#REF!</v>
      </c>
    </row>
    <row r="160" spans="3:31" hidden="1" x14ac:dyDescent="0.25">
      <c r="C160" s="87" t="s">
        <v>457</v>
      </c>
      <c r="D160" s="4" t="s">
        <v>458</v>
      </c>
      <c r="E160" s="4" t="s">
        <v>458</v>
      </c>
      <c r="F160" s="92">
        <v>5</v>
      </c>
      <c r="G160" s="4" t="s">
        <v>376</v>
      </c>
      <c r="H160" s="4" t="s">
        <v>81</v>
      </c>
      <c r="I160" s="4" t="s">
        <v>421</v>
      </c>
      <c r="J160" s="4" t="s">
        <v>94</v>
      </c>
      <c r="K160" s="4" t="s">
        <v>43</v>
      </c>
      <c r="L160" s="4" t="s">
        <v>205</v>
      </c>
      <c r="M160" s="4" t="s">
        <v>40</v>
      </c>
      <c r="N160" s="4" t="s">
        <v>422</v>
      </c>
      <c r="O160" s="4" t="s">
        <v>457</v>
      </c>
      <c r="P160" s="4" t="s">
        <v>42</v>
      </c>
      <c r="Q160" s="50" t="s">
        <v>43</v>
      </c>
      <c r="R160" s="50"/>
      <c r="S160" s="50" t="s">
        <v>423</v>
      </c>
      <c r="T160" s="4" t="s">
        <v>43</v>
      </c>
      <c r="U160" s="4" t="s">
        <v>43</v>
      </c>
      <c r="W160" s="48">
        <v>1</v>
      </c>
      <c r="X160" s="48">
        <v>1</v>
      </c>
      <c r="Y160" s="48">
        <v>3</v>
      </c>
      <c r="AD160" s="91">
        <f t="shared" si="3"/>
        <v>5</v>
      </c>
      <c r="AE160" s="48" t="s">
        <v>1220</v>
      </c>
    </row>
    <row r="161" spans="3:31" hidden="1" x14ac:dyDescent="0.25">
      <c r="C161" s="87" t="s">
        <v>459</v>
      </c>
      <c r="D161" s="4" t="s">
        <v>460</v>
      </c>
      <c r="E161" s="4" t="s">
        <v>460</v>
      </c>
      <c r="F161" s="92">
        <v>5</v>
      </c>
      <c r="G161" s="4" t="s">
        <v>376</v>
      </c>
      <c r="H161" s="4" t="s">
        <v>46</v>
      </c>
      <c r="I161" s="4" t="s">
        <v>421</v>
      </c>
      <c r="J161" s="4" t="s">
        <v>94</v>
      </c>
      <c r="K161" s="4" t="s">
        <v>43</v>
      </c>
      <c r="L161" s="4" t="s">
        <v>64</v>
      </c>
      <c r="M161" s="4" t="s">
        <v>40</v>
      </c>
      <c r="N161" s="4" t="s">
        <v>422</v>
      </c>
      <c r="O161" s="4" t="s">
        <v>459</v>
      </c>
      <c r="P161" s="4" t="s">
        <v>42</v>
      </c>
      <c r="Q161" s="50" t="s">
        <v>43</v>
      </c>
      <c r="R161" s="50"/>
      <c r="S161" s="50" t="s">
        <v>423</v>
      </c>
      <c r="T161" s="4" t="s">
        <v>43</v>
      </c>
      <c r="U161" s="4" t="s">
        <v>43</v>
      </c>
      <c r="W161" s="48">
        <v>1</v>
      </c>
      <c r="X161" s="48">
        <v>1</v>
      </c>
      <c r="Y161" s="48">
        <v>3</v>
      </c>
      <c r="AD161" s="91">
        <f t="shared" si="3"/>
        <v>5</v>
      </c>
      <c r="AE161" s="48" t="s">
        <v>1220</v>
      </c>
    </row>
    <row r="162" spans="3:31" hidden="1" x14ac:dyDescent="0.25">
      <c r="C162" s="87" t="s">
        <v>461</v>
      </c>
      <c r="D162" s="4" t="s">
        <v>462</v>
      </c>
      <c r="E162" s="4" t="s">
        <v>462</v>
      </c>
      <c r="F162" s="92">
        <v>5</v>
      </c>
      <c r="G162" s="4" t="s">
        <v>376</v>
      </c>
      <c r="H162" s="4" t="s">
        <v>46</v>
      </c>
      <c r="I162" s="4" t="s">
        <v>421</v>
      </c>
      <c r="J162" s="4" t="s">
        <v>94</v>
      </c>
      <c r="K162" s="4" t="s">
        <v>43</v>
      </c>
      <c r="L162" s="4" t="s">
        <v>64</v>
      </c>
      <c r="M162" s="4" t="s">
        <v>40</v>
      </c>
      <c r="N162" s="4" t="s">
        <v>422</v>
      </c>
      <c r="O162" s="4" t="s">
        <v>461</v>
      </c>
      <c r="P162" s="4" t="s">
        <v>42</v>
      </c>
      <c r="Q162" s="50" t="s">
        <v>43</v>
      </c>
      <c r="R162" s="50"/>
      <c r="S162" s="50" t="s">
        <v>423</v>
      </c>
      <c r="T162" s="4" t="s">
        <v>43</v>
      </c>
      <c r="U162" s="4" t="s">
        <v>43</v>
      </c>
      <c r="W162" s="48">
        <v>1</v>
      </c>
      <c r="X162" s="48">
        <v>1</v>
      </c>
      <c r="Y162" s="48">
        <v>3</v>
      </c>
      <c r="AD162" s="91">
        <f t="shared" si="3"/>
        <v>5</v>
      </c>
      <c r="AE162" s="48" t="s">
        <v>1220</v>
      </c>
    </row>
    <row r="163" spans="3:31" hidden="1" x14ac:dyDescent="0.25">
      <c r="C163" s="87" t="s">
        <v>478</v>
      </c>
      <c r="D163" s="4" t="s">
        <v>479</v>
      </c>
      <c r="E163" s="4" t="s">
        <v>479</v>
      </c>
      <c r="F163" s="92">
        <v>5</v>
      </c>
      <c r="G163" s="4" t="s">
        <v>376</v>
      </c>
      <c r="H163" s="4" t="s">
        <v>46</v>
      </c>
      <c r="I163" s="4" t="s">
        <v>377</v>
      </c>
      <c r="J163" s="4" t="s">
        <v>466</v>
      </c>
      <c r="K163" s="4" t="s">
        <v>43</v>
      </c>
      <c r="L163" s="4" t="s">
        <v>51</v>
      </c>
      <c r="M163" s="4" t="s">
        <v>40</v>
      </c>
      <c r="N163" s="4" t="s">
        <v>378</v>
      </c>
      <c r="O163" s="4" t="s">
        <v>478</v>
      </c>
      <c r="P163" s="4" t="s">
        <v>42</v>
      </c>
      <c r="Q163" s="50" t="s">
        <v>43</v>
      </c>
      <c r="R163" s="50"/>
      <c r="S163" s="50" t="s">
        <v>467</v>
      </c>
      <c r="T163" s="4" t="s">
        <v>43</v>
      </c>
      <c r="U163" s="4" t="s">
        <v>43</v>
      </c>
      <c r="W163" s="48">
        <v>1</v>
      </c>
      <c r="X163" s="48">
        <v>1</v>
      </c>
      <c r="Y163" s="48">
        <v>3</v>
      </c>
      <c r="AD163" s="91">
        <f t="shared" si="3"/>
        <v>5</v>
      </c>
      <c r="AE163" s="48" t="s">
        <v>1220</v>
      </c>
    </row>
    <row r="164" spans="3:31" hidden="1" x14ac:dyDescent="0.25">
      <c r="C164" s="87" t="s">
        <v>480</v>
      </c>
      <c r="D164" s="4" t="s">
        <v>481</v>
      </c>
      <c r="E164" s="4" t="s">
        <v>482</v>
      </c>
      <c r="F164" s="92">
        <v>5</v>
      </c>
      <c r="G164" s="4" t="s">
        <v>376</v>
      </c>
      <c r="H164" s="4" t="s">
        <v>46</v>
      </c>
      <c r="I164" s="4" t="s">
        <v>377</v>
      </c>
      <c r="J164" s="4" t="s">
        <v>466</v>
      </c>
      <c r="K164" s="4" t="s">
        <v>43</v>
      </c>
      <c r="L164" s="4" t="s">
        <v>51</v>
      </c>
      <c r="M164" s="4" t="s">
        <v>40</v>
      </c>
      <c r="N164" s="4" t="s">
        <v>378</v>
      </c>
      <c r="O164" s="4" t="s">
        <v>480</v>
      </c>
      <c r="P164" s="4" t="s">
        <v>42</v>
      </c>
      <c r="Q164" s="50" t="s">
        <v>43</v>
      </c>
      <c r="R164" s="50"/>
      <c r="S164" s="50" t="s">
        <v>467</v>
      </c>
      <c r="T164" s="4" t="s">
        <v>43</v>
      </c>
      <c r="U164" s="4" t="s">
        <v>43</v>
      </c>
      <c r="W164" s="48">
        <v>1</v>
      </c>
      <c r="X164" s="48">
        <v>1</v>
      </c>
      <c r="Y164" s="48">
        <v>3</v>
      </c>
      <c r="AD164" s="91">
        <f t="shared" si="3"/>
        <v>5</v>
      </c>
      <c r="AE164" s="48" t="s">
        <v>1220</v>
      </c>
    </row>
    <row r="165" spans="3:31" hidden="1" x14ac:dyDescent="0.25">
      <c r="C165" s="87" t="s">
        <v>486</v>
      </c>
      <c r="D165" s="4" t="s">
        <v>487</v>
      </c>
      <c r="E165" s="4" t="s">
        <v>487</v>
      </c>
      <c r="F165" s="92">
        <v>5</v>
      </c>
      <c r="G165" s="4" t="s">
        <v>376</v>
      </c>
      <c r="H165" s="4" t="s">
        <v>46</v>
      </c>
      <c r="I165" s="4" t="s">
        <v>377</v>
      </c>
      <c r="J165" s="4" t="s">
        <v>466</v>
      </c>
      <c r="K165" s="4" t="s">
        <v>43</v>
      </c>
      <c r="L165" s="4" t="s">
        <v>51</v>
      </c>
      <c r="M165" s="4" t="s">
        <v>40</v>
      </c>
      <c r="N165" s="4" t="s">
        <v>378</v>
      </c>
      <c r="O165" s="4" t="s">
        <v>486</v>
      </c>
      <c r="P165" s="4" t="s">
        <v>42</v>
      </c>
      <c r="Q165" s="50" t="s">
        <v>43</v>
      </c>
      <c r="R165" s="50"/>
      <c r="S165" s="50" t="s">
        <v>467</v>
      </c>
      <c r="T165" s="4" t="s">
        <v>43</v>
      </c>
      <c r="U165" s="4" t="s">
        <v>43</v>
      </c>
      <c r="W165" s="48">
        <v>1</v>
      </c>
      <c r="X165" s="48">
        <v>1</v>
      </c>
      <c r="Y165" s="48">
        <v>3</v>
      </c>
      <c r="AD165" s="91">
        <f t="shared" si="3"/>
        <v>5</v>
      </c>
      <c r="AE165" s="48" t="s">
        <v>1220</v>
      </c>
    </row>
    <row r="166" spans="3:31" hidden="1" x14ac:dyDescent="0.25">
      <c r="C166" s="87" t="s">
        <v>463</v>
      </c>
      <c r="D166" s="4" t="s">
        <v>464</v>
      </c>
      <c r="E166" s="4" t="s">
        <v>465</v>
      </c>
      <c r="F166" s="92">
        <v>8.9</v>
      </c>
      <c r="G166" s="4" t="s">
        <v>376</v>
      </c>
      <c r="H166" s="4" t="s">
        <v>46</v>
      </c>
      <c r="I166" s="4" t="s">
        <v>377</v>
      </c>
      <c r="J166" s="4" t="s">
        <v>466</v>
      </c>
      <c r="K166" s="4" t="s">
        <v>43</v>
      </c>
      <c r="L166" s="4" t="s">
        <v>51</v>
      </c>
      <c r="M166" s="4" t="s">
        <v>40</v>
      </c>
      <c r="N166" s="4" t="s">
        <v>378</v>
      </c>
      <c r="O166" s="4" t="s">
        <v>463</v>
      </c>
      <c r="P166" s="4" t="s">
        <v>379</v>
      </c>
      <c r="Q166" s="50" t="s">
        <v>43</v>
      </c>
      <c r="R166" s="50"/>
      <c r="S166" s="50" t="s">
        <v>467</v>
      </c>
      <c r="T166" s="4" t="s">
        <v>43</v>
      </c>
      <c r="U166" s="4" t="s">
        <v>43</v>
      </c>
      <c r="W166" s="48">
        <v>1</v>
      </c>
      <c r="X166" s="48">
        <v>2</v>
      </c>
      <c r="Y166" s="48">
        <v>5</v>
      </c>
      <c r="AB166" s="48">
        <v>2</v>
      </c>
      <c r="AD166" s="91">
        <f t="shared" si="3"/>
        <v>8.9090909090909083</v>
      </c>
      <c r="AE166" s="48" t="e">
        <f>VLOOKUP(C166,#REF!,1,0)</f>
        <v>#REF!</v>
      </c>
    </row>
    <row r="167" spans="3:31" hidden="1" x14ac:dyDescent="0.25">
      <c r="C167" s="87" t="s">
        <v>468</v>
      </c>
      <c r="D167" s="4" t="s">
        <v>469</v>
      </c>
      <c r="E167" s="4" t="s">
        <v>470</v>
      </c>
      <c r="F167" s="92">
        <v>8.4499999999999993</v>
      </c>
      <c r="G167" s="4" t="s">
        <v>376</v>
      </c>
      <c r="H167" s="4" t="s">
        <v>46</v>
      </c>
      <c r="I167" s="4" t="s">
        <v>377</v>
      </c>
      <c r="J167" s="4" t="s">
        <v>466</v>
      </c>
      <c r="K167" s="4" t="s">
        <v>43</v>
      </c>
      <c r="L167" s="4" t="s">
        <v>51</v>
      </c>
      <c r="M167" s="4" t="s">
        <v>40</v>
      </c>
      <c r="N167" s="4" t="s">
        <v>378</v>
      </c>
      <c r="O167" s="4" t="s">
        <v>468</v>
      </c>
      <c r="P167" s="4" t="s">
        <v>42</v>
      </c>
      <c r="Q167" s="50" t="s">
        <v>43</v>
      </c>
      <c r="R167" s="50"/>
      <c r="S167" s="50" t="s">
        <v>467</v>
      </c>
      <c r="T167" s="4" t="s">
        <v>43</v>
      </c>
      <c r="U167" s="4" t="s">
        <v>43</v>
      </c>
      <c r="W167" s="48">
        <v>1</v>
      </c>
      <c r="X167" s="48">
        <v>1</v>
      </c>
      <c r="Y167" s="48">
        <v>6</v>
      </c>
      <c r="AB167" s="48">
        <v>1</v>
      </c>
      <c r="AD167" s="91">
        <f t="shared" si="3"/>
        <v>8.454545454545455</v>
      </c>
      <c r="AE167" s="48" t="e">
        <f>VLOOKUP(C167,#REF!,1,0)</f>
        <v>#REF!</v>
      </c>
    </row>
    <row r="168" spans="3:31" hidden="1" x14ac:dyDescent="0.25">
      <c r="C168" s="87" t="s">
        <v>488</v>
      </c>
      <c r="D168" s="4" t="s">
        <v>489</v>
      </c>
      <c r="E168" s="4" t="s">
        <v>490</v>
      </c>
      <c r="F168" s="95">
        <v>5.57</v>
      </c>
      <c r="G168" s="4" t="s">
        <v>376</v>
      </c>
      <c r="H168" s="4" t="s">
        <v>46</v>
      </c>
      <c r="I168" s="4" t="s">
        <v>377</v>
      </c>
      <c r="J168" s="4" t="s">
        <v>466</v>
      </c>
      <c r="K168" s="4" t="s">
        <v>43</v>
      </c>
      <c r="L168" s="4" t="s">
        <v>51</v>
      </c>
      <c r="M168" s="4" t="s">
        <v>40</v>
      </c>
      <c r="N168" s="4" t="s">
        <v>378</v>
      </c>
      <c r="O168" s="4" t="s">
        <v>488</v>
      </c>
      <c r="P168" s="4" t="s">
        <v>42</v>
      </c>
      <c r="Q168" s="50" t="s">
        <v>43</v>
      </c>
      <c r="R168" s="50"/>
      <c r="S168" s="50" t="s">
        <v>467</v>
      </c>
      <c r="T168" s="4" t="s">
        <v>43</v>
      </c>
      <c r="U168" s="4" t="s">
        <v>43</v>
      </c>
      <c r="W168" s="48">
        <v>1</v>
      </c>
      <c r="X168" s="48">
        <v>1</v>
      </c>
      <c r="Y168" s="48">
        <v>3</v>
      </c>
      <c r="AD168" s="91">
        <f t="shared" si="3"/>
        <v>5</v>
      </c>
      <c r="AE168" s="48" t="s">
        <v>1220</v>
      </c>
    </row>
    <row r="169" spans="3:31" hidden="1" x14ac:dyDescent="0.25">
      <c r="C169" s="87" t="s">
        <v>474</v>
      </c>
      <c r="D169" s="4" t="s">
        <v>475</v>
      </c>
      <c r="E169" s="4" t="s">
        <v>475</v>
      </c>
      <c r="F169" s="92">
        <v>6</v>
      </c>
      <c r="G169" s="4" t="s">
        <v>376</v>
      </c>
      <c r="H169" s="4" t="s">
        <v>46</v>
      </c>
      <c r="I169" s="4" t="s">
        <v>377</v>
      </c>
      <c r="J169" s="4" t="s">
        <v>466</v>
      </c>
      <c r="K169" s="4" t="s">
        <v>43</v>
      </c>
      <c r="L169" s="4" t="s">
        <v>51</v>
      </c>
      <c r="M169" s="4" t="s">
        <v>40</v>
      </c>
      <c r="N169" s="4" t="s">
        <v>378</v>
      </c>
      <c r="O169" s="4" t="s">
        <v>474</v>
      </c>
      <c r="P169" s="4" t="s">
        <v>42</v>
      </c>
      <c r="Q169" s="50" t="s">
        <v>43</v>
      </c>
      <c r="R169" s="50"/>
      <c r="S169" s="50" t="s">
        <v>467</v>
      </c>
      <c r="T169" s="4" t="s">
        <v>43</v>
      </c>
      <c r="U169" s="4" t="s">
        <v>43</v>
      </c>
      <c r="W169" s="48">
        <v>1</v>
      </c>
      <c r="X169" s="48">
        <v>1</v>
      </c>
      <c r="Y169" s="48">
        <v>4</v>
      </c>
      <c r="AD169" s="91">
        <f t="shared" si="3"/>
        <v>6</v>
      </c>
      <c r="AE169" s="48" t="e">
        <f>VLOOKUP(C169,#REF!,1,0)</f>
        <v>#REF!</v>
      </c>
    </row>
    <row r="170" spans="3:31" hidden="1" x14ac:dyDescent="0.25">
      <c r="C170" s="87" t="s">
        <v>975</v>
      </c>
      <c r="D170" s="4" t="s">
        <v>976</v>
      </c>
      <c r="E170" s="4" t="s">
        <v>976</v>
      </c>
      <c r="F170" s="92">
        <v>2.1</v>
      </c>
      <c r="G170" s="4" t="s">
        <v>376</v>
      </c>
      <c r="H170" s="4" t="s">
        <v>46</v>
      </c>
      <c r="I170" s="4" t="s">
        <v>377</v>
      </c>
      <c r="J170" s="4" t="s">
        <v>132</v>
      </c>
      <c r="K170" s="4" t="s">
        <v>43</v>
      </c>
      <c r="L170" s="4" t="s">
        <v>39</v>
      </c>
      <c r="M170" s="4" t="s">
        <v>40</v>
      </c>
      <c r="N170" s="4" t="s">
        <v>378</v>
      </c>
      <c r="O170" s="4" t="s">
        <v>975</v>
      </c>
      <c r="P170" s="4" t="s">
        <v>42</v>
      </c>
      <c r="Q170" s="50" t="s">
        <v>43</v>
      </c>
      <c r="R170" s="50"/>
      <c r="S170" s="50" t="s">
        <v>931</v>
      </c>
      <c r="T170" s="4" t="s">
        <v>43</v>
      </c>
      <c r="U170" s="4" t="s">
        <v>43</v>
      </c>
      <c r="V170" s="2"/>
      <c r="W170" s="48">
        <v>1</v>
      </c>
      <c r="AA170" s="48">
        <v>2</v>
      </c>
      <c r="AD170" s="91">
        <f t="shared" si="3"/>
        <v>2.1363636363636367</v>
      </c>
      <c r="AE170" s="48" t="e">
        <f>VLOOKUP(C170,#REF!,1,0)</f>
        <v>#REF!</v>
      </c>
    </row>
    <row r="171" spans="3:31" hidden="1" x14ac:dyDescent="0.25">
      <c r="C171" s="87" t="s">
        <v>497</v>
      </c>
      <c r="D171" s="4" t="s">
        <v>498</v>
      </c>
      <c r="E171" s="4" t="s">
        <v>499</v>
      </c>
      <c r="F171" s="92">
        <v>5</v>
      </c>
      <c r="G171" s="4" t="s">
        <v>376</v>
      </c>
      <c r="H171" s="4" t="s">
        <v>46</v>
      </c>
      <c r="I171" s="4" t="s">
        <v>377</v>
      </c>
      <c r="J171" s="4" t="s">
        <v>466</v>
      </c>
      <c r="K171" s="4" t="s">
        <v>43</v>
      </c>
      <c r="L171" s="4" t="s">
        <v>51</v>
      </c>
      <c r="M171" s="4" t="s">
        <v>40</v>
      </c>
      <c r="N171" s="4" t="s">
        <v>378</v>
      </c>
      <c r="O171" s="4" t="s">
        <v>497</v>
      </c>
      <c r="P171" s="4" t="s">
        <v>42</v>
      </c>
      <c r="Q171" s="50" t="s">
        <v>43</v>
      </c>
      <c r="R171" s="50"/>
      <c r="S171" s="50" t="s">
        <v>467</v>
      </c>
      <c r="T171" s="4" t="s">
        <v>43</v>
      </c>
      <c r="U171" s="4" t="s">
        <v>43</v>
      </c>
      <c r="W171" s="48">
        <v>1</v>
      </c>
      <c r="X171" s="48">
        <v>1</v>
      </c>
      <c r="Y171" s="48">
        <v>3</v>
      </c>
      <c r="AD171" s="91">
        <f t="shared" si="3"/>
        <v>5</v>
      </c>
      <c r="AE171" s="48" t="s">
        <v>1220</v>
      </c>
    </row>
    <row r="172" spans="3:31" hidden="1" x14ac:dyDescent="0.25">
      <c r="C172" s="87" t="s">
        <v>500</v>
      </c>
      <c r="D172" s="4" t="s">
        <v>501</v>
      </c>
      <c r="E172" s="4" t="s">
        <v>501</v>
      </c>
      <c r="F172" s="92">
        <v>5</v>
      </c>
      <c r="G172" s="4" t="s">
        <v>376</v>
      </c>
      <c r="H172" s="4" t="s">
        <v>46</v>
      </c>
      <c r="I172" s="4" t="s">
        <v>377</v>
      </c>
      <c r="J172" s="4" t="s">
        <v>466</v>
      </c>
      <c r="K172" s="4" t="s">
        <v>43</v>
      </c>
      <c r="L172" s="4" t="s">
        <v>51</v>
      </c>
      <c r="M172" s="4" t="s">
        <v>40</v>
      </c>
      <c r="N172" s="4" t="s">
        <v>378</v>
      </c>
      <c r="O172" s="4" t="s">
        <v>500</v>
      </c>
      <c r="P172" s="4" t="s">
        <v>42</v>
      </c>
      <c r="Q172" s="50" t="s">
        <v>43</v>
      </c>
      <c r="R172" s="50"/>
      <c r="S172" s="50" t="s">
        <v>467</v>
      </c>
      <c r="T172" s="4" t="s">
        <v>43</v>
      </c>
      <c r="U172" s="4" t="s">
        <v>43</v>
      </c>
      <c r="W172" s="48">
        <v>1</v>
      </c>
      <c r="X172" s="48">
        <v>1</v>
      </c>
      <c r="Y172" s="48">
        <v>3</v>
      </c>
      <c r="AD172" s="91">
        <f t="shared" si="3"/>
        <v>5</v>
      </c>
      <c r="AE172" s="48" t="s">
        <v>1220</v>
      </c>
    </row>
    <row r="173" spans="3:31" hidden="1" x14ac:dyDescent="0.25">
      <c r="C173" s="87" t="s">
        <v>505</v>
      </c>
      <c r="D173" s="4" t="s">
        <v>506</v>
      </c>
      <c r="E173" s="4" t="s">
        <v>506</v>
      </c>
      <c r="F173" s="92">
        <v>5</v>
      </c>
      <c r="G173" s="4" t="s">
        <v>376</v>
      </c>
      <c r="H173" s="4" t="s">
        <v>46</v>
      </c>
      <c r="I173" s="4" t="s">
        <v>377</v>
      </c>
      <c r="J173" s="4" t="s">
        <v>466</v>
      </c>
      <c r="K173" s="4" t="s">
        <v>43</v>
      </c>
      <c r="L173" s="4" t="s">
        <v>51</v>
      </c>
      <c r="M173" s="4" t="s">
        <v>40</v>
      </c>
      <c r="N173" s="4" t="s">
        <v>378</v>
      </c>
      <c r="O173" s="4" t="s">
        <v>505</v>
      </c>
      <c r="P173" s="4" t="s">
        <v>42</v>
      </c>
      <c r="Q173" s="50" t="s">
        <v>43</v>
      </c>
      <c r="R173" s="50"/>
      <c r="S173" s="50" t="s">
        <v>467</v>
      </c>
      <c r="T173" s="4" t="s">
        <v>43</v>
      </c>
      <c r="U173" s="4" t="s">
        <v>43</v>
      </c>
      <c r="W173" s="48">
        <v>1</v>
      </c>
      <c r="X173" s="48">
        <v>1</v>
      </c>
      <c r="Y173" s="48">
        <v>3</v>
      </c>
      <c r="AD173" s="91">
        <f t="shared" si="3"/>
        <v>5</v>
      </c>
      <c r="AE173" s="48" t="s">
        <v>1220</v>
      </c>
    </row>
    <row r="174" spans="3:31" hidden="1" x14ac:dyDescent="0.25">
      <c r="C174" s="87" t="s">
        <v>507</v>
      </c>
      <c r="D174" s="4" t="s">
        <v>508</v>
      </c>
      <c r="E174" s="4" t="s">
        <v>508</v>
      </c>
      <c r="F174" s="92">
        <v>5</v>
      </c>
      <c r="G174" s="4" t="s">
        <v>376</v>
      </c>
      <c r="H174" s="4" t="s">
        <v>46</v>
      </c>
      <c r="I174" s="4" t="s">
        <v>377</v>
      </c>
      <c r="J174" s="4" t="s">
        <v>466</v>
      </c>
      <c r="K174" s="4" t="s">
        <v>43</v>
      </c>
      <c r="L174" s="4" t="s">
        <v>51</v>
      </c>
      <c r="M174" s="4" t="s">
        <v>40</v>
      </c>
      <c r="N174" s="4" t="s">
        <v>378</v>
      </c>
      <c r="O174" s="4" t="s">
        <v>507</v>
      </c>
      <c r="P174" s="4" t="s">
        <v>42</v>
      </c>
      <c r="Q174" s="50" t="s">
        <v>43</v>
      </c>
      <c r="R174" s="50"/>
      <c r="S174" s="50" t="s">
        <v>467</v>
      </c>
      <c r="T174" s="4" t="s">
        <v>43</v>
      </c>
      <c r="U174" s="4" t="s">
        <v>43</v>
      </c>
      <c r="W174" s="48">
        <v>1</v>
      </c>
      <c r="X174" s="48">
        <v>1</v>
      </c>
      <c r="Y174" s="48">
        <v>3</v>
      </c>
      <c r="AD174" s="91">
        <f t="shared" si="3"/>
        <v>5</v>
      </c>
      <c r="AE174" s="48" t="s">
        <v>1220</v>
      </c>
    </row>
    <row r="175" spans="3:31" hidden="1" x14ac:dyDescent="0.25">
      <c r="C175" s="87" t="s">
        <v>509</v>
      </c>
      <c r="D175" s="4" t="s">
        <v>510</v>
      </c>
      <c r="E175" s="4" t="s">
        <v>510</v>
      </c>
      <c r="F175" s="92">
        <v>5</v>
      </c>
      <c r="G175" s="4" t="s">
        <v>376</v>
      </c>
      <c r="H175" s="4" t="s">
        <v>46</v>
      </c>
      <c r="I175" s="4" t="s">
        <v>377</v>
      </c>
      <c r="J175" s="4" t="s">
        <v>466</v>
      </c>
      <c r="K175" s="4" t="s">
        <v>43</v>
      </c>
      <c r="L175" s="4" t="s">
        <v>51</v>
      </c>
      <c r="M175" s="4" t="s">
        <v>40</v>
      </c>
      <c r="N175" s="4" t="s">
        <v>378</v>
      </c>
      <c r="O175" s="4" t="s">
        <v>509</v>
      </c>
      <c r="P175" s="4" t="s">
        <v>42</v>
      </c>
      <c r="Q175" s="50" t="s">
        <v>43</v>
      </c>
      <c r="R175" s="50"/>
      <c r="S175" s="50" t="s">
        <v>467</v>
      </c>
      <c r="T175" s="4" t="s">
        <v>43</v>
      </c>
      <c r="U175" s="4" t="s">
        <v>43</v>
      </c>
      <c r="W175" s="48">
        <v>1</v>
      </c>
      <c r="X175" s="48">
        <v>1</v>
      </c>
      <c r="Y175" s="48">
        <v>3</v>
      </c>
      <c r="AD175" s="91">
        <f t="shared" si="3"/>
        <v>5</v>
      </c>
      <c r="AE175" s="48" t="s">
        <v>1220</v>
      </c>
    </row>
    <row r="176" spans="3:31" hidden="1" x14ac:dyDescent="0.25">
      <c r="C176" s="87" t="s">
        <v>544</v>
      </c>
      <c r="D176" s="4" t="s">
        <v>545</v>
      </c>
      <c r="E176" s="4" t="s">
        <v>545</v>
      </c>
      <c r="F176" s="92">
        <v>5</v>
      </c>
      <c r="G176" s="4" t="s">
        <v>376</v>
      </c>
      <c r="H176" s="4" t="s">
        <v>46</v>
      </c>
      <c r="I176" s="4" t="s">
        <v>377</v>
      </c>
      <c r="J176" s="4" t="s">
        <v>100</v>
      </c>
      <c r="K176" s="4" t="s">
        <v>43</v>
      </c>
      <c r="L176" s="4" t="s">
        <v>138</v>
      </c>
      <c r="M176" s="4" t="s">
        <v>40</v>
      </c>
      <c r="N176" s="4" t="s">
        <v>514</v>
      </c>
      <c r="O176" s="4" t="s">
        <v>544</v>
      </c>
      <c r="P176" s="4" t="s">
        <v>42</v>
      </c>
      <c r="Q176" s="50" t="s">
        <v>43</v>
      </c>
      <c r="R176" s="50"/>
      <c r="S176" s="50" t="s">
        <v>515</v>
      </c>
      <c r="T176" s="4" t="s">
        <v>43</v>
      </c>
      <c r="U176" s="4" t="s">
        <v>43</v>
      </c>
      <c r="W176" s="48">
        <v>1</v>
      </c>
      <c r="X176" s="48">
        <v>1</v>
      </c>
      <c r="Y176" s="48">
        <v>3</v>
      </c>
      <c r="AD176" s="91">
        <f t="shared" si="3"/>
        <v>5</v>
      </c>
      <c r="AE176" s="48" t="s">
        <v>1220</v>
      </c>
    </row>
    <row r="177" spans="3:31" hidden="1" x14ac:dyDescent="0.25">
      <c r="C177" s="87" t="s">
        <v>494</v>
      </c>
      <c r="D177" s="4" t="s">
        <v>495</v>
      </c>
      <c r="E177" s="4" t="s">
        <v>496</v>
      </c>
      <c r="F177" s="92">
        <v>5.07</v>
      </c>
      <c r="G177" s="4" t="s">
        <v>376</v>
      </c>
      <c r="H177" s="4" t="s">
        <v>46</v>
      </c>
      <c r="I177" s="4" t="s">
        <v>377</v>
      </c>
      <c r="J177" s="4" t="s">
        <v>466</v>
      </c>
      <c r="K177" s="4" t="s">
        <v>43</v>
      </c>
      <c r="L177" s="4" t="s">
        <v>51</v>
      </c>
      <c r="M177" s="4" t="s">
        <v>40</v>
      </c>
      <c r="N177" s="4" t="s">
        <v>378</v>
      </c>
      <c r="O177" s="4" t="s">
        <v>494</v>
      </c>
      <c r="P177" s="4" t="s">
        <v>42</v>
      </c>
      <c r="Q177" s="50" t="s">
        <v>43</v>
      </c>
      <c r="R177" s="50"/>
      <c r="S177" s="50" t="s">
        <v>467</v>
      </c>
      <c r="T177" s="4" t="s">
        <v>43</v>
      </c>
      <c r="U177" s="4" t="s">
        <v>32</v>
      </c>
      <c r="W177" s="48">
        <v>1</v>
      </c>
      <c r="X177" s="48">
        <v>1</v>
      </c>
      <c r="AA177" s="48">
        <v>3</v>
      </c>
      <c r="AC177" s="48">
        <v>4</v>
      </c>
      <c r="AD177" s="91">
        <f t="shared" si="3"/>
        <v>5.0681818181818183</v>
      </c>
      <c r="AE177" s="48" t="e">
        <f>VLOOKUP(C177,#REF!,1,0)</f>
        <v>#REF!</v>
      </c>
    </row>
    <row r="178" spans="3:31" hidden="1" x14ac:dyDescent="0.25">
      <c r="C178" s="87" t="s">
        <v>546</v>
      </c>
      <c r="D178" s="4" t="s">
        <v>547</v>
      </c>
      <c r="E178" s="4" t="s">
        <v>547</v>
      </c>
      <c r="F178" s="92">
        <v>5</v>
      </c>
      <c r="G178" s="4" t="s">
        <v>376</v>
      </c>
      <c r="H178" s="4" t="s">
        <v>46</v>
      </c>
      <c r="I178" s="4" t="s">
        <v>377</v>
      </c>
      <c r="J178" s="4" t="s">
        <v>100</v>
      </c>
      <c r="K178" s="4" t="s">
        <v>43</v>
      </c>
      <c r="L178" s="4" t="s">
        <v>138</v>
      </c>
      <c r="M178" s="4" t="s">
        <v>40</v>
      </c>
      <c r="N178" s="4" t="s">
        <v>514</v>
      </c>
      <c r="O178" s="4" t="s">
        <v>546</v>
      </c>
      <c r="P178" s="4" t="s">
        <v>42</v>
      </c>
      <c r="Q178" s="50" t="s">
        <v>43</v>
      </c>
      <c r="R178" s="50"/>
      <c r="S178" s="50" t="s">
        <v>515</v>
      </c>
      <c r="T178" s="4" t="s">
        <v>43</v>
      </c>
      <c r="U178" s="4" t="s">
        <v>43</v>
      </c>
      <c r="W178" s="48">
        <v>1</v>
      </c>
      <c r="X178" s="48">
        <v>1</v>
      </c>
      <c r="Y178" s="48">
        <v>3</v>
      </c>
      <c r="AD178" s="91">
        <f t="shared" si="3"/>
        <v>5</v>
      </c>
      <c r="AE178" s="48" t="s">
        <v>1220</v>
      </c>
    </row>
    <row r="179" spans="3:31" hidden="1" x14ac:dyDescent="0.25">
      <c r="C179" s="87" t="s">
        <v>548</v>
      </c>
      <c r="D179" s="4" t="s">
        <v>549</v>
      </c>
      <c r="E179" s="4" t="s">
        <v>550</v>
      </c>
      <c r="F179" s="92">
        <v>5</v>
      </c>
      <c r="G179" s="4" t="s">
        <v>376</v>
      </c>
      <c r="H179" s="4" t="s">
        <v>81</v>
      </c>
      <c r="I179" s="4" t="s">
        <v>377</v>
      </c>
      <c r="J179" s="4" t="s">
        <v>100</v>
      </c>
      <c r="K179" s="4" t="s">
        <v>43</v>
      </c>
      <c r="L179" s="4" t="s">
        <v>138</v>
      </c>
      <c r="M179" s="4" t="s">
        <v>40</v>
      </c>
      <c r="N179" s="4" t="s">
        <v>514</v>
      </c>
      <c r="O179" s="4" t="s">
        <v>548</v>
      </c>
      <c r="P179" s="4" t="s">
        <v>42</v>
      </c>
      <c r="Q179" s="50" t="s">
        <v>43</v>
      </c>
      <c r="R179" s="50"/>
      <c r="S179" s="50" t="s">
        <v>515</v>
      </c>
      <c r="T179" s="4" t="s">
        <v>43</v>
      </c>
      <c r="U179" s="4" t="s">
        <v>43</v>
      </c>
      <c r="W179" s="48">
        <v>1</v>
      </c>
      <c r="X179" s="48">
        <v>1</v>
      </c>
      <c r="Y179" s="48">
        <v>3</v>
      </c>
      <c r="AD179" s="91">
        <f t="shared" si="3"/>
        <v>5</v>
      </c>
      <c r="AE179" s="48" t="s">
        <v>1220</v>
      </c>
    </row>
    <row r="180" spans="3:31" hidden="1" x14ac:dyDescent="0.25">
      <c r="C180" s="87" t="s">
        <v>553</v>
      </c>
      <c r="D180" s="4" t="s">
        <v>554</v>
      </c>
      <c r="E180" s="4" t="s">
        <v>554</v>
      </c>
      <c r="F180" s="92">
        <v>5</v>
      </c>
      <c r="G180" s="4" t="s">
        <v>376</v>
      </c>
      <c r="H180" s="4" t="s">
        <v>46</v>
      </c>
      <c r="I180" s="4" t="s">
        <v>377</v>
      </c>
      <c r="J180" s="4" t="s">
        <v>100</v>
      </c>
      <c r="K180" s="4" t="s">
        <v>43</v>
      </c>
      <c r="L180" s="4" t="s">
        <v>138</v>
      </c>
      <c r="M180" s="4" t="s">
        <v>40</v>
      </c>
      <c r="N180" s="4" t="s">
        <v>514</v>
      </c>
      <c r="O180" s="4" t="s">
        <v>553</v>
      </c>
      <c r="P180" s="4" t="s">
        <v>42</v>
      </c>
      <c r="Q180" s="50" t="s">
        <v>43</v>
      </c>
      <c r="R180" s="50"/>
      <c r="S180" s="50" t="s">
        <v>515</v>
      </c>
      <c r="T180" s="4" t="s">
        <v>43</v>
      </c>
      <c r="U180" s="4" t="s">
        <v>43</v>
      </c>
      <c r="W180" s="48">
        <v>1</v>
      </c>
      <c r="X180" s="48">
        <v>1</v>
      </c>
      <c r="Y180" s="48">
        <v>3</v>
      </c>
      <c r="AD180" s="91">
        <f t="shared" si="3"/>
        <v>5</v>
      </c>
      <c r="AE180" s="48" t="s">
        <v>1220</v>
      </c>
    </row>
    <row r="181" spans="3:31" hidden="1" x14ac:dyDescent="0.25">
      <c r="C181" s="87" t="s">
        <v>555</v>
      </c>
      <c r="D181" s="4" t="s">
        <v>556</v>
      </c>
      <c r="E181" s="4" t="s">
        <v>556</v>
      </c>
      <c r="F181" s="92">
        <v>5</v>
      </c>
      <c r="G181" s="4" t="s">
        <v>376</v>
      </c>
      <c r="H181" s="4" t="s">
        <v>46</v>
      </c>
      <c r="I181" s="4" t="s">
        <v>377</v>
      </c>
      <c r="J181" s="4" t="s">
        <v>331</v>
      </c>
      <c r="K181" s="4" t="s">
        <v>43</v>
      </c>
      <c r="L181" s="4" t="s">
        <v>138</v>
      </c>
      <c r="M181" s="4" t="s">
        <v>40</v>
      </c>
      <c r="N181" s="4" t="s">
        <v>422</v>
      </c>
      <c r="O181" s="4" t="s">
        <v>555</v>
      </c>
      <c r="P181" s="4" t="s">
        <v>42</v>
      </c>
      <c r="Q181" s="50" t="s">
        <v>43</v>
      </c>
      <c r="R181" s="50"/>
      <c r="S181" s="50" t="s">
        <v>557</v>
      </c>
      <c r="T181" s="4" t="s">
        <v>43</v>
      </c>
      <c r="U181" s="4" t="s">
        <v>43</v>
      </c>
      <c r="W181" s="48">
        <v>1</v>
      </c>
      <c r="X181" s="48">
        <v>1</v>
      </c>
      <c r="Y181" s="48">
        <v>3</v>
      </c>
      <c r="AD181" s="91">
        <f t="shared" si="3"/>
        <v>5</v>
      </c>
      <c r="AE181" s="48" t="s">
        <v>1220</v>
      </c>
    </row>
    <row r="182" spans="3:31" hidden="1" x14ac:dyDescent="0.25">
      <c r="C182" s="87" t="s">
        <v>567</v>
      </c>
      <c r="D182" s="4" t="s">
        <v>568</v>
      </c>
      <c r="E182" s="4" t="s">
        <v>568</v>
      </c>
      <c r="F182" s="92">
        <v>5</v>
      </c>
      <c r="G182" s="4" t="s">
        <v>376</v>
      </c>
      <c r="H182" s="4" t="s">
        <v>46</v>
      </c>
      <c r="I182" s="4" t="s">
        <v>377</v>
      </c>
      <c r="J182" s="4" t="s">
        <v>331</v>
      </c>
      <c r="K182" s="4" t="s">
        <v>43</v>
      </c>
      <c r="L182" s="4" t="s">
        <v>138</v>
      </c>
      <c r="M182" s="4" t="s">
        <v>40</v>
      </c>
      <c r="N182" s="4" t="s">
        <v>422</v>
      </c>
      <c r="O182" s="4" t="s">
        <v>567</v>
      </c>
      <c r="P182" s="4" t="s">
        <v>42</v>
      </c>
      <c r="Q182" s="50" t="s">
        <v>43</v>
      </c>
      <c r="R182" s="50"/>
      <c r="S182" s="50" t="s">
        <v>557</v>
      </c>
      <c r="T182" s="4" t="s">
        <v>43</v>
      </c>
      <c r="U182" s="4" t="s">
        <v>43</v>
      </c>
      <c r="W182" s="48">
        <v>1</v>
      </c>
      <c r="X182" s="48">
        <v>1</v>
      </c>
      <c r="Y182" s="48">
        <v>3</v>
      </c>
      <c r="AD182" s="91">
        <f t="shared" si="3"/>
        <v>5</v>
      </c>
      <c r="AE182" s="48" t="s">
        <v>1220</v>
      </c>
    </row>
    <row r="183" spans="3:31" hidden="1" x14ac:dyDescent="0.25">
      <c r="C183" s="87" t="s">
        <v>576</v>
      </c>
      <c r="D183" s="4" t="s">
        <v>577</v>
      </c>
      <c r="E183" s="4" t="s">
        <v>577</v>
      </c>
      <c r="F183" s="92">
        <v>5</v>
      </c>
      <c r="G183" s="4" t="s">
        <v>376</v>
      </c>
      <c r="H183" s="4" t="s">
        <v>46</v>
      </c>
      <c r="I183" s="4" t="s">
        <v>377</v>
      </c>
      <c r="J183" s="4" t="s">
        <v>331</v>
      </c>
      <c r="K183" s="4" t="s">
        <v>43</v>
      </c>
      <c r="L183" s="4" t="s">
        <v>138</v>
      </c>
      <c r="M183" s="4" t="s">
        <v>40</v>
      </c>
      <c r="N183" s="4" t="s">
        <v>422</v>
      </c>
      <c r="O183" s="4" t="s">
        <v>576</v>
      </c>
      <c r="P183" s="4" t="s">
        <v>42</v>
      </c>
      <c r="Q183" s="50" t="s">
        <v>43</v>
      </c>
      <c r="R183" s="50"/>
      <c r="S183" s="50" t="s">
        <v>557</v>
      </c>
      <c r="T183" s="4" t="s">
        <v>43</v>
      </c>
      <c r="U183" s="4" t="s">
        <v>43</v>
      </c>
      <c r="W183" s="48">
        <v>1</v>
      </c>
      <c r="X183" s="48">
        <v>1</v>
      </c>
      <c r="Y183" s="48">
        <v>3</v>
      </c>
      <c r="AD183" s="91">
        <f t="shared" si="3"/>
        <v>5</v>
      </c>
      <c r="AE183" s="48" t="s">
        <v>1220</v>
      </c>
    </row>
    <row r="184" spans="3:31" hidden="1" x14ac:dyDescent="0.25">
      <c r="C184" s="87" t="s">
        <v>511</v>
      </c>
      <c r="D184" s="4" t="s">
        <v>512</v>
      </c>
      <c r="E184" s="4" t="s">
        <v>513</v>
      </c>
      <c r="F184" s="92">
        <v>10.58</v>
      </c>
      <c r="G184" s="4" t="s">
        <v>376</v>
      </c>
      <c r="H184" s="4" t="s">
        <v>46</v>
      </c>
      <c r="I184" s="4" t="s">
        <v>377</v>
      </c>
      <c r="J184" s="4" t="s">
        <v>100</v>
      </c>
      <c r="K184" s="4" t="s">
        <v>43</v>
      </c>
      <c r="L184" s="4" t="s">
        <v>138</v>
      </c>
      <c r="M184" s="4" t="s">
        <v>40</v>
      </c>
      <c r="N184" s="4" t="s">
        <v>514</v>
      </c>
      <c r="O184" s="4" t="s">
        <v>511</v>
      </c>
      <c r="P184" s="4" t="s">
        <v>379</v>
      </c>
      <c r="Q184" s="50" t="s">
        <v>43</v>
      </c>
      <c r="R184" s="50"/>
      <c r="S184" s="50" t="s">
        <v>515</v>
      </c>
      <c r="T184" s="4" t="s">
        <v>43</v>
      </c>
      <c r="U184" s="4" t="s">
        <v>43</v>
      </c>
      <c r="W184" s="48">
        <v>1</v>
      </c>
      <c r="X184" s="48">
        <v>2</v>
      </c>
      <c r="Y184" s="48">
        <v>7</v>
      </c>
      <c r="AA184" s="48">
        <v>1</v>
      </c>
      <c r="AD184" s="91">
        <f t="shared" si="3"/>
        <v>10.568181818181818</v>
      </c>
      <c r="AE184" s="48" t="e">
        <f>VLOOKUP(C184,#REF!,1,0)</f>
        <v>#REF!</v>
      </c>
    </row>
    <row r="185" spans="3:31" hidden="1" x14ac:dyDescent="0.25">
      <c r="C185" s="87" t="s">
        <v>791</v>
      </c>
      <c r="D185" s="4" t="s">
        <v>792</v>
      </c>
      <c r="E185" s="4" t="s">
        <v>793</v>
      </c>
      <c r="F185" s="92">
        <v>3.36</v>
      </c>
      <c r="G185" s="4" t="s">
        <v>376</v>
      </c>
      <c r="H185" s="4" t="s">
        <v>46</v>
      </c>
      <c r="I185" s="4" t="s">
        <v>421</v>
      </c>
      <c r="J185" s="4" t="s">
        <v>73</v>
      </c>
      <c r="K185" s="4" t="s">
        <v>43</v>
      </c>
      <c r="L185" s="4" t="s">
        <v>109</v>
      </c>
      <c r="M185" s="4" t="s">
        <v>91</v>
      </c>
      <c r="N185" s="4" t="s">
        <v>378</v>
      </c>
      <c r="O185" s="4" t="s">
        <v>791</v>
      </c>
      <c r="P185" s="4" t="s">
        <v>42</v>
      </c>
      <c r="Q185" s="50" t="s">
        <v>43</v>
      </c>
      <c r="R185" s="50"/>
      <c r="S185" s="50" t="s">
        <v>772</v>
      </c>
      <c r="T185" s="4" t="s">
        <v>43</v>
      </c>
      <c r="U185" s="4" t="s">
        <v>43</v>
      </c>
      <c r="W185" s="48">
        <v>1</v>
      </c>
      <c r="X185" s="48">
        <v>1</v>
      </c>
      <c r="Z185" s="48">
        <v>1</v>
      </c>
      <c r="AC185" s="48">
        <v>2</v>
      </c>
      <c r="AD185" s="91">
        <f t="shared" si="3"/>
        <v>3.3636363636363633</v>
      </c>
      <c r="AE185" s="48" t="e">
        <f>VLOOKUP(C185,#REF!,1,0)</f>
        <v>#REF!</v>
      </c>
    </row>
    <row r="186" spans="3:31" hidden="1" x14ac:dyDescent="0.25">
      <c r="C186" s="87" t="s">
        <v>879</v>
      </c>
      <c r="D186" s="4" t="s">
        <v>880</v>
      </c>
      <c r="E186" s="4" t="s">
        <v>880</v>
      </c>
      <c r="F186" s="92">
        <v>3.92</v>
      </c>
      <c r="G186" s="4" t="s">
        <v>376</v>
      </c>
      <c r="H186" s="4" t="s">
        <v>46</v>
      </c>
      <c r="I186" s="4" t="s">
        <v>377</v>
      </c>
      <c r="J186" s="4" t="s">
        <v>132</v>
      </c>
      <c r="K186" s="4" t="s">
        <v>43</v>
      </c>
      <c r="L186" s="4" t="s">
        <v>138</v>
      </c>
      <c r="M186" s="4" t="s">
        <v>40</v>
      </c>
      <c r="N186" s="4" t="s">
        <v>514</v>
      </c>
      <c r="O186" s="4" t="s">
        <v>879</v>
      </c>
      <c r="P186" s="4" t="s">
        <v>42</v>
      </c>
      <c r="Q186" s="50" t="s">
        <v>43</v>
      </c>
      <c r="R186" s="50"/>
      <c r="S186" s="50" t="s">
        <v>847</v>
      </c>
      <c r="T186" s="4" t="s">
        <v>43</v>
      </c>
      <c r="U186" s="4" t="s">
        <v>43</v>
      </c>
      <c r="W186" s="48">
        <v>1</v>
      </c>
      <c r="X186" s="48">
        <v>1</v>
      </c>
      <c r="Z186" s="48">
        <v>3</v>
      </c>
      <c r="AD186" s="91">
        <f t="shared" si="3"/>
        <v>4.045454545454545</v>
      </c>
      <c r="AE186" s="48" t="e">
        <f>VLOOKUP(C186,#REF!,1,0)</f>
        <v>#REF!</v>
      </c>
    </row>
    <row r="187" spans="3:31" hidden="1" x14ac:dyDescent="0.25">
      <c r="C187" s="87" t="s">
        <v>521</v>
      </c>
      <c r="D187" s="4" t="s">
        <v>522</v>
      </c>
      <c r="E187" s="4" t="s">
        <v>522</v>
      </c>
      <c r="F187" s="92">
        <v>6</v>
      </c>
      <c r="G187" s="4" t="s">
        <v>376</v>
      </c>
      <c r="H187" s="4" t="s">
        <v>46</v>
      </c>
      <c r="I187" s="4" t="s">
        <v>377</v>
      </c>
      <c r="J187" s="4" t="s">
        <v>100</v>
      </c>
      <c r="K187" s="4" t="s">
        <v>43</v>
      </c>
      <c r="L187" s="4" t="s">
        <v>138</v>
      </c>
      <c r="M187" s="4" t="s">
        <v>40</v>
      </c>
      <c r="N187" s="4" t="s">
        <v>514</v>
      </c>
      <c r="O187" s="4" t="s">
        <v>521</v>
      </c>
      <c r="P187" s="4" t="s">
        <v>42</v>
      </c>
      <c r="Q187" s="50" t="s">
        <v>43</v>
      </c>
      <c r="R187" s="50"/>
      <c r="S187" s="50" t="s">
        <v>515</v>
      </c>
      <c r="T187" s="4" t="s">
        <v>43</v>
      </c>
      <c r="U187" s="4" t="s">
        <v>43</v>
      </c>
      <c r="W187" s="48">
        <v>1</v>
      </c>
      <c r="X187" s="48">
        <v>1</v>
      </c>
      <c r="Y187" s="48">
        <v>4</v>
      </c>
      <c r="AD187" s="91">
        <f t="shared" si="3"/>
        <v>6</v>
      </c>
      <c r="AE187" s="48" t="e">
        <f>VLOOKUP(C187,#REF!,1,0)</f>
        <v>#REF!</v>
      </c>
    </row>
    <row r="188" spans="3:31" hidden="1" x14ac:dyDescent="0.25">
      <c r="C188" s="87" t="s">
        <v>523</v>
      </c>
      <c r="D188" s="4" t="s">
        <v>524</v>
      </c>
      <c r="E188" s="4" t="s">
        <v>524</v>
      </c>
      <c r="F188" s="92">
        <v>6</v>
      </c>
      <c r="G188" s="4" t="s">
        <v>376</v>
      </c>
      <c r="H188" s="4" t="s">
        <v>46</v>
      </c>
      <c r="I188" s="4" t="s">
        <v>377</v>
      </c>
      <c r="J188" s="4" t="s">
        <v>100</v>
      </c>
      <c r="K188" s="4" t="s">
        <v>43</v>
      </c>
      <c r="L188" s="4" t="s">
        <v>138</v>
      </c>
      <c r="M188" s="4" t="s">
        <v>40</v>
      </c>
      <c r="N188" s="4" t="s">
        <v>514</v>
      </c>
      <c r="O188" s="4" t="s">
        <v>523</v>
      </c>
      <c r="P188" s="4" t="s">
        <v>42</v>
      </c>
      <c r="Q188" s="50" t="s">
        <v>43</v>
      </c>
      <c r="R188" s="50"/>
      <c r="S188" s="50" t="s">
        <v>515</v>
      </c>
      <c r="T188" s="4" t="s">
        <v>43</v>
      </c>
      <c r="U188" s="4" t="s">
        <v>43</v>
      </c>
      <c r="W188" s="48">
        <v>1</v>
      </c>
      <c r="X188" s="48">
        <v>1</v>
      </c>
      <c r="Y188" s="48">
        <v>4</v>
      </c>
      <c r="AD188" s="91">
        <f t="shared" si="3"/>
        <v>6</v>
      </c>
      <c r="AE188" s="48" t="e">
        <f>VLOOKUP(C188,#REF!,1,0)</f>
        <v>#REF!</v>
      </c>
    </row>
    <row r="189" spans="3:31" hidden="1" x14ac:dyDescent="0.25">
      <c r="C189" s="87" t="s">
        <v>872</v>
      </c>
      <c r="D189" s="4" t="s">
        <v>873</v>
      </c>
      <c r="E189" s="4" t="s">
        <v>874</v>
      </c>
      <c r="F189" s="92">
        <v>3.93</v>
      </c>
      <c r="G189" s="4" t="s">
        <v>376</v>
      </c>
      <c r="H189" s="4" t="s">
        <v>81</v>
      </c>
      <c r="I189" s="4" t="s">
        <v>377</v>
      </c>
      <c r="J189" s="4" t="s">
        <v>132</v>
      </c>
      <c r="K189" s="4" t="s">
        <v>43</v>
      </c>
      <c r="L189" s="4" t="s">
        <v>138</v>
      </c>
      <c r="M189" s="4" t="s">
        <v>40</v>
      </c>
      <c r="N189" s="4" t="s">
        <v>514</v>
      </c>
      <c r="O189" s="4" t="s">
        <v>872</v>
      </c>
      <c r="P189" s="4" t="s">
        <v>42</v>
      </c>
      <c r="Q189" s="50" t="s">
        <v>43</v>
      </c>
      <c r="R189" s="50"/>
      <c r="S189" s="50" t="s">
        <v>847</v>
      </c>
      <c r="T189" s="4" t="s">
        <v>43</v>
      </c>
      <c r="U189" s="4" t="s">
        <v>32</v>
      </c>
      <c r="W189" s="48">
        <v>1</v>
      </c>
      <c r="X189" s="48">
        <v>1</v>
      </c>
      <c r="Z189" s="48">
        <v>3</v>
      </c>
      <c r="AD189" s="91">
        <f t="shared" si="3"/>
        <v>4.045454545454545</v>
      </c>
      <c r="AE189" s="48" t="e">
        <f>VLOOKUP(C189,#REF!,1,0)</f>
        <v>#REF!</v>
      </c>
    </row>
    <row r="190" spans="3:31" hidden="1" x14ac:dyDescent="0.25">
      <c r="C190" s="87" t="s">
        <v>875</v>
      </c>
      <c r="D190" s="4" t="s">
        <v>876</v>
      </c>
      <c r="E190" s="4" t="s">
        <v>876</v>
      </c>
      <c r="F190" s="92">
        <v>3.93</v>
      </c>
      <c r="G190" s="4" t="s">
        <v>376</v>
      </c>
      <c r="H190" s="4" t="s">
        <v>81</v>
      </c>
      <c r="I190" s="4" t="s">
        <v>377</v>
      </c>
      <c r="J190" s="4" t="s">
        <v>132</v>
      </c>
      <c r="K190" s="4" t="s">
        <v>43</v>
      </c>
      <c r="L190" s="4" t="s">
        <v>856</v>
      </c>
      <c r="M190" s="4" t="s">
        <v>40</v>
      </c>
      <c r="N190" s="4" t="s">
        <v>514</v>
      </c>
      <c r="O190" s="4" t="s">
        <v>875</v>
      </c>
      <c r="P190" s="4" t="s">
        <v>42</v>
      </c>
      <c r="Q190" s="50" t="s">
        <v>43</v>
      </c>
      <c r="R190" s="50"/>
      <c r="S190" s="50" t="s">
        <v>847</v>
      </c>
      <c r="T190" s="4" t="s">
        <v>43</v>
      </c>
      <c r="U190" s="4" t="s">
        <v>43</v>
      </c>
      <c r="W190" s="48">
        <v>1</v>
      </c>
      <c r="X190" s="48">
        <v>1</v>
      </c>
      <c r="Z190" s="48">
        <v>3</v>
      </c>
      <c r="AD190" s="91">
        <f t="shared" si="3"/>
        <v>4.045454545454545</v>
      </c>
      <c r="AE190" s="48" t="e">
        <f>VLOOKUP(C190,#REF!,1,0)</f>
        <v>#REF!</v>
      </c>
    </row>
    <row r="191" spans="3:31" hidden="1" x14ac:dyDescent="0.25">
      <c r="C191" s="87" t="s">
        <v>531</v>
      </c>
      <c r="D191" s="4" t="s">
        <v>532</v>
      </c>
      <c r="E191" s="4" t="s">
        <v>533</v>
      </c>
      <c r="F191" s="92">
        <v>5.45</v>
      </c>
      <c r="G191" s="4" t="s">
        <v>376</v>
      </c>
      <c r="H191" s="4" t="s">
        <v>46</v>
      </c>
      <c r="I191" s="4" t="s">
        <v>377</v>
      </c>
      <c r="J191" s="4" t="s">
        <v>100</v>
      </c>
      <c r="K191" s="4" t="s">
        <v>43</v>
      </c>
      <c r="L191" s="4" t="s">
        <v>138</v>
      </c>
      <c r="M191" s="4" t="s">
        <v>40</v>
      </c>
      <c r="N191" s="4" t="s">
        <v>514</v>
      </c>
      <c r="O191" s="4" t="s">
        <v>531</v>
      </c>
      <c r="P191" s="4" t="s">
        <v>42</v>
      </c>
      <c r="Q191" s="50" t="s">
        <v>43</v>
      </c>
      <c r="R191" s="50"/>
      <c r="S191" s="50" t="s">
        <v>515</v>
      </c>
      <c r="T191" s="4" t="s">
        <v>43</v>
      </c>
      <c r="U191" s="4" t="s">
        <v>32</v>
      </c>
      <c r="W191" s="48">
        <v>1</v>
      </c>
      <c r="X191" s="48">
        <v>2</v>
      </c>
      <c r="Y191" s="48">
        <v>2</v>
      </c>
      <c r="AB191" s="48">
        <v>1</v>
      </c>
      <c r="AD191" s="91">
        <f t="shared" si="3"/>
        <v>5.4545454545454541</v>
      </c>
      <c r="AE191" s="48" t="e">
        <f>VLOOKUP(C191,#REF!,1,0)</f>
        <v>#REF!</v>
      </c>
    </row>
    <row r="192" spans="3:31" hidden="1" x14ac:dyDescent="0.25">
      <c r="C192" s="87" t="s">
        <v>534</v>
      </c>
      <c r="D192" s="4" t="s">
        <v>535</v>
      </c>
      <c r="E192" s="4" t="s">
        <v>536</v>
      </c>
      <c r="F192" s="92">
        <v>5.45</v>
      </c>
      <c r="G192" s="4" t="s">
        <v>376</v>
      </c>
      <c r="H192" s="4" t="s">
        <v>46</v>
      </c>
      <c r="I192" s="4" t="s">
        <v>377</v>
      </c>
      <c r="J192" s="4" t="s">
        <v>100</v>
      </c>
      <c r="K192" s="4" t="s">
        <v>43</v>
      </c>
      <c r="L192" s="4" t="s">
        <v>138</v>
      </c>
      <c r="M192" s="4" t="s">
        <v>40</v>
      </c>
      <c r="N192" s="4" t="s">
        <v>514</v>
      </c>
      <c r="O192" s="4" t="s">
        <v>534</v>
      </c>
      <c r="P192" s="4" t="s">
        <v>42</v>
      </c>
      <c r="Q192" s="50" t="s">
        <v>43</v>
      </c>
      <c r="R192" s="50"/>
      <c r="S192" s="50" t="s">
        <v>515</v>
      </c>
      <c r="T192" s="4" t="s">
        <v>43</v>
      </c>
      <c r="U192" s="4" t="s">
        <v>43</v>
      </c>
      <c r="W192" s="48">
        <v>1</v>
      </c>
      <c r="X192" s="48">
        <v>2</v>
      </c>
      <c r="Y192" s="48">
        <v>2</v>
      </c>
      <c r="AB192" s="48">
        <v>1</v>
      </c>
      <c r="AD192" s="91">
        <f t="shared" si="3"/>
        <v>5.4545454545454541</v>
      </c>
      <c r="AE192" s="48" t="e">
        <f>VLOOKUP(C192,#REF!,1,0)</f>
        <v>#REF!</v>
      </c>
    </row>
    <row r="193" spans="3:31" hidden="1" x14ac:dyDescent="0.25">
      <c r="C193" s="87" t="s">
        <v>537</v>
      </c>
      <c r="D193" s="4" t="s">
        <v>538</v>
      </c>
      <c r="E193" s="4" t="s">
        <v>538</v>
      </c>
      <c r="F193" s="92">
        <v>6.13</v>
      </c>
      <c r="G193" s="4" t="s">
        <v>376</v>
      </c>
      <c r="H193" s="4" t="s">
        <v>46</v>
      </c>
      <c r="I193" s="4" t="s">
        <v>377</v>
      </c>
      <c r="J193" s="4" t="s">
        <v>100</v>
      </c>
      <c r="K193" s="4" t="s">
        <v>43</v>
      </c>
      <c r="L193" s="4" t="s">
        <v>64</v>
      </c>
      <c r="M193" s="4" t="s">
        <v>40</v>
      </c>
      <c r="N193" s="4" t="s">
        <v>514</v>
      </c>
      <c r="O193" s="4" t="s">
        <v>537</v>
      </c>
      <c r="P193" s="4" t="s">
        <v>379</v>
      </c>
      <c r="Q193" s="50" t="s">
        <v>43</v>
      </c>
      <c r="R193" s="50"/>
      <c r="S193" s="50" t="s">
        <v>515</v>
      </c>
      <c r="T193" s="4" t="s">
        <v>43</v>
      </c>
      <c r="U193" s="4" t="s">
        <v>43</v>
      </c>
      <c r="W193" s="48">
        <v>1</v>
      </c>
      <c r="X193" s="48">
        <v>1</v>
      </c>
      <c r="Y193" s="48">
        <v>3</v>
      </c>
      <c r="Z193" s="48">
        <v>1</v>
      </c>
      <c r="AB193" s="48">
        <v>1</v>
      </c>
      <c r="AD193" s="91">
        <f t="shared" si="3"/>
        <v>6.1363636363636358</v>
      </c>
      <c r="AE193" s="48" t="e">
        <f>VLOOKUP(C193,#REF!,1,0)</f>
        <v>#REF!</v>
      </c>
    </row>
    <row r="194" spans="3:31" hidden="1" x14ac:dyDescent="0.25">
      <c r="C194" s="87" t="s">
        <v>539</v>
      </c>
      <c r="D194" s="4" t="s">
        <v>540</v>
      </c>
      <c r="E194" s="4" t="s">
        <v>541</v>
      </c>
      <c r="F194" s="92">
        <v>6.13</v>
      </c>
      <c r="G194" s="4" t="s">
        <v>376</v>
      </c>
      <c r="H194" s="4" t="s">
        <v>46</v>
      </c>
      <c r="I194" s="4" t="s">
        <v>377</v>
      </c>
      <c r="J194" s="4" t="s">
        <v>100</v>
      </c>
      <c r="K194" s="4" t="s">
        <v>43</v>
      </c>
      <c r="L194" s="4" t="s">
        <v>51</v>
      </c>
      <c r="M194" s="4" t="s">
        <v>40</v>
      </c>
      <c r="N194" s="4" t="s">
        <v>514</v>
      </c>
      <c r="O194" s="4" t="s">
        <v>539</v>
      </c>
      <c r="P194" s="4" t="s">
        <v>42</v>
      </c>
      <c r="Q194" s="50" t="s">
        <v>43</v>
      </c>
      <c r="R194" s="50"/>
      <c r="S194" s="50" t="s">
        <v>515</v>
      </c>
      <c r="T194" s="4" t="s">
        <v>43</v>
      </c>
      <c r="U194" s="4" t="s">
        <v>43</v>
      </c>
      <c r="W194" s="48">
        <v>1</v>
      </c>
      <c r="X194" s="48">
        <v>2</v>
      </c>
      <c r="Y194" s="48">
        <v>2</v>
      </c>
      <c r="Z194" s="48">
        <v>1</v>
      </c>
      <c r="AB194" s="48">
        <v>1</v>
      </c>
      <c r="AD194" s="91">
        <f t="shared" si="3"/>
        <v>6.1363636363636358</v>
      </c>
      <c r="AE194" s="48" t="e">
        <f>VLOOKUP(C194,#REF!,1,0)</f>
        <v>#REF!</v>
      </c>
    </row>
    <row r="195" spans="3:31" hidden="1" x14ac:dyDescent="0.25">
      <c r="C195" s="87" t="s">
        <v>542</v>
      </c>
      <c r="D195" s="4" t="s">
        <v>543</v>
      </c>
      <c r="E195" s="4" t="s">
        <v>543</v>
      </c>
      <c r="F195" s="92">
        <v>6</v>
      </c>
      <c r="G195" s="4" t="s">
        <v>376</v>
      </c>
      <c r="H195" s="4" t="s">
        <v>46</v>
      </c>
      <c r="I195" s="4" t="s">
        <v>377</v>
      </c>
      <c r="J195" s="4" t="s">
        <v>100</v>
      </c>
      <c r="K195" s="4" t="s">
        <v>43</v>
      </c>
      <c r="L195" s="4" t="s">
        <v>138</v>
      </c>
      <c r="M195" s="4" t="s">
        <v>40</v>
      </c>
      <c r="N195" s="4" t="s">
        <v>514</v>
      </c>
      <c r="O195" s="4" t="s">
        <v>542</v>
      </c>
      <c r="P195" s="4" t="s">
        <v>42</v>
      </c>
      <c r="Q195" s="50" t="s">
        <v>43</v>
      </c>
      <c r="R195" s="50"/>
      <c r="S195" s="50" t="s">
        <v>515</v>
      </c>
      <c r="T195" s="4" t="s">
        <v>43</v>
      </c>
      <c r="U195" s="4" t="s">
        <v>43</v>
      </c>
      <c r="W195" s="48">
        <v>1</v>
      </c>
      <c r="X195" s="48">
        <v>1</v>
      </c>
      <c r="Y195" s="48">
        <v>4</v>
      </c>
      <c r="AD195" s="91">
        <f t="shared" si="3"/>
        <v>6</v>
      </c>
      <c r="AE195" s="48" t="e">
        <f>VLOOKUP(C195,#REF!,1,0)</f>
        <v>#REF!</v>
      </c>
    </row>
    <row r="196" spans="3:31" hidden="1" x14ac:dyDescent="0.25">
      <c r="C196" s="87" t="s">
        <v>578</v>
      </c>
      <c r="D196" s="4" t="s">
        <v>579</v>
      </c>
      <c r="E196" s="4" t="s">
        <v>579</v>
      </c>
      <c r="F196" s="92">
        <v>5</v>
      </c>
      <c r="G196" s="4" t="s">
        <v>376</v>
      </c>
      <c r="H196" s="4" t="s">
        <v>46</v>
      </c>
      <c r="I196" s="4" t="s">
        <v>377</v>
      </c>
      <c r="J196" s="4" t="s">
        <v>331</v>
      </c>
      <c r="K196" s="4" t="s">
        <v>43</v>
      </c>
      <c r="L196" s="4" t="s">
        <v>138</v>
      </c>
      <c r="M196" s="4" t="s">
        <v>40</v>
      </c>
      <c r="N196" s="4" t="s">
        <v>422</v>
      </c>
      <c r="O196" s="4" t="s">
        <v>578</v>
      </c>
      <c r="P196" s="4" t="s">
        <v>42</v>
      </c>
      <c r="Q196" s="50" t="s">
        <v>43</v>
      </c>
      <c r="R196" s="50"/>
      <c r="S196" s="50" t="s">
        <v>557</v>
      </c>
      <c r="T196" s="4" t="s">
        <v>43</v>
      </c>
      <c r="U196" s="4" t="s">
        <v>43</v>
      </c>
      <c r="W196" s="48">
        <v>1</v>
      </c>
      <c r="X196" s="48">
        <v>1</v>
      </c>
      <c r="Y196" s="48">
        <v>3</v>
      </c>
      <c r="AD196" s="91">
        <f t="shared" si="3"/>
        <v>5</v>
      </c>
      <c r="AE196" s="48" t="s">
        <v>1220</v>
      </c>
    </row>
    <row r="197" spans="3:31" hidden="1" x14ac:dyDescent="0.25">
      <c r="C197" s="87" t="s">
        <v>580</v>
      </c>
      <c r="D197" s="4" t="s">
        <v>581</v>
      </c>
      <c r="E197" s="4" t="s">
        <v>581</v>
      </c>
      <c r="F197" s="92">
        <v>5</v>
      </c>
      <c r="G197" s="4" t="s">
        <v>376</v>
      </c>
      <c r="H197" s="4" t="s">
        <v>46</v>
      </c>
      <c r="I197" s="4" t="s">
        <v>377</v>
      </c>
      <c r="J197" s="4" t="s">
        <v>331</v>
      </c>
      <c r="K197" s="4" t="s">
        <v>43</v>
      </c>
      <c r="L197" s="4" t="s">
        <v>138</v>
      </c>
      <c r="M197" s="4" t="s">
        <v>40</v>
      </c>
      <c r="N197" s="4" t="s">
        <v>422</v>
      </c>
      <c r="O197" s="4" t="s">
        <v>580</v>
      </c>
      <c r="P197" s="4" t="s">
        <v>42</v>
      </c>
      <c r="Q197" s="50" t="s">
        <v>43</v>
      </c>
      <c r="R197" s="50"/>
      <c r="S197" s="50" t="s">
        <v>557</v>
      </c>
      <c r="T197" s="4" t="s">
        <v>43</v>
      </c>
      <c r="U197" s="4" t="s">
        <v>43</v>
      </c>
      <c r="W197" s="48">
        <v>1</v>
      </c>
      <c r="X197" s="48">
        <v>1</v>
      </c>
      <c r="Y197" s="48">
        <v>3</v>
      </c>
      <c r="AD197" s="91">
        <f t="shared" si="3"/>
        <v>5</v>
      </c>
      <c r="AE197" s="48" t="s">
        <v>1220</v>
      </c>
    </row>
    <row r="198" spans="3:31" hidden="1" x14ac:dyDescent="0.25">
      <c r="C198" s="87" t="s">
        <v>582</v>
      </c>
      <c r="D198" s="4" t="s">
        <v>583</v>
      </c>
      <c r="E198" s="4" t="s">
        <v>583</v>
      </c>
      <c r="F198" s="92">
        <v>5</v>
      </c>
      <c r="G198" s="4" t="s">
        <v>376</v>
      </c>
      <c r="H198" s="4" t="s">
        <v>46</v>
      </c>
      <c r="I198" s="4" t="s">
        <v>377</v>
      </c>
      <c r="J198" s="4" t="s">
        <v>331</v>
      </c>
      <c r="K198" s="4" t="s">
        <v>43</v>
      </c>
      <c r="L198" s="4" t="s">
        <v>138</v>
      </c>
      <c r="M198" s="4" t="s">
        <v>40</v>
      </c>
      <c r="N198" s="4" t="s">
        <v>422</v>
      </c>
      <c r="O198" s="4" t="s">
        <v>582</v>
      </c>
      <c r="P198" s="4" t="s">
        <v>42</v>
      </c>
      <c r="Q198" s="50" t="s">
        <v>43</v>
      </c>
      <c r="R198" s="50"/>
      <c r="S198" s="50" t="s">
        <v>557</v>
      </c>
      <c r="T198" s="4" t="s">
        <v>43</v>
      </c>
      <c r="U198" s="4" t="s">
        <v>43</v>
      </c>
      <c r="W198" s="48">
        <v>1</v>
      </c>
      <c r="X198" s="48">
        <v>1</v>
      </c>
      <c r="Y198" s="48">
        <v>3</v>
      </c>
      <c r="AD198" s="91">
        <f t="shared" si="3"/>
        <v>5</v>
      </c>
      <c r="AE198" s="48" t="s">
        <v>1220</v>
      </c>
    </row>
    <row r="199" spans="3:31" hidden="1" x14ac:dyDescent="0.25">
      <c r="C199" s="87" t="s">
        <v>584</v>
      </c>
      <c r="D199" s="4" t="s">
        <v>585</v>
      </c>
      <c r="E199" s="4" t="s">
        <v>585</v>
      </c>
      <c r="F199" s="92">
        <v>5</v>
      </c>
      <c r="G199" s="4" t="s">
        <v>376</v>
      </c>
      <c r="H199" s="4" t="s">
        <v>46</v>
      </c>
      <c r="I199" s="4" t="s">
        <v>377</v>
      </c>
      <c r="J199" s="4" t="s">
        <v>331</v>
      </c>
      <c r="K199" s="4" t="s">
        <v>43</v>
      </c>
      <c r="L199" s="4" t="s">
        <v>138</v>
      </c>
      <c r="M199" s="4" t="s">
        <v>40</v>
      </c>
      <c r="N199" s="4" t="s">
        <v>422</v>
      </c>
      <c r="O199" s="4" t="s">
        <v>584</v>
      </c>
      <c r="P199" s="4" t="s">
        <v>42</v>
      </c>
      <c r="Q199" s="50" t="s">
        <v>43</v>
      </c>
      <c r="R199" s="50"/>
      <c r="S199" s="50" t="s">
        <v>557</v>
      </c>
      <c r="T199" s="4" t="s">
        <v>43</v>
      </c>
      <c r="U199" s="4" t="s">
        <v>43</v>
      </c>
      <c r="W199" s="48">
        <v>1</v>
      </c>
      <c r="X199" s="48">
        <v>1</v>
      </c>
      <c r="Y199" s="48">
        <v>3</v>
      </c>
      <c r="AD199" s="91">
        <f t="shared" si="3"/>
        <v>5</v>
      </c>
      <c r="AE199" s="48" t="s">
        <v>1220</v>
      </c>
    </row>
    <row r="200" spans="3:31" hidden="1" x14ac:dyDescent="0.25">
      <c r="C200" s="87" t="s">
        <v>586</v>
      </c>
      <c r="D200" s="4" t="s">
        <v>587</v>
      </c>
      <c r="E200" s="4" t="s">
        <v>587</v>
      </c>
      <c r="F200" s="92">
        <v>5</v>
      </c>
      <c r="G200" s="4" t="s">
        <v>376</v>
      </c>
      <c r="H200" s="4" t="s">
        <v>46</v>
      </c>
      <c r="I200" s="4" t="s">
        <v>377</v>
      </c>
      <c r="J200" s="4" t="s">
        <v>331</v>
      </c>
      <c r="K200" s="4" t="s">
        <v>43</v>
      </c>
      <c r="L200" s="4" t="s">
        <v>138</v>
      </c>
      <c r="M200" s="4" t="s">
        <v>40</v>
      </c>
      <c r="N200" s="4" t="s">
        <v>422</v>
      </c>
      <c r="O200" s="4" t="s">
        <v>586</v>
      </c>
      <c r="P200" s="4" t="s">
        <v>42</v>
      </c>
      <c r="Q200" s="50" t="s">
        <v>43</v>
      </c>
      <c r="R200" s="50"/>
      <c r="S200" s="50" t="s">
        <v>557</v>
      </c>
      <c r="T200" s="4" t="s">
        <v>43</v>
      </c>
      <c r="U200" s="4" t="s">
        <v>43</v>
      </c>
      <c r="W200" s="48">
        <v>1</v>
      </c>
      <c r="X200" s="48">
        <v>1</v>
      </c>
      <c r="Y200" s="48">
        <v>3</v>
      </c>
      <c r="AD200" s="91">
        <f t="shared" si="3"/>
        <v>5</v>
      </c>
      <c r="AE200" s="48" t="s">
        <v>1220</v>
      </c>
    </row>
    <row r="201" spans="3:31" hidden="1" x14ac:dyDescent="0.25">
      <c r="C201" s="87" t="s">
        <v>588</v>
      </c>
      <c r="D201" s="4" t="s">
        <v>589</v>
      </c>
      <c r="E201" s="4" t="s">
        <v>589</v>
      </c>
      <c r="F201" s="92">
        <v>5</v>
      </c>
      <c r="G201" s="4" t="s">
        <v>376</v>
      </c>
      <c r="H201" s="4" t="s">
        <v>46</v>
      </c>
      <c r="I201" s="4" t="s">
        <v>377</v>
      </c>
      <c r="J201" s="4" t="s">
        <v>331</v>
      </c>
      <c r="K201" s="4" t="s">
        <v>43</v>
      </c>
      <c r="L201" s="4" t="s">
        <v>138</v>
      </c>
      <c r="M201" s="4" t="s">
        <v>40</v>
      </c>
      <c r="N201" s="4" t="s">
        <v>422</v>
      </c>
      <c r="O201" s="4" t="s">
        <v>588</v>
      </c>
      <c r="P201" s="4" t="s">
        <v>42</v>
      </c>
      <c r="Q201" s="50" t="s">
        <v>43</v>
      </c>
      <c r="R201" s="50"/>
      <c r="S201" s="50" t="s">
        <v>557</v>
      </c>
      <c r="T201" s="4" t="s">
        <v>43</v>
      </c>
      <c r="U201" s="4" t="s">
        <v>43</v>
      </c>
      <c r="W201" s="48">
        <v>1</v>
      </c>
      <c r="X201" s="48">
        <v>1</v>
      </c>
      <c r="Y201" s="48">
        <v>3</v>
      </c>
      <c r="AD201" s="91">
        <f t="shared" ref="AD201:AD264" si="4">SUMPRODUCT($W$6:$AC$6,W201:AC201)</f>
        <v>5</v>
      </c>
      <c r="AE201" s="48" t="s">
        <v>1220</v>
      </c>
    </row>
    <row r="202" spans="3:31" hidden="1" x14ac:dyDescent="0.25">
      <c r="C202" s="87" t="s">
        <v>558</v>
      </c>
      <c r="D202" s="4" t="s">
        <v>559</v>
      </c>
      <c r="E202" s="4" t="s">
        <v>560</v>
      </c>
      <c r="F202" s="92">
        <v>6</v>
      </c>
      <c r="G202" s="4" t="s">
        <v>376</v>
      </c>
      <c r="H202" s="4" t="s">
        <v>46</v>
      </c>
      <c r="I202" s="4" t="s">
        <v>377</v>
      </c>
      <c r="J202" s="4" t="s">
        <v>331</v>
      </c>
      <c r="K202" s="4" t="s">
        <v>43</v>
      </c>
      <c r="L202" s="4" t="s">
        <v>138</v>
      </c>
      <c r="M202" s="4" t="s">
        <v>40</v>
      </c>
      <c r="N202" s="4" t="s">
        <v>422</v>
      </c>
      <c r="O202" s="4" t="s">
        <v>558</v>
      </c>
      <c r="P202" s="4" t="s">
        <v>42</v>
      </c>
      <c r="Q202" s="50" t="s">
        <v>43</v>
      </c>
      <c r="R202" s="50"/>
      <c r="S202" s="50" t="s">
        <v>557</v>
      </c>
      <c r="T202" s="4" t="s">
        <v>43</v>
      </c>
      <c r="U202" s="4" t="s">
        <v>43</v>
      </c>
      <c r="W202" s="48">
        <v>1</v>
      </c>
      <c r="X202" s="48">
        <v>2</v>
      </c>
      <c r="Y202" s="48">
        <v>3</v>
      </c>
      <c r="AD202" s="91">
        <f t="shared" si="4"/>
        <v>6</v>
      </c>
      <c r="AE202" s="48" t="e">
        <f>VLOOKUP(C202,#REF!,1,0)</f>
        <v>#REF!</v>
      </c>
    </row>
    <row r="203" spans="3:31" hidden="1" x14ac:dyDescent="0.25">
      <c r="C203" s="87" t="s">
        <v>561</v>
      </c>
      <c r="D203" s="4" t="s">
        <v>562</v>
      </c>
      <c r="E203" s="4" t="s">
        <v>563</v>
      </c>
      <c r="F203" s="92">
        <v>6</v>
      </c>
      <c r="G203" s="4" t="s">
        <v>376</v>
      </c>
      <c r="H203" s="4" t="s">
        <v>46</v>
      </c>
      <c r="I203" s="4" t="s">
        <v>377</v>
      </c>
      <c r="J203" s="4" t="s">
        <v>331</v>
      </c>
      <c r="K203" s="4" t="s">
        <v>43</v>
      </c>
      <c r="L203" s="4" t="s">
        <v>138</v>
      </c>
      <c r="M203" s="4" t="s">
        <v>40</v>
      </c>
      <c r="N203" s="4" t="s">
        <v>422</v>
      </c>
      <c r="O203" s="4" t="s">
        <v>561</v>
      </c>
      <c r="P203" s="4" t="s">
        <v>42</v>
      </c>
      <c r="Q203" s="50" t="s">
        <v>43</v>
      </c>
      <c r="R203" s="50"/>
      <c r="S203" s="50" t="s">
        <v>557</v>
      </c>
      <c r="T203" s="4" t="s">
        <v>43</v>
      </c>
      <c r="U203" s="4" t="s">
        <v>43</v>
      </c>
      <c r="W203" s="48">
        <v>1</v>
      </c>
      <c r="X203" s="48">
        <v>1</v>
      </c>
      <c r="Y203" s="48">
        <v>4</v>
      </c>
      <c r="AD203" s="91">
        <f t="shared" si="4"/>
        <v>6</v>
      </c>
      <c r="AE203" s="48" t="e">
        <f>VLOOKUP(C203,#REF!,1,0)</f>
        <v>#REF!</v>
      </c>
    </row>
    <row r="204" spans="3:31" hidden="1" x14ac:dyDescent="0.25">
      <c r="C204" s="87" t="s">
        <v>564</v>
      </c>
      <c r="D204" s="4" t="s">
        <v>565</v>
      </c>
      <c r="E204" s="4" t="s">
        <v>566</v>
      </c>
      <c r="F204" s="92">
        <v>5.9</v>
      </c>
      <c r="G204" s="4" t="s">
        <v>376</v>
      </c>
      <c r="H204" s="4" t="s">
        <v>46</v>
      </c>
      <c r="I204" s="4" t="s">
        <v>377</v>
      </c>
      <c r="J204" s="4" t="s">
        <v>331</v>
      </c>
      <c r="K204" s="4"/>
      <c r="L204" s="4" t="s">
        <v>138</v>
      </c>
      <c r="M204" s="4" t="s">
        <v>40</v>
      </c>
      <c r="N204" s="4" t="s">
        <v>422</v>
      </c>
      <c r="O204" s="4" t="s">
        <v>564</v>
      </c>
      <c r="P204" s="4" t="s">
        <v>42</v>
      </c>
      <c r="Q204" s="50" t="s">
        <v>43</v>
      </c>
      <c r="R204" s="50"/>
      <c r="S204" s="50" t="s">
        <v>557</v>
      </c>
      <c r="T204" s="4" t="s">
        <v>43</v>
      </c>
      <c r="U204" s="4" t="s">
        <v>43</v>
      </c>
      <c r="W204" s="48">
        <v>1</v>
      </c>
      <c r="X204" s="48">
        <v>2</v>
      </c>
      <c r="Y204" s="48">
        <v>2</v>
      </c>
      <c r="AB204" s="48">
        <v>2</v>
      </c>
      <c r="AD204" s="91">
        <f t="shared" si="4"/>
        <v>5.9090909090909092</v>
      </c>
      <c r="AE204" s="48" t="e">
        <f>VLOOKUP(C204,#REF!,1,0)</f>
        <v>#REF!</v>
      </c>
    </row>
    <row r="205" spans="3:31" hidden="1" x14ac:dyDescent="0.25">
      <c r="C205" s="87" t="s">
        <v>590</v>
      </c>
      <c r="D205" s="4" t="s">
        <v>591</v>
      </c>
      <c r="E205" s="4" t="s">
        <v>591</v>
      </c>
      <c r="F205" s="92">
        <v>5</v>
      </c>
      <c r="G205" s="4" t="s">
        <v>376</v>
      </c>
      <c r="H205" s="4" t="s">
        <v>46</v>
      </c>
      <c r="I205" s="4" t="s">
        <v>377</v>
      </c>
      <c r="J205" s="4" t="s">
        <v>331</v>
      </c>
      <c r="K205" s="4" t="s">
        <v>43</v>
      </c>
      <c r="L205" s="4" t="s">
        <v>138</v>
      </c>
      <c r="M205" s="4" t="s">
        <v>40</v>
      </c>
      <c r="N205" s="4" t="s">
        <v>422</v>
      </c>
      <c r="O205" s="4" t="s">
        <v>590</v>
      </c>
      <c r="P205" s="4" t="s">
        <v>42</v>
      </c>
      <c r="Q205" s="50" t="s">
        <v>43</v>
      </c>
      <c r="R205" s="50"/>
      <c r="S205" s="50" t="s">
        <v>557</v>
      </c>
      <c r="T205" s="4" t="s">
        <v>43</v>
      </c>
      <c r="U205" s="4" t="s">
        <v>43</v>
      </c>
      <c r="W205" s="48">
        <v>1</v>
      </c>
      <c r="X205" s="48">
        <v>1</v>
      </c>
      <c r="Y205" s="48">
        <v>3</v>
      </c>
      <c r="AD205" s="91">
        <f t="shared" si="4"/>
        <v>5</v>
      </c>
      <c r="AE205" s="48" t="s">
        <v>1220</v>
      </c>
    </row>
    <row r="206" spans="3:31" hidden="1" x14ac:dyDescent="0.25">
      <c r="C206" s="87" t="s">
        <v>569</v>
      </c>
      <c r="D206" s="4" t="s">
        <v>570</v>
      </c>
      <c r="E206" s="4" t="s">
        <v>570</v>
      </c>
      <c r="F206" s="92">
        <v>5.45</v>
      </c>
      <c r="G206" s="4" t="s">
        <v>376</v>
      </c>
      <c r="H206" s="4" t="s">
        <v>46</v>
      </c>
      <c r="I206" s="4" t="s">
        <v>377</v>
      </c>
      <c r="J206" s="4" t="s">
        <v>331</v>
      </c>
      <c r="K206" s="4" t="s">
        <v>43</v>
      </c>
      <c r="L206" s="4" t="s">
        <v>138</v>
      </c>
      <c r="M206" s="4" t="s">
        <v>40</v>
      </c>
      <c r="N206" s="4" t="s">
        <v>422</v>
      </c>
      <c r="O206" s="4" t="s">
        <v>569</v>
      </c>
      <c r="P206" s="4" t="s">
        <v>42</v>
      </c>
      <c r="Q206" s="50" t="s">
        <v>43</v>
      </c>
      <c r="R206" s="50"/>
      <c r="S206" s="50" t="s">
        <v>557</v>
      </c>
      <c r="T206" s="4" t="s">
        <v>43</v>
      </c>
      <c r="U206" s="4" t="s">
        <v>43</v>
      </c>
      <c r="W206" s="48">
        <v>1</v>
      </c>
      <c r="X206" s="48">
        <v>1</v>
      </c>
      <c r="Y206" s="48">
        <v>3</v>
      </c>
      <c r="AB206" s="48">
        <v>1</v>
      </c>
      <c r="AD206" s="91">
        <f t="shared" si="4"/>
        <v>5.4545454545454541</v>
      </c>
      <c r="AE206" s="48" t="e">
        <f>VLOOKUP(C206,#REF!,1,0)</f>
        <v>#REF!</v>
      </c>
    </row>
    <row r="207" spans="3:31" hidden="1" x14ac:dyDescent="0.25">
      <c r="C207" s="87" t="s">
        <v>571</v>
      </c>
      <c r="D207" s="4" t="s">
        <v>572</v>
      </c>
      <c r="E207" s="4" t="s">
        <v>572</v>
      </c>
      <c r="F207" s="92">
        <v>6</v>
      </c>
      <c r="G207" s="4" t="s">
        <v>376</v>
      </c>
      <c r="H207" s="4" t="s">
        <v>46</v>
      </c>
      <c r="I207" s="4" t="s">
        <v>377</v>
      </c>
      <c r="J207" s="4" t="s">
        <v>331</v>
      </c>
      <c r="K207" s="4" t="s">
        <v>43</v>
      </c>
      <c r="L207" s="4" t="s">
        <v>138</v>
      </c>
      <c r="M207" s="4" t="s">
        <v>40</v>
      </c>
      <c r="N207" s="4" t="s">
        <v>422</v>
      </c>
      <c r="O207" s="4" t="s">
        <v>571</v>
      </c>
      <c r="P207" s="4" t="s">
        <v>42</v>
      </c>
      <c r="Q207" s="50" t="s">
        <v>43</v>
      </c>
      <c r="R207" s="50"/>
      <c r="S207" s="50" t="s">
        <v>557</v>
      </c>
      <c r="T207" s="4" t="s">
        <v>43</v>
      </c>
      <c r="U207" s="4" t="s">
        <v>43</v>
      </c>
      <c r="W207" s="48">
        <v>1</v>
      </c>
      <c r="X207" s="48">
        <v>1</v>
      </c>
      <c r="Y207" s="48">
        <v>4</v>
      </c>
      <c r="AD207" s="91">
        <f t="shared" si="4"/>
        <v>6</v>
      </c>
      <c r="AE207" s="48" t="e">
        <f>VLOOKUP(C207,#REF!,1,0)</f>
        <v>#REF!</v>
      </c>
    </row>
    <row r="208" spans="3:31" hidden="1" x14ac:dyDescent="0.25">
      <c r="C208" s="87" t="s">
        <v>573</v>
      </c>
      <c r="D208" s="4" t="s">
        <v>574</v>
      </c>
      <c r="E208" s="4" t="s">
        <v>575</v>
      </c>
      <c r="F208" s="92">
        <v>7</v>
      </c>
      <c r="G208" s="4" t="s">
        <v>376</v>
      </c>
      <c r="H208" s="4" t="s">
        <v>46</v>
      </c>
      <c r="I208" s="4" t="s">
        <v>377</v>
      </c>
      <c r="J208" s="4" t="s">
        <v>331</v>
      </c>
      <c r="K208" s="4" t="s">
        <v>43</v>
      </c>
      <c r="L208" s="4" t="s">
        <v>138</v>
      </c>
      <c r="M208" s="4" t="s">
        <v>40</v>
      </c>
      <c r="N208" s="4" t="s">
        <v>422</v>
      </c>
      <c r="O208" s="4" t="s">
        <v>573</v>
      </c>
      <c r="P208" s="4" t="s">
        <v>42</v>
      </c>
      <c r="Q208" s="50" t="s">
        <v>43</v>
      </c>
      <c r="R208" s="50"/>
      <c r="S208" s="50" t="s">
        <v>557</v>
      </c>
      <c r="T208" s="4" t="s">
        <v>43</v>
      </c>
      <c r="U208" s="4" t="s">
        <v>43</v>
      </c>
      <c r="W208" s="48">
        <v>1</v>
      </c>
      <c r="X208" s="48">
        <v>2</v>
      </c>
      <c r="Y208" s="48">
        <v>4</v>
      </c>
      <c r="AD208" s="91">
        <f t="shared" si="4"/>
        <v>7</v>
      </c>
      <c r="AE208" s="48" t="e">
        <f>VLOOKUP(C208,#REF!,1,0)</f>
        <v>#REF!</v>
      </c>
    </row>
    <row r="209" spans="3:31" hidden="1" x14ac:dyDescent="0.25">
      <c r="C209" s="87" t="s">
        <v>592</v>
      </c>
      <c r="D209" s="4" t="s">
        <v>593</v>
      </c>
      <c r="E209" s="4" t="s">
        <v>593</v>
      </c>
      <c r="F209" s="92">
        <v>5</v>
      </c>
      <c r="G209" s="4" t="s">
        <v>376</v>
      </c>
      <c r="H209" s="4" t="s">
        <v>81</v>
      </c>
      <c r="I209" s="4" t="s">
        <v>377</v>
      </c>
      <c r="J209" s="4" t="s">
        <v>331</v>
      </c>
      <c r="K209" s="4" t="s">
        <v>43</v>
      </c>
      <c r="L209" s="4" t="s">
        <v>138</v>
      </c>
      <c r="M209" s="4" t="s">
        <v>40</v>
      </c>
      <c r="N209" s="4" t="s">
        <v>422</v>
      </c>
      <c r="O209" s="4" t="s">
        <v>592</v>
      </c>
      <c r="P209" s="4" t="s">
        <v>42</v>
      </c>
      <c r="Q209" s="50" t="s">
        <v>43</v>
      </c>
      <c r="R209" s="50"/>
      <c r="S209" s="50" t="s">
        <v>557</v>
      </c>
      <c r="T209" s="4" t="s">
        <v>43</v>
      </c>
      <c r="U209" s="4" t="s">
        <v>43</v>
      </c>
      <c r="W209" s="48">
        <v>1</v>
      </c>
      <c r="X209" s="48">
        <v>1</v>
      </c>
      <c r="Y209" s="48">
        <v>3</v>
      </c>
      <c r="AD209" s="91">
        <f t="shared" si="4"/>
        <v>5</v>
      </c>
      <c r="AE209" s="48" t="s">
        <v>1220</v>
      </c>
    </row>
    <row r="210" spans="3:31" hidden="1" x14ac:dyDescent="0.25">
      <c r="C210" s="87" t="s">
        <v>594</v>
      </c>
      <c r="D210" s="4" t="s">
        <v>595</v>
      </c>
      <c r="E210" s="4" t="s">
        <v>595</v>
      </c>
      <c r="F210" s="92">
        <v>5</v>
      </c>
      <c r="G210" s="4" t="s">
        <v>376</v>
      </c>
      <c r="H210" s="4" t="s">
        <v>81</v>
      </c>
      <c r="I210" s="4" t="s">
        <v>421</v>
      </c>
      <c r="J210" s="4" t="s">
        <v>50</v>
      </c>
      <c r="K210" s="4" t="s">
        <v>43</v>
      </c>
      <c r="L210" s="4" t="s">
        <v>596</v>
      </c>
      <c r="M210" s="4" t="s">
        <v>40</v>
      </c>
      <c r="N210" s="4" t="s">
        <v>422</v>
      </c>
      <c r="O210" s="4" t="s">
        <v>594</v>
      </c>
      <c r="P210" s="4" t="s">
        <v>42</v>
      </c>
      <c r="Q210" s="50" t="s">
        <v>43</v>
      </c>
      <c r="R210" s="50"/>
      <c r="S210" s="50" t="s">
        <v>597</v>
      </c>
      <c r="T210" s="82" t="s">
        <v>440</v>
      </c>
      <c r="U210" s="4" t="s">
        <v>43</v>
      </c>
      <c r="W210" s="48">
        <v>1</v>
      </c>
      <c r="X210" s="48">
        <v>1</v>
      </c>
      <c r="Y210" s="48">
        <v>3</v>
      </c>
      <c r="AD210" s="91">
        <f t="shared" si="4"/>
        <v>5</v>
      </c>
      <c r="AE210" s="48" t="s">
        <v>1220</v>
      </c>
    </row>
    <row r="211" spans="3:31" hidden="1" x14ac:dyDescent="0.25">
      <c r="C211" s="87" t="s">
        <v>598</v>
      </c>
      <c r="D211" s="4" t="s">
        <v>599</v>
      </c>
      <c r="E211" s="4" t="s">
        <v>600</v>
      </c>
      <c r="F211" s="92">
        <v>5</v>
      </c>
      <c r="G211" s="4" t="s">
        <v>376</v>
      </c>
      <c r="H211" s="4" t="s">
        <v>81</v>
      </c>
      <c r="I211" s="4" t="s">
        <v>421</v>
      </c>
      <c r="J211" s="4" t="s">
        <v>50</v>
      </c>
      <c r="K211" s="4" t="s">
        <v>43</v>
      </c>
      <c r="L211" s="4" t="s">
        <v>601</v>
      </c>
      <c r="M211" s="4" t="s">
        <v>40</v>
      </c>
      <c r="N211" s="4" t="s">
        <v>422</v>
      </c>
      <c r="O211" s="4" t="s">
        <v>598</v>
      </c>
      <c r="P211" s="4" t="s">
        <v>42</v>
      </c>
      <c r="Q211" s="50" t="s">
        <v>43</v>
      </c>
      <c r="R211" s="50"/>
      <c r="S211" s="50" t="s">
        <v>597</v>
      </c>
      <c r="T211" s="82" t="s">
        <v>440</v>
      </c>
      <c r="U211" s="4" t="s">
        <v>43</v>
      </c>
      <c r="W211" s="48">
        <v>1</v>
      </c>
      <c r="X211" s="48">
        <v>1</v>
      </c>
      <c r="Y211" s="48">
        <v>3</v>
      </c>
      <c r="AD211" s="91">
        <f t="shared" si="4"/>
        <v>5</v>
      </c>
      <c r="AE211" s="48" t="s">
        <v>1220</v>
      </c>
    </row>
    <row r="212" spans="3:31" hidden="1" x14ac:dyDescent="0.25">
      <c r="C212" s="87" t="s">
        <v>602</v>
      </c>
      <c r="D212" s="4" t="s">
        <v>603</v>
      </c>
      <c r="E212" s="4" t="s">
        <v>604</v>
      </c>
      <c r="F212" s="92">
        <v>5</v>
      </c>
      <c r="G212" s="4" t="s">
        <v>376</v>
      </c>
      <c r="H212" s="4" t="s">
        <v>81</v>
      </c>
      <c r="I212" s="4" t="s">
        <v>421</v>
      </c>
      <c r="J212" s="4" t="s">
        <v>50</v>
      </c>
      <c r="K212" s="4" t="s">
        <v>43</v>
      </c>
      <c r="L212" s="4" t="s">
        <v>605</v>
      </c>
      <c r="M212" s="4" t="s">
        <v>40</v>
      </c>
      <c r="N212" s="4" t="s">
        <v>422</v>
      </c>
      <c r="O212" s="4" t="s">
        <v>602</v>
      </c>
      <c r="P212" s="4" t="s">
        <v>42</v>
      </c>
      <c r="Q212" s="50" t="s">
        <v>43</v>
      </c>
      <c r="R212" s="50"/>
      <c r="S212" s="50" t="s">
        <v>597</v>
      </c>
      <c r="T212" s="82" t="s">
        <v>440</v>
      </c>
      <c r="U212" s="4" t="s">
        <v>43</v>
      </c>
      <c r="W212" s="48">
        <v>1</v>
      </c>
      <c r="X212" s="48">
        <v>1</v>
      </c>
      <c r="Y212" s="48">
        <v>3</v>
      </c>
      <c r="AD212" s="91">
        <f t="shared" si="4"/>
        <v>5</v>
      </c>
      <c r="AE212" s="48" t="s">
        <v>1220</v>
      </c>
    </row>
    <row r="213" spans="3:31" hidden="1" x14ac:dyDescent="0.25">
      <c r="C213" s="87" t="s">
        <v>606</v>
      </c>
      <c r="D213" s="4" t="s">
        <v>607</v>
      </c>
      <c r="E213" s="4" t="s">
        <v>608</v>
      </c>
      <c r="F213" s="92">
        <v>5</v>
      </c>
      <c r="G213" s="4" t="s">
        <v>376</v>
      </c>
      <c r="H213" s="4" t="s">
        <v>46</v>
      </c>
      <c r="I213" s="4" t="s">
        <v>421</v>
      </c>
      <c r="J213" s="4" t="s">
        <v>50</v>
      </c>
      <c r="K213" s="4" t="s">
        <v>43</v>
      </c>
      <c r="L213" s="4" t="s">
        <v>609</v>
      </c>
      <c r="M213" s="4" t="s">
        <v>40</v>
      </c>
      <c r="N213" s="4" t="s">
        <v>422</v>
      </c>
      <c r="O213" s="4" t="s">
        <v>606</v>
      </c>
      <c r="P213" s="4" t="s">
        <v>42</v>
      </c>
      <c r="Q213" s="50" t="s">
        <v>43</v>
      </c>
      <c r="R213" s="50"/>
      <c r="S213" s="50" t="s">
        <v>597</v>
      </c>
      <c r="T213" s="4" t="s">
        <v>43</v>
      </c>
      <c r="U213" s="4" t="s">
        <v>43</v>
      </c>
      <c r="W213" s="48">
        <v>1</v>
      </c>
      <c r="X213" s="48">
        <v>1</v>
      </c>
      <c r="Y213" s="48">
        <v>3</v>
      </c>
      <c r="AD213" s="91">
        <f t="shared" si="4"/>
        <v>5</v>
      </c>
      <c r="AE213" s="48" t="s">
        <v>1220</v>
      </c>
    </row>
    <row r="214" spans="3:31" hidden="1" x14ac:dyDescent="0.25">
      <c r="C214" s="87" t="s">
        <v>610</v>
      </c>
      <c r="D214" s="4" t="s">
        <v>611</v>
      </c>
      <c r="E214" s="4" t="s">
        <v>611</v>
      </c>
      <c r="F214" s="92">
        <v>5</v>
      </c>
      <c r="G214" s="4" t="s">
        <v>376</v>
      </c>
      <c r="H214" s="4" t="s">
        <v>81</v>
      </c>
      <c r="I214" s="4" t="s">
        <v>421</v>
      </c>
      <c r="J214" s="4" t="s">
        <v>50</v>
      </c>
      <c r="K214" s="4" t="s">
        <v>43</v>
      </c>
      <c r="L214" s="4" t="s">
        <v>59</v>
      </c>
      <c r="M214" s="4" t="s">
        <v>40</v>
      </c>
      <c r="N214" s="4" t="s">
        <v>422</v>
      </c>
      <c r="O214" s="4" t="s">
        <v>610</v>
      </c>
      <c r="P214" s="4" t="s">
        <v>42</v>
      </c>
      <c r="Q214" s="50" t="s">
        <v>43</v>
      </c>
      <c r="R214" s="50"/>
      <c r="S214" s="50" t="s">
        <v>597</v>
      </c>
      <c r="T214" s="4" t="s">
        <v>43</v>
      </c>
      <c r="U214" s="4" t="s">
        <v>43</v>
      </c>
      <c r="W214" s="48">
        <v>1</v>
      </c>
      <c r="X214" s="48">
        <v>1</v>
      </c>
      <c r="Y214" s="48">
        <v>3</v>
      </c>
      <c r="AD214" s="91">
        <f t="shared" si="4"/>
        <v>5</v>
      </c>
      <c r="AE214" s="48" t="s">
        <v>1220</v>
      </c>
    </row>
    <row r="215" spans="3:31" hidden="1" x14ac:dyDescent="0.25">
      <c r="C215" s="87" t="s">
        <v>612</v>
      </c>
      <c r="D215" s="4" t="s">
        <v>613</v>
      </c>
      <c r="E215" s="4" t="s">
        <v>613</v>
      </c>
      <c r="F215" s="92">
        <v>5</v>
      </c>
      <c r="G215" s="4" t="s">
        <v>376</v>
      </c>
      <c r="H215" s="4" t="s">
        <v>81</v>
      </c>
      <c r="I215" s="4" t="s">
        <v>421</v>
      </c>
      <c r="J215" s="4" t="s">
        <v>50</v>
      </c>
      <c r="K215" s="4" t="s">
        <v>43</v>
      </c>
      <c r="L215" s="4" t="s">
        <v>364</v>
      </c>
      <c r="M215" s="4" t="s">
        <v>40</v>
      </c>
      <c r="N215" s="4" t="s">
        <v>422</v>
      </c>
      <c r="O215" s="4" t="s">
        <v>612</v>
      </c>
      <c r="P215" s="4" t="s">
        <v>42</v>
      </c>
      <c r="Q215" s="50" t="s">
        <v>43</v>
      </c>
      <c r="R215" s="50"/>
      <c r="S215" s="50" t="s">
        <v>597</v>
      </c>
      <c r="T215" s="82" t="s">
        <v>440</v>
      </c>
      <c r="U215" s="4" t="s">
        <v>43</v>
      </c>
      <c r="W215" s="48">
        <v>1</v>
      </c>
      <c r="X215" s="48">
        <v>1</v>
      </c>
      <c r="Y215" s="48">
        <v>3</v>
      </c>
      <c r="AD215" s="91">
        <f t="shared" si="4"/>
        <v>5</v>
      </c>
      <c r="AE215" s="48" t="s">
        <v>1220</v>
      </c>
    </row>
    <row r="216" spans="3:31" hidden="1" x14ac:dyDescent="0.25">
      <c r="C216" s="87" t="s">
        <v>614</v>
      </c>
      <c r="D216" s="4" t="s">
        <v>615</v>
      </c>
      <c r="E216" s="4" t="s">
        <v>615</v>
      </c>
      <c r="F216" s="92">
        <v>5</v>
      </c>
      <c r="G216" s="4" t="s">
        <v>376</v>
      </c>
      <c r="H216" s="4" t="s">
        <v>81</v>
      </c>
      <c r="I216" s="4" t="s">
        <v>421</v>
      </c>
      <c r="J216" s="4" t="s">
        <v>50</v>
      </c>
      <c r="K216" s="4" t="s">
        <v>43</v>
      </c>
      <c r="L216" s="4" t="s">
        <v>64</v>
      </c>
      <c r="M216" s="4" t="s">
        <v>40</v>
      </c>
      <c r="N216" s="4" t="s">
        <v>422</v>
      </c>
      <c r="O216" s="4" t="s">
        <v>614</v>
      </c>
      <c r="P216" s="4" t="s">
        <v>42</v>
      </c>
      <c r="Q216" s="50" t="s">
        <v>43</v>
      </c>
      <c r="R216" s="50"/>
      <c r="S216" s="50" t="s">
        <v>597</v>
      </c>
      <c r="T216" s="82" t="s">
        <v>440</v>
      </c>
      <c r="U216" s="4" t="s">
        <v>43</v>
      </c>
      <c r="W216" s="48">
        <v>1</v>
      </c>
      <c r="X216" s="48">
        <v>1</v>
      </c>
      <c r="Y216" s="48">
        <v>3</v>
      </c>
      <c r="AD216" s="91">
        <f t="shared" si="4"/>
        <v>5</v>
      </c>
      <c r="AE216" s="48" t="s">
        <v>1220</v>
      </c>
    </row>
    <row r="217" spans="3:31" hidden="1" x14ac:dyDescent="0.25">
      <c r="C217" s="87" t="s">
        <v>639</v>
      </c>
      <c r="D217" s="4" t="s">
        <v>640</v>
      </c>
      <c r="E217" s="4" t="s">
        <v>641</v>
      </c>
      <c r="F217" s="92">
        <v>5</v>
      </c>
      <c r="G217" s="4" t="s">
        <v>376</v>
      </c>
      <c r="H217" s="4" t="s">
        <v>81</v>
      </c>
      <c r="I217" s="4" t="s">
        <v>421</v>
      </c>
      <c r="J217" s="4" t="s">
        <v>50</v>
      </c>
      <c r="K217" s="4" t="s">
        <v>43</v>
      </c>
      <c r="L217" s="4" t="s">
        <v>64</v>
      </c>
      <c r="M217" s="4" t="s">
        <v>40</v>
      </c>
      <c r="N217" s="4" t="s">
        <v>422</v>
      </c>
      <c r="O217" s="4" t="s">
        <v>639</v>
      </c>
      <c r="P217" s="4" t="s">
        <v>42</v>
      </c>
      <c r="Q217" s="50" t="s">
        <v>43</v>
      </c>
      <c r="R217" s="50"/>
      <c r="S217" s="50" t="s">
        <v>597</v>
      </c>
      <c r="T217" s="4" t="s">
        <v>43</v>
      </c>
      <c r="U217" s="4" t="s">
        <v>43</v>
      </c>
      <c r="W217" s="48">
        <v>1</v>
      </c>
      <c r="X217" s="48">
        <v>1</v>
      </c>
      <c r="Y217" s="48">
        <v>3</v>
      </c>
      <c r="AD217" s="91">
        <f t="shared" si="4"/>
        <v>5</v>
      </c>
      <c r="AE217" s="48" t="s">
        <v>1220</v>
      </c>
    </row>
    <row r="218" spans="3:31" hidden="1" x14ac:dyDescent="0.25">
      <c r="C218" s="87" t="s">
        <v>656</v>
      </c>
      <c r="D218" s="4" t="s">
        <v>657</v>
      </c>
      <c r="E218" s="4" t="s">
        <v>658</v>
      </c>
      <c r="F218" s="92">
        <v>5</v>
      </c>
      <c r="G218" s="4" t="s">
        <v>376</v>
      </c>
      <c r="H218" s="4" t="s">
        <v>46</v>
      </c>
      <c r="I218" s="4" t="s">
        <v>377</v>
      </c>
      <c r="J218" s="4" t="s">
        <v>248</v>
      </c>
      <c r="K218" s="4" t="s">
        <v>43</v>
      </c>
      <c r="L218" s="4" t="s">
        <v>51</v>
      </c>
      <c r="M218" s="4" t="s">
        <v>40</v>
      </c>
      <c r="N218" s="4" t="s">
        <v>653</v>
      </c>
      <c r="O218" s="4" t="s">
        <v>656</v>
      </c>
      <c r="P218" s="4" t="s">
        <v>42</v>
      </c>
      <c r="Q218" s="50" t="s">
        <v>43</v>
      </c>
      <c r="R218" s="50"/>
      <c r="S218" s="50" t="s">
        <v>51</v>
      </c>
      <c r="T218" s="4" t="s">
        <v>43</v>
      </c>
      <c r="U218" s="4" t="s">
        <v>43</v>
      </c>
      <c r="W218" s="48">
        <v>1</v>
      </c>
      <c r="X218" s="48">
        <v>1</v>
      </c>
      <c r="Y218" s="48">
        <v>3</v>
      </c>
      <c r="AD218" s="91">
        <f t="shared" si="4"/>
        <v>5</v>
      </c>
      <c r="AE218" s="48" t="s">
        <v>1220</v>
      </c>
    </row>
    <row r="219" spans="3:31" hidden="1" x14ac:dyDescent="0.25">
      <c r="C219" s="87" t="s">
        <v>671</v>
      </c>
      <c r="D219" s="4" t="s">
        <v>672</v>
      </c>
      <c r="E219" s="4" t="s">
        <v>672</v>
      </c>
      <c r="F219" s="92">
        <v>5</v>
      </c>
      <c r="G219" s="4" t="s">
        <v>376</v>
      </c>
      <c r="H219" s="4" t="s">
        <v>46</v>
      </c>
      <c r="I219" s="4" t="s">
        <v>377</v>
      </c>
      <c r="J219" s="4" t="s">
        <v>248</v>
      </c>
      <c r="K219" s="4" t="s">
        <v>43</v>
      </c>
      <c r="L219" s="4" t="s">
        <v>51</v>
      </c>
      <c r="M219" s="4" t="s">
        <v>40</v>
      </c>
      <c r="N219" s="4" t="s">
        <v>653</v>
      </c>
      <c r="O219" s="4" t="s">
        <v>671</v>
      </c>
      <c r="P219" s="4" t="s">
        <v>42</v>
      </c>
      <c r="Q219" s="50" t="s">
        <v>43</v>
      </c>
      <c r="R219" s="50"/>
      <c r="S219" s="50" t="s">
        <v>51</v>
      </c>
      <c r="T219" s="4" t="s">
        <v>43</v>
      </c>
      <c r="U219" s="4" t="s">
        <v>43</v>
      </c>
      <c r="W219" s="48">
        <v>1</v>
      </c>
      <c r="X219" s="48">
        <v>1</v>
      </c>
      <c r="Y219" s="48">
        <v>3</v>
      </c>
      <c r="AD219" s="91">
        <f t="shared" si="4"/>
        <v>5</v>
      </c>
      <c r="AE219" s="48" t="s">
        <v>1220</v>
      </c>
    </row>
    <row r="220" spans="3:31" hidden="1" x14ac:dyDescent="0.25">
      <c r="C220" s="87" t="s">
        <v>675</v>
      </c>
      <c r="D220" s="4" t="s">
        <v>676</v>
      </c>
      <c r="E220" s="4" t="s">
        <v>676</v>
      </c>
      <c r="F220" s="92">
        <v>5</v>
      </c>
      <c r="G220" s="4" t="s">
        <v>376</v>
      </c>
      <c r="H220" s="4" t="s">
        <v>81</v>
      </c>
      <c r="I220" s="4" t="s">
        <v>377</v>
      </c>
      <c r="J220" s="4" t="s">
        <v>248</v>
      </c>
      <c r="K220" s="4" t="s">
        <v>43</v>
      </c>
      <c r="L220" s="4" t="s">
        <v>51</v>
      </c>
      <c r="M220" s="4" t="s">
        <v>40</v>
      </c>
      <c r="N220" s="4" t="s">
        <v>653</v>
      </c>
      <c r="O220" s="4" t="s">
        <v>675</v>
      </c>
      <c r="P220" s="4" t="s">
        <v>42</v>
      </c>
      <c r="Q220" s="50" t="s">
        <v>43</v>
      </c>
      <c r="R220" s="50"/>
      <c r="S220" s="50" t="s">
        <v>51</v>
      </c>
      <c r="T220" s="4" t="s">
        <v>43</v>
      </c>
      <c r="U220" s="4" t="s">
        <v>43</v>
      </c>
      <c r="W220" s="48">
        <v>1</v>
      </c>
      <c r="X220" s="48">
        <v>1</v>
      </c>
      <c r="Y220" s="48">
        <v>3</v>
      </c>
      <c r="AD220" s="91">
        <f t="shared" si="4"/>
        <v>5</v>
      </c>
      <c r="AE220" s="48" t="s">
        <v>1220</v>
      </c>
    </row>
    <row r="221" spans="3:31" hidden="1" x14ac:dyDescent="0.25">
      <c r="C221" s="87" t="s">
        <v>680</v>
      </c>
      <c r="D221" s="4" t="s">
        <v>681</v>
      </c>
      <c r="E221" s="4" t="s">
        <v>682</v>
      </c>
      <c r="F221" s="92">
        <v>5</v>
      </c>
      <c r="G221" s="4" t="s">
        <v>376</v>
      </c>
      <c r="H221" s="4" t="s">
        <v>46</v>
      </c>
      <c r="I221" s="4" t="s">
        <v>377</v>
      </c>
      <c r="J221" s="4" t="s">
        <v>248</v>
      </c>
      <c r="K221" s="4" t="s">
        <v>43</v>
      </c>
      <c r="L221" s="4" t="s">
        <v>51</v>
      </c>
      <c r="M221" s="4" t="s">
        <v>40</v>
      </c>
      <c r="N221" s="4" t="s">
        <v>653</v>
      </c>
      <c r="O221" s="4" t="s">
        <v>680</v>
      </c>
      <c r="P221" s="4" t="s">
        <v>42</v>
      </c>
      <c r="Q221" s="50" t="s">
        <v>43</v>
      </c>
      <c r="R221" s="50"/>
      <c r="S221" s="50" t="s">
        <v>51</v>
      </c>
      <c r="T221" s="4" t="s">
        <v>43</v>
      </c>
      <c r="U221" s="4" t="s">
        <v>43</v>
      </c>
      <c r="W221" s="48">
        <v>1</v>
      </c>
      <c r="X221" s="48">
        <v>1</v>
      </c>
      <c r="Y221" s="48">
        <v>3</v>
      </c>
      <c r="AD221" s="91">
        <f t="shared" si="4"/>
        <v>5</v>
      </c>
      <c r="AE221" s="48" t="s">
        <v>1220</v>
      </c>
    </row>
    <row r="222" spans="3:31" hidden="1" x14ac:dyDescent="0.25">
      <c r="C222" s="87">
        <v>50096</v>
      </c>
      <c r="D222" s="4" t="s">
        <v>683</v>
      </c>
      <c r="E222" s="4" t="s">
        <v>684</v>
      </c>
      <c r="F222" s="92">
        <v>5</v>
      </c>
      <c r="G222" s="4" t="s">
        <v>376</v>
      </c>
      <c r="H222" s="4" t="s">
        <v>81</v>
      </c>
      <c r="I222" s="4" t="s">
        <v>377</v>
      </c>
      <c r="J222" s="4" t="s">
        <v>248</v>
      </c>
      <c r="K222" s="4" t="s">
        <v>43</v>
      </c>
      <c r="L222" s="4" t="s">
        <v>51</v>
      </c>
      <c r="M222" s="4" t="s">
        <v>40</v>
      </c>
      <c r="N222" s="4" t="s">
        <v>653</v>
      </c>
      <c r="O222" s="4">
        <v>50096</v>
      </c>
      <c r="P222" s="4" t="s">
        <v>42</v>
      </c>
      <c r="Q222" s="50" t="s">
        <v>43</v>
      </c>
      <c r="R222" s="50"/>
      <c r="S222" s="50" t="s">
        <v>51</v>
      </c>
      <c r="T222" s="4" t="s">
        <v>43</v>
      </c>
      <c r="U222" s="4" t="s">
        <v>43</v>
      </c>
      <c r="W222" s="48">
        <v>1</v>
      </c>
      <c r="X222" s="48">
        <v>1</v>
      </c>
      <c r="Y222" s="48">
        <v>3</v>
      </c>
      <c r="AD222" s="91">
        <f t="shared" si="4"/>
        <v>5</v>
      </c>
      <c r="AE222" s="48" t="s">
        <v>1220</v>
      </c>
    </row>
    <row r="223" spans="3:31" hidden="1" x14ac:dyDescent="0.25">
      <c r="C223" s="87" t="s">
        <v>685</v>
      </c>
      <c r="D223" s="4" t="s">
        <v>686</v>
      </c>
      <c r="E223" s="4" t="s">
        <v>686</v>
      </c>
      <c r="F223" s="92">
        <v>5</v>
      </c>
      <c r="G223" s="4" t="s">
        <v>376</v>
      </c>
      <c r="H223" s="4" t="s">
        <v>81</v>
      </c>
      <c r="I223" s="4" t="s">
        <v>377</v>
      </c>
      <c r="J223" s="4" t="s">
        <v>248</v>
      </c>
      <c r="K223" s="4" t="s">
        <v>43</v>
      </c>
      <c r="L223" s="4" t="s">
        <v>51</v>
      </c>
      <c r="M223" s="4" t="s">
        <v>40</v>
      </c>
      <c r="N223" s="4" t="s">
        <v>653</v>
      </c>
      <c r="O223" s="4" t="s">
        <v>685</v>
      </c>
      <c r="P223" s="4" t="s">
        <v>42</v>
      </c>
      <c r="Q223" s="50" t="s">
        <v>43</v>
      </c>
      <c r="R223" s="50"/>
      <c r="S223" s="50" t="s">
        <v>51</v>
      </c>
      <c r="T223" s="4" t="s">
        <v>43</v>
      </c>
      <c r="U223" s="4" t="s">
        <v>43</v>
      </c>
      <c r="W223" s="48">
        <v>1</v>
      </c>
      <c r="X223" s="48">
        <v>1</v>
      </c>
      <c r="Y223" s="48">
        <v>3</v>
      </c>
      <c r="AD223" s="91">
        <f t="shared" si="4"/>
        <v>5</v>
      </c>
      <c r="AE223" s="48" t="s">
        <v>1220</v>
      </c>
    </row>
    <row r="224" spans="3:31" hidden="1" x14ac:dyDescent="0.25">
      <c r="C224" s="87" t="s">
        <v>693</v>
      </c>
      <c r="D224" s="4" t="s">
        <v>694</v>
      </c>
      <c r="E224" s="4" t="s">
        <v>694</v>
      </c>
      <c r="F224" s="92">
        <v>5</v>
      </c>
      <c r="G224" s="4" t="s">
        <v>376</v>
      </c>
      <c r="H224" s="4" t="s">
        <v>46</v>
      </c>
      <c r="I224" s="4" t="s">
        <v>377</v>
      </c>
      <c r="J224" s="4" t="s">
        <v>248</v>
      </c>
      <c r="K224" s="4" t="s">
        <v>43</v>
      </c>
      <c r="L224" s="4" t="s">
        <v>51</v>
      </c>
      <c r="M224" s="4" t="s">
        <v>40</v>
      </c>
      <c r="N224" s="4" t="s">
        <v>653</v>
      </c>
      <c r="O224" s="4" t="s">
        <v>693</v>
      </c>
      <c r="P224" s="4" t="s">
        <v>42</v>
      </c>
      <c r="Q224" s="50" t="s">
        <v>43</v>
      </c>
      <c r="R224" s="50"/>
      <c r="S224" s="50" t="s">
        <v>51</v>
      </c>
      <c r="T224" s="4" t="s">
        <v>43</v>
      </c>
      <c r="U224" s="4" t="s">
        <v>43</v>
      </c>
      <c r="W224" s="48">
        <v>1</v>
      </c>
      <c r="X224" s="48">
        <v>1</v>
      </c>
      <c r="Y224" s="48">
        <v>3</v>
      </c>
      <c r="AD224" s="91">
        <f t="shared" si="4"/>
        <v>5</v>
      </c>
      <c r="AE224" s="48" t="s">
        <v>1220</v>
      </c>
    </row>
    <row r="225" spans="3:31" hidden="1" x14ac:dyDescent="0.25">
      <c r="C225" s="87" t="s">
        <v>616</v>
      </c>
      <c r="D225" s="4" t="s">
        <v>617</v>
      </c>
      <c r="E225" s="4" t="s">
        <v>617</v>
      </c>
      <c r="F225" s="92">
        <v>5.45</v>
      </c>
      <c r="G225" s="4" t="s">
        <v>376</v>
      </c>
      <c r="H225" s="4" t="s">
        <v>46</v>
      </c>
      <c r="I225" s="4" t="s">
        <v>421</v>
      </c>
      <c r="J225" s="4" t="s">
        <v>50</v>
      </c>
      <c r="K225" s="4" t="s">
        <v>43</v>
      </c>
      <c r="L225" s="4" t="s">
        <v>138</v>
      </c>
      <c r="M225" s="4" t="s">
        <v>40</v>
      </c>
      <c r="N225" s="4" t="s">
        <v>422</v>
      </c>
      <c r="O225" s="4" t="s">
        <v>616</v>
      </c>
      <c r="P225" s="4" t="s">
        <v>42</v>
      </c>
      <c r="Q225" s="50" t="s">
        <v>43</v>
      </c>
      <c r="R225" s="50"/>
      <c r="S225" s="50" t="s">
        <v>597</v>
      </c>
      <c r="T225" s="4" t="s">
        <v>43</v>
      </c>
      <c r="U225" s="4" t="s">
        <v>43</v>
      </c>
      <c r="W225" s="48">
        <v>1</v>
      </c>
      <c r="X225" s="48">
        <v>2</v>
      </c>
      <c r="Y225" s="48">
        <v>2</v>
      </c>
      <c r="AB225" s="48">
        <v>1</v>
      </c>
      <c r="AD225" s="91">
        <f t="shared" si="4"/>
        <v>5.4545454545454541</v>
      </c>
      <c r="AE225" s="48" t="e">
        <f>VLOOKUP(C225,#REF!,1,0)</f>
        <v>#REF!</v>
      </c>
    </row>
    <row r="226" spans="3:31" hidden="1" x14ac:dyDescent="0.25">
      <c r="C226" s="87" t="s">
        <v>618</v>
      </c>
      <c r="D226" s="4" t="s">
        <v>619</v>
      </c>
      <c r="E226" s="4" t="s">
        <v>619</v>
      </c>
      <c r="F226" s="92">
        <v>5.07</v>
      </c>
      <c r="G226" s="4" t="s">
        <v>376</v>
      </c>
      <c r="H226" s="4" t="s">
        <v>46</v>
      </c>
      <c r="I226" s="4" t="s">
        <v>421</v>
      </c>
      <c r="J226" s="4" t="s">
        <v>50</v>
      </c>
      <c r="K226" s="4"/>
      <c r="L226" s="4" t="s">
        <v>59</v>
      </c>
      <c r="M226" s="4" t="s">
        <v>40</v>
      </c>
      <c r="N226" s="4" t="s">
        <v>422</v>
      </c>
      <c r="O226" s="4" t="s">
        <v>618</v>
      </c>
      <c r="P226" s="4" t="s">
        <v>42</v>
      </c>
      <c r="Q226" s="50" t="s">
        <v>43</v>
      </c>
      <c r="R226" s="50"/>
      <c r="S226" s="50" t="s">
        <v>597</v>
      </c>
      <c r="T226" s="4" t="s">
        <v>43</v>
      </c>
      <c r="U226" s="4" t="s">
        <v>43</v>
      </c>
      <c r="W226" s="48">
        <v>1</v>
      </c>
      <c r="X226" s="48">
        <v>1</v>
      </c>
      <c r="AA226" s="48">
        <v>3</v>
      </c>
      <c r="AC226" s="48">
        <v>4</v>
      </c>
      <c r="AD226" s="91">
        <f t="shared" si="4"/>
        <v>5.0681818181818183</v>
      </c>
      <c r="AE226" s="48" t="e">
        <f>VLOOKUP(C226,#REF!,1,0)</f>
        <v>#REF!</v>
      </c>
    </row>
    <row r="227" spans="3:31" hidden="1" x14ac:dyDescent="0.25">
      <c r="C227" s="87" t="s">
        <v>620</v>
      </c>
      <c r="D227" s="4" t="s">
        <v>621</v>
      </c>
      <c r="E227" s="4" t="s">
        <v>622</v>
      </c>
      <c r="F227" s="92">
        <v>5.07</v>
      </c>
      <c r="G227" s="4" t="s">
        <v>376</v>
      </c>
      <c r="H227" s="4" t="s">
        <v>46</v>
      </c>
      <c r="I227" s="4" t="s">
        <v>421</v>
      </c>
      <c r="J227" s="4" t="s">
        <v>50</v>
      </c>
      <c r="K227" s="4" t="s">
        <v>43</v>
      </c>
      <c r="L227" s="4" t="s">
        <v>59</v>
      </c>
      <c r="M227" s="4" t="s">
        <v>40</v>
      </c>
      <c r="N227" s="4" t="s">
        <v>422</v>
      </c>
      <c r="O227" s="4" t="s">
        <v>620</v>
      </c>
      <c r="P227" s="4" t="s">
        <v>42</v>
      </c>
      <c r="Q227" s="50" t="s">
        <v>43</v>
      </c>
      <c r="R227" s="50"/>
      <c r="S227" s="50" t="s">
        <v>597</v>
      </c>
      <c r="T227" s="4" t="s">
        <v>43</v>
      </c>
      <c r="U227" s="4" t="s">
        <v>32</v>
      </c>
      <c r="W227" s="48">
        <v>1</v>
      </c>
      <c r="X227" s="48">
        <v>1</v>
      </c>
      <c r="AA227" s="48">
        <v>3</v>
      </c>
      <c r="AC227" s="48">
        <v>4</v>
      </c>
      <c r="AD227" s="91">
        <f t="shared" si="4"/>
        <v>5.0681818181818183</v>
      </c>
      <c r="AE227" s="48" t="e">
        <f>VLOOKUP(C227,#REF!,1,0)</f>
        <v>#REF!</v>
      </c>
    </row>
    <row r="228" spans="3:31" hidden="1" x14ac:dyDescent="0.25">
      <c r="C228" s="87" t="s">
        <v>623</v>
      </c>
      <c r="D228" s="4" t="s">
        <v>624</v>
      </c>
      <c r="E228" s="4" t="s">
        <v>625</v>
      </c>
      <c r="F228" s="92">
        <v>5.07</v>
      </c>
      <c r="G228" s="4" t="s">
        <v>376</v>
      </c>
      <c r="H228" s="4" t="s">
        <v>81</v>
      </c>
      <c r="I228" s="4" t="s">
        <v>421</v>
      </c>
      <c r="J228" s="4" t="s">
        <v>50</v>
      </c>
      <c r="K228" s="4"/>
      <c r="L228" s="4" t="s">
        <v>64</v>
      </c>
      <c r="M228" s="4" t="s">
        <v>40</v>
      </c>
      <c r="N228" s="4" t="s">
        <v>422</v>
      </c>
      <c r="O228" s="4" t="s">
        <v>623</v>
      </c>
      <c r="P228" s="4" t="s">
        <v>42</v>
      </c>
      <c r="Q228" s="50" t="s">
        <v>43</v>
      </c>
      <c r="R228" s="50"/>
      <c r="S228" s="50" t="s">
        <v>597</v>
      </c>
      <c r="T228" s="4" t="s">
        <v>43</v>
      </c>
      <c r="U228" s="4" t="s">
        <v>43</v>
      </c>
      <c r="W228" s="48">
        <v>1</v>
      </c>
      <c r="X228" s="48">
        <v>1</v>
      </c>
      <c r="AA228" s="48">
        <v>3</v>
      </c>
      <c r="AC228" s="48">
        <v>4</v>
      </c>
      <c r="AD228" s="91">
        <f t="shared" si="4"/>
        <v>5.0681818181818183</v>
      </c>
      <c r="AE228" s="48" t="e">
        <f>VLOOKUP(C228,#REF!,1,0)</f>
        <v>#REF!</v>
      </c>
    </row>
    <row r="229" spans="3:31" hidden="1" x14ac:dyDescent="0.25">
      <c r="C229" s="87" t="s">
        <v>626</v>
      </c>
      <c r="D229" s="4" t="s">
        <v>627</v>
      </c>
      <c r="E229" s="4" t="s">
        <v>627</v>
      </c>
      <c r="F229" s="92">
        <v>5.07</v>
      </c>
      <c r="G229" s="4" t="s">
        <v>376</v>
      </c>
      <c r="H229" s="4"/>
      <c r="I229" s="4" t="s">
        <v>421</v>
      </c>
      <c r="J229" s="4" t="s">
        <v>50</v>
      </c>
      <c r="K229" s="4"/>
      <c r="L229" s="4"/>
      <c r="M229" s="4"/>
      <c r="N229" s="4" t="s">
        <v>422</v>
      </c>
      <c r="O229" s="4" t="s">
        <v>626</v>
      </c>
      <c r="P229" s="4"/>
      <c r="Q229" s="50"/>
      <c r="R229" s="50"/>
      <c r="S229" s="50" t="s">
        <v>597</v>
      </c>
      <c r="T229" s="4"/>
      <c r="U229" s="4"/>
      <c r="W229" s="48">
        <v>1</v>
      </c>
      <c r="X229" s="48">
        <v>1</v>
      </c>
      <c r="AA229" s="48">
        <v>3</v>
      </c>
      <c r="AC229" s="48">
        <v>4</v>
      </c>
      <c r="AD229" s="91">
        <f t="shared" si="4"/>
        <v>5.0681818181818183</v>
      </c>
      <c r="AE229" s="48" t="e">
        <f>VLOOKUP(C229,#REF!,1,0)</f>
        <v>#REF!</v>
      </c>
    </row>
    <row r="230" spans="3:31" hidden="1" x14ac:dyDescent="0.25">
      <c r="C230" s="87" t="s">
        <v>766</v>
      </c>
      <c r="D230" s="4" t="s">
        <v>767</v>
      </c>
      <c r="E230" s="4" t="s">
        <v>768</v>
      </c>
      <c r="F230" s="92">
        <v>4.4800000000000004</v>
      </c>
      <c r="G230" s="4" t="s">
        <v>376</v>
      </c>
      <c r="H230" s="4" t="s">
        <v>81</v>
      </c>
      <c r="I230" s="4" t="s">
        <v>421</v>
      </c>
      <c r="J230" s="4" t="s">
        <v>84</v>
      </c>
      <c r="K230" s="4" t="s">
        <v>440</v>
      </c>
      <c r="L230" s="4" t="s">
        <v>54</v>
      </c>
      <c r="M230" s="4" t="s">
        <v>55</v>
      </c>
      <c r="N230" s="4" t="s">
        <v>653</v>
      </c>
      <c r="O230" s="4" t="s">
        <v>766</v>
      </c>
      <c r="P230" s="4" t="s">
        <v>42</v>
      </c>
      <c r="Q230" s="50" t="s">
        <v>43</v>
      </c>
      <c r="R230" s="50"/>
      <c r="S230" s="50" t="s">
        <v>741</v>
      </c>
      <c r="T230" s="82" t="s">
        <v>440</v>
      </c>
      <c r="U230" s="4" t="s">
        <v>43</v>
      </c>
      <c r="W230" s="48">
        <v>1</v>
      </c>
      <c r="X230" s="48">
        <v>1</v>
      </c>
      <c r="AA230" s="48">
        <v>2</v>
      </c>
      <c r="AC230" s="48">
        <v>4</v>
      </c>
      <c r="AD230" s="91">
        <f t="shared" si="4"/>
        <v>4.5</v>
      </c>
      <c r="AE230" s="48" t="e">
        <f>VLOOKUP(C230,#REF!,1,0)</f>
        <v>#REF!</v>
      </c>
    </row>
    <row r="231" spans="3:31" hidden="1" x14ac:dyDescent="0.25">
      <c r="C231" s="87" t="s">
        <v>936</v>
      </c>
      <c r="D231" s="4" t="s">
        <v>937</v>
      </c>
      <c r="E231" s="4" t="s">
        <v>938</v>
      </c>
      <c r="F231" s="92">
        <v>5.56</v>
      </c>
      <c r="G231" s="4" t="s">
        <v>376</v>
      </c>
      <c r="H231" s="4" t="s">
        <v>46</v>
      </c>
      <c r="I231" s="4" t="s">
        <v>377</v>
      </c>
      <c r="J231" s="4" t="s">
        <v>132</v>
      </c>
      <c r="K231" s="4" t="s">
        <v>43</v>
      </c>
      <c r="L231" s="4" t="s">
        <v>138</v>
      </c>
      <c r="M231" s="4" t="s">
        <v>40</v>
      </c>
      <c r="N231" s="4" t="s">
        <v>378</v>
      </c>
      <c r="O231" s="4" t="s">
        <v>936</v>
      </c>
      <c r="P231" s="4" t="s">
        <v>42</v>
      </c>
      <c r="Q231" s="72" t="s">
        <v>43</v>
      </c>
      <c r="R231" s="72"/>
      <c r="S231" s="50" t="s">
        <v>931</v>
      </c>
      <c r="T231" s="4" t="s">
        <v>43</v>
      </c>
      <c r="U231" s="4" t="s">
        <v>43</v>
      </c>
      <c r="W231" s="48">
        <v>1</v>
      </c>
      <c r="X231" s="48">
        <v>1</v>
      </c>
      <c r="Y231" s="48">
        <v>3</v>
      </c>
      <c r="AA231" s="94">
        <v>1</v>
      </c>
      <c r="AD231" s="91">
        <f t="shared" si="4"/>
        <v>5.5681818181818183</v>
      </c>
      <c r="AE231" s="48" t="e">
        <f>VLOOKUP(C231,#REF!,1,0)</f>
        <v>#REF!</v>
      </c>
    </row>
    <row r="232" spans="3:31" hidden="1" x14ac:dyDescent="0.25">
      <c r="C232" s="87" t="s">
        <v>634</v>
      </c>
      <c r="D232" s="4" t="s">
        <v>635</v>
      </c>
      <c r="E232" s="4" t="s">
        <v>635</v>
      </c>
      <c r="F232" s="92">
        <v>6</v>
      </c>
      <c r="G232" s="4" t="s">
        <v>376</v>
      </c>
      <c r="H232" s="4" t="s">
        <v>46</v>
      </c>
      <c r="I232" s="4" t="s">
        <v>421</v>
      </c>
      <c r="J232" s="4" t="s">
        <v>50</v>
      </c>
      <c r="K232" s="4" t="s">
        <v>43</v>
      </c>
      <c r="L232" s="4" t="s">
        <v>59</v>
      </c>
      <c r="M232" s="4" t="s">
        <v>40</v>
      </c>
      <c r="N232" s="4" t="s">
        <v>422</v>
      </c>
      <c r="O232" s="4" t="s">
        <v>634</v>
      </c>
      <c r="P232" s="4" t="s">
        <v>42</v>
      </c>
      <c r="Q232" s="50" t="s">
        <v>43</v>
      </c>
      <c r="R232" s="50"/>
      <c r="S232" s="50" t="s">
        <v>597</v>
      </c>
      <c r="T232" s="4" t="s">
        <v>43</v>
      </c>
      <c r="U232" s="4" t="s">
        <v>43</v>
      </c>
      <c r="W232" s="48">
        <v>1</v>
      </c>
      <c r="X232" s="48">
        <v>1</v>
      </c>
      <c r="Y232" s="48">
        <v>4</v>
      </c>
      <c r="AD232" s="91">
        <f t="shared" si="4"/>
        <v>6</v>
      </c>
      <c r="AE232" s="48" t="e">
        <f>VLOOKUP(C232,#REF!,1,0)</f>
        <v>#REF!</v>
      </c>
    </row>
    <row r="233" spans="3:31" hidden="1" x14ac:dyDescent="0.25">
      <c r="C233" s="87" t="s">
        <v>636</v>
      </c>
      <c r="D233" s="4" t="s">
        <v>637</v>
      </c>
      <c r="E233" s="4" t="s">
        <v>638</v>
      </c>
      <c r="F233" s="92">
        <v>6</v>
      </c>
      <c r="G233" s="4" t="s">
        <v>376</v>
      </c>
      <c r="H233" s="4" t="s">
        <v>46</v>
      </c>
      <c r="I233" s="4" t="s">
        <v>421</v>
      </c>
      <c r="J233" s="4" t="s">
        <v>50</v>
      </c>
      <c r="K233" s="4" t="s">
        <v>43</v>
      </c>
      <c r="L233" s="4" t="s">
        <v>315</v>
      </c>
      <c r="M233" s="4" t="s">
        <v>40</v>
      </c>
      <c r="N233" s="4" t="s">
        <v>422</v>
      </c>
      <c r="O233" s="4" t="s">
        <v>636</v>
      </c>
      <c r="P233" s="4" t="s">
        <v>42</v>
      </c>
      <c r="Q233" s="50" t="s">
        <v>43</v>
      </c>
      <c r="R233" s="50"/>
      <c r="S233" s="50" t="s">
        <v>597</v>
      </c>
      <c r="T233" s="4" t="s">
        <v>43</v>
      </c>
      <c r="U233" s="4" t="s">
        <v>43</v>
      </c>
      <c r="W233" s="48">
        <v>1</v>
      </c>
      <c r="X233" s="48">
        <v>2</v>
      </c>
      <c r="Y233" s="48">
        <v>3</v>
      </c>
      <c r="AD233" s="91">
        <f t="shared" si="4"/>
        <v>6</v>
      </c>
      <c r="AE233" s="48" t="e">
        <f>VLOOKUP(C233,#REF!,1,0)</f>
        <v>#REF!</v>
      </c>
    </row>
    <row r="234" spans="3:31" hidden="1" x14ac:dyDescent="0.25">
      <c r="C234" s="87" t="s">
        <v>695</v>
      </c>
      <c r="D234" s="4" t="s">
        <v>696</v>
      </c>
      <c r="E234" s="4" t="s">
        <v>696</v>
      </c>
      <c r="F234" s="92">
        <v>5</v>
      </c>
      <c r="G234" s="4" t="s">
        <v>376</v>
      </c>
      <c r="H234" s="4" t="s">
        <v>46</v>
      </c>
      <c r="I234" s="4" t="s">
        <v>377</v>
      </c>
      <c r="J234" s="4" t="s">
        <v>248</v>
      </c>
      <c r="K234" s="4" t="s">
        <v>43</v>
      </c>
      <c r="L234" s="4" t="s">
        <v>51</v>
      </c>
      <c r="M234" s="4" t="s">
        <v>40</v>
      </c>
      <c r="N234" s="4" t="s">
        <v>653</v>
      </c>
      <c r="O234" s="4" t="s">
        <v>695</v>
      </c>
      <c r="P234" s="4" t="s">
        <v>42</v>
      </c>
      <c r="Q234" s="50" t="s">
        <v>43</v>
      </c>
      <c r="R234" s="50"/>
      <c r="S234" s="50" t="s">
        <v>51</v>
      </c>
      <c r="T234" s="4" t="s">
        <v>43</v>
      </c>
      <c r="U234" s="4" t="s">
        <v>43</v>
      </c>
      <c r="W234" s="48">
        <v>1</v>
      </c>
      <c r="X234" s="48">
        <v>1</v>
      </c>
      <c r="Y234" s="48">
        <v>3</v>
      </c>
      <c r="AD234" s="91">
        <f t="shared" si="4"/>
        <v>5</v>
      </c>
      <c r="AE234" s="48" t="s">
        <v>1220</v>
      </c>
    </row>
    <row r="235" spans="3:31" hidden="1" x14ac:dyDescent="0.25">
      <c r="C235" s="87" t="s">
        <v>821</v>
      </c>
      <c r="D235" s="4" t="s">
        <v>822</v>
      </c>
      <c r="E235" s="4" t="s">
        <v>822</v>
      </c>
      <c r="F235" s="92">
        <v>5.5600000000000005</v>
      </c>
      <c r="G235" s="4" t="s">
        <v>376</v>
      </c>
      <c r="H235" s="4" t="s">
        <v>46</v>
      </c>
      <c r="I235" s="4" t="s">
        <v>421</v>
      </c>
      <c r="J235" s="4" t="s">
        <v>798</v>
      </c>
      <c r="K235" s="4" t="s">
        <v>43</v>
      </c>
      <c r="L235" s="4" t="s">
        <v>59</v>
      </c>
      <c r="M235" s="4" t="s">
        <v>40</v>
      </c>
      <c r="N235" s="4" t="s">
        <v>653</v>
      </c>
      <c r="O235" s="4" t="s">
        <v>821</v>
      </c>
      <c r="P235" s="4" t="s">
        <v>42</v>
      </c>
      <c r="Q235" s="50" t="s">
        <v>43</v>
      </c>
      <c r="R235" s="50"/>
      <c r="S235" s="50" t="s">
        <v>799</v>
      </c>
      <c r="T235" s="4" t="s">
        <v>43</v>
      </c>
      <c r="U235" s="4" t="s">
        <v>43</v>
      </c>
      <c r="W235" s="48">
        <v>1</v>
      </c>
      <c r="X235" s="48">
        <v>1</v>
      </c>
      <c r="Y235" s="48">
        <v>3</v>
      </c>
      <c r="AA235" s="94">
        <v>1</v>
      </c>
      <c r="AD235" s="91">
        <f t="shared" si="4"/>
        <v>5.5681818181818183</v>
      </c>
      <c r="AE235" s="48" t="e">
        <f>VLOOKUP(C235,#REF!,1,0)</f>
        <v>#REF!</v>
      </c>
    </row>
    <row r="236" spans="3:31" hidden="1" x14ac:dyDescent="0.25">
      <c r="C236" s="87" t="s">
        <v>833</v>
      </c>
      <c r="D236" s="4" t="s">
        <v>834</v>
      </c>
      <c r="E236" s="4" t="s">
        <v>835</v>
      </c>
      <c r="F236" s="92">
        <v>5.5600000000000005</v>
      </c>
      <c r="G236" s="4" t="s">
        <v>376</v>
      </c>
      <c r="H236" s="4" t="s">
        <v>46</v>
      </c>
      <c r="I236" s="4" t="s">
        <v>421</v>
      </c>
      <c r="J236" s="4" t="s">
        <v>798</v>
      </c>
      <c r="K236" s="4" t="s">
        <v>43</v>
      </c>
      <c r="L236" s="4" t="s">
        <v>59</v>
      </c>
      <c r="M236" s="4" t="s">
        <v>40</v>
      </c>
      <c r="N236" s="4" t="s">
        <v>653</v>
      </c>
      <c r="O236" s="4" t="s">
        <v>833</v>
      </c>
      <c r="P236" s="4" t="s">
        <v>42</v>
      </c>
      <c r="Q236" s="50" t="s">
        <v>43</v>
      </c>
      <c r="R236" s="50"/>
      <c r="S236" s="50" t="s">
        <v>799</v>
      </c>
      <c r="T236" s="4" t="s">
        <v>43</v>
      </c>
      <c r="U236" s="4" t="s">
        <v>43</v>
      </c>
      <c r="W236" s="48">
        <v>1</v>
      </c>
      <c r="X236" s="48">
        <v>1</v>
      </c>
      <c r="Y236" s="48">
        <v>3</v>
      </c>
      <c r="AA236" s="94">
        <v>1</v>
      </c>
      <c r="AD236" s="91">
        <f t="shared" si="4"/>
        <v>5.5681818181818183</v>
      </c>
      <c r="AE236" s="48" t="e">
        <f>VLOOKUP(C236,#REF!,1,0)</f>
        <v>#REF!</v>
      </c>
    </row>
    <row r="237" spans="3:31" hidden="1" x14ac:dyDescent="0.25">
      <c r="C237" s="87" t="s">
        <v>646</v>
      </c>
      <c r="D237" s="4" t="s">
        <v>647</v>
      </c>
      <c r="E237" s="4" t="s">
        <v>647</v>
      </c>
      <c r="F237" s="92">
        <v>7</v>
      </c>
      <c r="G237" s="4" t="s">
        <v>376</v>
      </c>
      <c r="H237" s="4" t="s">
        <v>46</v>
      </c>
      <c r="I237" s="4" t="s">
        <v>421</v>
      </c>
      <c r="J237" s="4" t="s">
        <v>50</v>
      </c>
      <c r="K237" s="4" t="s">
        <v>43</v>
      </c>
      <c r="L237" s="4" t="s">
        <v>59</v>
      </c>
      <c r="M237" s="4" t="s">
        <v>40</v>
      </c>
      <c r="N237" s="4" t="s">
        <v>422</v>
      </c>
      <c r="O237" s="4" t="s">
        <v>646</v>
      </c>
      <c r="P237" s="4" t="s">
        <v>42</v>
      </c>
      <c r="Q237" s="50" t="s">
        <v>43</v>
      </c>
      <c r="R237" s="50"/>
      <c r="S237" s="50" t="s">
        <v>597</v>
      </c>
      <c r="T237" s="4" t="s">
        <v>43</v>
      </c>
      <c r="U237" s="4" t="s">
        <v>43</v>
      </c>
      <c r="W237" s="48">
        <v>1</v>
      </c>
      <c r="X237" s="48">
        <v>1</v>
      </c>
      <c r="Y237" s="48">
        <v>5</v>
      </c>
      <c r="AD237" s="91">
        <f t="shared" si="4"/>
        <v>7</v>
      </c>
      <c r="AE237" s="48" t="e">
        <f>VLOOKUP(C237,#REF!,1,0)</f>
        <v>#REF!</v>
      </c>
    </row>
    <row r="238" spans="3:31" hidden="1" x14ac:dyDescent="0.25">
      <c r="C238" s="87" t="s">
        <v>648</v>
      </c>
      <c r="D238" s="4" t="s">
        <v>649</v>
      </c>
      <c r="E238" s="4" t="s">
        <v>650</v>
      </c>
      <c r="F238" s="92">
        <v>7.45</v>
      </c>
      <c r="G238" s="4" t="s">
        <v>376</v>
      </c>
      <c r="H238" s="4" t="s">
        <v>46</v>
      </c>
      <c r="I238" s="4" t="s">
        <v>421</v>
      </c>
      <c r="J238" s="4" t="s">
        <v>50</v>
      </c>
      <c r="K238" s="4" t="s">
        <v>43</v>
      </c>
      <c r="L238" s="4" t="s">
        <v>64</v>
      </c>
      <c r="M238" s="4" t="s">
        <v>40</v>
      </c>
      <c r="N238" s="4" t="s">
        <v>422</v>
      </c>
      <c r="O238" s="4" t="s">
        <v>648</v>
      </c>
      <c r="P238" s="4" t="s">
        <v>42</v>
      </c>
      <c r="Q238" s="50" t="s">
        <v>43</v>
      </c>
      <c r="R238" s="50"/>
      <c r="S238" s="50" t="s">
        <v>597</v>
      </c>
      <c r="T238" s="4" t="s">
        <v>43</v>
      </c>
      <c r="U238" s="4" t="s">
        <v>43</v>
      </c>
      <c r="W238" s="48">
        <v>1</v>
      </c>
      <c r="X238" s="48">
        <v>2</v>
      </c>
      <c r="Y238" s="48">
        <v>4</v>
      </c>
      <c r="AB238" s="48">
        <v>1</v>
      </c>
      <c r="AD238" s="91">
        <f t="shared" si="4"/>
        <v>7.4545454545454541</v>
      </c>
      <c r="AE238" s="48" t="e">
        <f>VLOOKUP(C238,#REF!,1,0)</f>
        <v>#REF!</v>
      </c>
    </row>
    <row r="239" spans="3:31" hidden="1" x14ac:dyDescent="0.25">
      <c r="C239" s="87" t="s">
        <v>651</v>
      </c>
      <c r="D239" s="4" t="s">
        <v>652</v>
      </c>
      <c r="E239" s="4" t="s">
        <v>652</v>
      </c>
      <c r="F239" s="92">
        <v>12</v>
      </c>
      <c r="G239" s="4" t="s">
        <v>376</v>
      </c>
      <c r="H239" s="4" t="s">
        <v>46</v>
      </c>
      <c r="I239" s="4" t="s">
        <v>377</v>
      </c>
      <c r="J239" s="4" t="s">
        <v>248</v>
      </c>
      <c r="K239" s="4" t="s">
        <v>43</v>
      </c>
      <c r="L239" s="4" t="s">
        <v>51</v>
      </c>
      <c r="M239" s="4" t="s">
        <v>40</v>
      </c>
      <c r="N239" s="4" t="s">
        <v>653</v>
      </c>
      <c r="O239" s="4" t="s">
        <v>651</v>
      </c>
      <c r="P239" s="4" t="s">
        <v>379</v>
      </c>
      <c r="Q239" s="50" t="s">
        <v>43</v>
      </c>
      <c r="R239" s="50"/>
      <c r="S239" s="50" t="s">
        <v>51</v>
      </c>
      <c r="T239" s="4" t="s">
        <v>43</v>
      </c>
      <c r="U239" s="4" t="s">
        <v>43</v>
      </c>
      <c r="W239" s="48">
        <v>1</v>
      </c>
      <c r="X239" s="48">
        <v>2</v>
      </c>
      <c r="Y239" s="48">
        <v>9</v>
      </c>
      <c r="AD239" s="94">
        <f t="shared" si="4"/>
        <v>12</v>
      </c>
      <c r="AE239" s="48" t="e">
        <f>VLOOKUP(C239,#REF!,1,0)</f>
        <v>#REF!</v>
      </c>
    </row>
    <row r="240" spans="3:31" hidden="1" x14ac:dyDescent="0.25">
      <c r="C240" s="87" t="s">
        <v>654</v>
      </c>
      <c r="D240" s="4" t="s">
        <v>655</v>
      </c>
      <c r="E240" s="4" t="s">
        <v>655</v>
      </c>
      <c r="F240" s="92">
        <v>7</v>
      </c>
      <c r="G240" s="4" t="s">
        <v>376</v>
      </c>
      <c r="H240" s="4" t="s">
        <v>46</v>
      </c>
      <c r="I240" s="4" t="s">
        <v>377</v>
      </c>
      <c r="J240" s="4" t="s">
        <v>248</v>
      </c>
      <c r="K240" s="4" t="s">
        <v>43</v>
      </c>
      <c r="L240" s="4" t="s">
        <v>51</v>
      </c>
      <c r="M240" s="4" t="s">
        <v>40</v>
      </c>
      <c r="N240" s="4" t="s">
        <v>653</v>
      </c>
      <c r="O240" s="4" t="s">
        <v>654</v>
      </c>
      <c r="P240" s="4" t="s">
        <v>42</v>
      </c>
      <c r="Q240" s="50" t="s">
        <v>43</v>
      </c>
      <c r="R240" s="50"/>
      <c r="S240" s="50" t="s">
        <v>51</v>
      </c>
      <c r="T240" s="4" t="s">
        <v>43</v>
      </c>
      <c r="U240" s="4" t="s">
        <v>43</v>
      </c>
      <c r="W240" s="48">
        <v>1</v>
      </c>
      <c r="X240" s="48">
        <v>1</v>
      </c>
      <c r="Y240" s="48">
        <v>5</v>
      </c>
      <c r="AD240" s="91">
        <f t="shared" si="4"/>
        <v>7</v>
      </c>
      <c r="AE240" s="48" t="e">
        <f>VLOOKUP(C240,#REF!,1,0)</f>
        <v>#REF!</v>
      </c>
    </row>
    <row r="241" spans="3:31" hidden="1" x14ac:dyDescent="0.25">
      <c r="C241" s="87" t="s">
        <v>712</v>
      </c>
      <c r="D241" s="4" t="s">
        <v>713</v>
      </c>
      <c r="E241" s="4" t="s">
        <v>713</v>
      </c>
      <c r="F241" s="92">
        <v>5</v>
      </c>
      <c r="G241" s="4" t="s">
        <v>376</v>
      </c>
      <c r="H241" s="4" t="s">
        <v>46</v>
      </c>
      <c r="I241" s="4" t="s">
        <v>421</v>
      </c>
      <c r="J241" s="4" t="s">
        <v>84</v>
      </c>
      <c r="K241" s="4" t="s">
        <v>440</v>
      </c>
      <c r="L241" s="4" t="s">
        <v>54</v>
      </c>
      <c r="M241" s="4" t="s">
        <v>55</v>
      </c>
      <c r="N241" s="4" t="s">
        <v>653</v>
      </c>
      <c r="O241" s="4" t="s">
        <v>712</v>
      </c>
      <c r="P241" s="4" t="s">
        <v>42</v>
      </c>
      <c r="Q241" s="50" t="s">
        <v>43</v>
      </c>
      <c r="R241" s="50"/>
      <c r="S241" s="50" t="s">
        <v>702</v>
      </c>
      <c r="T241" s="4" t="s">
        <v>43</v>
      </c>
      <c r="U241" s="4" t="s">
        <v>43</v>
      </c>
      <c r="W241" s="48">
        <v>1</v>
      </c>
      <c r="X241" s="48">
        <v>1</v>
      </c>
      <c r="Y241" s="48">
        <v>3</v>
      </c>
      <c r="AD241" s="91">
        <f t="shared" si="4"/>
        <v>5</v>
      </c>
      <c r="AE241" s="48" t="s">
        <v>1220</v>
      </c>
    </row>
    <row r="242" spans="3:31" hidden="1" x14ac:dyDescent="0.25">
      <c r="C242" s="87" t="s">
        <v>659</v>
      </c>
      <c r="D242" s="4" t="s">
        <v>660</v>
      </c>
      <c r="E242" s="4" t="s">
        <v>661</v>
      </c>
      <c r="F242" s="92">
        <v>6</v>
      </c>
      <c r="G242" s="4" t="s">
        <v>376</v>
      </c>
      <c r="H242" s="4" t="s">
        <v>46</v>
      </c>
      <c r="I242" s="4" t="s">
        <v>377</v>
      </c>
      <c r="J242" s="4" t="s">
        <v>248</v>
      </c>
      <c r="K242" s="4" t="s">
        <v>43</v>
      </c>
      <c r="L242" s="4" t="s">
        <v>51</v>
      </c>
      <c r="M242" s="4" t="s">
        <v>40</v>
      </c>
      <c r="N242" s="4" t="s">
        <v>653</v>
      </c>
      <c r="O242" s="4" t="s">
        <v>659</v>
      </c>
      <c r="P242" s="4" t="s">
        <v>42</v>
      </c>
      <c r="Q242" s="50" t="s">
        <v>43</v>
      </c>
      <c r="R242" s="50"/>
      <c r="S242" s="50" t="s">
        <v>51</v>
      </c>
      <c r="T242" s="4" t="s">
        <v>43</v>
      </c>
      <c r="U242" s="4" t="s">
        <v>43</v>
      </c>
      <c r="W242" s="48">
        <v>1</v>
      </c>
      <c r="X242" s="48">
        <v>1</v>
      </c>
      <c r="Y242" s="48">
        <v>4</v>
      </c>
      <c r="AD242" s="91">
        <f t="shared" si="4"/>
        <v>6</v>
      </c>
      <c r="AE242" s="48" t="e">
        <f>VLOOKUP(C242,#REF!,1,0)</f>
        <v>#REF!</v>
      </c>
    </row>
    <row r="243" spans="3:31" hidden="1" x14ac:dyDescent="0.25">
      <c r="C243" s="87" t="s">
        <v>628</v>
      </c>
      <c r="D243" s="4" t="s">
        <v>629</v>
      </c>
      <c r="E243" s="4" t="s">
        <v>630</v>
      </c>
      <c r="F243" s="92">
        <v>5.6</v>
      </c>
      <c r="G243" s="4" t="s">
        <v>376</v>
      </c>
      <c r="H243" s="4" t="s">
        <v>46</v>
      </c>
      <c r="I243" s="4" t="s">
        <v>421</v>
      </c>
      <c r="J243" s="4" t="s">
        <v>50</v>
      </c>
      <c r="K243" s="4" t="s">
        <v>43</v>
      </c>
      <c r="L243" s="4" t="s">
        <v>64</v>
      </c>
      <c r="M243" s="4" t="s">
        <v>40</v>
      </c>
      <c r="N243" s="4" t="s">
        <v>422</v>
      </c>
      <c r="O243" s="4" t="s">
        <v>628</v>
      </c>
      <c r="P243" s="4" t="s">
        <v>42</v>
      </c>
      <c r="Q243" s="50" t="s">
        <v>43</v>
      </c>
      <c r="R243" s="50"/>
      <c r="S243" s="50" t="s">
        <v>597</v>
      </c>
      <c r="T243" s="4" t="s">
        <v>43</v>
      </c>
      <c r="U243" s="4" t="s">
        <v>43</v>
      </c>
      <c r="W243" s="48">
        <v>1</v>
      </c>
      <c r="X243" s="48">
        <v>1</v>
      </c>
      <c r="AA243" s="48">
        <v>4</v>
      </c>
      <c r="AC243" s="48">
        <v>4</v>
      </c>
      <c r="AD243" s="91">
        <f t="shared" si="4"/>
        <v>5.6363636363636367</v>
      </c>
      <c r="AE243" s="48" t="e">
        <f>VLOOKUP(C243,#REF!,1,0)</f>
        <v>#REF!</v>
      </c>
    </row>
    <row r="244" spans="3:31" hidden="1" x14ac:dyDescent="0.25">
      <c r="C244" s="87" t="s">
        <v>665</v>
      </c>
      <c r="D244" s="4" t="s">
        <v>666</v>
      </c>
      <c r="E244" s="4" t="s">
        <v>666</v>
      </c>
      <c r="F244" s="92">
        <v>6</v>
      </c>
      <c r="G244" s="4" t="s">
        <v>376</v>
      </c>
      <c r="H244" s="4" t="s">
        <v>46</v>
      </c>
      <c r="I244" s="4" t="s">
        <v>377</v>
      </c>
      <c r="J244" s="4" t="s">
        <v>248</v>
      </c>
      <c r="K244" s="4" t="s">
        <v>43</v>
      </c>
      <c r="L244" s="4" t="s">
        <v>51</v>
      </c>
      <c r="M244" s="4" t="s">
        <v>40</v>
      </c>
      <c r="N244" s="4" t="s">
        <v>653</v>
      </c>
      <c r="O244" s="4" t="s">
        <v>665</v>
      </c>
      <c r="P244" s="4" t="s">
        <v>42</v>
      </c>
      <c r="Q244" s="50" t="s">
        <v>43</v>
      </c>
      <c r="R244" s="50"/>
      <c r="S244" s="50" t="s">
        <v>51</v>
      </c>
      <c r="T244" s="4" t="s">
        <v>43</v>
      </c>
      <c r="U244" s="4" t="s">
        <v>43</v>
      </c>
      <c r="W244" s="48">
        <v>1</v>
      </c>
      <c r="X244" s="48">
        <v>1</v>
      </c>
      <c r="Y244" s="48">
        <v>4</v>
      </c>
      <c r="AD244" s="91">
        <f t="shared" si="4"/>
        <v>6</v>
      </c>
      <c r="AE244" s="48" t="e">
        <f>VLOOKUP(C244,#REF!,1,0)</f>
        <v>#REF!</v>
      </c>
    </row>
    <row r="245" spans="3:31" hidden="1" x14ac:dyDescent="0.25">
      <c r="C245" s="87" t="s">
        <v>667</v>
      </c>
      <c r="D245" s="4" t="s">
        <v>668</v>
      </c>
      <c r="E245" s="4" t="s">
        <v>668</v>
      </c>
      <c r="F245" s="92">
        <v>6</v>
      </c>
      <c r="G245" s="4" t="s">
        <v>376</v>
      </c>
      <c r="H245" s="4" t="s">
        <v>46</v>
      </c>
      <c r="I245" s="4" t="s">
        <v>377</v>
      </c>
      <c r="J245" s="4" t="s">
        <v>248</v>
      </c>
      <c r="K245" s="4" t="s">
        <v>43</v>
      </c>
      <c r="L245" s="4" t="s">
        <v>51</v>
      </c>
      <c r="M245" s="4" t="s">
        <v>40</v>
      </c>
      <c r="N245" s="4" t="s">
        <v>653</v>
      </c>
      <c r="O245" s="4" t="s">
        <v>667</v>
      </c>
      <c r="P245" s="4" t="s">
        <v>42</v>
      </c>
      <c r="Q245" s="50" t="s">
        <v>43</v>
      </c>
      <c r="R245" s="50"/>
      <c r="S245" s="50" t="s">
        <v>51</v>
      </c>
      <c r="T245" s="4" t="s">
        <v>43</v>
      </c>
      <c r="U245" s="4" t="s">
        <v>43</v>
      </c>
      <c r="W245" s="48">
        <v>1</v>
      </c>
      <c r="X245" s="48">
        <v>1</v>
      </c>
      <c r="Y245" s="48">
        <v>4</v>
      </c>
      <c r="AD245" s="91">
        <f t="shared" si="4"/>
        <v>6</v>
      </c>
      <c r="AE245" s="48" t="e">
        <f>VLOOKUP(C245,#REF!,1,0)</f>
        <v>#REF!</v>
      </c>
    </row>
    <row r="246" spans="3:31" hidden="1" x14ac:dyDescent="0.25">
      <c r="C246" s="87" t="s">
        <v>669</v>
      </c>
      <c r="D246" s="4" t="s">
        <v>670</v>
      </c>
      <c r="E246" s="4" t="s">
        <v>670</v>
      </c>
      <c r="F246" s="92">
        <v>5.45</v>
      </c>
      <c r="G246" s="4" t="s">
        <v>376</v>
      </c>
      <c r="H246" s="4" t="s">
        <v>46</v>
      </c>
      <c r="I246" s="4" t="s">
        <v>377</v>
      </c>
      <c r="J246" s="4" t="s">
        <v>248</v>
      </c>
      <c r="K246" s="4" t="s">
        <v>43</v>
      </c>
      <c r="L246" s="4" t="s">
        <v>51</v>
      </c>
      <c r="M246" s="4" t="s">
        <v>40</v>
      </c>
      <c r="N246" s="4" t="s">
        <v>653</v>
      </c>
      <c r="O246" s="4" t="s">
        <v>669</v>
      </c>
      <c r="P246" s="4" t="s">
        <v>42</v>
      </c>
      <c r="Q246" s="50" t="s">
        <v>43</v>
      </c>
      <c r="R246" s="50"/>
      <c r="S246" s="50" t="s">
        <v>51</v>
      </c>
      <c r="T246" s="4" t="s">
        <v>43</v>
      </c>
      <c r="U246" s="4" t="s">
        <v>43</v>
      </c>
      <c r="W246" s="48">
        <v>1</v>
      </c>
      <c r="X246" s="48">
        <v>1</v>
      </c>
      <c r="Y246" s="48">
        <v>3</v>
      </c>
      <c r="AB246" s="48">
        <v>1</v>
      </c>
      <c r="AD246" s="91">
        <f t="shared" si="4"/>
        <v>5.4545454545454541</v>
      </c>
      <c r="AE246" s="48" t="e">
        <f>VLOOKUP(C246,#REF!,1,0)</f>
        <v>#REF!</v>
      </c>
    </row>
    <row r="247" spans="3:31" hidden="1" x14ac:dyDescent="0.25">
      <c r="C247" s="87" t="s">
        <v>714</v>
      </c>
      <c r="D247" s="4" t="s">
        <v>715</v>
      </c>
      <c r="E247" s="4" t="s">
        <v>715</v>
      </c>
      <c r="F247" s="92">
        <v>5</v>
      </c>
      <c r="G247" s="4" t="s">
        <v>376</v>
      </c>
      <c r="H247" s="4" t="s">
        <v>46</v>
      </c>
      <c r="I247" s="4" t="s">
        <v>421</v>
      </c>
      <c r="J247" s="4" t="s">
        <v>84</v>
      </c>
      <c r="K247" s="4" t="s">
        <v>440</v>
      </c>
      <c r="L247" s="4" t="s">
        <v>54</v>
      </c>
      <c r="M247" s="4" t="s">
        <v>55</v>
      </c>
      <c r="N247" s="4" t="s">
        <v>653</v>
      </c>
      <c r="O247" s="4" t="s">
        <v>714</v>
      </c>
      <c r="P247" s="4" t="s">
        <v>42</v>
      </c>
      <c r="Q247" s="50" t="s">
        <v>43</v>
      </c>
      <c r="R247" s="50"/>
      <c r="S247" s="50" t="s">
        <v>702</v>
      </c>
      <c r="T247" s="4" t="s">
        <v>43</v>
      </c>
      <c r="U247" s="4" t="s">
        <v>43</v>
      </c>
      <c r="W247" s="48">
        <v>1</v>
      </c>
      <c r="X247" s="48">
        <v>1</v>
      </c>
      <c r="Y247" s="48">
        <v>3</v>
      </c>
      <c r="AD247" s="91">
        <f t="shared" si="4"/>
        <v>5</v>
      </c>
      <c r="AE247" s="48" t="s">
        <v>1220</v>
      </c>
    </row>
    <row r="248" spans="3:31" hidden="1" x14ac:dyDescent="0.25">
      <c r="C248" s="87" t="s">
        <v>673</v>
      </c>
      <c r="D248" s="4" t="s">
        <v>674</v>
      </c>
      <c r="E248" s="4" t="s">
        <v>674</v>
      </c>
      <c r="F248" s="92">
        <v>5.45</v>
      </c>
      <c r="G248" s="4" t="s">
        <v>376</v>
      </c>
      <c r="H248" s="4" t="s">
        <v>46</v>
      </c>
      <c r="I248" s="4" t="s">
        <v>377</v>
      </c>
      <c r="J248" s="4" t="s">
        <v>248</v>
      </c>
      <c r="K248" s="4" t="s">
        <v>43</v>
      </c>
      <c r="L248" s="4" t="s">
        <v>51</v>
      </c>
      <c r="M248" s="4" t="s">
        <v>40</v>
      </c>
      <c r="N248" s="4" t="s">
        <v>653</v>
      </c>
      <c r="O248" s="4" t="s">
        <v>673</v>
      </c>
      <c r="P248" s="4" t="s">
        <v>42</v>
      </c>
      <c r="Q248" s="50" t="s">
        <v>43</v>
      </c>
      <c r="R248" s="50"/>
      <c r="S248" s="50" t="s">
        <v>51</v>
      </c>
      <c r="T248" s="4" t="s">
        <v>43</v>
      </c>
      <c r="U248" s="4" t="s">
        <v>43</v>
      </c>
      <c r="W248" s="48">
        <v>1</v>
      </c>
      <c r="X248" s="48">
        <v>1</v>
      </c>
      <c r="Y248" s="48">
        <v>3</v>
      </c>
      <c r="AB248" s="48">
        <v>1</v>
      </c>
      <c r="AD248" s="91">
        <f t="shared" si="4"/>
        <v>5.4545454545454541</v>
      </c>
      <c r="AE248" s="48" t="e">
        <f>VLOOKUP(C248,#REF!,1,0)</f>
        <v>#REF!</v>
      </c>
    </row>
    <row r="249" spans="3:31" hidden="1" x14ac:dyDescent="0.25">
      <c r="C249" s="87" t="s">
        <v>716</v>
      </c>
      <c r="D249" s="4" t="s">
        <v>717</v>
      </c>
      <c r="E249" s="4" t="s">
        <v>718</v>
      </c>
      <c r="F249" s="92">
        <v>5</v>
      </c>
      <c r="G249" s="4" t="s">
        <v>376</v>
      </c>
      <c r="H249" s="4" t="s">
        <v>46</v>
      </c>
      <c r="I249" s="4" t="s">
        <v>421</v>
      </c>
      <c r="J249" s="4" t="s">
        <v>84</v>
      </c>
      <c r="K249" s="4" t="s">
        <v>440</v>
      </c>
      <c r="L249" s="4" t="s">
        <v>54</v>
      </c>
      <c r="M249" s="4" t="s">
        <v>55</v>
      </c>
      <c r="N249" s="4" t="s">
        <v>653</v>
      </c>
      <c r="O249" s="4" t="s">
        <v>716</v>
      </c>
      <c r="P249" s="4" t="s">
        <v>42</v>
      </c>
      <c r="Q249" s="50" t="s">
        <v>43</v>
      </c>
      <c r="R249" s="50"/>
      <c r="S249" s="50" t="s">
        <v>702</v>
      </c>
      <c r="T249" s="4" t="s">
        <v>43</v>
      </c>
      <c r="U249" s="4" t="s">
        <v>43</v>
      </c>
      <c r="W249" s="48">
        <v>1</v>
      </c>
      <c r="X249" s="48">
        <v>1</v>
      </c>
      <c r="Y249" s="48">
        <v>3</v>
      </c>
      <c r="AD249" s="91">
        <f t="shared" si="4"/>
        <v>5</v>
      </c>
      <c r="AE249" s="48" t="s">
        <v>1220</v>
      </c>
    </row>
    <row r="250" spans="3:31" hidden="1" x14ac:dyDescent="0.25">
      <c r="C250" s="87" t="s">
        <v>719</v>
      </c>
      <c r="D250" s="4" t="s">
        <v>720</v>
      </c>
      <c r="E250" s="4" t="s">
        <v>721</v>
      </c>
      <c r="F250" s="92">
        <v>5</v>
      </c>
      <c r="G250" s="4" t="s">
        <v>376</v>
      </c>
      <c r="H250" s="4" t="s">
        <v>81</v>
      </c>
      <c r="I250" s="4" t="s">
        <v>421</v>
      </c>
      <c r="J250" s="4" t="s">
        <v>84</v>
      </c>
      <c r="K250" s="4" t="s">
        <v>440</v>
      </c>
      <c r="L250" s="4" t="s">
        <v>722</v>
      </c>
      <c r="M250" s="4" t="s">
        <v>55</v>
      </c>
      <c r="N250" s="4" t="s">
        <v>653</v>
      </c>
      <c r="O250" s="4" t="s">
        <v>719</v>
      </c>
      <c r="P250" s="4" t="s">
        <v>42</v>
      </c>
      <c r="Q250" s="50" t="s">
        <v>43</v>
      </c>
      <c r="R250" s="50"/>
      <c r="S250" s="50" t="s">
        <v>702</v>
      </c>
      <c r="T250" s="4" t="s">
        <v>43</v>
      </c>
      <c r="U250" s="4" t="s">
        <v>43</v>
      </c>
      <c r="W250" s="48">
        <v>1</v>
      </c>
      <c r="X250" s="48">
        <v>1</v>
      </c>
      <c r="Y250" s="48">
        <v>3</v>
      </c>
      <c r="AD250" s="91">
        <f t="shared" si="4"/>
        <v>5</v>
      </c>
      <c r="AE250" s="48" t="s">
        <v>1220</v>
      </c>
    </row>
    <row r="251" spans="3:31" hidden="1" x14ac:dyDescent="0.25">
      <c r="C251" s="87" t="s">
        <v>723</v>
      </c>
      <c r="D251" s="4" t="s">
        <v>724</v>
      </c>
      <c r="E251" s="4" t="s">
        <v>725</v>
      </c>
      <c r="F251" s="92">
        <v>5</v>
      </c>
      <c r="G251" s="4" t="s">
        <v>376</v>
      </c>
      <c r="H251" s="4" t="s">
        <v>46</v>
      </c>
      <c r="I251" s="4" t="s">
        <v>421</v>
      </c>
      <c r="J251" s="4" t="s">
        <v>84</v>
      </c>
      <c r="K251" s="4" t="s">
        <v>440</v>
      </c>
      <c r="L251" s="4" t="s">
        <v>54</v>
      </c>
      <c r="M251" s="4" t="s">
        <v>55</v>
      </c>
      <c r="N251" s="4" t="s">
        <v>653</v>
      </c>
      <c r="O251" s="4" t="s">
        <v>723</v>
      </c>
      <c r="P251" s="4" t="s">
        <v>42</v>
      </c>
      <c r="Q251" s="50" t="s">
        <v>43</v>
      </c>
      <c r="R251" s="50"/>
      <c r="S251" s="50" t="s">
        <v>702</v>
      </c>
      <c r="T251" s="4" t="s">
        <v>43</v>
      </c>
      <c r="U251" s="4" t="s">
        <v>43</v>
      </c>
      <c r="W251" s="48">
        <v>1</v>
      </c>
      <c r="X251" s="48">
        <v>1</v>
      </c>
      <c r="Y251" s="48">
        <v>3</v>
      </c>
      <c r="AD251" s="91">
        <f t="shared" si="4"/>
        <v>5</v>
      </c>
      <c r="AE251" s="48" t="s">
        <v>1220</v>
      </c>
    </row>
    <row r="252" spans="3:31" hidden="1" x14ac:dyDescent="0.25">
      <c r="C252" s="87" t="s">
        <v>726</v>
      </c>
      <c r="D252" s="4" t="s">
        <v>727</v>
      </c>
      <c r="E252" s="4" t="s">
        <v>727</v>
      </c>
      <c r="F252" s="92">
        <v>5</v>
      </c>
      <c r="G252" s="4" t="s">
        <v>37</v>
      </c>
      <c r="H252" s="4" t="s">
        <v>81</v>
      </c>
      <c r="I252" s="4" t="s">
        <v>421</v>
      </c>
      <c r="J252" s="4" t="s">
        <v>84</v>
      </c>
      <c r="K252" s="4"/>
      <c r="L252" s="4" t="s">
        <v>54</v>
      </c>
      <c r="M252" s="4" t="s">
        <v>55</v>
      </c>
      <c r="N252" s="4" t="s">
        <v>41</v>
      </c>
      <c r="O252" s="4" t="s">
        <v>726</v>
      </c>
      <c r="P252" s="4" t="s">
        <v>42</v>
      </c>
      <c r="Q252" s="50" t="s">
        <v>43</v>
      </c>
      <c r="R252" s="50"/>
      <c r="S252" s="50" t="s">
        <v>702</v>
      </c>
      <c r="T252" s="4" t="s">
        <v>43</v>
      </c>
      <c r="U252" s="4" t="s">
        <v>43</v>
      </c>
      <c r="W252" s="48">
        <v>1</v>
      </c>
      <c r="X252" s="48">
        <v>1</v>
      </c>
      <c r="Y252" s="48">
        <v>3</v>
      </c>
      <c r="AD252" s="91">
        <f t="shared" si="4"/>
        <v>5</v>
      </c>
      <c r="AE252" s="48" t="s">
        <v>1220</v>
      </c>
    </row>
    <row r="253" spans="3:31" hidden="1" x14ac:dyDescent="0.25">
      <c r="C253" s="87" t="s">
        <v>731</v>
      </c>
      <c r="D253" s="4" t="s">
        <v>732</v>
      </c>
      <c r="E253" s="4" t="s">
        <v>54</v>
      </c>
      <c r="F253" s="92">
        <v>5</v>
      </c>
      <c r="G253" s="4" t="s">
        <v>376</v>
      </c>
      <c r="H253" s="4" t="s">
        <v>46</v>
      </c>
      <c r="I253" s="4" t="s">
        <v>421</v>
      </c>
      <c r="J253" s="4" t="s">
        <v>84</v>
      </c>
      <c r="K253" s="4" t="s">
        <v>440</v>
      </c>
      <c r="L253" s="4" t="s">
        <v>54</v>
      </c>
      <c r="M253" s="4" t="s">
        <v>55</v>
      </c>
      <c r="N253" s="4" t="s">
        <v>653</v>
      </c>
      <c r="O253" s="4" t="s">
        <v>731</v>
      </c>
      <c r="P253" s="4" t="s">
        <v>42</v>
      </c>
      <c r="Q253" s="50" t="s">
        <v>43</v>
      </c>
      <c r="R253" s="50"/>
      <c r="S253" s="50" t="s">
        <v>702</v>
      </c>
      <c r="T253" s="4" t="s">
        <v>43</v>
      </c>
      <c r="U253" s="4" t="s">
        <v>43</v>
      </c>
      <c r="W253" s="48">
        <v>1</v>
      </c>
      <c r="X253" s="48">
        <v>1</v>
      </c>
      <c r="Y253" s="48">
        <v>3</v>
      </c>
      <c r="AD253" s="91">
        <f t="shared" si="4"/>
        <v>5</v>
      </c>
      <c r="AE253" s="48" t="s">
        <v>1220</v>
      </c>
    </row>
    <row r="254" spans="3:31" hidden="1" x14ac:dyDescent="0.25">
      <c r="C254" s="87" t="s">
        <v>687</v>
      </c>
      <c r="D254" s="4" t="s">
        <v>688</v>
      </c>
      <c r="E254" s="4" t="s">
        <v>689</v>
      </c>
      <c r="F254" s="92">
        <v>6</v>
      </c>
      <c r="G254" s="4" t="s">
        <v>376</v>
      </c>
      <c r="H254" s="4" t="s">
        <v>46</v>
      </c>
      <c r="I254" s="4" t="s">
        <v>377</v>
      </c>
      <c r="J254" s="4" t="s">
        <v>248</v>
      </c>
      <c r="K254" s="4" t="s">
        <v>43</v>
      </c>
      <c r="L254" s="4" t="s">
        <v>51</v>
      </c>
      <c r="M254" s="4" t="s">
        <v>40</v>
      </c>
      <c r="N254" s="4" t="s">
        <v>653</v>
      </c>
      <c r="O254" s="4" t="s">
        <v>687</v>
      </c>
      <c r="P254" s="4" t="s">
        <v>42</v>
      </c>
      <c r="Q254" s="50" t="s">
        <v>43</v>
      </c>
      <c r="R254" s="50"/>
      <c r="S254" s="50" t="s">
        <v>51</v>
      </c>
      <c r="T254" s="4" t="s">
        <v>43</v>
      </c>
      <c r="U254" s="4" t="s">
        <v>43</v>
      </c>
      <c r="W254" s="48">
        <v>1</v>
      </c>
      <c r="X254" s="48">
        <v>2</v>
      </c>
      <c r="Y254" s="48">
        <v>3</v>
      </c>
      <c r="AD254" s="91">
        <f t="shared" si="4"/>
        <v>6</v>
      </c>
      <c r="AE254" s="48" t="e">
        <f>VLOOKUP(C254,#REF!,1,0)</f>
        <v>#REF!</v>
      </c>
    </row>
    <row r="255" spans="3:31" hidden="1" x14ac:dyDescent="0.25">
      <c r="C255" s="87" t="s">
        <v>750</v>
      </c>
      <c r="D255" s="4" t="s">
        <v>751</v>
      </c>
      <c r="E255" s="4" t="s">
        <v>751</v>
      </c>
      <c r="F255" s="92">
        <v>5</v>
      </c>
      <c r="G255" s="4" t="s">
        <v>376</v>
      </c>
      <c r="H255" s="4" t="s">
        <v>46</v>
      </c>
      <c r="I255" s="4" t="s">
        <v>421</v>
      </c>
      <c r="J255" s="4" t="s">
        <v>84</v>
      </c>
      <c r="K255" s="4" t="s">
        <v>440</v>
      </c>
      <c r="L255" s="4" t="s">
        <v>54</v>
      </c>
      <c r="M255" s="4" t="s">
        <v>55</v>
      </c>
      <c r="N255" s="4" t="s">
        <v>653</v>
      </c>
      <c r="O255" s="4" t="s">
        <v>750</v>
      </c>
      <c r="P255" s="4" t="s">
        <v>42</v>
      </c>
      <c r="Q255" s="50" t="s">
        <v>43</v>
      </c>
      <c r="R255" s="50"/>
      <c r="S255" s="50" t="s">
        <v>741</v>
      </c>
      <c r="T255" s="4" t="s">
        <v>43</v>
      </c>
      <c r="U255" s="4" t="s">
        <v>43</v>
      </c>
      <c r="W255" s="48">
        <v>1</v>
      </c>
      <c r="X255" s="48">
        <v>1</v>
      </c>
      <c r="Y255" s="48">
        <v>3</v>
      </c>
      <c r="AD255" s="91">
        <f t="shared" si="4"/>
        <v>5</v>
      </c>
      <c r="AE255" s="48" t="s">
        <v>1220</v>
      </c>
    </row>
    <row r="256" spans="3:31" hidden="1" x14ac:dyDescent="0.25">
      <c r="C256" s="87" t="s">
        <v>754</v>
      </c>
      <c r="D256" s="4" t="s">
        <v>755</v>
      </c>
      <c r="E256" s="4" t="s">
        <v>755</v>
      </c>
      <c r="F256" s="92">
        <v>5</v>
      </c>
      <c r="G256" s="4" t="s">
        <v>376</v>
      </c>
      <c r="H256" s="4" t="s">
        <v>81</v>
      </c>
      <c r="I256" s="4" t="s">
        <v>421</v>
      </c>
      <c r="J256" s="4" t="s">
        <v>84</v>
      </c>
      <c r="K256" s="4" t="s">
        <v>440</v>
      </c>
      <c r="L256" s="4" t="s">
        <v>279</v>
      </c>
      <c r="M256" s="4" t="s">
        <v>55</v>
      </c>
      <c r="N256" s="4" t="s">
        <v>653</v>
      </c>
      <c r="O256" s="4" t="s">
        <v>754</v>
      </c>
      <c r="P256" s="4" t="s">
        <v>42</v>
      </c>
      <c r="Q256" s="50" t="s">
        <v>43</v>
      </c>
      <c r="R256" s="50"/>
      <c r="S256" s="50" t="s">
        <v>741</v>
      </c>
      <c r="T256" s="4" t="s">
        <v>43</v>
      </c>
      <c r="U256" s="4" t="s">
        <v>43</v>
      </c>
      <c r="W256" s="48">
        <v>1</v>
      </c>
      <c r="X256" s="48">
        <v>1</v>
      </c>
      <c r="Y256" s="48">
        <v>3</v>
      </c>
      <c r="AD256" s="91">
        <f t="shared" si="4"/>
        <v>5</v>
      </c>
      <c r="AE256" s="48" t="s">
        <v>1220</v>
      </c>
    </row>
    <row r="257" spans="3:31" hidden="1" x14ac:dyDescent="0.25">
      <c r="C257" s="87" t="s">
        <v>756</v>
      </c>
      <c r="D257" s="4" t="s">
        <v>757</v>
      </c>
      <c r="E257" s="4" t="s">
        <v>757</v>
      </c>
      <c r="F257" s="92">
        <v>5</v>
      </c>
      <c r="G257" s="4" t="s">
        <v>376</v>
      </c>
      <c r="H257" s="4" t="s">
        <v>46</v>
      </c>
      <c r="I257" s="4" t="s">
        <v>421</v>
      </c>
      <c r="J257" s="4" t="s">
        <v>84</v>
      </c>
      <c r="K257" s="4" t="s">
        <v>440</v>
      </c>
      <c r="L257" s="4" t="s">
        <v>54</v>
      </c>
      <c r="M257" s="4" t="s">
        <v>55</v>
      </c>
      <c r="N257" s="4" t="s">
        <v>653</v>
      </c>
      <c r="O257" s="4" t="s">
        <v>756</v>
      </c>
      <c r="P257" s="4" t="s">
        <v>42</v>
      </c>
      <c r="Q257" s="50" t="s">
        <v>43</v>
      </c>
      <c r="R257" s="50"/>
      <c r="S257" s="50" t="s">
        <v>741</v>
      </c>
      <c r="T257" s="4" t="s">
        <v>43</v>
      </c>
      <c r="U257" s="4" t="s">
        <v>43</v>
      </c>
      <c r="W257" s="48">
        <v>1</v>
      </c>
      <c r="X257" s="48">
        <v>1</v>
      </c>
      <c r="Y257" s="48">
        <v>3</v>
      </c>
      <c r="AD257" s="91">
        <f t="shared" si="4"/>
        <v>5</v>
      </c>
      <c r="AE257" s="48" t="s">
        <v>1220</v>
      </c>
    </row>
    <row r="258" spans="3:31" hidden="1" x14ac:dyDescent="0.25">
      <c r="C258" s="87" t="s">
        <v>631</v>
      </c>
      <c r="D258" s="4" t="s">
        <v>632</v>
      </c>
      <c r="E258" s="4" t="s">
        <v>633</v>
      </c>
      <c r="F258" s="92">
        <v>5.6</v>
      </c>
      <c r="G258" s="4" t="s">
        <v>376</v>
      </c>
      <c r="H258" s="4" t="s">
        <v>46</v>
      </c>
      <c r="I258" s="4" t="s">
        <v>421</v>
      </c>
      <c r="J258" s="4" t="s">
        <v>50</v>
      </c>
      <c r="K258" s="4" t="s">
        <v>43</v>
      </c>
      <c r="L258" s="4" t="s">
        <v>51</v>
      </c>
      <c r="M258" s="4" t="s">
        <v>40</v>
      </c>
      <c r="N258" s="4" t="s">
        <v>422</v>
      </c>
      <c r="O258" s="4" t="s">
        <v>631</v>
      </c>
      <c r="P258" s="4" t="s">
        <v>42</v>
      </c>
      <c r="Q258" s="50" t="s">
        <v>43</v>
      </c>
      <c r="R258" s="50"/>
      <c r="S258" s="50" t="s">
        <v>597</v>
      </c>
      <c r="T258" s="4" t="s">
        <v>43</v>
      </c>
      <c r="U258" s="4" t="s">
        <v>43</v>
      </c>
      <c r="W258" s="48">
        <v>1</v>
      </c>
      <c r="X258" s="48">
        <v>1</v>
      </c>
      <c r="AA258" s="48">
        <v>4</v>
      </c>
      <c r="AC258" s="48">
        <v>4</v>
      </c>
      <c r="AD258" s="91">
        <f t="shared" si="4"/>
        <v>5.6363636363636367</v>
      </c>
      <c r="AE258" s="48" t="e">
        <f>VLOOKUP(C258,#REF!,1,0)</f>
        <v>#REF!</v>
      </c>
    </row>
    <row r="259" spans="3:31" hidden="1" x14ac:dyDescent="0.25">
      <c r="C259" s="87" t="s">
        <v>699</v>
      </c>
      <c r="D259" s="4" t="s">
        <v>700</v>
      </c>
      <c r="E259" s="4" t="s">
        <v>701</v>
      </c>
      <c r="F259" s="92">
        <v>10</v>
      </c>
      <c r="G259" s="4" t="s">
        <v>376</v>
      </c>
      <c r="H259" s="4" t="s">
        <v>46</v>
      </c>
      <c r="I259" s="4" t="s">
        <v>421</v>
      </c>
      <c r="J259" s="4" t="s">
        <v>84</v>
      </c>
      <c r="K259" s="4" t="s">
        <v>440</v>
      </c>
      <c r="L259" s="4" t="s">
        <v>54</v>
      </c>
      <c r="M259" s="4" t="s">
        <v>55</v>
      </c>
      <c r="N259" s="4" t="s">
        <v>653</v>
      </c>
      <c r="O259" s="4" t="s">
        <v>699</v>
      </c>
      <c r="P259" s="4" t="s">
        <v>379</v>
      </c>
      <c r="Q259" s="50" t="s">
        <v>43</v>
      </c>
      <c r="R259" s="50"/>
      <c r="S259" s="50" t="s">
        <v>702</v>
      </c>
      <c r="T259" s="4" t="s">
        <v>43</v>
      </c>
      <c r="U259" s="4" t="s">
        <v>43</v>
      </c>
      <c r="W259" s="48">
        <v>1</v>
      </c>
      <c r="X259" s="48">
        <v>2</v>
      </c>
      <c r="Y259" s="48">
        <v>7</v>
      </c>
      <c r="AD259" s="91">
        <f t="shared" si="4"/>
        <v>10</v>
      </c>
      <c r="AE259" s="48" t="e">
        <f>VLOOKUP(C259,#REF!,1,0)</f>
        <v>#REF!</v>
      </c>
    </row>
    <row r="260" spans="3:31" hidden="1" x14ac:dyDescent="0.25">
      <c r="C260" s="87" t="s">
        <v>761</v>
      </c>
      <c r="D260" s="4" t="s">
        <v>762</v>
      </c>
      <c r="E260" s="4" t="s">
        <v>762</v>
      </c>
      <c r="F260" s="92">
        <v>5</v>
      </c>
      <c r="G260" s="4" t="s">
        <v>376</v>
      </c>
      <c r="H260" s="4" t="s">
        <v>46</v>
      </c>
      <c r="I260" s="4" t="s">
        <v>421</v>
      </c>
      <c r="J260" s="4" t="s">
        <v>84</v>
      </c>
      <c r="K260" s="4" t="s">
        <v>440</v>
      </c>
      <c r="L260" s="4" t="s">
        <v>54</v>
      </c>
      <c r="M260" s="4" t="s">
        <v>55</v>
      </c>
      <c r="N260" s="4" t="s">
        <v>653</v>
      </c>
      <c r="O260" s="4" t="s">
        <v>761</v>
      </c>
      <c r="P260" s="4" t="s">
        <v>42</v>
      </c>
      <c r="Q260" s="50" t="s">
        <v>43</v>
      </c>
      <c r="R260" s="50"/>
      <c r="S260" s="50" t="s">
        <v>741</v>
      </c>
      <c r="T260" s="4" t="s">
        <v>43</v>
      </c>
      <c r="U260" s="4" t="s">
        <v>43</v>
      </c>
      <c r="W260" s="48">
        <v>1</v>
      </c>
      <c r="X260" s="48">
        <v>1</v>
      </c>
      <c r="Y260" s="48">
        <v>3</v>
      </c>
      <c r="AD260" s="91">
        <f t="shared" si="4"/>
        <v>5</v>
      </c>
      <c r="AE260" s="48" t="s">
        <v>1220</v>
      </c>
    </row>
    <row r="261" spans="3:31" hidden="1" x14ac:dyDescent="0.25">
      <c r="C261" s="87" t="s">
        <v>763</v>
      </c>
      <c r="D261" s="4" t="s">
        <v>764</v>
      </c>
      <c r="E261" s="4" t="s">
        <v>765</v>
      </c>
      <c r="F261" s="92">
        <v>5</v>
      </c>
      <c r="G261" s="4" t="s">
        <v>376</v>
      </c>
      <c r="H261" s="4" t="s">
        <v>81</v>
      </c>
      <c r="I261" s="4" t="s">
        <v>421</v>
      </c>
      <c r="J261" s="4" t="s">
        <v>84</v>
      </c>
      <c r="K261" s="4" t="s">
        <v>440</v>
      </c>
      <c r="L261" s="4" t="s">
        <v>279</v>
      </c>
      <c r="M261" s="4" t="s">
        <v>55</v>
      </c>
      <c r="N261" s="4" t="s">
        <v>653</v>
      </c>
      <c r="O261" s="4" t="s">
        <v>763</v>
      </c>
      <c r="P261" s="4" t="s">
        <v>42</v>
      </c>
      <c r="Q261" s="50" t="s">
        <v>43</v>
      </c>
      <c r="R261" s="50"/>
      <c r="S261" s="50" t="s">
        <v>741</v>
      </c>
      <c r="T261" s="4" t="s">
        <v>43</v>
      </c>
      <c r="U261" s="4" t="s">
        <v>43</v>
      </c>
      <c r="W261" s="48">
        <v>1</v>
      </c>
      <c r="X261" s="48">
        <v>1</v>
      </c>
      <c r="Y261" s="48">
        <v>3</v>
      </c>
      <c r="AD261" s="91">
        <f t="shared" si="4"/>
        <v>5</v>
      </c>
      <c r="AE261" s="48" t="s">
        <v>1220</v>
      </c>
    </row>
    <row r="262" spans="3:31" hidden="1" x14ac:dyDescent="0.25">
      <c r="C262" s="87" t="s">
        <v>709</v>
      </c>
      <c r="D262" s="4" t="s">
        <v>710</v>
      </c>
      <c r="E262" s="4" t="s">
        <v>711</v>
      </c>
      <c r="F262" s="92">
        <v>8</v>
      </c>
      <c r="G262" s="4" t="s">
        <v>376</v>
      </c>
      <c r="H262" s="4" t="s">
        <v>46</v>
      </c>
      <c r="I262" s="4" t="s">
        <v>421</v>
      </c>
      <c r="J262" s="4" t="s">
        <v>84</v>
      </c>
      <c r="K262" s="4" t="s">
        <v>440</v>
      </c>
      <c r="L262" s="4" t="s">
        <v>54</v>
      </c>
      <c r="M262" s="4" t="s">
        <v>55</v>
      </c>
      <c r="N262" s="4" t="s">
        <v>653</v>
      </c>
      <c r="O262" s="4" t="s">
        <v>709</v>
      </c>
      <c r="P262" s="4" t="s">
        <v>379</v>
      </c>
      <c r="Q262" s="50" t="s">
        <v>43</v>
      </c>
      <c r="R262" s="50"/>
      <c r="S262" s="50" t="s">
        <v>702</v>
      </c>
      <c r="T262" s="4" t="s">
        <v>43</v>
      </c>
      <c r="U262" s="4" t="s">
        <v>43</v>
      </c>
      <c r="W262" s="48">
        <v>1</v>
      </c>
      <c r="X262" s="48">
        <v>2</v>
      </c>
      <c r="Y262" s="48">
        <v>5</v>
      </c>
      <c r="AD262" s="91">
        <f t="shared" si="4"/>
        <v>8</v>
      </c>
      <c r="AE262" s="48" t="e">
        <f>VLOOKUP(C262,#REF!,1,0)</f>
        <v>#REF!</v>
      </c>
    </row>
    <row r="263" spans="3:31" hidden="1" x14ac:dyDescent="0.25">
      <c r="C263" s="87" t="s">
        <v>782</v>
      </c>
      <c r="D263" s="4" t="s">
        <v>783</v>
      </c>
      <c r="E263" s="4" t="s">
        <v>783</v>
      </c>
      <c r="F263" s="92">
        <v>5</v>
      </c>
      <c r="G263" s="4" t="s">
        <v>376</v>
      </c>
      <c r="H263" s="4" t="s">
        <v>81</v>
      </c>
      <c r="I263" s="4" t="s">
        <v>421</v>
      </c>
      <c r="J263" s="4" t="s">
        <v>73</v>
      </c>
      <c r="K263" s="4" t="s">
        <v>43</v>
      </c>
      <c r="L263" s="4" t="s">
        <v>103</v>
      </c>
      <c r="M263" s="4" t="s">
        <v>104</v>
      </c>
      <c r="N263" s="4" t="s">
        <v>378</v>
      </c>
      <c r="O263" s="4" t="s">
        <v>782</v>
      </c>
      <c r="P263" s="4" t="s">
        <v>42</v>
      </c>
      <c r="Q263" s="50" t="s">
        <v>43</v>
      </c>
      <c r="R263" s="50"/>
      <c r="S263" s="50" t="s">
        <v>772</v>
      </c>
      <c r="T263" s="4" t="s">
        <v>43</v>
      </c>
      <c r="U263" s="4" t="s">
        <v>43</v>
      </c>
      <c r="W263" s="48">
        <v>1</v>
      </c>
      <c r="X263" s="48">
        <v>1</v>
      </c>
      <c r="Y263" s="48">
        <v>3</v>
      </c>
      <c r="AD263" s="91">
        <f t="shared" si="4"/>
        <v>5</v>
      </c>
      <c r="AE263" s="48" t="s">
        <v>1220</v>
      </c>
    </row>
    <row r="264" spans="3:31" hidden="1" x14ac:dyDescent="0.25">
      <c r="C264" s="87" t="s">
        <v>786</v>
      </c>
      <c r="D264" s="4" t="s">
        <v>787</v>
      </c>
      <c r="E264" s="4" t="s">
        <v>787</v>
      </c>
      <c r="F264" s="92">
        <v>5</v>
      </c>
      <c r="G264" s="4" t="s">
        <v>376</v>
      </c>
      <c r="H264" s="4" t="s">
        <v>81</v>
      </c>
      <c r="I264" s="4" t="s">
        <v>421</v>
      </c>
      <c r="J264" s="4" t="s">
        <v>73</v>
      </c>
      <c r="K264" s="4" t="s">
        <v>43</v>
      </c>
      <c r="L264" s="4" t="s">
        <v>109</v>
      </c>
      <c r="M264" s="4" t="s">
        <v>91</v>
      </c>
      <c r="N264" s="4" t="s">
        <v>378</v>
      </c>
      <c r="O264" s="4" t="s">
        <v>786</v>
      </c>
      <c r="P264" s="4" t="s">
        <v>42</v>
      </c>
      <c r="Q264" s="50" t="s">
        <v>43</v>
      </c>
      <c r="R264" s="50"/>
      <c r="S264" s="50" t="s">
        <v>772</v>
      </c>
      <c r="T264" s="4" t="s">
        <v>43</v>
      </c>
      <c r="U264" s="4" t="s">
        <v>43</v>
      </c>
      <c r="W264" s="48">
        <v>1</v>
      </c>
      <c r="X264" s="48">
        <v>1</v>
      </c>
      <c r="Y264" s="48">
        <v>3</v>
      </c>
      <c r="AD264" s="91">
        <f t="shared" si="4"/>
        <v>5</v>
      </c>
      <c r="AE264" s="48" t="s">
        <v>1220</v>
      </c>
    </row>
    <row r="265" spans="3:31" hidden="1" x14ac:dyDescent="0.25">
      <c r="C265" s="87" t="s">
        <v>788</v>
      </c>
      <c r="D265" s="4" t="s">
        <v>789</v>
      </c>
      <c r="E265" s="4" t="s">
        <v>790</v>
      </c>
      <c r="F265" s="92">
        <v>5</v>
      </c>
      <c r="G265" s="4" t="s">
        <v>376</v>
      </c>
      <c r="H265" s="4" t="s">
        <v>81</v>
      </c>
      <c r="I265" s="4" t="s">
        <v>421</v>
      </c>
      <c r="J265" s="4" t="s">
        <v>73</v>
      </c>
      <c r="K265" s="4" t="s">
        <v>43</v>
      </c>
      <c r="L265" s="4" t="s">
        <v>109</v>
      </c>
      <c r="M265" s="4" t="s">
        <v>91</v>
      </c>
      <c r="N265" s="4" t="s">
        <v>378</v>
      </c>
      <c r="O265" s="4" t="s">
        <v>788</v>
      </c>
      <c r="P265" s="4" t="s">
        <v>42</v>
      </c>
      <c r="Q265" s="50" t="s">
        <v>43</v>
      </c>
      <c r="R265" s="50"/>
      <c r="S265" s="50" t="s">
        <v>772</v>
      </c>
      <c r="T265" s="4" t="s">
        <v>43</v>
      </c>
      <c r="U265" s="4" t="s">
        <v>43</v>
      </c>
      <c r="W265" s="48">
        <v>1</v>
      </c>
      <c r="X265" s="48">
        <v>1</v>
      </c>
      <c r="Y265" s="48">
        <v>3</v>
      </c>
      <c r="AD265" s="91">
        <f t="shared" ref="AD265:AD328" si="5">SUMPRODUCT($W$6:$AC$6,W265:AC265)</f>
        <v>5</v>
      </c>
      <c r="AE265" s="48" t="s">
        <v>1220</v>
      </c>
    </row>
    <row r="266" spans="3:31" hidden="1" x14ac:dyDescent="0.25">
      <c r="C266" s="87" t="s">
        <v>810</v>
      </c>
      <c r="D266" s="4" t="s">
        <v>811</v>
      </c>
      <c r="E266" s="4" t="s">
        <v>811</v>
      </c>
      <c r="F266" s="92">
        <v>5</v>
      </c>
      <c r="G266" s="4" t="s">
        <v>376</v>
      </c>
      <c r="H266" s="4" t="s">
        <v>46</v>
      </c>
      <c r="I266" s="4" t="s">
        <v>421</v>
      </c>
      <c r="J266" s="4" t="s">
        <v>798</v>
      </c>
      <c r="K266" s="4" t="s">
        <v>43</v>
      </c>
      <c r="L266" s="4" t="s">
        <v>59</v>
      </c>
      <c r="M266" s="4" t="s">
        <v>40</v>
      </c>
      <c r="N266" s="4" t="s">
        <v>653</v>
      </c>
      <c r="O266" s="4" t="s">
        <v>810</v>
      </c>
      <c r="P266" s="4" t="s">
        <v>42</v>
      </c>
      <c r="Q266" s="50" t="s">
        <v>43</v>
      </c>
      <c r="R266" s="50"/>
      <c r="S266" s="50" t="s">
        <v>799</v>
      </c>
      <c r="T266" s="4" t="s">
        <v>43</v>
      </c>
      <c r="U266" s="4" t="s">
        <v>43</v>
      </c>
      <c r="W266" s="48">
        <v>1</v>
      </c>
      <c r="X266" s="48">
        <v>1</v>
      </c>
      <c r="Y266" s="48">
        <v>3</v>
      </c>
      <c r="AD266" s="91">
        <f t="shared" si="5"/>
        <v>5</v>
      </c>
      <c r="AE266" s="48" t="s">
        <v>1220</v>
      </c>
    </row>
    <row r="267" spans="3:31" hidden="1" x14ac:dyDescent="0.25">
      <c r="C267" s="87" t="s">
        <v>812</v>
      </c>
      <c r="D267" s="4" t="s">
        <v>813</v>
      </c>
      <c r="E267" s="4" t="s">
        <v>813</v>
      </c>
      <c r="F267" s="92">
        <v>5</v>
      </c>
      <c r="G267" s="4" t="s">
        <v>376</v>
      </c>
      <c r="H267" s="4" t="s">
        <v>46</v>
      </c>
      <c r="I267" s="4" t="s">
        <v>421</v>
      </c>
      <c r="J267" s="4" t="s">
        <v>798</v>
      </c>
      <c r="K267" s="4" t="s">
        <v>43</v>
      </c>
      <c r="L267" s="4" t="s">
        <v>59</v>
      </c>
      <c r="M267" s="4" t="s">
        <v>40</v>
      </c>
      <c r="N267" s="4" t="s">
        <v>653</v>
      </c>
      <c r="O267" s="4" t="s">
        <v>812</v>
      </c>
      <c r="P267" s="4" t="s">
        <v>42</v>
      </c>
      <c r="Q267" s="50" t="s">
        <v>43</v>
      </c>
      <c r="R267" s="50"/>
      <c r="S267" s="50" t="s">
        <v>799</v>
      </c>
      <c r="T267" s="4" t="s">
        <v>43</v>
      </c>
      <c r="U267" s="4" t="s">
        <v>43</v>
      </c>
      <c r="W267" s="48">
        <v>1</v>
      </c>
      <c r="X267" s="48">
        <v>1</v>
      </c>
      <c r="Y267" s="48">
        <v>3</v>
      </c>
      <c r="AD267" s="91">
        <f t="shared" si="5"/>
        <v>5</v>
      </c>
      <c r="AE267" s="48" t="s">
        <v>1220</v>
      </c>
    </row>
    <row r="268" spans="3:31" hidden="1" x14ac:dyDescent="0.25">
      <c r="C268" s="87" t="s">
        <v>814</v>
      </c>
      <c r="D268" s="4" t="s">
        <v>815</v>
      </c>
      <c r="E268" s="4" t="s">
        <v>816</v>
      </c>
      <c r="F268" s="92">
        <v>5</v>
      </c>
      <c r="G268" s="4" t="s">
        <v>376</v>
      </c>
      <c r="H268" s="4" t="s">
        <v>81</v>
      </c>
      <c r="I268" s="4" t="s">
        <v>421</v>
      </c>
      <c r="J268" s="4" t="s">
        <v>798</v>
      </c>
      <c r="K268" s="4" t="s">
        <v>43</v>
      </c>
      <c r="L268" s="4" t="s">
        <v>59</v>
      </c>
      <c r="M268" s="4" t="s">
        <v>40</v>
      </c>
      <c r="N268" s="4" t="s">
        <v>653</v>
      </c>
      <c r="O268" s="4" t="s">
        <v>814</v>
      </c>
      <c r="P268" s="4" t="s">
        <v>42</v>
      </c>
      <c r="Q268" s="50" t="s">
        <v>43</v>
      </c>
      <c r="R268" s="50"/>
      <c r="S268" s="50" t="s">
        <v>799</v>
      </c>
      <c r="T268" s="4" t="s">
        <v>43</v>
      </c>
      <c r="U268" s="4" t="s">
        <v>43</v>
      </c>
      <c r="W268" s="48">
        <v>1</v>
      </c>
      <c r="X268" s="48">
        <v>1</v>
      </c>
      <c r="Y268" s="48">
        <v>3</v>
      </c>
      <c r="AD268" s="91">
        <f t="shared" si="5"/>
        <v>5</v>
      </c>
      <c r="AE268" s="48" t="s">
        <v>1220</v>
      </c>
    </row>
    <row r="269" spans="3:31" hidden="1" x14ac:dyDescent="0.25">
      <c r="C269" s="87" t="s">
        <v>817</v>
      </c>
      <c r="D269" s="4" t="s">
        <v>818</v>
      </c>
      <c r="E269" s="4" t="s">
        <v>818</v>
      </c>
      <c r="F269" s="92">
        <v>5</v>
      </c>
      <c r="G269" s="4" t="s">
        <v>376</v>
      </c>
      <c r="H269" s="4" t="s">
        <v>46</v>
      </c>
      <c r="I269" s="4" t="s">
        <v>421</v>
      </c>
      <c r="J269" s="4" t="s">
        <v>798</v>
      </c>
      <c r="K269" s="4" t="s">
        <v>43</v>
      </c>
      <c r="L269" s="4" t="s">
        <v>59</v>
      </c>
      <c r="M269" s="4" t="s">
        <v>40</v>
      </c>
      <c r="N269" s="4" t="s">
        <v>653</v>
      </c>
      <c r="O269" s="4" t="s">
        <v>817</v>
      </c>
      <c r="P269" s="4" t="s">
        <v>42</v>
      </c>
      <c r="Q269" s="50" t="s">
        <v>43</v>
      </c>
      <c r="R269" s="50"/>
      <c r="S269" s="50" t="s">
        <v>799</v>
      </c>
      <c r="T269" s="4" t="s">
        <v>43</v>
      </c>
      <c r="U269" s="4" t="s">
        <v>43</v>
      </c>
      <c r="W269" s="48">
        <v>1</v>
      </c>
      <c r="X269" s="48">
        <v>1</v>
      </c>
      <c r="Y269" s="48">
        <v>3</v>
      </c>
      <c r="AD269" s="91">
        <f t="shared" si="5"/>
        <v>5</v>
      </c>
      <c r="AE269" s="48" t="s">
        <v>1220</v>
      </c>
    </row>
    <row r="270" spans="3:31" hidden="1" x14ac:dyDescent="0.25">
      <c r="C270" s="87" t="s">
        <v>823</v>
      </c>
      <c r="D270" s="4" t="s">
        <v>824</v>
      </c>
      <c r="E270" s="4" t="s">
        <v>824</v>
      </c>
      <c r="F270" s="92">
        <v>5</v>
      </c>
      <c r="G270" s="4" t="s">
        <v>376</v>
      </c>
      <c r="H270" s="4" t="s">
        <v>46</v>
      </c>
      <c r="I270" s="4" t="s">
        <v>421</v>
      </c>
      <c r="J270" s="4" t="s">
        <v>798</v>
      </c>
      <c r="K270" s="4" t="s">
        <v>43</v>
      </c>
      <c r="L270" s="4" t="s">
        <v>59</v>
      </c>
      <c r="M270" s="4" t="s">
        <v>40</v>
      </c>
      <c r="N270" s="4" t="s">
        <v>653</v>
      </c>
      <c r="O270" s="4" t="s">
        <v>823</v>
      </c>
      <c r="P270" s="4" t="s">
        <v>42</v>
      </c>
      <c r="Q270" s="50" t="s">
        <v>43</v>
      </c>
      <c r="R270" s="50"/>
      <c r="S270" s="50" t="s">
        <v>799</v>
      </c>
      <c r="T270" s="4" t="s">
        <v>43</v>
      </c>
      <c r="U270" s="4" t="s">
        <v>43</v>
      </c>
      <c r="W270" s="48">
        <v>1</v>
      </c>
      <c r="X270" s="48">
        <v>1</v>
      </c>
      <c r="Y270" s="48">
        <v>3</v>
      </c>
      <c r="AD270" s="91">
        <f t="shared" si="5"/>
        <v>5</v>
      </c>
      <c r="AE270" s="48" t="s">
        <v>1220</v>
      </c>
    </row>
    <row r="271" spans="3:31" hidden="1" x14ac:dyDescent="0.25">
      <c r="C271" s="87" t="s">
        <v>825</v>
      </c>
      <c r="D271" s="4" t="s">
        <v>826</v>
      </c>
      <c r="E271" s="4" t="s">
        <v>827</v>
      </c>
      <c r="F271" s="92">
        <v>5</v>
      </c>
      <c r="G271" s="4" t="s">
        <v>376</v>
      </c>
      <c r="H271" s="4" t="s">
        <v>81</v>
      </c>
      <c r="I271" s="4" t="s">
        <v>421</v>
      </c>
      <c r="J271" s="4" t="s">
        <v>798</v>
      </c>
      <c r="K271" s="4" t="s">
        <v>43</v>
      </c>
      <c r="L271" s="4" t="s">
        <v>59</v>
      </c>
      <c r="M271" s="4" t="s">
        <v>40</v>
      </c>
      <c r="N271" s="4" t="s">
        <v>653</v>
      </c>
      <c r="O271" s="4" t="s">
        <v>825</v>
      </c>
      <c r="P271" s="4" t="s">
        <v>42</v>
      </c>
      <c r="Q271" s="50" t="s">
        <v>43</v>
      </c>
      <c r="R271" s="50"/>
      <c r="S271" s="50" t="s">
        <v>799</v>
      </c>
      <c r="T271" s="4" t="s">
        <v>43</v>
      </c>
      <c r="U271" s="4" t="s">
        <v>43</v>
      </c>
      <c r="W271" s="48">
        <v>1</v>
      </c>
      <c r="X271" s="48">
        <v>1</v>
      </c>
      <c r="Y271" s="48">
        <v>3</v>
      </c>
      <c r="AD271" s="91">
        <f t="shared" si="5"/>
        <v>5</v>
      </c>
      <c r="AE271" s="48" t="s">
        <v>1220</v>
      </c>
    </row>
    <row r="272" spans="3:31" hidden="1" x14ac:dyDescent="0.25">
      <c r="C272" s="87" t="s">
        <v>736</v>
      </c>
      <c r="D272" s="4" t="s">
        <v>737</v>
      </c>
      <c r="E272" s="4" t="s">
        <v>738</v>
      </c>
      <c r="F272" s="92">
        <v>6</v>
      </c>
      <c r="G272" s="4" t="s">
        <v>376</v>
      </c>
      <c r="H272" s="4" t="s">
        <v>81</v>
      </c>
      <c r="I272" s="4" t="s">
        <v>421</v>
      </c>
      <c r="J272" s="4" t="s">
        <v>84</v>
      </c>
      <c r="K272" s="4" t="s">
        <v>440</v>
      </c>
      <c r="L272" s="4" t="s">
        <v>722</v>
      </c>
      <c r="M272" s="4" t="s">
        <v>55</v>
      </c>
      <c r="N272" s="4" t="s">
        <v>653</v>
      </c>
      <c r="O272" s="4" t="s">
        <v>736</v>
      </c>
      <c r="P272" s="4">
        <v>0</v>
      </c>
      <c r="Q272" s="50" t="s">
        <v>43</v>
      </c>
      <c r="R272" s="50"/>
      <c r="S272" s="50" t="s">
        <v>702</v>
      </c>
      <c r="T272" s="82" t="s">
        <v>440</v>
      </c>
      <c r="U272" s="4" t="s">
        <v>43</v>
      </c>
      <c r="W272" s="48">
        <v>1</v>
      </c>
      <c r="X272" s="48">
        <v>2</v>
      </c>
      <c r="Y272" s="48">
        <v>3</v>
      </c>
      <c r="AD272" s="91">
        <f t="shared" si="5"/>
        <v>6</v>
      </c>
      <c r="AE272" s="48" t="e">
        <f>VLOOKUP(C272,#REF!,1,0)</f>
        <v>#REF!</v>
      </c>
    </row>
    <row r="273" spans="1:31" hidden="1" x14ac:dyDescent="0.25">
      <c r="C273" s="87" t="s">
        <v>739</v>
      </c>
      <c r="D273" s="4" t="s">
        <v>740</v>
      </c>
      <c r="E273" s="4" t="s">
        <v>740</v>
      </c>
      <c r="F273" s="92">
        <v>9</v>
      </c>
      <c r="G273" s="4" t="s">
        <v>376</v>
      </c>
      <c r="H273" s="4" t="s">
        <v>46</v>
      </c>
      <c r="I273" s="4" t="s">
        <v>421</v>
      </c>
      <c r="J273" s="4" t="s">
        <v>84</v>
      </c>
      <c r="K273" s="4" t="s">
        <v>440</v>
      </c>
      <c r="L273" s="4" t="s">
        <v>54</v>
      </c>
      <c r="M273" s="4" t="s">
        <v>55</v>
      </c>
      <c r="N273" s="4" t="s">
        <v>653</v>
      </c>
      <c r="O273" s="4" t="s">
        <v>739</v>
      </c>
      <c r="P273" s="4" t="s">
        <v>379</v>
      </c>
      <c r="Q273" s="50" t="s">
        <v>43</v>
      </c>
      <c r="R273" s="50"/>
      <c r="S273" s="50" t="s">
        <v>741</v>
      </c>
      <c r="T273" s="4" t="s">
        <v>43</v>
      </c>
      <c r="U273" s="4" t="s">
        <v>43</v>
      </c>
      <c r="W273" s="48">
        <v>1</v>
      </c>
      <c r="X273" s="48">
        <v>2</v>
      </c>
      <c r="Y273" s="48">
        <v>6</v>
      </c>
      <c r="AD273" s="91">
        <f t="shared" si="5"/>
        <v>9</v>
      </c>
      <c r="AE273" s="48" t="e">
        <f>VLOOKUP(C273,#REF!,1,0)</f>
        <v>#REF!</v>
      </c>
    </row>
    <row r="274" spans="1:31" hidden="1" x14ac:dyDescent="0.25">
      <c r="C274" s="87" t="s">
        <v>742</v>
      </c>
      <c r="D274" s="4" t="s">
        <v>743</v>
      </c>
      <c r="E274" s="51" t="s">
        <v>744</v>
      </c>
      <c r="F274" s="92">
        <v>6</v>
      </c>
      <c r="G274" s="4" t="s">
        <v>376</v>
      </c>
      <c r="H274" s="4" t="s">
        <v>46</v>
      </c>
      <c r="I274" s="4" t="s">
        <v>421</v>
      </c>
      <c r="J274" s="4" t="s">
        <v>84</v>
      </c>
      <c r="K274" s="4" t="s">
        <v>440</v>
      </c>
      <c r="L274" s="4" t="s">
        <v>54</v>
      </c>
      <c r="M274" s="4" t="s">
        <v>55</v>
      </c>
      <c r="N274" s="4" t="s">
        <v>653</v>
      </c>
      <c r="O274" s="4" t="s">
        <v>742</v>
      </c>
      <c r="P274" s="4" t="s">
        <v>42</v>
      </c>
      <c r="Q274" s="50" t="s">
        <v>43</v>
      </c>
      <c r="R274" s="50"/>
      <c r="S274" s="50" t="s">
        <v>741</v>
      </c>
      <c r="T274" s="4" t="s">
        <v>43</v>
      </c>
      <c r="U274" s="4" t="s">
        <v>43</v>
      </c>
      <c r="W274" s="48">
        <v>1</v>
      </c>
      <c r="X274" s="48">
        <v>2</v>
      </c>
      <c r="Y274" s="48">
        <v>3</v>
      </c>
      <c r="AD274" s="91">
        <f t="shared" si="5"/>
        <v>6</v>
      </c>
      <c r="AE274" s="48" t="e">
        <f>VLOOKUP(C274,#REF!,1,0)</f>
        <v>#REF!</v>
      </c>
    </row>
    <row r="275" spans="1:31" hidden="1" x14ac:dyDescent="0.25">
      <c r="C275" s="87" t="s">
        <v>745</v>
      </c>
      <c r="D275" s="4" t="s">
        <v>746</v>
      </c>
      <c r="E275" s="4" t="s">
        <v>746</v>
      </c>
      <c r="F275" s="92">
        <v>9</v>
      </c>
      <c r="G275" s="4" t="s">
        <v>376</v>
      </c>
      <c r="H275" s="4" t="s">
        <v>46</v>
      </c>
      <c r="I275" s="4" t="s">
        <v>421</v>
      </c>
      <c r="J275" s="4" t="s">
        <v>84</v>
      </c>
      <c r="K275" s="4" t="s">
        <v>440</v>
      </c>
      <c r="L275" s="4" t="s">
        <v>279</v>
      </c>
      <c r="M275" s="4" t="s">
        <v>55</v>
      </c>
      <c r="N275" s="4" t="s">
        <v>653</v>
      </c>
      <c r="O275" s="4" t="s">
        <v>745</v>
      </c>
      <c r="P275" s="4" t="s">
        <v>379</v>
      </c>
      <c r="Q275" s="50" t="s">
        <v>43</v>
      </c>
      <c r="R275" s="50"/>
      <c r="S275" s="50" t="s">
        <v>741</v>
      </c>
      <c r="T275" s="4" t="s">
        <v>43</v>
      </c>
      <c r="U275" s="4" t="s">
        <v>43</v>
      </c>
      <c r="W275" s="48">
        <v>1</v>
      </c>
      <c r="X275" s="48">
        <v>2</v>
      </c>
      <c r="Y275" s="48">
        <v>6</v>
      </c>
      <c r="AD275" s="91">
        <f t="shared" si="5"/>
        <v>9</v>
      </c>
      <c r="AE275" s="48" t="e">
        <f>VLOOKUP(C275,#REF!,1,0)</f>
        <v>#REF!</v>
      </c>
    </row>
    <row r="276" spans="1:31" hidden="1" x14ac:dyDescent="0.25">
      <c r="C276" s="87" t="s">
        <v>747</v>
      </c>
      <c r="D276" s="4" t="s">
        <v>748</v>
      </c>
      <c r="E276" s="4" t="s">
        <v>749</v>
      </c>
      <c r="F276" s="92">
        <v>6.9</v>
      </c>
      <c r="G276" s="4" t="s">
        <v>376</v>
      </c>
      <c r="H276" s="4" t="s">
        <v>46</v>
      </c>
      <c r="I276" s="4" t="s">
        <v>421</v>
      </c>
      <c r="J276" s="4" t="s">
        <v>84</v>
      </c>
      <c r="K276" s="4" t="s">
        <v>440</v>
      </c>
      <c r="L276" s="4" t="s">
        <v>54</v>
      </c>
      <c r="M276" s="4" t="s">
        <v>55</v>
      </c>
      <c r="N276" s="4" t="s">
        <v>653</v>
      </c>
      <c r="O276" s="4" t="s">
        <v>747</v>
      </c>
      <c r="P276" s="4" t="s">
        <v>42</v>
      </c>
      <c r="Q276" s="50" t="s">
        <v>43</v>
      </c>
      <c r="R276" s="50"/>
      <c r="S276" s="50" t="s">
        <v>741</v>
      </c>
      <c r="T276" s="4" t="s">
        <v>43</v>
      </c>
      <c r="U276" s="4" t="s">
        <v>43</v>
      </c>
      <c r="W276" s="48">
        <v>1</v>
      </c>
      <c r="X276" s="48">
        <v>2</v>
      </c>
      <c r="Y276" s="48">
        <v>3</v>
      </c>
      <c r="AB276" s="48">
        <v>2</v>
      </c>
      <c r="AD276" s="91">
        <f t="shared" si="5"/>
        <v>6.9090909090909092</v>
      </c>
      <c r="AE276" s="48" t="e">
        <f>VLOOKUP(C276,#REF!,1,0)</f>
        <v>#REF!</v>
      </c>
    </row>
    <row r="277" spans="1:31" hidden="1" x14ac:dyDescent="0.25">
      <c r="C277" s="87" t="s">
        <v>830</v>
      </c>
      <c r="D277" s="4" t="s">
        <v>831</v>
      </c>
      <c r="E277" s="4" t="s">
        <v>832</v>
      </c>
      <c r="F277" s="92">
        <v>5</v>
      </c>
      <c r="G277" s="4" t="s">
        <v>376</v>
      </c>
      <c r="H277" s="4" t="s">
        <v>46</v>
      </c>
      <c r="I277" s="4" t="s">
        <v>421</v>
      </c>
      <c r="J277" s="4" t="s">
        <v>798</v>
      </c>
      <c r="K277" s="4" t="s">
        <v>43</v>
      </c>
      <c r="L277" s="4" t="s">
        <v>59</v>
      </c>
      <c r="M277" s="4" t="s">
        <v>40</v>
      </c>
      <c r="N277" s="4" t="s">
        <v>653</v>
      </c>
      <c r="O277" s="4" t="s">
        <v>830</v>
      </c>
      <c r="P277" s="4" t="s">
        <v>42</v>
      </c>
      <c r="Q277" s="50" t="s">
        <v>43</v>
      </c>
      <c r="R277" s="50"/>
      <c r="S277" s="50" t="s">
        <v>799</v>
      </c>
      <c r="T277" s="4" t="s">
        <v>43</v>
      </c>
      <c r="U277" s="4" t="s">
        <v>43</v>
      </c>
      <c r="W277" s="48">
        <v>1</v>
      </c>
      <c r="X277" s="48">
        <v>1</v>
      </c>
      <c r="Y277" s="48">
        <v>3</v>
      </c>
      <c r="AD277" s="91">
        <f t="shared" si="5"/>
        <v>5</v>
      </c>
      <c r="AE277" s="48" t="s">
        <v>1220</v>
      </c>
    </row>
    <row r="278" spans="1:31" hidden="1" x14ac:dyDescent="0.25">
      <c r="C278" s="87" t="s">
        <v>752</v>
      </c>
      <c r="D278" s="4" t="s">
        <v>753</v>
      </c>
      <c r="E278" s="4" t="s">
        <v>753</v>
      </c>
      <c r="F278" s="92">
        <v>8</v>
      </c>
      <c r="G278" s="4" t="s">
        <v>376</v>
      </c>
      <c r="H278" s="4" t="s">
        <v>46</v>
      </c>
      <c r="I278" s="4" t="s">
        <v>421</v>
      </c>
      <c r="J278" s="4" t="s">
        <v>84</v>
      </c>
      <c r="K278" s="4" t="s">
        <v>440</v>
      </c>
      <c r="L278" s="4" t="s">
        <v>54</v>
      </c>
      <c r="M278" s="4" t="s">
        <v>55</v>
      </c>
      <c r="N278" s="4" t="s">
        <v>653</v>
      </c>
      <c r="O278" s="4" t="s">
        <v>752</v>
      </c>
      <c r="P278" s="4" t="s">
        <v>379</v>
      </c>
      <c r="Q278" s="50" t="s">
        <v>43</v>
      </c>
      <c r="R278" s="50"/>
      <c r="S278" s="50" t="s">
        <v>741</v>
      </c>
      <c r="T278" s="4" t="s">
        <v>43</v>
      </c>
      <c r="U278" s="4" t="s">
        <v>43</v>
      </c>
      <c r="W278" s="48">
        <v>1</v>
      </c>
      <c r="X278" s="48">
        <v>2</v>
      </c>
      <c r="Y278" s="48">
        <v>5</v>
      </c>
      <c r="AD278" s="91">
        <f t="shared" si="5"/>
        <v>8</v>
      </c>
      <c r="AE278" s="48" t="e">
        <f>VLOOKUP(C278,#REF!,1,0)</f>
        <v>#REF!</v>
      </c>
    </row>
    <row r="279" spans="1:31" hidden="1" x14ac:dyDescent="0.25">
      <c r="C279" s="87" t="s">
        <v>836</v>
      </c>
      <c r="D279" s="4" t="s">
        <v>837</v>
      </c>
      <c r="E279" s="4" t="s">
        <v>838</v>
      </c>
      <c r="F279" s="92">
        <v>5</v>
      </c>
      <c r="G279" s="4" t="s">
        <v>376</v>
      </c>
      <c r="H279" s="4" t="s">
        <v>81</v>
      </c>
      <c r="I279" s="4" t="s">
        <v>421</v>
      </c>
      <c r="J279" s="4" t="s">
        <v>798</v>
      </c>
      <c r="K279" s="4" t="s">
        <v>43</v>
      </c>
      <c r="L279" s="4" t="s">
        <v>59</v>
      </c>
      <c r="M279" s="4" t="s">
        <v>40</v>
      </c>
      <c r="N279" s="4" t="s">
        <v>653</v>
      </c>
      <c r="O279" s="4" t="s">
        <v>836</v>
      </c>
      <c r="P279" s="4" t="s">
        <v>42</v>
      </c>
      <c r="Q279" s="50" t="s">
        <v>43</v>
      </c>
      <c r="R279" s="50"/>
      <c r="S279" s="50" t="s">
        <v>799</v>
      </c>
      <c r="T279" s="4" t="s">
        <v>43</v>
      </c>
      <c r="U279" s="4" t="s">
        <v>43</v>
      </c>
      <c r="W279" s="48">
        <v>1</v>
      </c>
      <c r="X279" s="48">
        <v>1</v>
      </c>
      <c r="Y279" s="48">
        <v>3</v>
      </c>
      <c r="AD279" s="91">
        <f t="shared" si="5"/>
        <v>5</v>
      </c>
      <c r="AE279" s="48" t="s">
        <v>1220</v>
      </c>
    </row>
    <row r="280" spans="1:31" hidden="1" x14ac:dyDescent="0.25">
      <c r="C280" s="87" t="s">
        <v>852</v>
      </c>
      <c r="D280" s="4" t="s">
        <v>853</v>
      </c>
      <c r="E280" s="4" t="s">
        <v>853</v>
      </c>
      <c r="F280" s="92">
        <v>5</v>
      </c>
      <c r="G280" s="4" t="s">
        <v>376</v>
      </c>
      <c r="H280" s="4" t="s">
        <v>46</v>
      </c>
      <c r="I280" s="4" t="s">
        <v>377</v>
      </c>
      <c r="J280" s="4" t="s">
        <v>132</v>
      </c>
      <c r="K280" s="4" t="s">
        <v>43</v>
      </c>
      <c r="L280" s="4" t="s">
        <v>138</v>
      </c>
      <c r="M280" s="4" t="s">
        <v>40</v>
      </c>
      <c r="N280" s="4" t="s">
        <v>514</v>
      </c>
      <c r="O280" s="4" t="s">
        <v>852</v>
      </c>
      <c r="P280" s="4" t="s">
        <v>42</v>
      </c>
      <c r="Q280" s="50" t="s">
        <v>43</v>
      </c>
      <c r="R280" s="50"/>
      <c r="S280" s="50" t="s">
        <v>847</v>
      </c>
      <c r="T280" s="4" t="s">
        <v>43</v>
      </c>
      <c r="U280" s="4" t="s">
        <v>43</v>
      </c>
      <c r="W280" s="48">
        <v>1</v>
      </c>
      <c r="X280" s="48">
        <v>1</v>
      </c>
      <c r="Y280" s="48">
        <v>3</v>
      </c>
      <c r="AD280" s="91">
        <f t="shared" si="5"/>
        <v>5</v>
      </c>
      <c r="AE280" s="48" t="s">
        <v>1220</v>
      </c>
    </row>
    <row r="281" spans="1:31" hidden="1" x14ac:dyDescent="0.25">
      <c r="A281" s="48" t="s">
        <v>1218</v>
      </c>
      <c r="C281" s="87" t="s">
        <v>758</v>
      </c>
      <c r="D281" s="4" t="s">
        <v>759</v>
      </c>
      <c r="E281" s="4" t="s">
        <v>760</v>
      </c>
      <c r="F281" s="92">
        <v>8</v>
      </c>
      <c r="G281" s="4" t="s">
        <v>376</v>
      </c>
      <c r="H281" s="4" t="s">
        <v>81</v>
      </c>
      <c r="I281" s="4" t="s">
        <v>421</v>
      </c>
      <c r="J281" s="4" t="s">
        <v>84</v>
      </c>
      <c r="K281" s="4" t="s">
        <v>440</v>
      </c>
      <c r="L281" s="4" t="s">
        <v>54</v>
      </c>
      <c r="M281" s="4" t="s">
        <v>55</v>
      </c>
      <c r="N281" s="4" t="s">
        <v>653</v>
      </c>
      <c r="O281" s="4" t="s">
        <v>758</v>
      </c>
      <c r="P281" s="4" t="s">
        <v>42</v>
      </c>
      <c r="Q281" s="50" t="s">
        <v>43</v>
      </c>
      <c r="R281" s="50"/>
      <c r="S281" s="50" t="s">
        <v>741</v>
      </c>
      <c r="T281" s="4" t="s">
        <v>43</v>
      </c>
      <c r="U281" s="4" t="s">
        <v>43</v>
      </c>
      <c r="W281" s="48">
        <v>1</v>
      </c>
      <c r="X281" s="48">
        <v>2</v>
      </c>
      <c r="Y281" s="48">
        <v>5</v>
      </c>
      <c r="AD281" s="91">
        <f t="shared" si="5"/>
        <v>8</v>
      </c>
      <c r="AE281" s="48" t="e">
        <f>VLOOKUP(C281,#REF!,1,0)</f>
        <v>#REF!</v>
      </c>
    </row>
    <row r="282" spans="1:31" hidden="1" x14ac:dyDescent="0.25">
      <c r="C282" s="87" t="s">
        <v>870</v>
      </c>
      <c r="D282" s="4" t="s">
        <v>871</v>
      </c>
      <c r="E282" s="4" t="s">
        <v>871</v>
      </c>
      <c r="F282" s="92">
        <v>5</v>
      </c>
      <c r="G282" s="4" t="s">
        <v>376</v>
      </c>
      <c r="H282" s="4" t="s">
        <v>46</v>
      </c>
      <c r="I282" s="4" t="s">
        <v>377</v>
      </c>
      <c r="J282" s="4" t="s">
        <v>132</v>
      </c>
      <c r="K282" s="4" t="s">
        <v>43</v>
      </c>
      <c r="L282" s="4" t="s">
        <v>856</v>
      </c>
      <c r="M282" s="4" t="s">
        <v>40</v>
      </c>
      <c r="N282" s="4" t="s">
        <v>514</v>
      </c>
      <c r="O282" s="4" t="s">
        <v>870</v>
      </c>
      <c r="P282" s="4" t="s">
        <v>42</v>
      </c>
      <c r="Q282" s="50" t="s">
        <v>43</v>
      </c>
      <c r="R282" s="50"/>
      <c r="S282" s="50" t="s">
        <v>847</v>
      </c>
      <c r="T282" s="4" t="s">
        <v>43</v>
      </c>
      <c r="U282" s="4" t="s">
        <v>43</v>
      </c>
      <c r="W282" s="48">
        <v>1</v>
      </c>
      <c r="X282" s="48">
        <v>1</v>
      </c>
      <c r="Y282" s="48">
        <v>3</v>
      </c>
      <c r="AD282" s="91">
        <f t="shared" si="5"/>
        <v>5</v>
      </c>
      <c r="AE282" s="48" t="s">
        <v>1220</v>
      </c>
    </row>
    <row r="283" spans="1:31" hidden="1" x14ac:dyDescent="0.25">
      <c r="C283" s="87" t="s">
        <v>877</v>
      </c>
      <c r="D283" s="4" t="s">
        <v>878</v>
      </c>
      <c r="E283" s="4" t="s">
        <v>878</v>
      </c>
      <c r="F283" s="92">
        <v>5</v>
      </c>
      <c r="G283" s="4" t="s">
        <v>376</v>
      </c>
      <c r="H283" s="4" t="s">
        <v>81</v>
      </c>
      <c r="I283" s="4" t="s">
        <v>377</v>
      </c>
      <c r="J283" s="4" t="s">
        <v>132</v>
      </c>
      <c r="K283" s="4" t="s">
        <v>43</v>
      </c>
      <c r="L283" s="4" t="s">
        <v>856</v>
      </c>
      <c r="M283" s="4" t="s">
        <v>40</v>
      </c>
      <c r="N283" s="4" t="s">
        <v>514</v>
      </c>
      <c r="O283" s="4" t="s">
        <v>877</v>
      </c>
      <c r="P283" s="4" t="s">
        <v>42</v>
      </c>
      <c r="Q283" s="50" t="s">
        <v>43</v>
      </c>
      <c r="R283" s="50"/>
      <c r="S283" s="50" t="s">
        <v>847</v>
      </c>
      <c r="T283" s="4" t="s">
        <v>43</v>
      </c>
      <c r="U283" s="4" t="s">
        <v>43</v>
      </c>
      <c r="W283" s="48">
        <v>1</v>
      </c>
      <c r="X283" s="48">
        <v>1</v>
      </c>
      <c r="Y283" s="48">
        <v>3</v>
      </c>
      <c r="AD283" s="91">
        <f t="shared" si="5"/>
        <v>5</v>
      </c>
      <c r="AE283" s="48" t="s">
        <v>1220</v>
      </c>
    </row>
    <row r="284" spans="1:31" hidden="1" x14ac:dyDescent="0.25">
      <c r="C284" s="87" t="s">
        <v>662</v>
      </c>
      <c r="D284" s="4" t="s">
        <v>663</v>
      </c>
      <c r="E284" s="4" t="s">
        <v>664</v>
      </c>
      <c r="F284" s="92">
        <v>5.6</v>
      </c>
      <c r="G284" s="4" t="s">
        <v>376</v>
      </c>
      <c r="H284" s="4" t="s">
        <v>46</v>
      </c>
      <c r="I284" s="4" t="s">
        <v>377</v>
      </c>
      <c r="J284" s="4" t="s">
        <v>248</v>
      </c>
      <c r="K284" s="4" t="s">
        <v>43</v>
      </c>
      <c r="L284" s="4" t="s">
        <v>51</v>
      </c>
      <c r="M284" s="4" t="s">
        <v>40</v>
      </c>
      <c r="N284" s="4" t="s">
        <v>653</v>
      </c>
      <c r="O284" s="4" t="s">
        <v>662</v>
      </c>
      <c r="P284" s="4" t="s">
        <v>42</v>
      </c>
      <c r="Q284" s="50" t="s">
        <v>43</v>
      </c>
      <c r="R284" s="50"/>
      <c r="S284" s="50" t="s">
        <v>51</v>
      </c>
      <c r="T284" s="4" t="s">
        <v>43</v>
      </c>
      <c r="U284" s="4" t="s">
        <v>43</v>
      </c>
      <c r="W284" s="48">
        <v>1</v>
      </c>
      <c r="X284" s="48">
        <v>1</v>
      </c>
      <c r="AA284" s="48">
        <v>4</v>
      </c>
      <c r="AC284" s="48">
        <v>4</v>
      </c>
      <c r="AD284" s="91">
        <f t="shared" si="5"/>
        <v>5.6363636363636367</v>
      </c>
      <c r="AE284" s="48" t="e">
        <f>VLOOKUP(C284,#REF!,1,0)</f>
        <v>#REF!</v>
      </c>
    </row>
    <row r="285" spans="1:31" hidden="1" x14ac:dyDescent="0.25">
      <c r="C285" s="87" t="s">
        <v>769</v>
      </c>
      <c r="D285" s="4" t="s">
        <v>770</v>
      </c>
      <c r="E285" s="4" t="s">
        <v>771</v>
      </c>
      <c r="F285" s="92">
        <v>5.07</v>
      </c>
      <c r="G285" s="4" t="s">
        <v>376</v>
      </c>
      <c r="H285" s="4" t="s">
        <v>46</v>
      </c>
      <c r="I285" s="4" t="s">
        <v>421</v>
      </c>
      <c r="J285" s="4" t="s">
        <v>73</v>
      </c>
      <c r="K285" s="4"/>
      <c r="L285" s="4" t="s">
        <v>109</v>
      </c>
      <c r="M285" s="4" t="s">
        <v>91</v>
      </c>
      <c r="N285" s="4" t="s">
        <v>378</v>
      </c>
      <c r="O285" s="4" t="s">
        <v>769</v>
      </c>
      <c r="P285" s="4" t="s">
        <v>42</v>
      </c>
      <c r="Q285" s="50" t="s">
        <v>43</v>
      </c>
      <c r="R285" s="50"/>
      <c r="S285" s="50" t="s">
        <v>772</v>
      </c>
      <c r="T285" s="4" t="s">
        <v>43</v>
      </c>
      <c r="U285" s="4" t="s">
        <v>43</v>
      </c>
      <c r="W285" s="48">
        <v>1</v>
      </c>
      <c r="X285" s="48">
        <v>1</v>
      </c>
      <c r="AA285" s="48">
        <v>3</v>
      </c>
      <c r="AC285" s="48">
        <v>4</v>
      </c>
      <c r="AD285" s="91">
        <f t="shared" si="5"/>
        <v>5.0681818181818183</v>
      </c>
      <c r="AE285" s="48" t="e">
        <f>VLOOKUP(C285,#REF!,1,0)</f>
        <v>#REF!</v>
      </c>
    </row>
    <row r="286" spans="1:31" hidden="1" x14ac:dyDescent="0.25">
      <c r="C286" s="87" t="s">
        <v>773</v>
      </c>
      <c r="D286" s="4" t="s">
        <v>774</v>
      </c>
      <c r="E286" s="4" t="s">
        <v>775</v>
      </c>
      <c r="F286" s="92">
        <v>5.07</v>
      </c>
      <c r="G286" s="4" t="s">
        <v>376</v>
      </c>
      <c r="H286" s="4" t="s">
        <v>46</v>
      </c>
      <c r="I286" s="4" t="s">
        <v>421</v>
      </c>
      <c r="J286" s="4" t="s">
        <v>73</v>
      </c>
      <c r="K286" s="4" t="s">
        <v>43</v>
      </c>
      <c r="L286" s="4" t="s">
        <v>776</v>
      </c>
      <c r="M286" s="4" t="s">
        <v>91</v>
      </c>
      <c r="N286" s="4" t="s">
        <v>378</v>
      </c>
      <c r="O286" s="4" t="s">
        <v>773</v>
      </c>
      <c r="P286" s="4" t="s">
        <v>42</v>
      </c>
      <c r="Q286" s="50" t="s">
        <v>43</v>
      </c>
      <c r="R286" s="50"/>
      <c r="S286" s="50" t="s">
        <v>772</v>
      </c>
      <c r="T286" s="4" t="s">
        <v>43</v>
      </c>
      <c r="U286" s="4" t="s">
        <v>43</v>
      </c>
      <c r="W286" s="48">
        <v>1</v>
      </c>
      <c r="X286" s="48">
        <v>1</v>
      </c>
      <c r="AA286" s="48">
        <v>3</v>
      </c>
      <c r="AC286" s="48">
        <v>4</v>
      </c>
      <c r="AD286" s="91">
        <f t="shared" si="5"/>
        <v>5.0681818181818183</v>
      </c>
      <c r="AE286" s="48" t="e">
        <f>VLOOKUP(C286,#REF!,1,0)</f>
        <v>#REF!</v>
      </c>
    </row>
    <row r="287" spans="1:31" hidden="1" x14ac:dyDescent="0.25">
      <c r="C287" s="87" t="s">
        <v>777</v>
      </c>
      <c r="D287" s="4" t="s">
        <v>778</v>
      </c>
      <c r="E287" s="4" t="s">
        <v>779</v>
      </c>
      <c r="F287" s="92">
        <v>6</v>
      </c>
      <c r="G287" s="4" t="s">
        <v>376</v>
      </c>
      <c r="H287" s="4" t="s">
        <v>46</v>
      </c>
      <c r="I287" s="4" t="s">
        <v>421</v>
      </c>
      <c r="J287" s="4" t="s">
        <v>73</v>
      </c>
      <c r="K287" s="4"/>
      <c r="L287" s="4" t="s">
        <v>90</v>
      </c>
      <c r="M287" s="4" t="s">
        <v>91</v>
      </c>
      <c r="N287" s="4" t="s">
        <v>378</v>
      </c>
      <c r="O287" s="4" t="s">
        <v>777</v>
      </c>
      <c r="P287" s="4" t="s">
        <v>42</v>
      </c>
      <c r="Q287" s="50" t="s">
        <v>43</v>
      </c>
      <c r="R287" s="50"/>
      <c r="S287" s="50" t="s">
        <v>772</v>
      </c>
      <c r="T287" s="4" t="s">
        <v>43</v>
      </c>
      <c r="U287" s="4" t="s">
        <v>43</v>
      </c>
      <c r="V287" s="2"/>
      <c r="W287" s="48">
        <v>1</v>
      </c>
      <c r="X287" s="48">
        <v>2</v>
      </c>
      <c r="Y287" s="48">
        <v>3</v>
      </c>
      <c r="AD287" s="91">
        <f t="shared" si="5"/>
        <v>6</v>
      </c>
      <c r="AE287" s="48" t="e">
        <f>VLOOKUP(C287,#REF!,1,0)</f>
        <v>#REF!</v>
      </c>
    </row>
    <row r="288" spans="1:31" hidden="1" x14ac:dyDescent="0.25">
      <c r="C288" s="87" t="s">
        <v>780</v>
      </c>
      <c r="D288" s="4" t="s">
        <v>781</v>
      </c>
      <c r="E288" s="4" t="s">
        <v>781</v>
      </c>
      <c r="F288" s="92">
        <v>5.45</v>
      </c>
      <c r="G288" s="4" t="s">
        <v>376</v>
      </c>
      <c r="H288" s="4" t="s">
        <v>46</v>
      </c>
      <c r="I288" s="4" t="s">
        <v>421</v>
      </c>
      <c r="J288" s="4" t="s">
        <v>73</v>
      </c>
      <c r="K288" s="4" t="s">
        <v>43</v>
      </c>
      <c r="L288" s="4" t="s">
        <v>109</v>
      </c>
      <c r="M288" s="4" t="s">
        <v>91</v>
      </c>
      <c r="N288" s="4" t="s">
        <v>378</v>
      </c>
      <c r="O288" s="4" t="s">
        <v>780</v>
      </c>
      <c r="P288" s="4" t="s">
        <v>42</v>
      </c>
      <c r="Q288" s="50" t="s">
        <v>43</v>
      </c>
      <c r="R288" s="50"/>
      <c r="S288" s="50" t="s">
        <v>772</v>
      </c>
      <c r="T288" s="4" t="s">
        <v>43</v>
      </c>
      <c r="U288" s="4" t="s">
        <v>43</v>
      </c>
      <c r="W288" s="48">
        <v>1</v>
      </c>
      <c r="X288" s="48">
        <v>1</v>
      </c>
      <c r="Y288" s="48">
        <v>3</v>
      </c>
      <c r="AB288" s="48">
        <v>1</v>
      </c>
      <c r="AD288" s="91">
        <f t="shared" si="5"/>
        <v>5.4545454545454541</v>
      </c>
      <c r="AE288" s="48" t="e">
        <f>VLOOKUP(C288,#REF!,1,0)</f>
        <v>#REF!</v>
      </c>
    </row>
    <row r="289" spans="3:31" hidden="1" x14ac:dyDescent="0.25">
      <c r="C289" s="87" t="s">
        <v>891</v>
      </c>
      <c r="D289" s="4" t="s">
        <v>892</v>
      </c>
      <c r="E289" s="4" t="s">
        <v>893</v>
      </c>
      <c r="F289" s="92">
        <v>5</v>
      </c>
      <c r="G289" s="4" t="s">
        <v>376</v>
      </c>
      <c r="H289" s="4" t="s">
        <v>46</v>
      </c>
      <c r="I289" s="4" t="s">
        <v>421</v>
      </c>
      <c r="J289" s="4" t="s">
        <v>885</v>
      </c>
      <c r="K289" s="4" t="s">
        <v>43</v>
      </c>
      <c r="L289" s="4" t="s">
        <v>47</v>
      </c>
      <c r="M289" s="4" t="s">
        <v>40</v>
      </c>
      <c r="N289" s="4" t="s">
        <v>514</v>
      </c>
      <c r="O289" s="4" t="s">
        <v>891</v>
      </c>
      <c r="P289" s="4" t="s">
        <v>42</v>
      </c>
      <c r="Q289" s="50" t="s">
        <v>43</v>
      </c>
      <c r="R289" s="50"/>
      <c r="S289" s="50" t="s">
        <v>886</v>
      </c>
      <c r="T289" s="4" t="s">
        <v>43</v>
      </c>
      <c r="U289" s="4" t="s">
        <v>43</v>
      </c>
      <c r="W289" s="48">
        <v>1</v>
      </c>
      <c r="X289" s="48">
        <v>1</v>
      </c>
      <c r="Y289" s="48">
        <v>3</v>
      </c>
      <c r="AD289" s="91">
        <f t="shared" si="5"/>
        <v>5</v>
      </c>
      <c r="AE289" s="48" t="s">
        <v>1220</v>
      </c>
    </row>
    <row r="290" spans="3:31" hidden="1" x14ac:dyDescent="0.25">
      <c r="C290" s="87" t="s">
        <v>784</v>
      </c>
      <c r="D290" s="4" t="s">
        <v>785</v>
      </c>
      <c r="E290" s="4" t="s">
        <v>785</v>
      </c>
      <c r="F290" s="92">
        <v>5.45</v>
      </c>
      <c r="G290" s="4" t="s">
        <v>376</v>
      </c>
      <c r="H290" s="4" t="s">
        <v>46</v>
      </c>
      <c r="I290" s="4" t="s">
        <v>421</v>
      </c>
      <c r="J290" s="4" t="s">
        <v>73</v>
      </c>
      <c r="K290" s="4" t="s">
        <v>43</v>
      </c>
      <c r="L290" s="4" t="s">
        <v>109</v>
      </c>
      <c r="M290" s="4" t="s">
        <v>91</v>
      </c>
      <c r="N290" s="4" t="s">
        <v>378</v>
      </c>
      <c r="O290" s="4" t="s">
        <v>784</v>
      </c>
      <c r="P290" s="4" t="s">
        <v>42</v>
      </c>
      <c r="Q290" s="50" t="s">
        <v>43</v>
      </c>
      <c r="R290" s="50"/>
      <c r="S290" s="50" t="s">
        <v>772</v>
      </c>
      <c r="T290" s="4" t="s">
        <v>43</v>
      </c>
      <c r="U290" s="4" t="s">
        <v>43</v>
      </c>
      <c r="W290" s="48">
        <v>1</v>
      </c>
      <c r="X290" s="48">
        <v>1</v>
      </c>
      <c r="Y290" s="48">
        <v>3</v>
      </c>
      <c r="AB290" s="48">
        <v>1</v>
      </c>
      <c r="AD290" s="91">
        <f t="shared" si="5"/>
        <v>5.4545454545454541</v>
      </c>
      <c r="AE290" s="48" t="e">
        <f>VLOOKUP(C290,#REF!,1,0)</f>
        <v>#REF!</v>
      </c>
    </row>
    <row r="291" spans="3:31" hidden="1" x14ac:dyDescent="0.25">
      <c r="C291" s="87" t="s">
        <v>894</v>
      </c>
      <c r="D291" s="4" t="s">
        <v>895</v>
      </c>
      <c r="E291" s="4" t="s">
        <v>895</v>
      </c>
      <c r="F291" s="92">
        <v>5</v>
      </c>
      <c r="G291" s="4" t="s">
        <v>376</v>
      </c>
      <c r="H291" s="4" t="s">
        <v>46</v>
      </c>
      <c r="I291" s="4" t="s">
        <v>421</v>
      </c>
      <c r="J291" s="4" t="s">
        <v>885</v>
      </c>
      <c r="K291" s="4" t="s">
        <v>43</v>
      </c>
      <c r="L291" s="4" t="s">
        <v>609</v>
      </c>
      <c r="M291" s="4" t="s">
        <v>40</v>
      </c>
      <c r="N291" s="4" t="s">
        <v>514</v>
      </c>
      <c r="O291" s="4" t="s">
        <v>894</v>
      </c>
      <c r="P291" s="4" t="s">
        <v>42</v>
      </c>
      <c r="Q291" s="50" t="s">
        <v>43</v>
      </c>
      <c r="R291" s="50"/>
      <c r="S291" s="50" t="s">
        <v>886</v>
      </c>
      <c r="T291" s="4" t="s">
        <v>43</v>
      </c>
      <c r="U291" s="4" t="s">
        <v>43</v>
      </c>
      <c r="W291" s="48">
        <v>1</v>
      </c>
      <c r="X291" s="48">
        <v>1</v>
      </c>
      <c r="Y291" s="48">
        <v>3</v>
      </c>
      <c r="AD291" s="91">
        <f t="shared" si="5"/>
        <v>5</v>
      </c>
      <c r="AE291" s="48" t="s">
        <v>1220</v>
      </c>
    </row>
    <row r="292" spans="3:31" hidden="1" x14ac:dyDescent="0.25">
      <c r="C292" s="87" t="s">
        <v>896</v>
      </c>
      <c r="D292" s="4" t="s">
        <v>897</v>
      </c>
      <c r="E292" s="4" t="s">
        <v>897</v>
      </c>
      <c r="F292" s="92">
        <v>5</v>
      </c>
      <c r="G292" s="4" t="s">
        <v>376</v>
      </c>
      <c r="H292" s="4" t="s">
        <v>46</v>
      </c>
      <c r="I292" s="4" t="s">
        <v>421</v>
      </c>
      <c r="J292" s="4" t="s">
        <v>885</v>
      </c>
      <c r="K292" s="4" t="s">
        <v>43</v>
      </c>
      <c r="L292" s="4" t="s">
        <v>133</v>
      </c>
      <c r="M292" s="4" t="s">
        <v>40</v>
      </c>
      <c r="N292" s="4" t="s">
        <v>514</v>
      </c>
      <c r="O292" s="4" t="s">
        <v>896</v>
      </c>
      <c r="P292" s="4" t="s">
        <v>42</v>
      </c>
      <c r="Q292" s="50" t="s">
        <v>43</v>
      </c>
      <c r="R292" s="50"/>
      <c r="S292" s="50" t="s">
        <v>886</v>
      </c>
      <c r="T292" s="4" t="s">
        <v>43</v>
      </c>
      <c r="U292" s="4" t="s">
        <v>43</v>
      </c>
      <c r="W292" s="48">
        <v>1</v>
      </c>
      <c r="X292" s="48">
        <v>1</v>
      </c>
      <c r="Y292" s="48">
        <v>3</v>
      </c>
      <c r="AD292" s="91">
        <f t="shared" si="5"/>
        <v>5</v>
      </c>
      <c r="AE292" s="48" t="s">
        <v>1220</v>
      </c>
    </row>
    <row r="293" spans="3:31" hidden="1" x14ac:dyDescent="0.25">
      <c r="C293" s="87" t="s">
        <v>697</v>
      </c>
      <c r="D293" s="4" t="s">
        <v>698</v>
      </c>
      <c r="E293" s="4" t="s">
        <v>698</v>
      </c>
      <c r="F293" s="92">
        <v>5.6</v>
      </c>
      <c r="G293" s="4" t="s">
        <v>376</v>
      </c>
      <c r="H293" s="4" t="s">
        <v>81</v>
      </c>
      <c r="I293" s="4" t="s">
        <v>377</v>
      </c>
      <c r="J293" s="4" t="s">
        <v>248</v>
      </c>
      <c r="K293" s="4" t="s">
        <v>43</v>
      </c>
      <c r="L293" s="4" t="s">
        <v>51</v>
      </c>
      <c r="M293" s="4" t="s">
        <v>40</v>
      </c>
      <c r="N293" s="4" t="s">
        <v>653</v>
      </c>
      <c r="O293" s="4" t="s">
        <v>697</v>
      </c>
      <c r="P293" s="4" t="s">
        <v>42</v>
      </c>
      <c r="Q293" s="50" t="s">
        <v>43</v>
      </c>
      <c r="R293" s="50"/>
      <c r="S293" s="50" t="s">
        <v>51</v>
      </c>
      <c r="T293" s="82" t="s">
        <v>440</v>
      </c>
      <c r="U293" s="4" t="s">
        <v>32</v>
      </c>
      <c r="W293" s="48">
        <v>1</v>
      </c>
      <c r="X293" s="48">
        <v>1</v>
      </c>
      <c r="AA293" s="48">
        <v>4</v>
      </c>
      <c r="AC293" s="48">
        <v>4</v>
      </c>
      <c r="AD293" s="91">
        <f t="shared" si="5"/>
        <v>5.6363636363636367</v>
      </c>
      <c r="AE293" s="48" t="e">
        <f>VLOOKUP(C293,#REF!,1,0)</f>
        <v>#REF!</v>
      </c>
    </row>
    <row r="294" spans="3:31" hidden="1" x14ac:dyDescent="0.25">
      <c r="C294" s="87" t="s">
        <v>794</v>
      </c>
      <c r="D294" s="4" t="s">
        <v>795</v>
      </c>
      <c r="E294" s="4" t="s">
        <v>795</v>
      </c>
      <c r="F294" s="92">
        <v>0</v>
      </c>
      <c r="G294" s="4" t="s">
        <v>37</v>
      </c>
      <c r="H294" s="4" t="s">
        <v>46</v>
      </c>
      <c r="I294" s="4" t="s">
        <v>421</v>
      </c>
      <c r="J294" s="4" t="s">
        <v>89</v>
      </c>
      <c r="K294" s="4"/>
      <c r="L294" s="4" t="s">
        <v>109</v>
      </c>
      <c r="M294" s="4" t="s">
        <v>91</v>
      </c>
      <c r="N294" s="4" t="s">
        <v>41</v>
      </c>
      <c r="O294" s="4" t="s">
        <v>794</v>
      </c>
      <c r="P294" s="4" t="s">
        <v>42</v>
      </c>
      <c r="Q294" s="50" t="s">
        <v>43</v>
      </c>
      <c r="R294" s="50"/>
      <c r="S294" s="50" t="s">
        <v>772</v>
      </c>
      <c r="T294" s="4" t="s">
        <v>43</v>
      </c>
      <c r="U294" s="4" t="s">
        <v>43</v>
      </c>
      <c r="AD294" s="91">
        <f t="shared" si="5"/>
        <v>0</v>
      </c>
      <c r="AE294" s="48" t="e">
        <f>VLOOKUP(C294,#REF!,1,0)</f>
        <v>#REF!</v>
      </c>
    </row>
    <row r="295" spans="3:31" hidden="1" x14ac:dyDescent="0.25">
      <c r="C295" s="87" t="s">
        <v>796</v>
      </c>
      <c r="D295" s="4" t="s">
        <v>797</v>
      </c>
      <c r="E295" s="4" t="s">
        <v>797</v>
      </c>
      <c r="F295" s="92">
        <v>8.68</v>
      </c>
      <c r="G295" s="4" t="s">
        <v>376</v>
      </c>
      <c r="H295" s="4" t="s">
        <v>81</v>
      </c>
      <c r="I295" s="4" t="s">
        <v>421</v>
      </c>
      <c r="J295" s="4" t="s">
        <v>798</v>
      </c>
      <c r="K295" s="4" t="s">
        <v>43</v>
      </c>
      <c r="L295" s="4" t="s">
        <v>59</v>
      </c>
      <c r="M295" s="4" t="s">
        <v>40</v>
      </c>
      <c r="N295" s="4" t="s">
        <v>653</v>
      </c>
      <c r="O295" s="4" t="s">
        <v>796</v>
      </c>
      <c r="P295" s="4" t="s">
        <v>379</v>
      </c>
      <c r="Q295" s="50" t="s">
        <v>43</v>
      </c>
      <c r="R295" s="50"/>
      <c r="S295" s="50" t="s">
        <v>799</v>
      </c>
      <c r="T295" s="4" t="s">
        <v>43</v>
      </c>
      <c r="U295" s="4" t="s">
        <v>43</v>
      </c>
      <c r="W295" s="48">
        <v>1</v>
      </c>
      <c r="X295" s="48">
        <v>2</v>
      </c>
      <c r="Y295" s="48">
        <v>5</v>
      </c>
      <c r="Z295" s="48">
        <v>1</v>
      </c>
      <c r="AD295" s="91">
        <f t="shared" si="5"/>
        <v>8.6818181818181817</v>
      </c>
      <c r="AE295" s="48" t="e">
        <f>VLOOKUP(C295,#REF!,1,0)</f>
        <v>#REF!</v>
      </c>
    </row>
    <row r="296" spans="3:31" hidden="1" x14ac:dyDescent="0.25">
      <c r="C296" s="87" t="s">
        <v>800</v>
      </c>
      <c r="D296" s="4" t="s">
        <v>801</v>
      </c>
      <c r="E296" s="4" t="s">
        <v>801</v>
      </c>
      <c r="F296" s="92">
        <v>7</v>
      </c>
      <c r="G296" s="4" t="s">
        <v>376</v>
      </c>
      <c r="H296" s="4" t="s">
        <v>46</v>
      </c>
      <c r="I296" s="4" t="s">
        <v>421</v>
      </c>
      <c r="J296" s="4" t="s">
        <v>798</v>
      </c>
      <c r="K296" s="4" t="s">
        <v>440</v>
      </c>
      <c r="L296" s="4" t="s">
        <v>59</v>
      </c>
      <c r="M296" s="4" t="s">
        <v>40</v>
      </c>
      <c r="N296" s="4" t="s">
        <v>653</v>
      </c>
      <c r="O296" s="4" t="s">
        <v>800</v>
      </c>
      <c r="P296" s="4" t="s">
        <v>42</v>
      </c>
      <c r="Q296" s="50" t="s">
        <v>43</v>
      </c>
      <c r="R296" s="50"/>
      <c r="S296" s="50" t="s">
        <v>799</v>
      </c>
      <c r="T296" s="4" t="s">
        <v>43</v>
      </c>
      <c r="U296" s="4" t="s">
        <v>43</v>
      </c>
      <c r="W296" s="48">
        <v>1</v>
      </c>
      <c r="X296" s="48">
        <v>1</v>
      </c>
      <c r="Y296" s="48">
        <v>5</v>
      </c>
      <c r="AD296" s="91">
        <f t="shared" si="5"/>
        <v>7</v>
      </c>
      <c r="AE296" s="48" t="e">
        <f>VLOOKUP(C296,#REF!,1,0)</f>
        <v>#REF!</v>
      </c>
    </row>
    <row r="297" spans="3:31" hidden="1" x14ac:dyDescent="0.25">
      <c r="C297" s="87" t="s">
        <v>802</v>
      </c>
      <c r="D297" s="4" t="s">
        <v>803</v>
      </c>
      <c r="E297" s="4" t="s">
        <v>803</v>
      </c>
      <c r="F297" s="92">
        <v>7</v>
      </c>
      <c r="G297" s="4" t="s">
        <v>376</v>
      </c>
      <c r="H297" s="4" t="s">
        <v>46</v>
      </c>
      <c r="I297" s="4" t="s">
        <v>421</v>
      </c>
      <c r="J297" s="4" t="s">
        <v>798</v>
      </c>
      <c r="K297" s="4" t="s">
        <v>43</v>
      </c>
      <c r="L297" s="4" t="s">
        <v>59</v>
      </c>
      <c r="M297" s="4" t="s">
        <v>40</v>
      </c>
      <c r="N297" s="4" t="s">
        <v>653</v>
      </c>
      <c r="O297" s="4" t="s">
        <v>802</v>
      </c>
      <c r="P297" s="4" t="s">
        <v>42</v>
      </c>
      <c r="Q297" s="50" t="s">
        <v>43</v>
      </c>
      <c r="R297" s="50"/>
      <c r="S297" s="50" t="s">
        <v>799</v>
      </c>
      <c r="T297" s="4" t="s">
        <v>43</v>
      </c>
      <c r="U297" s="4" t="s">
        <v>43</v>
      </c>
      <c r="W297" s="48">
        <v>1</v>
      </c>
      <c r="X297" s="48">
        <v>1</v>
      </c>
      <c r="Y297" s="48">
        <v>5</v>
      </c>
      <c r="AD297" s="91">
        <f t="shared" si="5"/>
        <v>7</v>
      </c>
      <c r="AE297" s="48" t="e">
        <f>VLOOKUP(C297,#REF!,1,0)</f>
        <v>#REF!</v>
      </c>
    </row>
    <row r="298" spans="3:31" hidden="1" x14ac:dyDescent="0.25">
      <c r="C298" s="87" t="s">
        <v>804</v>
      </c>
      <c r="D298" s="4" t="s">
        <v>805</v>
      </c>
      <c r="E298" s="4" t="s">
        <v>806</v>
      </c>
      <c r="F298" s="92">
        <v>7</v>
      </c>
      <c r="G298" s="4" t="s">
        <v>376</v>
      </c>
      <c r="H298" s="4" t="s">
        <v>46</v>
      </c>
      <c r="I298" s="4" t="s">
        <v>421</v>
      </c>
      <c r="J298" s="4" t="s">
        <v>798</v>
      </c>
      <c r="K298" s="4" t="s">
        <v>43</v>
      </c>
      <c r="L298" s="4" t="s">
        <v>59</v>
      </c>
      <c r="M298" s="4" t="s">
        <v>40</v>
      </c>
      <c r="N298" s="4" t="s">
        <v>653</v>
      </c>
      <c r="O298" s="4" t="s">
        <v>804</v>
      </c>
      <c r="P298" s="4" t="s">
        <v>42</v>
      </c>
      <c r="Q298" s="50" t="s">
        <v>43</v>
      </c>
      <c r="R298" s="50"/>
      <c r="S298" s="50" t="s">
        <v>799</v>
      </c>
      <c r="T298" s="4" t="s">
        <v>43</v>
      </c>
      <c r="U298" s="4" t="s">
        <v>32</v>
      </c>
      <c r="W298" s="48">
        <v>1</v>
      </c>
      <c r="X298" s="48">
        <v>2</v>
      </c>
      <c r="Y298" s="48">
        <v>4</v>
      </c>
      <c r="AD298" s="91">
        <f t="shared" si="5"/>
        <v>7</v>
      </c>
      <c r="AE298" s="48" t="e">
        <f>VLOOKUP(C298,#REF!,1,0)</f>
        <v>#REF!</v>
      </c>
    </row>
    <row r="299" spans="3:31" hidden="1" x14ac:dyDescent="0.25">
      <c r="C299" s="87" t="s">
        <v>807</v>
      </c>
      <c r="D299" s="4" t="s">
        <v>808</v>
      </c>
      <c r="E299" s="4" t="s">
        <v>809</v>
      </c>
      <c r="F299" s="92">
        <v>7</v>
      </c>
      <c r="G299" s="4" t="s">
        <v>376</v>
      </c>
      <c r="H299" s="4" t="s">
        <v>46</v>
      </c>
      <c r="I299" s="4" t="s">
        <v>421</v>
      </c>
      <c r="J299" s="4" t="s">
        <v>798</v>
      </c>
      <c r="K299" s="4" t="s">
        <v>440</v>
      </c>
      <c r="L299" s="4" t="s">
        <v>59</v>
      </c>
      <c r="M299" s="4" t="s">
        <v>40</v>
      </c>
      <c r="N299" s="4" t="s">
        <v>653</v>
      </c>
      <c r="O299" s="4" t="s">
        <v>807</v>
      </c>
      <c r="P299" s="4" t="s">
        <v>42</v>
      </c>
      <c r="Q299" s="50" t="s">
        <v>43</v>
      </c>
      <c r="R299" s="50"/>
      <c r="S299" s="50" t="s">
        <v>799</v>
      </c>
      <c r="T299" s="4" t="s">
        <v>43</v>
      </c>
      <c r="U299" s="4" t="s">
        <v>43</v>
      </c>
      <c r="W299" s="48">
        <v>1</v>
      </c>
      <c r="X299" s="48">
        <v>2</v>
      </c>
      <c r="Y299" s="48">
        <v>4</v>
      </c>
      <c r="AD299" s="91">
        <f t="shared" si="5"/>
        <v>7</v>
      </c>
      <c r="AE299" s="48" t="e">
        <f>VLOOKUP(C299,#REF!,1,0)</f>
        <v>#REF!</v>
      </c>
    </row>
    <row r="300" spans="3:31" hidden="1" x14ac:dyDescent="0.25">
      <c r="C300" s="87">
        <v>50724</v>
      </c>
      <c r="D300" s="4" t="s">
        <v>900</v>
      </c>
      <c r="E300" s="4" t="s">
        <v>900</v>
      </c>
      <c r="F300" s="92">
        <v>5</v>
      </c>
      <c r="G300" s="4" t="s">
        <v>376</v>
      </c>
      <c r="H300" s="4" t="s">
        <v>46</v>
      </c>
      <c r="I300" s="4" t="s">
        <v>421</v>
      </c>
      <c r="J300" s="4" t="s">
        <v>885</v>
      </c>
      <c r="K300" s="4" t="s">
        <v>43</v>
      </c>
      <c r="L300" s="4" t="s">
        <v>609</v>
      </c>
      <c r="M300" s="4" t="s">
        <v>40</v>
      </c>
      <c r="N300" s="4" t="s">
        <v>514</v>
      </c>
      <c r="O300" s="4">
        <v>50724</v>
      </c>
      <c r="P300" s="4" t="s">
        <v>42</v>
      </c>
      <c r="Q300" s="50" t="s">
        <v>43</v>
      </c>
      <c r="R300" s="50"/>
      <c r="S300" s="50" t="s">
        <v>886</v>
      </c>
      <c r="T300" s="4" t="s">
        <v>43</v>
      </c>
      <c r="U300" s="4" t="s">
        <v>43</v>
      </c>
      <c r="W300" s="48">
        <v>1</v>
      </c>
      <c r="X300" s="48">
        <v>1</v>
      </c>
      <c r="Y300" s="48">
        <v>3</v>
      </c>
      <c r="AD300" s="91">
        <f t="shared" si="5"/>
        <v>5</v>
      </c>
      <c r="AE300" s="48" t="s">
        <v>1220</v>
      </c>
    </row>
    <row r="301" spans="3:31" hidden="1" x14ac:dyDescent="0.25">
      <c r="C301" s="104">
        <v>50863</v>
      </c>
      <c r="D301" s="44" t="s">
        <v>901</v>
      </c>
      <c r="E301" s="44" t="s">
        <v>902</v>
      </c>
      <c r="F301" s="95">
        <v>5</v>
      </c>
      <c r="G301" s="4" t="s">
        <v>376</v>
      </c>
      <c r="H301" s="4" t="s">
        <v>81</v>
      </c>
      <c r="I301" s="4" t="s">
        <v>421</v>
      </c>
      <c r="J301" s="4" t="s">
        <v>885</v>
      </c>
      <c r="K301" s="4" t="s">
        <v>43</v>
      </c>
      <c r="L301" s="4" t="s">
        <v>364</v>
      </c>
      <c r="M301" s="4" t="s">
        <v>40</v>
      </c>
      <c r="N301" s="4" t="s">
        <v>514</v>
      </c>
      <c r="O301" s="4">
        <v>50863</v>
      </c>
      <c r="P301" s="4" t="s">
        <v>42</v>
      </c>
      <c r="Q301" s="50" t="s">
        <v>43</v>
      </c>
      <c r="R301" s="50"/>
      <c r="S301" s="50" t="s">
        <v>886</v>
      </c>
      <c r="T301" s="4" t="s">
        <v>43</v>
      </c>
      <c r="U301" s="4" t="s">
        <v>43</v>
      </c>
      <c r="W301" s="48">
        <v>1</v>
      </c>
      <c r="X301" s="48">
        <v>1</v>
      </c>
      <c r="Y301" s="48">
        <v>3</v>
      </c>
      <c r="AD301" s="91">
        <f t="shared" si="5"/>
        <v>5</v>
      </c>
      <c r="AE301" s="48" t="s">
        <v>1220</v>
      </c>
    </row>
    <row r="302" spans="3:31" hidden="1" x14ac:dyDescent="0.25">
      <c r="C302" s="87" t="s">
        <v>903</v>
      </c>
      <c r="D302" s="4" t="s">
        <v>904</v>
      </c>
      <c r="E302" s="4" t="s">
        <v>904</v>
      </c>
      <c r="F302" s="92">
        <v>5</v>
      </c>
      <c r="G302" s="4" t="s">
        <v>376</v>
      </c>
      <c r="H302" s="4" t="s">
        <v>46</v>
      </c>
      <c r="I302" s="4" t="s">
        <v>421</v>
      </c>
      <c r="J302" s="4" t="s">
        <v>885</v>
      </c>
      <c r="K302" s="4" t="s">
        <v>43</v>
      </c>
      <c r="L302" s="4" t="s">
        <v>47</v>
      </c>
      <c r="M302" s="4" t="s">
        <v>40</v>
      </c>
      <c r="N302" s="4" t="s">
        <v>514</v>
      </c>
      <c r="O302" s="4" t="s">
        <v>903</v>
      </c>
      <c r="P302" s="4" t="s">
        <v>42</v>
      </c>
      <c r="Q302" s="50" t="s">
        <v>43</v>
      </c>
      <c r="R302" s="50"/>
      <c r="S302" s="50" t="s">
        <v>886</v>
      </c>
      <c r="T302" s="4" t="s">
        <v>43</v>
      </c>
      <c r="U302" s="4" t="s">
        <v>43</v>
      </c>
      <c r="W302" s="48">
        <v>1</v>
      </c>
      <c r="X302" s="48">
        <v>1</v>
      </c>
      <c r="Y302" s="48">
        <v>3</v>
      </c>
      <c r="AD302" s="91">
        <f t="shared" si="5"/>
        <v>5</v>
      </c>
      <c r="AE302" s="48" t="s">
        <v>1220</v>
      </c>
    </row>
    <row r="303" spans="3:31" hidden="1" x14ac:dyDescent="0.25">
      <c r="C303" s="87" t="s">
        <v>905</v>
      </c>
      <c r="D303" s="4" t="s">
        <v>906</v>
      </c>
      <c r="E303" s="4" t="s">
        <v>906</v>
      </c>
      <c r="F303" s="92">
        <v>5</v>
      </c>
      <c r="G303" s="4" t="s">
        <v>376</v>
      </c>
      <c r="H303" s="4" t="s">
        <v>81</v>
      </c>
      <c r="I303" s="4" t="s">
        <v>421</v>
      </c>
      <c r="J303" s="4" t="s">
        <v>885</v>
      </c>
      <c r="K303" s="4" t="s">
        <v>43</v>
      </c>
      <c r="L303" s="4" t="s">
        <v>907</v>
      </c>
      <c r="M303" s="4" t="s">
        <v>40</v>
      </c>
      <c r="N303" s="4" t="s">
        <v>514</v>
      </c>
      <c r="O303" s="4" t="s">
        <v>905</v>
      </c>
      <c r="P303" s="4" t="s">
        <v>42</v>
      </c>
      <c r="Q303" s="50" t="s">
        <v>43</v>
      </c>
      <c r="R303" s="50"/>
      <c r="S303" s="50" t="s">
        <v>886</v>
      </c>
      <c r="T303" s="4" t="s">
        <v>43</v>
      </c>
      <c r="U303" s="4" t="s">
        <v>43</v>
      </c>
      <c r="W303" s="48">
        <v>1</v>
      </c>
      <c r="X303" s="48">
        <v>1</v>
      </c>
      <c r="Y303" s="48">
        <v>3</v>
      </c>
      <c r="AD303" s="91">
        <f t="shared" si="5"/>
        <v>5</v>
      </c>
      <c r="AE303" s="48" t="s">
        <v>1220</v>
      </c>
    </row>
    <row r="304" spans="3:31" hidden="1" x14ac:dyDescent="0.25">
      <c r="C304" s="87" t="s">
        <v>819</v>
      </c>
      <c r="D304" s="4" t="s">
        <v>820</v>
      </c>
      <c r="E304" s="4" t="s">
        <v>820</v>
      </c>
      <c r="F304" s="92">
        <v>6</v>
      </c>
      <c r="G304" s="4" t="s">
        <v>376</v>
      </c>
      <c r="H304" s="4" t="s">
        <v>46</v>
      </c>
      <c r="I304" s="4" t="s">
        <v>421</v>
      </c>
      <c r="J304" s="4" t="s">
        <v>798</v>
      </c>
      <c r="K304" s="4" t="s">
        <v>43</v>
      </c>
      <c r="L304" s="4" t="s">
        <v>59</v>
      </c>
      <c r="M304" s="4" t="s">
        <v>40</v>
      </c>
      <c r="N304" s="4" t="s">
        <v>653</v>
      </c>
      <c r="O304" s="4" t="s">
        <v>819</v>
      </c>
      <c r="P304" s="4" t="s">
        <v>42</v>
      </c>
      <c r="Q304" s="50" t="s">
        <v>43</v>
      </c>
      <c r="R304" s="50"/>
      <c r="S304" s="50" t="s">
        <v>799</v>
      </c>
      <c r="T304" s="4" t="s">
        <v>43</v>
      </c>
      <c r="U304" s="4" t="s">
        <v>43</v>
      </c>
      <c r="W304" s="48">
        <v>1</v>
      </c>
      <c r="X304" s="48">
        <v>1</v>
      </c>
      <c r="Y304" s="48">
        <v>4</v>
      </c>
      <c r="AD304" s="91">
        <f t="shared" si="5"/>
        <v>6</v>
      </c>
      <c r="AE304" s="48" t="e">
        <f>VLOOKUP(C304,#REF!,1,0)</f>
        <v>#REF!</v>
      </c>
    </row>
    <row r="305" spans="3:31" hidden="1" x14ac:dyDescent="0.25">
      <c r="C305" s="87" t="s">
        <v>839</v>
      </c>
      <c r="D305" s="4" t="s">
        <v>840</v>
      </c>
      <c r="E305" s="4" t="s">
        <v>840</v>
      </c>
      <c r="F305" s="92">
        <v>5.6</v>
      </c>
      <c r="G305" s="4" t="s">
        <v>376</v>
      </c>
      <c r="H305" s="4" t="s">
        <v>81</v>
      </c>
      <c r="I305" s="4" t="s">
        <v>421</v>
      </c>
      <c r="J305" s="4" t="s">
        <v>798</v>
      </c>
      <c r="K305" s="4" t="s">
        <v>43</v>
      </c>
      <c r="L305" s="4" t="s">
        <v>59</v>
      </c>
      <c r="M305" s="4" t="s">
        <v>40</v>
      </c>
      <c r="N305" s="4" t="s">
        <v>653</v>
      </c>
      <c r="O305" s="4" t="s">
        <v>839</v>
      </c>
      <c r="P305" s="4" t="s">
        <v>42</v>
      </c>
      <c r="Q305" s="4"/>
      <c r="R305" s="50"/>
      <c r="S305" s="50" t="s">
        <v>799</v>
      </c>
      <c r="T305" s="4" t="s">
        <v>43</v>
      </c>
      <c r="U305" s="4" t="s">
        <v>43</v>
      </c>
      <c r="W305" s="48">
        <v>1</v>
      </c>
      <c r="X305" s="48">
        <v>1</v>
      </c>
      <c r="AA305" s="48">
        <v>4</v>
      </c>
      <c r="AC305" s="48">
        <v>4</v>
      </c>
      <c r="AD305" s="91">
        <f t="shared" si="5"/>
        <v>5.6363636363636367</v>
      </c>
      <c r="AE305" s="48" t="e">
        <f>VLOOKUP(C305,#REF!,1,0)</f>
        <v>#REF!</v>
      </c>
    </row>
    <row r="306" spans="3:31" hidden="1" x14ac:dyDescent="0.25">
      <c r="C306" s="87" t="s">
        <v>908</v>
      </c>
      <c r="D306" s="4" t="s">
        <v>909</v>
      </c>
      <c r="E306" s="4" t="s">
        <v>910</v>
      </c>
      <c r="F306" s="92">
        <v>5</v>
      </c>
      <c r="G306" s="4" t="s">
        <v>37</v>
      </c>
      <c r="H306" s="4" t="s">
        <v>81</v>
      </c>
      <c r="I306" s="4" t="s">
        <v>421</v>
      </c>
      <c r="J306" s="4" t="s">
        <v>73</v>
      </c>
      <c r="K306" s="4"/>
      <c r="L306" s="4" t="s">
        <v>911</v>
      </c>
      <c r="M306" s="4" t="s">
        <v>40</v>
      </c>
      <c r="N306" s="4" t="s">
        <v>41</v>
      </c>
      <c r="O306" s="4" t="s">
        <v>908</v>
      </c>
      <c r="P306" s="4" t="s">
        <v>42</v>
      </c>
      <c r="Q306" s="50" t="s">
        <v>43</v>
      </c>
      <c r="R306" s="50"/>
      <c r="S306" s="50" t="s">
        <v>886</v>
      </c>
      <c r="T306" s="4" t="s">
        <v>43</v>
      </c>
      <c r="U306" s="4" t="s">
        <v>43</v>
      </c>
      <c r="W306" s="48">
        <v>1</v>
      </c>
      <c r="X306" s="48">
        <v>1</v>
      </c>
      <c r="Y306" s="48">
        <v>3</v>
      </c>
      <c r="AD306" s="91">
        <f t="shared" si="5"/>
        <v>5</v>
      </c>
      <c r="AE306" s="48" t="s">
        <v>1220</v>
      </c>
    </row>
    <row r="307" spans="3:31" hidden="1" x14ac:dyDescent="0.25">
      <c r="C307" s="87" t="s">
        <v>912</v>
      </c>
      <c r="D307" s="4" t="s">
        <v>913</v>
      </c>
      <c r="E307" s="4" t="s">
        <v>913</v>
      </c>
      <c r="F307" s="92">
        <v>5</v>
      </c>
      <c r="G307" s="4" t="s">
        <v>376</v>
      </c>
      <c r="H307" s="4" t="s">
        <v>81</v>
      </c>
      <c r="I307" s="4" t="s">
        <v>421</v>
      </c>
      <c r="J307" s="4" t="s">
        <v>885</v>
      </c>
      <c r="K307" s="4" t="s">
        <v>43</v>
      </c>
      <c r="L307" s="4" t="s">
        <v>914</v>
      </c>
      <c r="M307" s="4" t="s">
        <v>40</v>
      </c>
      <c r="N307" s="4" t="s">
        <v>514</v>
      </c>
      <c r="O307" s="4" t="s">
        <v>912</v>
      </c>
      <c r="P307" s="4" t="s">
        <v>42</v>
      </c>
      <c r="Q307" s="50" t="s">
        <v>43</v>
      </c>
      <c r="R307" s="50"/>
      <c r="S307" s="50" t="s">
        <v>886</v>
      </c>
      <c r="T307" s="4" t="s">
        <v>43</v>
      </c>
      <c r="U307" s="4" t="s">
        <v>43</v>
      </c>
      <c r="W307" s="48">
        <v>1</v>
      </c>
      <c r="X307" s="48">
        <v>1</v>
      </c>
      <c r="Y307" s="48">
        <v>3</v>
      </c>
      <c r="AD307" s="91">
        <f t="shared" si="5"/>
        <v>5</v>
      </c>
      <c r="AE307" s="48" t="s">
        <v>1220</v>
      </c>
    </row>
    <row r="308" spans="3:31" hidden="1" x14ac:dyDescent="0.25">
      <c r="C308" s="87" t="s">
        <v>828</v>
      </c>
      <c r="D308" s="4" t="s">
        <v>829</v>
      </c>
      <c r="E308" s="4" t="s">
        <v>829</v>
      </c>
      <c r="F308" s="92">
        <v>5.68</v>
      </c>
      <c r="G308" s="4" t="s">
        <v>376</v>
      </c>
      <c r="H308" s="4" t="s">
        <v>46</v>
      </c>
      <c r="I308" s="4" t="s">
        <v>421</v>
      </c>
      <c r="J308" s="4" t="s">
        <v>798</v>
      </c>
      <c r="K308" s="4" t="s">
        <v>43</v>
      </c>
      <c r="L308" s="4" t="s">
        <v>59</v>
      </c>
      <c r="M308" s="4" t="s">
        <v>40</v>
      </c>
      <c r="N308" s="4" t="s">
        <v>653</v>
      </c>
      <c r="O308" s="4" t="s">
        <v>828</v>
      </c>
      <c r="P308" s="4" t="s">
        <v>42</v>
      </c>
      <c r="Q308" s="50" t="s">
        <v>43</v>
      </c>
      <c r="R308" s="50"/>
      <c r="S308" s="50" t="s">
        <v>799</v>
      </c>
      <c r="T308" s="4" t="s">
        <v>43</v>
      </c>
      <c r="U308" s="4" t="s">
        <v>43</v>
      </c>
      <c r="W308" s="48">
        <v>1</v>
      </c>
      <c r="X308" s="48">
        <v>2</v>
      </c>
      <c r="Y308" s="48">
        <v>2</v>
      </c>
      <c r="Z308" s="48">
        <v>1</v>
      </c>
      <c r="AD308" s="91">
        <f t="shared" si="5"/>
        <v>5.6818181818181817</v>
      </c>
      <c r="AE308" s="48" t="e">
        <f>VLOOKUP(C308,#REF!,1,0)</f>
        <v>#REF!</v>
      </c>
    </row>
    <row r="309" spans="3:31" hidden="1" x14ac:dyDescent="0.25">
      <c r="C309" s="87" t="s">
        <v>915</v>
      </c>
      <c r="D309" s="4" t="s">
        <v>916</v>
      </c>
      <c r="E309" s="4" t="s">
        <v>916</v>
      </c>
      <c r="F309" s="92">
        <v>5</v>
      </c>
      <c r="G309" s="4" t="s">
        <v>376</v>
      </c>
      <c r="H309" s="4" t="s">
        <v>81</v>
      </c>
      <c r="I309" s="4" t="s">
        <v>421</v>
      </c>
      <c r="J309" s="4" t="s">
        <v>885</v>
      </c>
      <c r="K309" s="4" t="s">
        <v>43</v>
      </c>
      <c r="L309" s="4" t="s">
        <v>133</v>
      </c>
      <c r="M309" s="4" t="s">
        <v>40</v>
      </c>
      <c r="N309" s="4" t="s">
        <v>514</v>
      </c>
      <c r="O309" s="4" t="s">
        <v>915</v>
      </c>
      <c r="P309" s="4" t="s">
        <v>42</v>
      </c>
      <c r="Q309" s="50" t="s">
        <v>43</v>
      </c>
      <c r="R309" s="50"/>
      <c r="S309" s="50" t="s">
        <v>886</v>
      </c>
      <c r="T309" s="4" t="s">
        <v>43</v>
      </c>
      <c r="U309" s="4" t="s">
        <v>43</v>
      </c>
      <c r="W309" s="48">
        <v>1</v>
      </c>
      <c r="X309" s="48">
        <v>1</v>
      </c>
      <c r="Y309" s="48">
        <v>3</v>
      </c>
      <c r="AD309" s="94">
        <f t="shared" si="5"/>
        <v>5</v>
      </c>
      <c r="AE309" s="48" t="s">
        <v>1220</v>
      </c>
    </row>
    <row r="310" spans="3:31" hidden="1" x14ac:dyDescent="0.25">
      <c r="C310" s="87" t="s">
        <v>841</v>
      </c>
      <c r="D310" s="4" t="s">
        <v>842</v>
      </c>
      <c r="E310" s="4" t="s">
        <v>843</v>
      </c>
      <c r="F310" s="92">
        <v>5.6</v>
      </c>
      <c r="G310" s="4" t="s">
        <v>376</v>
      </c>
      <c r="H310" s="4" t="s">
        <v>38</v>
      </c>
      <c r="I310" s="4" t="s">
        <v>421</v>
      </c>
      <c r="J310" s="4" t="s">
        <v>798</v>
      </c>
      <c r="K310" s="4" t="s">
        <v>43</v>
      </c>
      <c r="L310" s="4" t="s">
        <v>59</v>
      </c>
      <c r="M310" s="4" t="s">
        <v>40</v>
      </c>
      <c r="N310" s="4" t="s">
        <v>653</v>
      </c>
      <c r="O310" s="4" t="s">
        <v>841</v>
      </c>
      <c r="P310" s="4" t="s">
        <v>42</v>
      </c>
      <c r="Q310" s="50"/>
      <c r="R310" s="50"/>
      <c r="S310" s="50" t="s">
        <v>799</v>
      </c>
      <c r="T310" s="4" t="s">
        <v>43</v>
      </c>
      <c r="U310" s="4" t="s">
        <v>43</v>
      </c>
      <c r="W310" s="48">
        <v>1</v>
      </c>
      <c r="X310" s="48">
        <v>1</v>
      </c>
      <c r="AA310" s="48">
        <v>4</v>
      </c>
      <c r="AC310" s="48">
        <v>4</v>
      </c>
      <c r="AD310" s="91">
        <f t="shared" si="5"/>
        <v>5.6363636363636367</v>
      </c>
      <c r="AE310" s="48" t="e">
        <f>VLOOKUP(C310,#REF!,1,0)</f>
        <v>#REF!</v>
      </c>
    </row>
    <row r="311" spans="3:31" x14ac:dyDescent="0.25">
      <c r="C311" s="87" t="s">
        <v>917</v>
      </c>
      <c r="D311" s="4" t="s">
        <v>918</v>
      </c>
      <c r="E311" s="4" t="s">
        <v>918</v>
      </c>
      <c r="F311" s="92">
        <v>5</v>
      </c>
      <c r="G311" s="4" t="s">
        <v>376</v>
      </c>
      <c r="H311" s="4" t="s">
        <v>46</v>
      </c>
      <c r="I311" s="4" t="s">
        <v>421</v>
      </c>
      <c r="J311" s="4" t="s">
        <v>885</v>
      </c>
      <c r="K311" s="4" t="s">
        <v>43</v>
      </c>
      <c r="L311" s="4" t="s">
        <v>605</v>
      </c>
      <c r="M311" s="4" t="s">
        <v>40</v>
      </c>
      <c r="N311" s="4" t="s">
        <v>514</v>
      </c>
      <c r="O311" s="4" t="s">
        <v>917</v>
      </c>
      <c r="P311" s="4" t="s">
        <v>42</v>
      </c>
      <c r="Q311" s="50" t="s">
        <v>43</v>
      </c>
      <c r="R311" s="50"/>
      <c r="S311" s="50" t="s">
        <v>886</v>
      </c>
      <c r="T311" s="4" t="s">
        <v>43</v>
      </c>
      <c r="U311" s="4" t="s">
        <v>43</v>
      </c>
      <c r="W311" s="48">
        <v>1</v>
      </c>
      <c r="X311" s="48">
        <v>1</v>
      </c>
      <c r="Y311" s="48">
        <v>3</v>
      </c>
      <c r="AD311" s="91">
        <f t="shared" si="5"/>
        <v>5</v>
      </c>
      <c r="AE311" s="48" t="s">
        <v>1220</v>
      </c>
    </row>
    <row r="312" spans="3:31" hidden="1" x14ac:dyDescent="0.25">
      <c r="C312" s="87" t="s">
        <v>881</v>
      </c>
      <c r="D312" s="4" t="s">
        <v>882</v>
      </c>
      <c r="E312" s="4" t="s">
        <v>882</v>
      </c>
      <c r="F312" s="92">
        <v>5.6</v>
      </c>
      <c r="G312" s="4" t="s">
        <v>376</v>
      </c>
      <c r="H312" s="4"/>
      <c r="I312" s="4" t="s">
        <v>377</v>
      </c>
      <c r="J312" s="4" t="s">
        <v>132</v>
      </c>
      <c r="K312" s="4"/>
      <c r="L312" s="4"/>
      <c r="M312" s="4"/>
      <c r="N312" s="4" t="s">
        <v>514</v>
      </c>
      <c r="O312" s="4" t="s">
        <v>881</v>
      </c>
      <c r="P312" s="4"/>
      <c r="Q312" s="50"/>
      <c r="R312" s="50"/>
      <c r="S312" s="50" t="s">
        <v>847</v>
      </c>
      <c r="T312" s="4"/>
      <c r="U312" s="4"/>
      <c r="W312" s="48">
        <v>1</v>
      </c>
      <c r="X312" s="48">
        <v>1</v>
      </c>
      <c r="AA312" s="48">
        <v>4</v>
      </c>
      <c r="AC312" s="48">
        <v>4</v>
      </c>
      <c r="AD312" s="91">
        <f t="shared" si="5"/>
        <v>5.6363636363636367</v>
      </c>
      <c r="AE312" s="48" t="e">
        <f>VLOOKUP(C312,#REF!,1,0)</f>
        <v>#REF!</v>
      </c>
    </row>
    <row r="313" spans="3:31" hidden="1" x14ac:dyDescent="0.25">
      <c r="C313" s="104" t="s">
        <v>942</v>
      </c>
      <c r="D313" s="44" t="s">
        <v>943</v>
      </c>
      <c r="E313" s="44" t="s">
        <v>944</v>
      </c>
      <c r="F313" s="95">
        <v>5.6</v>
      </c>
      <c r="G313" s="4" t="s">
        <v>376</v>
      </c>
      <c r="H313" s="4" t="s">
        <v>46</v>
      </c>
      <c r="I313" s="4" t="s">
        <v>377</v>
      </c>
      <c r="J313" s="4" t="s">
        <v>132</v>
      </c>
      <c r="K313" s="4" t="s">
        <v>43</v>
      </c>
      <c r="L313" s="4" t="s">
        <v>371</v>
      </c>
      <c r="M313" s="4" t="s">
        <v>40</v>
      </c>
      <c r="N313" s="4" t="s">
        <v>378</v>
      </c>
      <c r="O313" s="4" t="s">
        <v>942</v>
      </c>
      <c r="P313" s="4" t="s">
        <v>42</v>
      </c>
      <c r="Q313" s="72" t="s">
        <v>43</v>
      </c>
      <c r="R313" s="72"/>
      <c r="S313" s="50" t="s">
        <v>931</v>
      </c>
      <c r="T313" s="4" t="s">
        <v>43</v>
      </c>
      <c r="U313" s="4" t="s">
        <v>43</v>
      </c>
      <c r="W313" s="48">
        <v>1</v>
      </c>
      <c r="X313" s="48">
        <v>1</v>
      </c>
      <c r="AA313" s="48">
        <v>4</v>
      </c>
      <c r="AC313" s="48">
        <v>4</v>
      </c>
      <c r="AD313" s="91">
        <f t="shared" si="5"/>
        <v>5.6363636363636367</v>
      </c>
      <c r="AE313" s="48" t="e">
        <f>VLOOKUP(C313,#REF!,1,0)</f>
        <v>#REF!</v>
      </c>
    </row>
    <row r="314" spans="3:31" hidden="1" x14ac:dyDescent="0.25">
      <c r="C314" s="87" t="s">
        <v>844</v>
      </c>
      <c r="D314" s="4" t="s">
        <v>845</v>
      </c>
      <c r="E314" s="4" t="s">
        <v>846</v>
      </c>
      <c r="F314" s="92">
        <v>6</v>
      </c>
      <c r="G314" s="4" t="s">
        <v>376</v>
      </c>
      <c r="H314" s="4" t="s">
        <v>46</v>
      </c>
      <c r="I314" s="4" t="s">
        <v>377</v>
      </c>
      <c r="J314" s="4" t="s">
        <v>132</v>
      </c>
      <c r="K314" s="4" t="s">
        <v>43</v>
      </c>
      <c r="L314" s="4" t="s">
        <v>138</v>
      </c>
      <c r="M314" s="4" t="s">
        <v>40</v>
      </c>
      <c r="N314" s="4" t="s">
        <v>514</v>
      </c>
      <c r="O314" s="4" t="s">
        <v>844</v>
      </c>
      <c r="P314" s="4" t="s">
        <v>42</v>
      </c>
      <c r="Q314" s="50" t="s">
        <v>43</v>
      </c>
      <c r="R314" s="50"/>
      <c r="S314" s="50" t="s">
        <v>847</v>
      </c>
      <c r="T314" s="4" t="s">
        <v>43</v>
      </c>
      <c r="U314" s="4" t="s">
        <v>43</v>
      </c>
      <c r="W314" s="48">
        <v>1</v>
      </c>
      <c r="X314" s="48">
        <v>1</v>
      </c>
      <c r="Y314" s="48">
        <v>4</v>
      </c>
      <c r="AD314" s="91">
        <f t="shared" si="5"/>
        <v>6</v>
      </c>
      <c r="AE314" s="48" t="e">
        <f>VLOOKUP(C314,#REF!,1,0)</f>
        <v>#REF!</v>
      </c>
    </row>
    <row r="315" spans="3:31" hidden="1" x14ac:dyDescent="0.25">
      <c r="C315" s="87" t="s">
        <v>883</v>
      </c>
      <c r="D315" s="4" t="s">
        <v>884</v>
      </c>
      <c r="E315" s="4" t="s">
        <v>884</v>
      </c>
      <c r="F315" s="92">
        <v>5.79</v>
      </c>
      <c r="G315" s="4" t="s">
        <v>376</v>
      </c>
      <c r="H315" s="4" t="s">
        <v>46</v>
      </c>
      <c r="I315" s="4" t="s">
        <v>421</v>
      </c>
      <c r="J315" s="4" t="s">
        <v>885</v>
      </c>
      <c r="K315" s="4" t="s">
        <v>43</v>
      </c>
      <c r="L315" s="4" t="s">
        <v>315</v>
      </c>
      <c r="M315" s="4" t="s">
        <v>40</v>
      </c>
      <c r="N315" s="4" t="s">
        <v>514</v>
      </c>
      <c r="O315" s="4" t="s">
        <v>883</v>
      </c>
      <c r="P315" s="4" t="s">
        <v>42</v>
      </c>
      <c r="Q315" s="50" t="s">
        <v>43</v>
      </c>
      <c r="R315" s="50"/>
      <c r="S315" s="50" t="s">
        <v>886</v>
      </c>
      <c r="T315" s="4" t="s">
        <v>43</v>
      </c>
      <c r="U315" s="4" t="s">
        <v>43</v>
      </c>
      <c r="V315" s="2"/>
      <c r="W315" s="48">
        <v>1</v>
      </c>
      <c r="X315" s="48">
        <v>2</v>
      </c>
      <c r="Y315" s="48">
        <v>2</v>
      </c>
      <c r="AB315" s="48">
        <v>1</v>
      </c>
      <c r="AC315" s="48">
        <v>1</v>
      </c>
      <c r="AD315" s="91">
        <f t="shared" si="5"/>
        <v>5.795454545454545</v>
      </c>
      <c r="AE315" s="48" t="e">
        <f>VLOOKUP(C315,#REF!,1,0)</f>
        <v>#REF!</v>
      </c>
    </row>
    <row r="316" spans="3:31" hidden="1" x14ac:dyDescent="0.25">
      <c r="C316" s="87" t="s">
        <v>850</v>
      </c>
      <c r="D316" s="4" t="s">
        <v>851</v>
      </c>
      <c r="E316" s="4" t="s">
        <v>851</v>
      </c>
      <c r="F316" s="92">
        <v>6</v>
      </c>
      <c r="G316" s="4" t="s">
        <v>376</v>
      </c>
      <c r="H316" s="4" t="s">
        <v>46</v>
      </c>
      <c r="I316" s="4" t="s">
        <v>377</v>
      </c>
      <c r="J316" s="4" t="s">
        <v>132</v>
      </c>
      <c r="K316" s="4" t="s">
        <v>43</v>
      </c>
      <c r="L316" s="4" t="s">
        <v>138</v>
      </c>
      <c r="M316" s="4" t="s">
        <v>40</v>
      </c>
      <c r="N316" s="4" t="s">
        <v>514</v>
      </c>
      <c r="O316" s="4" t="s">
        <v>850</v>
      </c>
      <c r="P316" s="4" t="s">
        <v>42</v>
      </c>
      <c r="Q316" s="50" t="s">
        <v>43</v>
      </c>
      <c r="R316" s="50"/>
      <c r="S316" s="50" t="s">
        <v>847</v>
      </c>
      <c r="T316" s="4" t="s">
        <v>43</v>
      </c>
      <c r="U316" s="4" t="s">
        <v>43</v>
      </c>
      <c r="W316" s="48">
        <v>1</v>
      </c>
      <c r="X316" s="48">
        <v>1</v>
      </c>
      <c r="Y316" s="48">
        <v>4</v>
      </c>
      <c r="AD316" s="91">
        <f t="shared" si="5"/>
        <v>6</v>
      </c>
      <c r="AE316" s="48" t="e">
        <f>VLOOKUP(C316,#REF!,1,0)</f>
        <v>#REF!</v>
      </c>
    </row>
    <row r="317" spans="3:31" hidden="1" x14ac:dyDescent="0.25">
      <c r="C317" s="87" t="s">
        <v>919</v>
      </c>
      <c r="D317" s="4" t="s">
        <v>920</v>
      </c>
      <c r="E317" s="4" t="s">
        <v>920</v>
      </c>
      <c r="F317" s="92">
        <v>5</v>
      </c>
      <c r="G317" s="4" t="s">
        <v>376</v>
      </c>
      <c r="H317" s="4" t="s">
        <v>81</v>
      </c>
      <c r="I317" s="4" t="s">
        <v>421</v>
      </c>
      <c r="J317" s="4" t="s">
        <v>885</v>
      </c>
      <c r="K317" s="4" t="s">
        <v>43</v>
      </c>
      <c r="L317" s="4" t="s">
        <v>315</v>
      </c>
      <c r="M317" s="4" t="s">
        <v>40</v>
      </c>
      <c r="N317" s="4" t="s">
        <v>514</v>
      </c>
      <c r="O317" s="4" t="s">
        <v>919</v>
      </c>
      <c r="P317" s="4" t="s">
        <v>42</v>
      </c>
      <c r="Q317" s="50" t="s">
        <v>43</v>
      </c>
      <c r="R317" s="50"/>
      <c r="S317" s="50" t="s">
        <v>886</v>
      </c>
      <c r="T317" s="4" t="s">
        <v>43</v>
      </c>
      <c r="U317" s="4" t="s">
        <v>43</v>
      </c>
      <c r="W317" s="48">
        <v>1</v>
      </c>
      <c r="X317" s="48">
        <v>1</v>
      </c>
      <c r="Y317" s="48">
        <v>3</v>
      </c>
      <c r="AD317" s="91">
        <f t="shared" si="5"/>
        <v>5</v>
      </c>
      <c r="AE317" s="48" t="s">
        <v>1220</v>
      </c>
    </row>
    <row r="318" spans="3:31" hidden="1" x14ac:dyDescent="0.25">
      <c r="C318" s="87" t="s">
        <v>854</v>
      </c>
      <c r="D318" s="4" t="s">
        <v>855</v>
      </c>
      <c r="E318" s="4" t="s">
        <v>855</v>
      </c>
      <c r="F318" s="92">
        <v>6.45</v>
      </c>
      <c r="G318" s="4" t="s">
        <v>376</v>
      </c>
      <c r="H318" s="4" t="s">
        <v>46</v>
      </c>
      <c r="I318" s="4" t="s">
        <v>377</v>
      </c>
      <c r="J318" s="4" t="s">
        <v>132</v>
      </c>
      <c r="K318" s="4" t="s">
        <v>43</v>
      </c>
      <c r="L318" s="4" t="s">
        <v>856</v>
      </c>
      <c r="M318" s="4" t="s">
        <v>40</v>
      </c>
      <c r="N318" s="4" t="s">
        <v>514</v>
      </c>
      <c r="O318" s="4" t="s">
        <v>854</v>
      </c>
      <c r="P318" s="4" t="s">
        <v>42</v>
      </c>
      <c r="Q318" s="50" t="s">
        <v>43</v>
      </c>
      <c r="R318" s="50"/>
      <c r="S318" s="50" t="s">
        <v>847</v>
      </c>
      <c r="T318" s="4" t="s">
        <v>43</v>
      </c>
      <c r="U318" s="4" t="s">
        <v>43</v>
      </c>
      <c r="W318" s="48">
        <v>1</v>
      </c>
      <c r="X318" s="48">
        <v>2</v>
      </c>
      <c r="Y318" s="48">
        <v>3</v>
      </c>
      <c r="AB318" s="48">
        <v>1</v>
      </c>
      <c r="AD318" s="91">
        <f t="shared" si="5"/>
        <v>6.4545454545454541</v>
      </c>
      <c r="AE318" s="48" t="e">
        <f>VLOOKUP(C318,#REF!,1,0)</f>
        <v>#REF!</v>
      </c>
    </row>
    <row r="319" spans="3:31" hidden="1" x14ac:dyDescent="0.25">
      <c r="C319" s="87" t="s">
        <v>857</v>
      </c>
      <c r="D319" s="4" t="s">
        <v>858</v>
      </c>
      <c r="E319" s="4" t="s">
        <v>859</v>
      </c>
      <c r="F319" s="95">
        <v>5.9</v>
      </c>
      <c r="G319" s="4" t="s">
        <v>376</v>
      </c>
      <c r="H319" s="4" t="s">
        <v>46</v>
      </c>
      <c r="I319" s="4" t="s">
        <v>377</v>
      </c>
      <c r="J319" s="4" t="s">
        <v>132</v>
      </c>
      <c r="K319" s="4" t="s">
        <v>43</v>
      </c>
      <c r="L319" s="4" t="s">
        <v>138</v>
      </c>
      <c r="M319" s="4" t="s">
        <v>40</v>
      </c>
      <c r="N319" s="4" t="s">
        <v>514</v>
      </c>
      <c r="O319" s="4" t="s">
        <v>857</v>
      </c>
      <c r="P319" s="4" t="s">
        <v>42</v>
      </c>
      <c r="Q319" s="50" t="s">
        <v>43</v>
      </c>
      <c r="R319" s="50"/>
      <c r="S319" s="50" t="s">
        <v>847</v>
      </c>
      <c r="T319" s="4" t="s">
        <v>43</v>
      </c>
      <c r="U319" s="4" t="s">
        <v>43</v>
      </c>
      <c r="V319" s="48" t="s">
        <v>860</v>
      </c>
      <c r="W319" s="48">
        <v>1</v>
      </c>
      <c r="X319" s="48">
        <v>2</v>
      </c>
      <c r="Y319" s="48">
        <v>2</v>
      </c>
      <c r="AB319" s="48">
        <v>2</v>
      </c>
      <c r="AD319" s="91">
        <f t="shared" si="5"/>
        <v>5.9090909090909092</v>
      </c>
      <c r="AE319" s="48" t="e">
        <f>VLOOKUP(C319,#REF!,1,0)</f>
        <v>#REF!</v>
      </c>
    </row>
    <row r="320" spans="3:31" hidden="1" x14ac:dyDescent="0.25">
      <c r="C320" s="87" t="s">
        <v>642</v>
      </c>
      <c r="D320" s="4" t="s">
        <v>643</v>
      </c>
      <c r="E320" s="4" t="s">
        <v>643</v>
      </c>
      <c r="F320" s="92">
        <v>6.16</v>
      </c>
      <c r="G320" s="4" t="s">
        <v>376</v>
      </c>
      <c r="H320" s="4" t="s">
        <v>46</v>
      </c>
      <c r="I320" s="4" t="s">
        <v>421</v>
      </c>
      <c r="J320" s="4" t="s">
        <v>50</v>
      </c>
      <c r="K320" s="4" t="s">
        <v>43</v>
      </c>
      <c r="L320" s="4" t="s">
        <v>51</v>
      </c>
      <c r="M320" s="4" t="s">
        <v>40</v>
      </c>
      <c r="N320" s="4" t="s">
        <v>422</v>
      </c>
      <c r="O320" s="4" t="s">
        <v>642</v>
      </c>
      <c r="P320" s="4" t="s">
        <v>42</v>
      </c>
      <c r="Q320" s="50" t="s">
        <v>43</v>
      </c>
      <c r="R320" s="50"/>
      <c r="S320" s="50" t="s">
        <v>597</v>
      </c>
      <c r="T320" s="4" t="s">
        <v>43</v>
      </c>
      <c r="U320" s="4" t="s">
        <v>43</v>
      </c>
      <c r="W320" s="48">
        <v>1</v>
      </c>
      <c r="X320" s="48">
        <v>1</v>
      </c>
      <c r="AA320" s="48">
        <v>5</v>
      </c>
      <c r="AC320" s="48">
        <v>4</v>
      </c>
      <c r="AD320" s="91">
        <f t="shared" si="5"/>
        <v>6.204545454545455</v>
      </c>
      <c r="AE320" s="48" t="e">
        <f>VLOOKUP(C320,#REF!,1,0)</f>
        <v>#REF!</v>
      </c>
    </row>
    <row r="321" spans="3:31" hidden="1" x14ac:dyDescent="0.25">
      <c r="C321" s="87" t="s">
        <v>644</v>
      </c>
      <c r="D321" s="4" t="s">
        <v>645</v>
      </c>
      <c r="E321" s="4" t="s">
        <v>645</v>
      </c>
      <c r="F321" s="92">
        <v>6.16</v>
      </c>
      <c r="G321" s="4" t="s">
        <v>376</v>
      </c>
      <c r="H321" s="4" t="s">
        <v>81</v>
      </c>
      <c r="I321" s="4" t="s">
        <v>421</v>
      </c>
      <c r="J321" s="4" t="s">
        <v>50</v>
      </c>
      <c r="K321" s="4" t="s">
        <v>43</v>
      </c>
      <c r="L321" s="4" t="s">
        <v>51</v>
      </c>
      <c r="M321" s="4" t="s">
        <v>40</v>
      </c>
      <c r="N321" s="4" t="s">
        <v>422</v>
      </c>
      <c r="O321" s="4" t="s">
        <v>644</v>
      </c>
      <c r="P321" s="4" t="s">
        <v>42</v>
      </c>
      <c r="Q321" s="50" t="s">
        <v>43</v>
      </c>
      <c r="R321" s="50"/>
      <c r="S321" s="50" t="s">
        <v>597</v>
      </c>
      <c r="T321" s="4" t="s">
        <v>43</v>
      </c>
      <c r="U321" s="4" t="s">
        <v>32</v>
      </c>
      <c r="W321" s="48">
        <v>1</v>
      </c>
      <c r="X321" s="48">
        <v>1</v>
      </c>
      <c r="AA321" s="48">
        <v>5</v>
      </c>
      <c r="AC321" s="48">
        <v>4</v>
      </c>
      <c r="AD321" s="91">
        <f t="shared" si="5"/>
        <v>6.204545454545455</v>
      </c>
      <c r="AE321" s="48" t="e">
        <f>VLOOKUP(C321,#REF!,1,0)</f>
        <v>#REF!</v>
      </c>
    </row>
    <row r="322" spans="3:31" hidden="1" x14ac:dyDescent="0.25">
      <c r="C322" s="87" t="s">
        <v>865</v>
      </c>
      <c r="D322" s="4" t="s">
        <v>866</v>
      </c>
      <c r="E322" s="4" t="s">
        <v>866</v>
      </c>
      <c r="F322" s="92">
        <v>6</v>
      </c>
      <c r="G322" s="4" t="s">
        <v>376</v>
      </c>
      <c r="H322" s="4" t="s">
        <v>46</v>
      </c>
      <c r="I322" s="4" t="s">
        <v>377</v>
      </c>
      <c r="J322" s="4" t="s">
        <v>132</v>
      </c>
      <c r="K322" s="4" t="s">
        <v>43</v>
      </c>
      <c r="L322" s="4" t="s">
        <v>856</v>
      </c>
      <c r="M322" s="4" t="s">
        <v>40</v>
      </c>
      <c r="N322" s="4" t="s">
        <v>514</v>
      </c>
      <c r="O322" s="4" t="s">
        <v>865</v>
      </c>
      <c r="P322" s="4" t="s">
        <v>42</v>
      </c>
      <c r="Q322" s="50" t="s">
        <v>43</v>
      </c>
      <c r="R322" s="50"/>
      <c r="S322" s="50" t="s">
        <v>847</v>
      </c>
      <c r="T322" s="4" t="s">
        <v>43</v>
      </c>
      <c r="U322" s="4" t="s">
        <v>43</v>
      </c>
      <c r="W322" s="48">
        <v>1</v>
      </c>
      <c r="X322" s="48">
        <v>1</v>
      </c>
      <c r="Y322" s="48">
        <v>4</v>
      </c>
      <c r="AD322" s="91">
        <f t="shared" si="5"/>
        <v>6</v>
      </c>
      <c r="AE322" s="48" t="e">
        <f>VLOOKUP(C322,#REF!,1,0)</f>
        <v>#REF!</v>
      </c>
    </row>
    <row r="323" spans="3:31" hidden="1" x14ac:dyDescent="0.25">
      <c r="C323" s="87" t="s">
        <v>867</v>
      </c>
      <c r="D323" s="4" t="s">
        <v>868</v>
      </c>
      <c r="E323" s="4" t="s">
        <v>869</v>
      </c>
      <c r="F323" s="92">
        <v>5.07</v>
      </c>
      <c r="G323" s="4" t="s">
        <v>376</v>
      </c>
      <c r="H323" s="4" t="s">
        <v>46</v>
      </c>
      <c r="I323" s="4" t="s">
        <v>377</v>
      </c>
      <c r="J323" s="4" t="s">
        <v>132</v>
      </c>
      <c r="K323" s="4" t="s">
        <v>43</v>
      </c>
      <c r="L323" s="4" t="s">
        <v>856</v>
      </c>
      <c r="M323" s="4" t="s">
        <v>40</v>
      </c>
      <c r="N323" s="4" t="s">
        <v>514</v>
      </c>
      <c r="O323" s="4" t="s">
        <v>867</v>
      </c>
      <c r="P323" s="4" t="s">
        <v>42</v>
      </c>
      <c r="Q323" s="50" t="s">
        <v>43</v>
      </c>
      <c r="R323" s="50"/>
      <c r="S323" s="50" t="s">
        <v>847</v>
      </c>
      <c r="T323" s="4" t="s">
        <v>43</v>
      </c>
      <c r="U323" s="4" t="s">
        <v>32</v>
      </c>
      <c r="W323" s="48">
        <v>1</v>
      </c>
      <c r="X323" s="48">
        <v>1</v>
      </c>
      <c r="AA323" s="48">
        <v>3</v>
      </c>
      <c r="AC323" s="48">
        <v>4</v>
      </c>
      <c r="AD323" s="91">
        <f t="shared" si="5"/>
        <v>5.0681818181818183</v>
      </c>
      <c r="AE323" s="48" t="e">
        <f>VLOOKUP(C323,#REF!,1,0)</f>
        <v>#REF!</v>
      </c>
    </row>
    <row r="324" spans="3:31" hidden="1" x14ac:dyDescent="0.25">
      <c r="C324" s="87" t="s">
        <v>921</v>
      </c>
      <c r="D324" s="4" t="s">
        <v>922</v>
      </c>
      <c r="E324" s="4" t="s">
        <v>911</v>
      </c>
      <c r="F324" s="92">
        <v>5</v>
      </c>
      <c r="G324" s="4" t="s">
        <v>376</v>
      </c>
      <c r="H324" s="4" t="s">
        <v>81</v>
      </c>
      <c r="I324" s="4" t="s">
        <v>421</v>
      </c>
      <c r="J324" s="4" t="s">
        <v>885</v>
      </c>
      <c r="K324" s="4" t="s">
        <v>43</v>
      </c>
      <c r="L324" s="4" t="s">
        <v>911</v>
      </c>
      <c r="M324" s="4" t="s">
        <v>40</v>
      </c>
      <c r="N324" s="4" t="s">
        <v>514</v>
      </c>
      <c r="O324" s="4" t="s">
        <v>921</v>
      </c>
      <c r="P324" s="4" t="s">
        <v>42</v>
      </c>
      <c r="Q324" s="50" t="s">
        <v>43</v>
      </c>
      <c r="R324" s="50"/>
      <c r="S324" s="50" t="s">
        <v>886</v>
      </c>
      <c r="T324" s="4" t="s">
        <v>43</v>
      </c>
      <c r="U324" s="4" t="s">
        <v>43</v>
      </c>
      <c r="W324" s="48">
        <v>1</v>
      </c>
      <c r="X324" s="48">
        <v>1</v>
      </c>
      <c r="Y324" s="48">
        <v>3</v>
      </c>
      <c r="AD324" s="91">
        <f t="shared" si="5"/>
        <v>5</v>
      </c>
      <c r="AE324" s="48" t="s">
        <v>1220</v>
      </c>
    </row>
    <row r="325" spans="3:31" hidden="1" x14ac:dyDescent="0.25">
      <c r="C325" s="87" t="s">
        <v>528</v>
      </c>
      <c r="D325" s="4" t="s">
        <v>529</v>
      </c>
      <c r="E325" s="4" t="s">
        <v>530</v>
      </c>
      <c r="F325" s="92">
        <v>6.28</v>
      </c>
      <c r="G325" s="4" t="s">
        <v>376</v>
      </c>
      <c r="H325" s="4" t="s">
        <v>46</v>
      </c>
      <c r="I325" s="4" t="s">
        <v>377</v>
      </c>
      <c r="J325" s="4" t="s">
        <v>100</v>
      </c>
      <c r="K325" s="4" t="s">
        <v>43</v>
      </c>
      <c r="L325" s="4" t="s">
        <v>64</v>
      </c>
      <c r="M325" s="4" t="s">
        <v>40</v>
      </c>
      <c r="N325" s="4" t="s">
        <v>514</v>
      </c>
      <c r="O325" s="4" t="s">
        <v>528</v>
      </c>
      <c r="P325" s="4" t="s">
        <v>42</v>
      </c>
      <c r="Q325" s="50" t="s">
        <v>43</v>
      </c>
      <c r="R325" s="50"/>
      <c r="S325" s="50" t="s">
        <v>515</v>
      </c>
      <c r="T325" s="4" t="s">
        <v>43</v>
      </c>
      <c r="U325" s="4" t="s">
        <v>43</v>
      </c>
      <c r="W325" s="48">
        <v>1</v>
      </c>
      <c r="X325" s="48">
        <v>1</v>
      </c>
      <c r="Z325" s="48">
        <v>1</v>
      </c>
      <c r="AA325" s="48">
        <v>4</v>
      </c>
      <c r="AC325" s="48">
        <v>4</v>
      </c>
      <c r="AD325" s="91">
        <f t="shared" si="5"/>
        <v>6.3181818181818183</v>
      </c>
      <c r="AE325" s="48" t="e">
        <f>VLOOKUP(C325,#REF!,1,0)</f>
        <v>#REF!</v>
      </c>
    </row>
    <row r="326" spans="3:31" hidden="1" x14ac:dyDescent="0.25">
      <c r="C326" s="87" t="s">
        <v>476</v>
      </c>
      <c r="D326" s="4" t="s">
        <v>477</v>
      </c>
      <c r="E326" s="4" t="s">
        <v>477</v>
      </c>
      <c r="F326" s="92">
        <v>7.68</v>
      </c>
      <c r="G326" s="4" t="s">
        <v>376</v>
      </c>
      <c r="H326" s="4" t="s">
        <v>46</v>
      </c>
      <c r="I326" s="4" t="s">
        <v>377</v>
      </c>
      <c r="J326" s="4" t="s">
        <v>466</v>
      </c>
      <c r="K326" s="4" t="s">
        <v>43</v>
      </c>
      <c r="L326" s="4" t="s">
        <v>51</v>
      </c>
      <c r="M326" s="4" t="s">
        <v>40</v>
      </c>
      <c r="N326" s="4" t="s">
        <v>378</v>
      </c>
      <c r="O326" s="4" t="s">
        <v>476</v>
      </c>
      <c r="P326" s="4" t="s">
        <v>379</v>
      </c>
      <c r="Q326" s="50" t="s">
        <v>43</v>
      </c>
      <c r="R326" s="50"/>
      <c r="S326" s="50" t="s">
        <v>467</v>
      </c>
      <c r="T326" s="4" t="s">
        <v>43</v>
      </c>
      <c r="U326" s="4" t="s">
        <v>43</v>
      </c>
      <c r="W326" s="48">
        <v>1</v>
      </c>
      <c r="X326" s="48">
        <v>2</v>
      </c>
      <c r="Y326" s="48">
        <v>4</v>
      </c>
      <c r="Z326" s="48">
        <v>1</v>
      </c>
      <c r="AD326" s="91">
        <f t="shared" si="5"/>
        <v>7.6818181818181817</v>
      </c>
      <c r="AE326" s="48" t="e">
        <f>VLOOKUP(C326,#REF!,1,0)</f>
        <v>#REF!</v>
      </c>
    </row>
    <row r="327" spans="3:31" hidden="1" x14ac:dyDescent="0.25">
      <c r="C327" s="87" t="s">
        <v>923</v>
      </c>
      <c r="D327" s="4" t="s">
        <v>924</v>
      </c>
      <c r="E327" s="4" t="s">
        <v>924</v>
      </c>
      <c r="F327" s="92">
        <v>5</v>
      </c>
      <c r="G327" s="4" t="s">
        <v>376</v>
      </c>
      <c r="H327" s="4" t="s">
        <v>46</v>
      </c>
      <c r="I327" s="4" t="s">
        <v>421</v>
      </c>
      <c r="J327" s="4" t="s">
        <v>885</v>
      </c>
      <c r="K327" s="4" t="s">
        <v>43</v>
      </c>
      <c r="L327" s="4" t="s">
        <v>133</v>
      </c>
      <c r="M327" s="4" t="s">
        <v>40</v>
      </c>
      <c r="N327" s="4" t="s">
        <v>514</v>
      </c>
      <c r="O327" s="4" t="s">
        <v>923</v>
      </c>
      <c r="P327" s="4" t="s">
        <v>42</v>
      </c>
      <c r="Q327" s="50" t="s">
        <v>43</v>
      </c>
      <c r="R327" s="50"/>
      <c r="S327" s="50" t="s">
        <v>886</v>
      </c>
      <c r="T327" s="4" t="s">
        <v>43</v>
      </c>
      <c r="U327" s="4" t="s">
        <v>43</v>
      </c>
      <c r="W327" s="48">
        <v>1</v>
      </c>
      <c r="X327" s="48">
        <v>1</v>
      </c>
      <c r="Y327" s="48">
        <v>3</v>
      </c>
      <c r="AD327" s="91">
        <f t="shared" si="5"/>
        <v>5</v>
      </c>
      <c r="AE327" s="48" t="s">
        <v>1220</v>
      </c>
    </row>
    <row r="328" spans="3:31" hidden="1" x14ac:dyDescent="0.25">
      <c r="C328" s="87" t="s">
        <v>519</v>
      </c>
      <c r="D328" s="4" t="s">
        <v>520</v>
      </c>
      <c r="E328" s="4" t="s">
        <v>520</v>
      </c>
      <c r="F328" s="92">
        <v>7.68</v>
      </c>
      <c r="G328" s="4" t="s">
        <v>376</v>
      </c>
      <c r="H328" s="4" t="s">
        <v>46</v>
      </c>
      <c r="I328" s="4" t="s">
        <v>377</v>
      </c>
      <c r="J328" s="4" t="s">
        <v>100</v>
      </c>
      <c r="K328" s="4" t="s">
        <v>43</v>
      </c>
      <c r="L328" s="4" t="s">
        <v>138</v>
      </c>
      <c r="M328" s="4" t="s">
        <v>40</v>
      </c>
      <c r="N328" s="4" t="s">
        <v>514</v>
      </c>
      <c r="O328" s="4" t="s">
        <v>519</v>
      </c>
      <c r="P328" s="4" t="s">
        <v>42</v>
      </c>
      <c r="Q328" s="50" t="s">
        <v>43</v>
      </c>
      <c r="R328" s="50"/>
      <c r="S328" s="50" t="s">
        <v>515</v>
      </c>
      <c r="T328" s="4" t="s">
        <v>43</v>
      </c>
      <c r="U328" s="4" t="s">
        <v>43</v>
      </c>
      <c r="W328" s="48">
        <v>1</v>
      </c>
      <c r="X328" s="48">
        <v>1</v>
      </c>
      <c r="Y328" s="48">
        <v>5</v>
      </c>
      <c r="Z328" s="48">
        <v>1</v>
      </c>
      <c r="AD328" s="91">
        <f t="shared" si="5"/>
        <v>7.6818181818181817</v>
      </c>
      <c r="AE328" s="48" t="e">
        <f>VLOOKUP(C328,#REF!,1,0)</f>
        <v>#REF!</v>
      </c>
    </row>
    <row r="329" spans="3:31" hidden="1" x14ac:dyDescent="0.25">
      <c r="C329" s="87" t="s">
        <v>525</v>
      </c>
      <c r="D329" s="4" t="s">
        <v>526</v>
      </c>
      <c r="E329" s="4" t="s">
        <v>527</v>
      </c>
      <c r="F329" s="92">
        <v>7.68</v>
      </c>
      <c r="G329" s="4" t="s">
        <v>376</v>
      </c>
      <c r="H329" s="4" t="s">
        <v>46</v>
      </c>
      <c r="I329" s="4" t="s">
        <v>377</v>
      </c>
      <c r="J329" s="4" t="s">
        <v>100</v>
      </c>
      <c r="K329" s="4" t="s">
        <v>43</v>
      </c>
      <c r="L329" s="4" t="s">
        <v>138</v>
      </c>
      <c r="M329" s="4" t="s">
        <v>40</v>
      </c>
      <c r="N329" s="4" t="s">
        <v>514</v>
      </c>
      <c r="O329" s="4" t="s">
        <v>525</v>
      </c>
      <c r="P329" s="4" t="s">
        <v>379</v>
      </c>
      <c r="Q329" s="50" t="s">
        <v>43</v>
      </c>
      <c r="R329" s="50"/>
      <c r="S329" s="50" t="s">
        <v>515</v>
      </c>
      <c r="T329" s="4" t="s">
        <v>43</v>
      </c>
      <c r="U329" s="4" t="s">
        <v>43</v>
      </c>
      <c r="W329" s="48">
        <v>1</v>
      </c>
      <c r="X329" s="48">
        <v>2</v>
      </c>
      <c r="Y329" s="48">
        <v>4</v>
      </c>
      <c r="Z329" s="48">
        <v>1</v>
      </c>
      <c r="AD329" s="91">
        <f t="shared" ref="AD329:AD369" si="6">SUMPRODUCT($W$6:$AC$6,W329:AC329)</f>
        <v>7.6818181818181817</v>
      </c>
      <c r="AE329" s="48" t="e">
        <f>VLOOKUP(C329,#REF!,1,0)</f>
        <v>#REF!</v>
      </c>
    </row>
    <row r="330" spans="3:31" hidden="1" x14ac:dyDescent="0.25">
      <c r="C330" s="87" t="s">
        <v>861</v>
      </c>
      <c r="D330" s="4" t="s">
        <v>862</v>
      </c>
      <c r="E330" s="4" t="s">
        <v>862</v>
      </c>
      <c r="F330" s="92">
        <v>7.9</v>
      </c>
      <c r="G330" s="4" t="s">
        <v>376</v>
      </c>
      <c r="H330" s="4" t="s">
        <v>46</v>
      </c>
      <c r="I330" s="4" t="s">
        <v>377</v>
      </c>
      <c r="J330" s="4" t="s">
        <v>132</v>
      </c>
      <c r="K330" s="4" t="s">
        <v>43</v>
      </c>
      <c r="L330" s="4" t="s">
        <v>856</v>
      </c>
      <c r="M330" s="4" t="s">
        <v>40</v>
      </c>
      <c r="N330" s="4" t="s">
        <v>514</v>
      </c>
      <c r="O330" s="4" t="s">
        <v>861</v>
      </c>
      <c r="P330" s="4" t="s">
        <v>379</v>
      </c>
      <c r="Q330" s="50" t="s">
        <v>43</v>
      </c>
      <c r="R330" s="50"/>
      <c r="S330" s="50" t="s">
        <v>847</v>
      </c>
      <c r="T330" s="4" t="s">
        <v>43</v>
      </c>
      <c r="U330" s="4" t="s">
        <v>43</v>
      </c>
      <c r="W330" s="48">
        <v>1</v>
      </c>
      <c r="X330" s="48">
        <v>2</v>
      </c>
      <c r="Y330" s="48">
        <v>4</v>
      </c>
      <c r="AB330" s="48">
        <v>2</v>
      </c>
      <c r="AD330" s="91">
        <f t="shared" si="6"/>
        <v>7.9090909090909092</v>
      </c>
      <c r="AE330" s="48" t="e">
        <f>VLOOKUP(C330,#REF!,1,0)</f>
        <v>#REF!</v>
      </c>
    </row>
    <row r="331" spans="3:31" hidden="1" x14ac:dyDescent="0.25">
      <c r="C331" s="87" t="s">
        <v>848</v>
      </c>
      <c r="D331" s="4" t="s">
        <v>849</v>
      </c>
      <c r="E331" s="4" t="s">
        <v>849</v>
      </c>
      <c r="F331" s="92">
        <v>8.34</v>
      </c>
      <c r="G331" s="4" t="s">
        <v>376</v>
      </c>
      <c r="H331" s="4" t="s">
        <v>46</v>
      </c>
      <c r="I331" s="4" t="s">
        <v>377</v>
      </c>
      <c r="J331" s="4" t="s">
        <v>132</v>
      </c>
      <c r="K331" s="4" t="s">
        <v>43</v>
      </c>
      <c r="L331" s="4" t="s">
        <v>138</v>
      </c>
      <c r="M331" s="4" t="s">
        <v>40</v>
      </c>
      <c r="N331" s="4" t="s">
        <v>514</v>
      </c>
      <c r="O331" s="4" t="s">
        <v>848</v>
      </c>
      <c r="P331" s="4" t="s">
        <v>379</v>
      </c>
      <c r="Q331" s="50" t="s">
        <v>43</v>
      </c>
      <c r="R331" s="50"/>
      <c r="S331" s="50" t="s">
        <v>847</v>
      </c>
      <c r="T331" s="4" t="s">
        <v>43</v>
      </c>
      <c r="U331" s="4" t="s">
        <v>43</v>
      </c>
      <c r="W331" s="48">
        <v>1</v>
      </c>
      <c r="X331" s="48">
        <v>2</v>
      </c>
      <c r="Y331" s="48">
        <v>5</v>
      </c>
      <c r="AC331" s="48">
        <v>1</v>
      </c>
      <c r="AD331" s="91">
        <f t="shared" si="6"/>
        <v>8.3409090909090917</v>
      </c>
      <c r="AE331" s="48" t="e">
        <f>VLOOKUP(C331,#REF!,1,0)</f>
        <v>#REF!</v>
      </c>
    </row>
    <row r="332" spans="3:31" hidden="1" x14ac:dyDescent="0.25">
      <c r="C332" s="87" t="s">
        <v>889</v>
      </c>
      <c r="D332" s="4" t="s">
        <v>890</v>
      </c>
      <c r="E332" s="4" t="s">
        <v>890</v>
      </c>
      <c r="F332" s="92">
        <v>6</v>
      </c>
      <c r="G332" s="4" t="s">
        <v>376</v>
      </c>
      <c r="H332" s="4" t="s">
        <v>46</v>
      </c>
      <c r="I332" s="4" t="s">
        <v>421</v>
      </c>
      <c r="J332" s="4" t="s">
        <v>885</v>
      </c>
      <c r="K332" s="4" t="s">
        <v>43</v>
      </c>
      <c r="L332" s="4" t="s">
        <v>97</v>
      </c>
      <c r="M332" s="4" t="s">
        <v>40</v>
      </c>
      <c r="N332" s="4" t="s">
        <v>514</v>
      </c>
      <c r="O332" s="4" t="s">
        <v>889</v>
      </c>
      <c r="P332" s="4" t="s">
        <v>42</v>
      </c>
      <c r="Q332" s="50" t="s">
        <v>43</v>
      </c>
      <c r="R332" s="50"/>
      <c r="S332" s="50" t="s">
        <v>886</v>
      </c>
      <c r="T332" s="4" t="s">
        <v>43</v>
      </c>
      <c r="U332" s="4" t="s">
        <v>43</v>
      </c>
      <c r="W332" s="48">
        <v>1</v>
      </c>
      <c r="X332" s="48">
        <v>1</v>
      </c>
      <c r="Y332" s="48">
        <v>4</v>
      </c>
      <c r="AD332" s="91">
        <f t="shared" si="6"/>
        <v>6</v>
      </c>
      <c r="AE332" s="48" t="e">
        <f>VLOOKUP(C332,#REF!,1,0)</f>
        <v>#REF!</v>
      </c>
    </row>
    <row r="333" spans="3:31" hidden="1" x14ac:dyDescent="0.25">
      <c r="C333" s="87" t="s">
        <v>925</v>
      </c>
      <c r="D333" s="4" t="s">
        <v>926</v>
      </c>
      <c r="E333" s="4" t="s">
        <v>927</v>
      </c>
      <c r="F333" s="92">
        <v>5</v>
      </c>
      <c r="G333" s="4" t="s">
        <v>376</v>
      </c>
      <c r="H333" s="4" t="s">
        <v>81</v>
      </c>
      <c r="I333" s="4" t="s">
        <v>421</v>
      </c>
      <c r="J333" s="4" t="s">
        <v>885</v>
      </c>
      <c r="K333" s="4" t="s">
        <v>43</v>
      </c>
      <c r="L333" s="4" t="s">
        <v>928</v>
      </c>
      <c r="M333" s="4" t="s">
        <v>40</v>
      </c>
      <c r="N333" s="4" t="s">
        <v>514</v>
      </c>
      <c r="O333" s="4" t="s">
        <v>925</v>
      </c>
      <c r="P333" s="4" t="s">
        <v>42</v>
      </c>
      <c r="Q333" s="50" t="s">
        <v>43</v>
      </c>
      <c r="R333" s="50"/>
      <c r="S333" s="50" t="s">
        <v>886</v>
      </c>
      <c r="T333" s="4" t="s">
        <v>43</v>
      </c>
      <c r="U333" s="4" t="s">
        <v>43</v>
      </c>
      <c r="W333" s="48">
        <v>1</v>
      </c>
      <c r="X333" s="48">
        <v>1</v>
      </c>
      <c r="Y333" s="48">
        <v>3</v>
      </c>
      <c r="AD333" s="91">
        <f t="shared" si="6"/>
        <v>5</v>
      </c>
      <c r="AE333" s="48" t="s">
        <v>1220</v>
      </c>
    </row>
    <row r="334" spans="3:31" hidden="1" x14ac:dyDescent="0.25">
      <c r="C334" s="87" t="s">
        <v>960</v>
      </c>
      <c r="D334" s="4" t="s">
        <v>961</v>
      </c>
      <c r="E334" s="4" t="s">
        <v>961</v>
      </c>
      <c r="F334" s="92">
        <v>5</v>
      </c>
      <c r="G334" s="4" t="s">
        <v>376</v>
      </c>
      <c r="H334" s="4" t="s">
        <v>81</v>
      </c>
      <c r="I334" s="4" t="s">
        <v>377</v>
      </c>
      <c r="J334" s="4" t="s">
        <v>132</v>
      </c>
      <c r="K334" s="4" t="s">
        <v>43</v>
      </c>
      <c r="L334" s="4" t="s">
        <v>353</v>
      </c>
      <c r="M334" s="4" t="s">
        <v>40</v>
      </c>
      <c r="N334" s="4" t="s">
        <v>378</v>
      </c>
      <c r="O334" s="4" t="s">
        <v>960</v>
      </c>
      <c r="P334" s="4" t="s">
        <v>42</v>
      </c>
      <c r="Q334" s="50" t="s">
        <v>43</v>
      </c>
      <c r="R334" s="50"/>
      <c r="S334" s="50" t="s">
        <v>931</v>
      </c>
      <c r="T334" s="4" t="s">
        <v>43</v>
      </c>
      <c r="U334" s="4" t="s">
        <v>43</v>
      </c>
      <c r="W334" s="48">
        <v>1</v>
      </c>
      <c r="X334" s="48">
        <v>1</v>
      </c>
      <c r="Y334" s="48">
        <v>3</v>
      </c>
      <c r="AD334" s="91">
        <f t="shared" si="6"/>
        <v>5</v>
      </c>
      <c r="AE334" s="48" t="s">
        <v>1220</v>
      </c>
    </row>
    <row r="335" spans="3:31" hidden="1" x14ac:dyDescent="0.25">
      <c r="C335" s="87" t="s">
        <v>968</v>
      </c>
      <c r="D335" s="4" t="s">
        <v>969</v>
      </c>
      <c r="E335" s="4" t="s">
        <v>969</v>
      </c>
      <c r="F335" s="92">
        <v>5</v>
      </c>
      <c r="G335" s="4" t="s">
        <v>376</v>
      </c>
      <c r="H335" s="4" t="s">
        <v>46</v>
      </c>
      <c r="I335" s="4" t="s">
        <v>377</v>
      </c>
      <c r="J335" s="4" t="s">
        <v>132</v>
      </c>
      <c r="K335" s="4" t="s">
        <v>43</v>
      </c>
      <c r="L335" s="4" t="s">
        <v>39</v>
      </c>
      <c r="M335" s="4" t="s">
        <v>40</v>
      </c>
      <c r="N335" s="4" t="s">
        <v>378</v>
      </c>
      <c r="O335" s="4" t="s">
        <v>968</v>
      </c>
      <c r="P335" s="4" t="s">
        <v>42</v>
      </c>
      <c r="Q335" s="50" t="s">
        <v>43</v>
      </c>
      <c r="R335" s="50"/>
      <c r="S335" s="50" t="s">
        <v>931</v>
      </c>
      <c r="T335" s="4" t="s">
        <v>43</v>
      </c>
      <c r="U335" s="4" t="s">
        <v>43</v>
      </c>
      <c r="W335" s="48">
        <v>1</v>
      </c>
      <c r="X335" s="48">
        <v>1</v>
      </c>
      <c r="Y335" s="48">
        <v>3</v>
      </c>
      <c r="AD335" s="91">
        <f t="shared" si="6"/>
        <v>5</v>
      </c>
      <c r="AE335" s="48" t="s">
        <v>1220</v>
      </c>
    </row>
    <row r="336" spans="3:31" hidden="1" x14ac:dyDescent="0.25">
      <c r="C336" s="87" t="s">
        <v>898</v>
      </c>
      <c r="D336" s="4" t="s">
        <v>899</v>
      </c>
      <c r="E336" s="4" t="s">
        <v>899</v>
      </c>
      <c r="F336" s="92">
        <v>5.45</v>
      </c>
      <c r="G336" s="4" t="s">
        <v>376</v>
      </c>
      <c r="H336" s="4" t="s">
        <v>46</v>
      </c>
      <c r="I336" s="4" t="s">
        <v>421</v>
      </c>
      <c r="J336" s="4" t="s">
        <v>885</v>
      </c>
      <c r="K336" s="4" t="s">
        <v>43</v>
      </c>
      <c r="L336" s="4" t="s">
        <v>315</v>
      </c>
      <c r="M336" s="4" t="s">
        <v>40</v>
      </c>
      <c r="N336" s="4" t="s">
        <v>514</v>
      </c>
      <c r="O336" s="4" t="s">
        <v>898</v>
      </c>
      <c r="P336" s="4" t="s">
        <v>42</v>
      </c>
      <c r="Q336" s="50" t="s">
        <v>43</v>
      </c>
      <c r="R336" s="50"/>
      <c r="S336" s="50" t="s">
        <v>886</v>
      </c>
      <c r="T336" s="4" t="s">
        <v>43</v>
      </c>
      <c r="U336" s="4" t="s">
        <v>43</v>
      </c>
      <c r="W336" s="48">
        <v>1</v>
      </c>
      <c r="X336" s="48">
        <v>1</v>
      </c>
      <c r="Y336" s="48">
        <v>3</v>
      </c>
      <c r="AB336" s="48">
        <v>1</v>
      </c>
      <c r="AD336" s="91">
        <f t="shared" si="6"/>
        <v>5.4545454545454541</v>
      </c>
      <c r="AE336" s="48" t="e">
        <f>VLOOKUP(C336,#REF!,1,0)</f>
        <v>#REF!</v>
      </c>
    </row>
    <row r="337" spans="3:31" hidden="1" x14ac:dyDescent="0.25">
      <c r="C337" s="87" t="s">
        <v>970</v>
      </c>
      <c r="D337" s="4" t="s">
        <v>971</v>
      </c>
      <c r="E337" s="4" t="s">
        <v>972</v>
      </c>
      <c r="F337" s="92">
        <v>5</v>
      </c>
      <c r="G337" s="4" t="s">
        <v>376</v>
      </c>
      <c r="H337" s="4" t="s">
        <v>81</v>
      </c>
      <c r="I337" s="4" t="s">
        <v>377</v>
      </c>
      <c r="J337" s="4" t="s">
        <v>132</v>
      </c>
      <c r="K337" s="4" t="s">
        <v>43</v>
      </c>
      <c r="L337" s="4" t="s">
        <v>353</v>
      </c>
      <c r="M337" s="4" t="s">
        <v>40</v>
      </c>
      <c r="N337" s="4" t="s">
        <v>378</v>
      </c>
      <c r="O337" s="4" t="s">
        <v>970</v>
      </c>
      <c r="P337" s="4" t="s">
        <v>42</v>
      </c>
      <c r="Q337" s="50" t="s">
        <v>43</v>
      </c>
      <c r="R337" s="50"/>
      <c r="S337" s="50" t="s">
        <v>931</v>
      </c>
      <c r="T337" s="4" t="s">
        <v>43</v>
      </c>
      <c r="U337" s="4" t="s">
        <v>43</v>
      </c>
      <c r="W337" s="48">
        <v>1</v>
      </c>
      <c r="X337" s="48">
        <v>1</v>
      </c>
      <c r="Y337" s="48">
        <v>3</v>
      </c>
      <c r="AD337" s="91">
        <f t="shared" si="6"/>
        <v>5</v>
      </c>
      <c r="AE337" s="48" t="s">
        <v>1220</v>
      </c>
    </row>
    <row r="338" spans="3:31" hidden="1" x14ac:dyDescent="0.25">
      <c r="C338" s="87" t="s">
        <v>973</v>
      </c>
      <c r="D338" s="4" t="s">
        <v>974</v>
      </c>
      <c r="E338" s="4" t="s">
        <v>974</v>
      </c>
      <c r="F338" s="92">
        <v>5</v>
      </c>
      <c r="G338" s="4" t="s">
        <v>376</v>
      </c>
      <c r="H338" s="4" t="s">
        <v>46</v>
      </c>
      <c r="I338" s="4" t="s">
        <v>377</v>
      </c>
      <c r="J338" s="4" t="s">
        <v>132</v>
      </c>
      <c r="K338" s="4" t="s">
        <v>43</v>
      </c>
      <c r="L338" s="4" t="s">
        <v>39</v>
      </c>
      <c r="M338" s="4" t="s">
        <v>40</v>
      </c>
      <c r="N338" s="4" t="s">
        <v>378</v>
      </c>
      <c r="O338" s="4" t="s">
        <v>973</v>
      </c>
      <c r="P338" s="4" t="s">
        <v>42</v>
      </c>
      <c r="Q338" s="50" t="s">
        <v>43</v>
      </c>
      <c r="R338" s="50"/>
      <c r="S338" s="50" t="s">
        <v>931</v>
      </c>
      <c r="T338" s="4" t="s">
        <v>43</v>
      </c>
      <c r="U338" s="4" t="s">
        <v>43</v>
      </c>
      <c r="W338" s="48">
        <v>1</v>
      </c>
      <c r="X338" s="48">
        <v>1</v>
      </c>
      <c r="Y338" s="48">
        <v>3</v>
      </c>
      <c r="AD338" s="91">
        <f t="shared" si="6"/>
        <v>5</v>
      </c>
      <c r="AE338" s="48" t="s">
        <v>1220</v>
      </c>
    </row>
    <row r="339" spans="3:31" hidden="1" x14ac:dyDescent="0.25">
      <c r="C339" s="87" t="s">
        <v>408</v>
      </c>
      <c r="D339" s="4" t="s">
        <v>409</v>
      </c>
      <c r="E339" s="4" t="s">
        <v>410</v>
      </c>
      <c r="F339" s="92">
        <v>5</v>
      </c>
      <c r="G339" s="4" t="s">
        <v>376</v>
      </c>
      <c r="H339" s="4" t="s">
        <v>46</v>
      </c>
      <c r="I339" s="4" t="s">
        <v>377</v>
      </c>
      <c r="J339" s="4" t="s">
        <v>160</v>
      </c>
      <c r="K339" s="4" t="s">
        <v>43</v>
      </c>
      <c r="L339" s="4" t="s">
        <v>138</v>
      </c>
      <c r="M339" s="4" t="s">
        <v>40</v>
      </c>
      <c r="N339" s="4" t="s">
        <v>378</v>
      </c>
      <c r="O339" s="4" t="s">
        <v>408</v>
      </c>
      <c r="P339" s="4" t="s">
        <v>42</v>
      </c>
      <c r="Q339" s="50" t="s">
        <v>43</v>
      </c>
      <c r="R339" s="50"/>
      <c r="S339" s="50" t="s">
        <v>380</v>
      </c>
      <c r="T339" s="4" t="s">
        <v>43</v>
      </c>
      <c r="U339" s="4" t="s">
        <v>43</v>
      </c>
      <c r="W339" s="48">
        <v>1</v>
      </c>
      <c r="X339" s="48">
        <v>2</v>
      </c>
      <c r="Y339" s="48">
        <v>2</v>
      </c>
      <c r="AD339" s="91">
        <f t="shared" si="6"/>
        <v>5</v>
      </c>
      <c r="AE339" s="48" t="s">
        <v>1219</v>
      </c>
    </row>
    <row r="340" spans="3:31" hidden="1" x14ac:dyDescent="0.25">
      <c r="C340" s="87" t="s">
        <v>426</v>
      </c>
      <c r="D340" s="4" t="s">
        <v>427</v>
      </c>
      <c r="E340" s="4" t="s">
        <v>428</v>
      </c>
      <c r="F340" s="92">
        <v>5</v>
      </c>
      <c r="G340" s="4" t="s">
        <v>376</v>
      </c>
      <c r="H340" s="4" t="s">
        <v>46</v>
      </c>
      <c r="I340" s="4" t="s">
        <v>421</v>
      </c>
      <c r="J340" s="4" t="s">
        <v>94</v>
      </c>
      <c r="K340" s="4" t="s">
        <v>43</v>
      </c>
      <c r="L340" s="4" t="s">
        <v>64</v>
      </c>
      <c r="M340" s="4" t="s">
        <v>40</v>
      </c>
      <c r="N340" s="4" t="s">
        <v>422</v>
      </c>
      <c r="O340" s="4" t="s">
        <v>426</v>
      </c>
      <c r="P340" s="4" t="s">
        <v>42</v>
      </c>
      <c r="Q340" s="50" t="s">
        <v>43</v>
      </c>
      <c r="R340" s="50"/>
      <c r="S340" s="50" t="s">
        <v>423</v>
      </c>
      <c r="T340" s="4" t="s">
        <v>43</v>
      </c>
      <c r="U340" s="4" t="s">
        <v>43</v>
      </c>
      <c r="W340" s="48">
        <v>1</v>
      </c>
      <c r="X340" s="48">
        <v>2</v>
      </c>
      <c r="Y340" s="48">
        <v>2</v>
      </c>
      <c r="AD340" s="91">
        <f t="shared" si="6"/>
        <v>5</v>
      </c>
      <c r="AE340" s="48" t="s">
        <v>1219</v>
      </c>
    </row>
    <row r="341" spans="3:31" hidden="1" x14ac:dyDescent="0.25">
      <c r="C341" s="87" t="s">
        <v>450</v>
      </c>
      <c r="D341" s="4" t="s">
        <v>451</v>
      </c>
      <c r="E341" s="4" t="s">
        <v>452</v>
      </c>
      <c r="F341" s="92">
        <v>5</v>
      </c>
      <c r="G341" s="4" t="s">
        <v>376</v>
      </c>
      <c r="H341" s="4" t="s">
        <v>46</v>
      </c>
      <c r="I341" s="4" t="s">
        <v>421</v>
      </c>
      <c r="J341" s="4" t="s">
        <v>94</v>
      </c>
      <c r="K341" s="4" t="s">
        <v>43</v>
      </c>
      <c r="L341" s="4" t="s">
        <v>64</v>
      </c>
      <c r="M341" s="4" t="s">
        <v>40</v>
      </c>
      <c r="N341" s="4" t="s">
        <v>422</v>
      </c>
      <c r="O341" s="4" t="s">
        <v>450</v>
      </c>
      <c r="P341" s="4" t="s">
        <v>42</v>
      </c>
      <c r="Q341" s="50" t="s">
        <v>43</v>
      </c>
      <c r="R341" s="50"/>
      <c r="S341" s="50" t="s">
        <v>423</v>
      </c>
      <c r="T341" s="4" t="s">
        <v>43</v>
      </c>
      <c r="U341" s="4" t="s">
        <v>43</v>
      </c>
      <c r="W341" s="48">
        <v>1</v>
      </c>
      <c r="X341" s="48">
        <v>2</v>
      </c>
      <c r="Y341" s="48">
        <v>2</v>
      </c>
      <c r="AD341" s="91">
        <f t="shared" si="6"/>
        <v>5</v>
      </c>
      <c r="AE341" s="48" t="s">
        <v>1219</v>
      </c>
    </row>
    <row r="342" spans="3:31" hidden="1" x14ac:dyDescent="0.25">
      <c r="C342" s="87" t="s">
        <v>471</v>
      </c>
      <c r="D342" s="4" t="s">
        <v>472</v>
      </c>
      <c r="E342" s="4" t="s">
        <v>473</v>
      </c>
      <c r="F342" s="92">
        <v>5</v>
      </c>
      <c r="G342" s="4" t="s">
        <v>376</v>
      </c>
      <c r="H342" s="4" t="s">
        <v>46</v>
      </c>
      <c r="I342" s="4" t="s">
        <v>377</v>
      </c>
      <c r="J342" s="4" t="s">
        <v>466</v>
      </c>
      <c r="K342" s="4" t="s">
        <v>43</v>
      </c>
      <c r="L342" s="4" t="s">
        <v>51</v>
      </c>
      <c r="M342" s="4" t="s">
        <v>40</v>
      </c>
      <c r="N342" s="4" t="s">
        <v>378</v>
      </c>
      <c r="O342" s="4" t="s">
        <v>471</v>
      </c>
      <c r="P342" s="4" t="s">
        <v>42</v>
      </c>
      <c r="Q342" s="50" t="s">
        <v>43</v>
      </c>
      <c r="R342" s="50"/>
      <c r="S342" s="50" t="s">
        <v>467</v>
      </c>
      <c r="T342" s="4" t="s">
        <v>43</v>
      </c>
      <c r="U342" s="4" t="s">
        <v>43</v>
      </c>
      <c r="W342" s="48">
        <v>1</v>
      </c>
      <c r="X342" s="48">
        <v>2</v>
      </c>
      <c r="Y342" s="48">
        <v>2</v>
      </c>
      <c r="AD342" s="91">
        <f t="shared" si="6"/>
        <v>5</v>
      </c>
      <c r="AE342" s="48" t="s">
        <v>1219</v>
      </c>
    </row>
    <row r="343" spans="3:31" hidden="1" x14ac:dyDescent="0.25">
      <c r="C343" s="87" t="s">
        <v>483</v>
      </c>
      <c r="D343" s="4" t="s">
        <v>484</v>
      </c>
      <c r="E343" s="4" t="s">
        <v>485</v>
      </c>
      <c r="F343" s="95">
        <v>7</v>
      </c>
      <c r="G343" s="4" t="s">
        <v>376</v>
      </c>
      <c r="H343" s="4" t="s">
        <v>46</v>
      </c>
      <c r="I343" s="4" t="s">
        <v>377</v>
      </c>
      <c r="J343" s="4" t="s">
        <v>466</v>
      </c>
      <c r="K343" s="4" t="s">
        <v>43</v>
      </c>
      <c r="L343" s="4" t="s">
        <v>51</v>
      </c>
      <c r="M343" s="4" t="s">
        <v>40</v>
      </c>
      <c r="N343" s="4" t="s">
        <v>378</v>
      </c>
      <c r="O343" s="4" t="s">
        <v>483</v>
      </c>
      <c r="P343" s="4" t="s">
        <v>42</v>
      </c>
      <c r="Q343" s="50" t="s">
        <v>43</v>
      </c>
      <c r="R343" s="50"/>
      <c r="S343" s="50" t="s">
        <v>467</v>
      </c>
      <c r="T343" s="4" t="s">
        <v>43</v>
      </c>
      <c r="U343" s="4" t="s">
        <v>43</v>
      </c>
      <c r="W343" s="48">
        <v>1</v>
      </c>
      <c r="X343" s="48">
        <v>2</v>
      </c>
      <c r="Y343" s="48">
        <v>2</v>
      </c>
      <c r="AD343" s="91">
        <f t="shared" si="6"/>
        <v>5</v>
      </c>
      <c r="AE343" s="48" t="s">
        <v>1219</v>
      </c>
    </row>
    <row r="344" spans="3:31" hidden="1" x14ac:dyDescent="0.25">
      <c r="C344" s="87" t="s">
        <v>491</v>
      </c>
      <c r="D344" s="4" t="s">
        <v>492</v>
      </c>
      <c r="E344" s="4" t="s">
        <v>493</v>
      </c>
      <c r="F344" s="92">
        <v>5</v>
      </c>
      <c r="G344" s="4" t="s">
        <v>376</v>
      </c>
      <c r="H344" s="4" t="s">
        <v>46</v>
      </c>
      <c r="I344" s="4" t="s">
        <v>377</v>
      </c>
      <c r="J344" s="4" t="s">
        <v>466</v>
      </c>
      <c r="K344" s="4" t="s">
        <v>43</v>
      </c>
      <c r="L344" s="4" t="s">
        <v>51</v>
      </c>
      <c r="M344" s="4" t="s">
        <v>40</v>
      </c>
      <c r="N344" s="4" t="s">
        <v>378</v>
      </c>
      <c r="O344" s="4" t="s">
        <v>491</v>
      </c>
      <c r="P344" s="4" t="s">
        <v>42</v>
      </c>
      <c r="Q344" s="50" t="s">
        <v>43</v>
      </c>
      <c r="R344" s="50"/>
      <c r="S344" s="50" t="s">
        <v>467</v>
      </c>
      <c r="T344" s="4" t="s">
        <v>43</v>
      </c>
      <c r="U344" s="4" t="s">
        <v>43</v>
      </c>
      <c r="W344" s="48">
        <v>1</v>
      </c>
      <c r="X344" s="48">
        <v>2</v>
      </c>
      <c r="Y344" s="48">
        <v>2</v>
      </c>
      <c r="AD344" s="91">
        <f t="shared" si="6"/>
        <v>5</v>
      </c>
      <c r="AE344" s="48" t="s">
        <v>1219</v>
      </c>
    </row>
    <row r="345" spans="3:31" hidden="1" x14ac:dyDescent="0.25">
      <c r="C345" s="87" t="s">
        <v>502</v>
      </c>
      <c r="D345" s="4" t="s">
        <v>503</v>
      </c>
      <c r="E345" s="4" t="s">
        <v>504</v>
      </c>
      <c r="F345" s="92">
        <v>5</v>
      </c>
      <c r="G345" s="4" t="s">
        <v>376</v>
      </c>
      <c r="H345" s="4" t="s">
        <v>46</v>
      </c>
      <c r="I345" s="4" t="s">
        <v>377</v>
      </c>
      <c r="J345" s="4" t="s">
        <v>466</v>
      </c>
      <c r="K345" s="4" t="s">
        <v>43</v>
      </c>
      <c r="L345" s="4" t="s">
        <v>51</v>
      </c>
      <c r="M345" s="4" t="s">
        <v>40</v>
      </c>
      <c r="N345" s="4" t="s">
        <v>378</v>
      </c>
      <c r="O345" s="4" t="s">
        <v>502</v>
      </c>
      <c r="P345" s="4" t="s">
        <v>42</v>
      </c>
      <c r="Q345" s="50" t="s">
        <v>43</v>
      </c>
      <c r="R345" s="50"/>
      <c r="S345" s="50" t="s">
        <v>467</v>
      </c>
      <c r="T345" s="4" t="s">
        <v>43</v>
      </c>
      <c r="U345" s="4" t="s">
        <v>43</v>
      </c>
      <c r="W345" s="48">
        <v>1</v>
      </c>
      <c r="X345" s="48">
        <v>2</v>
      </c>
      <c r="Y345" s="48">
        <v>2</v>
      </c>
      <c r="AD345" s="91">
        <f t="shared" si="6"/>
        <v>5</v>
      </c>
      <c r="AE345" s="48" t="s">
        <v>1219</v>
      </c>
    </row>
    <row r="346" spans="3:31" hidden="1" x14ac:dyDescent="0.25">
      <c r="C346" s="87" t="s">
        <v>551</v>
      </c>
      <c r="D346" s="4" t="s">
        <v>552</v>
      </c>
      <c r="E346" s="4" t="s">
        <v>552</v>
      </c>
      <c r="F346" s="92">
        <v>5</v>
      </c>
      <c r="G346" s="4" t="s">
        <v>37</v>
      </c>
      <c r="H346" s="4" t="s">
        <v>46</v>
      </c>
      <c r="I346" s="4" t="s">
        <v>377</v>
      </c>
      <c r="J346" s="4" t="s">
        <v>100</v>
      </c>
      <c r="K346" s="4"/>
      <c r="L346" s="4" t="s">
        <v>138</v>
      </c>
      <c r="M346" s="4" t="s">
        <v>40</v>
      </c>
      <c r="N346" s="4" t="s">
        <v>41</v>
      </c>
      <c r="O346" s="4" t="s">
        <v>551</v>
      </c>
      <c r="P346" s="4" t="s">
        <v>42</v>
      </c>
      <c r="Q346" s="50" t="s">
        <v>43</v>
      </c>
      <c r="R346" s="50"/>
      <c r="S346" s="50" t="s">
        <v>515</v>
      </c>
      <c r="T346" s="4" t="s">
        <v>43</v>
      </c>
      <c r="U346" s="4" t="s">
        <v>43</v>
      </c>
      <c r="W346" s="48">
        <v>1</v>
      </c>
      <c r="X346" s="48">
        <v>2</v>
      </c>
      <c r="Y346" s="48">
        <v>2</v>
      </c>
      <c r="AD346" s="91">
        <f t="shared" si="6"/>
        <v>5</v>
      </c>
      <c r="AE346" s="48" t="s">
        <v>1219</v>
      </c>
    </row>
    <row r="347" spans="3:31" hidden="1" x14ac:dyDescent="0.25">
      <c r="C347" s="87" t="s">
        <v>677</v>
      </c>
      <c r="D347" s="4" t="s">
        <v>678</v>
      </c>
      <c r="E347" s="4" t="s">
        <v>679</v>
      </c>
      <c r="F347" s="92">
        <v>5</v>
      </c>
      <c r="G347" s="4" t="s">
        <v>376</v>
      </c>
      <c r="H347" s="4" t="s">
        <v>46</v>
      </c>
      <c r="I347" s="4" t="s">
        <v>377</v>
      </c>
      <c r="J347" s="4" t="s">
        <v>248</v>
      </c>
      <c r="K347" s="4" t="s">
        <v>43</v>
      </c>
      <c r="L347" s="4" t="s">
        <v>51</v>
      </c>
      <c r="M347" s="4" t="s">
        <v>40</v>
      </c>
      <c r="N347" s="4" t="s">
        <v>653</v>
      </c>
      <c r="O347" s="4" t="s">
        <v>677</v>
      </c>
      <c r="P347" s="4" t="s">
        <v>42</v>
      </c>
      <c r="Q347" s="50" t="s">
        <v>43</v>
      </c>
      <c r="R347" s="50"/>
      <c r="S347" s="50" t="s">
        <v>51</v>
      </c>
      <c r="T347" s="4" t="s">
        <v>43</v>
      </c>
      <c r="U347" s="4" t="s">
        <v>43</v>
      </c>
      <c r="W347" s="48">
        <v>1</v>
      </c>
      <c r="X347" s="48">
        <v>2</v>
      </c>
      <c r="Y347" s="48">
        <v>2</v>
      </c>
      <c r="AD347" s="91">
        <f t="shared" si="6"/>
        <v>5</v>
      </c>
      <c r="AE347" s="48" t="s">
        <v>1219</v>
      </c>
    </row>
    <row r="348" spans="3:31" hidden="1" x14ac:dyDescent="0.25">
      <c r="C348" s="87" t="s">
        <v>690</v>
      </c>
      <c r="D348" s="4" t="s">
        <v>691</v>
      </c>
      <c r="E348" s="4" t="s">
        <v>692</v>
      </c>
      <c r="F348" s="92">
        <v>5</v>
      </c>
      <c r="G348" s="4" t="s">
        <v>376</v>
      </c>
      <c r="H348" s="4" t="s">
        <v>46</v>
      </c>
      <c r="I348" s="4" t="s">
        <v>377</v>
      </c>
      <c r="J348" s="4" t="s">
        <v>248</v>
      </c>
      <c r="K348" s="4" t="s">
        <v>43</v>
      </c>
      <c r="L348" s="4" t="s">
        <v>51</v>
      </c>
      <c r="M348" s="4" t="s">
        <v>40</v>
      </c>
      <c r="N348" s="4" t="s">
        <v>653</v>
      </c>
      <c r="O348" s="4" t="s">
        <v>690</v>
      </c>
      <c r="P348" s="4" t="s">
        <v>42</v>
      </c>
      <c r="Q348" s="50" t="s">
        <v>43</v>
      </c>
      <c r="R348" s="50"/>
      <c r="S348" s="50" t="s">
        <v>51</v>
      </c>
      <c r="T348" s="4" t="s">
        <v>43</v>
      </c>
      <c r="U348" s="4" t="s">
        <v>43</v>
      </c>
      <c r="W348" s="48">
        <v>1</v>
      </c>
      <c r="X348" s="48">
        <v>2</v>
      </c>
      <c r="Y348" s="48">
        <v>2</v>
      </c>
      <c r="AD348" s="91">
        <f t="shared" si="6"/>
        <v>5</v>
      </c>
      <c r="AE348" s="48" t="s">
        <v>1219</v>
      </c>
    </row>
    <row r="349" spans="3:31" hidden="1" x14ac:dyDescent="0.25">
      <c r="C349" s="87" t="s">
        <v>929</v>
      </c>
      <c r="D349" s="4" t="s">
        <v>930</v>
      </c>
      <c r="E349" s="4" t="s">
        <v>930</v>
      </c>
      <c r="F349" s="92">
        <v>11.68</v>
      </c>
      <c r="G349" s="4" t="s">
        <v>376</v>
      </c>
      <c r="H349" s="4" t="s">
        <v>46</v>
      </c>
      <c r="I349" s="4" t="s">
        <v>377</v>
      </c>
      <c r="J349" s="4" t="s">
        <v>132</v>
      </c>
      <c r="K349" s="4" t="s">
        <v>43</v>
      </c>
      <c r="L349" s="4" t="s">
        <v>353</v>
      </c>
      <c r="M349" s="4" t="s">
        <v>40</v>
      </c>
      <c r="N349" s="4" t="s">
        <v>378</v>
      </c>
      <c r="O349" s="4" t="s">
        <v>929</v>
      </c>
      <c r="P349" s="4" t="s">
        <v>379</v>
      </c>
      <c r="Q349" s="50" t="s">
        <v>43</v>
      </c>
      <c r="R349" s="50"/>
      <c r="S349" s="50" t="s">
        <v>931</v>
      </c>
      <c r="T349" s="4" t="s">
        <v>43</v>
      </c>
      <c r="U349" s="4" t="s">
        <v>43</v>
      </c>
      <c r="W349" s="48">
        <v>1</v>
      </c>
      <c r="X349" s="48">
        <v>2</v>
      </c>
      <c r="Y349" s="48">
        <v>8</v>
      </c>
      <c r="Z349" s="48">
        <v>1</v>
      </c>
      <c r="AD349" s="91">
        <f t="shared" si="6"/>
        <v>11.681818181818182</v>
      </c>
      <c r="AE349" s="48" t="e">
        <f>VLOOKUP(C349,#REF!,1,0)</f>
        <v>#REF!</v>
      </c>
    </row>
    <row r="350" spans="3:31" hidden="1" x14ac:dyDescent="0.25">
      <c r="C350" s="87" t="s">
        <v>932</v>
      </c>
      <c r="D350" s="4" t="s">
        <v>933</v>
      </c>
      <c r="E350" s="4" t="s">
        <v>933</v>
      </c>
      <c r="F350" s="92">
        <v>8</v>
      </c>
      <c r="G350" s="4" t="s">
        <v>376</v>
      </c>
      <c r="H350" s="4" t="s">
        <v>46</v>
      </c>
      <c r="I350" s="4" t="s">
        <v>377</v>
      </c>
      <c r="J350" s="4" t="s">
        <v>132</v>
      </c>
      <c r="K350" s="4" t="s">
        <v>43</v>
      </c>
      <c r="L350" s="4" t="s">
        <v>353</v>
      </c>
      <c r="M350" s="4" t="s">
        <v>40</v>
      </c>
      <c r="N350" s="4" t="s">
        <v>378</v>
      </c>
      <c r="O350" s="4" t="s">
        <v>932</v>
      </c>
      <c r="P350" s="4" t="s">
        <v>379</v>
      </c>
      <c r="Q350" s="50" t="s">
        <v>43</v>
      </c>
      <c r="R350" s="50"/>
      <c r="S350" s="50" t="s">
        <v>931</v>
      </c>
      <c r="T350" s="4" t="s">
        <v>43</v>
      </c>
      <c r="U350" s="4" t="s">
        <v>43</v>
      </c>
      <c r="W350" s="48">
        <v>1</v>
      </c>
      <c r="X350" s="48">
        <v>2</v>
      </c>
      <c r="Y350" s="48">
        <v>5</v>
      </c>
      <c r="AD350" s="91">
        <f t="shared" si="6"/>
        <v>8</v>
      </c>
      <c r="AE350" s="48" t="e">
        <f>VLOOKUP(C350,#REF!,1,0)</f>
        <v>#REF!</v>
      </c>
    </row>
    <row r="351" spans="3:31" hidden="1" x14ac:dyDescent="0.25">
      <c r="C351" s="87" t="s">
        <v>934</v>
      </c>
      <c r="D351" s="4" t="s">
        <v>935</v>
      </c>
      <c r="E351" s="4" t="s">
        <v>935</v>
      </c>
      <c r="F351" s="92">
        <v>7</v>
      </c>
      <c r="G351" s="4" t="s">
        <v>376</v>
      </c>
      <c r="H351" s="4" t="s">
        <v>46</v>
      </c>
      <c r="I351" s="4" t="s">
        <v>377</v>
      </c>
      <c r="J351" s="4" t="s">
        <v>132</v>
      </c>
      <c r="K351" s="4" t="s">
        <v>43</v>
      </c>
      <c r="L351" s="4" t="s">
        <v>353</v>
      </c>
      <c r="M351" s="4" t="s">
        <v>40</v>
      </c>
      <c r="N351" s="4" t="s">
        <v>378</v>
      </c>
      <c r="O351" s="4" t="s">
        <v>934</v>
      </c>
      <c r="P351" s="4" t="s">
        <v>42</v>
      </c>
      <c r="Q351" s="50" t="s">
        <v>43</v>
      </c>
      <c r="R351" s="50"/>
      <c r="S351" s="50" t="s">
        <v>931</v>
      </c>
      <c r="T351" s="4" t="s">
        <v>43</v>
      </c>
      <c r="U351" s="4" t="s">
        <v>43</v>
      </c>
      <c r="W351" s="48">
        <v>1</v>
      </c>
      <c r="X351" s="48">
        <v>1</v>
      </c>
      <c r="Y351" s="48">
        <v>5</v>
      </c>
      <c r="AD351" s="91">
        <f t="shared" si="6"/>
        <v>7</v>
      </c>
      <c r="AE351" s="48" t="e">
        <f>VLOOKUP(C351,#REF!,1,0)</f>
        <v>#REF!</v>
      </c>
    </row>
    <row r="352" spans="3:31" hidden="1" x14ac:dyDescent="0.25">
      <c r="C352" s="87" t="s">
        <v>863</v>
      </c>
      <c r="D352" s="4" t="s">
        <v>864</v>
      </c>
      <c r="E352" s="4" t="s">
        <v>864</v>
      </c>
      <c r="F352" s="92">
        <v>8.36</v>
      </c>
      <c r="G352" s="4" t="s">
        <v>376</v>
      </c>
      <c r="H352" s="4" t="s">
        <v>46</v>
      </c>
      <c r="I352" s="4" t="s">
        <v>377</v>
      </c>
      <c r="J352" s="4" t="s">
        <v>132</v>
      </c>
      <c r="K352" s="4" t="s">
        <v>43</v>
      </c>
      <c r="L352" s="4" t="s">
        <v>138</v>
      </c>
      <c r="M352" s="4" t="s">
        <v>40</v>
      </c>
      <c r="N352" s="4" t="s">
        <v>514</v>
      </c>
      <c r="O352" s="4" t="s">
        <v>863</v>
      </c>
      <c r="P352" s="4" t="s">
        <v>379</v>
      </c>
      <c r="Q352" s="50" t="s">
        <v>43</v>
      </c>
      <c r="R352" s="50"/>
      <c r="S352" s="50" t="s">
        <v>847</v>
      </c>
      <c r="T352" s="4" t="s">
        <v>43</v>
      </c>
      <c r="U352" s="4" t="s">
        <v>43</v>
      </c>
      <c r="W352" s="48">
        <v>1</v>
      </c>
      <c r="X352" s="48">
        <v>2</v>
      </c>
      <c r="Y352" s="48">
        <v>4</v>
      </c>
      <c r="Z352" s="48">
        <v>2</v>
      </c>
      <c r="AD352" s="91">
        <f t="shared" si="6"/>
        <v>8.3636363636363633</v>
      </c>
      <c r="AE352" s="48" t="e">
        <f>VLOOKUP(C352,#REF!,1,0)</f>
        <v>#REF!</v>
      </c>
    </row>
    <row r="353" spans="3:31" hidden="1" x14ac:dyDescent="0.25">
      <c r="C353" s="87" t="s">
        <v>939</v>
      </c>
      <c r="D353" s="4" t="s">
        <v>39</v>
      </c>
      <c r="E353" s="4" t="s">
        <v>39</v>
      </c>
      <c r="F353" s="92">
        <v>10.130000000000001</v>
      </c>
      <c r="G353" s="4" t="s">
        <v>376</v>
      </c>
      <c r="H353" s="4" t="s">
        <v>46</v>
      </c>
      <c r="I353" s="4" t="s">
        <v>377</v>
      </c>
      <c r="J353" s="4" t="s">
        <v>132</v>
      </c>
      <c r="K353" s="4" t="s">
        <v>43</v>
      </c>
      <c r="L353" s="4" t="s">
        <v>39</v>
      </c>
      <c r="M353" s="4" t="s">
        <v>40</v>
      </c>
      <c r="N353" s="4" t="s">
        <v>378</v>
      </c>
      <c r="O353" s="4" t="s">
        <v>939</v>
      </c>
      <c r="P353" s="4" t="s">
        <v>379</v>
      </c>
      <c r="Q353" s="72" t="s">
        <v>43</v>
      </c>
      <c r="R353" s="72"/>
      <c r="S353" s="50" t="s">
        <v>931</v>
      </c>
      <c r="T353" s="4" t="s">
        <v>43</v>
      </c>
      <c r="U353" s="4" t="s">
        <v>43</v>
      </c>
      <c r="W353" s="48">
        <v>1</v>
      </c>
      <c r="X353" s="48">
        <v>2</v>
      </c>
      <c r="Y353" s="48">
        <v>6</v>
      </c>
      <c r="Z353" s="48">
        <v>1</v>
      </c>
      <c r="AB353" s="48">
        <v>1</v>
      </c>
      <c r="AD353" s="91">
        <f t="shared" si="6"/>
        <v>10.136363636363637</v>
      </c>
      <c r="AE353" s="48" t="e">
        <f>VLOOKUP(C353,#REF!,1,0)</f>
        <v>#REF!</v>
      </c>
    </row>
    <row r="354" spans="3:31" hidden="1" x14ac:dyDescent="0.25">
      <c r="C354" s="87" t="s">
        <v>940</v>
      </c>
      <c r="D354" s="4" t="s">
        <v>941</v>
      </c>
      <c r="E354" s="4" t="s">
        <v>941</v>
      </c>
      <c r="F354" s="92">
        <v>10</v>
      </c>
      <c r="G354" s="4" t="s">
        <v>376</v>
      </c>
      <c r="H354" s="4" t="s">
        <v>46</v>
      </c>
      <c r="I354" s="4" t="s">
        <v>377</v>
      </c>
      <c r="J354" s="4" t="s">
        <v>132</v>
      </c>
      <c r="K354" s="4" t="s">
        <v>43</v>
      </c>
      <c r="L354" s="4" t="s">
        <v>371</v>
      </c>
      <c r="M354" s="4" t="s">
        <v>40</v>
      </c>
      <c r="N354" s="4" t="s">
        <v>378</v>
      </c>
      <c r="O354" s="4" t="s">
        <v>940</v>
      </c>
      <c r="P354" s="4" t="s">
        <v>379</v>
      </c>
      <c r="Q354" s="72" t="s">
        <v>43</v>
      </c>
      <c r="R354" s="72"/>
      <c r="S354" s="50" t="s">
        <v>931</v>
      </c>
      <c r="T354" s="4" t="s">
        <v>43</v>
      </c>
      <c r="U354" s="4" t="s">
        <v>43</v>
      </c>
      <c r="W354" s="48">
        <v>1</v>
      </c>
      <c r="X354" s="48">
        <v>2</v>
      </c>
      <c r="Y354" s="48">
        <v>7</v>
      </c>
      <c r="AD354" s="91">
        <f t="shared" si="6"/>
        <v>10</v>
      </c>
      <c r="AE354" s="48" t="e">
        <f>VLOOKUP(C354,#REF!,1,0)</f>
        <v>#REF!</v>
      </c>
    </row>
    <row r="355" spans="3:31" hidden="1" x14ac:dyDescent="0.25">
      <c r="C355" s="87" t="s">
        <v>516</v>
      </c>
      <c r="D355" s="4" t="s">
        <v>517</v>
      </c>
      <c r="E355" s="4" t="s">
        <v>518</v>
      </c>
      <c r="F355" s="92">
        <v>10.24</v>
      </c>
      <c r="G355" s="4" t="s">
        <v>376</v>
      </c>
      <c r="H355" s="4" t="s">
        <v>46</v>
      </c>
      <c r="I355" s="4" t="s">
        <v>377</v>
      </c>
      <c r="J355" s="4" t="s">
        <v>100</v>
      </c>
      <c r="K355" s="4" t="s">
        <v>43</v>
      </c>
      <c r="L355" s="4" t="s">
        <v>205</v>
      </c>
      <c r="M355" s="4" t="s">
        <v>40</v>
      </c>
      <c r="N355" s="4" t="s">
        <v>514</v>
      </c>
      <c r="O355" s="4" t="s">
        <v>516</v>
      </c>
      <c r="P355" s="4" t="s">
        <v>379</v>
      </c>
      <c r="Q355" s="50" t="s">
        <v>43</v>
      </c>
      <c r="R355" s="50"/>
      <c r="S355" s="50" t="s">
        <v>515</v>
      </c>
      <c r="T355" s="4" t="s">
        <v>43</v>
      </c>
      <c r="U355" s="4" t="s">
        <v>43</v>
      </c>
      <c r="W355" s="48">
        <v>1</v>
      </c>
      <c r="X355" s="48">
        <v>2</v>
      </c>
      <c r="Y355" s="48">
        <v>6</v>
      </c>
      <c r="Z355" s="48">
        <v>1</v>
      </c>
      <c r="AA355" s="48">
        <v>1</v>
      </c>
      <c r="AD355" s="91">
        <f t="shared" si="6"/>
        <v>10.25</v>
      </c>
      <c r="AE355" s="48" t="e">
        <f>VLOOKUP(C355,#REF!,1,0)</f>
        <v>#REF!</v>
      </c>
    </row>
    <row r="356" spans="3:31" hidden="1" x14ac:dyDescent="0.25">
      <c r="C356" s="87" t="s">
        <v>945</v>
      </c>
      <c r="D356" s="4" t="s">
        <v>946</v>
      </c>
      <c r="E356" s="4" t="s">
        <v>947</v>
      </c>
      <c r="F356" s="92">
        <v>9.1300000000000008</v>
      </c>
      <c r="G356" s="4" t="s">
        <v>376</v>
      </c>
      <c r="H356" s="4" t="s">
        <v>46</v>
      </c>
      <c r="I356" s="4" t="s">
        <v>377</v>
      </c>
      <c r="J356" s="4" t="s">
        <v>132</v>
      </c>
      <c r="K356" s="4" t="s">
        <v>43</v>
      </c>
      <c r="L356" s="4" t="s">
        <v>371</v>
      </c>
      <c r="M356" s="4" t="s">
        <v>40</v>
      </c>
      <c r="N356" s="4" t="s">
        <v>378</v>
      </c>
      <c r="O356" s="4" t="s">
        <v>945</v>
      </c>
      <c r="P356" s="4" t="s">
        <v>379</v>
      </c>
      <c r="Q356" s="50" t="s">
        <v>43</v>
      </c>
      <c r="R356" s="50"/>
      <c r="S356" s="50" t="s">
        <v>931</v>
      </c>
      <c r="T356" s="4" t="s">
        <v>43</v>
      </c>
      <c r="U356" s="4" t="s">
        <v>43</v>
      </c>
      <c r="V356" s="3"/>
      <c r="W356" s="48">
        <v>1</v>
      </c>
      <c r="X356" s="48">
        <v>2</v>
      </c>
      <c r="Y356" s="48">
        <v>5</v>
      </c>
      <c r="Z356" s="48">
        <v>1</v>
      </c>
      <c r="AB356" s="48">
        <v>1</v>
      </c>
      <c r="AD356" s="91">
        <f t="shared" si="6"/>
        <v>9.1363636363636367</v>
      </c>
      <c r="AE356" s="48" t="e">
        <f>VLOOKUP(C356,#REF!,1,0)</f>
        <v>#REF!</v>
      </c>
    </row>
    <row r="357" spans="3:31" hidden="1" x14ac:dyDescent="0.25">
      <c r="C357" s="87" t="s">
        <v>948</v>
      </c>
      <c r="D357" s="4" t="s">
        <v>949</v>
      </c>
      <c r="E357" s="4" t="s">
        <v>949</v>
      </c>
      <c r="F357" s="92">
        <v>5.45</v>
      </c>
      <c r="G357" s="4" t="s">
        <v>376</v>
      </c>
      <c r="H357" s="4" t="s">
        <v>46</v>
      </c>
      <c r="I357" s="4" t="s">
        <v>377</v>
      </c>
      <c r="J357" s="4" t="s">
        <v>132</v>
      </c>
      <c r="K357" s="4" t="s">
        <v>43</v>
      </c>
      <c r="L357" s="4" t="s">
        <v>353</v>
      </c>
      <c r="M357" s="4" t="s">
        <v>40</v>
      </c>
      <c r="N357" s="4" t="s">
        <v>378</v>
      </c>
      <c r="O357" s="4" t="s">
        <v>948</v>
      </c>
      <c r="P357" s="50" t="s">
        <v>42</v>
      </c>
      <c r="Q357" s="50" t="s">
        <v>43</v>
      </c>
      <c r="R357" s="50"/>
      <c r="S357" s="50" t="s">
        <v>931</v>
      </c>
      <c r="T357" s="4" t="s">
        <v>43</v>
      </c>
      <c r="U357" s="4" t="s">
        <v>43</v>
      </c>
      <c r="W357" s="48">
        <v>1</v>
      </c>
      <c r="X357" s="48">
        <v>1</v>
      </c>
      <c r="Y357" s="48">
        <v>3</v>
      </c>
      <c r="AB357" s="48">
        <v>1</v>
      </c>
      <c r="AD357" s="91">
        <f t="shared" si="6"/>
        <v>5.4545454545454541</v>
      </c>
      <c r="AE357" s="48" t="e">
        <f>VLOOKUP(C357,#REF!,1,0)</f>
        <v>#REF!</v>
      </c>
    </row>
    <row r="358" spans="3:31" hidden="1" x14ac:dyDescent="0.25">
      <c r="C358" s="87" t="s">
        <v>950</v>
      </c>
      <c r="D358" s="4" t="s">
        <v>951</v>
      </c>
      <c r="E358" s="4" t="s">
        <v>951</v>
      </c>
      <c r="F358" s="92">
        <v>5.45</v>
      </c>
      <c r="G358" s="4" t="s">
        <v>376</v>
      </c>
      <c r="H358" s="4" t="s">
        <v>46</v>
      </c>
      <c r="I358" s="4" t="s">
        <v>377</v>
      </c>
      <c r="J358" s="4" t="s">
        <v>132</v>
      </c>
      <c r="K358" s="4" t="s">
        <v>43</v>
      </c>
      <c r="L358" s="4" t="s">
        <v>353</v>
      </c>
      <c r="M358" s="4" t="s">
        <v>40</v>
      </c>
      <c r="N358" s="4" t="s">
        <v>378</v>
      </c>
      <c r="O358" s="4" t="s">
        <v>950</v>
      </c>
      <c r="P358" s="4" t="s">
        <v>42</v>
      </c>
      <c r="Q358" s="50" t="s">
        <v>43</v>
      </c>
      <c r="R358" s="50"/>
      <c r="S358" s="50" t="s">
        <v>931</v>
      </c>
      <c r="T358" s="4" t="s">
        <v>43</v>
      </c>
      <c r="U358" s="4" t="s">
        <v>43</v>
      </c>
      <c r="W358" s="48">
        <v>1</v>
      </c>
      <c r="X358" s="48">
        <v>1</v>
      </c>
      <c r="Y358" s="48">
        <v>3</v>
      </c>
      <c r="AB358" s="48">
        <v>1</v>
      </c>
      <c r="AD358" s="91">
        <f t="shared" si="6"/>
        <v>5.4545454545454541</v>
      </c>
      <c r="AE358" s="48" t="e">
        <f>VLOOKUP(C358,#REF!,1,0)</f>
        <v>#REF!</v>
      </c>
    </row>
    <row r="359" spans="3:31" hidden="1" x14ac:dyDescent="0.25">
      <c r="C359" s="87" t="s">
        <v>952</v>
      </c>
      <c r="D359" s="4" t="s">
        <v>953</v>
      </c>
      <c r="E359" s="4" t="s">
        <v>953</v>
      </c>
      <c r="F359" s="92">
        <v>5.45</v>
      </c>
      <c r="G359" s="4" t="s">
        <v>376</v>
      </c>
      <c r="H359" s="4" t="s">
        <v>46</v>
      </c>
      <c r="I359" s="4" t="s">
        <v>377</v>
      </c>
      <c r="J359" s="4" t="s">
        <v>132</v>
      </c>
      <c r="K359" s="4" t="s">
        <v>43</v>
      </c>
      <c r="L359" s="4" t="s">
        <v>371</v>
      </c>
      <c r="M359" s="4" t="s">
        <v>40</v>
      </c>
      <c r="N359" s="4" t="s">
        <v>378</v>
      </c>
      <c r="O359" s="4" t="s">
        <v>952</v>
      </c>
      <c r="P359" s="4" t="s">
        <v>42</v>
      </c>
      <c r="Q359" s="50" t="s">
        <v>43</v>
      </c>
      <c r="R359" s="50"/>
      <c r="S359" s="50" t="s">
        <v>931</v>
      </c>
      <c r="T359" s="4" t="s">
        <v>43</v>
      </c>
      <c r="U359" s="4" t="s">
        <v>43</v>
      </c>
      <c r="W359" s="48">
        <v>1</v>
      </c>
      <c r="X359" s="48">
        <v>1</v>
      </c>
      <c r="Y359" s="48">
        <v>3</v>
      </c>
      <c r="AB359" s="48">
        <v>1</v>
      </c>
      <c r="AD359" s="91">
        <f t="shared" si="6"/>
        <v>5.4545454545454541</v>
      </c>
      <c r="AE359" s="48" t="e">
        <f>VLOOKUP(C359,#REF!,1,0)</f>
        <v>#REF!</v>
      </c>
    </row>
    <row r="360" spans="3:31" hidden="1" x14ac:dyDescent="0.25">
      <c r="C360" s="87" t="s">
        <v>703</v>
      </c>
      <c r="D360" s="4" t="s">
        <v>704</v>
      </c>
      <c r="E360" s="4" t="s">
        <v>705</v>
      </c>
      <c r="F360" s="92">
        <v>5</v>
      </c>
      <c r="G360" s="4" t="s">
        <v>376</v>
      </c>
      <c r="H360" s="4" t="s">
        <v>46</v>
      </c>
      <c r="I360" s="4" t="s">
        <v>421</v>
      </c>
      <c r="J360" s="4" t="s">
        <v>84</v>
      </c>
      <c r="K360" s="4" t="s">
        <v>440</v>
      </c>
      <c r="L360" s="4" t="s">
        <v>706</v>
      </c>
      <c r="M360" s="4" t="s">
        <v>55</v>
      </c>
      <c r="N360" s="4" t="s">
        <v>653</v>
      </c>
      <c r="O360" s="4" t="s">
        <v>703</v>
      </c>
      <c r="P360" s="4" t="s">
        <v>42</v>
      </c>
      <c r="Q360" s="50" t="s">
        <v>43</v>
      </c>
      <c r="R360" s="50"/>
      <c r="S360" s="50" t="s">
        <v>702</v>
      </c>
      <c r="T360" s="4" t="s">
        <v>43</v>
      </c>
      <c r="U360" s="4" t="s">
        <v>43</v>
      </c>
      <c r="W360" s="48">
        <v>1</v>
      </c>
      <c r="X360" s="48">
        <v>2</v>
      </c>
      <c r="Y360" s="48">
        <v>2</v>
      </c>
      <c r="AD360" s="91">
        <f t="shared" si="6"/>
        <v>5</v>
      </c>
      <c r="AE360" s="48" t="s">
        <v>1219</v>
      </c>
    </row>
    <row r="361" spans="3:31" hidden="1" x14ac:dyDescent="0.25">
      <c r="C361" s="104" t="s">
        <v>957</v>
      </c>
      <c r="D361" s="44" t="s">
        <v>958</v>
      </c>
      <c r="E361" s="44" t="s">
        <v>959</v>
      </c>
      <c r="F361" s="95">
        <v>5.45</v>
      </c>
      <c r="G361" s="4" t="s">
        <v>376</v>
      </c>
      <c r="H361" s="4" t="s">
        <v>46</v>
      </c>
      <c r="I361" s="4" t="s">
        <v>377</v>
      </c>
      <c r="J361" s="4" t="s">
        <v>132</v>
      </c>
      <c r="K361" s="4" t="s">
        <v>43</v>
      </c>
      <c r="L361" s="4" t="s">
        <v>39</v>
      </c>
      <c r="M361" s="4" t="s">
        <v>40</v>
      </c>
      <c r="N361" s="4" t="s">
        <v>378</v>
      </c>
      <c r="O361" s="4" t="s">
        <v>957</v>
      </c>
      <c r="P361" s="4" t="s">
        <v>42</v>
      </c>
      <c r="Q361" s="50" t="s">
        <v>43</v>
      </c>
      <c r="R361" s="50"/>
      <c r="S361" s="50" t="s">
        <v>931</v>
      </c>
      <c r="T361" s="4" t="s">
        <v>43</v>
      </c>
      <c r="U361" s="4" t="s">
        <v>43</v>
      </c>
      <c r="W361" s="48">
        <v>1</v>
      </c>
      <c r="X361" s="48">
        <v>2</v>
      </c>
      <c r="Y361" s="48">
        <v>2</v>
      </c>
      <c r="AB361" s="48">
        <v>1</v>
      </c>
      <c r="AD361" s="91">
        <f t="shared" si="6"/>
        <v>5.4545454545454541</v>
      </c>
      <c r="AE361" s="48" t="e">
        <f>VLOOKUP(C361,#REF!,1,0)</f>
        <v>#REF!</v>
      </c>
    </row>
    <row r="362" spans="3:31" hidden="1" x14ac:dyDescent="0.25">
      <c r="C362" s="87" t="s">
        <v>707</v>
      </c>
      <c r="D362" s="4" t="s">
        <v>706</v>
      </c>
      <c r="E362" s="4" t="s">
        <v>708</v>
      </c>
      <c r="F362" s="92">
        <v>5</v>
      </c>
      <c r="G362" s="4" t="s">
        <v>376</v>
      </c>
      <c r="H362" s="4" t="s">
        <v>46</v>
      </c>
      <c r="I362" s="4" t="s">
        <v>421</v>
      </c>
      <c r="J362" s="4" t="s">
        <v>84</v>
      </c>
      <c r="K362" s="4" t="s">
        <v>440</v>
      </c>
      <c r="L362" s="4" t="s">
        <v>706</v>
      </c>
      <c r="M362" s="4" t="s">
        <v>55</v>
      </c>
      <c r="N362" s="4" t="s">
        <v>653</v>
      </c>
      <c r="O362" s="4" t="s">
        <v>707</v>
      </c>
      <c r="P362" s="4" t="s">
        <v>42</v>
      </c>
      <c r="Q362" s="50" t="s">
        <v>43</v>
      </c>
      <c r="R362" s="50"/>
      <c r="S362" s="50" t="s">
        <v>702</v>
      </c>
      <c r="T362" s="4" t="s">
        <v>43</v>
      </c>
      <c r="U362" s="4" t="s">
        <v>43</v>
      </c>
      <c r="W362" s="48">
        <v>1</v>
      </c>
      <c r="X362" s="48">
        <v>2</v>
      </c>
      <c r="Y362" s="48">
        <v>2</v>
      </c>
      <c r="AD362" s="91">
        <f t="shared" si="6"/>
        <v>5</v>
      </c>
      <c r="AE362" s="48" t="s">
        <v>1219</v>
      </c>
    </row>
    <row r="363" spans="3:31" hidden="1" x14ac:dyDescent="0.25">
      <c r="C363" s="87" t="s">
        <v>728</v>
      </c>
      <c r="D363" s="4" t="s">
        <v>729</v>
      </c>
      <c r="E363" s="4" t="s">
        <v>730</v>
      </c>
      <c r="F363" s="92">
        <v>5</v>
      </c>
      <c r="G363" s="4" t="s">
        <v>376</v>
      </c>
      <c r="H363" s="4" t="s">
        <v>46</v>
      </c>
      <c r="I363" s="4" t="s">
        <v>421</v>
      </c>
      <c r="J363" s="4" t="s">
        <v>84</v>
      </c>
      <c r="K363" s="4" t="s">
        <v>440</v>
      </c>
      <c r="L363" s="4" t="s">
        <v>722</v>
      </c>
      <c r="M363" s="4" t="s">
        <v>55</v>
      </c>
      <c r="N363" s="4" t="s">
        <v>653</v>
      </c>
      <c r="O363" s="4" t="s">
        <v>728</v>
      </c>
      <c r="P363" s="4" t="s">
        <v>42</v>
      </c>
      <c r="Q363" s="50" t="s">
        <v>43</v>
      </c>
      <c r="R363" s="50"/>
      <c r="S363" s="50" t="s">
        <v>702</v>
      </c>
      <c r="T363" s="4" t="s">
        <v>43</v>
      </c>
      <c r="U363" s="4" t="s">
        <v>43</v>
      </c>
      <c r="W363" s="48">
        <v>1</v>
      </c>
      <c r="X363" s="48">
        <v>2</v>
      </c>
      <c r="Y363" s="48">
        <v>2</v>
      </c>
      <c r="AD363" s="91">
        <f t="shared" si="6"/>
        <v>5</v>
      </c>
      <c r="AE363" s="48" t="s">
        <v>1219</v>
      </c>
    </row>
    <row r="364" spans="3:31" hidden="1" x14ac:dyDescent="0.25">
      <c r="C364" s="87" t="s">
        <v>733</v>
      </c>
      <c r="D364" s="4" t="s">
        <v>734</v>
      </c>
      <c r="E364" s="4" t="s">
        <v>735</v>
      </c>
      <c r="F364" s="92">
        <v>5</v>
      </c>
      <c r="G364" s="4" t="s">
        <v>376</v>
      </c>
      <c r="H364" s="4" t="s">
        <v>46</v>
      </c>
      <c r="I364" s="4" t="s">
        <v>421</v>
      </c>
      <c r="J364" s="4" t="s">
        <v>84</v>
      </c>
      <c r="K364" s="4" t="s">
        <v>440</v>
      </c>
      <c r="L364" s="4" t="s">
        <v>54</v>
      </c>
      <c r="M364" s="4" t="s">
        <v>55</v>
      </c>
      <c r="N364" s="4" t="s">
        <v>653</v>
      </c>
      <c r="O364" s="4" t="s">
        <v>733</v>
      </c>
      <c r="P364" s="4" t="s">
        <v>42</v>
      </c>
      <c r="Q364" s="50" t="s">
        <v>43</v>
      </c>
      <c r="R364" s="50"/>
      <c r="S364" s="50" t="s">
        <v>702</v>
      </c>
      <c r="T364" s="4" t="s">
        <v>43</v>
      </c>
      <c r="U364" s="4" t="s">
        <v>43</v>
      </c>
      <c r="W364" s="48">
        <v>1</v>
      </c>
      <c r="X364" s="48">
        <v>2</v>
      </c>
      <c r="Y364" s="48">
        <v>2</v>
      </c>
      <c r="AD364" s="91">
        <f t="shared" si="6"/>
        <v>5</v>
      </c>
      <c r="AE364" s="48" t="s">
        <v>1219</v>
      </c>
    </row>
    <row r="365" spans="3:31" hidden="1" x14ac:dyDescent="0.25">
      <c r="C365" s="87" t="s">
        <v>954</v>
      </c>
      <c r="D365" s="4" t="s">
        <v>955</v>
      </c>
      <c r="E365" s="4" t="s">
        <v>956</v>
      </c>
      <c r="F365" s="92">
        <v>5</v>
      </c>
      <c r="G365" s="4" t="s">
        <v>376</v>
      </c>
      <c r="H365" s="4" t="s">
        <v>46</v>
      </c>
      <c r="I365" s="4" t="s">
        <v>377</v>
      </c>
      <c r="J365" s="4" t="s">
        <v>132</v>
      </c>
      <c r="K365" s="4" t="s">
        <v>43</v>
      </c>
      <c r="L365" s="4" t="s">
        <v>353</v>
      </c>
      <c r="M365" s="4" t="s">
        <v>40</v>
      </c>
      <c r="N365" s="4" t="s">
        <v>378</v>
      </c>
      <c r="O365" s="4" t="s">
        <v>954</v>
      </c>
      <c r="P365" s="4" t="s">
        <v>42</v>
      </c>
      <c r="Q365" s="50" t="s">
        <v>43</v>
      </c>
      <c r="R365" s="50"/>
      <c r="S365" s="50" t="s">
        <v>931</v>
      </c>
      <c r="T365" s="4" t="s">
        <v>43</v>
      </c>
      <c r="U365" s="4" t="s">
        <v>43</v>
      </c>
      <c r="W365" s="48">
        <v>1</v>
      </c>
      <c r="X365" s="48">
        <v>2</v>
      </c>
      <c r="Y365" s="48">
        <v>2</v>
      </c>
      <c r="AD365" s="91">
        <f t="shared" si="6"/>
        <v>5</v>
      </c>
      <c r="AE365" s="48" t="s">
        <v>1219</v>
      </c>
    </row>
    <row r="366" spans="3:31" hidden="1" x14ac:dyDescent="0.25">
      <c r="C366" s="87" t="s">
        <v>962</v>
      </c>
      <c r="D366" s="4" t="s">
        <v>963</v>
      </c>
      <c r="E366" s="4" t="s">
        <v>964</v>
      </c>
      <c r="F366" s="92">
        <v>5</v>
      </c>
      <c r="G366" s="4" t="s">
        <v>376</v>
      </c>
      <c r="H366" s="4" t="s">
        <v>46</v>
      </c>
      <c r="I366" s="4" t="s">
        <v>377</v>
      </c>
      <c r="J366" s="4" t="s">
        <v>132</v>
      </c>
      <c r="K366" s="4" t="s">
        <v>43</v>
      </c>
      <c r="L366" s="4" t="s">
        <v>371</v>
      </c>
      <c r="M366" s="4" t="s">
        <v>40</v>
      </c>
      <c r="N366" s="4" t="s">
        <v>378</v>
      </c>
      <c r="O366" s="4" t="s">
        <v>962</v>
      </c>
      <c r="P366" s="4" t="s">
        <v>42</v>
      </c>
      <c r="Q366" s="50" t="s">
        <v>43</v>
      </c>
      <c r="R366" s="50"/>
      <c r="S366" s="50" t="s">
        <v>931</v>
      </c>
      <c r="T366" s="4" t="s">
        <v>43</v>
      </c>
      <c r="U366" s="4" t="s">
        <v>43</v>
      </c>
      <c r="W366" s="48">
        <v>1</v>
      </c>
      <c r="X366" s="48">
        <v>2</v>
      </c>
      <c r="Y366" s="48">
        <v>2</v>
      </c>
      <c r="AD366" s="91">
        <f t="shared" si="6"/>
        <v>5</v>
      </c>
      <c r="AE366" s="48" t="s">
        <v>1219</v>
      </c>
    </row>
    <row r="367" spans="3:31" hidden="1" x14ac:dyDescent="0.25">
      <c r="C367" s="87" t="s">
        <v>965</v>
      </c>
      <c r="D367" s="4" t="s">
        <v>966</v>
      </c>
      <c r="E367" s="4" t="s">
        <v>967</v>
      </c>
      <c r="F367" s="92">
        <v>5</v>
      </c>
      <c r="G367" s="4" t="s">
        <v>376</v>
      </c>
      <c r="H367" s="4" t="s">
        <v>46</v>
      </c>
      <c r="I367" s="4" t="s">
        <v>377</v>
      </c>
      <c r="J367" s="4" t="s">
        <v>132</v>
      </c>
      <c r="K367" s="4" t="s">
        <v>43</v>
      </c>
      <c r="L367" s="4" t="s">
        <v>353</v>
      </c>
      <c r="M367" s="4" t="s">
        <v>40</v>
      </c>
      <c r="N367" s="4" t="s">
        <v>378</v>
      </c>
      <c r="O367" s="4" t="s">
        <v>965</v>
      </c>
      <c r="P367" s="4" t="s">
        <v>42</v>
      </c>
      <c r="Q367" s="50" t="s">
        <v>43</v>
      </c>
      <c r="R367" s="50"/>
      <c r="S367" s="50" t="s">
        <v>931</v>
      </c>
      <c r="T367" s="4" t="s">
        <v>43</v>
      </c>
      <c r="U367" s="4" t="s">
        <v>43</v>
      </c>
      <c r="W367" s="48">
        <v>1</v>
      </c>
      <c r="X367" s="48">
        <v>2</v>
      </c>
      <c r="Y367" s="48">
        <v>2</v>
      </c>
      <c r="AD367" s="91">
        <f t="shared" si="6"/>
        <v>5</v>
      </c>
      <c r="AE367" s="48" t="s">
        <v>1219</v>
      </c>
    </row>
    <row r="368" spans="3:31" hidden="1" x14ac:dyDescent="0.25">
      <c r="C368" s="87" t="s">
        <v>887</v>
      </c>
      <c r="D368" s="4" t="s">
        <v>275</v>
      </c>
      <c r="E368" s="4" t="s">
        <v>888</v>
      </c>
      <c r="F368" s="92">
        <v>10.36</v>
      </c>
      <c r="G368" s="4" t="s">
        <v>376</v>
      </c>
      <c r="H368" s="4" t="s">
        <v>46</v>
      </c>
      <c r="I368" s="4" t="s">
        <v>421</v>
      </c>
      <c r="J368" s="4" t="s">
        <v>885</v>
      </c>
      <c r="K368" s="4" t="s">
        <v>43</v>
      </c>
      <c r="L368" s="4" t="s">
        <v>275</v>
      </c>
      <c r="M368" s="4" t="s">
        <v>40</v>
      </c>
      <c r="N368" s="4" t="s">
        <v>514</v>
      </c>
      <c r="O368" s="4" t="s">
        <v>887</v>
      </c>
      <c r="P368" s="4" t="s">
        <v>379</v>
      </c>
      <c r="Q368" s="50" t="s">
        <v>43</v>
      </c>
      <c r="R368" s="50"/>
      <c r="S368" s="50" t="s">
        <v>886</v>
      </c>
      <c r="T368" s="4" t="s">
        <v>43</v>
      </c>
      <c r="U368" s="4" t="s">
        <v>43</v>
      </c>
      <c r="W368" s="48">
        <v>1</v>
      </c>
      <c r="X368" s="48">
        <v>2</v>
      </c>
      <c r="Y368" s="48">
        <v>6</v>
      </c>
      <c r="Z368" s="48">
        <v>2</v>
      </c>
      <c r="AD368" s="91">
        <f t="shared" si="6"/>
        <v>10.363636363636363</v>
      </c>
      <c r="AE368" s="48" t="e">
        <f>VLOOKUP(C368,#REF!,1,0)</f>
        <v>#REF!</v>
      </c>
    </row>
    <row r="369" spans="1:31" ht="18" hidden="1" x14ac:dyDescent="0.25">
      <c r="F369" s="96">
        <v>1351.12</v>
      </c>
      <c r="AD369" s="91"/>
      <c r="AE369" s="48" t="e">
        <f>VLOOKUP(C369,#REF!,1,0)</f>
        <v>#REF!</v>
      </c>
    </row>
    <row r="371" spans="1:31" x14ac:dyDescent="0.25">
      <c r="A371" s="99"/>
      <c r="B371" s="99"/>
      <c r="C371" s="99"/>
      <c r="D371" s="99"/>
      <c r="E371" s="99"/>
      <c r="F371" s="99"/>
      <c r="G371" s="99"/>
      <c r="H371" s="99"/>
      <c r="I371" s="99"/>
    </row>
    <row r="372" spans="1:31" x14ac:dyDescent="0.25">
      <c r="A372" s="99"/>
      <c r="B372" s="99"/>
      <c r="C372" s="99"/>
      <c r="D372" s="99"/>
      <c r="E372" s="99"/>
      <c r="F372" s="99"/>
      <c r="G372" s="99"/>
      <c r="H372" s="99"/>
      <c r="I372" s="99"/>
    </row>
    <row r="373" spans="1:31" x14ac:dyDescent="0.25">
      <c r="A373" s="99"/>
      <c r="B373" s="99"/>
      <c r="C373" s="99"/>
      <c r="D373" s="99"/>
      <c r="E373" s="99"/>
      <c r="F373" s="99"/>
      <c r="G373" s="99"/>
      <c r="H373" s="99"/>
      <c r="I373" s="99"/>
    </row>
    <row r="374" spans="1:31" x14ac:dyDescent="0.25">
      <c r="A374" s="99"/>
      <c r="B374" s="99"/>
      <c r="C374" s="99"/>
      <c r="D374" s="99"/>
      <c r="E374" s="99"/>
      <c r="F374" s="99"/>
      <c r="G374" s="99"/>
      <c r="H374" s="99"/>
      <c r="I374" s="99"/>
    </row>
    <row r="375" spans="1:31" x14ac:dyDescent="0.25">
      <c r="A375" s="99"/>
      <c r="B375" s="99"/>
      <c r="C375" s="99"/>
      <c r="D375" s="99"/>
      <c r="E375" s="99"/>
      <c r="F375" s="99"/>
      <c r="G375" s="99"/>
      <c r="H375" s="99"/>
      <c r="I375" s="99"/>
    </row>
    <row r="376" spans="1:31" x14ac:dyDescent="0.25">
      <c r="A376" s="99"/>
      <c r="B376" s="99"/>
      <c r="C376" s="99"/>
      <c r="D376" s="99"/>
      <c r="E376" s="99"/>
      <c r="F376" s="99"/>
      <c r="G376" s="99"/>
      <c r="H376" s="99"/>
      <c r="I376" s="99"/>
    </row>
    <row r="377" spans="1:31" ht="13" x14ac:dyDescent="0.25">
      <c r="A377" s="99"/>
      <c r="B377" s="99"/>
      <c r="C377" s="99"/>
      <c r="D377" s="99"/>
      <c r="E377" s="103"/>
      <c r="F377" s="103"/>
      <c r="G377" s="99"/>
      <c r="H377" s="99"/>
      <c r="I377" s="99"/>
    </row>
    <row r="378" spans="1:31" x14ac:dyDescent="0.25">
      <c r="A378" s="99"/>
      <c r="B378" s="99"/>
      <c r="C378" s="99"/>
      <c r="D378" s="99"/>
      <c r="E378" s="99"/>
      <c r="F378" s="99"/>
      <c r="G378" s="99"/>
      <c r="H378" s="99"/>
      <c r="I378" s="99"/>
    </row>
    <row r="379" spans="1:31" x14ac:dyDescent="0.25">
      <c r="A379" s="99"/>
      <c r="B379" s="99"/>
      <c r="C379" s="99"/>
      <c r="D379" s="99"/>
      <c r="E379" s="99"/>
      <c r="F379" s="99"/>
      <c r="G379" s="99"/>
      <c r="H379" s="99"/>
      <c r="I379" s="99"/>
    </row>
    <row r="380" spans="1:31" x14ac:dyDescent="0.25">
      <c r="A380" s="99"/>
      <c r="B380" s="99"/>
      <c r="C380" s="99"/>
      <c r="D380" s="99"/>
      <c r="E380" s="99"/>
      <c r="F380" s="99"/>
      <c r="G380" s="99"/>
      <c r="H380" s="99"/>
      <c r="I380" s="99"/>
    </row>
    <row r="381" spans="1:31" x14ac:dyDescent="0.25">
      <c r="A381" s="99"/>
      <c r="B381" s="99"/>
      <c r="C381" s="99"/>
      <c r="D381" s="99"/>
      <c r="E381" s="99"/>
      <c r="F381" s="99"/>
      <c r="G381" s="99"/>
      <c r="H381" s="99"/>
      <c r="I381" s="99"/>
    </row>
    <row r="382" spans="1:31" x14ac:dyDescent="0.25">
      <c r="A382" s="99"/>
      <c r="B382" s="99"/>
      <c r="C382" s="99"/>
      <c r="D382" s="99"/>
      <c r="E382" s="99"/>
      <c r="F382" s="99"/>
      <c r="G382" s="99"/>
      <c r="H382" s="99"/>
      <c r="I382" s="99"/>
    </row>
    <row r="383" spans="1:31" ht="13" x14ac:dyDescent="0.25">
      <c r="A383" s="99"/>
      <c r="B383" s="99"/>
      <c r="C383" s="99"/>
      <c r="D383" s="99"/>
      <c r="E383" s="100"/>
      <c r="F383" s="99"/>
      <c r="G383" s="99"/>
      <c r="H383" s="99"/>
      <c r="I383" s="99"/>
    </row>
    <row r="384" spans="1:31" x14ac:dyDescent="0.25">
      <c r="A384" s="99"/>
      <c r="B384" s="99"/>
      <c r="C384" s="99"/>
      <c r="D384" s="99"/>
      <c r="E384" s="99"/>
      <c r="F384" s="99"/>
      <c r="G384" s="99"/>
      <c r="H384" s="99"/>
      <c r="I384" s="99"/>
    </row>
    <row r="385" spans="1:9" x14ac:dyDescent="0.25">
      <c r="A385" s="99"/>
      <c r="B385" s="99"/>
      <c r="C385" s="99"/>
      <c r="D385" s="99"/>
      <c r="E385" s="99"/>
      <c r="F385" s="99"/>
      <c r="G385" s="99"/>
      <c r="H385" s="99"/>
      <c r="I385" s="99"/>
    </row>
    <row r="386" spans="1:9" x14ac:dyDescent="0.25">
      <c r="A386" s="99"/>
      <c r="B386" s="99"/>
      <c r="C386" s="99"/>
      <c r="D386" s="99"/>
      <c r="E386" s="99"/>
      <c r="F386" s="99"/>
      <c r="G386" s="99"/>
      <c r="H386" s="99"/>
      <c r="I386" s="99"/>
    </row>
    <row r="387" spans="1:9" x14ac:dyDescent="0.25">
      <c r="A387" s="99"/>
      <c r="B387" s="99"/>
      <c r="C387" s="99"/>
      <c r="D387" s="99"/>
      <c r="E387" s="99"/>
      <c r="F387" s="99"/>
      <c r="G387" s="99"/>
      <c r="H387" s="99"/>
      <c r="I387" s="99"/>
    </row>
    <row r="388" spans="1:9" x14ac:dyDescent="0.25">
      <c r="A388" s="99"/>
      <c r="B388" s="99"/>
      <c r="C388" s="99"/>
      <c r="D388" s="99"/>
      <c r="E388" s="99"/>
      <c r="F388" s="99"/>
      <c r="G388" s="99"/>
      <c r="H388" s="99"/>
      <c r="I388" s="99"/>
    </row>
    <row r="389" spans="1:9" x14ac:dyDescent="0.25">
      <c r="A389" s="99"/>
      <c r="B389" s="99"/>
      <c r="C389" s="99"/>
      <c r="D389" s="101"/>
      <c r="E389" s="99"/>
      <c r="F389" s="99"/>
      <c r="G389" s="99"/>
      <c r="H389" s="99"/>
      <c r="I389" s="101"/>
    </row>
    <row r="390" spans="1:9" x14ac:dyDescent="0.25">
      <c r="A390" s="99"/>
      <c r="B390" s="99"/>
      <c r="C390" s="99"/>
      <c r="D390" s="101"/>
      <c r="E390" s="99"/>
      <c r="F390" s="99"/>
      <c r="G390" s="99"/>
      <c r="H390" s="99"/>
      <c r="I390" s="101"/>
    </row>
    <row r="391" spans="1:9" x14ac:dyDescent="0.25">
      <c r="A391" s="99"/>
      <c r="B391" s="99"/>
      <c r="C391" s="99"/>
      <c r="D391" s="99"/>
      <c r="E391" s="99"/>
      <c r="F391" s="99"/>
      <c r="G391" s="99" t="s">
        <v>981</v>
      </c>
      <c r="H391" s="99">
        <v>7</v>
      </c>
      <c r="I391" s="101"/>
    </row>
    <row r="392" spans="1:9" x14ac:dyDescent="0.25">
      <c r="A392" s="99"/>
      <c r="B392" s="99"/>
      <c r="C392" s="99"/>
      <c r="D392" s="99"/>
      <c r="E392" s="99"/>
      <c r="F392" s="99"/>
      <c r="G392" s="99"/>
      <c r="H392" s="99"/>
      <c r="I392" s="101"/>
    </row>
    <row r="393" spans="1:9" x14ac:dyDescent="0.25">
      <c r="A393" s="102"/>
      <c r="B393" s="102"/>
      <c r="C393" s="102"/>
      <c r="D393" s="102"/>
      <c r="E393" s="102"/>
      <c r="F393" s="102"/>
      <c r="G393" s="102"/>
      <c r="H393" s="102"/>
      <c r="I393" s="102"/>
    </row>
    <row r="404" spans="6:9" x14ac:dyDescent="0.25">
      <c r="F404" s="80"/>
      <c r="I404" s="52"/>
    </row>
    <row r="413" spans="6:9" ht="13" x14ac:dyDescent="0.25">
      <c r="H413" s="81"/>
    </row>
  </sheetData>
  <autoFilter ref="C7:AE369" xr:uid="{447BD56F-288A-4EFB-9807-1D53025ACF81}">
    <filterColumn colId="1">
      <filters>
        <filter val="MALL PASEO SAN BERNARDO"/>
      </filters>
    </filterColumn>
    <filterColumn colId="4">
      <filters>
        <filter val="Abierta"/>
      </filters>
    </filterColumn>
  </autoFilter>
  <mergeCells count="3">
    <mergeCell ref="D389:D390"/>
    <mergeCell ref="I389:I390"/>
    <mergeCell ref="I391:I392"/>
  </mergeCells>
  <conditionalFormatting sqref="C8:C368">
    <cfRule type="duplicateValues" dxfId="3" priority="1"/>
    <cfRule type="duplicateValues" dxfId="2" priority="2"/>
    <cfRule type="duplicateValues" dxfId="1" priority="4"/>
  </conditionalFormatting>
  <conditionalFormatting sqref="O367:O368">
    <cfRule type="duplicateValues" dxfId="0" priority="3"/>
  </conditionalFormatting>
  <pageMargins left="0.7" right="0.7" top="0.75" bottom="0.75" header="0.3" footer="0.3"/>
  <pageSetup paperSize="9" orientation="portrait" r:id="rId1"/>
  <headerFooter>
    <oddFooter>&amp;C_x000D_&amp;1#&amp;"Calibri"&amp;10&amp;K000000 OXXO | Uso Interno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BD56F-288A-4EFB-9807-1D53025ACF81}">
  <dimension ref="A1:AE413"/>
  <sheetViews>
    <sheetView zoomScale="70" zoomScaleNormal="70" workbookViewId="0">
      <selection activeCell="I1" sqref="I1:I1048576"/>
    </sheetView>
  </sheetViews>
  <sheetFormatPr baseColWidth="10" defaultColWidth="10.81640625" defaultRowHeight="12.5" x14ac:dyDescent="0.25"/>
  <cols>
    <col min="1" max="1" width="6.453125" style="48" customWidth="1"/>
    <col min="2" max="2" width="5.26953125" style="48" customWidth="1"/>
    <col min="3" max="3" width="17.26953125" style="48" bestFit="1" customWidth="1"/>
    <col min="4" max="4" width="40.54296875" style="48" customWidth="1"/>
    <col min="5" max="5" width="42.54296875" style="48" customWidth="1"/>
    <col min="6" max="6" width="23" style="48" customWidth="1"/>
    <col min="7" max="8" width="23.54296875" style="48" customWidth="1"/>
    <col min="9" max="9" width="30" style="48" customWidth="1"/>
    <col min="10" max="10" width="39.81640625" style="48" customWidth="1"/>
    <col min="11" max="11" width="24.81640625" style="48" customWidth="1"/>
    <col min="12" max="14" width="31.453125" style="48" customWidth="1"/>
    <col min="15" max="15" width="10.81640625" style="48" customWidth="1"/>
    <col min="16" max="16" width="33.81640625" style="48" customWidth="1"/>
    <col min="17" max="17" width="23" style="48" customWidth="1"/>
    <col min="18" max="18" width="25.453125" style="48" customWidth="1"/>
    <col min="19" max="19" width="34.54296875" style="48" customWidth="1"/>
    <col min="20" max="20" width="16" style="48" customWidth="1"/>
    <col min="21" max="21" width="22.26953125" style="48" customWidth="1"/>
    <col min="22" max="22" width="12.1796875" style="48" customWidth="1"/>
    <col min="23" max="23" width="14.81640625" style="48" customWidth="1"/>
    <col min="24" max="24" width="17" style="48" customWidth="1"/>
    <col min="25" max="25" width="12.54296875" style="48" customWidth="1"/>
    <col min="26" max="26" width="15.7265625" style="48" customWidth="1"/>
    <col min="27" max="27" width="13" style="48" customWidth="1"/>
    <col min="28" max="28" width="17.81640625" style="48" customWidth="1"/>
    <col min="29" max="29" width="12.1796875" style="48" customWidth="1"/>
    <col min="30" max="16384" width="10.81640625" style="48"/>
  </cols>
  <sheetData>
    <row r="1" spans="3:31" x14ac:dyDescent="0.25">
      <c r="C1" s="53"/>
    </row>
    <row r="3" spans="3:31" x14ac:dyDescent="0.25">
      <c r="F3" s="54"/>
    </row>
    <row r="4" spans="3:31" x14ac:dyDescent="0.25">
      <c r="F4" s="54"/>
    </row>
    <row r="5" spans="3:31" x14ac:dyDescent="0.25">
      <c r="D5" s="54"/>
      <c r="E5" s="55"/>
    </row>
    <row r="6" spans="3:31" s="78" customFormat="1" ht="29.5" x14ac:dyDescent="0.25">
      <c r="C6" s="78">
        <v>1</v>
      </c>
      <c r="D6" s="78">
        <f>C6+1</f>
        <v>2</v>
      </c>
      <c r="E6" s="78">
        <f t="shared" ref="E6:T6" si="0">D6+1</f>
        <v>3</v>
      </c>
      <c r="F6" s="78">
        <f t="shared" si="0"/>
        <v>4</v>
      </c>
      <c r="G6" s="78">
        <v>5</v>
      </c>
      <c r="H6" s="78">
        <f>G6+1</f>
        <v>6</v>
      </c>
      <c r="I6" s="78">
        <f t="shared" si="0"/>
        <v>7</v>
      </c>
      <c r="J6" s="78">
        <f t="shared" si="0"/>
        <v>8</v>
      </c>
      <c r="K6" s="78">
        <f t="shared" si="0"/>
        <v>9</v>
      </c>
      <c r="L6" s="78">
        <f t="shared" si="0"/>
        <v>10</v>
      </c>
      <c r="M6" s="78">
        <f t="shared" si="0"/>
        <v>11</v>
      </c>
      <c r="N6" s="78">
        <f t="shared" si="0"/>
        <v>12</v>
      </c>
      <c r="O6" s="78">
        <f t="shared" si="0"/>
        <v>13</v>
      </c>
      <c r="P6" s="78">
        <f t="shared" si="0"/>
        <v>14</v>
      </c>
      <c r="Q6" s="78">
        <f>P6+1</f>
        <v>15</v>
      </c>
      <c r="R6" s="78">
        <f t="shared" si="0"/>
        <v>16</v>
      </c>
      <c r="S6" s="78">
        <f t="shared" si="0"/>
        <v>17</v>
      </c>
      <c r="T6" s="78">
        <f t="shared" si="0"/>
        <v>18</v>
      </c>
      <c r="U6" s="78">
        <v>20</v>
      </c>
      <c r="W6" s="78">
        <v>1</v>
      </c>
      <c r="X6" s="78">
        <v>1</v>
      </c>
      <c r="Y6" s="78">
        <v>1</v>
      </c>
      <c r="Z6" s="88">
        <f>30/44</f>
        <v>0.68181818181818177</v>
      </c>
      <c r="AA6" s="89">
        <f>25/44</f>
        <v>0.56818181818181823</v>
      </c>
      <c r="AB6" s="89">
        <f>20/44</f>
        <v>0.45454545454545453</v>
      </c>
      <c r="AC6" s="78">
        <f>15/44</f>
        <v>0.34090909090909088</v>
      </c>
    </row>
    <row r="7" spans="3:31" ht="13" x14ac:dyDescent="0.25">
      <c r="C7" s="1" t="s">
        <v>15</v>
      </c>
      <c r="D7" s="1" t="s">
        <v>16</v>
      </c>
      <c r="E7" s="1" t="s">
        <v>17</v>
      </c>
      <c r="F7" s="1" t="s">
        <v>18</v>
      </c>
      <c r="G7" s="1" t="s">
        <v>19</v>
      </c>
      <c r="H7" s="1" t="s">
        <v>20</v>
      </c>
      <c r="I7" s="1" t="s">
        <v>21</v>
      </c>
      <c r="J7" s="1" t="s">
        <v>22</v>
      </c>
      <c r="K7" s="73" t="s">
        <v>23</v>
      </c>
      <c r="L7" s="1" t="s">
        <v>24</v>
      </c>
      <c r="M7" s="1" t="s">
        <v>25</v>
      </c>
      <c r="N7" s="1" t="s">
        <v>26</v>
      </c>
      <c r="O7" s="1" t="s">
        <v>15</v>
      </c>
      <c r="P7" s="1" t="s">
        <v>27</v>
      </c>
      <c r="Q7" s="1" t="s">
        <v>28</v>
      </c>
      <c r="R7" s="1" t="s">
        <v>29</v>
      </c>
      <c r="S7" s="1" t="s">
        <v>30</v>
      </c>
      <c r="T7" s="1" t="s">
        <v>31</v>
      </c>
      <c r="U7" s="1" t="s">
        <v>32</v>
      </c>
      <c r="V7" s="76" t="s">
        <v>33</v>
      </c>
      <c r="W7" s="1" t="s">
        <v>1</v>
      </c>
      <c r="X7" s="1" t="s">
        <v>2</v>
      </c>
      <c r="Y7" s="1" t="s">
        <v>3</v>
      </c>
      <c r="Z7" s="1" t="s">
        <v>5</v>
      </c>
      <c r="AA7" s="1" t="s">
        <v>9</v>
      </c>
      <c r="AB7" s="1" t="s">
        <v>4</v>
      </c>
      <c r="AC7" s="1" t="s">
        <v>10</v>
      </c>
      <c r="AD7" s="1" t="s">
        <v>1217</v>
      </c>
      <c r="AE7" s="1"/>
    </row>
    <row r="8" spans="3:31" x14ac:dyDescent="0.25">
      <c r="C8" s="87" t="s">
        <v>34</v>
      </c>
      <c r="D8" s="4" t="s">
        <v>35</v>
      </c>
      <c r="E8" s="4" t="s">
        <v>35</v>
      </c>
      <c r="F8" s="4" t="s">
        <v>36</v>
      </c>
      <c r="G8" s="4" t="s">
        <v>37</v>
      </c>
      <c r="H8" s="4" t="s">
        <v>38</v>
      </c>
      <c r="I8" s="4"/>
      <c r="J8" s="4">
        <v>0</v>
      </c>
      <c r="K8" s="4"/>
      <c r="L8" s="4" t="s">
        <v>39</v>
      </c>
      <c r="M8" s="4" t="s">
        <v>40</v>
      </c>
      <c r="N8" s="4" t="s">
        <v>41</v>
      </c>
      <c r="O8" s="4" t="s">
        <v>34</v>
      </c>
      <c r="P8" s="4" t="s">
        <v>42</v>
      </c>
      <c r="Q8" s="50" t="s">
        <v>43</v>
      </c>
      <c r="R8" s="50"/>
      <c r="S8" s="50">
        <v>0</v>
      </c>
      <c r="T8" s="4" t="s">
        <v>43</v>
      </c>
      <c r="U8" s="4" t="s">
        <v>43</v>
      </c>
      <c r="AD8" s="91">
        <f>SUMPRODUCT($W$6:$AC$6,W8:AC8)</f>
        <v>0</v>
      </c>
      <c r="AE8" s="48" t="e">
        <f>VLOOKUP(C8,#REF!,1,0)</f>
        <v>#REF!</v>
      </c>
    </row>
    <row r="9" spans="3:31" x14ac:dyDescent="0.25">
      <c r="C9" s="87" t="s">
        <v>44</v>
      </c>
      <c r="D9" s="4" t="s">
        <v>45</v>
      </c>
      <c r="E9" s="4" t="s">
        <v>45</v>
      </c>
      <c r="F9" s="4" t="s">
        <v>36</v>
      </c>
      <c r="G9" s="4" t="s">
        <v>37</v>
      </c>
      <c r="H9" s="4" t="s">
        <v>46</v>
      </c>
      <c r="I9" s="4"/>
      <c r="J9" s="4">
        <v>0</v>
      </c>
      <c r="K9" s="4"/>
      <c r="L9" s="4" t="s">
        <v>47</v>
      </c>
      <c r="M9" s="4" t="s">
        <v>40</v>
      </c>
      <c r="N9" s="4" t="s">
        <v>41</v>
      </c>
      <c r="O9" s="4" t="s">
        <v>44</v>
      </c>
      <c r="P9" s="4" t="s">
        <v>42</v>
      </c>
      <c r="Q9" s="50" t="s">
        <v>43</v>
      </c>
      <c r="R9" s="50"/>
      <c r="S9" s="50">
        <v>0</v>
      </c>
      <c r="T9" s="4" t="s">
        <v>43</v>
      </c>
      <c r="U9" s="4" t="s">
        <v>43</v>
      </c>
      <c r="AD9" s="91">
        <f t="shared" ref="AD9:AD72" si="1">SUMPRODUCT($W$6:$AC$6,W9:AC9)</f>
        <v>0</v>
      </c>
      <c r="AE9" s="48" t="e">
        <f>VLOOKUP(C9,#REF!,1,0)</f>
        <v>#REF!</v>
      </c>
    </row>
    <row r="10" spans="3:31" x14ac:dyDescent="0.25">
      <c r="C10" s="87" t="s">
        <v>48</v>
      </c>
      <c r="D10" s="4" t="s">
        <v>49</v>
      </c>
      <c r="E10" s="4" t="s">
        <v>49</v>
      </c>
      <c r="F10" s="4" t="s">
        <v>36</v>
      </c>
      <c r="G10" s="4" t="s">
        <v>37</v>
      </c>
      <c r="H10" s="4" t="s">
        <v>38</v>
      </c>
      <c r="I10" s="4"/>
      <c r="J10" s="4" t="s">
        <v>50</v>
      </c>
      <c r="K10" s="4"/>
      <c r="L10" s="4" t="s">
        <v>51</v>
      </c>
      <c r="M10" s="4" t="s">
        <v>40</v>
      </c>
      <c r="N10" s="4" t="s">
        <v>41</v>
      </c>
      <c r="O10" s="4" t="s">
        <v>48</v>
      </c>
      <c r="P10" s="4" t="s">
        <v>42</v>
      </c>
      <c r="Q10" s="50" t="s">
        <v>43</v>
      </c>
      <c r="R10" s="50"/>
      <c r="S10" s="50">
        <v>0</v>
      </c>
      <c r="T10" s="4" t="s">
        <v>43</v>
      </c>
      <c r="U10" s="4" t="s">
        <v>43</v>
      </c>
      <c r="AD10" s="91">
        <f t="shared" si="1"/>
        <v>0</v>
      </c>
      <c r="AE10" s="48" t="e">
        <f>VLOOKUP(C10,#REF!,1,0)</f>
        <v>#REF!</v>
      </c>
    </row>
    <row r="11" spans="3:31" x14ac:dyDescent="0.25">
      <c r="C11" s="87" t="s">
        <v>52</v>
      </c>
      <c r="D11" s="4" t="s">
        <v>53</v>
      </c>
      <c r="E11" s="4" t="s">
        <v>53</v>
      </c>
      <c r="F11" s="4" t="s">
        <v>36</v>
      </c>
      <c r="G11" s="4" t="s">
        <v>37</v>
      </c>
      <c r="H11" s="4" t="s">
        <v>38</v>
      </c>
      <c r="I11" s="4"/>
      <c r="J11" s="4">
        <v>0</v>
      </c>
      <c r="K11" s="4"/>
      <c r="L11" s="4" t="s">
        <v>54</v>
      </c>
      <c r="M11" s="4" t="s">
        <v>55</v>
      </c>
      <c r="N11" s="4" t="s">
        <v>41</v>
      </c>
      <c r="O11" s="4" t="s">
        <v>52</v>
      </c>
      <c r="P11" s="4" t="s">
        <v>42</v>
      </c>
      <c r="Q11" s="50" t="s">
        <v>43</v>
      </c>
      <c r="R11" s="50"/>
      <c r="S11" s="50">
        <v>0</v>
      </c>
      <c r="T11" s="4" t="s">
        <v>43</v>
      </c>
      <c r="U11" s="4" t="s">
        <v>43</v>
      </c>
      <c r="AD11" s="91">
        <f t="shared" si="1"/>
        <v>0</v>
      </c>
      <c r="AE11" s="48" t="e">
        <f>VLOOKUP(C11,#REF!,1,0)</f>
        <v>#REF!</v>
      </c>
    </row>
    <row r="12" spans="3:31" x14ac:dyDescent="0.25">
      <c r="C12" s="87" t="s">
        <v>56</v>
      </c>
      <c r="D12" s="4" t="s">
        <v>57</v>
      </c>
      <c r="E12" s="4" t="s">
        <v>57</v>
      </c>
      <c r="F12" s="4" t="s">
        <v>36</v>
      </c>
      <c r="G12" s="4" t="s">
        <v>37</v>
      </c>
      <c r="H12" s="4" t="s">
        <v>38</v>
      </c>
      <c r="I12" s="4"/>
      <c r="J12" s="4" t="s">
        <v>58</v>
      </c>
      <c r="K12" s="4"/>
      <c r="L12" s="4" t="s">
        <v>59</v>
      </c>
      <c r="M12" s="4" t="s">
        <v>40</v>
      </c>
      <c r="N12" s="4" t="s">
        <v>41</v>
      </c>
      <c r="O12" s="4" t="s">
        <v>56</v>
      </c>
      <c r="P12" s="4" t="s">
        <v>42</v>
      </c>
      <c r="Q12" s="50" t="s">
        <v>43</v>
      </c>
      <c r="R12" s="50"/>
      <c r="S12" s="50">
        <v>0</v>
      </c>
      <c r="T12" s="4" t="s">
        <v>43</v>
      </c>
      <c r="U12" s="4" t="s">
        <v>43</v>
      </c>
      <c r="AD12" s="91">
        <f t="shared" si="1"/>
        <v>0</v>
      </c>
      <c r="AE12" s="48" t="e">
        <f>VLOOKUP(C12,#REF!,1,0)</f>
        <v>#REF!</v>
      </c>
    </row>
    <row r="13" spans="3:31" x14ac:dyDescent="0.25">
      <c r="C13" s="87" t="s">
        <v>60</v>
      </c>
      <c r="D13" s="4" t="s">
        <v>61</v>
      </c>
      <c r="E13" s="4" t="s">
        <v>62</v>
      </c>
      <c r="F13" s="4" t="s">
        <v>36</v>
      </c>
      <c r="G13" s="4" t="s">
        <v>37</v>
      </c>
      <c r="H13" s="4" t="s">
        <v>38</v>
      </c>
      <c r="I13" s="4"/>
      <c r="J13" s="4" t="s">
        <v>63</v>
      </c>
      <c r="K13" s="4"/>
      <c r="L13" s="4" t="s">
        <v>64</v>
      </c>
      <c r="M13" s="4" t="s">
        <v>40</v>
      </c>
      <c r="N13" s="4" t="s">
        <v>41</v>
      </c>
      <c r="O13" s="4" t="s">
        <v>60</v>
      </c>
      <c r="P13" s="4" t="s">
        <v>42</v>
      </c>
      <c r="Q13" s="50" t="s">
        <v>43</v>
      </c>
      <c r="R13" s="50"/>
      <c r="S13" s="50">
        <v>0</v>
      </c>
      <c r="T13" s="4" t="s">
        <v>43</v>
      </c>
      <c r="U13" s="4" t="s">
        <v>43</v>
      </c>
      <c r="AD13" s="91">
        <f t="shared" si="1"/>
        <v>0</v>
      </c>
      <c r="AE13" s="48" t="e">
        <f>VLOOKUP(C13,#REF!,1,0)</f>
        <v>#REF!</v>
      </c>
    </row>
    <row r="14" spans="3:31" x14ac:dyDescent="0.25">
      <c r="C14" s="87" t="s">
        <v>65</v>
      </c>
      <c r="D14" s="4" t="s">
        <v>66</v>
      </c>
      <c r="E14" s="4" t="s">
        <v>66</v>
      </c>
      <c r="F14" s="4" t="s">
        <v>36</v>
      </c>
      <c r="G14" s="4" t="s">
        <v>37</v>
      </c>
      <c r="H14" s="4" t="s">
        <v>38</v>
      </c>
      <c r="I14" s="4"/>
      <c r="J14" s="4" t="s">
        <v>67</v>
      </c>
      <c r="K14" s="4"/>
      <c r="L14" s="4" t="s">
        <v>59</v>
      </c>
      <c r="M14" s="4" t="s">
        <v>40</v>
      </c>
      <c r="N14" s="4" t="s">
        <v>41</v>
      </c>
      <c r="O14" s="4" t="s">
        <v>65</v>
      </c>
      <c r="P14" s="4" t="s">
        <v>42</v>
      </c>
      <c r="Q14" s="50" t="s">
        <v>43</v>
      </c>
      <c r="R14" s="50"/>
      <c r="S14" s="50">
        <v>0</v>
      </c>
      <c r="T14" s="4" t="s">
        <v>43</v>
      </c>
      <c r="U14" s="4" t="s">
        <v>43</v>
      </c>
      <c r="AD14" s="91">
        <f t="shared" si="1"/>
        <v>0</v>
      </c>
      <c r="AE14" s="48" t="e">
        <f>VLOOKUP(C14,#REF!,1,0)</f>
        <v>#REF!</v>
      </c>
    </row>
    <row r="15" spans="3:31" x14ac:dyDescent="0.25">
      <c r="C15" s="87" t="s">
        <v>68</v>
      </c>
      <c r="D15" s="4" t="s">
        <v>69</v>
      </c>
      <c r="E15" s="4" t="s">
        <v>70</v>
      </c>
      <c r="F15" s="4" t="s">
        <v>36</v>
      </c>
      <c r="G15" s="4" t="s">
        <v>37</v>
      </c>
      <c r="H15" s="4" t="s">
        <v>38</v>
      </c>
      <c r="I15" s="4"/>
      <c r="J15" s="4" t="s">
        <v>58</v>
      </c>
      <c r="K15" s="4"/>
      <c r="L15" s="4" t="s">
        <v>64</v>
      </c>
      <c r="M15" s="4" t="s">
        <v>40</v>
      </c>
      <c r="N15" s="4" t="s">
        <v>41</v>
      </c>
      <c r="O15" s="4" t="s">
        <v>68</v>
      </c>
      <c r="P15" s="4" t="s">
        <v>42</v>
      </c>
      <c r="Q15" s="50" t="s">
        <v>43</v>
      </c>
      <c r="R15" s="50"/>
      <c r="S15" s="50">
        <v>0</v>
      </c>
      <c r="T15" s="4" t="s">
        <v>43</v>
      </c>
      <c r="U15" s="4" t="s">
        <v>43</v>
      </c>
      <c r="AD15" s="90">
        <f t="shared" si="1"/>
        <v>0</v>
      </c>
      <c r="AE15" s="48" t="e">
        <f>VLOOKUP(C15,#REF!,1,0)</f>
        <v>#REF!</v>
      </c>
    </row>
    <row r="16" spans="3:31" x14ac:dyDescent="0.25">
      <c r="C16" s="87" t="s">
        <v>71</v>
      </c>
      <c r="D16" s="4" t="s">
        <v>72</v>
      </c>
      <c r="E16" s="4" t="s">
        <v>72</v>
      </c>
      <c r="F16" s="92">
        <v>0</v>
      </c>
      <c r="G16" s="4" t="s">
        <v>37</v>
      </c>
      <c r="H16" s="4" t="s">
        <v>46</v>
      </c>
      <c r="I16" s="4"/>
      <c r="J16" s="4" t="s">
        <v>73</v>
      </c>
      <c r="K16" s="4"/>
      <c r="L16" s="4" t="s">
        <v>74</v>
      </c>
      <c r="M16" s="4" t="s">
        <v>40</v>
      </c>
      <c r="N16" s="4" t="s">
        <v>41</v>
      </c>
      <c r="O16" s="4" t="s">
        <v>71</v>
      </c>
      <c r="P16" s="4" t="s">
        <v>42</v>
      </c>
      <c r="Q16" s="50" t="s">
        <v>43</v>
      </c>
      <c r="R16" s="50"/>
      <c r="S16" s="50">
        <v>0</v>
      </c>
      <c r="T16" s="4" t="s">
        <v>43</v>
      </c>
      <c r="U16" s="4" t="s">
        <v>43</v>
      </c>
      <c r="AD16" s="91">
        <f t="shared" si="1"/>
        <v>0</v>
      </c>
      <c r="AE16" s="48" t="e">
        <f>VLOOKUP(C16,#REF!,1,0)</f>
        <v>#REF!</v>
      </c>
    </row>
    <row r="17" spans="3:31" x14ac:dyDescent="0.25">
      <c r="C17" s="87" t="s">
        <v>75</v>
      </c>
      <c r="D17" s="4" t="s">
        <v>76</v>
      </c>
      <c r="E17" s="4" t="s">
        <v>77</v>
      </c>
      <c r="F17" s="4" t="s">
        <v>36</v>
      </c>
      <c r="G17" s="4" t="s">
        <v>37</v>
      </c>
      <c r="H17" s="4" t="s">
        <v>38</v>
      </c>
      <c r="I17" s="4"/>
      <c r="J17" s="4">
        <v>0</v>
      </c>
      <c r="K17" s="4"/>
      <c r="L17" s="4" t="s">
        <v>78</v>
      </c>
      <c r="M17" s="4" t="s">
        <v>40</v>
      </c>
      <c r="N17" s="4" t="s">
        <v>41</v>
      </c>
      <c r="O17" s="4" t="s">
        <v>75</v>
      </c>
      <c r="P17" s="4" t="s">
        <v>42</v>
      </c>
      <c r="Q17" s="50" t="s">
        <v>43</v>
      </c>
      <c r="R17" s="50"/>
      <c r="S17" s="50">
        <v>0</v>
      </c>
      <c r="T17" s="4" t="s">
        <v>43</v>
      </c>
      <c r="U17" s="4" t="s">
        <v>43</v>
      </c>
      <c r="AD17" s="91">
        <f t="shared" si="1"/>
        <v>0</v>
      </c>
      <c r="AE17" s="48" t="e">
        <f>VLOOKUP(C17,#REF!,1,0)</f>
        <v>#REF!</v>
      </c>
    </row>
    <row r="18" spans="3:31" x14ac:dyDescent="0.25">
      <c r="C18" s="87" t="s">
        <v>79</v>
      </c>
      <c r="D18" s="4" t="s">
        <v>80</v>
      </c>
      <c r="E18" s="4" t="s">
        <v>80</v>
      </c>
      <c r="F18" s="4" t="s">
        <v>36</v>
      </c>
      <c r="G18" s="4" t="s">
        <v>37</v>
      </c>
      <c r="H18" s="4" t="s">
        <v>81</v>
      </c>
      <c r="I18" s="4"/>
      <c r="J18" s="4">
        <v>0</v>
      </c>
      <c r="K18" s="4"/>
      <c r="L18" s="4" t="s">
        <v>59</v>
      </c>
      <c r="M18" s="4" t="s">
        <v>40</v>
      </c>
      <c r="N18" s="4" t="s">
        <v>41</v>
      </c>
      <c r="O18" s="4" t="s">
        <v>79</v>
      </c>
      <c r="P18" s="4" t="s">
        <v>42</v>
      </c>
      <c r="Q18" s="50" t="s">
        <v>43</v>
      </c>
      <c r="R18" s="50"/>
      <c r="S18" s="50">
        <v>0</v>
      </c>
      <c r="T18" s="4" t="s">
        <v>43</v>
      </c>
      <c r="U18" s="4" t="s">
        <v>43</v>
      </c>
      <c r="AD18" s="91">
        <f t="shared" si="1"/>
        <v>0</v>
      </c>
      <c r="AE18" s="48" t="e">
        <f>VLOOKUP(C18,#REF!,1,0)</f>
        <v>#REF!</v>
      </c>
    </row>
    <row r="19" spans="3:31" x14ac:dyDescent="0.25">
      <c r="C19" s="87" t="s">
        <v>82</v>
      </c>
      <c r="D19" s="4" t="s">
        <v>83</v>
      </c>
      <c r="E19" s="4" t="s">
        <v>83</v>
      </c>
      <c r="F19" s="4" t="s">
        <v>36</v>
      </c>
      <c r="G19" s="4" t="s">
        <v>37</v>
      </c>
      <c r="H19" s="4" t="s">
        <v>81</v>
      </c>
      <c r="I19" s="4"/>
      <c r="J19" s="4" t="s">
        <v>84</v>
      </c>
      <c r="K19" s="4"/>
      <c r="L19" s="4" t="s">
        <v>85</v>
      </c>
      <c r="M19" s="4" t="s">
        <v>55</v>
      </c>
      <c r="N19" s="4" t="s">
        <v>41</v>
      </c>
      <c r="O19" s="4" t="s">
        <v>82</v>
      </c>
      <c r="P19" s="4" t="s">
        <v>42</v>
      </c>
      <c r="Q19" s="50" t="s">
        <v>43</v>
      </c>
      <c r="R19" s="50"/>
      <c r="S19" s="50">
        <v>0</v>
      </c>
      <c r="T19" s="4" t="s">
        <v>43</v>
      </c>
      <c r="U19" s="4" t="s">
        <v>43</v>
      </c>
      <c r="AD19" s="91">
        <f t="shared" si="1"/>
        <v>0</v>
      </c>
      <c r="AE19" s="48" t="e">
        <f>VLOOKUP(C19,#REF!,1,0)</f>
        <v>#REF!</v>
      </c>
    </row>
    <row r="20" spans="3:31" x14ac:dyDescent="0.25">
      <c r="C20" s="87" t="s">
        <v>86</v>
      </c>
      <c r="D20" s="4" t="s">
        <v>87</v>
      </c>
      <c r="E20" s="4" t="s">
        <v>87</v>
      </c>
      <c r="F20" s="4" t="s">
        <v>36</v>
      </c>
      <c r="G20" s="4" t="s">
        <v>37</v>
      </c>
      <c r="H20" s="4" t="s">
        <v>88</v>
      </c>
      <c r="I20" s="4"/>
      <c r="J20" s="4" t="s">
        <v>89</v>
      </c>
      <c r="K20" s="4"/>
      <c r="L20" s="4" t="s">
        <v>90</v>
      </c>
      <c r="M20" s="4" t="s">
        <v>91</v>
      </c>
      <c r="N20" s="4" t="s">
        <v>41</v>
      </c>
      <c r="O20" s="4" t="s">
        <v>86</v>
      </c>
      <c r="P20" s="4" t="s">
        <v>42</v>
      </c>
      <c r="Q20" s="50" t="s">
        <v>43</v>
      </c>
      <c r="R20" s="50"/>
      <c r="S20" s="50">
        <v>0</v>
      </c>
      <c r="T20" s="4" t="s">
        <v>43</v>
      </c>
      <c r="U20" s="4" t="s">
        <v>43</v>
      </c>
      <c r="AD20" s="91">
        <f t="shared" si="1"/>
        <v>0</v>
      </c>
      <c r="AE20" s="48" t="e">
        <f>VLOOKUP(C20,#REF!,1,0)</f>
        <v>#REF!</v>
      </c>
    </row>
    <row r="21" spans="3:31" x14ac:dyDescent="0.25">
      <c r="C21" s="87" t="s">
        <v>92</v>
      </c>
      <c r="D21" s="4" t="s">
        <v>93</v>
      </c>
      <c r="E21" s="4" t="s">
        <v>93</v>
      </c>
      <c r="F21" s="4" t="s">
        <v>36</v>
      </c>
      <c r="G21" s="4" t="s">
        <v>37</v>
      </c>
      <c r="H21" s="4" t="s">
        <v>81</v>
      </c>
      <c r="I21" s="4"/>
      <c r="J21" s="4" t="s">
        <v>94</v>
      </c>
      <c r="K21" s="4"/>
      <c r="L21" s="4" t="s">
        <v>64</v>
      </c>
      <c r="M21" s="4" t="s">
        <v>40</v>
      </c>
      <c r="N21" s="4" t="s">
        <v>41</v>
      </c>
      <c r="O21" s="4" t="s">
        <v>92</v>
      </c>
      <c r="P21" s="4" t="s">
        <v>42</v>
      </c>
      <c r="Q21" s="50" t="s">
        <v>43</v>
      </c>
      <c r="R21" s="50"/>
      <c r="S21" s="50">
        <v>0</v>
      </c>
      <c r="T21" s="4" t="s">
        <v>43</v>
      </c>
      <c r="U21" s="4" t="s">
        <v>43</v>
      </c>
      <c r="AD21" s="91">
        <f t="shared" si="1"/>
        <v>0</v>
      </c>
      <c r="AE21" s="48" t="e">
        <f>VLOOKUP(C21,#REF!,1,0)</f>
        <v>#REF!</v>
      </c>
    </row>
    <row r="22" spans="3:31" x14ac:dyDescent="0.25">
      <c r="C22" s="87" t="s">
        <v>95</v>
      </c>
      <c r="D22" s="4" t="s">
        <v>96</v>
      </c>
      <c r="E22" s="4" t="s">
        <v>96</v>
      </c>
      <c r="F22" s="4" t="s">
        <v>36</v>
      </c>
      <c r="G22" s="4" t="s">
        <v>37</v>
      </c>
      <c r="H22" s="4" t="s">
        <v>81</v>
      </c>
      <c r="I22" s="4"/>
      <c r="J22" s="4">
        <v>0</v>
      </c>
      <c r="K22" s="4"/>
      <c r="L22" s="4" t="s">
        <v>97</v>
      </c>
      <c r="M22" s="4" t="s">
        <v>40</v>
      </c>
      <c r="N22" s="4" t="s">
        <v>41</v>
      </c>
      <c r="O22" s="4" t="s">
        <v>95</v>
      </c>
      <c r="P22" s="4" t="s">
        <v>42</v>
      </c>
      <c r="Q22" s="50" t="s">
        <v>43</v>
      </c>
      <c r="R22" s="50"/>
      <c r="S22" s="50">
        <v>0</v>
      </c>
      <c r="T22" s="4" t="s">
        <v>43</v>
      </c>
      <c r="U22" s="4" t="s">
        <v>43</v>
      </c>
      <c r="AD22" s="91">
        <f t="shared" si="1"/>
        <v>0</v>
      </c>
      <c r="AE22" s="48" t="e">
        <f>VLOOKUP(C22,#REF!,1,0)</f>
        <v>#REF!</v>
      </c>
    </row>
    <row r="23" spans="3:31" x14ac:dyDescent="0.25">
      <c r="C23" s="87" t="s">
        <v>98</v>
      </c>
      <c r="D23" s="4" t="s">
        <v>99</v>
      </c>
      <c r="E23" s="4" t="s">
        <v>99</v>
      </c>
      <c r="F23" s="4" t="s">
        <v>36</v>
      </c>
      <c r="G23" s="4" t="s">
        <v>37</v>
      </c>
      <c r="H23" s="4" t="s">
        <v>81</v>
      </c>
      <c r="I23" s="4"/>
      <c r="J23" s="4" t="s">
        <v>100</v>
      </c>
      <c r="K23" s="4"/>
      <c r="L23" s="4" t="s">
        <v>59</v>
      </c>
      <c r="M23" s="4" t="s">
        <v>40</v>
      </c>
      <c r="N23" s="4" t="s">
        <v>41</v>
      </c>
      <c r="O23" s="4" t="s">
        <v>98</v>
      </c>
      <c r="P23" s="4" t="s">
        <v>42</v>
      </c>
      <c r="Q23" s="50" t="s">
        <v>43</v>
      </c>
      <c r="R23" s="50"/>
      <c r="S23" s="50">
        <v>0</v>
      </c>
      <c r="T23" s="4" t="s">
        <v>43</v>
      </c>
      <c r="U23" s="4" t="s">
        <v>43</v>
      </c>
      <c r="AD23" s="91">
        <f t="shared" si="1"/>
        <v>0</v>
      </c>
      <c r="AE23" s="48" t="e">
        <f>VLOOKUP(C23,#REF!,1,0)</f>
        <v>#REF!</v>
      </c>
    </row>
    <row r="24" spans="3:31" x14ac:dyDescent="0.25">
      <c r="C24" s="87" t="s">
        <v>101</v>
      </c>
      <c r="D24" s="4" t="s">
        <v>102</v>
      </c>
      <c r="E24" s="4" t="s">
        <v>102</v>
      </c>
      <c r="F24" s="4" t="s">
        <v>36</v>
      </c>
      <c r="G24" s="4" t="s">
        <v>37</v>
      </c>
      <c r="H24" s="4" t="s">
        <v>81</v>
      </c>
      <c r="I24" s="4"/>
      <c r="J24" s="4" t="s">
        <v>73</v>
      </c>
      <c r="K24" s="4"/>
      <c r="L24" s="4" t="s">
        <v>103</v>
      </c>
      <c r="M24" s="4" t="s">
        <v>104</v>
      </c>
      <c r="N24" s="4" t="s">
        <v>41</v>
      </c>
      <c r="O24" s="4" t="s">
        <v>101</v>
      </c>
      <c r="P24" s="4" t="s">
        <v>42</v>
      </c>
      <c r="Q24" s="50" t="s">
        <v>43</v>
      </c>
      <c r="R24" s="50"/>
      <c r="S24" s="50">
        <v>0</v>
      </c>
      <c r="T24" s="4" t="s">
        <v>43</v>
      </c>
      <c r="U24" s="4" t="s">
        <v>43</v>
      </c>
      <c r="AD24" s="91">
        <f t="shared" si="1"/>
        <v>0</v>
      </c>
      <c r="AE24" s="48" t="e">
        <f>VLOOKUP(C24,#REF!,1,0)</f>
        <v>#REF!</v>
      </c>
    </row>
    <row r="25" spans="3:31" x14ac:dyDescent="0.25">
      <c r="C25" s="87" t="s">
        <v>105</v>
      </c>
      <c r="D25" s="4" t="s">
        <v>106</v>
      </c>
      <c r="E25" s="4" t="s">
        <v>106</v>
      </c>
      <c r="F25" s="4" t="s">
        <v>36</v>
      </c>
      <c r="G25" s="4" t="s">
        <v>37</v>
      </c>
      <c r="H25" s="4" t="s">
        <v>81</v>
      </c>
      <c r="I25" s="4"/>
      <c r="J25" s="4" t="s">
        <v>100</v>
      </c>
      <c r="K25" s="4"/>
      <c r="L25" s="4" t="s">
        <v>59</v>
      </c>
      <c r="M25" s="4" t="s">
        <v>40</v>
      </c>
      <c r="N25" s="4" t="s">
        <v>41</v>
      </c>
      <c r="O25" s="4" t="s">
        <v>105</v>
      </c>
      <c r="P25" s="4" t="s">
        <v>42</v>
      </c>
      <c r="Q25" s="50" t="s">
        <v>43</v>
      </c>
      <c r="R25" s="50"/>
      <c r="S25" s="50">
        <v>0</v>
      </c>
      <c r="T25" s="4" t="s">
        <v>43</v>
      </c>
      <c r="U25" s="4" t="s">
        <v>43</v>
      </c>
      <c r="AD25" s="91">
        <f t="shared" si="1"/>
        <v>0</v>
      </c>
      <c r="AE25" s="48" t="e">
        <f>VLOOKUP(C25,#REF!,1,0)</f>
        <v>#REF!</v>
      </c>
    </row>
    <row r="26" spans="3:31" x14ac:dyDescent="0.25">
      <c r="C26" s="87" t="s">
        <v>107</v>
      </c>
      <c r="D26" s="4" t="s">
        <v>108</v>
      </c>
      <c r="E26" s="4" t="s">
        <v>108</v>
      </c>
      <c r="F26" s="4" t="s">
        <v>36</v>
      </c>
      <c r="G26" s="4" t="s">
        <v>37</v>
      </c>
      <c r="H26" s="4" t="s">
        <v>81</v>
      </c>
      <c r="I26" s="4"/>
      <c r="J26" s="4" t="s">
        <v>89</v>
      </c>
      <c r="K26" s="4"/>
      <c r="L26" s="4" t="s">
        <v>109</v>
      </c>
      <c r="M26" s="4" t="s">
        <v>91</v>
      </c>
      <c r="N26" s="4" t="s">
        <v>41</v>
      </c>
      <c r="O26" s="4" t="s">
        <v>107</v>
      </c>
      <c r="P26" s="4" t="s">
        <v>42</v>
      </c>
      <c r="Q26" s="50" t="s">
        <v>43</v>
      </c>
      <c r="R26" s="50"/>
      <c r="S26" s="50">
        <v>0</v>
      </c>
      <c r="T26" s="4" t="s">
        <v>43</v>
      </c>
      <c r="U26" s="4" t="s">
        <v>43</v>
      </c>
      <c r="AD26" s="91">
        <f t="shared" si="1"/>
        <v>0</v>
      </c>
      <c r="AE26" s="48" t="e">
        <f>VLOOKUP(C26,#REF!,1,0)</f>
        <v>#REF!</v>
      </c>
    </row>
    <row r="27" spans="3:31" x14ac:dyDescent="0.25">
      <c r="C27" s="87" t="s">
        <v>110</v>
      </c>
      <c r="D27" s="4" t="s">
        <v>111</v>
      </c>
      <c r="E27" s="4" t="s">
        <v>111</v>
      </c>
      <c r="F27" s="4" t="s">
        <v>36</v>
      </c>
      <c r="G27" s="4" t="s">
        <v>37</v>
      </c>
      <c r="H27" s="4" t="s">
        <v>81</v>
      </c>
      <c r="I27" s="4"/>
      <c r="J27" s="4" t="s">
        <v>58</v>
      </c>
      <c r="K27" s="4"/>
      <c r="L27" s="4" t="s">
        <v>59</v>
      </c>
      <c r="M27" s="4" t="s">
        <v>40</v>
      </c>
      <c r="N27" s="4" t="s">
        <v>41</v>
      </c>
      <c r="O27" s="4" t="s">
        <v>110</v>
      </c>
      <c r="P27" s="4" t="s">
        <v>42</v>
      </c>
      <c r="Q27" s="50" t="s">
        <v>43</v>
      </c>
      <c r="R27" s="50"/>
      <c r="S27" s="50">
        <v>0</v>
      </c>
      <c r="T27" s="4" t="s">
        <v>43</v>
      </c>
      <c r="U27" s="4" t="s">
        <v>43</v>
      </c>
      <c r="AD27" s="91">
        <f t="shared" si="1"/>
        <v>0</v>
      </c>
      <c r="AE27" s="48" t="e">
        <f>VLOOKUP(C27,#REF!,1,0)</f>
        <v>#REF!</v>
      </c>
    </row>
    <row r="28" spans="3:31" x14ac:dyDescent="0.25">
      <c r="C28" s="87" t="s">
        <v>112</v>
      </c>
      <c r="D28" s="4" t="s">
        <v>113</v>
      </c>
      <c r="E28" s="4" t="s">
        <v>114</v>
      </c>
      <c r="F28" s="4" t="s">
        <v>36</v>
      </c>
      <c r="G28" s="4" t="s">
        <v>37</v>
      </c>
      <c r="H28" s="4" t="s">
        <v>81</v>
      </c>
      <c r="I28" s="4"/>
      <c r="J28" s="4" t="s">
        <v>73</v>
      </c>
      <c r="K28" s="4"/>
      <c r="L28" s="4" t="s">
        <v>115</v>
      </c>
      <c r="M28" s="4" t="s">
        <v>116</v>
      </c>
      <c r="N28" s="4" t="s">
        <v>41</v>
      </c>
      <c r="O28" s="4" t="s">
        <v>112</v>
      </c>
      <c r="P28" s="4" t="s">
        <v>42</v>
      </c>
      <c r="Q28" s="50" t="s">
        <v>43</v>
      </c>
      <c r="R28" s="50"/>
      <c r="S28" s="50">
        <v>0</v>
      </c>
      <c r="T28" s="4" t="s">
        <v>43</v>
      </c>
      <c r="U28" s="4" t="s">
        <v>43</v>
      </c>
      <c r="AD28" s="91">
        <f t="shared" si="1"/>
        <v>0</v>
      </c>
      <c r="AE28" s="48" t="e">
        <f>VLOOKUP(C28,#REF!,1,0)</f>
        <v>#REF!</v>
      </c>
    </row>
    <row r="29" spans="3:31" x14ac:dyDescent="0.25">
      <c r="C29" s="87" t="s">
        <v>117</v>
      </c>
      <c r="D29" s="4" t="s">
        <v>118</v>
      </c>
      <c r="E29" s="4" t="s">
        <v>118</v>
      </c>
      <c r="F29" s="4" t="s">
        <v>36</v>
      </c>
      <c r="G29" s="4" t="s">
        <v>37</v>
      </c>
      <c r="H29" s="4" t="s">
        <v>81</v>
      </c>
      <c r="I29" s="4"/>
      <c r="J29" s="4">
        <v>0</v>
      </c>
      <c r="K29" s="4"/>
      <c r="L29" s="4" t="s">
        <v>59</v>
      </c>
      <c r="M29" s="4" t="s">
        <v>40</v>
      </c>
      <c r="N29" s="4" t="s">
        <v>41</v>
      </c>
      <c r="O29" s="4" t="s">
        <v>117</v>
      </c>
      <c r="P29" s="4" t="s">
        <v>42</v>
      </c>
      <c r="Q29" s="50" t="s">
        <v>43</v>
      </c>
      <c r="R29" s="50"/>
      <c r="S29" s="50">
        <v>0</v>
      </c>
      <c r="T29" s="4" t="s">
        <v>43</v>
      </c>
      <c r="U29" s="4" t="s">
        <v>43</v>
      </c>
      <c r="AD29" s="91">
        <f t="shared" si="1"/>
        <v>0</v>
      </c>
      <c r="AE29" s="48" t="e">
        <f>VLOOKUP(C29,#REF!,1,0)</f>
        <v>#REF!</v>
      </c>
    </row>
    <row r="30" spans="3:31" x14ac:dyDescent="0.25">
      <c r="C30" s="87" t="s">
        <v>119</v>
      </c>
      <c r="D30" s="4" t="s">
        <v>120</v>
      </c>
      <c r="E30" s="4" t="s">
        <v>120</v>
      </c>
      <c r="F30" s="4" t="s">
        <v>36</v>
      </c>
      <c r="G30" s="4" t="s">
        <v>37</v>
      </c>
      <c r="H30" s="4" t="s">
        <v>81</v>
      </c>
      <c r="I30" s="4"/>
      <c r="J30" s="4" t="s">
        <v>63</v>
      </c>
      <c r="K30" s="4"/>
      <c r="L30" s="4" t="s">
        <v>64</v>
      </c>
      <c r="M30" s="4" t="s">
        <v>40</v>
      </c>
      <c r="N30" s="4" t="s">
        <v>41</v>
      </c>
      <c r="O30" s="4" t="s">
        <v>119</v>
      </c>
      <c r="P30" s="4" t="s">
        <v>42</v>
      </c>
      <c r="Q30" s="50" t="s">
        <v>43</v>
      </c>
      <c r="R30" s="50"/>
      <c r="S30" s="50">
        <v>0</v>
      </c>
      <c r="T30" s="4" t="s">
        <v>43</v>
      </c>
      <c r="U30" s="4" t="s">
        <v>43</v>
      </c>
      <c r="AD30" s="91">
        <f t="shared" si="1"/>
        <v>0</v>
      </c>
      <c r="AE30" s="48" t="e">
        <f>VLOOKUP(C30,#REF!,1,0)</f>
        <v>#REF!</v>
      </c>
    </row>
    <row r="31" spans="3:31" x14ac:dyDescent="0.25">
      <c r="C31" s="87" t="s">
        <v>121</v>
      </c>
      <c r="D31" s="4" t="s">
        <v>122</v>
      </c>
      <c r="E31" s="4" t="s">
        <v>123</v>
      </c>
      <c r="F31" s="4" t="s">
        <v>36</v>
      </c>
      <c r="G31" s="4" t="s">
        <v>37</v>
      </c>
      <c r="H31" s="4" t="s">
        <v>81</v>
      </c>
      <c r="I31" s="4"/>
      <c r="J31" s="4" t="s">
        <v>73</v>
      </c>
      <c r="K31" s="4"/>
      <c r="L31" s="4" t="s">
        <v>122</v>
      </c>
      <c r="M31" s="4" t="s">
        <v>104</v>
      </c>
      <c r="N31" s="4" t="s">
        <v>41</v>
      </c>
      <c r="O31" s="4" t="s">
        <v>121</v>
      </c>
      <c r="P31" s="4" t="s">
        <v>42</v>
      </c>
      <c r="Q31" s="50" t="s">
        <v>43</v>
      </c>
      <c r="R31" s="50"/>
      <c r="S31" s="50">
        <v>0</v>
      </c>
      <c r="T31" s="4" t="s">
        <v>43</v>
      </c>
      <c r="U31" s="4" t="s">
        <v>43</v>
      </c>
      <c r="AD31" s="91">
        <f t="shared" si="1"/>
        <v>0</v>
      </c>
      <c r="AE31" s="48" t="e">
        <f>VLOOKUP(C31,#REF!,1,0)</f>
        <v>#REF!</v>
      </c>
    </row>
    <row r="32" spans="3:31" x14ac:dyDescent="0.25">
      <c r="C32" s="87" t="s">
        <v>124</v>
      </c>
      <c r="D32" s="4" t="s">
        <v>125</v>
      </c>
      <c r="E32" s="4" t="s">
        <v>125</v>
      </c>
      <c r="F32" s="4" t="s">
        <v>36</v>
      </c>
      <c r="G32" s="4" t="s">
        <v>37</v>
      </c>
      <c r="H32" s="4" t="s">
        <v>81</v>
      </c>
      <c r="I32" s="4"/>
      <c r="J32" s="4">
        <v>0</v>
      </c>
      <c r="K32" s="4"/>
      <c r="L32" s="4" t="s">
        <v>51</v>
      </c>
      <c r="M32" s="4" t="s">
        <v>40</v>
      </c>
      <c r="N32" s="4" t="s">
        <v>41</v>
      </c>
      <c r="O32" s="4" t="s">
        <v>124</v>
      </c>
      <c r="P32" s="4" t="s">
        <v>42</v>
      </c>
      <c r="Q32" s="50" t="s">
        <v>43</v>
      </c>
      <c r="R32" s="50"/>
      <c r="S32" s="50">
        <v>0</v>
      </c>
      <c r="T32" s="4" t="s">
        <v>43</v>
      </c>
      <c r="U32" s="4" t="s">
        <v>43</v>
      </c>
      <c r="AD32" s="91">
        <f t="shared" si="1"/>
        <v>0</v>
      </c>
      <c r="AE32" s="48" t="e">
        <f>VLOOKUP(C32,#REF!,1,0)</f>
        <v>#REF!</v>
      </c>
    </row>
    <row r="33" spans="3:31" x14ac:dyDescent="0.25">
      <c r="C33" s="87" t="s">
        <v>126</v>
      </c>
      <c r="D33" s="4" t="s">
        <v>127</v>
      </c>
      <c r="E33" s="4" t="s">
        <v>128</v>
      </c>
      <c r="F33" s="4" t="s">
        <v>36</v>
      </c>
      <c r="G33" s="4" t="s">
        <v>37</v>
      </c>
      <c r="H33" s="4" t="s">
        <v>81</v>
      </c>
      <c r="I33" s="4"/>
      <c r="J33" s="4" t="s">
        <v>73</v>
      </c>
      <c r="K33" s="4"/>
      <c r="L33" s="4" t="s">
        <v>129</v>
      </c>
      <c r="M33" s="4" t="s">
        <v>116</v>
      </c>
      <c r="N33" s="4" t="s">
        <v>41</v>
      </c>
      <c r="O33" s="4" t="s">
        <v>126</v>
      </c>
      <c r="P33" s="4" t="s">
        <v>42</v>
      </c>
      <c r="Q33" s="50" t="s">
        <v>43</v>
      </c>
      <c r="R33" s="50"/>
      <c r="S33" s="50">
        <v>0</v>
      </c>
      <c r="T33" s="4" t="s">
        <v>43</v>
      </c>
      <c r="U33" s="4" t="s">
        <v>43</v>
      </c>
      <c r="AD33" s="91">
        <f t="shared" si="1"/>
        <v>0</v>
      </c>
      <c r="AE33" s="48" t="e">
        <f>VLOOKUP(C33,#REF!,1,0)</f>
        <v>#REF!</v>
      </c>
    </row>
    <row r="34" spans="3:31" x14ac:dyDescent="0.25">
      <c r="C34" s="87" t="s">
        <v>130</v>
      </c>
      <c r="D34" s="4" t="s">
        <v>131</v>
      </c>
      <c r="E34" s="4" t="s">
        <v>131</v>
      </c>
      <c r="F34" s="4" t="s">
        <v>36</v>
      </c>
      <c r="G34" s="4" t="s">
        <v>37</v>
      </c>
      <c r="H34" s="4" t="s">
        <v>81</v>
      </c>
      <c r="I34" s="4"/>
      <c r="J34" s="4" t="s">
        <v>132</v>
      </c>
      <c r="K34" s="4"/>
      <c r="L34" s="4" t="s">
        <v>133</v>
      </c>
      <c r="M34" s="4" t="s">
        <v>40</v>
      </c>
      <c r="N34" s="4" t="s">
        <v>41</v>
      </c>
      <c r="O34" s="4" t="s">
        <v>130</v>
      </c>
      <c r="P34" s="4" t="s">
        <v>42</v>
      </c>
      <c r="Q34" s="50" t="s">
        <v>43</v>
      </c>
      <c r="R34" s="50"/>
      <c r="S34" s="50">
        <v>0</v>
      </c>
      <c r="T34" s="4" t="s">
        <v>43</v>
      </c>
      <c r="U34" s="4" t="s">
        <v>43</v>
      </c>
      <c r="AD34" s="91">
        <f t="shared" si="1"/>
        <v>0</v>
      </c>
      <c r="AE34" s="48" t="e">
        <f>VLOOKUP(C34,#REF!,1,0)</f>
        <v>#REF!</v>
      </c>
    </row>
    <row r="35" spans="3:31" x14ac:dyDescent="0.25">
      <c r="C35" s="87" t="s">
        <v>134</v>
      </c>
      <c r="D35" s="4" t="s">
        <v>135</v>
      </c>
      <c r="E35" s="4" t="s">
        <v>135</v>
      </c>
      <c r="F35" s="4" t="s">
        <v>36</v>
      </c>
      <c r="G35" s="4" t="s">
        <v>37</v>
      </c>
      <c r="H35" s="4" t="s">
        <v>81</v>
      </c>
      <c r="I35" s="4"/>
      <c r="J35" s="4" t="s">
        <v>132</v>
      </c>
      <c r="K35" s="4"/>
      <c r="L35" s="4" t="s">
        <v>51</v>
      </c>
      <c r="M35" s="4" t="s">
        <v>40</v>
      </c>
      <c r="N35" s="4" t="s">
        <v>41</v>
      </c>
      <c r="O35" s="4" t="s">
        <v>134</v>
      </c>
      <c r="P35" s="4" t="s">
        <v>42</v>
      </c>
      <c r="Q35" s="50" t="s">
        <v>43</v>
      </c>
      <c r="R35" s="50"/>
      <c r="S35" s="50">
        <v>0</v>
      </c>
      <c r="T35" s="4" t="s">
        <v>43</v>
      </c>
      <c r="U35" s="4" t="s">
        <v>43</v>
      </c>
      <c r="AD35" s="91">
        <f t="shared" si="1"/>
        <v>0</v>
      </c>
      <c r="AE35" s="48" t="e">
        <f>VLOOKUP(C35,#REF!,1,0)</f>
        <v>#REF!</v>
      </c>
    </row>
    <row r="36" spans="3:31" x14ac:dyDescent="0.25">
      <c r="C36" s="87" t="s">
        <v>136</v>
      </c>
      <c r="D36" s="4" t="s">
        <v>137</v>
      </c>
      <c r="E36" s="4" t="s">
        <v>137</v>
      </c>
      <c r="F36" s="4" t="s">
        <v>36</v>
      </c>
      <c r="G36" s="4" t="s">
        <v>37</v>
      </c>
      <c r="H36" s="4" t="s">
        <v>88</v>
      </c>
      <c r="I36" s="4"/>
      <c r="J36" s="4" t="s">
        <v>58</v>
      </c>
      <c r="K36" s="4"/>
      <c r="L36" s="4" t="s">
        <v>138</v>
      </c>
      <c r="M36" s="4" t="s">
        <v>40</v>
      </c>
      <c r="N36" s="4" t="s">
        <v>41</v>
      </c>
      <c r="O36" s="4" t="s">
        <v>136</v>
      </c>
      <c r="P36" s="4" t="s">
        <v>42</v>
      </c>
      <c r="Q36" s="50" t="s">
        <v>43</v>
      </c>
      <c r="R36" s="50"/>
      <c r="S36" s="50">
        <v>0</v>
      </c>
      <c r="T36" s="4" t="s">
        <v>43</v>
      </c>
      <c r="U36" s="4" t="s">
        <v>43</v>
      </c>
      <c r="AD36" s="91">
        <f t="shared" si="1"/>
        <v>0</v>
      </c>
      <c r="AE36" s="48" t="e">
        <f>VLOOKUP(C36,#REF!,1,0)</f>
        <v>#REF!</v>
      </c>
    </row>
    <row r="37" spans="3:31" x14ac:dyDescent="0.25">
      <c r="C37" s="87" t="s">
        <v>139</v>
      </c>
      <c r="D37" s="4" t="s">
        <v>140</v>
      </c>
      <c r="E37" s="4" t="s">
        <v>140</v>
      </c>
      <c r="F37" s="4" t="s">
        <v>36</v>
      </c>
      <c r="G37" s="4" t="s">
        <v>37</v>
      </c>
      <c r="H37" s="4" t="s">
        <v>88</v>
      </c>
      <c r="I37" s="4"/>
      <c r="J37" s="4" t="s">
        <v>89</v>
      </c>
      <c r="K37" s="4"/>
      <c r="L37" s="4" t="s">
        <v>109</v>
      </c>
      <c r="M37" s="4" t="s">
        <v>91</v>
      </c>
      <c r="N37" s="4" t="s">
        <v>41</v>
      </c>
      <c r="O37" s="4" t="s">
        <v>139</v>
      </c>
      <c r="P37" s="4" t="s">
        <v>42</v>
      </c>
      <c r="Q37" s="50" t="s">
        <v>43</v>
      </c>
      <c r="R37" s="50"/>
      <c r="S37" s="50">
        <v>0</v>
      </c>
      <c r="T37" s="4" t="s">
        <v>43</v>
      </c>
      <c r="U37" s="4" t="s">
        <v>43</v>
      </c>
      <c r="AD37" s="91">
        <f t="shared" si="1"/>
        <v>0</v>
      </c>
      <c r="AE37" s="48" t="e">
        <f>VLOOKUP(C37,#REF!,1,0)</f>
        <v>#REF!</v>
      </c>
    </row>
    <row r="38" spans="3:31" x14ac:dyDescent="0.25">
      <c r="C38" s="87" t="s">
        <v>141</v>
      </c>
      <c r="D38" s="4" t="s">
        <v>142</v>
      </c>
      <c r="E38" s="4" t="s">
        <v>142</v>
      </c>
      <c r="F38" s="4" t="s">
        <v>36</v>
      </c>
      <c r="G38" s="4" t="s">
        <v>37</v>
      </c>
      <c r="H38" s="4" t="s">
        <v>81</v>
      </c>
      <c r="I38" s="4"/>
      <c r="J38" s="4">
        <v>0</v>
      </c>
      <c r="K38" s="4"/>
      <c r="L38" s="4" t="s">
        <v>143</v>
      </c>
      <c r="M38" s="4" t="s">
        <v>40</v>
      </c>
      <c r="N38" s="4" t="s">
        <v>41</v>
      </c>
      <c r="O38" s="4" t="s">
        <v>141</v>
      </c>
      <c r="P38" s="4" t="s">
        <v>42</v>
      </c>
      <c r="Q38" s="50" t="s">
        <v>43</v>
      </c>
      <c r="R38" s="50"/>
      <c r="S38" s="50">
        <v>0</v>
      </c>
      <c r="T38" s="4" t="s">
        <v>43</v>
      </c>
      <c r="U38" s="4" t="s">
        <v>43</v>
      </c>
      <c r="AD38" s="91">
        <f t="shared" si="1"/>
        <v>0</v>
      </c>
      <c r="AE38" s="48" t="e">
        <f>VLOOKUP(C38,#REF!,1,0)</f>
        <v>#REF!</v>
      </c>
    </row>
    <row r="39" spans="3:31" x14ac:dyDescent="0.25">
      <c r="C39" s="87" t="s">
        <v>144</v>
      </c>
      <c r="D39" s="4" t="s">
        <v>145</v>
      </c>
      <c r="E39" s="4" t="s">
        <v>145</v>
      </c>
      <c r="F39" s="4" t="s">
        <v>36</v>
      </c>
      <c r="G39" s="4" t="s">
        <v>37</v>
      </c>
      <c r="H39" s="4" t="s">
        <v>46</v>
      </c>
      <c r="I39" s="4"/>
      <c r="J39" s="4" t="s">
        <v>146</v>
      </c>
      <c r="K39" s="4"/>
      <c r="L39" s="4" t="s">
        <v>138</v>
      </c>
      <c r="M39" s="4" t="s">
        <v>40</v>
      </c>
      <c r="N39" s="4" t="s">
        <v>41</v>
      </c>
      <c r="O39" s="4" t="s">
        <v>144</v>
      </c>
      <c r="P39" s="4" t="s">
        <v>42</v>
      </c>
      <c r="Q39" s="50" t="s">
        <v>43</v>
      </c>
      <c r="R39" s="50"/>
      <c r="S39" s="50">
        <v>0</v>
      </c>
      <c r="T39" s="4" t="s">
        <v>43</v>
      </c>
      <c r="U39" s="4" t="s">
        <v>43</v>
      </c>
      <c r="AD39" s="91">
        <f t="shared" si="1"/>
        <v>0</v>
      </c>
      <c r="AE39" s="48" t="e">
        <f>VLOOKUP(C39,#REF!,1,0)</f>
        <v>#REF!</v>
      </c>
    </row>
    <row r="40" spans="3:31" x14ac:dyDescent="0.25">
      <c r="C40" s="87" t="s">
        <v>147</v>
      </c>
      <c r="D40" s="4" t="s">
        <v>148</v>
      </c>
      <c r="E40" s="4" t="s">
        <v>148</v>
      </c>
      <c r="F40" s="4" t="s">
        <v>36</v>
      </c>
      <c r="G40" s="4" t="s">
        <v>37</v>
      </c>
      <c r="H40" s="4" t="s">
        <v>46</v>
      </c>
      <c r="I40" s="4"/>
      <c r="J40" s="4" t="s">
        <v>50</v>
      </c>
      <c r="K40" s="4"/>
      <c r="L40" s="4" t="s">
        <v>51</v>
      </c>
      <c r="M40" s="4" t="s">
        <v>40</v>
      </c>
      <c r="N40" s="4" t="s">
        <v>41</v>
      </c>
      <c r="O40" s="4" t="s">
        <v>147</v>
      </c>
      <c r="P40" s="4" t="s">
        <v>42</v>
      </c>
      <c r="Q40" s="50" t="s">
        <v>43</v>
      </c>
      <c r="R40" s="50"/>
      <c r="S40" s="50">
        <v>0</v>
      </c>
      <c r="T40" s="4" t="s">
        <v>43</v>
      </c>
      <c r="U40" s="4" t="s">
        <v>43</v>
      </c>
      <c r="AD40" s="91">
        <f t="shared" si="1"/>
        <v>0</v>
      </c>
      <c r="AE40" s="48" t="e">
        <f>VLOOKUP(C40,#REF!,1,0)</f>
        <v>#REF!</v>
      </c>
    </row>
    <row r="41" spans="3:31" x14ac:dyDescent="0.25">
      <c r="C41" s="87" t="s">
        <v>149</v>
      </c>
      <c r="D41" s="4" t="s">
        <v>150</v>
      </c>
      <c r="E41" s="4" t="s">
        <v>150</v>
      </c>
      <c r="F41" s="4" t="s">
        <v>36</v>
      </c>
      <c r="G41" s="4" t="s">
        <v>37</v>
      </c>
      <c r="H41" s="4" t="s">
        <v>81</v>
      </c>
      <c r="I41" s="4"/>
      <c r="J41" s="4" t="s">
        <v>100</v>
      </c>
      <c r="K41" s="4"/>
      <c r="L41" s="4" t="s">
        <v>59</v>
      </c>
      <c r="M41" s="4" t="s">
        <v>40</v>
      </c>
      <c r="N41" s="4" t="s">
        <v>41</v>
      </c>
      <c r="O41" s="4" t="s">
        <v>149</v>
      </c>
      <c r="P41" s="4" t="s">
        <v>42</v>
      </c>
      <c r="Q41" s="50" t="s">
        <v>43</v>
      </c>
      <c r="R41" s="50"/>
      <c r="S41" s="50">
        <v>0</v>
      </c>
      <c r="T41" s="4" t="s">
        <v>43</v>
      </c>
      <c r="U41" s="4" t="s">
        <v>43</v>
      </c>
      <c r="AD41" s="91">
        <f t="shared" si="1"/>
        <v>0</v>
      </c>
      <c r="AE41" s="48" t="e">
        <f>VLOOKUP(C41,#REF!,1,0)</f>
        <v>#REF!</v>
      </c>
    </row>
    <row r="42" spans="3:31" x14ac:dyDescent="0.25">
      <c r="C42" s="87" t="s">
        <v>151</v>
      </c>
      <c r="D42" s="4" t="s">
        <v>152</v>
      </c>
      <c r="E42" s="4" t="s">
        <v>152</v>
      </c>
      <c r="F42" s="4" t="s">
        <v>36</v>
      </c>
      <c r="G42" s="4" t="s">
        <v>37</v>
      </c>
      <c r="H42" s="4" t="s">
        <v>88</v>
      </c>
      <c r="I42" s="4"/>
      <c r="J42" s="4" t="s">
        <v>132</v>
      </c>
      <c r="K42" s="4"/>
      <c r="L42" s="4" t="s">
        <v>133</v>
      </c>
      <c r="M42" s="4" t="s">
        <v>40</v>
      </c>
      <c r="N42" s="4" t="s">
        <v>41</v>
      </c>
      <c r="O42" s="4" t="s">
        <v>151</v>
      </c>
      <c r="P42" s="4" t="s">
        <v>42</v>
      </c>
      <c r="Q42" s="50" t="s">
        <v>43</v>
      </c>
      <c r="R42" s="50"/>
      <c r="S42" s="50">
        <v>0</v>
      </c>
      <c r="T42" s="4" t="s">
        <v>43</v>
      </c>
      <c r="U42" s="4" t="s">
        <v>43</v>
      </c>
      <c r="AD42" s="91">
        <f t="shared" si="1"/>
        <v>0</v>
      </c>
      <c r="AE42" s="48" t="e">
        <f>VLOOKUP(C42,#REF!,1,0)</f>
        <v>#REF!</v>
      </c>
    </row>
    <row r="43" spans="3:31" x14ac:dyDescent="0.25">
      <c r="C43" s="87" t="s">
        <v>153</v>
      </c>
      <c r="D43" s="4" t="s">
        <v>154</v>
      </c>
      <c r="E43" s="4" t="s">
        <v>155</v>
      </c>
      <c r="F43" s="4" t="s">
        <v>36</v>
      </c>
      <c r="G43" s="4" t="s">
        <v>37</v>
      </c>
      <c r="H43" s="4" t="s">
        <v>81</v>
      </c>
      <c r="I43" s="4"/>
      <c r="J43" s="4" t="s">
        <v>84</v>
      </c>
      <c r="K43" s="4"/>
      <c r="L43" s="4" t="s">
        <v>54</v>
      </c>
      <c r="M43" s="4" t="s">
        <v>55</v>
      </c>
      <c r="N43" s="4" t="s">
        <v>41</v>
      </c>
      <c r="O43" s="4" t="s">
        <v>153</v>
      </c>
      <c r="P43" s="4" t="s">
        <v>42</v>
      </c>
      <c r="Q43" s="50" t="s">
        <v>43</v>
      </c>
      <c r="R43" s="50"/>
      <c r="S43" s="50">
        <v>0</v>
      </c>
      <c r="T43" s="4" t="s">
        <v>43</v>
      </c>
      <c r="U43" s="4" t="s">
        <v>43</v>
      </c>
      <c r="AD43" s="91">
        <f t="shared" si="1"/>
        <v>0</v>
      </c>
      <c r="AE43" s="48" t="e">
        <f>VLOOKUP(C43,#REF!,1,0)</f>
        <v>#REF!</v>
      </c>
    </row>
    <row r="44" spans="3:31" x14ac:dyDescent="0.25">
      <c r="C44" s="87" t="s">
        <v>156</v>
      </c>
      <c r="D44" s="4" t="s">
        <v>157</v>
      </c>
      <c r="E44" s="4" t="s">
        <v>157</v>
      </c>
      <c r="F44" s="4" t="s">
        <v>36</v>
      </c>
      <c r="G44" s="4" t="s">
        <v>37</v>
      </c>
      <c r="H44" s="4" t="s">
        <v>46</v>
      </c>
      <c r="I44" s="4"/>
      <c r="J44" s="4">
        <v>0</v>
      </c>
      <c r="K44" s="4"/>
      <c r="L44" s="4" t="s">
        <v>51</v>
      </c>
      <c r="M44" s="4" t="s">
        <v>40</v>
      </c>
      <c r="N44" s="4" t="s">
        <v>41</v>
      </c>
      <c r="O44" s="4" t="s">
        <v>156</v>
      </c>
      <c r="P44" s="4" t="s">
        <v>42</v>
      </c>
      <c r="Q44" s="50" t="s">
        <v>43</v>
      </c>
      <c r="R44" s="50"/>
      <c r="S44" s="50">
        <v>0</v>
      </c>
      <c r="T44" s="4" t="s">
        <v>43</v>
      </c>
      <c r="U44" s="4" t="s">
        <v>43</v>
      </c>
      <c r="AD44" s="91">
        <f t="shared" si="1"/>
        <v>0</v>
      </c>
      <c r="AE44" s="48" t="e">
        <f>VLOOKUP(C44,#REF!,1,0)</f>
        <v>#REF!</v>
      </c>
    </row>
    <row r="45" spans="3:31" x14ac:dyDescent="0.25">
      <c r="C45" s="87" t="s">
        <v>158</v>
      </c>
      <c r="D45" s="4" t="s">
        <v>159</v>
      </c>
      <c r="E45" s="4" t="s">
        <v>159</v>
      </c>
      <c r="F45" s="4" t="s">
        <v>36</v>
      </c>
      <c r="G45" s="4" t="s">
        <v>37</v>
      </c>
      <c r="H45" s="4" t="s">
        <v>81</v>
      </c>
      <c r="I45" s="4"/>
      <c r="J45" s="4" t="s">
        <v>160</v>
      </c>
      <c r="K45" s="4"/>
      <c r="L45" s="4" t="s">
        <v>161</v>
      </c>
      <c r="M45" s="4" t="s">
        <v>55</v>
      </c>
      <c r="N45" s="4" t="s">
        <v>41</v>
      </c>
      <c r="O45" s="4" t="s">
        <v>158</v>
      </c>
      <c r="P45" s="4" t="s">
        <v>42</v>
      </c>
      <c r="Q45" s="50" t="s">
        <v>43</v>
      </c>
      <c r="R45" s="50"/>
      <c r="S45" s="50">
        <v>0</v>
      </c>
      <c r="T45" s="4" t="s">
        <v>43</v>
      </c>
      <c r="U45" s="4" t="s">
        <v>43</v>
      </c>
      <c r="AD45" s="91">
        <f t="shared" si="1"/>
        <v>0</v>
      </c>
      <c r="AE45" s="48" t="e">
        <f>VLOOKUP(C45,#REF!,1,0)</f>
        <v>#REF!</v>
      </c>
    </row>
    <row r="46" spans="3:31" x14ac:dyDescent="0.25">
      <c r="C46" s="87" t="s">
        <v>162</v>
      </c>
      <c r="D46" s="4" t="s">
        <v>163</v>
      </c>
      <c r="E46" s="4" t="s">
        <v>163</v>
      </c>
      <c r="F46" s="4" t="s">
        <v>36</v>
      </c>
      <c r="G46" s="4" t="s">
        <v>37</v>
      </c>
      <c r="H46" s="4" t="s">
        <v>88</v>
      </c>
      <c r="I46" s="4"/>
      <c r="J46" s="4" t="s">
        <v>63</v>
      </c>
      <c r="K46" s="4"/>
      <c r="L46" s="4" t="s">
        <v>138</v>
      </c>
      <c r="M46" s="4" t="s">
        <v>40</v>
      </c>
      <c r="N46" s="4" t="s">
        <v>41</v>
      </c>
      <c r="O46" s="4" t="s">
        <v>162</v>
      </c>
      <c r="P46" s="4" t="s">
        <v>42</v>
      </c>
      <c r="Q46" s="50" t="s">
        <v>43</v>
      </c>
      <c r="R46" s="50"/>
      <c r="S46" s="50">
        <v>0</v>
      </c>
      <c r="T46" s="4" t="s">
        <v>43</v>
      </c>
      <c r="U46" s="4" t="s">
        <v>43</v>
      </c>
      <c r="AD46" s="91">
        <f t="shared" si="1"/>
        <v>0</v>
      </c>
      <c r="AE46" s="48" t="e">
        <f>VLOOKUP(C46,#REF!,1,0)</f>
        <v>#REF!</v>
      </c>
    </row>
    <row r="47" spans="3:31" x14ac:dyDescent="0.25">
      <c r="C47" s="87" t="s">
        <v>164</v>
      </c>
      <c r="D47" s="4" t="s">
        <v>165</v>
      </c>
      <c r="E47" s="4" t="s">
        <v>165</v>
      </c>
      <c r="F47" s="4" t="s">
        <v>36</v>
      </c>
      <c r="G47" s="4" t="s">
        <v>37</v>
      </c>
      <c r="H47" s="4" t="s">
        <v>46</v>
      </c>
      <c r="I47" s="4"/>
      <c r="J47" s="4" t="s">
        <v>58</v>
      </c>
      <c r="K47" s="4"/>
      <c r="L47" s="4" t="s">
        <v>138</v>
      </c>
      <c r="M47" s="4" t="s">
        <v>40</v>
      </c>
      <c r="N47" s="4" t="s">
        <v>41</v>
      </c>
      <c r="O47" s="4" t="s">
        <v>164</v>
      </c>
      <c r="P47" s="4" t="s">
        <v>42</v>
      </c>
      <c r="Q47" s="50" t="s">
        <v>43</v>
      </c>
      <c r="R47" s="50"/>
      <c r="S47" s="50">
        <v>0</v>
      </c>
      <c r="T47" s="4" t="s">
        <v>43</v>
      </c>
      <c r="U47" s="4" t="s">
        <v>43</v>
      </c>
      <c r="AD47" s="91">
        <f t="shared" si="1"/>
        <v>0</v>
      </c>
      <c r="AE47" s="48" t="e">
        <f>VLOOKUP(C47,#REF!,1,0)</f>
        <v>#REF!</v>
      </c>
    </row>
    <row r="48" spans="3:31" x14ac:dyDescent="0.25">
      <c r="C48" s="87" t="s">
        <v>166</v>
      </c>
      <c r="D48" s="4" t="s">
        <v>167</v>
      </c>
      <c r="E48" s="4" t="s">
        <v>167</v>
      </c>
      <c r="F48" s="4" t="s">
        <v>36</v>
      </c>
      <c r="G48" s="4" t="s">
        <v>37</v>
      </c>
      <c r="H48" s="4" t="s">
        <v>81</v>
      </c>
      <c r="I48" s="4"/>
      <c r="J48" s="4" t="s">
        <v>58</v>
      </c>
      <c r="K48" s="4"/>
      <c r="L48" s="4" t="s">
        <v>59</v>
      </c>
      <c r="M48" s="4" t="s">
        <v>40</v>
      </c>
      <c r="N48" s="4" t="s">
        <v>41</v>
      </c>
      <c r="O48" s="4" t="s">
        <v>166</v>
      </c>
      <c r="P48" s="4" t="s">
        <v>42</v>
      </c>
      <c r="Q48" s="50" t="s">
        <v>43</v>
      </c>
      <c r="R48" s="50"/>
      <c r="S48" s="50">
        <v>0</v>
      </c>
      <c r="T48" s="4" t="s">
        <v>43</v>
      </c>
      <c r="U48" s="4" t="s">
        <v>43</v>
      </c>
      <c r="AD48" s="91">
        <f t="shared" si="1"/>
        <v>0</v>
      </c>
      <c r="AE48" s="48" t="e">
        <f>VLOOKUP(C48,#REF!,1,0)</f>
        <v>#REF!</v>
      </c>
    </row>
    <row r="49" spans="3:31" x14ac:dyDescent="0.25">
      <c r="C49" s="87" t="s">
        <v>168</v>
      </c>
      <c r="D49" s="4" t="s">
        <v>169</v>
      </c>
      <c r="E49" s="4" t="s">
        <v>170</v>
      </c>
      <c r="F49" s="4" t="s">
        <v>36</v>
      </c>
      <c r="G49" s="4" t="s">
        <v>37</v>
      </c>
      <c r="H49" s="4" t="s">
        <v>46</v>
      </c>
      <c r="I49" s="4"/>
      <c r="J49" s="4" t="s">
        <v>160</v>
      </c>
      <c r="K49" s="4"/>
      <c r="L49" s="4" t="s">
        <v>59</v>
      </c>
      <c r="M49" s="4" t="s">
        <v>40</v>
      </c>
      <c r="N49" s="4" t="s">
        <v>41</v>
      </c>
      <c r="O49" s="4" t="s">
        <v>168</v>
      </c>
      <c r="P49" s="4" t="s">
        <v>42</v>
      </c>
      <c r="Q49" s="50" t="s">
        <v>43</v>
      </c>
      <c r="R49" s="50"/>
      <c r="S49" s="50">
        <v>0</v>
      </c>
      <c r="T49" s="4" t="s">
        <v>43</v>
      </c>
      <c r="U49" s="4" t="s">
        <v>43</v>
      </c>
      <c r="AD49" s="91">
        <f t="shared" si="1"/>
        <v>0</v>
      </c>
      <c r="AE49" s="48" t="e">
        <f>VLOOKUP(C49,#REF!,1,0)</f>
        <v>#REF!</v>
      </c>
    </row>
    <row r="50" spans="3:31" x14ac:dyDescent="0.25">
      <c r="C50" s="87" t="s">
        <v>171</v>
      </c>
      <c r="D50" s="4" t="s">
        <v>172</v>
      </c>
      <c r="E50" s="4" t="s">
        <v>172</v>
      </c>
      <c r="F50" s="4" t="s">
        <v>36</v>
      </c>
      <c r="G50" s="4" t="s">
        <v>37</v>
      </c>
      <c r="H50" s="4" t="s">
        <v>81</v>
      </c>
      <c r="I50" s="4"/>
      <c r="J50" s="4" t="s">
        <v>89</v>
      </c>
      <c r="K50" s="4"/>
      <c r="L50" s="4" t="s">
        <v>109</v>
      </c>
      <c r="M50" s="4" t="s">
        <v>91</v>
      </c>
      <c r="N50" s="4" t="s">
        <v>41</v>
      </c>
      <c r="O50" s="4" t="s">
        <v>171</v>
      </c>
      <c r="P50" s="4" t="s">
        <v>42</v>
      </c>
      <c r="Q50" s="50" t="s">
        <v>43</v>
      </c>
      <c r="R50" s="50"/>
      <c r="S50" s="50">
        <v>0</v>
      </c>
      <c r="T50" s="4" t="s">
        <v>43</v>
      </c>
      <c r="U50" s="4" t="s">
        <v>43</v>
      </c>
      <c r="AD50" s="94">
        <f t="shared" si="1"/>
        <v>0</v>
      </c>
      <c r="AE50" s="48" t="e">
        <f>VLOOKUP(C50,#REF!,1,0)</f>
        <v>#REF!</v>
      </c>
    </row>
    <row r="51" spans="3:31" x14ac:dyDescent="0.25">
      <c r="C51" s="87" t="s">
        <v>173</v>
      </c>
      <c r="D51" s="4" t="s">
        <v>174</v>
      </c>
      <c r="E51" s="4" t="s">
        <v>174</v>
      </c>
      <c r="F51" s="4" t="s">
        <v>36</v>
      </c>
      <c r="G51" s="4" t="s">
        <v>37</v>
      </c>
      <c r="H51" s="4" t="s">
        <v>46</v>
      </c>
      <c r="I51" s="4"/>
      <c r="J51" s="4" t="s">
        <v>73</v>
      </c>
      <c r="K51" s="4"/>
      <c r="L51" s="4" t="s">
        <v>64</v>
      </c>
      <c r="M51" s="4" t="s">
        <v>40</v>
      </c>
      <c r="N51" s="4" t="s">
        <v>41</v>
      </c>
      <c r="O51" s="4" t="s">
        <v>173</v>
      </c>
      <c r="P51" s="4" t="s">
        <v>42</v>
      </c>
      <c r="Q51" s="50" t="s">
        <v>43</v>
      </c>
      <c r="R51" s="50"/>
      <c r="S51" s="50">
        <v>0</v>
      </c>
      <c r="T51" s="4" t="s">
        <v>43</v>
      </c>
      <c r="U51" s="4" t="s">
        <v>43</v>
      </c>
      <c r="AD51" s="91">
        <f t="shared" si="1"/>
        <v>0</v>
      </c>
      <c r="AE51" s="48" t="e">
        <f>VLOOKUP(C51,#REF!,1,0)</f>
        <v>#REF!</v>
      </c>
    </row>
    <row r="52" spans="3:31" x14ac:dyDescent="0.25">
      <c r="C52" s="87" t="s">
        <v>175</v>
      </c>
      <c r="D52" s="4" t="s">
        <v>176</v>
      </c>
      <c r="E52" s="4" t="s">
        <v>176</v>
      </c>
      <c r="F52" s="4" t="s">
        <v>36</v>
      </c>
      <c r="G52" s="4" t="s">
        <v>37</v>
      </c>
      <c r="H52" s="4" t="s">
        <v>46</v>
      </c>
      <c r="I52" s="4"/>
      <c r="J52" s="4" t="s">
        <v>132</v>
      </c>
      <c r="K52" s="4"/>
      <c r="L52" s="4" t="s">
        <v>64</v>
      </c>
      <c r="M52" s="4" t="s">
        <v>40</v>
      </c>
      <c r="N52" s="4" t="s">
        <v>41</v>
      </c>
      <c r="O52" s="4" t="s">
        <v>175</v>
      </c>
      <c r="P52" s="4" t="s">
        <v>42</v>
      </c>
      <c r="Q52" s="50" t="s">
        <v>43</v>
      </c>
      <c r="R52" s="50"/>
      <c r="S52" s="50">
        <v>0</v>
      </c>
      <c r="T52" s="4" t="s">
        <v>43</v>
      </c>
      <c r="U52" s="4" t="s">
        <v>43</v>
      </c>
      <c r="AD52" s="91">
        <f t="shared" si="1"/>
        <v>0</v>
      </c>
      <c r="AE52" s="48" t="e">
        <f>VLOOKUP(C52,#REF!,1,0)</f>
        <v>#REF!</v>
      </c>
    </row>
    <row r="53" spans="3:31" x14ac:dyDescent="0.25">
      <c r="C53" s="87" t="s">
        <v>177</v>
      </c>
      <c r="D53" s="4" t="s">
        <v>178</v>
      </c>
      <c r="E53" s="4" t="s">
        <v>178</v>
      </c>
      <c r="F53" s="4" t="s">
        <v>36</v>
      </c>
      <c r="G53" s="4" t="s">
        <v>37</v>
      </c>
      <c r="H53" s="4" t="s">
        <v>81</v>
      </c>
      <c r="I53" s="4"/>
      <c r="J53" s="4" t="s">
        <v>84</v>
      </c>
      <c r="K53" s="4"/>
      <c r="L53" s="4" t="s">
        <v>179</v>
      </c>
      <c r="M53" s="4" t="s">
        <v>55</v>
      </c>
      <c r="N53" s="4" t="s">
        <v>41</v>
      </c>
      <c r="O53" s="4" t="s">
        <v>177</v>
      </c>
      <c r="P53" s="4" t="s">
        <v>42</v>
      </c>
      <c r="Q53" s="50" t="s">
        <v>43</v>
      </c>
      <c r="R53" s="50"/>
      <c r="S53" s="50">
        <v>0</v>
      </c>
      <c r="T53" s="4" t="s">
        <v>43</v>
      </c>
      <c r="U53" s="4" t="s">
        <v>43</v>
      </c>
      <c r="AD53" s="91">
        <f t="shared" si="1"/>
        <v>0</v>
      </c>
      <c r="AE53" s="48" t="e">
        <f>VLOOKUP(C53,#REF!,1,0)</f>
        <v>#REF!</v>
      </c>
    </row>
    <row r="54" spans="3:31" x14ac:dyDescent="0.25">
      <c r="C54" s="87" t="s">
        <v>180</v>
      </c>
      <c r="D54" s="4" t="s">
        <v>181</v>
      </c>
      <c r="E54" s="4" t="s">
        <v>181</v>
      </c>
      <c r="F54" s="4" t="s">
        <v>36</v>
      </c>
      <c r="G54" s="4" t="s">
        <v>37</v>
      </c>
      <c r="H54" s="4" t="s">
        <v>81</v>
      </c>
      <c r="I54" s="4"/>
      <c r="J54" s="4" t="s">
        <v>84</v>
      </c>
      <c r="K54" s="4"/>
      <c r="L54" s="4" t="s">
        <v>182</v>
      </c>
      <c r="M54" s="4" t="s">
        <v>55</v>
      </c>
      <c r="N54" s="4" t="s">
        <v>41</v>
      </c>
      <c r="O54" s="4" t="s">
        <v>180</v>
      </c>
      <c r="P54" s="4" t="s">
        <v>42</v>
      </c>
      <c r="Q54" s="50" t="s">
        <v>43</v>
      </c>
      <c r="R54" s="50"/>
      <c r="S54" s="50">
        <v>0</v>
      </c>
      <c r="T54" s="4" t="s">
        <v>43</v>
      </c>
      <c r="U54" s="4" t="s">
        <v>43</v>
      </c>
      <c r="AD54" s="91">
        <f t="shared" si="1"/>
        <v>0</v>
      </c>
      <c r="AE54" s="48" t="e">
        <f>VLOOKUP(C54,#REF!,1,0)</f>
        <v>#REF!</v>
      </c>
    </row>
    <row r="55" spans="3:31" x14ac:dyDescent="0.25">
      <c r="C55" s="87" t="s">
        <v>183</v>
      </c>
      <c r="D55" s="4" t="s">
        <v>184</v>
      </c>
      <c r="E55" s="4" t="s">
        <v>184</v>
      </c>
      <c r="F55" s="4" t="s">
        <v>36</v>
      </c>
      <c r="G55" s="4" t="s">
        <v>37</v>
      </c>
      <c r="H55" s="4" t="s">
        <v>81</v>
      </c>
      <c r="I55" s="4"/>
      <c r="J55" s="4">
        <v>0</v>
      </c>
      <c r="K55" s="4"/>
      <c r="L55" s="4" t="s">
        <v>64</v>
      </c>
      <c r="M55" s="4" t="s">
        <v>40</v>
      </c>
      <c r="N55" s="4" t="s">
        <v>41</v>
      </c>
      <c r="O55" s="4" t="s">
        <v>183</v>
      </c>
      <c r="P55" s="4" t="s">
        <v>42</v>
      </c>
      <c r="Q55" s="50" t="s">
        <v>43</v>
      </c>
      <c r="R55" s="50"/>
      <c r="S55" s="50">
        <v>0</v>
      </c>
      <c r="T55" s="4" t="s">
        <v>43</v>
      </c>
      <c r="U55" s="4" t="s">
        <v>43</v>
      </c>
      <c r="AD55" s="91">
        <f t="shared" si="1"/>
        <v>0</v>
      </c>
      <c r="AE55" s="48" t="e">
        <f>VLOOKUP(C55,#REF!,1,0)</f>
        <v>#REF!</v>
      </c>
    </row>
    <row r="56" spans="3:31" x14ac:dyDescent="0.25">
      <c r="C56" s="87" t="s">
        <v>185</v>
      </c>
      <c r="D56" s="4" t="s">
        <v>186</v>
      </c>
      <c r="E56" s="4" t="s">
        <v>186</v>
      </c>
      <c r="F56" s="4" t="s">
        <v>36</v>
      </c>
      <c r="G56" s="4" t="s">
        <v>37</v>
      </c>
      <c r="H56" s="4" t="s">
        <v>46</v>
      </c>
      <c r="I56" s="4"/>
      <c r="J56" s="4" t="s">
        <v>94</v>
      </c>
      <c r="K56" s="4"/>
      <c r="L56" s="4" t="s">
        <v>64</v>
      </c>
      <c r="M56" s="4" t="s">
        <v>40</v>
      </c>
      <c r="N56" s="4" t="s">
        <v>41</v>
      </c>
      <c r="O56" s="4" t="s">
        <v>185</v>
      </c>
      <c r="P56" s="4" t="s">
        <v>42</v>
      </c>
      <c r="Q56" s="50" t="s">
        <v>43</v>
      </c>
      <c r="R56" s="50"/>
      <c r="S56" s="50">
        <v>0</v>
      </c>
      <c r="T56" s="4" t="s">
        <v>43</v>
      </c>
      <c r="U56" s="4" t="s">
        <v>43</v>
      </c>
      <c r="AD56" s="91">
        <f t="shared" si="1"/>
        <v>0</v>
      </c>
      <c r="AE56" s="48" t="e">
        <f>VLOOKUP(C56,#REF!,1,0)</f>
        <v>#REF!</v>
      </c>
    </row>
    <row r="57" spans="3:31" x14ac:dyDescent="0.25">
      <c r="C57" s="87" t="s">
        <v>187</v>
      </c>
      <c r="D57" s="4" t="s">
        <v>188</v>
      </c>
      <c r="E57" s="4" t="s">
        <v>188</v>
      </c>
      <c r="F57" s="4" t="s">
        <v>36</v>
      </c>
      <c r="G57" s="4" t="s">
        <v>37</v>
      </c>
      <c r="H57" s="4" t="s">
        <v>81</v>
      </c>
      <c r="I57" s="4"/>
      <c r="J57" s="4" t="s">
        <v>160</v>
      </c>
      <c r="K57" s="4"/>
      <c r="L57" s="4" t="s">
        <v>64</v>
      </c>
      <c r="M57" s="4" t="s">
        <v>40</v>
      </c>
      <c r="N57" s="4" t="s">
        <v>41</v>
      </c>
      <c r="O57" s="4" t="s">
        <v>187</v>
      </c>
      <c r="P57" s="4" t="s">
        <v>42</v>
      </c>
      <c r="Q57" s="50" t="s">
        <v>43</v>
      </c>
      <c r="R57" s="50"/>
      <c r="S57" s="50">
        <v>0</v>
      </c>
      <c r="T57" s="4" t="s">
        <v>43</v>
      </c>
      <c r="U57" s="4" t="s">
        <v>43</v>
      </c>
      <c r="AD57" s="91">
        <f t="shared" si="1"/>
        <v>0</v>
      </c>
      <c r="AE57" s="48" t="e">
        <f>VLOOKUP(C57,#REF!,1,0)</f>
        <v>#REF!</v>
      </c>
    </row>
    <row r="58" spans="3:31" x14ac:dyDescent="0.25">
      <c r="C58" s="87" t="s">
        <v>189</v>
      </c>
      <c r="D58" s="4" t="s">
        <v>190</v>
      </c>
      <c r="E58" s="4" t="s">
        <v>190</v>
      </c>
      <c r="F58" s="4" t="s">
        <v>36</v>
      </c>
      <c r="G58" s="4" t="s">
        <v>37</v>
      </c>
      <c r="H58" s="4" t="s">
        <v>81</v>
      </c>
      <c r="I58" s="4"/>
      <c r="J58" s="4" t="s">
        <v>73</v>
      </c>
      <c r="K58" s="4"/>
      <c r="L58" s="4" t="s">
        <v>64</v>
      </c>
      <c r="M58" s="4" t="s">
        <v>40</v>
      </c>
      <c r="N58" s="4" t="s">
        <v>41</v>
      </c>
      <c r="O58" s="4" t="s">
        <v>189</v>
      </c>
      <c r="P58" s="4" t="s">
        <v>42</v>
      </c>
      <c r="Q58" s="50" t="s">
        <v>43</v>
      </c>
      <c r="R58" s="50"/>
      <c r="S58" s="50">
        <v>0</v>
      </c>
      <c r="T58" s="4" t="s">
        <v>43</v>
      </c>
      <c r="U58" s="4" t="s">
        <v>43</v>
      </c>
      <c r="AD58" s="91">
        <f t="shared" si="1"/>
        <v>0</v>
      </c>
      <c r="AE58" s="48" t="e">
        <f>VLOOKUP(C58,#REF!,1,0)</f>
        <v>#REF!</v>
      </c>
    </row>
    <row r="59" spans="3:31" x14ac:dyDescent="0.25">
      <c r="C59" s="87" t="s">
        <v>191</v>
      </c>
      <c r="D59" s="4" t="s">
        <v>192</v>
      </c>
      <c r="E59" s="4" t="s">
        <v>193</v>
      </c>
      <c r="F59" s="4" t="s">
        <v>36</v>
      </c>
      <c r="G59" s="4" t="s">
        <v>37</v>
      </c>
      <c r="H59" s="4" t="s">
        <v>81</v>
      </c>
      <c r="I59" s="4"/>
      <c r="J59" s="4" t="s">
        <v>94</v>
      </c>
      <c r="K59" s="4"/>
      <c r="L59" s="4" t="s">
        <v>64</v>
      </c>
      <c r="M59" s="4" t="s">
        <v>40</v>
      </c>
      <c r="N59" s="4" t="s">
        <v>41</v>
      </c>
      <c r="O59" s="4" t="s">
        <v>191</v>
      </c>
      <c r="P59" s="4" t="s">
        <v>42</v>
      </c>
      <c r="Q59" s="50" t="s">
        <v>43</v>
      </c>
      <c r="R59" s="50"/>
      <c r="S59" s="50">
        <v>0</v>
      </c>
      <c r="T59" s="4" t="s">
        <v>43</v>
      </c>
      <c r="U59" s="4" t="s">
        <v>43</v>
      </c>
      <c r="AD59" s="91">
        <f t="shared" si="1"/>
        <v>0</v>
      </c>
      <c r="AE59" s="48" t="e">
        <f>VLOOKUP(C59,#REF!,1,0)</f>
        <v>#REF!</v>
      </c>
    </row>
    <row r="60" spans="3:31" x14ac:dyDescent="0.25">
      <c r="C60" s="87" t="s">
        <v>194</v>
      </c>
      <c r="D60" s="4" t="s">
        <v>195</v>
      </c>
      <c r="E60" s="4" t="s">
        <v>196</v>
      </c>
      <c r="F60" s="4" t="s">
        <v>36</v>
      </c>
      <c r="G60" s="4" t="s">
        <v>37</v>
      </c>
      <c r="H60" s="4" t="s">
        <v>88</v>
      </c>
      <c r="I60" s="4"/>
      <c r="J60" s="4" t="s">
        <v>84</v>
      </c>
      <c r="K60" s="4"/>
      <c r="L60" s="4" t="s">
        <v>85</v>
      </c>
      <c r="M60" s="4" t="s">
        <v>55</v>
      </c>
      <c r="N60" s="4" t="s">
        <v>41</v>
      </c>
      <c r="O60" s="4" t="s">
        <v>194</v>
      </c>
      <c r="P60" s="4" t="s">
        <v>42</v>
      </c>
      <c r="Q60" s="50" t="s">
        <v>43</v>
      </c>
      <c r="R60" s="50"/>
      <c r="S60" s="50">
        <v>0</v>
      </c>
      <c r="T60" s="4" t="s">
        <v>43</v>
      </c>
      <c r="U60" s="4" t="s">
        <v>43</v>
      </c>
      <c r="AD60" s="91">
        <f t="shared" si="1"/>
        <v>0</v>
      </c>
      <c r="AE60" s="48" t="e">
        <f>VLOOKUP(C60,#REF!,1,0)</f>
        <v>#REF!</v>
      </c>
    </row>
    <row r="61" spans="3:31" x14ac:dyDescent="0.25">
      <c r="C61" s="87" t="s">
        <v>197</v>
      </c>
      <c r="D61" s="4" t="s">
        <v>198</v>
      </c>
      <c r="E61" s="4" t="s">
        <v>198</v>
      </c>
      <c r="F61" s="4" t="s">
        <v>36</v>
      </c>
      <c r="G61" s="4" t="s">
        <v>37</v>
      </c>
      <c r="H61" s="4" t="s">
        <v>46</v>
      </c>
      <c r="I61" s="4"/>
      <c r="J61" s="4" t="s">
        <v>63</v>
      </c>
      <c r="K61" s="4"/>
      <c r="L61" s="4" t="s">
        <v>138</v>
      </c>
      <c r="M61" s="4" t="s">
        <v>40</v>
      </c>
      <c r="N61" s="4" t="s">
        <v>41</v>
      </c>
      <c r="O61" s="4" t="s">
        <v>197</v>
      </c>
      <c r="P61" s="4" t="s">
        <v>42</v>
      </c>
      <c r="Q61" s="50" t="s">
        <v>43</v>
      </c>
      <c r="R61" s="50"/>
      <c r="S61" s="50">
        <v>0</v>
      </c>
      <c r="T61" s="4" t="s">
        <v>43</v>
      </c>
      <c r="U61" s="4" t="s">
        <v>43</v>
      </c>
      <c r="AD61" s="91">
        <f t="shared" si="1"/>
        <v>0</v>
      </c>
      <c r="AE61" s="48" t="e">
        <f>VLOOKUP(C61,#REF!,1,0)</f>
        <v>#REF!</v>
      </c>
    </row>
    <row r="62" spans="3:31" x14ac:dyDescent="0.25">
      <c r="C62" s="87" t="s">
        <v>199</v>
      </c>
      <c r="D62" s="4" t="s">
        <v>200</v>
      </c>
      <c r="E62" s="4" t="s">
        <v>201</v>
      </c>
      <c r="F62" s="4" t="s">
        <v>36</v>
      </c>
      <c r="G62" s="4" t="s">
        <v>37</v>
      </c>
      <c r="H62" s="4" t="s">
        <v>202</v>
      </c>
      <c r="I62" s="4"/>
      <c r="J62" s="4">
        <v>0</v>
      </c>
      <c r="K62" s="4"/>
      <c r="L62" s="4" t="s">
        <v>59</v>
      </c>
      <c r="M62" s="4" t="s">
        <v>40</v>
      </c>
      <c r="N62" s="4" t="s">
        <v>41</v>
      </c>
      <c r="O62" s="4" t="s">
        <v>199</v>
      </c>
      <c r="P62" s="4" t="s">
        <v>42</v>
      </c>
      <c r="Q62" s="50" t="s">
        <v>43</v>
      </c>
      <c r="R62" s="50"/>
      <c r="S62" s="50">
        <v>0</v>
      </c>
      <c r="T62" s="4" t="s">
        <v>43</v>
      </c>
      <c r="U62" s="4" t="s">
        <v>43</v>
      </c>
      <c r="AD62" s="91">
        <f t="shared" si="1"/>
        <v>0</v>
      </c>
      <c r="AE62" s="48" t="e">
        <f>VLOOKUP(C62,#REF!,1,0)</f>
        <v>#REF!</v>
      </c>
    </row>
    <row r="63" spans="3:31" x14ac:dyDescent="0.25">
      <c r="C63" s="87" t="s">
        <v>203</v>
      </c>
      <c r="D63" s="4" t="s">
        <v>204</v>
      </c>
      <c r="E63" s="4" t="s">
        <v>204</v>
      </c>
      <c r="F63" s="4" t="s">
        <v>36</v>
      </c>
      <c r="G63" s="4" t="s">
        <v>37</v>
      </c>
      <c r="H63" s="4" t="s">
        <v>46</v>
      </c>
      <c r="I63" s="4"/>
      <c r="J63" s="4">
        <v>0</v>
      </c>
      <c r="K63" s="4"/>
      <c r="L63" s="4" t="s">
        <v>205</v>
      </c>
      <c r="M63" s="4" t="s">
        <v>40</v>
      </c>
      <c r="N63" s="4" t="s">
        <v>41</v>
      </c>
      <c r="O63" s="4" t="s">
        <v>203</v>
      </c>
      <c r="P63" s="4" t="s">
        <v>42</v>
      </c>
      <c r="Q63" s="50" t="s">
        <v>43</v>
      </c>
      <c r="R63" s="50"/>
      <c r="S63" s="50">
        <v>0</v>
      </c>
      <c r="T63" s="4" t="s">
        <v>43</v>
      </c>
      <c r="U63" s="4" t="s">
        <v>43</v>
      </c>
      <c r="AD63" s="91">
        <f t="shared" si="1"/>
        <v>0</v>
      </c>
      <c r="AE63" s="48" t="e">
        <f>VLOOKUP(C63,#REF!,1,0)</f>
        <v>#REF!</v>
      </c>
    </row>
    <row r="64" spans="3:31" x14ac:dyDescent="0.25">
      <c r="C64" s="87" t="s">
        <v>206</v>
      </c>
      <c r="D64" s="4" t="s">
        <v>207</v>
      </c>
      <c r="E64" s="4" t="s">
        <v>207</v>
      </c>
      <c r="F64" s="4" t="s">
        <v>36</v>
      </c>
      <c r="G64" s="4" t="s">
        <v>37</v>
      </c>
      <c r="H64" s="4" t="s">
        <v>46</v>
      </c>
      <c r="I64" s="4"/>
      <c r="J64" s="4" t="s">
        <v>58</v>
      </c>
      <c r="K64" s="4"/>
      <c r="L64" s="4" t="s">
        <v>64</v>
      </c>
      <c r="M64" s="4" t="s">
        <v>40</v>
      </c>
      <c r="N64" s="4" t="s">
        <v>41</v>
      </c>
      <c r="O64" s="4" t="s">
        <v>206</v>
      </c>
      <c r="P64" s="4" t="s">
        <v>42</v>
      </c>
      <c r="Q64" s="50" t="s">
        <v>43</v>
      </c>
      <c r="R64" s="50"/>
      <c r="S64" s="50">
        <v>0</v>
      </c>
      <c r="T64" s="4" t="s">
        <v>43</v>
      </c>
      <c r="U64" s="4" t="s">
        <v>43</v>
      </c>
      <c r="AD64" s="91">
        <f t="shared" si="1"/>
        <v>0</v>
      </c>
      <c r="AE64" s="48" t="e">
        <f>VLOOKUP(C64,#REF!,1,0)</f>
        <v>#REF!</v>
      </c>
    </row>
    <row r="65" spans="3:31" x14ac:dyDescent="0.25">
      <c r="C65" s="87" t="s">
        <v>208</v>
      </c>
      <c r="D65" s="4" t="s">
        <v>209</v>
      </c>
      <c r="E65" s="4" t="s">
        <v>209</v>
      </c>
      <c r="F65" s="4" t="s">
        <v>36</v>
      </c>
      <c r="G65" s="4" t="s">
        <v>37</v>
      </c>
      <c r="H65" s="4" t="s">
        <v>81</v>
      </c>
      <c r="I65" s="4"/>
      <c r="J65" s="4">
        <v>0</v>
      </c>
      <c r="K65" s="4"/>
      <c r="L65" s="4" t="s">
        <v>78</v>
      </c>
      <c r="M65" s="4" t="s">
        <v>40</v>
      </c>
      <c r="N65" s="4" t="s">
        <v>41</v>
      </c>
      <c r="O65" s="4" t="s">
        <v>208</v>
      </c>
      <c r="P65" s="4" t="s">
        <v>42</v>
      </c>
      <c r="Q65" s="50" t="s">
        <v>43</v>
      </c>
      <c r="R65" s="50"/>
      <c r="S65" s="50">
        <v>0</v>
      </c>
      <c r="T65" s="4" t="s">
        <v>43</v>
      </c>
      <c r="U65" s="4" t="s">
        <v>43</v>
      </c>
      <c r="AD65" s="91">
        <f t="shared" si="1"/>
        <v>0</v>
      </c>
      <c r="AE65" s="48" t="e">
        <f>VLOOKUP(C65,#REF!,1,0)</f>
        <v>#REF!</v>
      </c>
    </row>
    <row r="66" spans="3:31" x14ac:dyDescent="0.25">
      <c r="C66" s="87" t="s">
        <v>210</v>
      </c>
      <c r="D66" s="4" t="s">
        <v>211</v>
      </c>
      <c r="E66" s="4" t="s">
        <v>212</v>
      </c>
      <c r="F66" s="4" t="s">
        <v>36</v>
      </c>
      <c r="G66" s="4" t="s">
        <v>37</v>
      </c>
      <c r="H66" s="4" t="s">
        <v>46</v>
      </c>
      <c r="I66" s="4"/>
      <c r="J66" s="4">
        <v>0</v>
      </c>
      <c r="K66" s="4"/>
      <c r="L66" s="4" t="s">
        <v>59</v>
      </c>
      <c r="M66" s="4" t="s">
        <v>40</v>
      </c>
      <c r="N66" s="4" t="s">
        <v>41</v>
      </c>
      <c r="O66" s="4" t="s">
        <v>210</v>
      </c>
      <c r="P66" s="4" t="s">
        <v>42</v>
      </c>
      <c r="Q66" s="50" t="s">
        <v>43</v>
      </c>
      <c r="R66" s="50"/>
      <c r="S66" s="50">
        <v>0</v>
      </c>
      <c r="T66" s="4" t="s">
        <v>43</v>
      </c>
      <c r="U66" s="4" t="s">
        <v>43</v>
      </c>
      <c r="AD66" s="91">
        <f t="shared" si="1"/>
        <v>0</v>
      </c>
      <c r="AE66" s="48" t="e">
        <f>VLOOKUP(C66,#REF!,1,0)</f>
        <v>#REF!</v>
      </c>
    </row>
    <row r="67" spans="3:31" x14ac:dyDescent="0.25">
      <c r="C67" s="87" t="s">
        <v>213</v>
      </c>
      <c r="D67" s="4" t="s">
        <v>214</v>
      </c>
      <c r="E67" s="4" t="s">
        <v>214</v>
      </c>
      <c r="F67" s="4" t="s">
        <v>36</v>
      </c>
      <c r="G67" s="4" t="s">
        <v>37</v>
      </c>
      <c r="H67" s="4" t="s">
        <v>202</v>
      </c>
      <c r="I67" s="4"/>
      <c r="J67" s="4">
        <v>0</v>
      </c>
      <c r="K67" s="4"/>
      <c r="L67" s="4" t="s">
        <v>59</v>
      </c>
      <c r="M67" s="4" t="s">
        <v>40</v>
      </c>
      <c r="N67" s="4" t="s">
        <v>41</v>
      </c>
      <c r="O67" s="4" t="s">
        <v>213</v>
      </c>
      <c r="P67" s="4" t="s">
        <v>42</v>
      </c>
      <c r="Q67" s="50" t="s">
        <v>43</v>
      </c>
      <c r="R67" s="50"/>
      <c r="S67" s="50">
        <v>0</v>
      </c>
      <c r="T67" s="4" t="s">
        <v>43</v>
      </c>
      <c r="U67" s="4" t="s">
        <v>43</v>
      </c>
      <c r="AD67" s="91">
        <f t="shared" si="1"/>
        <v>0</v>
      </c>
      <c r="AE67" s="48" t="e">
        <f>VLOOKUP(C67,#REF!,1,0)</f>
        <v>#REF!</v>
      </c>
    </row>
    <row r="68" spans="3:31" x14ac:dyDescent="0.25">
      <c r="C68" s="87" t="s">
        <v>215</v>
      </c>
      <c r="D68" s="4" t="s">
        <v>216</v>
      </c>
      <c r="E68" s="4" t="s">
        <v>216</v>
      </c>
      <c r="F68" s="4" t="s">
        <v>36</v>
      </c>
      <c r="G68" s="4" t="s">
        <v>37</v>
      </c>
      <c r="H68" s="4" t="s">
        <v>81</v>
      </c>
      <c r="I68" s="4"/>
      <c r="J68" s="4" t="s">
        <v>67</v>
      </c>
      <c r="K68" s="4"/>
      <c r="L68" s="4" t="s">
        <v>138</v>
      </c>
      <c r="M68" s="4" t="s">
        <v>40</v>
      </c>
      <c r="N68" s="4" t="s">
        <v>41</v>
      </c>
      <c r="O68" s="4" t="s">
        <v>215</v>
      </c>
      <c r="P68" s="4" t="s">
        <v>42</v>
      </c>
      <c r="Q68" s="50" t="s">
        <v>43</v>
      </c>
      <c r="R68" s="50"/>
      <c r="S68" s="50">
        <v>0</v>
      </c>
      <c r="T68" s="4" t="s">
        <v>43</v>
      </c>
      <c r="U68" s="4" t="s">
        <v>43</v>
      </c>
      <c r="AD68" s="91">
        <f t="shared" si="1"/>
        <v>0</v>
      </c>
      <c r="AE68" s="48" t="e">
        <f>VLOOKUP(C68,#REF!,1,0)</f>
        <v>#REF!</v>
      </c>
    </row>
    <row r="69" spans="3:31" x14ac:dyDescent="0.25">
      <c r="C69" s="87" t="s">
        <v>217</v>
      </c>
      <c r="D69" s="4" t="s">
        <v>218</v>
      </c>
      <c r="E69" s="4"/>
      <c r="F69" s="4" t="s">
        <v>36</v>
      </c>
      <c r="G69" s="4" t="s">
        <v>37</v>
      </c>
      <c r="H69" s="4" t="s">
        <v>81</v>
      </c>
      <c r="I69" s="4"/>
      <c r="J69" s="4">
        <v>0</v>
      </c>
      <c r="K69" s="4"/>
      <c r="L69" s="4" t="s">
        <v>59</v>
      </c>
      <c r="M69" s="4" t="s">
        <v>40</v>
      </c>
      <c r="N69" s="4" t="s">
        <v>41</v>
      </c>
      <c r="O69" s="4" t="s">
        <v>217</v>
      </c>
      <c r="P69" s="4" t="s">
        <v>42</v>
      </c>
      <c r="Q69" s="50" t="s">
        <v>43</v>
      </c>
      <c r="R69" s="50"/>
      <c r="S69" s="50">
        <v>0</v>
      </c>
      <c r="T69" s="4" t="s">
        <v>43</v>
      </c>
      <c r="U69" s="4" t="s">
        <v>43</v>
      </c>
      <c r="AD69" s="91">
        <f t="shared" si="1"/>
        <v>0</v>
      </c>
      <c r="AE69" s="48" t="e">
        <f>VLOOKUP(C69,#REF!,1,0)</f>
        <v>#REF!</v>
      </c>
    </row>
    <row r="70" spans="3:31" x14ac:dyDescent="0.25">
      <c r="C70" s="87" t="s">
        <v>219</v>
      </c>
      <c r="D70" s="4" t="s">
        <v>220</v>
      </c>
      <c r="E70" s="4" t="s">
        <v>220</v>
      </c>
      <c r="F70" s="4" t="s">
        <v>36</v>
      </c>
      <c r="G70" s="4" t="s">
        <v>37</v>
      </c>
      <c r="H70" s="4" t="s">
        <v>38</v>
      </c>
      <c r="I70" s="4"/>
      <c r="J70" s="4" t="s">
        <v>100</v>
      </c>
      <c r="K70" s="4"/>
      <c r="L70" s="4" t="s">
        <v>59</v>
      </c>
      <c r="M70" s="4" t="s">
        <v>40</v>
      </c>
      <c r="N70" s="4" t="s">
        <v>41</v>
      </c>
      <c r="O70" s="4" t="s">
        <v>219</v>
      </c>
      <c r="P70" s="4" t="s">
        <v>42</v>
      </c>
      <c r="Q70" s="50" t="s">
        <v>43</v>
      </c>
      <c r="R70" s="50"/>
      <c r="S70" s="50">
        <v>0</v>
      </c>
      <c r="T70" s="4" t="s">
        <v>43</v>
      </c>
      <c r="U70" s="4" t="s">
        <v>43</v>
      </c>
      <c r="AD70" s="91">
        <f t="shared" si="1"/>
        <v>0</v>
      </c>
      <c r="AE70" s="48" t="e">
        <f>VLOOKUP(C70,#REF!,1,0)</f>
        <v>#REF!</v>
      </c>
    </row>
    <row r="71" spans="3:31" x14ac:dyDescent="0.25">
      <c r="C71" s="87" t="s">
        <v>221</v>
      </c>
      <c r="D71" s="4" t="s">
        <v>222</v>
      </c>
      <c r="E71" s="4" t="s">
        <v>223</v>
      </c>
      <c r="F71" s="4" t="s">
        <v>36</v>
      </c>
      <c r="G71" s="4" t="s">
        <v>37</v>
      </c>
      <c r="H71" s="4" t="s">
        <v>38</v>
      </c>
      <c r="I71" s="4"/>
      <c r="J71" s="4">
        <v>0</v>
      </c>
      <c r="K71" s="4"/>
      <c r="L71" s="4" t="s">
        <v>47</v>
      </c>
      <c r="M71" s="4" t="s">
        <v>40</v>
      </c>
      <c r="N71" s="4" t="s">
        <v>41</v>
      </c>
      <c r="O71" s="4" t="s">
        <v>221</v>
      </c>
      <c r="P71" s="4" t="s">
        <v>42</v>
      </c>
      <c r="Q71" s="50" t="s">
        <v>43</v>
      </c>
      <c r="R71" s="50"/>
      <c r="S71" s="50">
        <v>0</v>
      </c>
      <c r="T71" s="4" t="s">
        <v>43</v>
      </c>
      <c r="U71" s="4" t="s">
        <v>43</v>
      </c>
      <c r="AD71" s="91">
        <f t="shared" si="1"/>
        <v>0</v>
      </c>
      <c r="AE71" s="48" t="e">
        <f>VLOOKUP(C71,#REF!,1,0)</f>
        <v>#REF!</v>
      </c>
    </row>
    <row r="72" spans="3:31" x14ac:dyDescent="0.25">
      <c r="C72" s="87" t="s">
        <v>224</v>
      </c>
      <c r="D72" s="4" t="s">
        <v>225</v>
      </c>
      <c r="E72" s="4" t="s">
        <v>226</v>
      </c>
      <c r="F72" s="4" t="s">
        <v>36</v>
      </c>
      <c r="G72" s="4" t="s">
        <v>37</v>
      </c>
      <c r="H72" s="4" t="s">
        <v>38</v>
      </c>
      <c r="I72" s="4"/>
      <c r="J72" s="4">
        <v>0</v>
      </c>
      <c r="K72" s="4"/>
      <c r="L72" s="4" t="s">
        <v>59</v>
      </c>
      <c r="M72" s="4" t="s">
        <v>40</v>
      </c>
      <c r="N72" s="4" t="s">
        <v>41</v>
      </c>
      <c r="O72" s="4" t="s">
        <v>224</v>
      </c>
      <c r="P72" s="4" t="s">
        <v>42</v>
      </c>
      <c r="Q72" s="50" t="s">
        <v>43</v>
      </c>
      <c r="R72" s="50"/>
      <c r="S72" s="50">
        <v>0</v>
      </c>
      <c r="T72" s="4" t="s">
        <v>43</v>
      </c>
      <c r="U72" s="4" t="s">
        <v>43</v>
      </c>
      <c r="AD72" s="91">
        <f t="shared" si="1"/>
        <v>0</v>
      </c>
      <c r="AE72" s="48" t="e">
        <f>VLOOKUP(C72,#REF!,1,0)</f>
        <v>#REF!</v>
      </c>
    </row>
    <row r="73" spans="3:31" x14ac:dyDescent="0.25">
      <c r="C73" s="87" t="s">
        <v>227</v>
      </c>
      <c r="D73" s="4" t="s">
        <v>228</v>
      </c>
      <c r="E73" s="4" t="s">
        <v>229</v>
      </c>
      <c r="F73" s="4" t="s">
        <v>36</v>
      </c>
      <c r="G73" s="4" t="s">
        <v>37</v>
      </c>
      <c r="H73" s="4" t="s">
        <v>38</v>
      </c>
      <c r="I73" s="4"/>
      <c r="J73" s="4">
        <v>0</v>
      </c>
      <c r="K73" s="4"/>
      <c r="L73" s="4" t="s">
        <v>54</v>
      </c>
      <c r="M73" s="4" t="s">
        <v>55</v>
      </c>
      <c r="N73" s="4" t="s">
        <v>41</v>
      </c>
      <c r="O73" s="4" t="s">
        <v>227</v>
      </c>
      <c r="P73" s="4" t="s">
        <v>42</v>
      </c>
      <c r="Q73" s="50" t="s">
        <v>43</v>
      </c>
      <c r="R73" s="50"/>
      <c r="S73" s="50">
        <v>0</v>
      </c>
      <c r="T73" s="4" t="s">
        <v>43</v>
      </c>
      <c r="U73" s="4" t="s">
        <v>43</v>
      </c>
      <c r="AD73" s="91">
        <f t="shared" ref="AD73:AD135" si="2">SUMPRODUCT($W$6:$AC$6,W73:AC73)</f>
        <v>0</v>
      </c>
      <c r="AE73" s="48" t="e">
        <f>VLOOKUP(C73,#REF!,1,0)</f>
        <v>#REF!</v>
      </c>
    </row>
    <row r="74" spans="3:31" x14ac:dyDescent="0.25">
      <c r="C74" s="87" t="s">
        <v>230</v>
      </c>
      <c r="D74" s="4" t="s">
        <v>231</v>
      </c>
      <c r="E74" s="4" t="s">
        <v>232</v>
      </c>
      <c r="F74" s="4" t="s">
        <v>36</v>
      </c>
      <c r="G74" s="4" t="s">
        <v>37</v>
      </c>
      <c r="H74" s="4" t="s">
        <v>38</v>
      </c>
      <c r="I74" s="4"/>
      <c r="J74" s="4" t="s">
        <v>84</v>
      </c>
      <c r="K74" s="4"/>
      <c r="L74" s="4" t="s">
        <v>54</v>
      </c>
      <c r="M74" s="4" t="s">
        <v>55</v>
      </c>
      <c r="N74" s="4" t="s">
        <v>41</v>
      </c>
      <c r="O74" s="4" t="s">
        <v>230</v>
      </c>
      <c r="P74" s="4" t="s">
        <v>42</v>
      </c>
      <c r="Q74" s="50" t="s">
        <v>43</v>
      </c>
      <c r="R74" s="50"/>
      <c r="S74" s="50">
        <v>0</v>
      </c>
      <c r="T74" s="4" t="s">
        <v>43</v>
      </c>
      <c r="U74" s="4" t="s">
        <v>43</v>
      </c>
      <c r="AD74" s="91">
        <f t="shared" si="2"/>
        <v>0</v>
      </c>
      <c r="AE74" s="48" t="e">
        <f>VLOOKUP(C74,#REF!,1,0)</f>
        <v>#REF!</v>
      </c>
    </row>
    <row r="75" spans="3:31" x14ac:dyDescent="0.25">
      <c r="C75" s="87" t="s">
        <v>233</v>
      </c>
      <c r="D75" s="4" t="s">
        <v>234</v>
      </c>
      <c r="E75" s="4" t="s">
        <v>235</v>
      </c>
      <c r="F75" s="4" t="s">
        <v>36</v>
      </c>
      <c r="G75" s="4" t="s">
        <v>37</v>
      </c>
      <c r="H75" s="4" t="s">
        <v>38</v>
      </c>
      <c r="I75" s="4"/>
      <c r="J75" s="4" t="s">
        <v>84</v>
      </c>
      <c r="K75" s="4"/>
      <c r="L75" s="4" t="s">
        <v>54</v>
      </c>
      <c r="M75" s="4" t="s">
        <v>55</v>
      </c>
      <c r="N75" s="4" t="s">
        <v>41</v>
      </c>
      <c r="O75" s="4" t="s">
        <v>233</v>
      </c>
      <c r="P75" s="4" t="s">
        <v>42</v>
      </c>
      <c r="Q75" s="50" t="s">
        <v>43</v>
      </c>
      <c r="R75" s="50"/>
      <c r="S75" s="50">
        <v>0</v>
      </c>
      <c r="T75" s="4" t="s">
        <v>43</v>
      </c>
      <c r="U75" s="4" t="s">
        <v>43</v>
      </c>
      <c r="AD75" s="91">
        <f t="shared" si="2"/>
        <v>0</v>
      </c>
      <c r="AE75" s="48" t="e">
        <f>VLOOKUP(C75,#REF!,1,0)</f>
        <v>#REF!</v>
      </c>
    </row>
    <row r="76" spans="3:31" x14ac:dyDescent="0.25">
      <c r="C76" s="87" t="s">
        <v>236</v>
      </c>
      <c r="D76" s="4" t="s">
        <v>237</v>
      </c>
      <c r="E76" s="4" t="s">
        <v>237</v>
      </c>
      <c r="F76" s="4" t="s">
        <v>36</v>
      </c>
      <c r="G76" s="4" t="s">
        <v>37</v>
      </c>
      <c r="H76" s="4" t="s">
        <v>38</v>
      </c>
      <c r="I76" s="4"/>
      <c r="J76" s="4">
        <v>0</v>
      </c>
      <c r="K76" s="4"/>
      <c r="L76" s="4" t="s">
        <v>59</v>
      </c>
      <c r="M76" s="4" t="s">
        <v>40</v>
      </c>
      <c r="N76" s="4" t="s">
        <v>41</v>
      </c>
      <c r="O76" s="4" t="s">
        <v>236</v>
      </c>
      <c r="P76" s="4" t="s">
        <v>42</v>
      </c>
      <c r="Q76" s="50" t="s">
        <v>43</v>
      </c>
      <c r="R76" s="50"/>
      <c r="S76" s="50">
        <v>0</v>
      </c>
      <c r="T76" s="4" t="s">
        <v>43</v>
      </c>
      <c r="U76" s="4" t="s">
        <v>43</v>
      </c>
      <c r="AD76" s="91">
        <f t="shared" si="2"/>
        <v>0</v>
      </c>
      <c r="AE76" s="48" t="e">
        <f>VLOOKUP(C76,#REF!,1,0)</f>
        <v>#REF!</v>
      </c>
    </row>
    <row r="77" spans="3:31" x14ac:dyDescent="0.25">
      <c r="C77" s="87" t="s">
        <v>238</v>
      </c>
      <c r="D77" s="4" t="s">
        <v>239</v>
      </c>
      <c r="E77" s="4" t="s">
        <v>240</v>
      </c>
      <c r="F77" s="4" t="s">
        <v>36</v>
      </c>
      <c r="G77" s="4" t="s">
        <v>37</v>
      </c>
      <c r="H77" s="4" t="s">
        <v>38</v>
      </c>
      <c r="I77" s="4"/>
      <c r="J77" s="4" t="s">
        <v>146</v>
      </c>
      <c r="K77" s="4"/>
      <c r="L77" s="4" t="s">
        <v>59</v>
      </c>
      <c r="M77" s="4" t="s">
        <v>40</v>
      </c>
      <c r="N77" s="4" t="s">
        <v>41</v>
      </c>
      <c r="O77" s="4" t="s">
        <v>238</v>
      </c>
      <c r="P77" s="4" t="s">
        <v>42</v>
      </c>
      <c r="Q77" s="50" t="s">
        <v>43</v>
      </c>
      <c r="R77" s="50"/>
      <c r="S77" s="50">
        <v>0</v>
      </c>
      <c r="T77" s="4" t="s">
        <v>43</v>
      </c>
      <c r="U77" s="4" t="s">
        <v>43</v>
      </c>
      <c r="AD77" s="91">
        <f t="shared" si="2"/>
        <v>0</v>
      </c>
      <c r="AE77" s="48" t="e">
        <f>VLOOKUP(C77,#REF!,1,0)</f>
        <v>#REF!</v>
      </c>
    </row>
    <row r="78" spans="3:31" x14ac:dyDescent="0.25">
      <c r="C78" s="87" t="s">
        <v>241</v>
      </c>
      <c r="D78" s="4" t="s">
        <v>242</v>
      </c>
      <c r="E78" s="4" t="s">
        <v>243</v>
      </c>
      <c r="F78" s="4" t="s">
        <v>36</v>
      </c>
      <c r="G78" s="4" t="s">
        <v>37</v>
      </c>
      <c r="H78" s="4" t="s">
        <v>38</v>
      </c>
      <c r="I78" s="4"/>
      <c r="J78" s="4" t="s">
        <v>132</v>
      </c>
      <c r="K78" s="4"/>
      <c r="L78" s="4" t="s">
        <v>64</v>
      </c>
      <c r="M78" s="4" t="s">
        <v>40</v>
      </c>
      <c r="N78" s="4" t="s">
        <v>41</v>
      </c>
      <c r="O78" s="4" t="s">
        <v>241</v>
      </c>
      <c r="P78" s="4" t="s">
        <v>42</v>
      </c>
      <c r="Q78" s="50" t="s">
        <v>43</v>
      </c>
      <c r="R78" s="50"/>
      <c r="S78" s="50">
        <v>0</v>
      </c>
      <c r="T78" s="4" t="s">
        <v>43</v>
      </c>
      <c r="U78" s="4" t="s">
        <v>43</v>
      </c>
      <c r="V78" s="4"/>
      <c r="AD78" s="90">
        <f t="shared" si="2"/>
        <v>0</v>
      </c>
      <c r="AE78" s="48" t="e">
        <f>VLOOKUP(C78,#REF!,1,0)</f>
        <v>#REF!</v>
      </c>
    </row>
    <row r="79" spans="3:31" x14ac:dyDescent="0.25">
      <c r="C79" s="87" t="s">
        <v>244</v>
      </c>
      <c r="D79" s="4" t="s">
        <v>245</v>
      </c>
      <c r="E79" s="4" t="s">
        <v>245</v>
      </c>
      <c r="F79" s="4" t="s">
        <v>36</v>
      </c>
      <c r="G79" s="4" t="s">
        <v>37</v>
      </c>
      <c r="H79" s="4" t="s">
        <v>81</v>
      </c>
      <c r="I79" s="4"/>
      <c r="J79" s="4">
        <v>0</v>
      </c>
      <c r="K79" s="4"/>
      <c r="L79" s="4" t="s">
        <v>133</v>
      </c>
      <c r="M79" s="4" t="s">
        <v>40</v>
      </c>
      <c r="N79" s="4" t="s">
        <v>41</v>
      </c>
      <c r="O79" s="4" t="s">
        <v>244</v>
      </c>
      <c r="P79" s="4" t="s">
        <v>42</v>
      </c>
      <c r="Q79" s="50" t="s">
        <v>43</v>
      </c>
      <c r="R79" s="50"/>
      <c r="S79" s="50">
        <v>0</v>
      </c>
      <c r="T79" s="4" t="s">
        <v>43</v>
      </c>
      <c r="U79" s="4" t="s">
        <v>43</v>
      </c>
      <c r="AD79" s="91">
        <f t="shared" si="2"/>
        <v>0</v>
      </c>
      <c r="AE79" s="48" t="e">
        <f>VLOOKUP(C79,#REF!,1,0)</f>
        <v>#REF!</v>
      </c>
    </row>
    <row r="80" spans="3:31" x14ac:dyDescent="0.25">
      <c r="C80" s="87" t="s">
        <v>246</v>
      </c>
      <c r="D80" s="4" t="s">
        <v>247</v>
      </c>
      <c r="E80" s="4" t="s">
        <v>247</v>
      </c>
      <c r="F80" s="4" t="s">
        <v>36</v>
      </c>
      <c r="G80" s="4" t="s">
        <v>37</v>
      </c>
      <c r="H80" s="4" t="s">
        <v>38</v>
      </c>
      <c r="I80" s="4"/>
      <c r="J80" s="4" t="s">
        <v>248</v>
      </c>
      <c r="K80" s="4"/>
      <c r="L80" s="4" t="s">
        <v>138</v>
      </c>
      <c r="M80" s="4" t="s">
        <v>40</v>
      </c>
      <c r="N80" s="4" t="s">
        <v>41</v>
      </c>
      <c r="O80" s="4" t="s">
        <v>246</v>
      </c>
      <c r="P80" s="4" t="s">
        <v>42</v>
      </c>
      <c r="Q80" s="50" t="s">
        <v>43</v>
      </c>
      <c r="R80" s="50"/>
      <c r="S80" s="50">
        <v>0</v>
      </c>
      <c r="T80" s="4" t="s">
        <v>43</v>
      </c>
      <c r="U80" s="4" t="s">
        <v>43</v>
      </c>
      <c r="AD80" s="91">
        <f t="shared" si="2"/>
        <v>0</v>
      </c>
      <c r="AE80" s="48" t="e">
        <f>VLOOKUP(C80,#REF!,1,0)</f>
        <v>#REF!</v>
      </c>
    </row>
    <row r="81" spans="3:31" x14ac:dyDescent="0.25">
      <c r="C81" s="87" t="s">
        <v>249</v>
      </c>
      <c r="D81" s="4" t="s">
        <v>250</v>
      </c>
      <c r="E81" s="4" t="s">
        <v>250</v>
      </c>
      <c r="F81" s="4" t="s">
        <v>36</v>
      </c>
      <c r="G81" s="4" t="s">
        <v>37</v>
      </c>
      <c r="H81" s="4" t="s">
        <v>38</v>
      </c>
      <c r="I81" s="4"/>
      <c r="J81" s="4" t="s">
        <v>94</v>
      </c>
      <c r="K81" s="4"/>
      <c r="L81" s="4" t="s">
        <v>138</v>
      </c>
      <c r="M81" s="4" t="s">
        <v>40</v>
      </c>
      <c r="N81" s="4" t="s">
        <v>41</v>
      </c>
      <c r="O81" s="4" t="s">
        <v>249</v>
      </c>
      <c r="P81" s="4" t="s">
        <v>42</v>
      </c>
      <c r="Q81" s="50" t="s">
        <v>43</v>
      </c>
      <c r="R81" s="50"/>
      <c r="S81" s="50">
        <v>0</v>
      </c>
      <c r="T81" s="4" t="s">
        <v>43</v>
      </c>
      <c r="U81" s="4" t="s">
        <v>43</v>
      </c>
      <c r="AD81" s="91">
        <f t="shared" si="2"/>
        <v>0</v>
      </c>
      <c r="AE81" s="48" t="e">
        <f>VLOOKUP(C81,#REF!,1,0)</f>
        <v>#REF!</v>
      </c>
    </row>
    <row r="82" spans="3:31" x14ac:dyDescent="0.25">
      <c r="C82" s="87" t="s">
        <v>251</v>
      </c>
      <c r="D82" s="4" t="s">
        <v>252</v>
      </c>
      <c r="E82" s="4" t="s">
        <v>253</v>
      </c>
      <c r="F82" s="4" t="s">
        <v>36</v>
      </c>
      <c r="G82" s="4" t="s">
        <v>37</v>
      </c>
      <c r="H82" s="4" t="s">
        <v>38</v>
      </c>
      <c r="I82" s="4"/>
      <c r="J82" s="4">
        <v>0</v>
      </c>
      <c r="K82" s="4"/>
      <c r="L82" s="4" t="s">
        <v>64</v>
      </c>
      <c r="M82" s="4" t="s">
        <v>40</v>
      </c>
      <c r="N82" s="4" t="s">
        <v>41</v>
      </c>
      <c r="O82" s="4" t="s">
        <v>251</v>
      </c>
      <c r="P82" s="4" t="s">
        <v>42</v>
      </c>
      <c r="Q82" s="50" t="s">
        <v>43</v>
      </c>
      <c r="R82" s="50"/>
      <c r="S82" s="50">
        <v>0</v>
      </c>
      <c r="T82" s="4" t="s">
        <v>43</v>
      </c>
      <c r="U82" s="4" t="s">
        <v>43</v>
      </c>
      <c r="AD82" s="91">
        <f t="shared" si="2"/>
        <v>0</v>
      </c>
      <c r="AE82" s="48" t="e">
        <f>VLOOKUP(C82,#REF!,1,0)</f>
        <v>#REF!</v>
      </c>
    </row>
    <row r="83" spans="3:31" x14ac:dyDescent="0.25">
      <c r="C83" s="87" t="s">
        <v>254</v>
      </c>
      <c r="D83" s="4" t="s">
        <v>255</v>
      </c>
      <c r="E83" s="4" t="s">
        <v>255</v>
      </c>
      <c r="F83" s="4" t="s">
        <v>36</v>
      </c>
      <c r="G83" s="4" t="s">
        <v>37</v>
      </c>
      <c r="H83" s="4" t="s">
        <v>38</v>
      </c>
      <c r="I83" s="4"/>
      <c r="J83" s="4">
        <v>0</v>
      </c>
      <c r="K83" s="4"/>
      <c r="L83" s="4" t="s">
        <v>51</v>
      </c>
      <c r="M83" s="4" t="s">
        <v>40</v>
      </c>
      <c r="N83" s="4" t="s">
        <v>41</v>
      </c>
      <c r="O83" s="4" t="s">
        <v>254</v>
      </c>
      <c r="P83" s="4" t="s">
        <v>42</v>
      </c>
      <c r="Q83" s="50" t="s">
        <v>43</v>
      </c>
      <c r="R83" s="50"/>
      <c r="S83" s="50">
        <v>0</v>
      </c>
      <c r="T83" s="4" t="s">
        <v>43</v>
      </c>
      <c r="U83" s="4" t="s">
        <v>43</v>
      </c>
      <c r="AD83" s="91">
        <f t="shared" si="2"/>
        <v>0</v>
      </c>
      <c r="AE83" s="48" t="e">
        <f>VLOOKUP(C83,#REF!,1,0)</f>
        <v>#REF!</v>
      </c>
    </row>
    <row r="84" spans="3:31" x14ac:dyDescent="0.25">
      <c r="C84" s="87" t="s">
        <v>256</v>
      </c>
      <c r="D84" s="4" t="s">
        <v>257</v>
      </c>
      <c r="E84" s="4" t="s">
        <v>257</v>
      </c>
      <c r="F84" s="4" t="s">
        <v>36</v>
      </c>
      <c r="G84" s="4" t="s">
        <v>37</v>
      </c>
      <c r="H84" s="4" t="s">
        <v>38</v>
      </c>
      <c r="I84" s="4"/>
      <c r="J84" s="4">
        <v>0</v>
      </c>
      <c r="K84" s="4"/>
      <c r="L84" s="4" t="s">
        <v>138</v>
      </c>
      <c r="M84" s="4" t="s">
        <v>40</v>
      </c>
      <c r="N84" s="4" t="s">
        <v>41</v>
      </c>
      <c r="O84" s="4" t="s">
        <v>256</v>
      </c>
      <c r="P84" s="4" t="s">
        <v>42</v>
      </c>
      <c r="Q84" s="50" t="s">
        <v>43</v>
      </c>
      <c r="R84" s="50"/>
      <c r="S84" s="50">
        <v>0</v>
      </c>
      <c r="T84" s="4" t="s">
        <v>43</v>
      </c>
      <c r="U84" s="4" t="s">
        <v>43</v>
      </c>
      <c r="AD84" s="91">
        <f t="shared" si="2"/>
        <v>0</v>
      </c>
      <c r="AE84" s="48" t="e">
        <f>VLOOKUP(C84,#REF!,1,0)</f>
        <v>#REF!</v>
      </c>
    </row>
    <row r="85" spans="3:31" x14ac:dyDescent="0.25">
      <c r="C85" s="87" t="s">
        <v>258</v>
      </c>
      <c r="D85" s="4" t="s">
        <v>259</v>
      </c>
      <c r="E85" s="4" t="s">
        <v>260</v>
      </c>
      <c r="F85" s="4" t="s">
        <v>36</v>
      </c>
      <c r="G85" s="4" t="s">
        <v>37</v>
      </c>
      <c r="H85" s="4" t="s">
        <v>38</v>
      </c>
      <c r="I85" s="4"/>
      <c r="J85" s="4" t="s">
        <v>50</v>
      </c>
      <c r="K85" s="4"/>
      <c r="L85" s="4" t="s">
        <v>51</v>
      </c>
      <c r="M85" s="4" t="s">
        <v>40</v>
      </c>
      <c r="N85" s="4" t="s">
        <v>41</v>
      </c>
      <c r="O85" s="4" t="s">
        <v>258</v>
      </c>
      <c r="P85" s="4" t="s">
        <v>42</v>
      </c>
      <c r="Q85" s="50" t="s">
        <v>43</v>
      </c>
      <c r="R85" s="50"/>
      <c r="S85" s="50">
        <v>0</v>
      </c>
      <c r="T85" s="4" t="s">
        <v>43</v>
      </c>
      <c r="U85" s="4" t="s">
        <v>43</v>
      </c>
      <c r="AD85" s="91">
        <f t="shared" si="2"/>
        <v>0</v>
      </c>
      <c r="AE85" s="48" t="e">
        <f>VLOOKUP(C85,#REF!,1,0)</f>
        <v>#REF!</v>
      </c>
    </row>
    <row r="86" spans="3:31" x14ac:dyDescent="0.25">
      <c r="C86" s="87" t="s">
        <v>261</v>
      </c>
      <c r="D86" s="4" t="s">
        <v>262</v>
      </c>
      <c r="E86" s="4" t="s">
        <v>263</v>
      </c>
      <c r="F86" s="4" t="s">
        <v>36</v>
      </c>
      <c r="G86" s="4" t="s">
        <v>37</v>
      </c>
      <c r="H86" s="4" t="s">
        <v>38</v>
      </c>
      <c r="I86" s="4"/>
      <c r="J86" s="4" t="s">
        <v>58</v>
      </c>
      <c r="K86" s="4"/>
      <c r="L86" s="4" t="s">
        <v>138</v>
      </c>
      <c r="M86" s="4" t="s">
        <v>40</v>
      </c>
      <c r="N86" s="4" t="s">
        <v>41</v>
      </c>
      <c r="O86" s="4" t="s">
        <v>261</v>
      </c>
      <c r="P86" s="4" t="s">
        <v>42</v>
      </c>
      <c r="Q86" s="50" t="s">
        <v>43</v>
      </c>
      <c r="R86" s="50"/>
      <c r="S86" s="50">
        <v>0</v>
      </c>
      <c r="T86" s="4" t="s">
        <v>43</v>
      </c>
      <c r="U86" s="4" t="s">
        <v>43</v>
      </c>
      <c r="AD86" s="91">
        <f t="shared" si="2"/>
        <v>0</v>
      </c>
      <c r="AE86" s="48" t="e">
        <f>VLOOKUP(C86,#REF!,1,0)</f>
        <v>#REF!</v>
      </c>
    </row>
    <row r="87" spans="3:31" x14ac:dyDescent="0.25">
      <c r="C87" s="87" t="s">
        <v>264</v>
      </c>
      <c r="D87" s="4" t="s">
        <v>265</v>
      </c>
      <c r="E87" s="4" t="s">
        <v>266</v>
      </c>
      <c r="F87" s="4" t="s">
        <v>36</v>
      </c>
      <c r="G87" s="4" t="s">
        <v>37</v>
      </c>
      <c r="H87" s="4" t="s">
        <v>38</v>
      </c>
      <c r="I87" s="4"/>
      <c r="J87" s="4">
        <v>0</v>
      </c>
      <c r="K87" s="4"/>
      <c r="L87" s="4" t="s">
        <v>51</v>
      </c>
      <c r="M87" s="4" t="s">
        <v>40</v>
      </c>
      <c r="N87" s="4" t="s">
        <v>41</v>
      </c>
      <c r="O87" s="4" t="s">
        <v>264</v>
      </c>
      <c r="P87" s="4" t="s">
        <v>42</v>
      </c>
      <c r="Q87" s="50" t="s">
        <v>43</v>
      </c>
      <c r="R87" s="50"/>
      <c r="S87" s="50">
        <v>0</v>
      </c>
      <c r="T87" s="4" t="s">
        <v>43</v>
      </c>
      <c r="U87" s="4" t="s">
        <v>43</v>
      </c>
      <c r="AD87" s="91">
        <f t="shared" si="2"/>
        <v>0</v>
      </c>
      <c r="AE87" s="48" t="e">
        <f>VLOOKUP(C87,#REF!,1,0)</f>
        <v>#REF!</v>
      </c>
    </row>
    <row r="88" spans="3:31" x14ac:dyDescent="0.25">
      <c r="C88" s="87" t="s">
        <v>267</v>
      </c>
      <c r="D88" s="4" t="s">
        <v>268</v>
      </c>
      <c r="E88" s="4" t="s">
        <v>269</v>
      </c>
      <c r="F88" s="4" t="s">
        <v>36</v>
      </c>
      <c r="G88" s="4" t="s">
        <v>37</v>
      </c>
      <c r="H88" s="4" t="s">
        <v>38</v>
      </c>
      <c r="I88" s="4"/>
      <c r="J88" s="4">
        <v>0</v>
      </c>
      <c r="K88" s="4"/>
      <c r="L88" s="4" t="s">
        <v>51</v>
      </c>
      <c r="M88" s="4" t="s">
        <v>40</v>
      </c>
      <c r="N88" s="4" t="s">
        <v>41</v>
      </c>
      <c r="O88" s="4" t="s">
        <v>267</v>
      </c>
      <c r="P88" s="4" t="s">
        <v>42</v>
      </c>
      <c r="Q88" s="50" t="s">
        <v>43</v>
      </c>
      <c r="R88" s="50"/>
      <c r="S88" s="50">
        <v>0</v>
      </c>
      <c r="T88" s="4" t="s">
        <v>43</v>
      </c>
      <c r="U88" s="4" t="s">
        <v>43</v>
      </c>
      <c r="AD88" s="91">
        <f t="shared" si="2"/>
        <v>0</v>
      </c>
      <c r="AE88" s="48" t="e">
        <f>VLOOKUP(C88,#REF!,1,0)</f>
        <v>#REF!</v>
      </c>
    </row>
    <row r="89" spans="3:31" x14ac:dyDescent="0.25">
      <c r="C89" s="87" t="s">
        <v>270</v>
      </c>
      <c r="D89" s="4" t="s">
        <v>271</v>
      </c>
      <c r="E89" s="4" t="s">
        <v>271</v>
      </c>
      <c r="F89" s="4" t="s">
        <v>36</v>
      </c>
      <c r="G89" s="4" t="s">
        <v>37</v>
      </c>
      <c r="H89" s="4" t="s">
        <v>38</v>
      </c>
      <c r="I89" s="4"/>
      <c r="J89" s="4" t="s">
        <v>100</v>
      </c>
      <c r="K89" s="4"/>
      <c r="L89" s="4" t="s">
        <v>59</v>
      </c>
      <c r="M89" s="4" t="s">
        <v>40</v>
      </c>
      <c r="N89" s="4" t="s">
        <v>41</v>
      </c>
      <c r="O89" s="4" t="s">
        <v>270</v>
      </c>
      <c r="P89" s="4" t="s">
        <v>42</v>
      </c>
      <c r="Q89" s="50" t="s">
        <v>43</v>
      </c>
      <c r="R89" s="50"/>
      <c r="S89" s="50">
        <v>0</v>
      </c>
      <c r="T89" s="4" t="s">
        <v>43</v>
      </c>
      <c r="U89" s="4" t="s">
        <v>43</v>
      </c>
      <c r="AD89" s="91">
        <f t="shared" si="2"/>
        <v>0</v>
      </c>
      <c r="AE89" s="48" t="e">
        <f>VLOOKUP(C89,#REF!,1,0)</f>
        <v>#REF!</v>
      </c>
    </row>
    <row r="90" spans="3:31" x14ac:dyDescent="0.25">
      <c r="C90" s="87" t="s">
        <v>272</v>
      </c>
      <c r="D90" s="4" t="s">
        <v>273</v>
      </c>
      <c r="E90" s="4" t="s">
        <v>274</v>
      </c>
      <c r="F90" s="4" t="s">
        <v>36</v>
      </c>
      <c r="G90" s="4" t="s">
        <v>37</v>
      </c>
      <c r="H90" s="4" t="s">
        <v>38</v>
      </c>
      <c r="I90" s="4"/>
      <c r="J90" s="4" t="s">
        <v>73</v>
      </c>
      <c r="K90" s="4"/>
      <c r="L90" s="4" t="s">
        <v>275</v>
      </c>
      <c r="M90" s="4" t="s">
        <v>40</v>
      </c>
      <c r="N90" s="4" t="s">
        <v>41</v>
      </c>
      <c r="O90" s="4" t="s">
        <v>272</v>
      </c>
      <c r="P90" s="4" t="s">
        <v>42</v>
      </c>
      <c r="Q90" s="50" t="s">
        <v>43</v>
      </c>
      <c r="R90" s="50"/>
      <c r="S90" s="50">
        <v>0</v>
      </c>
      <c r="T90" s="4" t="s">
        <v>43</v>
      </c>
      <c r="U90" s="4" t="s">
        <v>43</v>
      </c>
      <c r="AD90" s="91">
        <f t="shared" si="2"/>
        <v>0</v>
      </c>
      <c r="AE90" s="48" t="e">
        <f>VLOOKUP(C90,#REF!,1,0)</f>
        <v>#REF!</v>
      </c>
    </row>
    <row r="91" spans="3:31" x14ac:dyDescent="0.25">
      <c r="C91" s="87" t="s">
        <v>276</v>
      </c>
      <c r="D91" s="4" t="s">
        <v>277</v>
      </c>
      <c r="E91" s="4" t="s">
        <v>278</v>
      </c>
      <c r="F91" s="4" t="s">
        <v>36</v>
      </c>
      <c r="G91" s="4" t="s">
        <v>37</v>
      </c>
      <c r="H91" s="4" t="s">
        <v>38</v>
      </c>
      <c r="I91" s="4"/>
      <c r="J91" s="4" t="s">
        <v>84</v>
      </c>
      <c r="K91" s="4"/>
      <c r="L91" s="4" t="s">
        <v>279</v>
      </c>
      <c r="M91" s="4" t="s">
        <v>55</v>
      </c>
      <c r="N91" s="4" t="s">
        <v>41</v>
      </c>
      <c r="O91" s="4" t="s">
        <v>276</v>
      </c>
      <c r="P91" s="4" t="s">
        <v>42</v>
      </c>
      <c r="Q91" s="50" t="s">
        <v>43</v>
      </c>
      <c r="R91" s="50"/>
      <c r="S91" s="50">
        <v>0</v>
      </c>
      <c r="T91" s="4" t="s">
        <v>43</v>
      </c>
      <c r="U91" s="4" t="s">
        <v>43</v>
      </c>
      <c r="AD91" s="91">
        <f t="shared" si="2"/>
        <v>0</v>
      </c>
      <c r="AE91" s="48" t="e">
        <f>VLOOKUP(C91,#REF!,1,0)</f>
        <v>#REF!</v>
      </c>
    </row>
    <row r="92" spans="3:31" x14ac:dyDescent="0.25">
      <c r="C92" s="87" t="s">
        <v>280</v>
      </c>
      <c r="D92" s="4" t="s">
        <v>281</v>
      </c>
      <c r="E92" s="4" t="s">
        <v>281</v>
      </c>
      <c r="F92" s="4" t="s">
        <v>36</v>
      </c>
      <c r="G92" s="4" t="s">
        <v>37</v>
      </c>
      <c r="H92" s="4" t="s">
        <v>38</v>
      </c>
      <c r="I92" s="4"/>
      <c r="J92" s="4" t="s">
        <v>132</v>
      </c>
      <c r="K92" s="4"/>
      <c r="L92" s="4" t="s">
        <v>64</v>
      </c>
      <c r="M92" s="4" t="s">
        <v>40</v>
      </c>
      <c r="N92" s="4" t="s">
        <v>41</v>
      </c>
      <c r="O92" s="4" t="s">
        <v>280</v>
      </c>
      <c r="P92" s="4" t="s">
        <v>42</v>
      </c>
      <c r="Q92" s="50" t="s">
        <v>43</v>
      </c>
      <c r="R92" s="50"/>
      <c r="S92" s="50">
        <v>0</v>
      </c>
      <c r="T92" s="4" t="s">
        <v>43</v>
      </c>
      <c r="U92" s="4" t="s">
        <v>43</v>
      </c>
      <c r="AD92" s="91">
        <f t="shared" si="2"/>
        <v>0</v>
      </c>
      <c r="AE92" s="48" t="e">
        <f>VLOOKUP(C92,#REF!,1,0)</f>
        <v>#REF!</v>
      </c>
    </row>
    <row r="93" spans="3:31" x14ac:dyDescent="0.25">
      <c r="C93" s="87" t="s">
        <v>282</v>
      </c>
      <c r="D93" s="4" t="s">
        <v>283</v>
      </c>
      <c r="E93" s="4" t="s">
        <v>284</v>
      </c>
      <c r="F93" s="4" t="s">
        <v>36</v>
      </c>
      <c r="G93" s="4" t="s">
        <v>37</v>
      </c>
      <c r="H93" s="4" t="s">
        <v>38</v>
      </c>
      <c r="I93" s="4"/>
      <c r="J93" s="4">
        <v>0</v>
      </c>
      <c r="K93" s="4"/>
      <c r="L93" s="4" t="s">
        <v>279</v>
      </c>
      <c r="M93" s="4" t="s">
        <v>55</v>
      </c>
      <c r="N93" s="4" t="s">
        <v>41</v>
      </c>
      <c r="O93" s="4" t="s">
        <v>282</v>
      </c>
      <c r="P93" s="4" t="s">
        <v>42</v>
      </c>
      <c r="Q93" s="50" t="s">
        <v>43</v>
      </c>
      <c r="R93" s="50"/>
      <c r="S93" s="50">
        <v>0</v>
      </c>
      <c r="T93" s="4" t="s">
        <v>43</v>
      </c>
      <c r="U93" s="4" t="s">
        <v>43</v>
      </c>
      <c r="AD93" s="91">
        <f t="shared" si="2"/>
        <v>0</v>
      </c>
      <c r="AE93" s="48" t="e">
        <f>VLOOKUP(C93,#REF!,1,0)</f>
        <v>#REF!</v>
      </c>
    </row>
    <row r="94" spans="3:31" x14ac:dyDescent="0.25">
      <c r="C94" s="87" t="s">
        <v>285</v>
      </c>
      <c r="D94" s="4" t="s">
        <v>286</v>
      </c>
      <c r="E94" s="4" t="s">
        <v>287</v>
      </c>
      <c r="F94" s="4" t="s">
        <v>36</v>
      </c>
      <c r="G94" s="4" t="s">
        <v>37</v>
      </c>
      <c r="H94" s="4" t="s">
        <v>38</v>
      </c>
      <c r="I94" s="4"/>
      <c r="J94" s="4">
        <v>0</v>
      </c>
      <c r="K94" s="4"/>
      <c r="L94" s="4" t="s">
        <v>51</v>
      </c>
      <c r="M94" s="4" t="s">
        <v>40</v>
      </c>
      <c r="N94" s="4" t="s">
        <v>41</v>
      </c>
      <c r="O94" s="4" t="s">
        <v>285</v>
      </c>
      <c r="P94" s="4" t="s">
        <v>42</v>
      </c>
      <c r="Q94" s="50" t="s">
        <v>43</v>
      </c>
      <c r="R94" s="50"/>
      <c r="S94" s="50">
        <v>0</v>
      </c>
      <c r="T94" s="4" t="s">
        <v>43</v>
      </c>
      <c r="U94" s="4" t="s">
        <v>43</v>
      </c>
      <c r="AD94" s="91">
        <f t="shared" si="2"/>
        <v>0</v>
      </c>
      <c r="AE94" s="48" t="e">
        <f>VLOOKUP(C94,#REF!,1,0)</f>
        <v>#REF!</v>
      </c>
    </row>
    <row r="95" spans="3:31" x14ac:dyDescent="0.25">
      <c r="C95" s="87" t="s">
        <v>288</v>
      </c>
      <c r="D95" s="4" t="s">
        <v>289</v>
      </c>
      <c r="E95" s="4" t="s">
        <v>290</v>
      </c>
      <c r="F95" s="4" t="s">
        <v>36</v>
      </c>
      <c r="G95" s="4" t="s">
        <v>37</v>
      </c>
      <c r="H95" s="4" t="s">
        <v>38</v>
      </c>
      <c r="I95" s="4"/>
      <c r="J95" s="4">
        <v>0</v>
      </c>
      <c r="K95" s="4"/>
      <c r="L95" s="4" t="s">
        <v>59</v>
      </c>
      <c r="M95" s="4" t="s">
        <v>40</v>
      </c>
      <c r="N95" s="4" t="s">
        <v>41</v>
      </c>
      <c r="O95" s="4" t="s">
        <v>288</v>
      </c>
      <c r="P95" s="4" t="s">
        <v>42</v>
      </c>
      <c r="Q95" s="50" t="s">
        <v>43</v>
      </c>
      <c r="R95" s="50"/>
      <c r="S95" s="50">
        <v>0</v>
      </c>
      <c r="T95" s="4" t="s">
        <v>43</v>
      </c>
      <c r="U95" s="4" t="s">
        <v>43</v>
      </c>
      <c r="AD95" s="91">
        <f t="shared" si="2"/>
        <v>0</v>
      </c>
      <c r="AE95" s="48" t="e">
        <f>VLOOKUP(C95,#REF!,1,0)</f>
        <v>#REF!</v>
      </c>
    </row>
    <row r="96" spans="3:31" x14ac:dyDescent="0.25">
      <c r="C96" s="87" t="s">
        <v>291</v>
      </c>
      <c r="D96" s="4" t="s">
        <v>292</v>
      </c>
      <c r="E96" s="4" t="s">
        <v>292</v>
      </c>
      <c r="F96" s="4" t="s">
        <v>36</v>
      </c>
      <c r="G96" s="4" t="s">
        <v>37</v>
      </c>
      <c r="H96" s="4" t="s">
        <v>38</v>
      </c>
      <c r="I96" s="4"/>
      <c r="J96" s="4" t="s">
        <v>94</v>
      </c>
      <c r="K96" s="4"/>
      <c r="L96" s="4" t="s">
        <v>51</v>
      </c>
      <c r="M96" s="4" t="s">
        <v>40</v>
      </c>
      <c r="N96" s="4" t="s">
        <v>41</v>
      </c>
      <c r="O96" s="4" t="s">
        <v>291</v>
      </c>
      <c r="P96" s="4" t="s">
        <v>42</v>
      </c>
      <c r="Q96" s="50" t="s">
        <v>43</v>
      </c>
      <c r="R96" s="50"/>
      <c r="S96" s="50">
        <v>0</v>
      </c>
      <c r="T96" s="4" t="s">
        <v>43</v>
      </c>
      <c r="U96" s="4" t="s">
        <v>43</v>
      </c>
      <c r="AD96" s="91">
        <f t="shared" si="2"/>
        <v>0</v>
      </c>
      <c r="AE96" s="48" t="e">
        <f>VLOOKUP(C96,#REF!,1,0)</f>
        <v>#REF!</v>
      </c>
    </row>
    <row r="97" spans="3:31" x14ac:dyDescent="0.25">
      <c r="C97" s="87" t="s">
        <v>293</v>
      </c>
      <c r="D97" s="4" t="s">
        <v>294</v>
      </c>
      <c r="E97" s="4" t="s">
        <v>294</v>
      </c>
      <c r="F97" s="4" t="s">
        <v>36</v>
      </c>
      <c r="G97" s="4" t="s">
        <v>37</v>
      </c>
      <c r="H97" s="4" t="s">
        <v>38</v>
      </c>
      <c r="I97" s="4"/>
      <c r="J97" s="4" t="s">
        <v>73</v>
      </c>
      <c r="K97" s="4"/>
      <c r="L97" s="4" t="s">
        <v>64</v>
      </c>
      <c r="M97" s="4" t="s">
        <v>40</v>
      </c>
      <c r="N97" s="4" t="s">
        <v>41</v>
      </c>
      <c r="O97" s="4" t="s">
        <v>293</v>
      </c>
      <c r="P97" s="4" t="s">
        <v>42</v>
      </c>
      <c r="Q97" s="50" t="s">
        <v>43</v>
      </c>
      <c r="R97" s="50"/>
      <c r="S97" s="50">
        <v>0</v>
      </c>
      <c r="T97" s="4" t="s">
        <v>43</v>
      </c>
      <c r="U97" s="4" t="s">
        <v>43</v>
      </c>
      <c r="AD97" s="91">
        <f t="shared" si="2"/>
        <v>0</v>
      </c>
      <c r="AE97" s="48" t="e">
        <f>VLOOKUP(C97,#REF!,1,0)</f>
        <v>#REF!</v>
      </c>
    </row>
    <row r="98" spans="3:31" x14ac:dyDescent="0.25">
      <c r="C98" s="87" t="s">
        <v>295</v>
      </c>
      <c r="D98" s="4" t="s">
        <v>296</v>
      </c>
      <c r="E98" s="4" t="s">
        <v>297</v>
      </c>
      <c r="F98" s="4" t="s">
        <v>36</v>
      </c>
      <c r="G98" s="4" t="s">
        <v>37</v>
      </c>
      <c r="H98" s="4" t="s">
        <v>38</v>
      </c>
      <c r="I98" s="4"/>
      <c r="J98" s="4" t="s">
        <v>94</v>
      </c>
      <c r="K98" s="4"/>
      <c r="L98" s="4" t="s">
        <v>64</v>
      </c>
      <c r="M98" s="4" t="s">
        <v>40</v>
      </c>
      <c r="N98" s="4" t="s">
        <v>41</v>
      </c>
      <c r="O98" s="4" t="s">
        <v>295</v>
      </c>
      <c r="P98" s="4" t="s">
        <v>42</v>
      </c>
      <c r="Q98" s="50" t="s">
        <v>43</v>
      </c>
      <c r="R98" s="50"/>
      <c r="S98" s="50">
        <v>0</v>
      </c>
      <c r="T98" s="4" t="s">
        <v>43</v>
      </c>
      <c r="U98" s="4" t="s">
        <v>43</v>
      </c>
      <c r="AD98" s="91">
        <f t="shared" si="2"/>
        <v>0</v>
      </c>
      <c r="AE98" s="48" t="e">
        <f>VLOOKUP(C98,#REF!,1,0)</f>
        <v>#REF!</v>
      </c>
    </row>
    <row r="99" spans="3:31" x14ac:dyDescent="0.25">
      <c r="C99" s="87" t="s">
        <v>298</v>
      </c>
      <c r="D99" s="4" t="s">
        <v>299</v>
      </c>
      <c r="E99" s="4" t="s">
        <v>300</v>
      </c>
      <c r="F99" s="4" t="s">
        <v>36</v>
      </c>
      <c r="G99" s="4" t="s">
        <v>37</v>
      </c>
      <c r="H99" s="4" t="s">
        <v>38</v>
      </c>
      <c r="I99" s="4"/>
      <c r="J99" s="4" t="s">
        <v>58</v>
      </c>
      <c r="K99" s="4"/>
      <c r="L99" s="4" t="s">
        <v>59</v>
      </c>
      <c r="M99" s="4" t="s">
        <v>40</v>
      </c>
      <c r="N99" s="4" t="s">
        <v>41</v>
      </c>
      <c r="O99" s="4" t="s">
        <v>298</v>
      </c>
      <c r="P99" s="4" t="s">
        <v>42</v>
      </c>
      <c r="Q99" s="50" t="s">
        <v>43</v>
      </c>
      <c r="R99" s="50"/>
      <c r="S99" s="50">
        <v>0</v>
      </c>
      <c r="T99" s="4" t="s">
        <v>43</v>
      </c>
      <c r="U99" s="4" t="s">
        <v>43</v>
      </c>
      <c r="AD99" s="91">
        <f t="shared" si="2"/>
        <v>0</v>
      </c>
      <c r="AE99" s="48" t="e">
        <f>VLOOKUP(C99,#REF!,1,0)</f>
        <v>#REF!</v>
      </c>
    </row>
    <row r="100" spans="3:31" x14ac:dyDescent="0.25">
      <c r="C100" s="87" t="s">
        <v>301</v>
      </c>
      <c r="D100" s="4" t="s">
        <v>302</v>
      </c>
      <c r="E100" s="4" t="s">
        <v>303</v>
      </c>
      <c r="F100" s="4" t="s">
        <v>36</v>
      </c>
      <c r="G100" s="4" t="s">
        <v>37</v>
      </c>
      <c r="H100" s="4" t="s">
        <v>38</v>
      </c>
      <c r="I100" s="4"/>
      <c r="J100" s="4" t="s">
        <v>132</v>
      </c>
      <c r="K100" s="4"/>
      <c r="L100" s="4" t="s">
        <v>133</v>
      </c>
      <c r="M100" s="4" t="s">
        <v>40</v>
      </c>
      <c r="N100" s="4" t="s">
        <v>41</v>
      </c>
      <c r="O100" s="4" t="s">
        <v>301</v>
      </c>
      <c r="P100" s="4" t="s">
        <v>42</v>
      </c>
      <c r="Q100" s="50" t="s">
        <v>43</v>
      </c>
      <c r="R100" s="50"/>
      <c r="S100" s="50">
        <v>0</v>
      </c>
      <c r="T100" s="48" t="s">
        <v>43</v>
      </c>
      <c r="U100" s="4" t="s">
        <v>43</v>
      </c>
      <c r="AD100" s="91">
        <f t="shared" si="2"/>
        <v>0</v>
      </c>
      <c r="AE100" s="48" t="e">
        <f>VLOOKUP(C100,#REF!,1,0)</f>
        <v>#REF!</v>
      </c>
    </row>
    <row r="101" spans="3:31" x14ac:dyDescent="0.25">
      <c r="C101" s="87" t="s">
        <v>304</v>
      </c>
      <c r="D101" s="4" t="s">
        <v>305</v>
      </c>
      <c r="E101" s="4" t="s">
        <v>305</v>
      </c>
      <c r="F101" s="4" t="s">
        <v>36</v>
      </c>
      <c r="G101" s="4" t="s">
        <v>37</v>
      </c>
      <c r="H101" s="4" t="s">
        <v>81</v>
      </c>
      <c r="I101" s="4"/>
      <c r="J101" s="4" t="s">
        <v>132</v>
      </c>
      <c r="K101" s="4"/>
      <c r="L101" s="4" t="s">
        <v>51</v>
      </c>
      <c r="M101" s="4" t="s">
        <v>40</v>
      </c>
      <c r="N101" s="4" t="s">
        <v>41</v>
      </c>
      <c r="O101" s="4" t="s">
        <v>304</v>
      </c>
      <c r="P101" s="4" t="s">
        <v>42</v>
      </c>
      <c r="Q101" s="50" t="s">
        <v>43</v>
      </c>
      <c r="R101" s="50"/>
      <c r="S101" s="50">
        <v>0</v>
      </c>
      <c r="T101" s="4" t="s">
        <v>43</v>
      </c>
      <c r="U101" s="4" t="s">
        <v>43</v>
      </c>
      <c r="AD101" s="91">
        <f t="shared" si="2"/>
        <v>0</v>
      </c>
      <c r="AE101" s="48" t="e">
        <f>VLOOKUP(C101,#REF!,1,0)</f>
        <v>#REF!</v>
      </c>
    </row>
    <row r="102" spans="3:31" x14ac:dyDescent="0.25">
      <c r="C102" s="87" t="s">
        <v>306</v>
      </c>
      <c r="D102" s="4" t="s">
        <v>307</v>
      </c>
      <c r="E102" s="4" t="s">
        <v>307</v>
      </c>
      <c r="F102" s="4" t="s">
        <v>36</v>
      </c>
      <c r="G102" s="4" t="s">
        <v>37</v>
      </c>
      <c r="H102" s="4" t="s">
        <v>46</v>
      </c>
      <c r="I102" s="4"/>
      <c r="J102" s="4">
        <v>0</v>
      </c>
      <c r="K102" s="4"/>
      <c r="L102" s="4" t="s">
        <v>138</v>
      </c>
      <c r="M102" s="4" t="s">
        <v>40</v>
      </c>
      <c r="N102" s="4" t="s">
        <v>41</v>
      </c>
      <c r="O102" s="4" t="s">
        <v>306</v>
      </c>
      <c r="P102" s="4" t="s">
        <v>42</v>
      </c>
      <c r="Q102" s="50" t="s">
        <v>43</v>
      </c>
      <c r="R102" s="50"/>
      <c r="S102" s="50">
        <v>0</v>
      </c>
      <c r="T102" s="4" t="s">
        <v>43</v>
      </c>
      <c r="U102" s="4" t="s">
        <v>43</v>
      </c>
      <c r="AD102" s="91">
        <f t="shared" si="2"/>
        <v>0</v>
      </c>
      <c r="AE102" s="48" t="e">
        <f>VLOOKUP(C102,#REF!,1,0)</f>
        <v>#REF!</v>
      </c>
    </row>
    <row r="103" spans="3:31" x14ac:dyDescent="0.25">
      <c r="C103" s="87" t="s">
        <v>308</v>
      </c>
      <c r="D103" s="4" t="s">
        <v>309</v>
      </c>
      <c r="E103" s="4" t="s">
        <v>309</v>
      </c>
      <c r="F103" s="4" t="s">
        <v>36</v>
      </c>
      <c r="G103" s="4" t="s">
        <v>37</v>
      </c>
      <c r="H103" s="4" t="s">
        <v>46</v>
      </c>
      <c r="I103" s="4"/>
      <c r="J103" s="4">
        <v>0</v>
      </c>
      <c r="K103" s="4"/>
      <c r="L103" s="4" t="s">
        <v>279</v>
      </c>
      <c r="M103" s="4" t="s">
        <v>55</v>
      </c>
      <c r="N103" s="4" t="s">
        <v>41</v>
      </c>
      <c r="O103" s="4" t="s">
        <v>308</v>
      </c>
      <c r="P103" s="4" t="s">
        <v>42</v>
      </c>
      <c r="Q103" s="50" t="s">
        <v>43</v>
      </c>
      <c r="R103" s="50"/>
      <c r="S103" s="50">
        <v>0</v>
      </c>
      <c r="T103" s="4" t="s">
        <v>43</v>
      </c>
      <c r="U103" s="4" t="s">
        <v>43</v>
      </c>
      <c r="AD103" s="91">
        <f t="shared" si="2"/>
        <v>0</v>
      </c>
      <c r="AE103" s="48" t="e">
        <f>VLOOKUP(C103,#REF!,1,0)</f>
        <v>#REF!</v>
      </c>
    </row>
    <row r="104" spans="3:31" x14ac:dyDescent="0.25">
      <c r="C104" s="87" t="s">
        <v>310</v>
      </c>
      <c r="D104" s="4" t="s">
        <v>311</v>
      </c>
      <c r="E104" s="4" t="s">
        <v>312</v>
      </c>
      <c r="F104" s="4" t="s">
        <v>36</v>
      </c>
      <c r="G104" s="4" t="s">
        <v>37</v>
      </c>
      <c r="H104" s="4" t="s">
        <v>81</v>
      </c>
      <c r="I104" s="4"/>
      <c r="J104" s="4" t="s">
        <v>160</v>
      </c>
      <c r="K104" s="4"/>
      <c r="L104" s="4" t="s">
        <v>64</v>
      </c>
      <c r="M104" s="4" t="s">
        <v>40</v>
      </c>
      <c r="N104" s="4" t="s">
        <v>41</v>
      </c>
      <c r="O104" s="4" t="s">
        <v>310</v>
      </c>
      <c r="P104" s="4" t="s">
        <v>42</v>
      </c>
      <c r="Q104" s="50" t="s">
        <v>43</v>
      </c>
      <c r="R104" s="50"/>
      <c r="S104" s="50">
        <v>0</v>
      </c>
      <c r="T104" s="4" t="s">
        <v>43</v>
      </c>
      <c r="U104" s="4" t="s">
        <v>43</v>
      </c>
      <c r="AD104" s="91">
        <f t="shared" si="2"/>
        <v>0</v>
      </c>
      <c r="AE104" s="48" t="e">
        <f>VLOOKUP(C104,#REF!,1,0)</f>
        <v>#REF!</v>
      </c>
    </row>
    <row r="105" spans="3:31" x14ac:dyDescent="0.25">
      <c r="C105" s="87" t="s">
        <v>313</v>
      </c>
      <c r="D105" s="4" t="s">
        <v>314</v>
      </c>
      <c r="E105" s="4" t="s">
        <v>314</v>
      </c>
      <c r="F105" s="4" t="s">
        <v>36</v>
      </c>
      <c r="G105" s="4" t="s">
        <v>37</v>
      </c>
      <c r="H105" s="4" t="s">
        <v>81</v>
      </c>
      <c r="I105" s="4"/>
      <c r="J105" s="4">
        <v>0</v>
      </c>
      <c r="K105" s="4"/>
      <c r="L105" s="4" t="s">
        <v>315</v>
      </c>
      <c r="M105" s="4" t="s">
        <v>40</v>
      </c>
      <c r="N105" s="4" t="s">
        <v>41</v>
      </c>
      <c r="O105" s="4" t="s">
        <v>313</v>
      </c>
      <c r="P105" s="4" t="s">
        <v>42</v>
      </c>
      <c r="Q105" s="50" t="s">
        <v>43</v>
      </c>
      <c r="R105" s="50"/>
      <c r="S105" s="50">
        <v>0</v>
      </c>
      <c r="T105" s="4" t="s">
        <v>43</v>
      </c>
      <c r="U105" s="4" t="s">
        <v>43</v>
      </c>
      <c r="AD105" s="91">
        <f t="shared" si="2"/>
        <v>0</v>
      </c>
      <c r="AE105" s="48" t="e">
        <f>VLOOKUP(C105,#REF!,1,0)</f>
        <v>#REF!</v>
      </c>
    </row>
    <row r="106" spans="3:31" x14ac:dyDescent="0.25">
      <c r="C106" s="87" t="s">
        <v>316</v>
      </c>
      <c r="D106" s="4" t="s">
        <v>317</v>
      </c>
      <c r="E106" s="4" t="s">
        <v>318</v>
      </c>
      <c r="F106" s="4" t="s">
        <v>36</v>
      </c>
      <c r="G106" s="4" t="s">
        <v>37</v>
      </c>
      <c r="H106" s="4" t="s">
        <v>81</v>
      </c>
      <c r="I106" s="4"/>
      <c r="J106" s="4" t="s">
        <v>67</v>
      </c>
      <c r="K106" s="4"/>
      <c r="L106" s="4" t="s">
        <v>59</v>
      </c>
      <c r="M106" s="4" t="s">
        <v>40</v>
      </c>
      <c r="N106" s="4" t="s">
        <v>41</v>
      </c>
      <c r="O106" s="4" t="s">
        <v>316</v>
      </c>
      <c r="P106" s="4" t="s">
        <v>42</v>
      </c>
      <c r="Q106" s="50" t="s">
        <v>43</v>
      </c>
      <c r="R106" s="50"/>
      <c r="S106" s="50">
        <v>0</v>
      </c>
      <c r="T106" s="4" t="s">
        <v>43</v>
      </c>
      <c r="U106" s="4" t="s">
        <v>43</v>
      </c>
      <c r="AD106" s="91">
        <f t="shared" si="2"/>
        <v>0</v>
      </c>
      <c r="AE106" s="48" t="e">
        <f>VLOOKUP(C106,#REF!,1,0)</f>
        <v>#REF!</v>
      </c>
    </row>
    <row r="107" spans="3:31" x14ac:dyDescent="0.25">
      <c r="C107" s="87" t="s">
        <v>319</v>
      </c>
      <c r="D107" s="4" t="s">
        <v>320</v>
      </c>
      <c r="E107" s="4" t="s">
        <v>320</v>
      </c>
      <c r="F107" s="4" t="s">
        <v>36</v>
      </c>
      <c r="G107" s="4" t="s">
        <v>37</v>
      </c>
      <c r="H107" s="4" t="s">
        <v>46</v>
      </c>
      <c r="I107" s="4"/>
      <c r="J107" s="4">
        <v>0</v>
      </c>
      <c r="K107" s="4"/>
      <c r="L107" s="4" t="s">
        <v>97</v>
      </c>
      <c r="M107" s="4" t="s">
        <v>40</v>
      </c>
      <c r="N107" s="4" t="s">
        <v>41</v>
      </c>
      <c r="O107" s="4" t="s">
        <v>319</v>
      </c>
      <c r="P107" s="4" t="s">
        <v>42</v>
      </c>
      <c r="Q107" s="50" t="s">
        <v>43</v>
      </c>
      <c r="R107" s="50"/>
      <c r="S107" s="50">
        <v>0</v>
      </c>
      <c r="T107" s="4" t="s">
        <v>43</v>
      </c>
      <c r="U107" s="4" t="s">
        <v>43</v>
      </c>
      <c r="AD107" s="91">
        <f t="shared" si="2"/>
        <v>0</v>
      </c>
      <c r="AE107" s="48" t="e">
        <f>VLOOKUP(C107,#REF!,1,0)</f>
        <v>#REF!</v>
      </c>
    </row>
    <row r="108" spans="3:31" x14ac:dyDescent="0.25">
      <c r="C108" s="87" t="s">
        <v>321</v>
      </c>
      <c r="D108" s="4" t="s">
        <v>322</v>
      </c>
      <c r="E108" s="4" t="s">
        <v>322</v>
      </c>
      <c r="F108" s="4" t="s">
        <v>36</v>
      </c>
      <c r="G108" s="4" t="s">
        <v>37</v>
      </c>
      <c r="H108" s="4" t="s">
        <v>81</v>
      </c>
      <c r="I108" s="4"/>
      <c r="J108" s="4" t="s">
        <v>50</v>
      </c>
      <c r="K108" s="4"/>
      <c r="L108" s="4" t="s">
        <v>51</v>
      </c>
      <c r="M108" s="4" t="s">
        <v>40</v>
      </c>
      <c r="N108" s="4" t="s">
        <v>41</v>
      </c>
      <c r="O108" s="4" t="s">
        <v>321</v>
      </c>
      <c r="P108" s="4" t="s">
        <v>42</v>
      </c>
      <c r="Q108" s="50" t="s">
        <v>43</v>
      </c>
      <c r="R108" s="50"/>
      <c r="S108" s="50">
        <v>0</v>
      </c>
      <c r="T108" s="4" t="s">
        <v>43</v>
      </c>
      <c r="U108" s="4" t="s">
        <v>43</v>
      </c>
      <c r="AD108" s="91">
        <f t="shared" si="2"/>
        <v>0</v>
      </c>
      <c r="AE108" s="48" t="e">
        <f>VLOOKUP(C108,#REF!,1,0)</f>
        <v>#REF!</v>
      </c>
    </row>
    <row r="109" spans="3:31" x14ac:dyDescent="0.25">
      <c r="C109" s="87" t="s">
        <v>323</v>
      </c>
      <c r="D109" s="4" t="s">
        <v>324</v>
      </c>
      <c r="E109" s="4" t="s">
        <v>324</v>
      </c>
      <c r="F109" s="4" t="s">
        <v>36</v>
      </c>
      <c r="G109" s="4" t="s">
        <v>37</v>
      </c>
      <c r="H109" s="4" t="s">
        <v>46</v>
      </c>
      <c r="I109" s="4"/>
      <c r="J109" s="4" t="s">
        <v>58</v>
      </c>
      <c r="K109" s="4"/>
      <c r="L109" s="4" t="s">
        <v>138</v>
      </c>
      <c r="M109" s="4" t="s">
        <v>40</v>
      </c>
      <c r="N109" s="4" t="s">
        <v>41</v>
      </c>
      <c r="O109" s="4" t="s">
        <v>323</v>
      </c>
      <c r="P109" s="4" t="s">
        <v>42</v>
      </c>
      <c r="Q109" s="50" t="s">
        <v>43</v>
      </c>
      <c r="R109" s="50"/>
      <c r="S109" s="50">
        <v>0</v>
      </c>
      <c r="T109" s="4" t="s">
        <v>43</v>
      </c>
      <c r="U109" s="4" t="s">
        <v>43</v>
      </c>
      <c r="AD109" s="91">
        <f t="shared" si="2"/>
        <v>0</v>
      </c>
      <c r="AE109" s="48" t="e">
        <f>VLOOKUP(C109,#REF!,1,0)</f>
        <v>#REF!</v>
      </c>
    </row>
    <row r="110" spans="3:31" x14ac:dyDescent="0.25">
      <c r="C110" s="87" t="s">
        <v>325</v>
      </c>
      <c r="D110" s="4" t="s">
        <v>326</v>
      </c>
      <c r="E110" s="4" t="s">
        <v>326</v>
      </c>
      <c r="F110" s="4" t="s">
        <v>36</v>
      </c>
      <c r="G110" s="4" t="s">
        <v>37</v>
      </c>
      <c r="H110" s="4" t="s">
        <v>46</v>
      </c>
      <c r="I110" s="4"/>
      <c r="J110" s="4" t="s">
        <v>67</v>
      </c>
      <c r="K110" s="4"/>
      <c r="L110" s="4" t="s">
        <v>59</v>
      </c>
      <c r="M110" s="4" t="s">
        <v>40</v>
      </c>
      <c r="N110" s="4" t="s">
        <v>41</v>
      </c>
      <c r="O110" s="4" t="s">
        <v>325</v>
      </c>
      <c r="P110" s="4" t="s">
        <v>42</v>
      </c>
      <c r="Q110" s="50" t="s">
        <v>43</v>
      </c>
      <c r="R110" s="50"/>
      <c r="S110" s="50">
        <v>0</v>
      </c>
      <c r="T110" s="4" t="s">
        <v>43</v>
      </c>
      <c r="U110" s="4" t="s">
        <v>43</v>
      </c>
      <c r="AD110" s="91">
        <f t="shared" si="2"/>
        <v>0</v>
      </c>
      <c r="AE110" s="48" t="e">
        <f>VLOOKUP(C110,#REF!,1,0)</f>
        <v>#REF!</v>
      </c>
    </row>
    <row r="111" spans="3:31" x14ac:dyDescent="0.25">
      <c r="C111" s="87" t="s">
        <v>327</v>
      </c>
      <c r="D111" s="4" t="s">
        <v>328</v>
      </c>
      <c r="E111" s="4" t="s">
        <v>328</v>
      </c>
      <c r="F111" s="4" t="s">
        <v>36</v>
      </c>
      <c r="G111" s="4" t="s">
        <v>37</v>
      </c>
      <c r="H111" s="4" t="s">
        <v>81</v>
      </c>
      <c r="I111" s="4"/>
      <c r="J111" s="4" t="s">
        <v>63</v>
      </c>
      <c r="K111" s="4"/>
      <c r="L111" s="4" t="s">
        <v>138</v>
      </c>
      <c r="M111" s="4" t="s">
        <v>40</v>
      </c>
      <c r="N111" s="4" t="s">
        <v>41</v>
      </c>
      <c r="O111" s="4" t="s">
        <v>327</v>
      </c>
      <c r="P111" s="4" t="s">
        <v>42</v>
      </c>
      <c r="Q111" s="50" t="s">
        <v>43</v>
      </c>
      <c r="R111" s="50"/>
      <c r="S111" s="50">
        <v>0</v>
      </c>
      <c r="T111" s="4" t="s">
        <v>43</v>
      </c>
      <c r="U111" s="4" t="s">
        <v>43</v>
      </c>
      <c r="AD111" s="91">
        <f t="shared" si="2"/>
        <v>0</v>
      </c>
      <c r="AE111" s="48" t="e">
        <f>VLOOKUP(C111,#REF!,1,0)</f>
        <v>#REF!</v>
      </c>
    </row>
    <row r="112" spans="3:31" x14ac:dyDescent="0.25">
      <c r="C112" s="87" t="s">
        <v>329</v>
      </c>
      <c r="D112" s="4" t="s">
        <v>330</v>
      </c>
      <c r="E112" s="4" t="s">
        <v>330</v>
      </c>
      <c r="F112" s="4" t="s">
        <v>36</v>
      </c>
      <c r="G112" s="4" t="s">
        <v>37</v>
      </c>
      <c r="H112" s="4" t="s">
        <v>46</v>
      </c>
      <c r="I112" s="4"/>
      <c r="J112" s="4" t="s">
        <v>331</v>
      </c>
      <c r="K112" s="4"/>
      <c r="L112" s="4" t="s">
        <v>138</v>
      </c>
      <c r="M112" s="4" t="s">
        <v>40</v>
      </c>
      <c r="N112" s="4" t="s">
        <v>41</v>
      </c>
      <c r="O112" s="4" t="s">
        <v>329</v>
      </c>
      <c r="P112" s="4" t="s">
        <v>42</v>
      </c>
      <c r="Q112" s="50" t="s">
        <v>43</v>
      </c>
      <c r="R112" s="50"/>
      <c r="S112" s="50">
        <v>0</v>
      </c>
      <c r="T112" s="4" t="s">
        <v>43</v>
      </c>
      <c r="U112" s="4" t="s">
        <v>43</v>
      </c>
      <c r="AD112" s="91">
        <f t="shared" si="2"/>
        <v>0</v>
      </c>
      <c r="AE112" s="48" t="e">
        <f>VLOOKUP(C112,#REF!,1,0)</f>
        <v>#REF!</v>
      </c>
    </row>
    <row r="113" spans="3:31" x14ac:dyDescent="0.25">
      <c r="C113" s="87" t="s">
        <v>332</v>
      </c>
      <c r="D113" s="4" t="s">
        <v>333</v>
      </c>
      <c r="E113" s="4" t="s">
        <v>333</v>
      </c>
      <c r="F113" s="4" t="s">
        <v>36</v>
      </c>
      <c r="G113" s="4" t="s">
        <v>37</v>
      </c>
      <c r="H113" s="4" t="s">
        <v>81</v>
      </c>
      <c r="I113" s="4"/>
      <c r="J113" s="4">
        <v>0</v>
      </c>
      <c r="K113" s="4"/>
      <c r="L113" s="4" t="s">
        <v>59</v>
      </c>
      <c r="M113" s="4" t="s">
        <v>40</v>
      </c>
      <c r="N113" s="4" t="s">
        <v>41</v>
      </c>
      <c r="O113" s="4" t="s">
        <v>332</v>
      </c>
      <c r="P113" s="4" t="s">
        <v>42</v>
      </c>
      <c r="Q113" s="50" t="s">
        <v>43</v>
      </c>
      <c r="R113" s="50"/>
      <c r="S113" s="50">
        <v>0</v>
      </c>
      <c r="T113" s="4" t="s">
        <v>43</v>
      </c>
      <c r="U113" s="4" t="s">
        <v>43</v>
      </c>
      <c r="AD113" s="91">
        <f t="shared" si="2"/>
        <v>0</v>
      </c>
      <c r="AE113" s="48" t="e">
        <f>VLOOKUP(C113,#REF!,1,0)</f>
        <v>#REF!</v>
      </c>
    </row>
    <row r="114" spans="3:31" x14ac:dyDescent="0.25">
      <c r="C114" s="87" t="s">
        <v>334</v>
      </c>
      <c r="D114" s="4" t="s">
        <v>335</v>
      </c>
      <c r="E114" s="4" t="s">
        <v>336</v>
      </c>
      <c r="F114" s="4" t="s">
        <v>36</v>
      </c>
      <c r="G114" s="4" t="s">
        <v>37</v>
      </c>
      <c r="H114" s="4" t="s">
        <v>46</v>
      </c>
      <c r="I114" s="4"/>
      <c r="J114" s="4">
        <v>0</v>
      </c>
      <c r="K114" s="4"/>
      <c r="L114" s="4" t="s">
        <v>47</v>
      </c>
      <c r="M114" s="4" t="s">
        <v>40</v>
      </c>
      <c r="N114" s="4" t="s">
        <v>41</v>
      </c>
      <c r="O114" s="4" t="s">
        <v>334</v>
      </c>
      <c r="P114" s="4" t="s">
        <v>42</v>
      </c>
      <c r="Q114" s="50" t="s">
        <v>43</v>
      </c>
      <c r="R114" s="50"/>
      <c r="S114" s="50">
        <v>0</v>
      </c>
      <c r="T114" s="4" t="s">
        <v>43</v>
      </c>
      <c r="U114" s="4" t="s">
        <v>43</v>
      </c>
      <c r="AD114" s="91">
        <f t="shared" si="2"/>
        <v>0</v>
      </c>
      <c r="AE114" s="48" t="e">
        <f>VLOOKUP(C114,#REF!,1,0)</f>
        <v>#REF!</v>
      </c>
    </row>
    <row r="115" spans="3:31" x14ac:dyDescent="0.25">
      <c r="C115" s="87" t="s">
        <v>337</v>
      </c>
      <c r="D115" s="4" t="s">
        <v>338</v>
      </c>
      <c r="E115" s="4" t="s">
        <v>338</v>
      </c>
      <c r="F115" s="4" t="s">
        <v>36</v>
      </c>
      <c r="G115" s="4" t="s">
        <v>37</v>
      </c>
      <c r="H115" s="4" t="s">
        <v>81</v>
      </c>
      <c r="I115" s="4"/>
      <c r="J115" s="4" t="s">
        <v>89</v>
      </c>
      <c r="K115" s="4"/>
      <c r="L115" s="4" t="s">
        <v>109</v>
      </c>
      <c r="M115" s="4" t="s">
        <v>91</v>
      </c>
      <c r="N115" s="4" t="s">
        <v>41</v>
      </c>
      <c r="O115" s="4" t="s">
        <v>337</v>
      </c>
      <c r="P115" s="4" t="s">
        <v>42</v>
      </c>
      <c r="Q115" s="50" t="s">
        <v>43</v>
      </c>
      <c r="R115" s="50"/>
      <c r="S115" s="50">
        <v>0</v>
      </c>
      <c r="T115" s="4" t="s">
        <v>43</v>
      </c>
      <c r="U115" s="4" t="s">
        <v>43</v>
      </c>
      <c r="AD115" s="91">
        <f t="shared" si="2"/>
        <v>0</v>
      </c>
      <c r="AE115" s="48" t="e">
        <f>VLOOKUP(C115,#REF!,1,0)</f>
        <v>#REF!</v>
      </c>
    </row>
    <row r="116" spans="3:31" x14ac:dyDescent="0.25">
      <c r="C116" s="87" t="s">
        <v>339</v>
      </c>
      <c r="D116" s="4" t="s">
        <v>340</v>
      </c>
      <c r="E116" s="4" t="s">
        <v>341</v>
      </c>
      <c r="F116" s="4" t="s">
        <v>36</v>
      </c>
      <c r="G116" s="4" t="s">
        <v>37</v>
      </c>
      <c r="H116" s="4" t="s">
        <v>46</v>
      </c>
      <c r="I116" s="4"/>
      <c r="J116" s="4">
        <v>0</v>
      </c>
      <c r="K116" s="4"/>
      <c r="L116" s="4" t="s">
        <v>47</v>
      </c>
      <c r="M116" s="4" t="s">
        <v>40</v>
      </c>
      <c r="N116" s="4" t="s">
        <v>41</v>
      </c>
      <c r="O116" s="4" t="s">
        <v>339</v>
      </c>
      <c r="P116" s="4" t="s">
        <v>42</v>
      </c>
      <c r="Q116" s="50" t="s">
        <v>43</v>
      </c>
      <c r="R116" s="50"/>
      <c r="S116" s="50">
        <v>0</v>
      </c>
      <c r="T116" s="4" t="s">
        <v>43</v>
      </c>
      <c r="U116" s="4" t="s">
        <v>43</v>
      </c>
      <c r="AD116" s="91">
        <f t="shared" si="2"/>
        <v>0</v>
      </c>
      <c r="AE116" s="48" t="e">
        <f>VLOOKUP(C116,#REF!,1,0)</f>
        <v>#REF!</v>
      </c>
    </row>
    <row r="117" spans="3:31" x14ac:dyDescent="0.25">
      <c r="C117" s="87" t="s">
        <v>342</v>
      </c>
      <c r="D117" s="4" t="s">
        <v>343</v>
      </c>
      <c r="E117" s="4" t="s">
        <v>343</v>
      </c>
      <c r="F117" s="4" t="s">
        <v>36</v>
      </c>
      <c r="G117" s="4" t="s">
        <v>37</v>
      </c>
      <c r="H117" s="4" t="s">
        <v>81</v>
      </c>
      <c r="I117" s="4"/>
      <c r="J117" s="4" t="s">
        <v>132</v>
      </c>
      <c r="K117" s="4"/>
      <c r="L117" s="4" t="s">
        <v>51</v>
      </c>
      <c r="M117" s="4" t="s">
        <v>40</v>
      </c>
      <c r="N117" s="4" t="s">
        <v>41</v>
      </c>
      <c r="O117" s="4" t="s">
        <v>342</v>
      </c>
      <c r="P117" s="4" t="s">
        <v>42</v>
      </c>
      <c r="Q117" s="50" t="s">
        <v>43</v>
      </c>
      <c r="R117" s="50"/>
      <c r="S117" s="50">
        <v>0</v>
      </c>
      <c r="T117" s="4" t="s">
        <v>43</v>
      </c>
      <c r="U117" s="4" t="s">
        <v>43</v>
      </c>
      <c r="AD117" s="91">
        <f t="shared" si="2"/>
        <v>0</v>
      </c>
      <c r="AE117" s="48" t="e">
        <f>VLOOKUP(C117,#REF!,1,0)</f>
        <v>#REF!</v>
      </c>
    </row>
    <row r="118" spans="3:31" x14ac:dyDescent="0.25">
      <c r="C118" s="87" t="s">
        <v>344</v>
      </c>
      <c r="D118" s="4" t="s">
        <v>345</v>
      </c>
      <c r="E118" s="4" t="s">
        <v>345</v>
      </c>
      <c r="F118" s="4" t="s">
        <v>36</v>
      </c>
      <c r="G118" s="4" t="s">
        <v>37</v>
      </c>
      <c r="H118" s="4" t="s">
        <v>88</v>
      </c>
      <c r="I118" s="4"/>
      <c r="J118" s="4">
        <v>0</v>
      </c>
      <c r="K118" s="4"/>
      <c r="L118" s="4" t="s">
        <v>346</v>
      </c>
      <c r="M118" s="4" t="s">
        <v>40</v>
      </c>
      <c r="N118" s="4" t="s">
        <v>41</v>
      </c>
      <c r="O118" s="4" t="s">
        <v>344</v>
      </c>
      <c r="P118" s="4" t="s">
        <v>42</v>
      </c>
      <c r="Q118" s="50" t="s">
        <v>43</v>
      </c>
      <c r="R118" s="50"/>
      <c r="S118" s="50">
        <v>0</v>
      </c>
      <c r="T118" s="4" t="s">
        <v>43</v>
      </c>
      <c r="U118" s="4" t="s">
        <v>43</v>
      </c>
      <c r="AD118" s="91">
        <f t="shared" si="2"/>
        <v>0</v>
      </c>
      <c r="AE118" s="48" t="e">
        <f>VLOOKUP(C118,#REF!,1,0)</f>
        <v>#REF!</v>
      </c>
    </row>
    <row r="119" spans="3:31" x14ac:dyDescent="0.25">
      <c r="C119" s="87" t="s">
        <v>347</v>
      </c>
      <c r="D119" s="4" t="s">
        <v>348</v>
      </c>
      <c r="E119" s="4" t="s">
        <v>348</v>
      </c>
      <c r="F119" s="4" t="s">
        <v>36</v>
      </c>
      <c r="G119" s="4" t="s">
        <v>37</v>
      </c>
      <c r="H119" s="4" t="s">
        <v>81</v>
      </c>
      <c r="I119" s="4"/>
      <c r="J119" s="4" t="s">
        <v>58</v>
      </c>
      <c r="K119" s="4"/>
      <c r="L119" s="4" t="s">
        <v>59</v>
      </c>
      <c r="M119" s="4" t="s">
        <v>40</v>
      </c>
      <c r="N119" s="4" t="s">
        <v>41</v>
      </c>
      <c r="O119" s="4" t="s">
        <v>347</v>
      </c>
      <c r="P119" s="4" t="s">
        <v>42</v>
      </c>
      <c r="Q119" s="50" t="s">
        <v>43</v>
      </c>
      <c r="R119" s="50"/>
      <c r="S119" s="50">
        <v>0</v>
      </c>
      <c r="T119" s="4" t="s">
        <v>43</v>
      </c>
      <c r="U119" s="4" t="s">
        <v>43</v>
      </c>
      <c r="AD119" s="91">
        <f t="shared" si="2"/>
        <v>0</v>
      </c>
      <c r="AE119" s="48" t="e">
        <f>VLOOKUP(C119,#REF!,1,0)</f>
        <v>#REF!</v>
      </c>
    </row>
    <row r="120" spans="3:31" x14ac:dyDescent="0.25">
      <c r="C120" s="87" t="s">
        <v>349</v>
      </c>
      <c r="D120" s="4" t="s">
        <v>350</v>
      </c>
      <c r="E120" s="4" t="s">
        <v>350</v>
      </c>
      <c r="F120" s="4" t="s">
        <v>36</v>
      </c>
      <c r="G120" s="4" t="s">
        <v>37</v>
      </c>
      <c r="H120" s="4" t="s">
        <v>46</v>
      </c>
      <c r="I120" s="4"/>
      <c r="J120" s="4">
        <v>0</v>
      </c>
      <c r="K120" s="4"/>
      <c r="L120" s="4" t="s">
        <v>138</v>
      </c>
      <c r="M120" s="4" t="s">
        <v>40</v>
      </c>
      <c r="N120" s="4" t="s">
        <v>41</v>
      </c>
      <c r="O120" s="4" t="s">
        <v>349</v>
      </c>
      <c r="P120" s="4" t="s">
        <v>42</v>
      </c>
      <c r="Q120" s="50" t="s">
        <v>43</v>
      </c>
      <c r="R120" s="50"/>
      <c r="S120" s="50">
        <v>0</v>
      </c>
      <c r="T120" s="4" t="s">
        <v>43</v>
      </c>
      <c r="U120" s="4" t="s">
        <v>43</v>
      </c>
      <c r="AD120" s="91">
        <f t="shared" si="2"/>
        <v>0</v>
      </c>
      <c r="AE120" s="48" t="e">
        <f>VLOOKUP(C120,#REF!,1,0)</f>
        <v>#REF!</v>
      </c>
    </row>
    <row r="121" spans="3:31" x14ac:dyDescent="0.25">
      <c r="C121" s="87" t="s">
        <v>351</v>
      </c>
      <c r="D121" s="4" t="s">
        <v>352</v>
      </c>
      <c r="E121" s="4" t="s">
        <v>352</v>
      </c>
      <c r="F121" s="4" t="s">
        <v>36</v>
      </c>
      <c r="G121" s="4" t="s">
        <v>37</v>
      </c>
      <c r="H121" s="4" t="s">
        <v>46</v>
      </c>
      <c r="I121" s="4"/>
      <c r="J121" s="4" t="s">
        <v>331</v>
      </c>
      <c r="K121" s="4"/>
      <c r="L121" s="4" t="s">
        <v>353</v>
      </c>
      <c r="M121" s="4" t="s">
        <v>40</v>
      </c>
      <c r="N121" s="4" t="s">
        <v>41</v>
      </c>
      <c r="O121" s="4" t="s">
        <v>351</v>
      </c>
      <c r="P121" s="4" t="s">
        <v>42</v>
      </c>
      <c r="Q121" s="50" t="s">
        <v>43</v>
      </c>
      <c r="R121" s="50"/>
      <c r="S121" s="50">
        <v>0</v>
      </c>
      <c r="T121" s="4" t="s">
        <v>43</v>
      </c>
      <c r="U121" s="4" t="s">
        <v>43</v>
      </c>
      <c r="AD121" s="91">
        <f t="shared" si="2"/>
        <v>0</v>
      </c>
      <c r="AE121" s="48" t="e">
        <f>VLOOKUP(C121,#REF!,1,0)</f>
        <v>#REF!</v>
      </c>
    </row>
    <row r="122" spans="3:31" x14ac:dyDescent="0.25">
      <c r="C122" s="87" t="s">
        <v>354</v>
      </c>
      <c r="D122" s="4" t="s">
        <v>355</v>
      </c>
      <c r="E122" s="4" t="s">
        <v>355</v>
      </c>
      <c r="F122" s="4" t="s">
        <v>36</v>
      </c>
      <c r="G122" s="4" t="s">
        <v>37</v>
      </c>
      <c r="H122" s="4" t="s">
        <v>46</v>
      </c>
      <c r="I122" s="4"/>
      <c r="J122" s="4" t="s">
        <v>67</v>
      </c>
      <c r="K122" s="4"/>
      <c r="L122" s="4" t="s">
        <v>59</v>
      </c>
      <c r="M122" s="4" t="s">
        <v>40</v>
      </c>
      <c r="N122" s="4" t="s">
        <v>41</v>
      </c>
      <c r="O122" s="4" t="s">
        <v>354</v>
      </c>
      <c r="P122" s="4" t="s">
        <v>42</v>
      </c>
      <c r="Q122" s="50" t="s">
        <v>43</v>
      </c>
      <c r="R122" s="50"/>
      <c r="S122" s="50">
        <v>0</v>
      </c>
      <c r="T122" s="4" t="s">
        <v>43</v>
      </c>
      <c r="U122" s="4" t="s">
        <v>43</v>
      </c>
      <c r="AD122" s="91">
        <f t="shared" si="2"/>
        <v>0</v>
      </c>
      <c r="AE122" s="48" t="e">
        <f>VLOOKUP(C122,#REF!,1,0)</f>
        <v>#REF!</v>
      </c>
    </row>
    <row r="123" spans="3:31" x14ac:dyDescent="0.25">
      <c r="C123" s="87" t="s">
        <v>356</v>
      </c>
      <c r="D123" s="4" t="s">
        <v>357</v>
      </c>
      <c r="E123" s="4" t="s">
        <v>357</v>
      </c>
      <c r="F123" s="4" t="s">
        <v>36</v>
      </c>
      <c r="G123" s="4" t="s">
        <v>37</v>
      </c>
      <c r="H123" s="4" t="s">
        <v>81</v>
      </c>
      <c r="I123" s="4"/>
      <c r="J123" s="4" t="s">
        <v>89</v>
      </c>
      <c r="K123" s="4"/>
      <c r="L123" s="4" t="s">
        <v>109</v>
      </c>
      <c r="M123" s="4" t="s">
        <v>91</v>
      </c>
      <c r="N123" s="4" t="s">
        <v>41</v>
      </c>
      <c r="O123" s="4" t="s">
        <v>356</v>
      </c>
      <c r="P123" s="4" t="s">
        <v>42</v>
      </c>
      <c r="Q123" s="50" t="s">
        <v>43</v>
      </c>
      <c r="R123" s="50"/>
      <c r="S123" s="50">
        <v>0</v>
      </c>
      <c r="T123" s="4" t="s">
        <v>43</v>
      </c>
      <c r="U123" s="4" t="s">
        <v>43</v>
      </c>
      <c r="AD123" s="91">
        <f t="shared" si="2"/>
        <v>0</v>
      </c>
      <c r="AE123" s="48" t="e">
        <f>VLOOKUP(C123,#REF!,1,0)</f>
        <v>#REF!</v>
      </c>
    </row>
    <row r="124" spans="3:31" x14ac:dyDescent="0.25">
      <c r="C124" s="87" t="s">
        <v>358</v>
      </c>
      <c r="D124" s="4" t="s">
        <v>359</v>
      </c>
      <c r="E124" s="4" t="s">
        <v>359</v>
      </c>
      <c r="F124" s="4" t="s">
        <v>36</v>
      </c>
      <c r="G124" s="4" t="s">
        <v>37</v>
      </c>
      <c r="H124" s="4" t="s">
        <v>81</v>
      </c>
      <c r="I124" s="4"/>
      <c r="J124" s="4" t="s">
        <v>248</v>
      </c>
      <c r="K124" s="4"/>
      <c r="L124" s="4" t="s">
        <v>138</v>
      </c>
      <c r="M124" s="4" t="s">
        <v>40</v>
      </c>
      <c r="N124" s="4" t="s">
        <v>41</v>
      </c>
      <c r="O124" s="4" t="s">
        <v>358</v>
      </c>
      <c r="P124" s="4" t="s">
        <v>42</v>
      </c>
      <c r="Q124" s="50" t="s">
        <v>43</v>
      </c>
      <c r="R124" s="50"/>
      <c r="S124" s="50">
        <v>0</v>
      </c>
      <c r="T124" s="4" t="s">
        <v>43</v>
      </c>
      <c r="U124" s="4" t="s">
        <v>43</v>
      </c>
      <c r="AD124" s="91">
        <f t="shared" si="2"/>
        <v>0</v>
      </c>
      <c r="AE124" s="48" t="e">
        <f>VLOOKUP(C124,#REF!,1,0)</f>
        <v>#REF!</v>
      </c>
    </row>
    <row r="125" spans="3:31" x14ac:dyDescent="0.25">
      <c r="C125" s="87" t="s">
        <v>360</v>
      </c>
      <c r="D125" s="4" t="s">
        <v>361</v>
      </c>
      <c r="E125" s="4" t="s">
        <v>361</v>
      </c>
      <c r="F125" s="4" t="s">
        <v>36</v>
      </c>
      <c r="G125" s="4" t="s">
        <v>37</v>
      </c>
      <c r="H125" s="4" t="s">
        <v>46</v>
      </c>
      <c r="I125" s="4"/>
      <c r="J125" s="4" t="s">
        <v>67</v>
      </c>
      <c r="K125" s="4"/>
      <c r="L125" s="4" t="s">
        <v>59</v>
      </c>
      <c r="M125" s="4" t="s">
        <v>40</v>
      </c>
      <c r="N125" s="4" t="s">
        <v>41</v>
      </c>
      <c r="O125" s="4" t="s">
        <v>360</v>
      </c>
      <c r="P125" s="4" t="s">
        <v>42</v>
      </c>
      <c r="Q125" s="50" t="s">
        <v>43</v>
      </c>
      <c r="R125" s="50"/>
      <c r="S125" s="50">
        <v>0</v>
      </c>
      <c r="T125" s="4" t="s">
        <v>43</v>
      </c>
      <c r="U125" s="4" t="s">
        <v>43</v>
      </c>
      <c r="AD125" s="91">
        <f t="shared" si="2"/>
        <v>0</v>
      </c>
      <c r="AE125" s="48" t="e">
        <f>VLOOKUP(C125,#REF!,1,0)</f>
        <v>#REF!</v>
      </c>
    </row>
    <row r="126" spans="3:31" x14ac:dyDescent="0.25">
      <c r="C126" s="87" t="s">
        <v>362</v>
      </c>
      <c r="D126" s="4" t="s">
        <v>363</v>
      </c>
      <c r="E126" s="4" t="s">
        <v>363</v>
      </c>
      <c r="F126" s="4" t="s">
        <v>36</v>
      </c>
      <c r="G126" s="4" t="s">
        <v>37</v>
      </c>
      <c r="H126" s="4" t="s">
        <v>81</v>
      </c>
      <c r="I126" s="4"/>
      <c r="J126" s="4" t="s">
        <v>73</v>
      </c>
      <c r="K126" s="4"/>
      <c r="L126" s="4" t="s">
        <v>364</v>
      </c>
      <c r="M126" s="4" t="s">
        <v>40</v>
      </c>
      <c r="N126" s="4" t="s">
        <v>41</v>
      </c>
      <c r="O126" s="4" t="s">
        <v>362</v>
      </c>
      <c r="P126" s="4" t="s">
        <v>42</v>
      </c>
      <c r="Q126" s="50" t="s">
        <v>43</v>
      </c>
      <c r="R126" s="50"/>
      <c r="S126" s="50">
        <v>0</v>
      </c>
      <c r="T126" s="4" t="s">
        <v>43</v>
      </c>
      <c r="U126" s="4" t="s">
        <v>43</v>
      </c>
      <c r="AD126" s="91">
        <f t="shared" si="2"/>
        <v>0</v>
      </c>
      <c r="AE126" s="48" t="e">
        <f>VLOOKUP(C126,#REF!,1,0)</f>
        <v>#REF!</v>
      </c>
    </row>
    <row r="127" spans="3:31" x14ac:dyDescent="0.25">
      <c r="C127" s="87" t="s">
        <v>365</v>
      </c>
      <c r="D127" s="4" t="s">
        <v>366</v>
      </c>
      <c r="E127" s="4" t="s">
        <v>367</v>
      </c>
      <c r="F127" s="4" t="s">
        <v>36</v>
      </c>
      <c r="G127" s="4" t="s">
        <v>37</v>
      </c>
      <c r="H127" s="4" t="s">
        <v>81</v>
      </c>
      <c r="I127" s="4"/>
      <c r="J127" s="4" t="s">
        <v>146</v>
      </c>
      <c r="K127" s="4"/>
      <c r="L127" s="4" t="s">
        <v>59</v>
      </c>
      <c r="M127" s="4" t="s">
        <v>40</v>
      </c>
      <c r="N127" s="4" t="s">
        <v>41</v>
      </c>
      <c r="O127" s="4" t="s">
        <v>365</v>
      </c>
      <c r="P127" s="4" t="s">
        <v>42</v>
      </c>
      <c r="Q127" s="50" t="s">
        <v>43</v>
      </c>
      <c r="R127" s="50"/>
      <c r="S127" s="50">
        <v>0</v>
      </c>
      <c r="T127" s="4" t="s">
        <v>43</v>
      </c>
      <c r="U127" s="4" t="s">
        <v>43</v>
      </c>
      <c r="AD127" s="91">
        <f t="shared" si="2"/>
        <v>0</v>
      </c>
      <c r="AE127" s="48" t="e">
        <f>VLOOKUP(C127,#REF!,1,0)</f>
        <v>#REF!</v>
      </c>
    </row>
    <row r="128" spans="3:31" x14ac:dyDescent="0.25">
      <c r="C128" s="87" t="s">
        <v>368</v>
      </c>
      <c r="D128" s="4" t="s">
        <v>369</v>
      </c>
      <c r="E128" s="4" t="s">
        <v>370</v>
      </c>
      <c r="F128" s="4" t="s">
        <v>36</v>
      </c>
      <c r="G128" s="4" t="s">
        <v>37</v>
      </c>
      <c r="H128" s="4" t="s">
        <v>88</v>
      </c>
      <c r="I128" s="4"/>
      <c r="J128" s="4" t="s">
        <v>160</v>
      </c>
      <c r="K128" s="4"/>
      <c r="L128" s="4" t="s">
        <v>371</v>
      </c>
      <c r="M128" s="4" t="s">
        <v>40</v>
      </c>
      <c r="N128" s="4" t="s">
        <v>41</v>
      </c>
      <c r="O128" s="4" t="s">
        <v>368</v>
      </c>
      <c r="P128" s="4" t="s">
        <v>42</v>
      </c>
      <c r="Q128" s="50" t="s">
        <v>43</v>
      </c>
      <c r="R128" s="50"/>
      <c r="S128" s="50">
        <v>0</v>
      </c>
      <c r="T128" s="4" t="s">
        <v>43</v>
      </c>
      <c r="U128" s="4" t="s">
        <v>43</v>
      </c>
      <c r="AD128" s="91">
        <f t="shared" si="2"/>
        <v>0</v>
      </c>
      <c r="AE128" s="48" t="e">
        <f>VLOOKUP(C128,#REF!,1,0)</f>
        <v>#REF!</v>
      </c>
    </row>
    <row r="129" spans="3:31" x14ac:dyDescent="0.25">
      <c r="C129" s="87" t="s">
        <v>372</v>
      </c>
      <c r="D129" s="4" t="s">
        <v>372</v>
      </c>
      <c r="E129" s="4" t="s">
        <v>372</v>
      </c>
      <c r="F129" s="4"/>
      <c r="G129" s="4" t="s">
        <v>372</v>
      </c>
      <c r="H129" s="4" t="s">
        <v>372</v>
      </c>
      <c r="I129" s="4"/>
      <c r="J129" s="4" t="s">
        <v>372</v>
      </c>
      <c r="K129" s="4"/>
      <c r="L129" s="4" t="s">
        <v>372</v>
      </c>
      <c r="M129" s="4" t="s">
        <v>372</v>
      </c>
      <c r="N129" s="4" t="s">
        <v>372</v>
      </c>
      <c r="O129" s="4" t="s">
        <v>372</v>
      </c>
      <c r="P129" s="4" t="s">
        <v>372</v>
      </c>
      <c r="Q129" s="4" t="s">
        <v>372</v>
      </c>
      <c r="R129" s="50"/>
      <c r="S129" s="50" t="s">
        <v>372</v>
      </c>
      <c r="T129" s="4" t="s">
        <v>43</v>
      </c>
      <c r="U129" s="4" t="s">
        <v>43</v>
      </c>
      <c r="AD129" s="91">
        <f t="shared" si="2"/>
        <v>0</v>
      </c>
      <c r="AE129" s="48" t="e">
        <f>VLOOKUP(C129,#REF!,1,0)</f>
        <v>#REF!</v>
      </c>
    </row>
    <row r="130" spans="3:31" x14ac:dyDescent="0.25">
      <c r="C130" s="87" t="s">
        <v>373</v>
      </c>
      <c r="D130" s="4" t="s">
        <v>374</v>
      </c>
      <c r="E130" s="4" t="s">
        <v>375</v>
      </c>
      <c r="F130" s="92">
        <v>11.68</v>
      </c>
      <c r="G130" s="4" t="s">
        <v>376</v>
      </c>
      <c r="H130" s="4" t="s">
        <v>46</v>
      </c>
      <c r="I130" s="4" t="s">
        <v>377</v>
      </c>
      <c r="J130" s="4" t="s">
        <v>160</v>
      </c>
      <c r="K130" s="4" t="s">
        <v>43</v>
      </c>
      <c r="L130" s="4" t="s">
        <v>138</v>
      </c>
      <c r="M130" s="4" t="s">
        <v>40</v>
      </c>
      <c r="N130" s="4" t="s">
        <v>378</v>
      </c>
      <c r="O130" s="4" t="s">
        <v>373</v>
      </c>
      <c r="P130" s="4" t="s">
        <v>379</v>
      </c>
      <c r="Q130" s="50" t="s">
        <v>43</v>
      </c>
      <c r="R130" s="50"/>
      <c r="S130" s="50" t="s">
        <v>380</v>
      </c>
      <c r="T130" s="4" t="s">
        <v>43</v>
      </c>
      <c r="U130" s="4" t="s">
        <v>43</v>
      </c>
      <c r="W130" s="48">
        <v>1</v>
      </c>
      <c r="X130" s="48">
        <v>2</v>
      </c>
      <c r="Y130" s="48">
        <v>8</v>
      </c>
      <c r="Z130" s="48">
        <v>1</v>
      </c>
      <c r="AD130" s="91">
        <f t="shared" si="2"/>
        <v>11.681818181818182</v>
      </c>
      <c r="AE130" s="48" t="e">
        <f>VLOOKUP(C130,#REF!,1,0)</f>
        <v>#REF!</v>
      </c>
    </row>
    <row r="131" spans="3:31" x14ac:dyDescent="0.25">
      <c r="C131" s="87" t="s">
        <v>381</v>
      </c>
      <c r="D131" s="4" t="s">
        <v>382</v>
      </c>
      <c r="E131" s="4" t="s">
        <v>382</v>
      </c>
      <c r="F131" s="92">
        <v>8.4499999999999993</v>
      </c>
      <c r="G131" s="4" t="s">
        <v>376</v>
      </c>
      <c r="H131" s="4" t="s">
        <v>46</v>
      </c>
      <c r="I131" s="4" t="s">
        <v>377</v>
      </c>
      <c r="J131" s="4" t="s">
        <v>160</v>
      </c>
      <c r="K131" s="4" t="s">
        <v>43</v>
      </c>
      <c r="L131" s="4" t="s">
        <v>138</v>
      </c>
      <c r="M131" s="4" t="s">
        <v>40</v>
      </c>
      <c r="N131" s="4" t="s">
        <v>378</v>
      </c>
      <c r="O131" s="4" t="s">
        <v>381</v>
      </c>
      <c r="P131" s="4" t="s">
        <v>379</v>
      </c>
      <c r="Q131" s="50" t="s">
        <v>43</v>
      </c>
      <c r="R131" s="50"/>
      <c r="S131" s="50" t="s">
        <v>380</v>
      </c>
      <c r="T131" s="4" t="s">
        <v>43</v>
      </c>
      <c r="U131" s="4" t="s">
        <v>43</v>
      </c>
      <c r="W131" s="48">
        <v>1</v>
      </c>
      <c r="X131" s="48">
        <v>2</v>
      </c>
      <c r="Y131" s="48">
        <v>5</v>
      </c>
      <c r="AB131" s="48">
        <v>1</v>
      </c>
      <c r="AD131" s="91">
        <f t="shared" si="2"/>
        <v>8.454545454545455</v>
      </c>
      <c r="AE131" s="48" t="e">
        <f>VLOOKUP(C131,#REF!,1,0)</f>
        <v>#REF!</v>
      </c>
    </row>
    <row r="132" spans="3:31" x14ac:dyDescent="0.25">
      <c r="C132" s="87" t="s">
        <v>383</v>
      </c>
      <c r="D132" s="4" t="s">
        <v>384</v>
      </c>
      <c r="E132" s="4" t="s">
        <v>384</v>
      </c>
      <c r="F132" s="92">
        <v>8</v>
      </c>
      <c r="G132" s="4" t="s">
        <v>376</v>
      </c>
      <c r="H132" s="4" t="s">
        <v>46</v>
      </c>
      <c r="I132" s="4" t="s">
        <v>377</v>
      </c>
      <c r="J132" s="4" t="s">
        <v>160</v>
      </c>
      <c r="K132" s="4" t="s">
        <v>43</v>
      </c>
      <c r="L132" s="4" t="s">
        <v>138</v>
      </c>
      <c r="M132" s="4" t="s">
        <v>40</v>
      </c>
      <c r="N132" s="4" t="s">
        <v>378</v>
      </c>
      <c r="O132" s="4" t="s">
        <v>383</v>
      </c>
      <c r="P132" s="4" t="s">
        <v>42</v>
      </c>
      <c r="Q132" s="50" t="s">
        <v>43</v>
      </c>
      <c r="R132" s="50"/>
      <c r="S132" s="50" t="s">
        <v>380</v>
      </c>
      <c r="T132" s="4" t="s">
        <v>43</v>
      </c>
      <c r="U132" s="4" t="s">
        <v>43</v>
      </c>
      <c r="W132" s="48">
        <v>1</v>
      </c>
      <c r="X132" s="48">
        <v>1</v>
      </c>
      <c r="Y132" s="48">
        <v>6</v>
      </c>
      <c r="AD132" s="91">
        <f t="shared" si="2"/>
        <v>8</v>
      </c>
      <c r="AE132" s="48" t="e">
        <f>VLOOKUP(C132,#REF!,1,0)</f>
        <v>#REF!</v>
      </c>
    </row>
    <row r="133" spans="3:31" x14ac:dyDescent="0.25">
      <c r="C133" s="87" t="s">
        <v>385</v>
      </c>
      <c r="D133" s="4" t="s">
        <v>386</v>
      </c>
      <c r="E133" s="4" t="s">
        <v>386</v>
      </c>
      <c r="F133" s="92">
        <v>7</v>
      </c>
      <c r="G133" s="4" t="s">
        <v>376</v>
      </c>
      <c r="H133" s="4" t="s">
        <v>46</v>
      </c>
      <c r="I133" s="4" t="s">
        <v>377</v>
      </c>
      <c r="J133" s="4" t="s">
        <v>160</v>
      </c>
      <c r="K133" s="4" t="s">
        <v>43</v>
      </c>
      <c r="L133" s="4" t="s">
        <v>138</v>
      </c>
      <c r="M133" s="4" t="s">
        <v>40</v>
      </c>
      <c r="N133" s="4" t="s">
        <v>378</v>
      </c>
      <c r="O133" s="4" t="s">
        <v>385</v>
      </c>
      <c r="P133" s="4" t="s">
        <v>42</v>
      </c>
      <c r="Q133" s="50" t="s">
        <v>43</v>
      </c>
      <c r="R133" s="50"/>
      <c r="S133" s="50" t="s">
        <v>380</v>
      </c>
      <c r="T133" s="4" t="s">
        <v>43</v>
      </c>
      <c r="U133" s="4" t="s">
        <v>43</v>
      </c>
      <c r="W133" s="48">
        <v>1</v>
      </c>
      <c r="X133" s="48">
        <v>1</v>
      </c>
      <c r="Y133" s="48">
        <v>5</v>
      </c>
      <c r="AD133" s="91">
        <f t="shared" si="2"/>
        <v>7</v>
      </c>
      <c r="AE133" s="48" t="e">
        <f>VLOOKUP(C133,#REF!,1,0)</f>
        <v>#REF!</v>
      </c>
    </row>
    <row r="134" spans="3:31" x14ac:dyDescent="0.25">
      <c r="C134" s="87" t="s">
        <v>387</v>
      </c>
      <c r="D134" s="4" t="s">
        <v>388</v>
      </c>
      <c r="E134" s="4" t="s">
        <v>389</v>
      </c>
      <c r="F134" s="92">
        <v>6.68</v>
      </c>
      <c r="G134" s="4" t="s">
        <v>376</v>
      </c>
      <c r="H134" s="4" t="s">
        <v>46</v>
      </c>
      <c r="I134" s="4" t="s">
        <v>377</v>
      </c>
      <c r="J134" s="4" t="s">
        <v>160</v>
      </c>
      <c r="K134" s="4" t="s">
        <v>43</v>
      </c>
      <c r="L134" s="4" t="s">
        <v>138</v>
      </c>
      <c r="M134" s="4" t="s">
        <v>40</v>
      </c>
      <c r="N134" s="4" t="s">
        <v>378</v>
      </c>
      <c r="O134" s="4" t="s">
        <v>387</v>
      </c>
      <c r="P134" s="4" t="s">
        <v>42</v>
      </c>
      <c r="Q134" s="50" t="s">
        <v>43</v>
      </c>
      <c r="R134" s="50"/>
      <c r="S134" s="50" t="s">
        <v>380</v>
      </c>
      <c r="T134" s="4" t="s">
        <v>43</v>
      </c>
      <c r="U134" s="4" t="s">
        <v>43</v>
      </c>
      <c r="W134" s="48">
        <v>1</v>
      </c>
      <c r="X134" s="48">
        <v>1</v>
      </c>
      <c r="Y134" s="48">
        <v>4</v>
      </c>
      <c r="Z134" s="48">
        <v>1</v>
      </c>
      <c r="AD134" s="91">
        <f t="shared" si="2"/>
        <v>6.6818181818181817</v>
      </c>
      <c r="AE134" s="48" t="e">
        <f>VLOOKUP(C134,#REF!,1,0)</f>
        <v>#REF!</v>
      </c>
    </row>
    <row r="135" spans="3:31" x14ac:dyDescent="0.25">
      <c r="C135" s="87" t="s">
        <v>390</v>
      </c>
      <c r="D135" s="4" t="s">
        <v>391</v>
      </c>
      <c r="E135" s="4" t="s">
        <v>391</v>
      </c>
      <c r="F135" s="92">
        <v>7</v>
      </c>
      <c r="G135" s="4" t="s">
        <v>376</v>
      </c>
      <c r="H135" s="4" t="s">
        <v>46</v>
      </c>
      <c r="I135" s="4" t="s">
        <v>377</v>
      </c>
      <c r="J135" s="4" t="s">
        <v>160</v>
      </c>
      <c r="K135" s="4" t="s">
        <v>43</v>
      </c>
      <c r="L135" s="4" t="s">
        <v>138</v>
      </c>
      <c r="M135" s="4" t="s">
        <v>40</v>
      </c>
      <c r="N135" s="4" t="s">
        <v>378</v>
      </c>
      <c r="O135" s="4" t="s">
        <v>390</v>
      </c>
      <c r="P135" s="4" t="s">
        <v>42</v>
      </c>
      <c r="Q135" s="50" t="s">
        <v>43</v>
      </c>
      <c r="R135" s="50"/>
      <c r="S135" s="50" t="s">
        <v>380</v>
      </c>
      <c r="T135" s="4" t="s">
        <v>43</v>
      </c>
      <c r="U135" s="4" t="s">
        <v>43</v>
      </c>
      <c r="W135" s="48">
        <v>1</v>
      </c>
      <c r="X135" s="48">
        <v>1</v>
      </c>
      <c r="Y135" s="48">
        <v>5</v>
      </c>
      <c r="AD135" s="91">
        <f t="shared" si="2"/>
        <v>7</v>
      </c>
      <c r="AE135" s="48" t="e">
        <f>VLOOKUP(C135,#REF!,1,0)</f>
        <v>#REF!</v>
      </c>
    </row>
    <row r="136" spans="3:31" x14ac:dyDescent="0.25">
      <c r="C136" s="87" t="s">
        <v>392</v>
      </c>
      <c r="D136" s="4" t="s">
        <v>393</v>
      </c>
      <c r="E136" s="4" t="s">
        <v>393</v>
      </c>
      <c r="F136" s="92">
        <v>5</v>
      </c>
      <c r="G136" s="4" t="s">
        <v>376</v>
      </c>
      <c r="H136" s="4" t="s">
        <v>46</v>
      </c>
      <c r="I136" s="4" t="s">
        <v>377</v>
      </c>
      <c r="J136" s="4" t="s">
        <v>160</v>
      </c>
      <c r="K136" s="4" t="s">
        <v>43</v>
      </c>
      <c r="L136" s="4" t="s">
        <v>138</v>
      </c>
      <c r="M136" s="4" t="s">
        <v>40</v>
      </c>
      <c r="N136" s="4" t="s">
        <v>378</v>
      </c>
      <c r="O136" s="4" t="s">
        <v>392</v>
      </c>
      <c r="P136" s="4" t="s">
        <v>42</v>
      </c>
      <c r="Q136" s="50" t="s">
        <v>43</v>
      </c>
      <c r="R136" s="50"/>
      <c r="S136" s="50" t="s">
        <v>380</v>
      </c>
      <c r="T136" s="4" t="s">
        <v>43</v>
      </c>
      <c r="U136" s="4" t="s">
        <v>43</v>
      </c>
      <c r="W136" s="48">
        <v>1</v>
      </c>
      <c r="X136" s="48">
        <v>1</v>
      </c>
      <c r="Y136" s="48">
        <v>3</v>
      </c>
      <c r="AD136" s="91">
        <f t="shared" ref="AD136:AD199" si="3">SUMPRODUCT($W$6:$AC$6,W136:AC136)</f>
        <v>5</v>
      </c>
      <c r="AE136" s="48" t="s">
        <v>1220</v>
      </c>
    </row>
    <row r="137" spans="3:31" x14ac:dyDescent="0.25">
      <c r="C137" s="87" t="s">
        <v>394</v>
      </c>
      <c r="D137" s="4" t="s">
        <v>395</v>
      </c>
      <c r="E137" s="4" t="s">
        <v>395</v>
      </c>
      <c r="F137" s="92">
        <v>6</v>
      </c>
      <c r="G137" s="4" t="s">
        <v>376</v>
      </c>
      <c r="H137" s="4" t="s">
        <v>46</v>
      </c>
      <c r="I137" s="4" t="s">
        <v>377</v>
      </c>
      <c r="J137" s="4" t="s">
        <v>160</v>
      </c>
      <c r="K137" s="4" t="s">
        <v>43</v>
      </c>
      <c r="L137" s="4" t="s">
        <v>138</v>
      </c>
      <c r="M137" s="4" t="s">
        <v>40</v>
      </c>
      <c r="N137" s="4" t="s">
        <v>378</v>
      </c>
      <c r="O137" s="4" t="s">
        <v>394</v>
      </c>
      <c r="P137" s="4" t="s">
        <v>42</v>
      </c>
      <c r="Q137" s="50" t="s">
        <v>43</v>
      </c>
      <c r="R137" s="50"/>
      <c r="S137" s="50" t="s">
        <v>380</v>
      </c>
      <c r="T137" s="4" t="s">
        <v>43</v>
      </c>
      <c r="U137" s="4" t="s">
        <v>43</v>
      </c>
      <c r="W137" s="48">
        <v>1</v>
      </c>
      <c r="X137" s="48">
        <v>1</v>
      </c>
      <c r="Y137" s="48">
        <v>4</v>
      </c>
      <c r="AD137" s="91">
        <f t="shared" si="3"/>
        <v>6</v>
      </c>
      <c r="AE137" s="48" t="e">
        <f>VLOOKUP(C137,#REF!,1,0)</f>
        <v>#REF!</v>
      </c>
    </row>
    <row r="138" spans="3:31" x14ac:dyDescent="0.25">
      <c r="C138" s="87" t="s">
        <v>396</v>
      </c>
      <c r="D138" s="4" t="s">
        <v>397</v>
      </c>
      <c r="E138" s="4" t="s">
        <v>397</v>
      </c>
      <c r="F138" s="92">
        <v>6</v>
      </c>
      <c r="G138" s="4" t="s">
        <v>376</v>
      </c>
      <c r="H138" s="4" t="s">
        <v>46</v>
      </c>
      <c r="I138" s="4" t="s">
        <v>377</v>
      </c>
      <c r="J138" s="4" t="s">
        <v>160</v>
      </c>
      <c r="K138" s="4" t="s">
        <v>43</v>
      </c>
      <c r="L138" s="4" t="s">
        <v>138</v>
      </c>
      <c r="M138" s="4" t="s">
        <v>40</v>
      </c>
      <c r="N138" s="4" t="s">
        <v>378</v>
      </c>
      <c r="O138" s="4" t="s">
        <v>396</v>
      </c>
      <c r="P138" s="4" t="s">
        <v>42</v>
      </c>
      <c r="Q138" s="50" t="s">
        <v>43</v>
      </c>
      <c r="R138" s="50"/>
      <c r="S138" s="50" t="s">
        <v>380</v>
      </c>
      <c r="T138" s="4" t="s">
        <v>43</v>
      </c>
      <c r="U138" s="4" t="s">
        <v>43</v>
      </c>
      <c r="W138" s="48">
        <v>1</v>
      </c>
      <c r="X138" s="48">
        <v>1</v>
      </c>
      <c r="Y138" s="48">
        <v>4</v>
      </c>
      <c r="AD138" s="91">
        <f t="shared" si="3"/>
        <v>6</v>
      </c>
      <c r="AE138" s="48" t="e">
        <f>VLOOKUP(C138,#REF!,1,0)</f>
        <v>#REF!</v>
      </c>
    </row>
    <row r="139" spans="3:31" x14ac:dyDescent="0.25">
      <c r="C139" s="87" t="s">
        <v>398</v>
      </c>
      <c r="D139" s="4" t="s">
        <v>399</v>
      </c>
      <c r="E139" s="4" t="s">
        <v>399</v>
      </c>
      <c r="F139" s="92">
        <v>5</v>
      </c>
      <c r="G139" s="4" t="s">
        <v>376</v>
      </c>
      <c r="H139" s="4" t="s">
        <v>46</v>
      </c>
      <c r="I139" s="4" t="s">
        <v>377</v>
      </c>
      <c r="J139" s="4" t="s">
        <v>160</v>
      </c>
      <c r="K139" s="4" t="s">
        <v>43</v>
      </c>
      <c r="L139" s="4" t="s">
        <v>138</v>
      </c>
      <c r="M139" s="4" t="s">
        <v>40</v>
      </c>
      <c r="N139" s="4" t="s">
        <v>378</v>
      </c>
      <c r="O139" s="4" t="s">
        <v>398</v>
      </c>
      <c r="P139" s="4" t="s">
        <v>42</v>
      </c>
      <c r="Q139" s="50" t="s">
        <v>43</v>
      </c>
      <c r="R139" s="50"/>
      <c r="S139" s="50" t="s">
        <v>380</v>
      </c>
      <c r="T139" s="4" t="s">
        <v>43</v>
      </c>
      <c r="U139" s="4" t="s">
        <v>43</v>
      </c>
      <c r="W139" s="48">
        <v>1</v>
      </c>
      <c r="X139" s="48">
        <v>1</v>
      </c>
      <c r="Y139" s="48">
        <v>3</v>
      </c>
      <c r="AD139" s="91">
        <f t="shared" si="3"/>
        <v>5</v>
      </c>
      <c r="AE139" s="48" t="s">
        <v>1220</v>
      </c>
    </row>
    <row r="140" spans="3:31" x14ac:dyDescent="0.25">
      <c r="C140" s="87" t="s">
        <v>400</v>
      </c>
      <c r="D140" s="4" t="s">
        <v>401</v>
      </c>
      <c r="E140" s="4" t="s">
        <v>401</v>
      </c>
      <c r="F140" s="92">
        <v>5.45</v>
      </c>
      <c r="G140" s="4" t="s">
        <v>376</v>
      </c>
      <c r="H140" s="4" t="s">
        <v>46</v>
      </c>
      <c r="I140" s="4" t="s">
        <v>377</v>
      </c>
      <c r="J140" s="4" t="s">
        <v>160</v>
      </c>
      <c r="K140" s="4" t="s">
        <v>43</v>
      </c>
      <c r="L140" s="4" t="s">
        <v>138</v>
      </c>
      <c r="M140" s="4" t="s">
        <v>40</v>
      </c>
      <c r="N140" s="4" t="s">
        <v>378</v>
      </c>
      <c r="O140" s="4" t="s">
        <v>400</v>
      </c>
      <c r="P140" s="4" t="s">
        <v>42</v>
      </c>
      <c r="Q140" s="50" t="s">
        <v>43</v>
      </c>
      <c r="R140" s="50"/>
      <c r="S140" s="50" t="s">
        <v>380</v>
      </c>
      <c r="T140" s="4" t="s">
        <v>43</v>
      </c>
      <c r="U140" s="4" t="s">
        <v>43</v>
      </c>
      <c r="W140" s="48">
        <v>1</v>
      </c>
      <c r="X140" s="48">
        <v>1</v>
      </c>
      <c r="Y140" s="48">
        <v>3</v>
      </c>
      <c r="AB140" s="48">
        <v>1</v>
      </c>
      <c r="AD140" s="91">
        <f t="shared" si="3"/>
        <v>5.4545454545454541</v>
      </c>
      <c r="AE140" s="48" t="e">
        <f>VLOOKUP(C140,#REF!,1,0)</f>
        <v>#REF!</v>
      </c>
    </row>
    <row r="141" spans="3:31" x14ac:dyDescent="0.25">
      <c r="C141" s="87" t="s">
        <v>402</v>
      </c>
      <c r="D141" s="4" t="s">
        <v>403</v>
      </c>
      <c r="E141" s="4" t="s">
        <v>403</v>
      </c>
      <c r="F141" s="92">
        <v>5.45</v>
      </c>
      <c r="G141" s="4" t="s">
        <v>376</v>
      </c>
      <c r="H141" s="4" t="s">
        <v>46</v>
      </c>
      <c r="I141" s="4" t="s">
        <v>377</v>
      </c>
      <c r="J141" s="4" t="s">
        <v>160</v>
      </c>
      <c r="K141" s="4" t="s">
        <v>43</v>
      </c>
      <c r="L141" s="4" t="s">
        <v>138</v>
      </c>
      <c r="M141" s="4" t="s">
        <v>40</v>
      </c>
      <c r="N141" s="4" t="s">
        <v>378</v>
      </c>
      <c r="O141" s="4" t="s">
        <v>402</v>
      </c>
      <c r="P141" s="4" t="s">
        <v>42</v>
      </c>
      <c r="Q141" s="50" t="s">
        <v>43</v>
      </c>
      <c r="R141" s="50"/>
      <c r="S141" s="50" t="s">
        <v>380</v>
      </c>
      <c r="T141" s="4" t="s">
        <v>43</v>
      </c>
      <c r="U141" s="4" t="s">
        <v>43</v>
      </c>
      <c r="W141" s="48">
        <v>1</v>
      </c>
      <c r="X141" s="48">
        <v>1</v>
      </c>
      <c r="Y141" s="48">
        <v>3</v>
      </c>
      <c r="AB141" s="48">
        <v>1</v>
      </c>
      <c r="AD141" s="91">
        <f t="shared" si="3"/>
        <v>5.4545454545454541</v>
      </c>
      <c r="AE141" s="48" t="e">
        <f>VLOOKUP(C141,#REF!,1,0)</f>
        <v>#REF!</v>
      </c>
    </row>
    <row r="142" spans="3:31" x14ac:dyDescent="0.25">
      <c r="C142" s="87" t="s">
        <v>404</v>
      </c>
      <c r="D142" s="4" t="s">
        <v>405</v>
      </c>
      <c r="E142" s="4" t="s">
        <v>405</v>
      </c>
      <c r="F142" s="92">
        <v>5</v>
      </c>
      <c r="G142" s="4" t="s">
        <v>376</v>
      </c>
      <c r="H142" s="4" t="s">
        <v>46</v>
      </c>
      <c r="I142" s="4" t="s">
        <v>377</v>
      </c>
      <c r="J142" s="4" t="s">
        <v>160</v>
      </c>
      <c r="K142" s="4" t="s">
        <v>43</v>
      </c>
      <c r="L142" s="4" t="s">
        <v>138</v>
      </c>
      <c r="M142" s="4" t="s">
        <v>40</v>
      </c>
      <c r="N142" s="4" t="s">
        <v>378</v>
      </c>
      <c r="O142" s="4" t="s">
        <v>404</v>
      </c>
      <c r="P142" s="4" t="s">
        <v>42</v>
      </c>
      <c r="Q142" s="50" t="s">
        <v>43</v>
      </c>
      <c r="R142" s="50"/>
      <c r="S142" s="50" t="s">
        <v>380</v>
      </c>
      <c r="T142" s="4" t="s">
        <v>43</v>
      </c>
      <c r="U142" s="4" t="s">
        <v>43</v>
      </c>
      <c r="W142" s="48">
        <v>1</v>
      </c>
      <c r="X142" s="48">
        <v>1</v>
      </c>
      <c r="Y142" s="48">
        <v>3</v>
      </c>
      <c r="AD142" s="91">
        <f t="shared" si="3"/>
        <v>5</v>
      </c>
      <c r="AE142" s="48" t="s">
        <v>1220</v>
      </c>
    </row>
    <row r="143" spans="3:31" x14ac:dyDescent="0.25">
      <c r="C143" s="87" t="s">
        <v>406</v>
      </c>
      <c r="D143" s="4" t="s">
        <v>407</v>
      </c>
      <c r="E143" s="4" t="s">
        <v>407</v>
      </c>
      <c r="F143" s="92">
        <v>5.45</v>
      </c>
      <c r="G143" s="4" t="s">
        <v>376</v>
      </c>
      <c r="H143" s="4" t="s">
        <v>46</v>
      </c>
      <c r="I143" s="4" t="s">
        <v>377</v>
      </c>
      <c r="J143" s="4" t="s">
        <v>160</v>
      </c>
      <c r="K143" s="4" t="s">
        <v>43</v>
      </c>
      <c r="L143" s="4" t="s">
        <v>138</v>
      </c>
      <c r="M143" s="4" t="s">
        <v>40</v>
      </c>
      <c r="N143" s="4" t="s">
        <v>378</v>
      </c>
      <c r="O143" s="4" t="s">
        <v>406</v>
      </c>
      <c r="P143" s="4" t="s">
        <v>42</v>
      </c>
      <c r="Q143" s="50" t="s">
        <v>43</v>
      </c>
      <c r="R143" s="50"/>
      <c r="S143" s="50" t="s">
        <v>380</v>
      </c>
      <c r="T143" s="4" t="s">
        <v>43</v>
      </c>
      <c r="U143" s="4" t="s">
        <v>43</v>
      </c>
      <c r="W143" s="48">
        <v>1</v>
      </c>
      <c r="X143" s="48">
        <v>1</v>
      </c>
      <c r="Y143" s="48">
        <v>3</v>
      </c>
      <c r="AB143" s="48">
        <v>1</v>
      </c>
      <c r="AD143" s="91">
        <f t="shared" si="3"/>
        <v>5.4545454545454541</v>
      </c>
      <c r="AE143" s="48" t="e">
        <f>VLOOKUP(C143,#REF!,1,0)</f>
        <v>#REF!</v>
      </c>
    </row>
    <row r="144" spans="3:31" x14ac:dyDescent="0.25">
      <c r="C144" s="87" t="s">
        <v>411</v>
      </c>
      <c r="D144" s="4" t="s">
        <v>412</v>
      </c>
      <c r="E144" s="4" t="s">
        <v>412</v>
      </c>
      <c r="F144" s="92">
        <v>5</v>
      </c>
      <c r="G144" s="4" t="s">
        <v>376</v>
      </c>
      <c r="H144" s="4" t="s">
        <v>46</v>
      </c>
      <c r="I144" s="4" t="s">
        <v>377</v>
      </c>
      <c r="J144" s="4" t="s">
        <v>160</v>
      </c>
      <c r="K144" s="4" t="s">
        <v>43</v>
      </c>
      <c r="L144" s="4" t="s">
        <v>138</v>
      </c>
      <c r="M144" s="4" t="s">
        <v>40</v>
      </c>
      <c r="N144" s="4" t="s">
        <v>378</v>
      </c>
      <c r="O144" s="4" t="s">
        <v>411</v>
      </c>
      <c r="P144" s="4" t="s">
        <v>42</v>
      </c>
      <c r="Q144" s="50" t="s">
        <v>43</v>
      </c>
      <c r="R144" s="50"/>
      <c r="S144" s="50" t="s">
        <v>380</v>
      </c>
      <c r="T144" s="4" t="s">
        <v>43</v>
      </c>
      <c r="U144" s="4" t="s">
        <v>43</v>
      </c>
      <c r="W144" s="48">
        <v>1</v>
      </c>
      <c r="X144" s="48">
        <v>1</v>
      </c>
      <c r="Y144" s="48">
        <v>3</v>
      </c>
      <c r="AD144" s="91">
        <f t="shared" si="3"/>
        <v>5</v>
      </c>
      <c r="AE144" s="48" t="s">
        <v>1220</v>
      </c>
    </row>
    <row r="145" spans="3:31" x14ac:dyDescent="0.25">
      <c r="C145" s="87" t="s">
        <v>413</v>
      </c>
      <c r="D145" s="4" t="s">
        <v>414</v>
      </c>
      <c r="E145" s="4" t="s">
        <v>414</v>
      </c>
      <c r="F145" s="92">
        <v>5</v>
      </c>
      <c r="G145" s="4" t="s">
        <v>376</v>
      </c>
      <c r="H145" s="4" t="s">
        <v>46</v>
      </c>
      <c r="I145" s="4" t="s">
        <v>377</v>
      </c>
      <c r="J145" s="4" t="s">
        <v>160</v>
      </c>
      <c r="K145" s="4" t="s">
        <v>43</v>
      </c>
      <c r="L145" s="4" t="s">
        <v>138</v>
      </c>
      <c r="M145" s="4" t="s">
        <v>40</v>
      </c>
      <c r="N145" s="4" t="s">
        <v>378</v>
      </c>
      <c r="O145" s="4" t="s">
        <v>413</v>
      </c>
      <c r="P145" s="4" t="s">
        <v>42</v>
      </c>
      <c r="Q145" s="50" t="s">
        <v>43</v>
      </c>
      <c r="R145" s="50"/>
      <c r="S145" s="50" t="s">
        <v>380</v>
      </c>
      <c r="T145" s="4" t="s">
        <v>43</v>
      </c>
      <c r="U145" s="4" t="s">
        <v>43</v>
      </c>
      <c r="W145" s="48">
        <v>1</v>
      </c>
      <c r="X145" s="48">
        <v>1</v>
      </c>
      <c r="Y145" s="48">
        <v>3</v>
      </c>
      <c r="AD145" s="91">
        <f t="shared" si="3"/>
        <v>5</v>
      </c>
      <c r="AE145" s="48" t="s">
        <v>1220</v>
      </c>
    </row>
    <row r="146" spans="3:31" x14ac:dyDescent="0.25">
      <c r="C146" s="87" t="s">
        <v>415</v>
      </c>
      <c r="D146" s="4" t="s">
        <v>416</v>
      </c>
      <c r="E146" s="4" t="s">
        <v>416</v>
      </c>
      <c r="F146" s="92">
        <v>5</v>
      </c>
      <c r="G146" s="4" t="s">
        <v>376</v>
      </c>
      <c r="H146" s="4" t="s">
        <v>81</v>
      </c>
      <c r="I146" s="4" t="s">
        <v>377</v>
      </c>
      <c r="J146" s="4" t="s">
        <v>160</v>
      </c>
      <c r="K146" s="4" t="s">
        <v>43</v>
      </c>
      <c r="L146" s="4" t="s">
        <v>138</v>
      </c>
      <c r="M146" s="4" t="s">
        <v>40</v>
      </c>
      <c r="N146" s="4" t="s">
        <v>378</v>
      </c>
      <c r="O146" s="4" t="s">
        <v>415</v>
      </c>
      <c r="P146" s="4" t="s">
        <v>42</v>
      </c>
      <c r="Q146" s="50" t="s">
        <v>43</v>
      </c>
      <c r="R146" s="50"/>
      <c r="S146" s="50" t="s">
        <v>380</v>
      </c>
      <c r="T146" s="4" t="s">
        <v>43</v>
      </c>
      <c r="U146" s="4" t="s">
        <v>43</v>
      </c>
      <c r="W146" s="48">
        <v>1</v>
      </c>
      <c r="X146" s="48">
        <v>1</v>
      </c>
      <c r="Y146" s="48">
        <v>3</v>
      </c>
      <c r="AD146" s="91">
        <f t="shared" si="3"/>
        <v>5</v>
      </c>
      <c r="AE146" s="48" t="s">
        <v>1220</v>
      </c>
    </row>
    <row r="147" spans="3:31" x14ac:dyDescent="0.25">
      <c r="C147" s="87" t="s">
        <v>417</v>
      </c>
      <c r="D147" s="4" t="s">
        <v>418</v>
      </c>
      <c r="E147" s="4" t="s">
        <v>418</v>
      </c>
      <c r="F147" s="92">
        <v>5</v>
      </c>
      <c r="G147" s="4" t="s">
        <v>376</v>
      </c>
      <c r="H147" s="4" t="s">
        <v>46</v>
      </c>
      <c r="I147" s="4" t="s">
        <v>377</v>
      </c>
      <c r="J147" s="4" t="s">
        <v>160</v>
      </c>
      <c r="K147" s="4" t="s">
        <v>43</v>
      </c>
      <c r="L147" s="4" t="s">
        <v>138</v>
      </c>
      <c r="M147" s="4" t="s">
        <v>40</v>
      </c>
      <c r="N147" s="4" t="s">
        <v>378</v>
      </c>
      <c r="O147" s="4" t="s">
        <v>417</v>
      </c>
      <c r="P147" s="4" t="s">
        <v>42</v>
      </c>
      <c r="Q147" s="50" t="s">
        <v>43</v>
      </c>
      <c r="R147" s="50"/>
      <c r="S147" s="50" t="s">
        <v>380</v>
      </c>
      <c r="T147" s="4" t="s">
        <v>43</v>
      </c>
      <c r="U147" s="4" t="s">
        <v>43</v>
      </c>
      <c r="W147" s="48">
        <v>1</v>
      </c>
      <c r="X147" s="48">
        <v>1</v>
      </c>
      <c r="Y147" s="48">
        <v>3</v>
      </c>
      <c r="AD147" s="91">
        <f t="shared" si="3"/>
        <v>5</v>
      </c>
      <c r="AE147" s="48" t="s">
        <v>1220</v>
      </c>
    </row>
    <row r="148" spans="3:31" x14ac:dyDescent="0.25">
      <c r="C148" s="87" t="s">
        <v>435</v>
      </c>
      <c r="D148" s="4" t="s">
        <v>436</v>
      </c>
      <c r="E148" s="4" t="s">
        <v>436</v>
      </c>
      <c r="F148" s="92">
        <v>5</v>
      </c>
      <c r="G148" s="4" t="s">
        <v>376</v>
      </c>
      <c r="H148" s="4" t="s">
        <v>46</v>
      </c>
      <c r="I148" s="4" t="s">
        <v>421</v>
      </c>
      <c r="J148" s="4" t="s">
        <v>94</v>
      </c>
      <c r="K148" s="4" t="s">
        <v>43</v>
      </c>
      <c r="L148" s="4" t="s">
        <v>64</v>
      </c>
      <c r="M148" s="4" t="s">
        <v>40</v>
      </c>
      <c r="N148" s="4" t="s">
        <v>422</v>
      </c>
      <c r="O148" s="4" t="s">
        <v>435</v>
      </c>
      <c r="P148" s="4" t="s">
        <v>42</v>
      </c>
      <c r="Q148" s="50" t="s">
        <v>43</v>
      </c>
      <c r="R148" s="50"/>
      <c r="S148" s="50" t="s">
        <v>423</v>
      </c>
      <c r="T148" s="4" t="s">
        <v>43</v>
      </c>
      <c r="U148" s="4" t="s">
        <v>43</v>
      </c>
      <c r="W148" s="48">
        <v>1</v>
      </c>
      <c r="X148" s="48">
        <v>1</v>
      </c>
      <c r="Y148" s="48">
        <v>3</v>
      </c>
      <c r="AD148" s="91">
        <f t="shared" si="3"/>
        <v>5</v>
      </c>
      <c r="AE148" s="48" t="s">
        <v>1220</v>
      </c>
    </row>
    <row r="149" spans="3:31" x14ac:dyDescent="0.25">
      <c r="C149" s="87" t="s">
        <v>419</v>
      </c>
      <c r="D149" s="4" t="s">
        <v>420</v>
      </c>
      <c r="E149" s="4" t="s">
        <v>64</v>
      </c>
      <c r="F149" s="92">
        <v>6</v>
      </c>
      <c r="G149" s="4" t="s">
        <v>376</v>
      </c>
      <c r="H149" s="4" t="s">
        <v>46</v>
      </c>
      <c r="I149" s="4" t="s">
        <v>421</v>
      </c>
      <c r="J149" s="4" t="s">
        <v>94</v>
      </c>
      <c r="K149" s="4" t="s">
        <v>43</v>
      </c>
      <c r="L149" s="4" t="s">
        <v>64</v>
      </c>
      <c r="M149" s="4" t="s">
        <v>40</v>
      </c>
      <c r="N149" s="4" t="s">
        <v>422</v>
      </c>
      <c r="O149" s="4" t="s">
        <v>419</v>
      </c>
      <c r="P149" s="4" t="s">
        <v>42</v>
      </c>
      <c r="Q149" s="50" t="s">
        <v>43</v>
      </c>
      <c r="R149" s="50"/>
      <c r="S149" s="50" t="s">
        <v>423</v>
      </c>
      <c r="T149" s="4" t="s">
        <v>43</v>
      </c>
      <c r="U149" s="4" t="s">
        <v>43</v>
      </c>
      <c r="W149" s="48">
        <v>1</v>
      </c>
      <c r="X149" s="48">
        <v>1</v>
      </c>
      <c r="Y149" s="48">
        <v>4</v>
      </c>
      <c r="AD149" s="91">
        <f t="shared" si="3"/>
        <v>6</v>
      </c>
      <c r="AE149" s="48" t="e">
        <f>VLOOKUP(C149,#REF!,1,0)</f>
        <v>#REF!</v>
      </c>
    </row>
    <row r="150" spans="3:31" x14ac:dyDescent="0.25">
      <c r="C150" s="87" t="s">
        <v>424</v>
      </c>
      <c r="D150" s="4" t="s">
        <v>425</v>
      </c>
      <c r="E150" s="4" t="s">
        <v>425</v>
      </c>
      <c r="F150" s="92">
        <v>6</v>
      </c>
      <c r="G150" s="4" t="s">
        <v>37</v>
      </c>
      <c r="H150" s="4" t="s">
        <v>46</v>
      </c>
      <c r="I150" s="4" t="s">
        <v>421</v>
      </c>
      <c r="J150" s="4" t="s">
        <v>94</v>
      </c>
      <c r="K150" s="4"/>
      <c r="L150" s="4" t="s">
        <v>64</v>
      </c>
      <c r="M150" s="4" t="s">
        <v>40</v>
      </c>
      <c r="N150" s="4" t="s">
        <v>41</v>
      </c>
      <c r="O150" s="4" t="s">
        <v>424</v>
      </c>
      <c r="P150" s="4" t="s">
        <v>42</v>
      </c>
      <c r="Q150" s="50" t="s">
        <v>43</v>
      </c>
      <c r="R150" s="50"/>
      <c r="S150" s="50" t="s">
        <v>423</v>
      </c>
      <c r="T150" s="4" t="s">
        <v>43</v>
      </c>
      <c r="U150" s="4" t="s">
        <v>43</v>
      </c>
      <c r="AD150" s="91">
        <f t="shared" si="3"/>
        <v>0</v>
      </c>
      <c r="AE150" s="48" t="e">
        <f>VLOOKUP(C150,#REF!,1,0)</f>
        <v>#REF!</v>
      </c>
    </row>
    <row r="151" spans="3:31" x14ac:dyDescent="0.25">
      <c r="C151" s="87" t="s">
        <v>437</v>
      </c>
      <c r="D151" s="4" t="s">
        <v>438</v>
      </c>
      <c r="E151" s="4" t="s">
        <v>439</v>
      </c>
      <c r="F151" s="92">
        <v>5</v>
      </c>
      <c r="G151" s="4" t="s">
        <v>376</v>
      </c>
      <c r="H151" s="4" t="s">
        <v>81</v>
      </c>
      <c r="I151" s="4" t="s">
        <v>421</v>
      </c>
      <c r="J151" s="4" t="s">
        <v>94</v>
      </c>
      <c r="K151" s="4" t="s">
        <v>43</v>
      </c>
      <c r="L151" s="4" t="s">
        <v>64</v>
      </c>
      <c r="M151" s="4" t="s">
        <v>40</v>
      </c>
      <c r="N151" s="4" t="s">
        <v>422</v>
      </c>
      <c r="O151" s="4" t="s">
        <v>437</v>
      </c>
      <c r="P151" s="4" t="s">
        <v>42</v>
      </c>
      <c r="Q151" s="50" t="s">
        <v>43</v>
      </c>
      <c r="R151" s="50"/>
      <c r="S151" s="50" t="s">
        <v>423</v>
      </c>
      <c r="T151" s="82" t="s">
        <v>440</v>
      </c>
      <c r="U151" s="4" t="s">
        <v>43</v>
      </c>
      <c r="W151" s="48">
        <v>1</v>
      </c>
      <c r="X151" s="48">
        <v>1</v>
      </c>
      <c r="Y151" s="48">
        <v>3</v>
      </c>
      <c r="AD151" s="91">
        <f t="shared" si="3"/>
        <v>5</v>
      </c>
      <c r="AE151" s="48" t="s">
        <v>1220</v>
      </c>
    </row>
    <row r="152" spans="3:31" x14ac:dyDescent="0.25">
      <c r="C152" s="87" t="s">
        <v>429</v>
      </c>
      <c r="D152" s="4" t="s">
        <v>430</v>
      </c>
      <c r="E152" s="4" t="s">
        <v>431</v>
      </c>
      <c r="F152" s="92">
        <v>8</v>
      </c>
      <c r="G152" s="4" t="s">
        <v>376</v>
      </c>
      <c r="H152" s="4" t="s">
        <v>46</v>
      </c>
      <c r="I152" s="4" t="s">
        <v>421</v>
      </c>
      <c r="J152" s="4" t="s">
        <v>94</v>
      </c>
      <c r="K152" s="4" t="s">
        <v>43</v>
      </c>
      <c r="L152" s="4" t="s">
        <v>64</v>
      </c>
      <c r="M152" s="4" t="s">
        <v>40</v>
      </c>
      <c r="N152" s="4" t="s">
        <v>422</v>
      </c>
      <c r="O152" s="4" t="s">
        <v>429</v>
      </c>
      <c r="P152" s="4" t="s">
        <v>42</v>
      </c>
      <c r="Q152" s="50" t="s">
        <v>43</v>
      </c>
      <c r="R152" s="50"/>
      <c r="S152" s="50" t="s">
        <v>423</v>
      </c>
      <c r="T152" s="4" t="s">
        <v>43</v>
      </c>
      <c r="U152" s="4" t="s">
        <v>43</v>
      </c>
      <c r="W152" s="48">
        <v>1</v>
      </c>
      <c r="X152" s="48">
        <v>2</v>
      </c>
      <c r="Y152" s="48">
        <v>5</v>
      </c>
      <c r="AD152" s="91">
        <f t="shared" si="3"/>
        <v>8</v>
      </c>
      <c r="AE152" s="48" t="e">
        <f>VLOOKUP(C152,#REF!,1,0)</f>
        <v>#REF!</v>
      </c>
    </row>
    <row r="153" spans="3:31" x14ac:dyDescent="0.25">
      <c r="C153" s="87" t="s">
        <v>432</v>
      </c>
      <c r="D153" s="4" t="s">
        <v>433</v>
      </c>
      <c r="E153" s="4" t="s">
        <v>434</v>
      </c>
      <c r="F153" s="92">
        <v>5.45</v>
      </c>
      <c r="G153" s="4" t="s">
        <v>376</v>
      </c>
      <c r="H153" s="4" t="s">
        <v>46</v>
      </c>
      <c r="I153" s="4" t="s">
        <v>421</v>
      </c>
      <c r="J153" s="4" t="s">
        <v>94</v>
      </c>
      <c r="K153" s="4" t="s">
        <v>43</v>
      </c>
      <c r="L153" s="4" t="s">
        <v>205</v>
      </c>
      <c r="M153" s="4" t="s">
        <v>40</v>
      </c>
      <c r="N153" s="4" t="s">
        <v>422</v>
      </c>
      <c r="O153" s="4" t="s">
        <v>432</v>
      </c>
      <c r="P153" s="4" t="s">
        <v>42</v>
      </c>
      <c r="Q153" s="50" t="s">
        <v>43</v>
      </c>
      <c r="R153" s="50"/>
      <c r="S153" s="50" t="s">
        <v>423</v>
      </c>
      <c r="T153" s="4" t="s">
        <v>43</v>
      </c>
      <c r="U153" s="4" t="s">
        <v>43</v>
      </c>
      <c r="W153" s="48">
        <v>1</v>
      </c>
      <c r="X153" s="48">
        <v>2</v>
      </c>
      <c r="Y153" s="48">
        <v>2</v>
      </c>
      <c r="AB153" s="48">
        <v>1</v>
      </c>
      <c r="AD153" s="91">
        <f t="shared" si="3"/>
        <v>5.4545454545454541</v>
      </c>
      <c r="AE153" s="48" t="e">
        <f>VLOOKUP(C153,#REF!,1,0)</f>
        <v>#REF!</v>
      </c>
    </row>
    <row r="154" spans="3:31" x14ac:dyDescent="0.25">
      <c r="C154" s="87" t="s">
        <v>441</v>
      </c>
      <c r="D154" s="4" t="s">
        <v>442</v>
      </c>
      <c r="E154" s="4" t="s">
        <v>442</v>
      </c>
      <c r="F154" s="92">
        <v>5</v>
      </c>
      <c r="G154" s="4" t="s">
        <v>376</v>
      </c>
      <c r="H154" s="4" t="s">
        <v>46</v>
      </c>
      <c r="I154" s="4" t="s">
        <v>421</v>
      </c>
      <c r="J154" s="4" t="s">
        <v>94</v>
      </c>
      <c r="K154" s="4" t="s">
        <v>43</v>
      </c>
      <c r="L154" s="4" t="s">
        <v>64</v>
      </c>
      <c r="M154" s="4" t="s">
        <v>40</v>
      </c>
      <c r="N154" s="4" t="s">
        <v>422</v>
      </c>
      <c r="O154" s="4" t="s">
        <v>441</v>
      </c>
      <c r="P154" s="4" t="s">
        <v>42</v>
      </c>
      <c r="Q154" s="50" t="s">
        <v>43</v>
      </c>
      <c r="R154" s="50"/>
      <c r="S154" s="50" t="s">
        <v>423</v>
      </c>
      <c r="T154" s="4" t="s">
        <v>43</v>
      </c>
      <c r="U154" s="4" t="s">
        <v>43</v>
      </c>
      <c r="W154" s="48">
        <v>1</v>
      </c>
      <c r="X154" s="48">
        <v>1</v>
      </c>
      <c r="Y154" s="48">
        <v>3</v>
      </c>
      <c r="AD154" s="91">
        <f t="shared" si="3"/>
        <v>5</v>
      </c>
      <c r="AE154" s="48" t="s">
        <v>1220</v>
      </c>
    </row>
    <row r="155" spans="3:31" x14ac:dyDescent="0.25">
      <c r="C155" s="87" t="s">
        <v>445</v>
      </c>
      <c r="D155" s="4" t="s">
        <v>446</v>
      </c>
      <c r="E155" s="4" t="s">
        <v>446</v>
      </c>
      <c r="F155" s="92">
        <v>5</v>
      </c>
      <c r="G155" s="4" t="s">
        <v>376</v>
      </c>
      <c r="H155" s="4" t="s">
        <v>46</v>
      </c>
      <c r="I155" s="4" t="s">
        <v>421</v>
      </c>
      <c r="J155" s="4" t="s">
        <v>94</v>
      </c>
      <c r="K155" s="4" t="s">
        <v>43</v>
      </c>
      <c r="L155" s="4" t="s">
        <v>64</v>
      </c>
      <c r="M155" s="4" t="s">
        <v>40</v>
      </c>
      <c r="N155" s="4" t="s">
        <v>422</v>
      </c>
      <c r="O155" s="4" t="s">
        <v>445</v>
      </c>
      <c r="P155" s="4" t="s">
        <v>42</v>
      </c>
      <c r="Q155" s="50" t="s">
        <v>43</v>
      </c>
      <c r="R155" s="50"/>
      <c r="S155" s="50" t="s">
        <v>423</v>
      </c>
      <c r="T155" s="4" t="s">
        <v>43</v>
      </c>
      <c r="U155" s="4" t="s">
        <v>43</v>
      </c>
      <c r="W155" s="48">
        <v>1</v>
      </c>
      <c r="X155" s="48">
        <v>1</v>
      </c>
      <c r="Y155" s="48">
        <v>3</v>
      </c>
      <c r="AD155" s="91">
        <f t="shared" si="3"/>
        <v>5</v>
      </c>
      <c r="AE155" s="48" t="s">
        <v>1220</v>
      </c>
    </row>
    <row r="156" spans="3:31" x14ac:dyDescent="0.25">
      <c r="C156" s="87" t="s">
        <v>453</v>
      </c>
      <c r="D156" s="4" t="s">
        <v>454</v>
      </c>
      <c r="E156" s="4" t="s">
        <v>454</v>
      </c>
      <c r="F156" s="92">
        <v>5</v>
      </c>
      <c r="G156" s="4" t="s">
        <v>376</v>
      </c>
      <c r="H156" s="4" t="s">
        <v>46</v>
      </c>
      <c r="I156" s="4" t="s">
        <v>421</v>
      </c>
      <c r="J156" s="4" t="s">
        <v>94</v>
      </c>
      <c r="K156" s="4" t="s">
        <v>43</v>
      </c>
      <c r="L156" s="4" t="s">
        <v>64</v>
      </c>
      <c r="M156" s="4" t="s">
        <v>40</v>
      </c>
      <c r="N156" s="4" t="s">
        <v>422</v>
      </c>
      <c r="O156" s="4" t="s">
        <v>453</v>
      </c>
      <c r="P156" s="4" t="s">
        <v>42</v>
      </c>
      <c r="Q156" s="50" t="s">
        <v>43</v>
      </c>
      <c r="R156" s="50"/>
      <c r="S156" s="50" t="s">
        <v>423</v>
      </c>
      <c r="T156" s="4" t="s">
        <v>43</v>
      </c>
      <c r="U156" s="4" t="s">
        <v>43</v>
      </c>
      <c r="W156" s="48">
        <v>1</v>
      </c>
      <c r="X156" s="48">
        <v>1</v>
      </c>
      <c r="Y156" s="48">
        <v>3</v>
      </c>
      <c r="AD156" s="91">
        <f t="shared" si="3"/>
        <v>5</v>
      </c>
      <c r="AE156" s="48" t="s">
        <v>1220</v>
      </c>
    </row>
    <row r="157" spans="3:31" x14ac:dyDescent="0.25">
      <c r="C157" s="87" t="s">
        <v>443</v>
      </c>
      <c r="D157" s="4" t="s">
        <v>444</v>
      </c>
      <c r="E157" s="4" t="s">
        <v>444</v>
      </c>
      <c r="F157" s="92">
        <v>7</v>
      </c>
      <c r="G157" s="4" t="s">
        <v>376</v>
      </c>
      <c r="H157" s="4" t="s">
        <v>81</v>
      </c>
      <c r="I157" s="4" t="s">
        <v>421</v>
      </c>
      <c r="J157" s="4" t="s">
        <v>94</v>
      </c>
      <c r="K157" s="4" t="s">
        <v>43</v>
      </c>
      <c r="L157" s="4" t="s">
        <v>64</v>
      </c>
      <c r="M157" s="4" t="s">
        <v>40</v>
      </c>
      <c r="N157" s="4" t="s">
        <v>422</v>
      </c>
      <c r="O157" s="4" t="s">
        <v>443</v>
      </c>
      <c r="P157" s="4" t="s">
        <v>42</v>
      </c>
      <c r="Q157" s="50" t="s">
        <v>43</v>
      </c>
      <c r="R157" s="50"/>
      <c r="S157" s="50" t="s">
        <v>423</v>
      </c>
      <c r="T157" s="4" t="s">
        <v>43</v>
      </c>
      <c r="U157" s="4" t="s">
        <v>43</v>
      </c>
      <c r="W157" s="48">
        <v>1</v>
      </c>
      <c r="X157" s="48">
        <v>1</v>
      </c>
      <c r="Y157" s="48">
        <v>3</v>
      </c>
      <c r="AD157" s="91">
        <f t="shared" si="3"/>
        <v>5</v>
      </c>
      <c r="AE157" s="48" t="e">
        <f>VLOOKUP(C157,#REF!,1,0)</f>
        <v>#REF!</v>
      </c>
    </row>
    <row r="158" spans="3:31" x14ac:dyDescent="0.25">
      <c r="C158" s="87" t="s">
        <v>455</v>
      </c>
      <c r="D158" s="4" t="s">
        <v>456</v>
      </c>
      <c r="E158" s="4" t="s">
        <v>456</v>
      </c>
      <c r="F158" s="92">
        <v>5</v>
      </c>
      <c r="G158" s="4" t="s">
        <v>376</v>
      </c>
      <c r="H158" s="4" t="s">
        <v>46</v>
      </c>
      <c r="I158" s="4" t="s">
        <v>421</v>
      </c>
      <c r="J158" s="4" t="s">
        <v>94</v>
      </c>
      <c r="K158" s="4" t="s">
        <v>43</v>
      </c>
      <c r="L158" s="4" t="s">
        <v>64</v>
      </c>
      <c r="M158" s="4" t="s">
        <v>40</v>
      </c>
      <c r="N158" s="4" t="s">
        <v>422</v>
      </c>
      <c r="O158" s="4" t="s">
        <v>455</v>
      </c>
      <c r="P158" s="4" t="s">
        <v>42</v>
      </c>
      <c r="Q158" s="50" t="s">
        <v>43</v>
      </c>
      <c r="R158" s="50"/>
      <c r="S158" s="50" t="s">
        <v>423</v>
      </c>
      <c r="T158" s="4" t="s">
        <v>43</v>
      </c>
      <c r="U158" s="4" t="s">
        <v>43</v>
      </c>
      <c r="W158" s="48">
        <v>1</v>
      </c>
      <c r="X158" s="48">
        <v>1</v>
      </c>
      <c r="Y158" s="48">
        <v>3</v>
      </c>
      <c r="AD158" s="91">
        <f t="shared" si="3"/>
        <v>5</v>
      </c>
      <c r="AE158" s="48" t="s">
        <v>1220</v>
      </c>
    </row>
    <row r="159" spans="3:31" x14ac:dyDescent="0.25">
      <c r="C159" s="87" t="s">
        <v>447</v>
      </c>
      <c r="D159" s="4" t="s">
        <v>448</v>
      </c>
      <c r="E159" s="4" t="s">
        <v>449</v>
      </c>
      <c r="F159" s="92">
        <v>6</v>
      </c>
      <c r="G159" s="4" t="s">
        <v>376</v>
      </c>
      <c r="H159" s="4" t="s">
        <v>46</v>
      </c>
      <c r="I159" s="4" t="s">
        <v>421</v>
      </c>
      <c r="J159" s="4" t="s">
        <v>94</v>
      </c>
      <c r="K159" s="4" t="s">
        <v>43</v>
      </c>
      <c r="L159" s="4" t="s">
        <v>64</v>
      </c>
      <c r="M159" s="4" t="s">
        <v>40</v>
      </c>
      <c r="N159" s="4" t="s">
        <v>422</v>
      </c>
      <c r="O159" s="4" t="s">
        <v>447</v>
      </c>
      <c r="P159" s="4" t="s">
        <v>42</v>
      </c>
      <c r="Q159" s="50" t="s">
        <v>43</v>
      </c>
      <c r="R159" s="50"/>
      <c r="S159" s="50" t="s">
        <v>423</v>
      </c>
      <c r="T159" s="4" t="s">
        <v>43</v>
      </c>
      <c r="U159" s="4" t="s">
        <v>43</v>
      </c>
      <c r="W159" s="48">
        <v>1</v>
      </c>
      <c r="X159" s="48">
        <v>2</v>
      </c>
      <c r="Y159" s="48">
        <v>3</v>
      </c>
      <c r="AD159" s="91">
        <f t="shared" si="3"/>
        <v>6</v>
      </c>
      <c r="AE159" s="48" t="e">
        <f>VLOOKUP(C159,#REF!,1,0)</f>
        <v>#REF!</v>
      </c>
    </row>
    <row r="160" spans="3:31" x14ac:dyDescent="0.25">
      <c r="C160" s="87" t="s">
        <v>457</v>
      </c>
      <c r="D160" s="4" t="s">
        <v>458</v>
      </c>
      <c r="E160" s="4" t="s">
        <v>458</v>
      </c>
      <c r="F160" s="92">
        <v>5</v>
      </c>
      <c r="G160" s="4" t="s">
        <v>376</v>
      </c>
      <c r="H160" s="4" t="s">
        <v>81</v>
      </c>
      <c r="I160" s="4" t="s">
        <v>421</v>
      </c>
      <c r="J160" s="4" t="s">
        <v>94</v>
      </c>
      <c r="K160" s="4" t="s">
        <v>43</v>
      </c>
      <c r="L160" s="4" t="s">
        <v>205</v>
      </c>
      <c r="M160" s="4" t="s">
        <v>40</v>
      </c>
      <c r="N160" s="4" t="s">
        <v>422</v>
      </c>
      <c r="O160" s="4" t="s">
        <v>457</v>
      </c>
      <c r="P160" s="4" t="s">
        <v>42</v>
      </c>
      <c r="Q160" s="50" t="s">
        <v>43</v>
      </c>
      <c r="R160" s="50"/>
      <c r="S160" s="50" t="s">
        <v>423</v>
      </c>
      <c r="T160" s="4" t="s">
        <v>43</v>
      </c>
      <c r="U160" s="4" t="s">
        <v>43</v>
      </c>
      <c r="W160" s="48">
        <v>1</v>
      </c>
      <c r="X160" s="48">
        <v>1</v>
      </c>
      <c r="Y160" s="48">
        <v>3</v>
      </c>
      <c r="AD160" s="91">
        <f t="shared" si="3"/>
        <v>5</v>
      </c>
      <c r="AE160" s="48" t="s">
        <v>1220</v>
      </c>
    </row>
    <row r="161" spans="3:31" x14ac:dyDescent="0.25">
      <c r="C161" s="87" t="s">
        <v>459</v>
      </c>
      <c r="D161" s="4" t="s">
        <v>460</v>
      </c>
      <c r="E161" s="4" t="s">
        <v>460</v>
      </c>
      <c r="F161" s="92">
        <v>5</v>
      </c>
      <c r="G161" s="4" t="s">
        <v>376</v>
      </c>
      <c r="H161" s="4" t="s">
        <v>46</v>
      </c>
      <c r="I161" s="4" t="s">
        <v>421</v>
      </c>
      <c r="J161" s="4" t="s">
        <v>94</v>
      </c>
      <c r="K161" s="4" t="s">
        <v>43</v>
      </c>
      <c r="L161" s="4" t="s">
        <v>64</v>
      </c>
      <c r="M161" s="4" t="s">
        <v>40</v>
      </c>
      <c r="N161" s="4" t="s">
        <v>422</v>
      </c>
      <c r="O161" s="4" t="s">
        <v>459</v>
      </c>
      <c r="P161" s="4" t="s">
        <v>42</v>
      </c>
      <c r="Q161" s="50" t="s">
        <v>43</v>
      </c>
      <c r="R161" s="50"/>
      <c r="S161" s="50" t="s">
        <v>423</v>
      </c>
      <c r="T161" s="4" t="s">
        <v>43</v>
      </c>
      <c r="U161" s="4" t="s">
        <v>43</v>
      </c>
      <c r="W161" s="48">
        <v>1</v>
      </c>
      <c r="X161" s="48">
        <v>1</v>
      </c>
      <c r="Y161" s="48">
        <v>3</v>
      </c>
      <c r="AD161" s="91">
        <f t="shared" si="3"/>
        <v>5</v>
      </c>
      <c r="AE161" s="48" t="s">
        <v>1220</v>
      </c>
    </row>
    <row r="162" spans="3:31" x14ac:dyDescent="0.25">
      <c r="C162" s="87" t="s">
        <v>461</v>
      </c>
      <c r="D162" s="4" t="s">
        <v>462</v>
      </c>
      <c r="E162" s="4" t="s">
        <v>462</v>
      </c>
      <c r="F162" s="92">
        <v>5</v>
      </c>
      <c r="G162" s="4" t="s">
        <v>376</v>
      </c>
      <c r="H162" s="4" t="s">
        <v>46</v>
      </c>
      <c r="I162" s="4" t="s">
        <v>421</v>
      </c>
      <c r="J162" s="4" t="s">
        <v>94</v>
      </c>
      <c r="K162" s="4" t="s">
        <v>43</v>
      </c>
      <c r="L162" s="4" t="s">
        <v>64</v>
      </c>
      <c r="M162" s="4" t="s">
        <v>40</v>
      </c>
      <c r="N162" s="4" t="s">
        <v>422</v>
      </c>
      <c r="O162" s="4" t="s">
        <v>461</v>
      </c>
      <c r="P162" s="4" t="s">
        <v>42</v>
      </c>
      <c r="Q162" s="50" t="s">
        <v>43</v>
      </c>
      <c r="R162" s="50"/>
      <c r="S162" s="50" t="s">
        <v>423</v>
      </c>
      <c r="T162" s="4" t="s">
        <v>43</v>
      </c>
      <c r="U162" s="4" t="s">
        <v>43</v>
      </c>
      <c r="W162" s="48">
        <v>1</v>
      </c>
      <c r="X162" s="48">
        <v>1</v>
      </c>
      <c r="Y162" s="48">
        <v>3</v>
      </c>
      <c r="AD162" s="91">
        <f t="shared" si="3"/>
        <v>5</v>
      </c>
      <c r="AE162" s="48" t="s">
        <v>1220</v>
      </c>
    </row>
    <row r="163" spans="3:31" x14ac:dyDescent="0.25">
      <c r="C163" s="87" t="s">
        <v>478</v>
      </c>
      <c r="D163" s="4" t="s">
        <v>479</v>
      </c>
      <c r="E163" s="4" t="s">
        <v>479</v>
      </c>
      <c r="F163" s="92">
        <v>5</v>
      </c>
      <c r="G163" s="4" t="s">
        <v>376</v>
      </c>
      <c r="H163" s="4" t="s">
        <v>46</v>
      </c>
      <c r="I163" s="4" t="s">
        <v>377</v>
      </c>
      <c r="J163" s="4" t="s">
        <v>466</v>
      </c>
      <c r="K163" s="4" t="s">
        <v>43</v>
      </c>
      <c r="L163" s="4" t="s">
        <v>51</v>
      </c>
      <c r="M163" s="4" t="s">
        <v>40</v>
      </c>
      <c r="N163" s="4" t="s">
        <v>378</v>
      </c>
      <c r="O163" s="4" t="s">
        <v>478</v>
      </c>
      <c r="P163" s="4" t="s">
        <v>42</v>
      </c>
      <c r="Q163" s="50" t="s">
        <v>43</v>
      </c>
      <c r="R163" s="50"/>
      <c r="S163" s="50" t="s">
        <v>467</v>
      </c>
      <c r="T163" s="4" t="s">
        <v>43</v>
      </c>
      <c r="U163" s="4" t="s">
        <v>43</v>
      </c>
      <c r="W163" s="48">
        <v>1</v>
      </c>
      <c r="X163" s="48">
        <v>1</v>
      </c>
      <c r="Y163" s="48">
        <v>3</v>
      </c>
      <c r="AD163" s="91">
        <f t="shared" si="3"/>
        <v>5</v>
      </c>
      <c r="AE163" s="48" t="s">
        <v>1220</v>
      </c>
    </row>
    <row r="164" spans="3:31" x14ac:dyDescent="0.25">
      <c r="C164" s="87" t="s">
        <v>480</v>
      </c>
      <c r="D164" s="4" t="s">
        <v>481</v>
      </c>
      <c r="E164" s="4" t="s">
        <v>482</v>
      </c>
      <c r="F164" s="92">
        <v>5</v>
      </c>
      <c r="G164" s="4" t="s">
        <v>376</v>
      </c>
      <c r="H164" s="4" t="s">
        <v>46</v>
      </c>
      <c r="I164" s="4" t="s">
        <v>377</v>
      </c>
      <c r="J164" s="4" t="s">
        <v>466</v>
      </c>
      <c r="K164" s="4" t="s">
        <v>43</v>
      </c>
      <c r="L164" s="4" t="s">
        <v>51</v>
      </c>
      <c r="M164" s="4" t="s">
        <v>40</v>
      </c>
      <c r="N164" s="4" t="s">
        <v>378</v>
      </c>
      <c r="O164" s="4" t="s">
        <v>480</v>
      </c>
      <c r="P164" s="4" t="s">
        <v>42</v>
      </c>
      <c r="Q164" s="50" t="s">
        <v>43</v>
      </c>
      <c r="R164" s="50"/>
      <c r="S164" s="50" t="s">
        <v>467</v>
      </c>
      <c r="T164" s="4" t="s">
        <v>43</v>
      </c>
      <c r="U164" s="4" t="s">
        <v>43</v>
      </c>
      <c r="W164" s="48">
        <v>1</v>
      </c>
      <c r="X164" s="48">
        <v>1</v>
      </c>
      <c r="Y164" s="48">
        <v>3</v>
      </c>
      <c r="AD164" s="91">
        <f t="shared" si="3"/>
        <v>5</v>
      </c>
      <c r="AE164" s="48" t="s">
        <v>1220</v>
      </c>
    </row>
    <row r="165" spans="3:31" x14ac:dyDescent="0.25">
      <c r="C165" s="87" t="s">
        <v>486</v>
      </c>
      <c r="D165" s="4" t="s">
        <v>487</v>
      </c>
      <c r="E165" s="4" t="s">
        <v>487</v>
      </c>
      <c r="F165" s="92">
        <v>5</v>
      </c>
      <c r="G165" s="4" t="s">
        <v>376</v>
      </c>
      <c r="H165" s="4" t="s">
        <v>46</v>
      </c>
      <c r="I165" s="4" t="s">
        <v>377</v>
      </c>
      <c r="J165" s="4" t="s">
        <v>466</v>
      </c>
      <c r="K165" s="4" t="s">
        <v>43</v>
      </c>
      <c r="L165" s="4" t="s">
        <v>51</v>
      </c>
      <c r="M165" s="4" t="s">
        <v>40</v>
      </c>
      <c r="N165" s="4" t="s">
        <v>378</v>
      </c>
      <c r="O165" s="4" t="s">
        <v>486</v>
      </c>
      <c r="P165" s="4" t="s">
        <v>42</v>
      </c>
      <c r="Q165" s="50" t="s">
        <v>43</v>
      </c>
      <c r="R165" s="50"/>
      <c r="S165" s="50" t="s">
        <v>467</v>
      </c>
      <c r="T165" s="4" t="s">
        <v>43</v>
      </c>
      <c r="U165" s="4" t="s">
        <v>43</v>
      </c>
      <c r="W165" s="48">
        <v>1</v>
      </c>
      <c r="X165" s="48">
        <v>1</v>
      </c>
      <c r="Y165" s="48">
        <v>3</v>
      </c>
      <c r="AD165" s="91">
        <f t="shared" si="3"/>
        <v>5</v>
      </c>
      <c r="AE165" s="48" t="s">
        <v>1220</v>
      </c>
    </row>
    <row r="166" spans="3:31" x14ac:dyDescent="0.25">
      <c r="C166" s="87" t="s">
        <v>463</v>
      </c>
      <c r="D166" s="4" t="s">
        <v>464</v>
      </c>
      <c r="E166" s="4" t="s">
        <v>465</v>
      </c>
      <c r="F166" s="92">
        <v>8.9</v>
      </c>
      <c r="G166" s="4" t="s">
        <v>376</v>
      </c>
      <c r="H166" s="4" t="s">
        <v>46</v>
      </c>
      <c r="I166" s="4" t="s">
        <v>377</v>
      </c>
      <c r="J166" s="4" t="s">
        <v>466</v>
      </c>
      <c r="K166" s="4" t="s">
        <v>43</v>
      </c>
      <c r="L166" s="4" t="s">
        <v>51</v>
      </c>
      <c r="M166" s="4" t="s">
        <v>40</v>
      </c>
      <c r="N166" s="4" t="s">
        <v>378</v>
      </c>
      <c r="O166" s="4" t="s">
        <v>463</v>
      </c>
      <c r="P166" s="4" t="s">
        <v>379</v>
      </c>
      <c r="Q166" s="50" t="s">
        <v>43</v>
      </c>
      <c r="R166" s="50"/>
      <c r="S166" s="50" t="s">
        <v>467</v>
      </c>
      <c r="T166" s="4" t="s">
        <v>43</v>
      </c>
      <c r="U166" s="4" t="s">
        <v>43</v>
      </c>
      <c r="W166" s="48">
        <v>1</v>
      </c>
      <c r="X166" s="48">
        <v>2</v>
      </c>
      <c r="Y166" s="48">
        <v>5</v>
      </c>
      <c r="AB166" s="48">
        <v>2</v>
      </c>
      <c r="AD166" s="91">
        <f t="shared" si="3"/>
        <v>8.9090909090909083</v>
      </c>
      <c r="AE166" s="48" t="e">
        <f>VLOOKUP(C166,#REF!,1,0)</f>
        <v>#REF!</v>
      </c>
    </row>
    <row r="167" spans="3:31" x14ac:dyDescent="0.25">
      <c r="C167" s="87" t="s">
        <v>468</v>
      </c>
      <c r="D167" s="4" t="s">
        <v>469</v>
      </c>
      <c r="E167" s="4" t="s">
        <v>470</v>
      </c>
      <c r="F167" s="92">
        <v>8.4499999999999993</v>
      </c>
      <c r="G167" s="4" t="s">
        <v>376</v>
      </c>
      <c r="H167" s="4" t="s">
        <v>46</v>
      </c>
      <c r="I167" s="4" t="s">
        <v>377</v>
      </c>
      <c r="J167" s="4" t="s">
        <v>466</v>
      </c>
      <c r="K167" s="4" t="s">
        <v>43</v>
      </c>
      <c r="L167" s="4" t="s">
        <v>51</v>
      </c>
      <c r="M167" s="4" t="s">
        <v>40</v>
      </c>
      <c r="N167" s="4" t="s">
        <v>378</v>
      </c>
      <c r="O167" s="4" t="s">
        <v>468</v>
      </c>
      <c r="P167" s="4" t="s">
        <v>42</v>
      </c>
      <c r="Q167" s="50" t="s">
        <v>43</v>
      </c>
      <c r="R167" s="50"/>
      <c r="S167" s="50" t="s">
        <v>467</v>
      </c>
      <c r="T167" s="4" t="s">
        <v>43</v>
      </c>
      <c r="U167" s="4" t="s">
        <v>43</v>
      </c>
      <c r="W167" s="48">
        <v>1</v>
      </c>
      <c r="X167" s="48">
        <v>1</v>
      </c>
      <c r="Y167" s="48">
        <v>6</v>
      </c>
      <c r="AB167" s="48">
        <v>1</v>
      </c>
      <c r="AD167" s="91">
        <f t="shared" si="3"/>
        <v>8.454545454545455</v>
      </c>
      <c r="AE167" s="48" t="e">
        <f>VLOOKUP(C167,#REF!,1,0)</f>
        <v>#REF!</v>
      </c>
    </row>
    <row r="168" spans="3:31" x14ac:dyDescent="0.25">
      <c r="C168" s="87" t="s">
        <v>488</v>
      </c>
      <c r="D168" s="4" t="s">
        <v>489</v>
      </c>
      <c r="E168" s="4" t="s">
        <v>490</v>
      </c>
      <c r="F168" s="92">
        <v>5</v>
      </c>
      <c r="G168" s="4" t="s">
        <v>376</v>
      </c>
      <c r="H168" s="4" t="s">
        <v>46</v>
      </c>
      <c r="I168" s="4" t="s">
        <v>377</v>
      </c>
      <c r="J168" s="4" t="s">
        <v>466</v>
      </c>
      <c r="K168" s="4" t="s">
        <v>43</v>
      </c>
      <c r="L168" s="4" t="s">
        <v>51</v>
      </c>
      <c r="M168" s="4" t="s">
        <v>40</v>
      </c>
      <c r="N168" s="4" t="s">
        <v>378</v>
      </c>
      <c r="O168" s="4" t="s">
        <v>488</v>
      </c>
      <c r="P168" s="4" t="s">
        <v>42</v>
      </c>
      <c r="Q168" s="50" t="s">
        <v>43</v>
      </c>
      <c r="R168" s="50"/>
      <c r="S168" s="50" t="s">
        <v>467</v>
      </c>
      <c r="T168" s="4" t="s">
        <v>43</v>
      </c>
      <c r="U168" s="4" t="s">
        <v>43</v>
      </c>
      <c r="W168" s="48">
        <v>1</v>
      </c>
      <c r="X168" s="48">
        <v>1</v>
      </c>
      <c r="Y168" s="48">
        <v>3</v>
      </c>
      <c r="AD168" s="91">
        <f t="shared" si="3"/>
        <v>5</v>
      </c>
      <c r="AE168" s="48" t="s">
        <v>1220</v>
      </c>
    </row>
    <row r="169" spans="3:31" x14ac:dyDescent="0.25">
      <c r="C169" s="87" t="s">
        <v>474</v>
      </c>
      <c r="D169" s="4" t="s">
        <v>475</v>
      </c>
      <c r="E169" s="4" t="s">
        <v>475</v>
      </c>
      <c r="F169" s="92">
        <v>6</v>
      </c>
      <c r="G169" s="4" t="s">
        <v>376</v>
      </c>
      <c r="H169" s="4" t="s">
        <v>46</v>
      </c>
      <c r="I169" s="4" t="s">
        <v>377</v>
      </c>
      <c r="J169" s="4" t="s">
        <v>466</v>
      </c>
      <c r="K169" s="4" t="s">
        <v>43</v>
      </c>
      <c r="L169" s="4" t="s">
        <v>51</v>
      </c>
      <c r="M169" s="4" t="s">
        <v>40</v>
      </c>
      <c r="N169" s="4" t="s">
        <v>378</v>
      </c>
      <c r="O169" s="4" t="s">
        <v>474</v>
      </c>
      <c r="P169" s="4" t="s">
        <v>42</v>
      </c>
      <c r="Q169" s="50" t="s">
        <v>43</v>
      </c>
      <c r="R169" s="50"/>
      <c r="S169" s="50" t="s">
        <v>467</v>
      </c>
      <c r="T169" s="4" t="s">
        <v>43</v>
      </c>
      <c r="U169" s="4" t="s">
        <v>43</v>
      </c>
      <c r="W169" s="48">
        <v>1</v>
      </c>
      <c r="X169" s="48">
        <v>1</v>
      </c>
      <c r="Y169" s="48">
        <v>4</v>
      </c>
      <c r="AD169" s="91">
        <f t="shared" si="3"/>
        <v>6</v>
      </c>
      <c r="AE169" s="48" t="e">
        <f>VLOOKUP(C169,#REF!,1,0)</f>
        <v>#REF!</v>
      </c>
    </row>
    <row r="170" spans="3:31" x14ac:dyDescent="0.25">
      <c r="C170" s="87" t="s">
        <v>975</v>
      </c>
      <c r="D170" s="4" t="s">
        <v>976</v>
      </c>
      <c r="E170" s="4" t="s">
        <v>976</v>
      </c>
      <c r="F170" s="92">
        <v>2.1</v>
      </c>
      <c r="G170" s="4" t="s">
        <v>376</v>
      </c>
      <c r="H170" s="4" t="s">
        <v>46</v>
      </c>
      <c r="I170" s="4" t="s">
        <v>377</v>
      </c>
      <c r="J170" s="4" t="s">
        <v>132</v>
      </c>
      <c r="K170" s="4" t="s">
        <v>43</v>
      </c>
      <c r="L170" s="4" t="s">
        <v>39</v>
      </c>
      <c r="M170" s="4" t="s">
        <v>40</v>
      </c>
      <c r="N170" s="4" t="s">
        <v>378</v>
      </c>
      <c r="O170" s="4" t="s">
        <v>975</v>
      </c>
      <c r="P170" s="4" t="s">
        <v>42</v>
      </c>
      <c r="Q170" s="50" t="s">
        <v>43</v>
      </c>
      <c r="R170" s="50"/>
      <c r="S170" s="50" t="s">
        <v>931</v>
      </c>
      <c r="T170" s="4" t="s">
        <v>43</v>
      </c>
      <c r="U170" s="4" t="s">
        <v>43</v>
      </c>
      <c r="V170" s="2"/>
      <c r="W170" s="48">
        <v>1</v>
      </c>
      <c r="AA170" s="48">
        <v>2</v>
      </c>
      <c r="AD170" s="91">
        <f t="shared" si="3"/>
        <v>2.1363636363636367</v>
      </c>
      <c r="AE170" s="48" t="e">
        <f>VLOOKUP(C170,#REF!,1,0)</f>
        <v>#REF!</v>
      </c>
    </row>
    <row r="171" spans="3:31" x14ac:dyDescent="0.25">
      <c r="C171" s="87" t="s">
        <v>497</v>
      </c>
      <c r="D171" s="4" t="s">
        <v>498</v>
      </c>
      <c r="E171" s="4" t="s">
        <v>499</v>
      </c>
      <c r="F171" s="92">
        <v>5</v>
      </c>
      <c r="G171" s="4" t="s">
        <v>376</v>
      </c>
      <c r="H171" s="4" t="s">
        <v>46</v>
      </c>
      <c r="I171" s="4" t="s">
        <v>377</v>
      </c>
      <c r="J171" s="4" t="s">
        <v>466</v>
      </c>
      <c r="K171" s="4" t="s">
        <v>43</v>
      </c>
      <c r="L171" s="4" t="s">
        <v>51</v>
      </c>
      <c r="M171" s="4" t="s">
        <v>40</v>
      </c>
      <c r="N171" s="4" t="s">
        <v>378</v>
      </c>
      <c r="O171" s="4" t="s">
        <v>497</v>
      </c>
      <c r="P171" s="4" t="s">
        <v>42</v>
      </c>
      <c r="Q171" s="50" t="s">
        <v>43</v>
      </c>
      <c r="R171" s="50"/>
      <c r="S171" s="50" t="s">
        <v>467</v>
      </c>
      <c r="T171" s="4" t="s">
        <v>43</v>
      </c>
      <c r="U171" s="4" t="s">
        <v>43</v>
      </c>
      <c r="W171" s="48">
        <v>1</v>
      </c>
      <c r="X171" s="48">
        <v>1</v>
      </c>
      <c r="Y171" s="48">
        <v>3</v>
      </c>
      <c r="AD171" s="91">
        <f t="shared" si="3"/>
        <v>5</v>
      </c>
      <c r="AE171" s="48" t="s">
        <v>1220</v>
      </c>
    </row>
    <row r="172" spans="3:31" x14ac:dyDescent="0.25">
      <c r="C172" s="87" t="s">
        <v>500</v>
      </c>
      <c r="D172" s="4" t="s">
        <v>501</v>
      </c>
      <c r="E172" s="4" t="s">
        <v>501</v>
      </c>
      <c r="F172" s="92">
        <v>5</v>
      </c>
      <c r="G172" s="4" t="s">
        <v>376</v>
      </c>
      <c r="H172" s="4" t="s">
        <v>46</v>
      </c>
      <c r="I172" s="4" t="s">
        <v>377</v>
      </c>
      <c r="J172" s="4" t="s">
        <v>466</v>
      </c>
      <c r="K172" s="4" t="s">
        <v>43</v>
      </c>
      <c r="L172" s="4" t="s">
        <v>51</v>
      </c>
      <c r="M172" s="4" t="s">
        <v>40</v>
      </c>
      <c r="N172" s="4" t="s">
        <v>378</v>
      </c>
      <c r="O172" s="4" t="s">
        <v>500</v>
      </c>
      <c r="P172" s="4" t="s">
        <v>42</v>
      </c>
      <c r="Q172" s="50" t="s">
        <v>43</v>
      </c>
      <c r="R172" s="50"/>
      <c r="S172" s="50" t="s">
        <v>467</v>
      </c>
      <c r="T172" s="4" t="s">
        <v>43</v>
      </c>
      <c r="U172" s="4" t="s">
        <v>43</v>
      </c>
      <c r="W172" s="48">
        <v>1</v>
      </c>
      <c r="X172" s="48">
        <v>1</v>
      </c>
      <c r="Y172" s="48">
        <v>3</v>
      </c>
      <c r="AD172" s="91">
        <f t="shared" si="3"/>
        <v>5</v>
      </c>
      <c r="AE172" s="48" t="s">
        <v>1220</v>
      </c>
    </row>
    <row r="173" spans="3:31" x14ac:dyDescent="0.25">
      <c r="C173" s="87" t="s">
        <v>505</v>
      </c>
      <c r="D173" s="4" t="s">
        <v>506</v>
      </c>
      <c r="E173" s="4" t="s">
        <v>506</v>
      </c>
      <c r="F173" s="92">
        <v>5</v>
      </c>
      <c r="G173" s="4" t="s">
        <v>376</v>
      </c>
      <c r="H173" s="4" t="s">
        <v>46</v>
      </c>
      <c r="I173" s="4" t="s">
        <v>377</v>
      </c>
      <c r="J173" s="4" t="s">
        <v>466</v>
      </c>
      <c r="K173" s="4" t="s">
        <v>43</v>
      </c>
      <c r="L173" s="4" t="s">
        <v>51</v>
      </c>
      <c r="M173" s="4" t="s">
        <v>40</v>
      </c>
      <c r="N173" s="4" t="s">
        <v>378</v>
      </c>
      <c r="O173" s="4" t="s">
        <v>505</v>
      </c>
      <c r="P173" s="4" t="s">
        <v>42</v>
      </c>
      <c r="Q173" s="50" t="s">
        <v>43</v>
      </c>
      <c r="R173" s="50"/>
      <c r="S173" s="50" t="s">
        <v>467</v>
      </c>
      <c r="T173" s="4" t="s">
        <v>43</v>
      </c>
      <c r="U173" s="4" t="s">
        <v>43</v>
      </c>
      <c r="W173" s="48">
        <v>1</v>
      </c>
      <c r="X173" s="48">
        <v>1</v>
      </c>
      <c r="Y173" s="48">
        <v>3</v>
      </c>
      <c r="AD173" s="91">
        <f t="shared" si="3"/>
        <v>5</v>
      </c>
      <c r="AE173" s="48" t="s">
        <v>1220</v>
      </c>
    </row>
    <row r="174" spans="3:31" x14ac:dyDescent="0.25">
      <c r="C174" s="87" t="s">
        <v>507</v>
      </c>
      <c r="D174" s="4" t="s">
        <v>508</v>
      </c>
      <c r="E174" s="4" t="s">
        <v>508</v>
      </c>
      <c r="F174" s="92">
        <v>5</v>
      </c>
      <c r="G174" s="4" t="s">
        <v>376</v>
      </c>
      <c r="H174" s="4" t="s">
        <v>46</v>
      </c>
      <c r="I174" s="4" t="s">
        <v>377</v>
      </c>
      <c r="J174" s="4" t="s">
        <v>466</v>
      </c>
      <c r="K174" s="4" t="s">
        <v>43</v>
      </c>
      <c r="L174" s="4" t="s">
        <v>51</v>
      </c>
      <c r="M174" s="4" t="s">
        <v>40</v>
      </c>
      <c r="N174" s="4" t="s">
        <v>378</v>
      </c>
      <c r="O174" s="4" t="s">
        <v>507</v>
      </c>
      <c r="P174" s="4" t="s">
        <v>42</v>
      </c>
      <c r="Q174" s="50" t="s">
        <v>43</v>
      </c>
      <c r="R174" s="50"/>
      <c r="S174" s="50" t="s">
        <v>467</v>
      </c>
      <c r="T174" s="4" t="s">
        <v>43</v>
      </c>
      <c r="U174" s="4" t="s">
        <v>43</v>
      </c>
      <c r="W174" s="48">
        <v>1</v>
      </c>
      <c r="X174" s="48">
        <v>1</v>
      </c>
      <c r="Y174" s="48">
        <v>3</v>
      </c>
      <c r="AD174" s="91">
        <f t="shared" si="3"/>
        <v>5</v>
      </c>
      <c r="AE174" s="48" t="s">
        <v>1220</v>
      </c>
    </row>
    <row r="175" spans="3:31" x14ac:dyDescent="0.25">
      <c r="C175" s="87" t="s">
        <v>509</v>
      </c>
      <c r="D175" s="4" t="s">
        <v>510</v>
      </c>
      <c r="E175" s="4" t="s">
        <v>510</v>
      </c>
      <c r="F175" s="92">
        <v>5</v>
      </c>
      <c r="G175" s="4" t="s">
        <v>376</v>
      </c>
      <c r="H175" s="4" t="s">
        <v>46</v>
      </c>
      <c r="I175" s="4" t="s">
        <v>377</v>
      </c>
      <c r="J175" s="4" t="s">
        <v>466</v>
      </c>
      <c r="K175" s="4" t="s">
        <v>43</v>
      </c>
      <c r="L175" s="4" t="s">
        <v>51</v>
      </c>
      <c r="M175" s="4" t="s">
        <v>40</v>
      </c>
      <c r="N175" s="4" t="s">
        <v>378</v>
      </c>
      <c r="O175" s="4" t="s">
        <v>509</v>
      </c>
      <c r="P175" s="4" t="s">
        <v>42</v>
      </c>
      <c r="Q175" s="50" t="s">
        <v>43</v>
      </c>
      <c r="R175" s="50"/>
      <c r="S175" s="50" t="s">
        <v>467</v>
      </c>
      <c r="T175" s="4" t="s">
        <v>43</v>
      </c>
      <c r="U175" s="4" t="s">
        <v>43</v>
      </c>
      <c r="W175" s="48">
        <v>1</v>
      </c>
      <c r="X175" s="48">
        <v>1</v>
      </c>
      <c r="Y175" s="48">
        <v>3</v>
      </c>
      <c r="AD175" s="91">
        <f t="shared" si="3"/>
        <v>5</v>
      </c>
      <c r="AE175" s="48" t="s">
        <v>1220</v>
      </c>
    </row>
    <row r="176" spans="3:31" x14ac:dyDescent="0.25">
      <c r="C176" s="87" t="s">
        <v>544</v>
      </c>
      <c r="D176" s="4" t="s">
        <v>545</v>
      </c>
      <c r="E176" s="4" t="s">
        <v>545</v>
      </c>
      <c r="F176" s="92">
        <v>5</v>
      </c>
      <c r="G176" s="4" t="s">
        <v>376</v>
      </c>
      <c r="H176" s="4" t="s">
        <v>46</v>
      </c>
      <c r="I176" s="4" t="s">
        <v>377</v>
      </c>
      <c r="J176" s="4" t="s">
        <v>100</v>
      </c>
      <c r="K176" s="4" t="s">
        <v>43</v>
      </c>
      <c r="L176" s="4" t="s">
        <v>138</v>
      </c>
      <c r="M176" s="4" t="s">
        <v>40</v>
      </c>
      <c r="N176" s="4" t="s">
        <v>514</v>
      </c>
      <c r="O176" s="4" t="s">
        <v>544</v>
      </c>
      <c r="P176" s="4" t="s">
        <v>42</v>
      </c>
      <c r="Q176" s="50" t="s">
        <v>43</v>
      </c>
      <c r="R176" s="50"/>
      <c r="S176" s="50" t="s">
        <v>515</v>
      </c>
      <c r="T176" s="4" t="s">
        <v>43</v>
      </c>
      <c r="U176" s="4" t="s">
        <v>43</v>
      </c>
      <c r="W176" s="48">
        <v>1</v>
      </c>
      <c r="X176" s="48">
        <v>1</v>
      </c>
      <c r="Y176" s="48">
        <v>3</v>
      </c>
      <c r="AD176" s="91">
        <f t="shared" si="3"/>
        <v>5</v>
      </c>
      <c r="AE176" s="48" t="s">
        <v>1220</v>
      </c>
    </row>
    <row r="177" spans="3:31" x14ac:dyDescent="0.25">
      <c r="C177" s="87" t="s">
        <v>494</v>
      </c>
      <c r="D177" s="4" t="s">
        <v>495</v>
      </c>
      <c r="E177" s="4" t="s">
        <v>496</v>
      </c>
      <c r="F177" s="92">
        <v>5.07</v>
      </c>
      <c r="G177" s="4" t="s">
        <v>376</v>
      </c>
      <c r="H177" s="4" t="s">
        <v>46</v>
      </c>
      <c r="I177" s="4" t="s">
        <v>377</v>
      </c>
      <c r="J177" s="4" t="s">
        <v>466</v>
      </c>
      <c r="K177" s="4" t="s">
        <v>43</v>
      </c>
      <c r="L177" s="4" t="s">
        <v>51</v>
      </c>
      <c r="M177" s="4" t="s">
        <v>40</v>
      </c>
      <c r="N177" s="4" t="s">
        <v>378</v>
      </c>
      <c r="O177" s="4" t="s">
        <v>494</v>
      </c>
      <c r="P177" s="4" t="s">
        <v>42</v>
      </c>
      <c r="Q177" s="50" t="s">
        <v>43</v>
      </c>
      <c r="R177" s="50"/>
      <c r="S177" s="50" t="s">
        <v>467</v>
      </c>
      <c r="T177" s="4" t="s">
        <v>43</v>
      </c>
      <c r="U177" s="4" t="s">
        <v>32</v>
      </c>
      <c r="W177" s="48">
        <v>1</v>
      </c>
      <c r="X177" s="48">
        <v>1</v>
      </c>
      <c r="AA177" s="48">
        <v>3</v>
      </c>
      <c r="AC177" s="48">
        <v>4</v>
      </c>
      <c r="AD177" s="91">
        <f t="shared" si="3"/>
        <v>5.0681818181818183</v>
      </c>
      <c r="AE177" s="48" t="e">
        <f>VLOOKUP(C177,#REF!,1,0)</f>
        <v>#REF!</v>
      </c>
    </row>
    <row r="178" spans="3:31" x14ac:dyDescent="0.25">
      <c r="C178" s="87" t="s">
        <v>546</v>
      </c>
      <c r="D178" s="4" t="s">
        <v>547</v>
      </c>
      <c r="E178" s="4" t="s">
        <v>547</v>
      </c>
      <c r="F178" s="92">
        <v>5</v>
      </c>
      <c r="G178" s="4" t="s">
        <v>376</v>
      </c>
      <c r="H178" s="4" t="s">
        <v>46</v>
      </c>
      <c r="I178" s="4" t="s">
        <v>377</v>
      </c>
      <c r="J178" s="4" t="s">
        <v>100</v>
      </c>
      <c r="K178" s="4" t="s">
        <v>43</v>
      </c>
      <c r="L178" s="4" t="s">
        <v>138</v>
      </c>
      <c r="M178" s="4" t="s">
        <v>40</v>
      </c>
      <c r="N178" s="4" t="s">
        <v>514</v>
      </c>
      <c r="O178" s="4" t="s">
        <v>546</v>
      </c>
      <c r="P178" s="4" t="s">
        <v>42</v>
      </c>
      <c r="Q178" s="50" t="s">
        <v>43</v>
      </c>
      <c r="R178" s="50"/>
      <c r="S178" s="50" t="s">
        <v>515</v>
      </c>
      <c r="T178" s="4" t="s">
        <v>43</v>
      </c>
      <c r="U178" s="4" t="s">
        <v>43</v>
      </c>
      <c r="W178" s="48">
        <v>1</v>
      </c>
      <c r="X178" s="48">
        <v>1</v>
      </c>
      <c r="Y178" s="48">
        <v>3</v>
      </c>
      <c r="AD178" s="91">
        <f t="shared" si="3"/>
        <v>5</v>
      </c>
      <c r="AE178" s="48" t="s">
        <v>1220</v>
      </c>
    </row>
    <row r="179" spans="3:31" x14ac:dyDescent="0.25">
      <c r="C179" s="87" t="s">
        <v>548</v>
      </c>
      <c r="D179" s="4" t="s">
        <v>549</v>
      </c>
      <c r="E179" s="4" t="s">
        <v>550</v>
      </c>
      <c r="F179" s="92">
        <v>5</v>
      </c>
      <c r="G179" s="4" t="s">
        <v>376</v>
      </c>
      <c r="H179" s="4" t="s">
        <v>81</v>
      </c>
      <c r="I179" s="4" t="s">
        <v>377</v>
      </c>
      <c r="J179" s="4" t="s">
        <v>100</v>
      </c>
      <c r="K179" s="4" t="s">
        <v>43</v>
      </c>
      <c r="L179" s="4" t="s">
        <v>138</v>
      </c>
      <c r="M179" s="4" t="s">
        <v>40</v>
      </c>
      <c r="N179" s="4" t="s">
        <v>514</v>
      </c>
      <c r="O179" s="4" t="s">
        <v>548</v>
      </c>
      <c r="P179" s="4" t="s">
        <v>42</v>
      </c>
      <c r="Q179" s="50" t="s">
        <v>43</v>
      </c>
      <c r="R179" s="50"/>
      <c r="S179" s="50" t="s">
        <v>515</v>
      </c>
      <c r="T179" s="4" t="s">
        <v>43</v>
      </c>
      <c r="U179" s="4" t="s">
        <v>43</v>
      </c>
      <c r="W179" s="48">
        <v>1</v>
      </c>
      <c r="X179" s="48">
        <v>1</v>
      </c>
      <c r="Y179" s="48">
        <v>3</v>
      </c>
      <c r="AD179" s="91">
        <f t="shared" si="3"/>
        <v>5</v>
      </c>
      <c r="AE179" s="48" t="s">
        <v>1220</v>
      </c>
    </row>
    <row r="180" spans="3:31" x14ac:dyDescent="0.25">
      <c r="C180" s="87" t="s">
        <v>553</v>
      </c>
      <c r="D180" s="4" t="s">
        <v>554</v>
      </c>
      <c r="E180" s="4" t="s">
        <v>554</v>
      </c>
      <c r="F180" s="92">
        <v>5</v>
      </c>
      <c r="G180" s="4" t="s">
        <v>376</v>
      </c>
      <c r="H180" s="4" t="s">
        <v>46</v>
      </c>
      <c r="I180" s="4" t="s">
        <v>377</v>
      </c>
      <c r="J180" s="4" t="s">
        <v>100</v>
      </c>
      <c r="K180" s="4" t="s">
        <v>43</v>
      </c>
      <c r="L180" s="4" t="s">
        <v>138</v>
      </c>
      <c r="M180" s="4" t="s">
        <v>40</v>
      </c>
      <c r="N180" s="4" t="s">
        <v>514</v>
      </c>
      <c r="O180" s="4" t="s">
        <v>553</v>
      </c>
      <c r="P180" s="4" t="s">
        <v>42</v>
      </c>
      <c r="Q180" s="50" t="s">
        <v>43</v>
      </c>
      <c r="R180" s="50"/>
      <c r="S180" s="50" t="s">
        <v>515</v>
      </c>
      <c r="T180" s="4" t="s">
        <v>43</v>
      </c>
      <c r="U180" s="4" t="s">
        <v>43</v>
      </c>
      <c r="W180" s="48">
        <v>1</v>
      </c>
      <c r="X180" s="48">
        <v>1</v>
      </c>
      <c r="Y180" s="48">
        <v>3</v>
      </c>
      <c r="AD180" s="91">
        <f t="shared" si="3"/>
        <v>5</v>
      </c>
      <c r="AE180" s="48" t="s">
        <v>1220</v>
      </c>
    </row>
    <row r="181" spans="3:31" x14ac:dyDescent="0.25">
      <c r="C181" s="87" t="s">
        <v>555</v>
      </c>
      <c r="D181" s="4" t="s">
        <v>556</v>
      </c>
      <c r="E181" s="4" t="s">
        <v>556</v>
      </c>
      <c r="F181" s="92">
        <v>5</v>
      </c>
      <c r="G181" s="4" t="s">
        <v>376</v>
      </c>
      <c r="H181" s="4" t="s">
        <v>46</v>
      </c>
      <c r="I181" s="4" t="s">
        <v>377</v>
      </c>
      <c r="J181" s="4" t="s">
        <v>331</v>
      </c>
      <c r="K181" s="4" t="s">
        <v>43</v>
      </c>
      <c r="L181" s="4" t="s">
        <v>138</v>
      </c>
      <c r="M181" s="4" t="s">
        <v>40</v>
      </c>
      <c r="N181" s="4" t="s">
        <v>422</v>
      </c>
      <c r="O181" s="4" t="s">
        <v>555</v>
      </c>
      <c r="P181" s="4" t="s">
        <v>42</v>
      </c>
      <c r="Q181" s="50" t="s">
        <v>43</v>
      </c>
      <c r="R181" s="50"/>
      <c r="S181" s="50" t="s">
        <v>557</v>
      </c>
      <c r="T181" s="4" t="s">
        <v>43</v>
      </c>
      <c r="U181" s="4" t="s">
        <v>43</v>
      </c>
      <c r="W181" s="48">
        <v>1</v>
      </c>
      <c r="X181" s="48">
        <v>1</v>
      </c>
      <c r="Y181" s="48">
        <v>3</v>
      </c>
      <c r="AD181" s="91">
        <f t="shared" si="3"/>
        <v>5</v>
      </c>
      <c r="AE181" s="48" t="s">
        <v>1220</v>
      </c>
    </row>
    <row r="182" spans="3:31" x14ac:dyDescent="0.25">
      <c r="C182" s="87" t="s">
        <v>567</v>
      </c>
      <c r="D182" s="4" t="s">
        <v>568</v>
      </c>
      <c r="E182" s="4" t="s">
        <v>568</v>
      </c>
      <c r="F182" s="92">
        <v>5</v>
      </c>
      <c r="G182" s="4" t="s">
        <v>376</v>
      </c>
      <c r="H182" s="4" t="s">
        <v>46</v>
      </c>
      <c r="I182" s="4" t="s">
        <v>377</v>
      </c>
      <c r="J182" s="4" t="s">
        <v>331</v>
      </c>
      <c r="K182" s="4" t="s">
        <v>43</v>
      </c>
      <c r="L182" s="4" t="s">
        <v>138</v>
      </c>
      <c r="M182" s="4" t="s">
        <v>40</v>
      </c>
      <c r="N182" s="4" t="s">
        <v>422</v>
      </c>
      <c r="O182" s="4" t="s">
        <v>567</v>
      </c>
      <c r="P182" s="4" t="s">
        <v>42</v>
      </c>
      <c r="Q182" s="50" t="s">
        <v>43</v>
      </c>
      <c r="R182" s="50"/>
      <c r="S182" s="50" t="s">
        <v>557</v>
      </c>
      <c r="T182" s="4" t="s">
        <v>43</v>
      </c>
      <c r="U182" s="4" t="s">
        <v>43</v>
      </c>
      <c r="W182" s="48">
        <v>1</v>
      </c>
      <c r="X182" s="48">
        <v>1</v>
      </c>
      <c r="Y182" s="48">
        <v>3</v>
      </c>
      <c r="AD182" s="91">
        <f t="shared" si="3"/>
        <v>5</v>
      </c>
      <c r="AE182" s="48" t="s">
        <v>1220</v>
      </c>
    </row>
    <row r="183" spans="3:31" x14ac:dyDescent="0.25">
      <c r="C183" s="87" t="s">
        <v>576</v>
      </c>
      <c r="D183" s="4" t="s">
        <v>577</v>
      </c>
      <c r="E183" s="4" t="s">
        <v>577</v>
      </c>
      <c r="F183" s="92">
        <v>5</v>
      </c>
      <c r="G183" s="4" t="s">
        <v>376</v>
      </c>
      <c r="H183" s="4" t="s">
        <v>46</v>
      </c>
      <c r="I183" s="4" t="s">
        <v>377</v>
      </c>
      <c r="J183" s="4" t="s">
        <v>331</v>
      </c>
      <c r="K183" s="4" t="s">
        <v>43</v>
      </c>
      <c r="L183" s="4" t="s">
        <v>138</v>
      </c>
      <c r="M183" s="4" t="s">
        <v>40</v>
      </c>
      <c r="N183" s="4" t="s">
        <v>422</v>
      </c>
      <c r="O183" s="4" t="s">
        <v>576</v>
      </c>
      <c r="P183" s="4" t="s">
        <v>42</v>
      </c>
      <c r="Q183" s="50" t="s">
        <v>43</v>
      </c>
      <c r="R183" s="50"/>
      <c r="S183" s="50" t="s">
        <v>557</v>
      </c>
      <c r="T183" s="4" t="s">
        <v>43</v>
      </c>
      <c r="U183" s="4" t="s">
        <v>43</v>
      </c>
      <c r="W183" s="48">
        <v>1</v>
      </c>
      <c r="X183" s="48">
        <v>1</v>
      </c>
      <c r="Y183" s="48">
        <v>3</v>
      </c>
      <c r="AD183" s="91">
        <f t="shared" si="3"/>
        <v>5</v>
      </c>
      <c r="AE183" s="48" t="s">
        <v>1220</v>
      </c>
    </row>
    <row r="184" spans="3:31" x14ac:dyDescent="0.25">
      <c r="C184" s="87" t="s">
        <v>511</v>
      </c>
      <c r="D184" s="4" t="s">
        <v>512</v>
      </c>
      <c r="E184" s="4" t="s">
        <v>513</v>
      </c>
      <c r="F184" s="92">
        <v>10.58</v>
      </c>
      <c r="G184" s="4" t="s">
        <v>376</v>
      </c>
      <c r="H184" s="4" t="s">
        <v>46</v>
      </c>
      <c r="I184" s="4" t="s">
        <v>377</v>
      </c>
      <c r="J184" s="4" t="s">
        <v>100</v>
      </c>
      <c r="K184" s="4" t="s">
        <v>43</v>
      </c>
      <c r="L184" s="4" t="s">
        <v>138</v>
      </c>
      <c r="M184" s="4" t="s">
        <v>40</v>
      </c>
      <c r="N184" s="4" t="s">
        <v>514</v>
      </c>
      <c r="O184" s="4" t="s">
        <v>511</v>
      </c>
      <c r="P184" s="4" t="s">
        <v>379</v>
      </c>
      <c r="Q184" s="50" t="s">
        <v>43</v>
      </c>
      <c r="R184" s="50"/>
      <c r="S184" s="50" t="s">
        <v>515</v>
      </c>
      <c r="T184" s="4" t="s">
        <v>43</v>
      </c>
      <c r="U184" s="4" t="s">
        <v>43</v>
      </c>
      <c r="W184" s="48">
        <v>1</v>
      </c>
      <c r="X184" s="48">
        <v>2</v>
      </c>
      <c r="Y184" s="48">
        <v>7</v>
      </c>
      <c r="AA184" s="48">
        <v>1</v>
      </c>
      <c r="AD184" s="91">
        <f t="shared" si="3"/>
        <v>10.568181818181818</v>
      </c>
      <c r="AE184" s="48" t="e">
        <f>VLOOKUP(C184,#REF!,1,0)</f>
        <v>#REF!</v>
      </c>
    </row>
    <row r="185" spans="3:31" x14ac:dyDescent="0.25">
      <c r="C185" s="87" t="s">
        <v>791</v>
      </c>
      <c r="D185" s="4" t="s">
        <v>792</v>
      </c>
      <c r="E185" s="4" t="s">
        <v>793</v>
      </c>
      <c r="F185" s="92">
        <v>3.36</v>
      </c>
      <c r="G185" s="4" t="s">
        <v>376</v>
      </c>
      <c r="H185" s="4" t="s">
        <v>46</v>
      </c>
      <c r="I185" s="4" t="s">
        <v>421</v>
      </c>
      <c r="J185" s="4" t="s">
        <v>73</v>
      </c>
      <c r="K185" s="4" t="s">
        <v>43</v>
      </c>
      <c r="L185" s="4" t="s">
        <v>109</v>
      </c>
      <c r="M185" s="4" t="s">
        <v>91</v>
      </c>
      <c r="N185" s="4" t="s">
        <v>378</v>
      </c>
      <c r="O185" s="4" t="s">
        <v>791</v>
      </c>
      <c r="P185" s="4" t="s">
        <v>42</v>
      </c>
      <c r="Q185" s="50" t="s">
        <v>43</v>
      </c>
      <c r="R185" s="50"/>
      <c r="S185" s="50" t="s">
        <v>772</v>
      </c>
      <c r="T185" s="4" t="s">
        <v>43</v>
      </c>
      <c r="U185" s="4" t="s">
        <v>43</v>
      </c>
      <c r="W185" s="48">
        <v>1</v>
      </c>
      <c r="X185" s="48">
        <v>1</v>
      </c>
      <c r="Z185" s="48">
        <v>1</v>
      </c>
      <c r="AC185" s="48">
        <v>2</v>
      </c>
      <c r="AD185" s="91">
        <f t="shared" si="3"/>
        <v>3.3636363636363633</v>
      </c>
      <c r="AE185" s="48" t="e">
        <f>VLOOKUP(C185,#REF!,1,0)</f>
        <v>#REF!</v>
      </c>
    </row>
    <row r="186" spans="3:31" x14ac:dyDescent="0.25">
      <c r="C186" s="87" t="s">
        <v>879</v>
      </c>
      <c r="D186" s="4" t="s">
        <v>880</v>
      </c>
      <c r="E186" s="4" t="s">
        <v>880</v>
      </c>
      <c r="F186" s="92">
        <v>3.92</v>
      </c>
      <c r="G186" s="4" t="s">
        <v>376</v>
      </c>
      <c r="H186" s="4" t="s">
        <v>46</v>
      </c>
      <c r="I186" s="4" t="s">
        <v>377</v>
      </c>
      <c r="J186" s="4" t="s">
        <v>132</v>
      </c>
      <c r="K186" s="4" t="s">
        <v>43</v>
      </c>
      <c r="L186" s="4" t="s">
        <v>138</v>
      </c>
      <c r="M186" s="4" t="s">
        <v>40</v>
      </c>
      <c r="N186" s="4" t="s">
        <v>514</v>
      </c>
      <c r="O186" s="4" t="s">
        <v>879</v>
      </c>
      <c r="P186" s="4" t="s">
        <v>42</v>
      </c>
      <c r="Q186" s="50" t="s">
        <v>43</v>
      </c>
      <c r="R186" s="50"/>
      <c r="S186" s="50" t="s">
        <v>847</v>
      </c>
      <c r="T186" s="4" t="s">
        <v>43</v>
      </c>
      <c r="U186" s="4" t="s">
        <v>43</v>
      </c>
      <c r="W186" s="48">
        <v>1</v>
      </c>
      <c r="X186" s="48">
        <v>1</v>
      </c>
      <c r="Z186" s="48">
        <v>3</v>
      </c>
      <c r="AD186" s="91">
        <f t="shared" si="3"/>
        <v>4.045454545454545</v>
      </c>
      <c r="AE186" s="48" t="e">
        <f>VLOOKUP(C186,#REF!,1,0)</f>
        <v>#REF!</v>
      </c>
    </row>
    <row r="187" spans="3:31" x14ac:dyDescent="0.25">
      <c r="C187" s="87" t="s">
        <v>521</v>
      </c>
      <c r="D187" s="4" t="s">
        <v>522</v>
      </c>
      <c r="E187" s="4" t="s">
        <v>522</v>
      </c>
      <c r="F187" s="92">
        <v>6</v>
      </c>
      <c r="G187" s="4" t="s">
        <v>376</v>
      </c>
      <c r="H187" s="4" t="s">
        <v>46</v>
      </c>
      <c r="I187" s="4" t="s">
        <v>377</v>
      </c>
      <c r="J187" s="4" t="s">
        <v>100</v>
      </c>
      <c r="K187" s="4" t="s">
        <v>43</v>
      </c>
      <c r="L187" s="4" t="s">
        <v>138</v>
      </c>
      <c r="M187" s="4" t="s">
        <v>40</v>
      </c>
      <c r="N187" s="4" t="s">
        <v>514</v>
      </c>
      <c r="O187" s="4" t="s">
        <v>521</v>
      </c>
      <c r="P187" s="4" t="s">
        <v>42</v>
      </c>
      <c r="Q187" s="50" t="s">
        <v>43</v>
      </c>
      <c r="R187" s="50"/>
      <c r="S187" s="50" t="s">
        <v>515</v>
      </c>
      <c r="T187" s="4" t="s">
        <v>43</v>
      </c>
      <c r="U187" s="4" t="s">
        <v>43</v>
      </c>
      <c r="W187" s="48">
        <v>1</v>
      </c>
      <c r="X187" s="48">
        <v>1</v>
      </c>
      <c r="Y187" s="48">
        <v>4</v>
      </c>
      <c r="AD187" s="91">
        <f t="shared" si="3"/>
        <v>6</v>
      </c>
      <c r="AE187" s="48" t="e">
        <f>VLOOKUP(C187,#REF!,1,0)</f>
        <v>#REF!</v>
      </c>
    </row>
    <row r="188" spans="3:31" x14ac:dyDescent="0.25">
      <c r="C188" s="87" t="s">
        <v>523</v>
      </c>
      <c r="D188" s="4" t="s">
        <v>524</v>
      </c>
      <c r="E188" s="4" t="s">
        <v>524</v>
      </c>
      <c r="F188" s="92">
        <v>6</v>
      </c>
      <c r="G188" s="4" t="s">
        <v>376</v>
      </c>
      <c r="H188" s="4" t="s">
        <v>46</v>
      </c>
      <c r="I188" s="4" t="s">
        <v>377</v>
      </c>
      <c r="J188" s="4" t="s">
        <v>100</v>
      </c>
      <c r="K188" s="4" t="s">
        <v>43</v>
      </c>
      <c r="L188" s="4" t="s">
        <v>138</v>
      </c>
      <c r="M188" s="4" t="s">
        <v>40</v>
      </c>
      <c r="N188" s="4" t="s">
        <v>514</v>
      </c>
      <c r="O188" s="4" t="s">
        <v>523</v>
      </c>
      <c r="P188" s="4" t="s">
        <v>42</v>
      </c>
      <c r="Q188" s="50" t="s">
        <v>43</v>
      </c>
      <c r="R188" s="50"/>
      <c r="S188" s="50" t="s">
        <v>515</v>
      </c>
      <c r="T188" s="4" t="s">
        <v>43</v>
      </c>
      <c r="U188" s="4" t="s">
        <v>43</v>
      </c>
      <c r="W188" s="48">
        <v>1</v>
      </c>
      <c r="X188" s="48">
        <v>1</v>
      </c>
      <c r="Y188" s="48">
        <v>4</v>
      </c>
      <c r="AD188" s="91">
        <f t="shared" si="3"/>
        <v>6</v>
      </c>
      <c r="AE188" s="48" t="e">
        <f>VLOOKUP(C188,#REF!,1,0)</f>
        <v>#REF!</v>
      </c>
    </row>
    <row r="189" spans="3:31" x14ac:dyDescent="0.25">
      <c r="C189" s="87" t="s">
        <v>872</v>
      </c>
      <c r="D189" s="4" t="s">
        <v>873</v>
      </c>
      <c r="E189" s="4" t="s">
        <v>874</v>
      </c>
      <c r="F189" s="92">
        <v>3.93</v>
      </c>
      <c r="G189" s="4" t="s">
        <v>376</v>
      </c>
      <c r="H189" s="4" t="s">
        <v>81</v>
      </c>
      <c r="I189" s="4" t="s">
        <v>377</v>
      </c>
      <c r="J189" s="4" t="s">
        <v>132</v>
      </c>
      <c r="K189" s="4" t="s">
        <v>43</v>
      </c>
      <c r="L189" s="4" t="s">
        <v>138</v>
      </c>
      <c r="M189" s="4" t="s">
        <v>40</v>
      </c>
      <c r="N189" s="4" t="s">
        <v>514</v>
      </c>
      <c r="O189" s="4" t="s">
        <v>872</v>
      </c>
      <c r="P189" s="4" t="s">
        <v>42</v>
      </c>
      <c r="Q189" s="50" t="s">
        <v>43</v>
      </c>
      <c r="R189" s="50"/>
      <c r="S189" s="50" t="s">
        <v>847</v>
      </c>
      <c r="T189" s="4" t="s">
        <v>43</v>
      </c>
      <c r="U189" s="4" t="s">
        <v>32</v>
      </c>
      <c r="W189" s="48">
        <v>1</v>
      </c>
      <c r="X189" s="48">
        <v>1</v>
      </c>
      <c r="Z189" s="48">
        <v>3</v>
      </c>
      <c r="AD189" s="91">
        <f t="shared" si="3"/>
        <v>4.045454545454545</v>
      </c>
      <c r="AE189" s="48" t="e">
        <f>VLOOKUP(C189,#REF!,1,0)</f>
        <v>#REF!</v>
      </c>
    </row>
    <row r="190" spans="3:31" x14ac:dyDescent="0.25">
      <c r="C190" s="87" t="s">
        <v>875</v>
      </c>
      <c r="D190" s="4" t="s">
        <v>876</v>
      </c>
      <c r="E190" s="4" t="s">
        <v>876</v>
      </c>
      <c r="F190" s="92">
        <v>3.93</v>
      </c>
      <c r="G190" s="4" t="s">
        <v>376</v>
      </c>
      <c r="H190" s="4" t="s">
        <v>81</v>
      </c>
      <c r="I190" s="4" t="s">
        <v>377</v>
      </c>
      <c r="J190" s="4" t="s">
        <v>132</v>
      </c>
      <c r="K190" s="4" t="s">
        <v>43</v>
      </c>
      <c r="L190" s="4" t="s">
        <v>856</v>
      </c>
      <c r="M190" s="4" t="s">
        <v>40</v>
      </c>
      <c r="N190" s="4" t="s">
        <v>514</v>
      </c>
      <c r="O190" s="4" t="s">
        <v>875</v>
      </c>
      <c r="P190" s="4" t="s">
        <v>42</v>
      </c>
      <c r="Q190" s="50" t="s">
        <v>43</v>
      </c>
      <c r="R190" s="50"/>
      <c r="S190" s="50" t="s">
        <v>847</v>
      </c>
      <c r="T190" s="4" t="s">
        <v>43</v>
      </c>
      <c r="U190" s="4" t="s">
        <v>43</v>
      </c>
      <c r="W190" s="48">
        <v>1</v>
      </c>
      <c r="X190" s="48">
        <v>1</v>
      </c>
      <c r="Z190" s="48">
        <v>3</v>
      </c>
      <c r="AD190" s="91">
        <f t="shared" si="3"/>
        <v>4.045454545454545</v>
      </c>
      <c r="AE190" s="48" t="e">
        <f>VLOOKUP(C190,#REF!,1,0)</f>
        <v>#REF!</v>
      </c>
    </row>
    <row r="191" spans="3:31" x14ac:dyDescent="0.25">
      <c r="C191" s="87" t="s">
        <v>531</v>
      </c>
      <c r="D191" s="4" t="s">
        <v>532</v>
      </c>
      <c r="E191" s="4" t="s">
        <v>533</v>
      </c>
      <c r="F191" s="92">
        <v>5.45</v>
      </c>
      <c r="G191" s="4" t="s">
        <v>376</v>
      </c>
      <c r="H191" s="4" t="s">
        <v>46</v>
      </c>
      <c r="I191" s="4" t="s">
        <v>377</v>
      </c>
      <c r="J191" s="4" t="s">
        <v>100</v>
      </c>
      <c r="K191" s="4" t="s">
        <v>43</v>
      </c>
      <c r="L191" s="4" t="s">
        <v>138</v>
      </c>
      <c r="M191" s="4" t="s">
        <v>40</v>
      </c>
      <c r="N191" s="4" t="s">
        <v>514</v>
      </c>
      <c r="O191" s="4" t="s">
        <v>531</v>
      </c>
      <c r="P191" s="4" t="s">
        <v>42</v>
      </c>
      <c r="Q191" s="50" t="s">
        <v>43</v>
      </c>
      <c r="R191" s="50"/>
      <c r="S191" s="50" t="s">
        <v>515</v>
      </c>
      <c r="T191" s="4" t="s">
        <v>43</v>
      </c>
      <c r="U191" s="4" t="s">
        <v>32</v>
      </c>
      <c r="W191" s="48">
        <v>1</v>
      </c>
      <c r="X191" s="48">
        <v>2</v>
      </c>
      <c r="Y191" s="48">
        <v>2</v>
      </c>
      <c r="AB191" s="48">
        <v>1</v>
      </c>
      <c r="AD191" s="91">
        <f t="shared" si="3"/>
        <v>5.4545454545454541</v>
      </c>
      <c r="AE191" s="48" t="e">
        <f>VLOOKUP(C191,#REF!,1,0)</f>
        <v>#REF!</v>
      </c>
    </row>
    <row r="192" spans="3:31" x14ac:dyDescent="0.25">
      <c r="C192" s="87" t="s">
        <v>534</v>
      </c>
      <c r="D192" s="4" t="s">
        <v>535</v>
      </c>
      <c r="E192" s="4" t="s">
        <v>536</v>
      </c>
      <c r="F192" s="92">
        <v>5.45</v>
      </c>
      <c r="G192" s="4" t="s">
        <v>376</v>
      </c>
      <c r="H192" s="4" t="s">
        <v>46</v>
      </c>
      <c r="I192" s="4" t="s">
        <v>377</v>
      </c>
      <c r="J192" s="4" t="s">
        <v>100</v>
      </c>
      <c r="K192" s="4" t="s">
        <v>43</v>
      </c>
      <c r="L192" s="4" t="s">
        <v>138</v>
      </c>
      <c r="M192" s="4" t="s">
        <v>40</v>
      </c>
      <c r="N192" s="4" t="s">
        <v>514</v>
      </c>
      <c r="O192" s="4" t="s">
        <v>534</v>
      </c>
      <c r="P192" s="4" t="s">
        <v>42</v>
      </c>
      <c r="Q192" s="50" t="s">
        <v>43</v>
      </c>
      <c r="R192" s="50"/>
      <c r="S192" s="50" t="s">
        <v>515</v>
      </c>
      <c r="T192" s="4" t="s">
        <v>43</v>
      </c>
      <c r="U192" s="4" t="s">
        <v>43</v>
      </c>
      <c r="W192" s="48">
        <v>1</v>
      </c>
      <c r="X192" s="48">
        <v>2</v>
      </c>
      <c r="Y192" s="48">
        <v>2</v>
      </c>
      <c r="AB192" s="48">
        <v>1</v>
      </c>
      <c r="AD192" s="91">
        <f t="shared" si="3"/>
        <v>5.4545454545454541</v>
      </c>
      <c r="AE192" s="48" t="e">
        <f>VLOOKUP(C192,#REF!,1,0)</f>
        <v>#REF!</v>
      </c>
    </row>
    <row r="193" spans="3:31" x14ac:dyDescent="0.25">
      <c r="C193" s="87" t="s">
        <v>537</v>
      </c>
      <c r="D193" s="4" t="s">
        <v>538</v>
      </c>
      <c r="E193" s="4" t="s">
        <v>538</v>
      </c>
      <c r="F193" s="92">
        <v>6.13</v>
      </c>
      <c r="G193" s="4" t="s">
        <v>376</v>
      </c>
      <c r="H193" s="4" t="s">
        <v>46</v>
      </c>
      <c r="I193" s="4" t="s">
        <v>377</v>
      </c>
      <c r="J193" s="4" t="s">
        <v>100</v>
      </c>
      <c r="K193" s="4" t="s">
        <v>43</v>
      </c>
      <c r="L193" s="4" t="s">
        <v>64</v>
      </c>
      <c r="M193" s="4" t="s">
        <v>40</v>
      </c>
      <c r="N193" s="4" t="s">
        <v>514</v>
      </c>
      <c r="O193" s="4" t="s">
        <v>537</v>
      </c>
      <c r="P193" s="4" t="s">
        <v>379</v>
      </c>
      <c r="Q193" s="50" t="s">
        <v>43</v>
      </c>
      <c r="R193" s="50"/>
      <c r="S193" s="50" t="s">
        <v>515</v>
      </c>
      <c r="T193" s="4" t="s">
        <v>43</v>
      </c>
      <c r="U193" s="4" t="s">
        <v>43</v>
      </c>
      <c r="W193" s="48">
        <v>1</v>
      </c>
      <c r="X193" s="48">
        <v>1</v>
      </c>
      <c r="Y193" s="48">
        <v>3</v>
      </c>
      <c r="Z193" s="48">
        <v>1</v>
      </c>
      <c r="AB193" s="48">
        <v>1</v>
      </c>
      <c r="AD193" s="91">
        <f t="shared" si="3"/>
        <v>6.1363636363636358</v>
      </c>
      <c r="AE193" s="48" t="e">
        <f>VLOOKUP(C193,#REF!,1,0)</f>
        <v>#REF!</v>
      </c>
    </row>
    <row r="194" spans="3:31" x14ac:dyDescent="0.25">
      <c r="C194" s="87" t="s">
        <v>539</v>
      </c>
      <c r="D194" s="4" t="s">
        <v>540</v>
      </c>
      <c r="E194" s="4" t="s">
        <v>541</v>
      </c>
      <c r="F194" s="92">
        <v>6.13</v>
      </c>
      <c r="G194" s="4" t="s">
        <v>376</v>
      </c>
      <c r="H194" s="4" t="s">
        <v>46</v>
      </c>
      <c r="I194" s="4" t="s">
        <v>377</v>
      </c>
      <c r="J194" s="4" t="s">
        <v>100</v>
      </c>
      <c r="K194" s="4" t="s">
        <v>43</v>
      </c>
      <c r="L194" s="4" t="s">
        <v>51</v>
      </c>
      <c r="M194" s="4" t="s">
        <v>40</v>
      </c>
      <c r="N194" s="4" t="s">
        <v>514</v>
      </c>
      <c r="O194" s="4" t="s">
        <v>539</v>
      </c>
      <c r="P194" s="4" t="s">
        <v>42</v>
      </c>
      <c r="Q194" s="50" t="s">
        <v>43</v>
      </c>
      <c r="R194" s="50"/>
      <c r="S194" s="50" t="s">
        <v>515</v>
      </c>
      <c r="T194" s="4" t="s">
        <v>43</v>
      </c>
      <c r="U194" s="4" t="s">
        <v>43</v>
      </c>
      <c r="W194" s="48">
        <v>1</v>
      </c>
      <c r="X194" s="48">
        <v>2</v>
      </c>
      <c r="Y194" s="48">
        <v>2</v>
      </c>
      <c r="Z194" s="48">
        <v>1</v>
      </c>
      <c r="AB194" s="48">
        <v>1</v>
      </c>
      <c r="AD194" s="91">
        <f t="shared" si="3"/>
        <v>6.1363636363636358</v>
      </c>
      <c r="AE194" s="48" t="e">
        <f>VLOOKUP(C194,#REF!,1,0)</f>
        <v>#REF!</v>
      </c>
    </row>
    <row r="195" spans="3:31" x14ac:dyDescent="0.25">
      <c r="C195" s="87" t="s">
        <v>542</v>
      </c>
      <c r="D195" s="4" t="s">
        <v>543</v>
      </c>
      <c r="E195" s="4" t="s">
        <v>543</v>
      </c>
      <c r="F195" s="92">
        <v>6</v>
      </c>
      <c r="G195" s="4" t="s">
        <v>376</v>
      </c>
      <c r="H195" s="4" t="s">
        <v>46</v>
      </c>
      <c r="I195" s="4" t="s">
        <v>377</v>
      </c>
      <c r="J195" s="4" t="s">
        <v>100</v>
      </c>
      <c r="K195" s="4" t="s">
        <v>43</v>
      </c>
      <c r="L195" s="4" t="s">
        <v>138</v>
      </c>
      <c r="M195" s="4" t="s">
        <v>40</v>
      </c>
      <c r="N195" s="4" t="s">
        <v>514</v>
      </c>
      <c r="O195" s="4" t="s">
        <v>542</v>
      </c>
      <c r="P195" s="4" t="s">
        <v>42</v>
      </c>
      <c r="Q195" s="50" t="s">
        <v>43</v>
      </c>
      <c r="R195" s="50"/>
      <c r="S195" s="50" t="s">
        <v>515</v>
      </c>
      <c r="T195" s="4" t="s">
        <v>43</v>
      </c>
      <c r="U195" s="4" t="s">
        <v>43</v>
      </c>
      <c r="W195" s="48">
        <v>1</v>
      </c>
      <c r="X195" s="48">
        <v>1</v>
      </c>
      <c r="Y195" s="48">
        <v>4</v>
      </c>
      <c r="AD195" s="91">
        <f t="shared" si="3"/>
        <v>6</v>
      </c>
      <c r="AE195" s="48" t="e">
        <f>VLOOKUP(C195,#REF!,1,0)</f>
        <v>#REF!</v>
      </c>
    </row>
    <row r="196" spans="3:31" x14ac:dyDescent="0.25">
      <c r="C196" s="87" t="s">
        <v>578</v>
      </c>
      <c r="D196" s="4" t="s">
        <v>579</v>
      </c>
      <c r="E196" s="4" t="s">
        <v>579</v>
      </c>
      <c r="F196" s="92">
        <v>5</v>
      </c>
      <c r="G196" s="4" t="s">
        <v>376</v>
      </c>
      <c r="H196" s="4" t="s">
        <v>46</v>
      </c>
      <c r="I196" s="4" t="s">
        <v>377</v>
      </c>
      <c r="J196" s="4" t="s">
        <v>331</v>
      </c>
      <c r="K196" s="4" t="s">
        <v>43</v>
      </c>
      <c r="L196" s="4" t="s">
        <v>138</v>
      </c>
      <c r="M196" s="4" t="s">
        <v>40</v>
      </c>
      <c r="N196" s="4" t="s">
        <v>422</v>
      </c>
      <c r="O196" s="4" t="s">
        <v>578</v>
      </c>
      <c r="P196" s="4" t="s">
        <v>42</v>
      </c>
      <c r="Q196" s="50" t="s">
        <v>43</v>
      </c>
      <c r="R196" s="50"/>
      <c r="S196" s="50" t="s">
        <v>557</v>
      </c>
      <c r="T196" s="4" t="s">
        <v>43</v>
      </c>
      <c r="U196" s="4" t="s">
        <v>43</v>
      </c>
      <c r="W196" s="48">
        <v>1</v>
      </c>
      <c r="X196" s="48">
        <v>1</v>
      </c>
      <c r="Y196" s="48">
        <v>3</v>
      </c>
      <c r="AD196" s="91">
        <f t="shared" si="3"/>
        <v>5</v>
      </c>
      <c r="AE196" s="48" t="s">
        <v>1220</v>
      </c>
    </row>
    <row r="197" spans="3:31" x14ac:dyDescent="0.25">
      <c r="C197" s="87" t="s">
        <v>580</v>
      </c>
      <c r="D197" s="4" t="s">
        <v>581</v>
      </c>
      <c r="E197" s="4" t="s">
        <v>581</v>
      </c>
      <c r="F197" s="92">
        <v>5</v>
      </c>
      <c r="G197" s="4" t="s">
        <v>376</v>
      </c>
      <c r="H197" s="4" t="s">
        <v>46</v>
      </c>
      <c r="I197" s="4" t="s">
        <v>377</v>
      </c>
      <c r="J197" s="4" t="s">
        <v>331</v>
      </c>
      <c r="K197" s="4" t="s">
        <v>43</v>
      </c>
      <c r="L197" s="4" t="s">
        <v>138</v>
      </c>
      <c r="M197" s="4" t="s">
        <v>40</v>
      </c>
      <c r="N197" s="4" t="s">
        <v>422</v>
      </c>
      <c r="O197" s="4" t="s">
        <v>580</v>
      </c>
      <c r="P197" s="4" t="s">
        <v>42</v>
      </c>
      <c r="Q197" s="50" t="s">
        <v>43</v>
      </c>
      <c r="R197" s="50"/>
      <c r="S197" s="50" t="s">
        <v>557</v>
      </c>
      <c r="T197" s="4" t="s">
        <v>43</v>
      </c>
      <c r="U197" s="4" t="s">
        <v>43</v>
      </c>
      <c r="W197" s="48">
        <v>1</v>
      </c>
      <c r="X197" s="48">
        <v>1</v>
      </c>
      <c r="Y197" s="48">
        <v>3</v>
      </c>
      <c r="AD197" s="91">
        <f t="shared" si="3"/>
        <v>5</v>
      </c>
      <c r="AE197" s="48" t="s">
        <v>1220</v>
      </c>
    </row>
    <row r="198" spans="3:31" x14ac:dyDescent="0.25">
      <c r="C198" s="87" t="s">
        <v>582</v>
      </c>
      <c r="D198" s="4" t="s">
        <v>583</v>
      </c>
      <c r="E198" s="4" t="s">
        <v>583</v>
      </c>
      <c r="F198" s="92">
        <v>5</v>
      </c>
      <c r="G198" s="4" t="s">
        <v>376</v>
      </c>
      <c r="H198" s="4" t="s">
        <v>46</v>
      </c>
      <c r="I198" s="4" t="s">
        <v>377</v>
      </c>
      <c r="J198" s="4" t="s">
        <v>331</v>
      </c>
      <c r="K198" s="4" t="s">
        <v>43</v>
      </c>
      <c r="L198" s="4" t="s">
        <v>138</v>
      </c>
      <c r="M198" s="4" t="s">
        <v>40</v>
      </c>
      <c r="N198" s="4" t="s">
        <v>422</v>
      </c>
      <c r="O198" s="4" t="s">
        <v>582</v>
      </c>
      <c r="P198" s="4" t="s">
        <v>42</v>
      </c>
      <c r="Q198" s="50" t="s">
        <v>43</v>
      </c>
      <c r="R198" s="50"/>
      <c r="S198" s="50" t="s">
        <v>557</v>
      </c>
      <c r="T198" s="4" t="s">
        <v>43</v>
      </c>
      <c r="U198" s="4" t="s">
        <v>43</v>
      </c>
      <c r="W198" s="48">
        <v>1</v>
      </c>
      <c r="X198" s="48">
        <v>1</v>
      </c>
      <c r="Y198" s="48">
        <v>3</v>
      </c>
      <c r="AD198" s="91">
        <f t="shared" si="3"/>
        <v>5</v>
      </c>
      <c r="AE198" s="48" t="s">
        <v>1220</v>
      </c>
    </row>
    <row r="199" spans="3:31" x14ac:dyDescent="0.25">
      <c r="C199" s="87" t="s">
        <v>584</v>
      </c>
      <c r="D199" s="4" t="s">
        <v>585</v>
      </c>
      <c r="E199" s="4" t="s">
        <v>585</v>
      </c>
      <c r="F199" s="92">
        <v>5</v>
      </c>
      <c r="G199" s="4" t="s">
        <v>376</v>
      </c>
      <c r="H199" s="4" t="s">
        <v>46</v>
      </c>
      <c r="I199" s="4" t="s">
        <v>377</v>
      </c>
      <c r="J199" s="4" t="s">
        <v>331</v>
      </c>
      <c r="K199" s="4" t="s">
        <v>43</v>
      </c>
      <c r="L199" s="4" t="s">
        <v>138</v>
      </c>
      <c r="M199" s="4" t="s">
        <v>40</v>
      </c>
      <c r="N199" s="4" t="s">
        <v>422</v>
      </c>
      <c r="O199" s="4" t="s">
        <v>584</v>
      </c>
      <c r="P199" s="4" t="s">
        <v>42</v>
      </c>
      <c r="Q199" s="50" t="s">
        <v>43</v>
      </c>
      <c r="R199" s="50"/>
      <c r="S199" s="50" t="s">
        <v>557</v>
      </c>
      <c r="T199" s="4" t="s">
        <v>43</v>
      </c>
      <c r="U199" s="4" t="s">
        <v>43</v>
      </c>
      <c r="W199" s="48">
        <v>1</v>
      </c>
      <c r="X199" s="48">
        <v>1</v>
      </c>
      <c r="Y199" s="48">
        <v>3</v>
      </c>
      <c r="AD199" s="91">
        <f t="shared" si="3"/>
        <v>5</v>
      </c>
      <c r="AE199" s="48" t="s">
        <v>1220</v>
      </c>
    </row>
    <row r="200" spans="3:31" x14ac:dyDescent="0.25">
      <c r="C200" s="87" t="s">
        <v>586</v>
      </c>
      <c r="D200" s="4" t="s">
        <v>587</v>
      </c>
      <c r="E200" s="4" t="s">
        <v>587</v>
      </c>
      <c r="F200" s="92">
        <v>5</v>
      </c>
      <c r="G200" s="4" t="s">
        <v>376</v>
      </c>
      <c r="H200" s="4" t="s">
        <v>46</v>
      </c>
      <c r="I200" s="4" t="s">
        <v>377</v>
      </c>
      <c r="J200" s="4" t="s">
        <v>331</v>
      </c>
      <c r="K200" s="4" t="s">
        <v>43</v>
      </c>
      <c r="L200" s="4" t="s">
        <v>138</v>
      </c>
      <c r="M200" s="4" t="s">
        <v>40</v>
      </c>
      <c r="N200" s="4" t="s">
        <v>422</v>
      </c>
      <c r="O200" s="4" t="s">
        <v>586</v>
      </c>
      <c r="P200" s="4" t="s">
        <v>42</v>
      </c>
      <c r="Q200" s="50" t="s">
        <v>43</v>
      </c>
      <c r="R200" s="50"/>
      <c r="S200" s="50" t="s">
        <v>557</v>
      </c>
      <c r="T200" s="4" t="s">
        <v>43</v>
      </c>
      <c r="U200" s="4" t="s">
        <v>43</v>
      </c>
      <c r="W200" s="48">
        <v>1</v>
      </c>
      <c r="X200" s="48">
        <v>1</v>
      </c>
      <c r="Y200" s="48">
        <v>3</v>
      </c>
      <c r="AD200" s="91">
        <f t="shared" ref="AD200:AD263" si="4">SUMPRODUCT($W$6:$AC$6,W200:AC200)</f>
        <v>5</v>
      </c>
      <c r="AE200" s="48" t="s">
        <v>1220</v>
      </c>
    </row>
    <row r="201" spans="3:31" x14ac:dyDescent="0.25">
      <c r="C201" s="87" t="s">
        <v>588</v>
      </c>
      <c r="D201" s="4" t="s">
        <v>589</v>
      </c>
      <c r="E201" s="4" t="s">
        <v>589</v>
      </c>
      <c r="F201" s="92">
        <v>5</v>
      </c>
      <c r="G201" s="4" t="s">
        <v>376</v>
      </c>
      <c r="H201" s="4" t="s">
        <v>46</v>
      </c>
      <c r="I201" s="4" t="s">
        <v>377</v>
      </c>
      <c r="J201" s="4" t="s">
        <v>331</v>
      </c>
      <c r="K201" s="4" t="s">
        <v>43</v>
      </c>
      <c r="L201" s="4" t="s">
        <v>138</v>
      </c>
      <c r="M201" s="4" t="s">
        <v>40</v>
      </c>
      <c r="N201" s="4" t="s">
        <v>422</v>
      </c>
      <c r="O201" s="4" t="s">
        <v>588</v>
      </c>
      <c r="P201" s="4" t="s">
        <v>42</v>
      </c>
      <c r="Q201" s="50" t="s">
        <v>43</v>
      </c>
      <c r="R201" s="50"/>
      <c r="S201" s="50" t="s">
        <v>557</v>
      </c>
      <c r="T201" s="4" t="s">
        <v>43</v>
      </c>
      <c r="U201" s="4" t="s">
        <v>43</v>
      </c>
      <c r="W201" s="48">
        <v>1</v>
      </c>
      <c r="X201" s="48">
        <v>1</v>
      </c>
      <c r="Y201" s="48">
        <v>3</v>
      </c>
      <c r="AD201" s="91">
        <f t="shared" si="4"/>
        <v>5</v>
      </c>
      <c r="AE201" s="48" t="s">
        <v>1220</v>
      </c>
    </row>
    <row r="202" spans="3:31" x14ac:dyDescent="0.25">
      <c r="C202" s="87" t="s">
        <v>558</v>
      </c>
      <c r="D202" s="4" t="s">
        <v>559</v>
      </c>
      <c r="E202" s="4" t="s">
        <v>560</v>
      </c>
      <c r="F202" s="92">
        <v>6</v>
      </c>
      <c r="G202" s="4" t="s">
        <v>376</v>
      </c>
      <c r="H202" s="4" t="s">
        <v>46</v>
      </c>
      <c r="I202" s="4" t="s">
        <v>377</v>
      </c>
      <c r="J202" s="4" t="s">
        <v>331</v>
      </c>
      <c r="K202" s="4" t="s">
        <v>43</v>
      </c>
      <c r="L202" s="4" t="s">
        <v>138</v>
      </c>
      <c r="M202" s="4" t="s">
        <v>40</v>
      </c>
      <c r="N202" s="4" t="s">
        <v>422</v>
      </c>
      <c r="O202" s="4" t="s">
        <v>558</v>
      </c>
      <c r="P202" s="4" t="s">
        <v>42</v>
      </c>
      <c r="Q202" s="50" t="s">
        <v>43</v>
      </c>
      <c r="R202" s="50"/>
      <c r="S202" s="50" t="s">
        <v>557</v>
      </c>
      <c r="T202" s="4" t="s">
        <v>43</v>
      </c>
      <c r="U202" s="4" t="s">
        <v>43</v>
      </c>
      <c r="W202" s="48">
        <v>1</v>
      </c>
      <c r="X202" s="48">
        <v>2</v>
      </c>
      <c r="Y202" s="48">
        <v>3</v>
      </c>
      <c r="AD202" s="91">
        <f t="shared" si="4"/>
        <v>6</v>
      </c>
      <c r="AE202" s="48" t="e">
        <f>VLOOKUP(C202,#REF!,1,0)</f>
        <v>#REF!</v>
      </c>
    </row>
    <row r="203" spans="3:31" x14ac:dyDescent="0.25">
      <c r="C203" s="87" t="s">
        <v>561</v>
      </c>
      <c r="D203" s="4" t="s">
        <v>562</v>
      </c>
      <c r="E203" s="4" t="s">
        <v>563</v>
      </c>
      <c r="F203" s="92">
        <v>6</v>
      </c>
      <c r="G203" s="4" t="s">
        <v>376</v>
      </c>
      <c r="H203" s="4" t="s">
        <v>46</v>
      </c>
      <c r="I203" s="4" t="s">
        <v>377</v>
      </c>
      <c r="J203" s="4" t="s">
        <v>331</v>
      </c>
      <c r="K203" s="4" t="s">
        <v>43</v>
      </c>
      <c r="L203" s="4" t="s">
        <v>138</v>
      </c>
      <c r="M203" s="4" t="s">
        <v>40</v>
      </c>
      <c r="N203" s="4" t="s">
        <v>422</v>
      </c>
      <c r="O203" s="4" t="s">
        <v>561</v>
      </c>
      <c r="P203" s="4" t="s">
        <v>42</v>
      </c>
      <c r="Q203" s="50" t="s">
        <v>43</v>
      </c>
      <c r="R203" s="50"/>
      <c r="S203" s="50" t="s">
        <v>557</v>
      </c>
      <c r="T203" s="4" t="s">
        <v>43</v>
      </c>
      <c r="U203" s="4" t="s">
        <v>43</v>
      </c>
      <c r="W203" s="48">
        <v>1</v>
      </c>
      <c r="X203" s="48">
        <v>1</v>
      </c>
      <c r="Y203" s="48">
        <v>4</v>
      </c>
      <c r="AD203" s="91">
        <f t="shared" si="4"/>
        <v>6</v>
      </c>
      <c r="AE203" s="48" t="e">
        <f>VLOOKUP(C203,#REF!,1,0)</f>
        <v>#REF!</v>
      </c>
    </row>
    <row r="204" spans="3:31" x14ac:dyDescent="0.25">
      <c r="C204" s="87" t="s">
        <v>564</v>
      </c>
      <c r="D204" s="4" t="s">
        <v>565</v>
      </c>
      <c r="E204" s="4" t="s">
        <v>566</v>
      </c>
      <c r="F204" s="92">
        <v>5.9</v>
      </c>
      <c r="G204" s="4" t="s">
        <v>376</v>
      </c>
      <c r="H204" s="4" t="s">
        <v>46</v>
      </c>
      <c r="I204" s="4" t="s">
        <v>377</v>
      </c>
      <c r="J204" s="4" t="s">
        <v>331</v>
      </c>
      <c r="K204" s="4"/>
      <c r="L204" s="4" t="s">
        <v>138</v>
      </c>
      <c r="M204" s="4" t="s">
        <v>40</v>
      </c>
      <c r="N204" s="4" t="s">
        <v>422</v>
      </c>
      <c r="O204" s="4" t="s">
        <v>564</v>
      </c>
      <c r="P204" s="4" t="s">
        <v>42</v>
      </c>
      <c r="Q204" s="50" t="s">
        <v>43</v>
      </c>
      <c r="R204" s="50"/>
      <c r="S204" s="50" t="s">
        <v>557</v>
      </c>
      <c r="T204" s="4" t="s">
        <v>43</v>
      </c>
      <c r="U204" s="4" t="s">
        <v>43</v>
      </c>
      <c r="W204" s="48">
        <v>1</v>
      </c>
      <c r="X204" s="48">
        <v>2</v>
      </c>
      <c r="Y204" s="48">
        <v>2</v>
      </c>
      <c r="AB204" s="48">
        <v>2</v>
      </c>
      <c r="AD204" s="91">
        <f t="shared" si="4"/>
        <v>5.9090909090909092</v>
      </c>
      <c r="AE204" s="48" t="e">
        <f>VLOOKUP(C204,#REF!,1,0)</f>
        <v>#REF!</v>
      </c>
    </row>
    <row r="205" spans="3:31" x14ac:dyDescent="0.25">
      <c r="C205" s="87" t="s">
        <v>590</v>
      </c>
      <c r="D205" s="4" t="s">
        <v>591</v>
      </c>
      <c r="E205" s="4" t="s">
        <v>591</v>
      </c>
      <c r="F205" s="92">
        <v>5</v>
      </c>
      <c r="G205" s="4" t="s">
        <v>376</v>
      </c>
      <c r="H205" s="4" t="s">
        <v>46</v>
      </c>
      <c r="I205" s="4" t="s">
        <v>377</v>
      </c>
      <c r="J205" s="4" t="s">
        <v>331</v>
      </c>
      <c r="K205" s="4" t="s">
        <v>43</v>
      </c>
      <c r="L205" s="4" t="s">
        <v>138</v>
      </c>
      <c r="M205" s="4" t="s">
        <v>40</v>
      </c>
      <c r="N205" s="4" t="s">
        <v>422</v>
      </c>
      <c r="O205" s="4" t="s">
        <v>590</v>
      </c>
      <c r="P205" s="4" t="s">
        <v>42</v>
      </c>
      <c r="Q205" s="50" t="s">
        <v>43</v>
      </c>
      <c r="R205" s="50"/>
      <c r="S205" s="50" t="s">
        <v>557</v>
      </c>
      <c r="T205" s="4" t="s">
        <v>43</v>
      </c>
      <c r="U205" s="4" t="s">
        <v>43</v>
      </c>
      <c r="W205" s="48">
        <v>1</v>
      </c>
      <c r="X205" s="48">
        <v>1</v>
      </c>
      <c r="Y205" s="48">
        <v>3</v>
      </c>
      <c r="AD205" s="91">
        <f t="shared" si="4"/>
        <v>5</v>
      </c>
      <c r="AE205" s="48" t="s">
        <v>1220</v>
      </c>
    </row>
    <row r="206" spans="3:31" x14ac:dyDescent="0.25">
      <c r="C206" s="87" t="s">
        <v>569</v>
      </c>
      <c r="D206" s="4" t="s">
        <v>570</v>
      </c>
      <c r="E206" s="4" t="s">
        <v>570</v>
      </c>
      <c r="F206" s="92">
        <v>5.45</v>
      </c>
      <c r="G206" s="4" t="s">
        <v>376</v>
      </c>
      <c r="H206" s="4" t="s">
        <v>46</v>
      </c>
      <c r="I206" s="4" t="s">
        <v>377</v>
      </c>
      <c r="J206" s="4" t="s">
        <v>331</v>
      </c>
      <c r="K206" s="4" t="s">
        <v>43</v>
      </c>
      <c r="L206" s="4" t="s">
        <v>138</v>
      </c>
      <c r="M206" s="4" t="s">
        <v>40</v>
      </c>
      <c r="N206" s="4" t="s">
        <v>422</v>
      </c>
      <c r="O206" s="4" t="s">
        <v>569</v>
      </c>
      <c r="P206" s="4" t="s">
        <v>42</v>
      </c>
      <c r="Q206" s="50" t="s">
        <v>43</v>
      </c>
      <c r="R206" s="50"/>
      <c r="S206" s="50" t="s">
        <v>557</v>
      </c>
      <c r="T206" s="4" t="s">
        <v>43</v>
      </c>
      <c r="U206" s="4" t="s">
        <v>43</v>
      </c>
      <c r="W206" s="48">
        <v>1</v>
      </c>
      <c r="X206" s="48">
        <v>1</v>
      </c>
      <c r="Y206" s="48">
        <v>3</v>
      </c>
      <c r="AB206" s="48">
        <v>1</v>
      </c>
      <c r="AD206" s="91">
        <f t="shared" si="4"/>
        <v>5.4545454545454541</v>
      </c>
      <c r="AE206" s="48" t="e">
        <f>VLOOKUP(C206,#REF!,1,0)</f>
        <v>#REF!</v>
      </c>
    </row>
    <row r="207" spans="3:31" x14ac:dyDescent="0.25">
      <c r="C207" s="87" t="s">
        <v>571</v>
      </c>
      <c r="D207" s="4" t="s">
        <v>572</v>
      </c>
      <c r="E207" s="4" t="s">
        <v>572</v>
      </c>
      <c r="F207" s="92">
        <v>6</v>
      </c>
      <c r="G207" s="4" t="s">
        <v>376</v>
      </c>
      <c r="H207" s="4" t="s">
        <v>46</v>
      </c>
      <c r="I207" s="4" t="s">
        <v>377</v>
      </c>
      <c r="J207" s="4" t="s">
        <v>331</v>
      </c>
      <c r="K207" s="4" t="s">
        <v>43</v>
      </c>
      <c r="L207" s="4" t="s">
        <v>138</v>
      </c>
      <c r="M207" s="4" t="s">
        <v>40</v>
      </c>
      <c r="N207" s="4" t="s">
        <v>422</v>
      </c>
      <c r="O207" s="4" t="s">
        <v>571</v>
      </c>
      <c r="P207" s="4" t="s">
        <v>42</v>
      </c>
      <c r="Q207" s="50" t="s">
        <v>43</v>
      </c>
      <c r="R207" s="50"/>
      <c r="S207" s="50" t="s">
        <v>557</v>
      </c>
      <c r="T207" s="4" t="s">
        <v>43</v>
      </c>
      <c r="U207" s="4" t="s">
        <v>43</v>
      </c>
      <c r="W207" s="48">
        <v>1</v>
      </c>
      <c r="X207" s="48">
        <v>1</v>
      </c>
      <c r="Y207" s="48">
        <v>4</v>
      </c>
      <c r="AD207" s="91">
        <f t="shared" si="4"/>
        <v>6</v>
      </c>
      <c r="AE207" s="48" t="e">
        <f>VLOOKUP(C207,#REF!,1,0)</f>
        <v>#REF!</v>
      </c>
    </row>
    <row r="208" spans="3:31" x14ac:dyDescent="0.25">
      <c r="C208" s="87" t="s">
        <v>573</v>
      </c>
      <c r="D208" s="4" t="s">
        <v>574</v>
      </c>
      <c r="E208" s="4" t="s">
        <v>575</v>
      </c>
      <c r="F208" s="92">
        <v>7</v>
      </c>
      <c r="G208" s="4" t="s">
        <v>376</v>
      </c>
      <c r="H208" s="4" t="s">
        <v>46</v>
      </c>
      <c r="I208" s="4" t="s">
        <v>377</v>
      </c>
      <c r="J208" s="4" t="s">
        <v>331</v>
      </c>
      <c r="K208" s="4" t="s">
        <v>43</v>
      </c>
      <c r="L208" s="4" t="s">
        <v>138</v>
      </c>
      <c r="M208" s="4" t="s">
        <v>40</v>
      </c>
      <c r="N208" s="4" t="s">
        <v>422</v>
      </c>
      <c r="O208" s="4" t="s">
        <v>573</v>
      </c>
      <c r="P208" s="4" t="s">
        <v>42</v>
      </c>
      <c r="Q208" s="50" t="s">
        <v>43</v>
      </c>
      <c r="R208" s="50"/>
      <c r="S208" s="50" t="s">
        <v>557</v>
      </c>
      <c r="T208" s="4" t="s">
        <v>43</v>
      </c>
      <c r="U208" s="4" t="s">
        <v>43</v>
      </c>
      <c r="W208" s="48">
        <v>1</v>
      </c>
      <c r="X208" s="48">
        <v>2</v>
      </c>
      <c r="Y208" s="48">
        <v>4</v>
      </c>
      <c r="AD208" s="91">
        <f t="shared" si="4"/>
        <v>7</v>
      </c>
      <c r="AE208" s="48" t="e">
        <f>VLOOKUP(C208,#REF!,1,0)</f>
        <v>#REF!</v>
      </c>
    </row>
    <row r="209" spans="3:31" x14ac:dyDescent="0.25">
      <c r="C209" s="87" t="s">
        <v>592</v>
      </c>
      <c r="D209" s="4" t="s">
        <v>593</v>
      </c>
      <c r="E209" s="4" t="s">
        <v>593</v>
      </c>
      <c r="F209" s="92">
        <v>5</v>
      </c>
      <c r="G209" s="4" t="s">
        <v>376</v>
      </c>
      <c r="H209" s="4" t="s">
        <v>81</v>
      </c>
      <c r="I209" s="4" t="s">
        <v>377</v>
      </c>
      <c r="J209" s="4" t="s">
        <v>331</v>
      </c>
      <c r="K209" s="4" t="s">
        <v>43</v>
      </c>
      <c r="L209" s="4" t="s">
        <v>138</v>
      </c>
      <c r="M209" s="4" t="s">
        <v>40</v>
      </c>
      <c r="N209" s="4" t="s">
        <v>422</v>
      </c>
      <c r="O209" s="4" t="s">
        <v>592</v>
      </c>
      <c r="P209" s="4" t="s">
        <v>42</v>
      </c>
      <c r="Q209" s="50" t="s">
        <v>43</v>
      </c>
      <c r="R209" s="50"/>
      <c r="S209" s="50" t="s">
        <v>557</v>
      </c>
      <c r="T209" s="4" t="s">
        <v>43</v>
      </c>
      <c r="U209" s="4" t="s">
        <v>43</v>
      </c>
      <c r="W209" s="48">
        <v>1</v>
      </c>
      <c r="X209" s="48">
        <v>1</v>
      </c>
      <c r="Y209" s="48">
        <v>3</v>
      </c>
      <c r="AD209" s="91">
        <f t="shared" si="4"/>
        <v>5</v>
      </c>
      <c r="AE209" s="48" t="s">
        <v>1220</v>
      </c>
    </row>
    <row r="210" spans="3:31" x14ac:dyDescent="0.25">
      <c r="C210" s="87" t="s">
        <v>594</v>
      </c>
      <c r="D210" s="4" t="s">
        <v>595</v>
      </c>
      <c r="E210" s="4" t="s">
        <v>595</v>
      </c>
      <c r="F210" s="92">
        <v>5</v>
      </c>
      <c r="G210" s="4" t="s">
        <v>376</v>
      </c>
      <c r="H210" s="4" t="s">
        <v>81</v>
      </c>
      <c r="I210" s="4" t="s">
        <v>421</v>
      </c>
      <c r="J210" s="4" t="s">
        <v>50</v>
      </c>
      <c r="K210" s="4" t="s">
        <v>43</v>
      </c>
      <c r="L210" s="4" t="s">
        <v>596</v>
      </c>
      <c r="M210" s="4" t="s">
        <v>40</v>
      </c>
      <c r="N210" s="4" t="s">
        <v>422</v>
      </c>
      <c r="O210" s="4" t="s">
        <v>594</v>
      </c>
      <c r="P210" s="4" t="s">
        <v>42</v>
      </c>
      <c r="Q210" s="50" t="s">
        <v>43</v>
      </c>
      <c r="R210" s="50"/>
      <c r="S210" s="50" t="s">
        <v>597</v>
      </c>
      <c r="T210" s="82" t="s">
        <v>440</v>
      </c>
      <c r="U210" s="4" t="s">
        <v>43</v>
      </c>
      <c r="W210" s="48">
        <v>1</v>
      </c>
      <c r="X210" s="48">
        <v>1</v>
      </c>
      <c r="Y210" s="48">
        <v>3</v>
      </c>
      <c r="AD210" s="91">
        <f t="shared" si="4"/>
        <v>5</v>
      </c>
      <c r="AE210" s="48" t="s">
        <v>1220</v>
      </c>
    </row>
    <row r="211" spans="3:31" x14ac:dyDescent="0.25">
      <c r="C211" s="87" t="s">
        <v>598</v>
      </c>
      <c r="D211" s="4" t="s">
        <v>599</v>
      </c>
      <c r="E211" s="4" t="s">
        <v>600</v>
      </c>
      <c r="F211" s="92">
        <v>5</v>
      </c>
      <c r="G211" s="4" t="s">
        <v>376</v>
      </c>
      <c r="H211" s="4" t="s">
        <v>81</v>
      </c>
      <c r="I211" s="4" t="s">
        <v>421</v>
      </c>
      <c r="J211" s="4" t="s">
        <v>50</v>
      </c>
      <c r="K211" s="4" t="s">
        <v>43</v>
      </c>
      <c r="L211" s="4" t="s">
        <v>601</v>
      </c>
      <c r="M211" s="4" t="s">
        <v>40</v>
      </c>
      <c r="N211" s="4" t="s">
        <v>422</v>
      </c>
      <c r="O211" s="4" t="s">
        <v>598</v>
      </c>
      <c r="P211" s="4" t="s">
        <v>42</v>
      </c>
      <c r="Q211" s="50" t="s">
        <v>43</v>
      </c>
      <c r="R211" s="50"/>
      <c r="S211" s="50" t="s">
        <v>597</v>
      </c>
      <c r="T211" s="82" t="s">
        <v>440</v>
      </c>
      <c r="U211" s="4" t="s">
        <v>43</v>
      </c>
      <c r="W211" s="48">
        <v>1</v>
      </c>
      <c r="X211" s="48">
        <v>1</v>
      </c>
      <c r="Y211" s="48">
        <v>3</v>
      </c>
      <c r="AD211" s="91">
        <f t="shared" si="4"/>
        <v>5</v>
      </c>
      <c r="AE211" s="48" t="s">
        <v>1220</v>
      </c>
    </row>
    <row r="212" spans="3:31" x14ac:dyDescent="0.25">
      <c r="C212" s="87" t="s">
        <v>602</v>
      </c>
      <c r="D212" s="4" t="s">
        <v>603</v>
      </c>
      <c r="E212" s="4" t="s">
        <v>604</v>
      </c>
      <c r="F212" s="92">
        <v>5</v>
      </c>
      <c r="G212" s="4" t="s">
        <v>376</v>
      </c>
      <c r="H212" s="4" t="s">
        <v>81</v>
      </c>
      <c r="I212" s="4" t="s">
        <v>421</v>
      </c>
      <c r="J212" s="4" t="s">
        <v>50</v>
      </c>
      <c r="K212" s="4" t="s">
        <v>43</v>
      </c>
      <c r="L212" s="4" t="s">
        <v>605</v>
      </c>
      <c r="M212" s="4" t="s">
        <v>40</v>
      </c>
      <c r="N212" s="4" t="s">
        <v>422</v>
      </c>
      <c r="O212" s="4" t="s">
        <v>602</v>
      </c>
      <c r="P212" s="4" t="s">
        <v>42</v>
      </c>
      <c r="Q212" s="50" t="s">
        <v>43</v>
      </c>
      <c r="R212" s="50"/>
      <c r="S212" s="50" t="s">
        <v>597</v>
      </c>
      <c r="T212" s="82" t="s">
        <v>440</v>
      </c>
      <c r="U212" s="4" t="s">
        <v>43</v>
      </c>
      <c r="W212" s="48">
        <v>1</v>
      </c>
      <c r="X212" s="48">
        <v>1</v>
      </c>
      <c r="Y212" s="48">
        <v>3</v>
      </c>
      <c r="AD212" s="91">
        <f t="shared" si="4"/>
        <v>5</v>
      </c>
      <c r="AE212" s="48" t="s">
        <v>1220</v>
      </c>
    </row>
    <row r="213" spans="3:31" x14ac:dyDescent="0.25">
      <c r="C213" s="87" t="s">
        <v>606</v>
      </c>
      <c r="D213" s="4" t="s">
        <v>607</v>
      </c>
      <c r="E213" s="4" t="s">
        <v>608</v>
      </c>
      <c r="F213" s="92">
        <v>5</v>
      </c>
      <c r="G213" s="4" t="s">
        <v>376</v>
      </c>
      <c r="H213" s="4" t="s">
        <v>46</v>
      </c>
      <c r="I213" s="4" t="s">
        <v>421</v>
      </c>
      <c r="J213" s="4" t="s">
        <v>50</v>
      </c>
      <c r="K213" s="4" t="s">
        <v>43</v>
      </c>
      <c r="L213" s="4" t="s">
        <v>609</v>
      </c>
      <c r="M213" s="4" t="s">
        <v>40</v>
      </c>
      <c r="N213" s="4" t="s">
        <v>422</v>
      </c>
      <c r="O213" s="4" t="s">
        <v>606</v>
      </c>
      <c r="P213" s="4" t="s">
        <v>42</v>
      </c>
      <c r="Q213" s="50" t="s">
        <v>43</v>
      </c>
      <c r="R213" s="50"/>
      <c r="S213" s="50" t="s">
        <v>597</v>
      </c>
      <c r="T213" s="4" t="s">
        <v>43</v>
      </c>
      <c r="U213" s="4" t="s">
        <v>43</v>
      </c>
      <c r="W213" s="48">
        <v>1</v>
      </c>
      <c r="X213" s="48">
        <v>1</v>
      </c>
      <c r="Y213" s="48">
        <v>3</v>
      </c>
      <c r="AD213" s="91">
        <f t="shared" si="4"/>
        <v>5</v>
      </c>
      <c r="AE213" s="48" t="s">
        <v>1220</v>
      </c>
    </row>
    <row r="214" spans="3:31" x14ac:dyDescent="0.25">
      <c r="C214" s="87" t="s">
        <v>610</v>
      </c>
      <c r="D214" s="4" t="s">
        <v>611</v>
      </c>
      <c r="E214" s="4" t="s">
        <v>611</v>
      </c>
      <c r="F214" s="92">
        <v>5</v>
      </c>
      <c r="G214" s="4" t="s">
        <v>376</v>
      </c>
      <c r="H214" s="4" t="s">
        <v>81</v>
      </c>
      <c r="I214" s="4" t="s">
        <v>421</v>
      </c>
      <c r="J214" s="4" t="s">
        <v>50</v>
      </c>
      <c r="K214" s="4" t="s">
        <v>43</v>
      </c>
      <c r="L214" s="4" t="s">
        <v>59</v>
      </c>
      <c r="M214" s="4" t="s">
        <v>40</v>
      </c>
      <c r="N214" s="4" t="s">
        <v>422</v>
      </c>
      <c r="O214" s="4" t="s">
        <v>610</v>
      </c>
      <c r="P214" s="4" t="s">
        <v>42</v>
      </c>
      <c r="Q214" s="50" t="s">
        <v>43</v>
      </c>
      <c r="R214" s="50"/>
      <c r="S214" s="50" t="s">
        <v>597</v>
      </c>
      <c r="T214" s="4" t="s">
        <v>43</v>
      </c>
      <c r="U214" s="4" t="s">
        <v>43</v>
      </c>
      <c r="W214" s="48">
        <v>1</v>
      </c>
      <c r="X214" s="48">
        <v>1</v>
      </c>
      <c r="Y214" s="48">
        <v>3</v>
      </c>
      <c r="AD214" s="91">
        <f t="shared" si="4"/>
        <v>5</v>
      </c>
      <c r="AE214" s="48" t="s">
        <v>1220</v>
      </c>
    </row>
    <row r="215" spans="3:31" x14ac:dyDescent="0.25">
      <c r="C215" s="87" t="s">
        <v>612</v>
      </c>
      <c r="D215" s="4" t="s">
        <v>613</v>
      </c>
      <c r="E215" s="4" t="s">
        <v>613</v>
      </c>
      <c r="F215" s="92">
        <v>5</v>
      </c>
      <c r="G215" s="4" t="s">
        <v>376</v>
      </c>
      <c r="H215" s="4" t="s">
        <v>81</v>
      </c>
      <c r="I215" s="4" t="s">
        <v>421</v>
      </c>
      <c r="J215" s="4" t="s">
        <v>50</v>
      </c>
      <c r="K215" s="4" t="s">
        <v>43</v>
      </c>
      <c r="L215" s="4" t="s">
        <v>364</v>
      </c>
      <c r="M215" s="4" t="s">
        <v>40</v>
      </c>
      <c r="N215" s="4" t="s">
        <v>422</v>
      </c>
      <c r="O215" s="4" t="s">
        <v>612</v>
      </c>
      <c r="P215" s="4" t="s">
        <v>42</v>
      </c>
      <c r="Q215" s="50" t="s">
        <v>43</v>
      </c>
      <c r="R215" s="50"/>
      <c r="S215" s="50" t="s">
        <v>597</v>
      </c>
      <c r="T215" s="82" t="s">
        <v>440</v>
      </c>
      <c r="U215" s="4" t="s">
        <v>43</v>
      </c>
      <c r="W215" s="48">
        <v>1</v>
      </c>
      <c r="X215" s="48">
        <v>1</v>
      </c>
      <c r="Y215" s="48">
        <v>3</v>
      </c>
      <c r="AD215" s="91">
        <f t="shared" si="4"/>
        <v>5</v>
      </c>
      <c r="AE215" s="48" t="s">
        <v>1220</v>
      </c>
    </row>
    <row r="216" spans="3:31" x14ac:dyDescent="0.25">
      <c r="C216" s="87" t="s">
        <v>614</v>
      </c>
      <c r="D216" s="4" t="s">
        <v>615</v>
      </c>
      <c r="E216" s="4" t="s">
        <v>615</v>
      </c>
      <c r="F216" s="92">
        <v>5</v>
      </c>
      <c r="G216" s="4" t="s">
        <v>376</v>
      </c>
      <c r="H216" s="4" t="s">
        <v>81</v>
      </c>
      <c r="I216" s="4" t="s">
        <v>421</v>
      </c>
      <c r="J216" s="4" t="s">
        <v>50</v>
      </c>
      <c r="K216" s="4" t="s">
        <v>43</v>
      </c>
      <c r="L216" s="4" t="s">
        <v>64</v>
      </c>
      <c r="M216" s="4" t="s">
        <v>40</v>
      </c>
      <c r="N216" s="4" t="s">
        <v>422</v>
      </c>
      <c r="O216" s="4" t="s">
        <v>614</v>
      </c>
      <c r="P216" s="4" t="s">
        <v>42</v>
      </c>
      <c r="Q216" s="50" t="s">
        <v>43</v>
      </c>
      <c r="R216" s="50"/>
      <c r="S216" s="50" t="s">
        <v>597</v>
      </c>
      <c r="T216" s="82" t="s">
        <v>440</v>
      </c>
      <c r="U216" s="4" t="s">
        <v>43</v>
      </c>
      <c r="W216" s="48">
        <v>1</v>
      </c>
      <c r="X216" s="48">
        <v>1</v>
      </c>
      <c r="Y216" s="48">
        <v>3</v>
      </c>
      <c r="AD216" s="91">
        <f t="shared" si="4"/>
        <v>5</v>
      </c>
      <c r="AE216" s="48" t="s">
        <v>1220</v>
      </c>
    </row>
    <row r="217" spans="3:31" x14ac:dyDescent="0.25">
      <c r="C217" s="87" t="s">
        <v>639</v>
      </c>
      <c r="D217" s="4" t="s">
        <v>640</v>
      </c>
      <c r="E217" s="4" t="s">
        <v>641</v>
      </c>
      <c r="F217" s="92">
        <v>5</v>
      </c>
      <c r="G217" s="4" t="s">
        <v>376</v>
      </c>
      <c r="H217" s="4" t="s">
        <v>81</v>
      </c>
      <c r="I217" s="4" t="s">
        <v>421</v>
      </c>
      <c r="J217" s="4" t="s">
        <v>50</v>
      </c>
      <c r="K217" s="4" t="s">
        <v>43</v>
      </c>
      <c r="L217" s="4" t="s">
        <v>64</v>
      </c>
      <c r="M217" s="4" t="s">
        <v>40</v>
      </c>
      <c r="N217" s="4" t="s">
        <v>422</v>
      </c>
      <c r="O217" s="4" t="s">
        <v>639</v>
      </c>
      <c r="P217" s="4" t="s">
        <v>42</v>
      </c>
      <c r="Q217" s="50" t="s">
        <v>43</v>
      </c>
      <c r="R217" s="50"/>
      <c r="S217" s="50" t="s">
        <v>597</v>
      </c>
      <c r="T217" s="4" t="s">
        <v>43</v>
      </c>
      <c r="U217" s="4" t="s">
        <v>43</v>
      </c>
      <c r="W217" s="48">
        <v>1</v>
      </c>
      <c r="X217" s="48">
        <v>1</v>
      </c>
      <c r="Y217" s="48">
        <v>3</v>
      </c>
      <c r="AD217" s="91">
        <f t="shared" si="4"/>
        <v>5</v>
      </c>
      <c r="AE217" s="48" t="s">
        <v>1220</v>
      </c>
    </row>
    <row r="218" spans="3:31" x14ac:dyDescent="0.25">
      <c r="C218" s="87" t="s">
        <v>656</v>
      </c>
      <c r="D218" s="4" t="s">
        <v>657</v>
      </c>
      <c r="E218" s="4" t="s">
        <v>658</v>
      </c>
      <c r="F218" s="92">
        <v>5</v>
      </c>
      <c r="G218" s="4" t="s">
        <v>376</v>
      </c>
      <c r="H218" s="4" t="s">
        <v>46</v>
      </c>
      <c r="I218" s="4" t="s">
        <v>377</v>
      </c>
      <c r="J218" s="4" t="s">
        <v>248</v>
      </c>
      <c r="K218" s="4" t="s">
        <v>43</v>
      </c>
      <c r="L218" s="4" t="s">
        <v>51</v>
      </c>
      <c r="M218" s="4" t="s">
        <v>40</v>
      </c>
      <c r="N218" s="4" t="s">
        <v>653</v>
      </c>
      <c r="O218" s="4" t="s">
        <v>656</v>
      </c>
      <c r="P218" s="4" t="s">
        <v>42</v>
      </c>
      <c r="Q218" s="50" t="s">
        <v>43</v>
      </c>
      <c r="R218" s="50"/>
      <c r="S218" s="50" t="s">
        <v>51</v>
      </c>
      <c r="T218" s="4" t="s">
        <v>43</v>
      </c>
      <c r="U218" s="4" t="s">
        <v>43</v>
      </c>
      <c r="W218" s="48">
        <v>1</v>
      </c>
      <c r="X218" s="48">
        <v>1</v>
      </c>
      <c r="Y218" s="48">
        <v>3</v>
      </c>
      <c r="AD218" s="91">
        <f t="shared" si="4"/>
        <v>5</v>
      </c>
      <c r="AE218" s="48" t="s">
        <v>1220</v>
      </c>
    </row>
    <row r="219" spans="3:31" x14ac:dyDescent="0.25">
      <c r="C219" s="87" t="s">
        <v>671</v>
      </c>
      <c r="D219" s="4" t="s">
        <v>672</v>
      </c>
      <c r="E219" s="4" t="s">
        <v>672</v>
      </c>
      <c r="F219" s="92">
        <v>5</v>
      </c>
      <c r="G219" s="4" t="s">
        <v>376</v>
      </c>
      <c r="H219" s="4" t="s">
        <v>46</v>
      </c>
      <c r="I219" s="4" t="s">
        <v>377</v>
      </c>
      <c r="J219" s="4" t="s">
        <v>248</v>
      </c>
      <c r="K219" s="4" t="s">
        <v>43</v>
      </c>
      <c r="L219" s="4" t="s">
        <v>51</v>
      </c>
      <c r="M219" s="4" t="s">
        <v>40</v>
      </c>
      <c r="N219" s="4" t="s">
        <v>653</v>
      </c>
      <c r="O219" s="4" t="s">
        <v>671</v>
      </c>
      <c r="P219" s="4" t="s">
        <v>42</v>
      </c>
      <c r="Q219" s="50" t="s">
        <v>43</v>
      </c>
      <c r="R219" s="50"/>
      <c r="S219" s="50" t="s">
        <v>51</v>
      </c>
      <c r="T219" s="4" t="s">
        <v>43</v>
      </c>
      <c r="U219" s="4" t="s">
        <v>43</v>
      </c>
      <c r="W219" s="48">
        <v>1</v>
      </c>
      <c r="X219" s="48">
        <v>1</v>
      </c>
      <c r="Y219" s="48">
        <v>3</v>
      </c>
      <c r="AD219" s="91">
        <f t="shared" si="4"/>
        <v>5</v>
      </c>
      <c r="AE219" s="48" t="s">
        <v>1220</v>
      </c>
    </row>
    <row r="220" spans="3:31" x14ac:dyDescent="0.25">
      <c r="C220" s="87" t="s">
        <v>675</v>
      </c>
      <c r="D220" s="4" t="s">
        <v>676</v>
      </c>
      <c r="E220" s="4" t="s">
        <v>676</v>
      </c>
      <c r="F220" s="92">
        <v>5</v>
      </c>
      <c r="G220" s="4" t="s">
        <v>376</v>
      </c>
      <c r="H220" s="4" t="s">
        <v>81</v>
      </c>
      <c r="I220" s="4" t="s">
        <v>377</v>
      </c>
      <c r="J220" s="4" t="s">
        <v>248</v>
      </c>
      <c r="K220" s="4" t="s">
        <v>43</v>
      </c>
      <c r="L220" s="4" t="s">
        <v>51</v>
      </c>
      <c r="M220" s="4" t="s">
        <v>40</v>
      </c>
      <c r="N220" s="4" t="s">
        <v>653</v>
      </c>
      <c r="O220" s="4" t="s">
        <v>675</v>
      </c>
      <c r="P220" s="4" t="s">
        <v>42</v>
      </c>
      <c r="Q220" s="50" t="s">
        <v>43</v>
      </c>
      <c r="R220" s="50"/>
      <c r="S220" s="50" t="s">
        <v>51</v>
      </c>
      <c r="T220" s="4" t="s">
        <v>43</v>
      </c>
      <c r="U220" s="4" t="s">
        <v>43</v>
      </c>
      <c r="W220" s="48">
        <v>1</v>
      </c>
      <c r="X220" s="48">
        <v>1</v>
      </c>
      <c r="Y220" s="48">
        <v>3</v>
      </c>
      <c r="AD220" s="91">
        <f t="shared" si="4"/>
        <v>5</v>
      </c>
      <c r="AE220" s="48" t="s">
        <v>1220</v>
      </c>
    </row>
    <row r="221" spans="3:31" x14ac:dyDescent="0.25">
      <c r="C221" s="87" t="s">
        <v>680</v>
      </c>
      <c r="D221" s="4" t="s">
        <v>681</v>
      </c>
      <c r="E221" s="4" t="s">
        <v>682</v>
      </c>
      <c r="F221" s="92">
        <v>5</v>
      </c>
      <c r="G221" s="4" t="s">
        <v>376</v>
      </c>
      <c r="H221" s="4" t="s">
        <v>46</v>
      </c>
      <c r="I221" s="4" t="s">
        <v>377</v>
      </c>
      <c r="J221" s="4" t="s">
        <v>248</v>
      </c>
      <c r="K221" s="4" t="s">
        <v>43</v>
      </c>
      <c r="L221" s="4" t="s">
        <v>51</v>
      </c>
      <c r="M221" s="4" t="s">
        <v>40</v>
      </c>
      <c r="N221" s="4" t="s">
        <v>653</v>
      </c>
      <c r="O221" s="4" t="s">
        <v>680</v>
      </c>
      <c r="P221" s="4" t="s">
        <v>42</v>
      </c>
      <c r="Q221" s="50" t="s">
        <v>43</v>
      </c>
      <c r="R221" s="50"/>
      <c r="S221" s="50" t="s">
        <v>51</v>
      </c>
      <c r="T221" s="4" t="s">
        <v>43</v>
      </c>
      <c r="U221" s="4" t="s">
        <v>43</v>
      </c>
      <c r="W221" s="48">
        <v>1</v>
      </c>
      <c r="X221" s="48">
        <v>1</v>
      </c>
      <c r="Y221" s="48">
        <v>3</v>
      </c>
      <c r="AD221" s="91">
        <f t="shared" si="4"/>
        <v>5</v>
      </c>
      <c r="AE221" s="48" t="s">
        <v>1220</v>
      </c>
    </row>
    <row r="222" spans="3:31" x14ac:dyDescent="0.25">
      <c r="C222" s="87">
        <v>50096</v>
      </c>
      <c r="D222" s="4" t="s">
        <v>683</v>
      </c>
      <c r="E222" s="4" t="s">
        <v>684</v>
      </c>
      <c r="F222" s="92">
        <v>5</v>
      </c>
      <c r="G222" s="4" t="s">
        <v>376</v>
      </c>
      <c r="H222" s="4" t="s">
        <v>81</v>
      </c>
      <c r="I222" s="4" t="s">
        <v>377</v>
      </c>
      <c r="J222" s="4" t="s">
        <v>248</v>
      </c>
      <c r="K222" s="4" t="s">
        <v>43</v>
      </c>
      <c r="L222" s="4" t="s">
        <v>51</v>
      </c>
      <c r="M222" s="4" t="s">
        <v>40</v>
      </c>
      <c r="N222" s="4" t="s">
        <v>653</v>
      </c>
      <c r="O222" s="4">
        <v>50096</v>
      </c>
      <c r="P222" s="4" t="s">
        <v>42</v>
      </c>
      <c r="Q222" s="50" t="s">
        <v>43</v>
      </c>
      <c r="R222" s="50"/>
      <c r="S222" s="50" t="s">
        <v>51</v>
      </c>
      <c r="T222" s="4" t="s">
        <v>43</v>
      </c>
      <c r="U222" s="4" t="s">
        <v>43</v>
      </c>
      <c r="W222" s="48">
        <v>1</v>
      </c>
      <c r="X222" s="48">
        <v>1</v>
      </c>
      <c r="Y222" s="48">
        <v>3</v>
      </c>
      <c r="AD222" s="91">
        <f t="shared" si="4"/>
        <v>5</v>
      </c>
      <c r="AE222" s="48" t="s">
        <v>1220</v>
      </c>
    </row>
    <row r="223" spans="3:31" x14ac:dyDescent="0.25">
      <c r="C223" s="87" t="s">
        <v>685</v>
      </c>
      <c r="D223" s="4" t="s">
        <v>686</v>
      </c>
      <c r="E223" s="4" t="s">
        <v>686</v>
      </c>
      <c r="F223" s="92">
        <v>5</v>
      </c>
      <c r="G223" s="4" t="s">
        <v>376</v>
      </c>
      <c r="H223" s="4" t="s">
        <v>81</v>
      </c>
      <c r="I223" s="4" t="s">
        <v>377</v>
      </c>
      <c r="J223" s="4" t="s">
        <v>248</v>
      </c>
      <c r="K223" s="4" t="s">
        <v>43</v>
      </c>
      <c r="L223" s="4" t="s">
        <v>51</v>
      </c>
      <c r="M223" s="4" t="s">
        <v>40</v>
      </c>
      <c r="N223" s="4" t="s">
        <v>653</v>
      </c>
      <c r="O223" s="4" t="s">
        <v>685</v>
      </c>
      <c r="P223" s="4" t="s">
        <v>42</v>
      </c>
      <c r="Q223" s="50" t="s">
        <v>43</v>
      </c>
      <c r="R223" s="50"/>
      <c r="S223" s="50" t="s">
        <v>51</v>
      </c>
      <c r="T223" s="4" t="s">
        <v>43</v>
      </c>
      <c r="U223" s="4" t="s">
        <v>43</v>
      </c>
      <c r="W223" s="48">
        <v>1</v>
      </c>
      <c r="X223" s="48">
        <v>1</v>
      </c>
      <c r="Y223" s="48">
        <v>3</v>
      </c>
      <c r="AD223" s="91">
        <f t="shared" si="4"/>
        <v>5</v>
      </c>
      <c r="AE223" s="48" t="s">
        <v>1220</v>
      </c>
    </row>
    <row r="224" spans="3:31" x14ac:dyDescent="0.25">
      <c r="C224" s="87" t="s">
        <v>693</v>
      </c>
      <c r="D224" s="4" t="s">
        <v>694</v>
      </c>
      <c r="E224" s="4" t="s">
        <v>694</v>
      </c>
      <c r="F224" s="92">
        <v>5</v>
      </c>
      <c r="G224" s="4" t="s">
        <v>376</v>
      </c>
      <c r="H224" s="4" t="s">
        <v>46</v>
      </c>
      <c r="I224" s="4" t="s">
        <v>377</v>
      </c>
      <c r="J224" s="4" t="s">
        <v>248</v>
      </c>
      <c r="K224" s="4" t="s">
        <v>43</v>
      </c>
      <c r="L224" s="4" t="s">
        <v>51</v>
      </c>
      <c r="M224" s="4" t="s">
        <v>40</v>
      </c>
      <c r="N224" s="4" t="s">
        <v>653</v>
      </c>
      <c r="O224" s="4" t="s">
        <v>693</v>
      </c>
      <c r="P224" s="4" t="s">
        <v>42</v>
      </c>
      <c r="Q224" s="50" t="s">
        <v>43</v>
      </c>
      <c r="R224" s="50"/>
      <c r="S224" s="50" t="s">
        <v>51</v>
      </c>
      <c r="T224" s="4" t="s">
        <v>43</v>
      </c>
      <c r="U224" s="4" t="s">
        <v>43</v>
      </c>
      <c r="W224" s="48">
        <v>1</v>
      </c>
      <c r="X224" s="48">
        <v>1</v>
      </c>
      <c r="Y224" s="48">
        <v>3</v>
      </c>
      <c r="AD224" s="91">
        <f t="shared" si="4"/>
        <v>5</v>
      </c>
      <c r="AE224" s="48" t="s">
        <v>1220</v>
      </c>
    </row>
    <row r="225" spans="3:31" x14ac:dyDescent="0.25">
      <c r="C225" s="87" t="s">
        <v>616</v>
      </c>
      <c r="D225" s="4" t="s">
        <v>617</v>
      </c>
      <c r="E225" s="4" t="s">
        <v>617</v>
      </c>
      <c r="F225" s="92">
        <v>5.45</v>
      </c>
      <c r="G225" s="4" t="s">
        <v>376</v>
      </c>
      <c r="H225" s="4" t="s">
        <v>46</v>
      </c>
      <c r="I225" s="4" t="s">
        <v>421</v>
      </c>
      <c r="J225" s="4" t="s">
        <v>50</v>
      </c>
      <c r="K225" s="4" t="s">
        <v>43</v>
      </c>
      <c r="L225" s="4" t="s">
        <v>138</v>
      </c>
      <c r="M225" s="4" t="s">
        <v>40</v>
      </c>
      <c r="N225" s="4" t="s">
        <v>422</v>
      </c>
      <c r="O225" s="4" t="s">
        <v>616</v>
      </c>
      <c r="P225" s="4" t="s">
        <v>42</v>
      </c>
      <c r="Q225" s="50" t="s">
        <v>43</v>
      </c>
      <c r="R225" s="50"/>
      <c r="S225" s="50" t="s">
        <v>597</v>
      </c>
      <c r="T225" s="4" t="s">
        <v>43</v>
      </c>
      <c r="U225" s="4" t="s">
        <v>43</v>
      </c>
      <c r="W225" s="48">
        <v>1</v>
      </c>
      <c r="X225" s="48">
        <v>2</v>
      </c>
      <c r="Y225" s="48">
        <v>2</v>
      </c>
      <c r="AB225" s="48">
        <v>1</v>
      </c>
      <c r="AD225" s="91">
        <f t="shared" si="4"/>
        <v>5.4545454545454541</v>
      </c>
      <c r="AE225" s="48" t="e">
        <f>VLOOKUP(C225,#REF!,1,0)</f>
        <v>#REF!</v>
      </c>
    </row>
    <row r="226" spans="3:31" x14ac:dyDescent="0.25">
      <c r="C226" s="87" t="s">
        <v>618</v>
      </c>
      <c r="D226" s="4" t="s">
        <v>619</v>
      </c>
      <c r="E226" s="4" t="s">
        <v>619</v>
      </c>
      <c r="F226" s="92">
        <v>5.07</v>
      </c>
      <c r="G226" s="4" t="s">
        <v>376</v>
      </c>
      <c r="H226" s="4" t="s">
        <v>46</v>
      </c>
      <c r="I226" s="4" t="s">
        <v>421</v>
      </c>
      <c r="J226" s="4" t="s">
        <v>50</v>
      </c>
      <c r="K226" s="4"/>
      <c r="L226" s="4" t="s">
        <v>59</v>
      </c>
      <c r="M226" s="4" t="s">
        <v>40</v>
      </c>
      <c r="N226" s="4" t="s">
        <v>422</v>
      </c>
      <c r="O226" s="4" t="s">
        <v>618</v>
      </c>
      <c r="P226" s="4" t="s">
        <v>42</v>
      </c>
      <c r="Q226" s="50" t="s">
        <v>43</v>
      </c>
      <c r="R226" s="50"/>
      <c r="S226" s="50" t="s">
        <v>597</v>
      </c>
      <c r="T226" s="4" t="s">
        <v>43</v>
      </c>
      <c r="U226" s="4" t="s">
        <v>43</v>
      </c>
      <c r="W226" s="48">
        <v>1</v>
      </c>
      <c r="X226" s="48">
        <v>1</v>
      </c>
      <c r="AA226" s="48">
        <v>3</v>
      </c>
      <c r="AC226" s="48">
        <v>4</v>
      </c>
      <c r="AD226" s="91">
        <f t="shared" si="4"/>
        <v>5.0681818181818183</v>
      </c>
      <c r="AE226" s="48" t="e">
        <f>VLOOKUP(C226,#REF!,1,0)</f>
        <v>#REF!</v>
      </c>
    </row>
    <row r="227" spans="3:31" x14ac:dyDescent="0.25">
      <c r="C227" s="87" t="s">
        <v>620</v>
      </c>
      <c r="D227" s="4" t="s">
        <v>621</v>
      </c>
      <c r="E227" s="4" t="s">
        <v>622</v>
      </c>
      <c r="F227" s="92">
        <v>5.07</v>
      </c>
      <c r="G227" s="4" t="s">
        <v>376</v>
      </c>
      <c r="H227" s="4" t="s">
        <v>46</v>
      </c>
      <c r="I227" s="4" t="s">
        <v>421</v>
      </c>
      <c r="J227" s="4" t="s">
        <v>50</v>
      </c>
      <c r="K227" s="4" t="s">
        <v>43</v>
      </c>
      <c r="L227" s="4" t="s">
        <v>59</v>
      </c>
      <c r="M227" s="4" t="s">
        <v>40</v>
      </c>
      <c r="N227" s="4" t="s">
        <v>422</v>
      </c>
      <c r="O227" s="4" t="s">
        <v>620</v>
      </c>
      <c r="P227" s="4" t="s">
        <v>42</v>
      </c>
      <c r="Q227" s="50" t="s">
        <v>43</v>
      </c>
      <c r="R227" s="50"/>
      <c r="S227" s="50" t="s">
        <v>597</v>
      </c>
      <c r="T227" s="4" t="s">
        <v>43</v>
      </c>
      <c r="U227" s="4" t="s">
        <v>32</v>
      </c>
      <c r="W227" s="48">
        <v>1</v>
      </c>
      <c r="X227" s="48">
        <v>1</v>
      </c>
      <c r="AA227" s="48">
        <v>3</v>
      </c>
      <c r="AC227" s="48">
        <v>4</v>
      </c>
      <c r="AD227" s="91">
        <f t="shared" si="4"/>
        <v>5.0681818181818183</v>
      </c>
      <c r="AE227" s="48" t="e">
        <f>VLOOKUP(C227,#REF!,1,0)</f>
        <v>#REF!</v>
      </c>
    </row>
    <row r="228" spans="3:31" x14ac:dyDescent="0.25">
      <c r="C228" s="87" t="s">
        <v>623</v>
      </c>
      <c r="D228" s="4" t="s">
        <v>624</v>
      </c>
      <c r="E228" s="4" t="s">
        <v>625</v>
      </c>
      <c r="F228" s="92">
        <v>5.07</v>
      </c>
      <c r="G228" s="4" t="s">
        <v>376</v>
      </c>
      <c r="H228" s="4" t="s">
        <v>81</v>
      </c>
      <c r="I228" s="4" t="s">
        <v>421</v>
      </c>
      <c r="J228" s="4" t="s">
        <v>50</v>
      </c>
      <c r="K228" s="4"/>
      <c r="L228" s="4" t="s">
        <v>64</v>
      </c>
      <c r="M228" s="4" t="s">
        <v>40</v>
      </c>
      <c r="N228" s="4" t="s">
        <v>422</v>
      </c>
      <c r="O228" s="4" t="s">
        <v>623</v>
      </c>
      <c r="P228" s="4" t="s">
        <v>42</v>
      </c>
      <c r="Q228" s="50" t="s">
        <v>43</v>
      </c>
      <c r="R228" s="50"/>
      <c r="S228" s="50" t="s">
        <v>597</v>
      </c>
      <c r="T228" s="4" t="s">
        <v>43</v>
      </c>
      <c r="U228" s="4" t="s">
        <v>43</v>
      </c>
      <c r="W228" s="48">
        <v>1</v>
      </c>
      <c r="X228" s="48">
        <v>1</v>
      </c>
      <c r="AA228" s="48">
        <v>3</v>
      </c>
      <c r="AC228" s="48">
        <v>4</v>
      </c>
      <c r="AD228" s="91">
        <f t="shared" si="4"/>
        <v>5.0681818181818183</v>
      </c>
      <c r="AE228" s="48" t="e">
        <f>VLOOKUP(C228,#REF!,1,0)</f>
        <v>#REF!</v>
      </c>
    </row>
    <row r="229" spans="3:31" x14ac:dyDescent="0.25">
      <c r="C229" s="87" t="s">
        <v>626</v>
      </c>
      <c r="D229" s="4" t="s">
        <v>627</v>
      </c>
      <c r="E229" s="4" t="s">
        <v>627</v>
      </c>
      <c r="F229" s="92">
        <v>5.07</v>
      </c>
      <c r="G229" s="4" t="s">
        <v>376</v>
      </c>
      <c r="H229" s="4"/>
      <c r="I229" s="4" t="s">
        <v>421</v>
      </c>
      <c r="J229" s="4" t="s">
        <v>50</v>
      </c>
      <c r="K229" s="4"/>
      <c r="L229" s="4"/>
      <c r="M229" s="4"/>
      <c r="N229" s="4" t="s">
        <v>422</v>
      </c>
      <c r="O229" s="4" t="s">
        <v>626</v>
      </c>
      <c r="P229" s="4"/>
      <c r="Q229" s="50"/>
      <c r="R229" s="50"/>
      <c r="S229" s="50" t="s">
        <v>597</v>
      </c>
      <c r="T229" s="4"/>
      <c r="U229" s="4"/>
      <c r="W229" s="48">
        <v>1</v>
      </c>
      <c r="X229" s="48">
        <v>1</v>
      </c>
      <c r="AA229" s="48">
        <v>3</v>
      </c>
      <c r="AC229" s="48">
        <v>4</v>
      </c>
      <c r="AD229" s="91">
        <f t="shared" si="4"/>
        <v>5.0681818181818183</v>
      </c>
      <c r="AE229" s="48" t="e">
        <f>VLOOKUP(C229,#REF!,1,0)</f>
        <v>#REF!</v>
      </c>
    </row>
    <row r="230" spans="3:31" x14ac:dyDescent="0.25">
      <c r="C230" s="87" t="s">
        <v>766</v>
      </c>
      <c r="D230" s="4" t="s">
        <v>767</v>
      </c>
      <c r="E230" s="4" t="s">
        <v>768</v>
      </c>
      <c r="F230" s="92">
        <v>4.4800000000000004</v>
      </c>
      <c r="G230" s="4" t="s">
        <v>376</v>
      </c>
      <c r="H230" s="4" t="s">
        <v>81</v>
      </c>
      <c r="I230" s="4" t="s">
        <v>421</v>
      </c>
      <c r="J230" s="4" t="s">
        <v>84</v>
      </c>
      <c r="K230" s="4" t="s">
        <v>440</v>
      </c>
      <c r="L230" s="4" t="s">
        <v>54</v>
      </c>
      <c r="M230" s="4" t="s">
        <v>55</v>
      </c>
      <c r="N230" s="4" t="s">
        <v>653</v>
      </c>
      <c r="O230" s="4" t="s">
        <v>766</v>
      </c>
      <c r="P230" s="4" t="s">
        <v>42</v>
      </c>
      <c r="Q230" s="50" t="s">
        <v>43</v>
      </c>
      <c r="R230" s="50"/>
      <c r="S230" s="50" t="s">
        <v>741</v>
      </c>
      <c r="T230" s="82" t="s">
        <v>440</v>
      </c>
      <c r="U230" s="4" t="s">
        <v>43</v>
      </c>
      <c r="W230" s="48">
        <v>1</v>
      </c>
      <c r="X230" s="48">
        <v>1</v>
      </c>
      <c r="AA230" s="48">
        <v>2</v>
      </c>
      <c r="AC230" s="48">
        <v>4</v>
      </c>
      <c r="AD230" s="91">
        <f t="shared" si="4"/>
        <v>4.5</v>
      </c>
      <c r="AE230" s="48" t="e">
        <f>VLOOKUP(C230,#REF!,1,0)</f>
        <v>#REF!</v>
      </c>
    </row>
    <row r="231" spans="3:31" x14ac:dyDescent="0.25">
      <c r="C231" s="87" t="s">
        <v>936</v>
      </c>
      <c r="D231" s="4" t="s">
        <v>937</v>
      </c>
      <c r="E231" s="4" t="s">
        <v>938</v>
      </c>
      <c r="F231" s="92">
        <v>5.56</v>
      </c>
      <c r="G231" s="4" t="s">
        <v>376</v>
      </c>
      <c r="H231" s="4" t="s">
        <v>46</v>
      </c>
      <c r="I231" s="4" t="s">
        <v>377</v>
      </c>
      <c r="J231" s="4" t="s">
        <v>132</v>
      </c>
      <c r="K231" s="4" t="s">
        <v>43</v>
      </c>
      <c r="L231" s="4" t="s">
        <v>138</v>
      </c>
      <c r="M231" s="4" t="s">
        <v>40</v>
      </c>
      <c r="N231" s="4" t="s">
        <v>378</v>
      </c>
      <c r="O231" s="4" t="s">
        <v>936</v>
      </c>
      <c r="P231" s="4" t="s">
        <v>42</v>
      </c>
      <c r="Q231" s="72" t="s">
        <v>43</v>
      </c>
      <c r="R231" s="72"/>
      <c r="S231" s="50" t="s">
        <v>931</v>
      </c>
      <c r="T231" s="4" t="s">
        <v>43</v>
      </c>
      <c r="U231" s="4" t="s">
        <v>43</v>
      </c>
      <c r="W231" s="48">
        <v>1</v>
      </c>
      <c r="X231" s="48">
        <v>1</v>
      </c>
      <c r="Y231" s="48">
        <v>3</v>
      </c>
      <c r="AA231" s="94">
        <v>1</v>
      </c>
      <c r="AD231" s="91">
        <f t="shared" si="4"/>
        <v>5.5681818181818183</v>
      </c>
      <c r="AE231" s="48" t="e">
        <f>VLOOKUP(C231,#REF!,1,0)</f>
        <v>#REF!</v>
      </c>
    </row>
    <row r="232" spans="3:31" x14ac:dyDescent="0.25">
      <c r="C232" s="87" t="s">
        <v>634</v>
      </c>
      <c r="D232" s="4" t="s">
        <v>635</v>
      </c>
      <c r="E232" s="4" t="s">
        <v>635</v>
      </c>
      <c r="F232" s="92">
        <v>6</v>
      </c>
      <c r="G232" s="4" t="s">
        <v>376</v>
      </c>
      <c r="H232" s="4" t="s">
        <v>46</v>
      </c>
      <c r="I232" s="4" t="s">
        <v>421</v>
      </c>
      <c r="J232" s="4" t="s">
        <v>50</v>
      </c>
      <c r="K232" s="4" t="s">
        <v>43</v>
      </c>
      <c r="L232" s="4" t="s">
        <v>59</v>
      </c>
      <c r="M232" s="4" t="s">
        <v>40</v>
      </c>
      <c r="N232" s="4" t="s">
        <v>422</v>
      </c>
      <c r="O232" s="4" t="s">
        <v>634</v>
      </c>
      <c r="P232" s="4" t="s">
        <v>42</v>
      </c>
      <c r="Q232" s="50" t="s">
        <v>43</v>
      </c>
      <c r="R232" s="50"/>
      <c r="S232" s="50" t="s">
        <v>597</v>
      </c>
      <c r="T232" s="4" t="s">
        <v>43</v>
      </c>
      <c r="U232" s="4" t="s">
        <v>43</v>
      </c>
      <c r="W232" s="48">
        <v>1</v>
      </c>
      <c r="X232" s="48">
        <v>1</v>
      </c>
      <c r="Y232" s="48">
        <v>4</v>
      </c>
      <c r="AD232" s="91">
        <f t="shared" si="4"/>
        <v>6</v>
      </c>
      <c r="AE232" s="48" t="e">
        <f>VLOOKUP(C232,#REF!,1,0)</f>
        <v>#REF!</v>
      </c>
    </row>
    <row r="233" spans="3:31" x14ac:dyDescent="0.25">
      <c r="C233" s="87" t="s">
        <v>636</v>
      </c>
      <c r="D233" s="4" t="s">
        <v>637</v>
      </c>
      <c r="E233" s="4" t="s">
        <v>638</v>
      </c>
      <c r="F233" s="92">
        <v>6</v>
      </c>
      <c r="G233" s="4" t="s">
        <v>376</v>
      </c>
      <c r="H233" s="4" t="s">
        <v>46</v>
      </c>
      <c r="I233" s="4" t="s">
        <v>421</v>
      </c>
      <c r="J233" s="4" t="s">
        <v>50</v>
      </c>
      <c r="K233" s="4" t="s">
        <v>43</v>
      </c>
      <c r="L233" s="4" t="s">
        <v>315</v>
      </c>
      <c r="M233" s="4" t="s">
        <v>40</v>
      </c>
      <c r="N233" s="4" t="s">
        <v>422</v>
      </c>
      <c r="O233" s="4" t="s">
        <v>636</v>
      </c>
      <c r="P233" s="4" t="s">
        <v>42</v>
      </c>
      <c r="Q233" s="50" t="s">
        <v>43</v>
      </c>
      <c r="R233" s="50"/>
      <c r="S233" s="50" t="s">
        <v>597</v>
      </c>
      <c r="T233" s="4" t="s">
        <v>43</v>
      </c>
      <c r="U233" s="4" t="s">
        <v>43</v>
      </c>
      <c r="W233" s="48">
        <v>1</v>
      </c>
      <c r="X233" s="48">
        <v>2</v>
      </c>
      <c r="Y233" s="48">
        <v>3</v>
      </c>
      <c r="AD233" s="91">
        <f t="shared" si="4"/>
        <v>6</v>
      </c>
      <c r="AE233" s="48" t="e">
        <f>VLOOKUP(C233,#REF!,1,0)</f>
        <v>#REF!</v>
      </c>
    </row>
    <row r="234" spans="3:31" x14ac:dyDescent="0.25">
      <c r="C234" s="87" t="s">
        <v>695</v>
      </c>
      <c r="D234" s="4" t="s">
        <v>696</v>
      </c>
      <c r="E234" s="4" t="s">
        <v>696</v>
      </c>
      <c r="F234" s="92">
        <v>5</v>
      </c>
      <c r="G234" s="4" t="s">
        <v>376</v>
      </c>
      <c r="H234" s="4" t="s">
        <v>46</v>
      </c>
      <c r="I234" s="4" t="s">
        <v>377</v>
      </c>
      <c r="J234" s="4" t="s">
        <v>248</v>
      </c>
      <c r="K234" s="4" t="s">
        <v>43</v>
      </c>
      <c r="L234" s="4" t="s">
        <v>51</v>
      </c>
      <c r="M234" s="4" t="s">
        <v>40</v>
      </c>
      <c r="N234" s="4" t="s">
        <v>653</v>
      </c>
      <c r="O234" s="4" t="s">
        <v>695</v>
      </c>
      <c r="P234" s="4" t="s">
        <v>42</v>
      </c>
      <c r="Q234" s="50" t="s">
        <v>43</v>
      </c>
      <c r="R234" s="50"/>
      <c r="S234" s="50" t="s">
        <v>51</v>
      </c>
      <c r="T234" s="4" t="s">
        <v>43</v>
      </c>
      <c r="U234" s="4" t="s">
        <v>43</v>
      </c>
      <c r="W234" s="48">
        <v>1</v>
      </c>
      <c r="X234" s="48">
        <v>1</v>
      </c>
      <c r="Y234" s="48">
        <v>3</v>
      </c>
      <c r="AD234" s="91">
        <f t="shared" si="4"/>
        <v>5</v>
      </c>
      <c r="AE234" s="48" t="s">
        <v>1220</v>
      </c>
    </row>
    <row r="235" spans="3:31" x14ac:dyDescent="0.25">
      <c r="C235" s="87" t="s">
        <v>821</v>
      </c>
      <c r="D235" s="4" t="s">
        <v>822</v>
      </c>
      <c r="E235" s="4" t="s">
        <v>822</v>
      </c>
      <c r="F235" s="92">
        <v>5.5600000000000005</v>
      </c>
      <c r="G235" s="4" t="s">
        <v>376</v>
      </c>
      <c r="H235" s="4" t="s">
        <v>46</v>
      </c>
      <c r="I235" s="4" t="s">
        <v>421</v>
      </c>
      <c r="J235" s="4" t="s">
        <v>798</v>
      </c>
      <c r="K235" s="4" t="s">
        <v>43</v>
      </c>
      <c r="L235" s="4" t="s">
        <v>59</v>
      </c>
      <c r="M235" s="4" t="s">
        <v>40</v>
      </c>
      <c r="N235" s="4" t="s">
        <v>653</v>
      </c>
      <c r="O235" s="4" t="s">
        <v>821</v>
      </c>
      <c r="P235" s="4" t="s">
        <v>42</v>
      </c>
      <c r="Q235" s="50" t="s">
        <v>43</v>
      </c>
      <c r="R235" s="50"/>
      <c r="S235" s="50" t="s">
        <v>799</v>
      </c>
      <c r="T235" s="4" t="s">
        <v>43</v>
      </c>
      <c r="U235" s="4" t="s">
        <v>43</v>
      </c>
      <c r="W235" s="48">
        <v>1</v>
      </c>
      <c r="X235" s="48">
        <v>1</v>
      </c>
      <c r="Y235" s="48">
        <v>3</v>
      </c>
      <c r="AA235" s="94">
        <v>1</v>
      </c>
      <c r="AD235" s="91">
        <f t="shared" si="4"/>
        <v>5.5681818181818183</v>
      </c>
      <c r="AE235" s="48" t="e">
        <f>VLOOKUP(C235,#REF!,1,0)</f>
        <v>#REF!</v>
      </c>
    </row>
    <row r="236" spans="3:31" x14ac:dyDescent="0.25">
      <c r="C236" s="87" t="s">
        <v>833</v>
      </c>
      <c r="D236" s="4" t="s">
        <v>834</v>
      </c>
      <c r="E236" s="4" t="s">
        <v>835</v>
      </c>
      <c r="F236" s="92">
        <v>5.5600000000000005</v>
      </c>
      <c r="G236" s="4" t="s">
        <v>376</v>
      </c>
      <c r="H236" s="4" t="s">
        <v>46</v>
      </c>
      <c r="I236" s="4" t="s">
        <v>421</v>
      </c>
      <c r="J236" s="4" t="s">
        <v>798</v>
      </c>
      <c r="K236" s="4" t="s">
        <v>43</v>
      </c>
      <c r="L236" s="4" t="s">
        <v>59</v>
      </c>
      <c r="M236" s="4" t="s">
        <v>40</v>
      </c>
      <c r="N236" s="4" t="s">
        <v>653</v>
      </c>
      <c r="O236" s="4" t="s">
        <v>833</v>
      </c>
      <c r="P236" s="4" t="s">
        <v>42</v>
      </c>
      <c r="Q236" s="50" t="s">
        <v>43</v>
      </c>
      <c r="R236" s="50"/>
      <c r="S236" s="50" t="s">
        <v>799</v>
      </c>
      <c r="T236" s="4" t="s">
        <v>43</v>
      </c>
      <c r="U236" s="4" t="s">
        <v>43</v>
      </c>
      <c r="W236" s="48">
        <v>1</v>
      </c>
      <c r="X236" s="48">
        <v>1</v>
      </c>
      <c r="Y236" s="48">
        <v>3</v>
      </c>
      <c r="AA236" s="94">
        <v>1</v>
      </c>
      <c r="AD236" s="91">
        <f t="shared" si="4"/>
        <v>5.5681818181818183</v>
      </c>
      <c r="AE236" s="48" t="e">
        <f>VLOOKUP(C236,#REF!,1,0)</f>
        <v>#REF!</v>
      </c>
    </row>
    <row r="237" spans="3:31" x14ac:dyDescent="0.25">
      <c r="C237" s="87" t="s">
        <v>646</v>
      </c>
      <c r="D237" s="4" t="s">
        <v>647</v>
      </c>
      <c r="E237" s="4" t="s">
        <v>647</v>
      </c>
      <c r="F237" s="92">
        <v>7</v>
      </c>
      <c r="G237" s="4" t="s">
        <v>376</v>
      </c>
      <c r="H237" s="4" t="s">
        <v>46</v>
      </c>
      <c r="I237" s="4" t="s">
        <v>421</v>
      </c>
      <c r="J237" s="4" t="s">
        <v>50</v>
      </c>
      <c r="K237" s="4" t="s">
        <v>43</v>
      </c>
      <c r="L237" s="4" t="s">
        <v>59</v>
      </c>
      <c r="M237" s="4" t="s">
        <v>40</v>
      </c>
      <c r="N237" s="4" t="s">
        <v>422</v>
      </c>
      <c r="O237" s="4" t="s">
        <v>646</v>
      </c>
      <c r="P237" s="4" t="s">
        <v>42</v>
      </c>
      <c r="Q237" s="50" t="s">
        <v>43</v>
      </c>
      <c r="R237" s="50"/>
      <c r="S237" s="50" t="s">
        <v>597</v>
      </c>
      <c r="T237" s="4" t="s">
        <v>43</v>
      </c>
      <c r="U237" s="4" t="s">
        <v>43</v>
      </c>
      <c r="W237" s="48">
        <v>1</v>
      </c>
      <c r="X237" s="48">
        <v>1</v>
      </c>
      <c r="Y237" s="48">
        <v>5</v>
      </c>
      <c r="AD237" s="91">
        <f t="shared" si="4"/>
        <v>7</v>
      </c>
      <c r="AE237" s="48" t="e">
        <f>VLOOKUP(C237,#REF!,1,0)</f>
        <v>#REF!</v>
      </c>
    </row>
    <row r="238" spans="3:31" x14ac:dyDescent="0.25">
      <c r="C238" s="87" t="s">
        <v>648</v>
      </c>
      <c r="D238" s="4" t="s">
        <v>649</v>
      </c>
      <c r="E238" s="4" t="s">
        <v>650</v>
      </c>
      <c r="F238" s="92">
        <v>7.45</v>
      </c>
      <c r="G238" s="4" t="s">
        <v>376</v>
      </c>
      <c r="H238" s="4" t="s">
        <v>46</v>
      </c>
      <c r="I238" s="4" t="s">
        <v>421</v>
      </c>
      <c r="J238" s="4" t="s">
        <v>50</v>
      </c>
      <c r="K238" s="4" t="s">
        <v>43</v>
      </c>
      <c r="L238" s="4" t="s">
        <v>64</v>
      </c>
      <c r="M238" s="4" t="s">
        <v>40</v>
      </c>
      <c r="N238" s="4" t="s">
        <v>422</v>
      </c>
      <c r="O238" s="4" t="s">
        <v>648</v>
      </c>
      <c r="P238" s="4" t="s">
        <v>42</v>
      </c>
      <c r="Q238" s="50" t="s">
        <v>43</v>
      </c>
      <c r="R238" s="50"/>
      <c r="S238" s="50" t="s">
        <v>597</v>
      </c>
      <c r="T238" s="4" t="s">
        <v>43</v>
      </c>
      <c r="U238" s="4" t="s">
        <v>43</v>
      </c>
      <c r="W238" s="48">
        <v>1</v>
      </c>
      <c r="X238" s="48">
        <v>2</v>
      </c>
      <c r="Y238" s="48">
        <v>4</v>
      </c>
      <c r="AB238" s="48">
        <v>1</v>
      </c>
      <c r="AD238" s="91">
        <f t="shared" si="4"/>
        <v>7.4545454545454541</v>
      </c>
      <c r="AE238" s="48" t="e">
        <f>VLOOKUP(C238,#REF!,1,0)</f>
        <v>#REF!</v>
      </c>
    </row>
    <row r="239" spans="3:31" x14ac:dyDescent="0.25">
      <c r="C239" s="87" t="s">
        <v>651</v>
      </c>
      <c r="D239" s="4" t="s">
        <v>652</v>
      </c>
      <c r="E239" s="4" t="s">
        <v>652</v>
      </c>
      <c r="F239" s="92">
        <v>12</v>
      </c>
      <c r="G239" s="4" t="s">
        <v>376</v>
      </c>
      <c r="H239" s="4" t="s">
        <v>46</v>
      </c>
      <c r="I239" s="4" t="s">
        <v>377</v>
      </c>
      <c r="J239" s="4" t="s">
        <v>248</v>
      </c>
      <c r="K239" s="4" t="s">
        <v>43</v>
      </c>
      <c r="L239" s="4" t="s">
        <v>51</v>
      </c>
      <c r="M239" s="4" t="s">
        <v>40</v>
      </c>
      <c r="N239" s="4" t="s">
        <v>653</v>
      </c>
      <c r="O239" s="4" t="s">
        <v>651</v>
      </c>
      <c r="P239" s="4" t="s">
        <v>379</v>
      </c>
      <c r="Q239" s="50" t="s">
        <v>43</v>
      </c>
      <c r="R239" s="50"/>
      <c r="S239" s="50" t="s">
        <v>51</v>
      </c>
      <c r="T239" s="4" t="s">
        <v>43</v>
      </c>
      <c r="U239" s="4" t="s">
        <v>43</v>
      </c>
      <c r="W239" s="48">
        <v>1</v>
      </c>
      <c r="X239" s="48">
        <v>2</v>
      </c>
      <c r="Y239" s="48">
        <v>9</v>
      </c>
      <c r="AD239" s="94">
        <f t="shared" si="4"/>
        <v>12</v>
      </c>
      <c r="AE239" s="48" t="e">
        <f>VLOOKUP(C239,#REF!,1,0)</f>
        <v>#REF!</v>
      </c>
    </row>
    <row r="240" spans="3:31" x14ac:dyDescent="0.25">
      <c r="C240" s="87" t="s">
        <v>654</v>
      </c>
      <c r="D240" s="4" t="s">
        <v>655</v>
      </c>
      <c r="E240" s="4" t="s">
        <v>655</v>
      </c>
      <c r="F240" s="92">
        <v>7</v>
      </c>
      <c r="G240" s="4" t="s">
        <v>376</v>
      </c>
      <c r="H240" s="4" t="s">
        <v>46</v>
      </c>
      <c r="I240" s="4" t="s">
        <v>377</v>
      </c>
      <c r="J240" s="4" t="s">
        <v>248</v>
      </c>
      <c r="K240" s="4" t="s">
        <v>43</v>
      </c>
      <c r="L240" s="4" t="s">
        <v>51</v>
      </c>
      <c r="M240" s="4" t="s">
        <v>40</v>
      </c>
      <c r="N240" s="4" t="s">
        <v>653</v>
      </c>
      <c r="O240" s="4" t="s">
        <v>654</v>
      </c>
      <c r="P240" s="4" t="s">
        <v>42</v>
      </c>
      <c r="Q240" s="50" t="s">
        <v>43</v>
      </c>
      <c r="R240" s="50"/>
      <c r="S240" s="50" t="s">
        <v>51</v>
      </c>
      <c r="T240" s="4" t="s">
        <v>43</v>
      </c>
      <c r="U240" s="4" t="s">
        <v>43</v>
      </c>
      <c r="W240" s="48">
        <v>1</v>
      </c>
      <c r="X240" s="48">
        <v>1</v>
      </c>
      <c r="Y240" s="48">
        <v>5</v>
      </c>
      <c r="AD240" s="91">
        <f t="shared" si="4"/>
        <v>7</v>
      </c>
      <c r="AE240" s="48" t="e">
        <f>VLOOKUP(C240,#REF!,1,0)</f>
        <v>#REF!</v>
      </c>
    </row>
    <row r="241" spans="3:31" x14ac:dyDescent="0.25">
      <c r="C241" s="87" t="s">
        <v>712</v>
      </c>
      <c r="D241" s="4" t="s">
        <v>713</v>
      </c>
      <c r="E241" s="4" t="s">
        <v>713</v>
      </c>
      <c r="F241" s="92">
        <v>5</v>
      </c>
      <c r="G241" s="4" t="s">
        <v>376</v>
      </c>
      <c r="H241" s="4" t="s">
        <v>46</v>
      </c>
      <c r="I241" s="4" t="s">
        <v>421</v>
      </c>
      <c r="J241" s="4" t="s">
        <v>84</v>
      </c>
      <c r="K241" s="4" t="s">
        <v>440</v>
      </c>
      <c r="L241" s="4" t="s">
        <v>54</v>
      </c>
      <c r="M241" s="4" t="s">
        <v>55</v>
      </c>
      <c r="N241" s="4" t="s">
        <v>653</v>
      </c>
      <c r="O241" s="4" t="s">
        <v>712</v>
      </c>
      <c r="P241" s="4" t="s">
        <v>42</v>
      </c>
      <c r="Q241" s="50" t="s">
        <v>43</v>
      </c>
      <c r="R241" s="50"/>
      <c r="S241" s="50" t="s">
        <v>702</v>
      </c>
      <c r="T241" s="4" t="s">
        <v>43</v>
      </c>
      <c r="U241" s="4" t="s">
        <v>43</v>
      </c>
      <c r="W241" s="48">
        <v>1</v>
      </c>
      <c r="X241" s="48">
        <v>1</v>
      </c>
      <c r="Y241" s="48">
        <v>3</v>
      </c>
      <c r="AD241" s="91">
        <f t="shared" si="4"/>
        <v>5</v>
      </c>
      <c r="AE241" s="48" t="s">
        <v>1220</v>
      </c>
    </row>
    <row r="242" spans="3:31" x14ac:dyDescent="0.25">
      <c r="C242" s="87" t="s">
        <v>659</v>
      </c>
      <c r="D242" s="4" t="s">
        <v>660</v>
      </c>
      <c r="E242" s="4" t="s">
        <v>661</v>
      </c>
      <c r="F242" s="92">
        <v>6</v>
      </c>
      <c r="G242" s="4" t="s">
        <v>376</v>
      </c>
      <c r="H242" s="4" t="s">
        <v>46</v>
      </c>
      <c r="I242" s="4" t="s">
        <v>377</v>
      </c>
      <c r="J242" s="4" t="s">
        <v>248</v>
      </c>
      <c r="K242" s="4" t="s">
        <v>43</v>
      </c>
      <c r="L242" s="4" t="s">
        <v>51</v>
      </c>
      <c r="M242" s="4" t="s">
        <v>40</v>
      </c>
      <c r="N242" s="4" t="s">
        <v>653</v>
      </c>
      <c r="O242" s="4" t="s">
        <v>659</v>
      </c>
      <c r="P242" s="4" t="s">
        <v>42</v>
      </c>
      <c r="Q242" s="50" t="s">
        <v>43</v>
      </c>
      <c r="R242" s="50"/>
      <c r="S242" s="50" t="s">
        <v>51</v>
      </c>
      <c r="T242" s="4" t="s">
        <v>43</v>
      </c>
      <c r="U242" s="4" t="s">
        <v>43</v>
      </c>
      <c r="W242" s="48">
        <v>1</v>
      </c>
      <c r="X242" s="48">
        <v>1</v>
      </c>
      <c r="Y242" s="48">
        <v>4</v>
      </c>
      <c r="AD242" s="91">
        <f t="shared" si="4"/>
        <v>6</v>
      </c>
      <c r="AE242" s="48" t="e">
        <f>VLOOKUP(C242,#REF!,1,0)</f>
        <v>#REF!</v>
      </c>
    </row>
    <row r="243" spans="3:31" x14ac:dyDescent="0.25">
      <c r="C243" s="87" t="s">
        <v>628</v>
      </c>
      <c r="D243" s="4" t="s">
        <v>629</v>
      </c>
      <c r="E243" s="4" t="s">
        <v>630</v>
      </c>
      <c r="F243" s="92">
        <v>5.6</v>
      </c>
      <c r="G243" s="4" t="s">
        <v>376</v>
      </c>
      <c r="H243" s="4" t="s">
        <v>46</v>
      </c>
      <c r="I243" s="4" t="s">
        <v>421</v>
      </c>
      <c r="J243" s="4" t="s">
        <v>50</v>
      </c>
      <c r="K243" s="4" t="s">
        <v>43</v>
      </c>
      <c r="L243" s="4" t="s">
        <v>64</v>
      </c>
      <c r="M243" s="4" t="s">
        <v>40</v>
      </c>
      <c r="N243" s="4" t="s">
        <v>422</v>
      </c>
      <c r="O243" s="4" t="s">
        <v>628</v>
      </c>
      <c r="P243" s="4" t="s">
        <v>42</v>
      </c>
      <c r="Q243" s="50" t="s">
        <v>43</v>
      </c>
      <c r="R243" s="50"/>
      <c r="S243" s="50" t="s">
        <v>597</v>
      </c>
      <c r="T243" s="4" t="s">
        <v>43</v>
      </c>
      <c r="U243" s="4" t="s">
        <v>43</v>
      </c>
      <c r="W243" s="48">
        <v>1</v>
      </c>
      <c r="X243" s="48">
        <v>1</v>
      </c>
      <c r="AA243" s="48">
        <v>4</v>
      </c>
      <c r="AC243" s="48">
        <v>4</v>
      </c>
      <c r="AD243" s="91">
        <f t="shared" si="4"/>
        <v>5.6363636363636367</v>
      </c>
      <c r="AE243" s="48" t="e">
        <f>VLOOKUP(C243,#REF!,1,0)</f>
        <v>#REF!</v>
      </c>
    </row>
    <row r="244" spans="3:31" x14ac:dyDescent="0.25">
      <c r="C244" s="87" t="s">
        <v>665</v>
      </c>
      <c r="D244" s="4" t="s">
        <v>666</v>
      </c>
      <c r="E244" s="4" t="s">
        <v>666</v>
      </c>
      <c r="F244" s="92">
        <v>6</v>
      </c>
      <c r="G244" s="4" t="s">
        <v>376</v>
      </c>
      <c r="H244" s="4" t="s">
        <v>46</v>
      </c>
      <c r="I244" s="4" t="s">
        <v>377</v>
      </c>
      <c r="J244" s="4" t="s">
        <v>248</v>
      </c>
      <c r="K244" s="4" t="s">
        <v>43</v>
      </c>
      <c r="L244" s="4" t="s">
        <v>51</v>
      </c>
      <c r="M244" s="4" t="s">
        <v>40</v>
      </c>
      <c r="N244" s="4" t="s">
        <v>653</v>
      </c>
      <c r="O244" s="4" t="s">
        <v>665</v>
      </c>
      <c r="P244" s="4" t="s">
        <v>42</v>
      </c>
      <c r="Q244" s="50" t="s">
        <v>43</v>
      </c>
      <c r="R244" s="50"/>
      <c r="S244" s="50" t="s">
        <v>51</v>
      </c>
      <c r="T244" s="4" t="s">
        <v>43</v>
      </c>
      <c r="U244" s="4" t="s">
        <v>43</v>
      </c>
      <c r="W244" s="48">
        <v>1</v>
      </c>
      <c r="X244" s="48">
        <v>1</v>
      </c>
      <c r="Y244" s="48">
        <v>4</v>
      </c>
      <c r="AD244" s="91">
        <f t="shared" si="4"/>
        <v>6</v>
      </c>
      <c r="AE244" s="48" t="e">
        <f>VLOOKUP(C244,#REF!,1,0)</f>
        <v>#REF!</v>
      </c>
    </row>
    <row r="245" spans="3:31" x14ac:dyDescent="0.25">
      <c r="C245" s="87" t="s">
        <v>667</v>
      </c>
      <c r="D245" s="4" t="s">
        <v>668</v>
      </c>
      <c r="E245" s="4" t="s">
        <v>668</v>
      </c>
      <c r="F245" s="92">
        <v>6</v>
      </c>
      <c r="G245" s="4" t="s">
        <v>376</v>
      </c>
      <c r="H245" s="4" t="s">
        <v>46</v>
      </c>
      <c r="I245" s="4" t="s">
        <v>377</v>
      </c>
      <c r="J245" s="4" t="s">
        <v>248</v>
      </c>
      <c r="K245" s="4" t="s">
        <v>43</v>
      </c>
      <c r="L245" s="4" t="s">
        <v>51</v>
      </c>
      <c r="M245" s="4" t="s">
        <v>40</v>
      </c>
      <c r="N245" s="4" t="s">
        <v>653</v>
      </c>
      <c r="O245" s="4" t="s">
        <v>667</v>
      </c>
      <c r="P245" s="4" t="s">
        <v>42</v>
      </c>
      <c r="Q245" s="50" t="s">
        <v>43</v>
      </c>
      <c r="R245" s="50"/>
      <c r="S245" s="50" t="s">
        <v>51</v>
      </c>
      <c r="T245" s="4" t="s">
        <v>43</v>
      </c>
      <c r="U245" s="4" t="s">
        <v>43</v>
      </c>
      <c r="W245" s="48">
        <v>1</v>
      </c>
      <c r="X245" s="48">
        <v>1</v>
      </c>
      <c r="Y245" s="48">
        <v>4</v>
      </c>
      <c r="AD245" s="91">
        <f t="shared" si="4"/>
        <v>6</v>
      </c>
      <c r="AE245" s="48" t="e">
        <f>VLOOKUP(C245,#REF!,1,0)</f>
        <v>#REF!</v>
      </c>
    </row>
    <row r="246" spans="3:31" x14ac:dyDescent="0.25">
      <c r="C246" s="87" t="s">
        <v>669</v>
      </c>
      <c r="D246" s="4" t="s">
        <v>670</v>
      </c>
      <c r="E246" s="4" t="s">
        <v>670</v>
      </c>
      <c r="F246" s="92">
        <v>5.45</v>
      </c>
      <c r="G246" s="4" t="s">
        <v>376</v>
      </c>
      <c r="H246" s="4" t="s">
        <v>46</v>
      </c>
      <c r="I246" s="4" t="s">
        <v>377</v>
      </c>
      <c r="J246" s="4" t="s">
        <v>248</v>
      </c>
      <c r="K246" s="4" t="s">
        <v>43</v>
      </c>
      <c r="L246" s="4" t="s">
        <v>51</v>
      </c>
      <c r="M246" s="4" t="s">
        <v>40</v>
      </c>
      <c r="N246" s="4" t="s">
        <v>653</v>
      </c>
      <c r="O246" s="4" t="s">
        <v>669</v>
      </c>
      <c r="P246" s="4" t="s">
        <v>42</v>
      </c>
      <c r="Q246" s="50" t="s">
        <v>43</v>
      </c>
      <c r="R246" s="50"/>
      <c r="S246" s="50" t="s">
        <v>51</v>
      </c>
      <c r="T246" s="4" t="s">
        <v>43</v>
      </c>
      <c r="U246" s="4" t="s">
        <v>43</v>
      </c>
      <c r="W246" s="48">
        <v>1</v>
      </c>
      <c r="X246" s="48">
        <v>1</v>
      </c>
      <c r="Y246" s="48">
        <v>3</v>
      </c>
      <c r="AB246" s="48">
        <v>1</v>
      </c>
      <c r="AD246" s="91">
        <f t="shared" si="4"/>
        <v>5.4545454545454541</v>
      </c>
      <c r="AE246" s="48" t="e">
        <f>VLOOKUP(C246,#REF!,1,0)</f>
        <v>#REF!</v>
      </c>
    </row>
    <row r="247" spans="3:31" x14ac:dyDescent="0.25">
      <c r="C247" s="87" t="s">
        <v>714</v>
      </c>
      <c r="D247" s="4" t="s">
        <v>715</v>
      </c>
      <c r="E247" s="4" t="s">
        <v>715</v>
      </c>
      <c r="F247" s="92">
        <v>5</v>
      </c>
      <c r="G247" s="4" t="s">
        <v>376</v>
      </c>
      <c r="H247" s="4" t="s">
        <v>46</v>
      </c>
      <c r="I247" s="4" t="s">
        <v>421</v>
      </c>
      <c r="J247" s="4" t="s">
        <v>84</v>
      </c>
      <c r="K247" s="4" t="s">
        <v>440</v>
      </c>
      <c r="L247" s="4" t="s">
        <v>54</v>
      </c>
      <c r="M247" s="4" t="s">
        <v>55</v>
      </c>
      <c r="N247" s="4" t="s">
        <v>653</v>
      </c>
      <c r="O247" s="4" t="s">
        <v>714</v>
      </c>
      <c r="P247" s="4" t="s">
        <v>42</v>
      </c>
      <c r="Q247" s="50" t="s">
        <v>43</v>
      </c>
      <c r="R247" s="50"/>
      <c r="S247" s="50" t="s">
        <v>702</v>
      </c>
      <c r="T247" s="4" t="s">
        <v>43</v>
      </c>
      <c r="U247" s="4" t="s">
        <v>43</v>
      </c>
      <c r="W247" s="48">
        <v>1</v>
      </c>
      <c r="X247" s="48">
        <v>1</v>
      </c>
      <c r="Y247" s="48">
        <v>3</v>
      </c>
      <c r="AD247" s="91">
        <f t="shared" si="4"/>
        <v>5</v>
      </c>
      <c r="AE247" s="48" t="s">
        <v>1220</v>
      </c>
    </row>
    <row r="248" spans="3:31" x14ac:dyDescent="0.25">
      <c r="C248" s="87" t="s">
        <v>673</v>
      </c>
      <c r="D248" s="4" t="s">
        <v>674</v>
      </c>
      <c r="E248" s="4" t="s">
        <v>674</v>
      </c>
      <c r="F248" s="92">
        <v>5.45</v>
      </c>
      <c r="G248" s="4" t="s">
        <v>376</v>
      </c>
      <c r="H248" s="4" t="s">
        <v>46</v>
      </c>
      <c r="I248" s="4" t="s">
        <v>377</v>
      </c>
      <c r="J248" s="4" t="s">
        <v>248</v>
      </c>
      <c r="K248" s="4" t="s">
        <v>43</v>
      </c>
      <c r="L248" s="4" t="s">
        <v>51</v>
      </c>
      <c r="M248" s="4" t="s">
        <v>40</v>
      </c>
      <c r="N248" s="4" t="s">
        <v>653</v>
      </c>
      <c r="O248" s="4" t="s">
        <v>673</v>
      </c>
      <c r="P248" s="4" t="s">
        <v>42</v>
      </c>
      <c r="Q248" s="50" t="s">
        <v>43</v>
      </c>
      <c r="R248" s="50"/>
      <c r="S248" s="50" t="s">
        <v>51</v>
      </c>
      <c r="T248" s="4" t="s">
        <v>43</v>
      </c>
      <c r="U248" s="4" t="s">
        <v>43</v>
      </c>
      <c r="W248" s="48">
        <v>1</v>
      </c>
      <c r="X248" s="48">
        <v>1</v>
      </c>
      <c r="Y248" s="48">
        <v>3</v>
      </c>
      <c r="AB248" s="48">
        <v>1</v>
      </c>
      <c r="AD248" s="91">
        <f t="shared" si="4"/>
        <v>5.4545454545454541</v>
      </c>
      <c r="AE248" s="48" t="e">
        <f>VLOOKUP(C248,#REF!,1,0)</f>
        <v>#REF!</v>
      </c>
    </row>
    <row r="249" spans="3:31" x14ac:dyDescent="0.25">
      <c r="C249" s="87" t="s">
        <v>716</v>
      </c>
      <c r="D249" s="4" t="s">
        <v>717</v>
      </c>
      <c r="E249" s="4" t="s">
        <v>718</v>
      </c>
      <c r="F249" s="92">
        <v>5</v>
      </c>
      <c r="G249" s="4" t="s">
        <v>376</v>
      </c>
      <c r="H249" s="4" t="s">
        <v>46</v>
      </c>
      <c r="I249" s="4" t="s">
        <v>421</v>
      </c>
      <c r="J249" s="4" t="s">
        <v>84</v>
      </c>
      <c r="K249" s="4" t="s">
        <v>440</v>
      </c>
      <c r="L249" s="4" t="s">
        <v>54</v>
      </c>
      <c r="M249" s="4" t="s">
        <v>55</v>
      </c>
      <c r="N249" s="4" t="s">
        <v>653</v>
      </c>
      <c r="O249" s="4" t="s">
        <v>716</v>
      </c>
      <c r="P249" s="4" t="s">
        <v>42</v>
      </c>
      <c r="Q249" s="50" t="s">
        <v>43</v>
      </c>
      <c r="R249" s="50"/>
      <c r="S249" s="50" t="s">
        <v>702</v>
      </c>
      <c r="T249" s="4" t="s">
        <v>43</v>
      </c>
      <c r="U249" s="4" t="s">
        <v>43</v>
      </c>
      <c r="W249" s="48">
        <v>1</v>
      </c>
      <c r="X249" s="48">
        <v>1</v>
      </c>
      <c r="Y249" s="48">
        <v>3</v>
      </c>
      <c r="AD249" s="91">
        <f t="shared" si="4"/>
        <v>5</v>
      </c>
      <c r="AE249" s="48" t="s">
        <v>1220</v>
      </c>
    </row>
    <row r="250" spans="3:31" x14ac:dyDescent="0.25">
      <c r="C250" s="87" t="s">
        <v>719</v>
      </c>
      <c r="D250" s="4" t="s">
        <v>720</v>
      </c>
      <c r="E250" s="4" t="s">
        <v>721</v>
      </c>
      <c r="F250" s="92">
        <v>5</v>
      </c>
      <c r="G250" s="4" t="s">
        <v>376</v>
      </c>
      <c r="H250" s="4" t="s">
        <v>81</v>
      </c>
      <c r="I250" s="4" t="s">
        <v>421</v>
      </c>
      <c r="J250" s="4" t="s">
        <v>84</v>
      </c>
      <c r="K250" s="4" t="s">
        <v>440</v>
      </c>
      <c r="L250" s="4" t="s">
        <v>722</v>
      </c>
      <c r="M250" s="4" t="s">
        <v>55</v>
      </c>
      <c r="N250" s="4" t="s">
        <v>653</v>
      </c>
      <c r="O250" s="4" t="s">
        <v>719</v>
      </c>
      <c r="P250" s="4" t="s">
        <v>42</v>
      </c>
      <c r="Q250" s="50" t="s">
        <v>43</v>
      </c>
      <c r="R250" s="50"/>
      <c r="S250" s="50" t="s">
        <v>702</v>
      </c>
      <c r="T250" s="4" t="s">
        <v>43</v>
      </c>
      <c r="U250" s="4" t="s">
        <v>43</v>
      </c>
      <c r="W250" s="48">
        <v>1</v>
      </c>
      <c r="X250" s="48">
        <v>1</v>
      </c>
      <c r="Y250" s="48">
        <v>3</v>
      </c>
      <c r="AD250" s="91">
        <f t="shared" si="4"/>
        <v>5</v>
      </c>
      <c r="AE250" s="48" t="s">
        <v>1220</v>
      </c>
    </row>
    <row r="251" spans="3:31" x14ac:dyDescent="0.25">
      <c r="C251" s="87" t="s">
        <v>723</v>
      </c>
      <c r="D251" s="4" t="s">
        <v>724</v>
      </c>
      <c r="E251" s="4" t="s">
        <v>725</v>
      </c>
      <c r="F251" s="92">
        <v>5</v>
      </c>
      <c r="G251" s="4" t="s">
        <v>376</v>
      </c>
      <c r="H251" s="4" t="s">
        <v>46</v>
      </c>
      <c r="I251" s="4" t="s">
        <v>421</v>
      </c>
      <c r="J251" s="4" t="s">
        <v>84</v>
      </c>
      <c r="K251" s="4" t="s">
        <v>440</v>
      </c>
      <c r="L251" s="4" t="s">
        <v>54</v>
      </c>
      <c r="M251" s="4" t="s">
        <v>55</v>
      </c>
      <c r="N251" s="4" t="s">
        <v>653</v>
      </c>
      <c r="O251" s="4" t="s">
        <v>723</v>
      </c>
      <c r="P251" s="4" t="s">
        <v>42</v>
      </c>
      <c r="Q251" s="50" t="s">
        <v>43</v>
      </c>
      <c r="R251" s="50"/>
      <c r="S251" s="50" t="s">
        <v>702</v>
      </c>
      <c r="T251" s="4" t="s">
        <v>43</v>
      </c>
      <c r="U251" s="4" t="s">
        <v>43</v>
      </c>
      <c r="W251" s="48">
        <v>1</v>
      </c>
      <c r="X251" s="48">
        <v>1</v>
      </c>
      <c r="Y251" s="48">
        <v>3</v>
      </c>
      <c r="AD251" s="91">
        <f t="shared" si="4"/>
        <v>5</v>
      </c>
      <c r="AE251" s="48" t="s">
        <v>1220</v>
      </c>
    </row>
    <row r="252" spans="3:31" x14ac:dyDescent="0.25">
      <c r="C252" s="87" t="s">
        <v>726</v>
      </c>
      <c r="D252" s="4" t="s">
        <v>727</v>
      </c>
      <c r="E252" s="4" t="s">
        <v>727</v>
      </c>
      <c r="F252" s="92">
        <v>5</v>
      </c>
      <c r="G252" s="4" t="s">
        <v>37</v>
      </c>
      <c r="H252" s="4" t="s">
        <v>81</v>
      </c>
      <c r="I252" s="4" t="s">
        <v>421</v>
      </c>
      <c r="J252" s="4" t="s">
        <v>84</v>
      </c>
      <c r="K252" s="4"/>
      <c r="L252" s="4" t="s">
        <v>54</v>
      </c>
      <c r="M252" s="4" t="s">
        <v>55</v>
      </c>
      <c r="N252" s="4" t="s">
        <v>41</v>
      </c>
      <c r="O252" s="4" t="s">
        <v>726</v>
      </c>
      <c r="P252" s="4" t="s">
        <v>42</v>
      </c>
      <c r="Q252" s="50" t="s">
        <v>43</v>
      </c>
      <c r="R252" s="50"/>
      <c r="S252" s="50" t="s">
        <v>702</v>
      </c>
      <c r="T252" s="4" t="s">
        <v>43</v>
      </c>
      <c r="U252" s="4" t="s">
        <v>43</v>
      </c>
      <c r="W252" s="48">
        <v>1</v>
      </c>
      <c r="X252" s="48">
        <v>1</v>
      </c>
      <c r="Y252" s="48">
        <v>3</v>
      </c>
      <c r="AD252" s="91">
        <f t="shared" si="4"/>
        <v>5</v>
      </c>
      <c r="AE252" s="48" t="s">
        <v>1220</v>
      </c>
    </row>
    <row r="253" spans="3:31" x14ac:dyDescent="0.25">
      <c r="C253" s="87" t="s">
        <v>731</v>
      </c>
      <c r="D253" s="4" t="s">
        <v>732</v>
      </c>
      <c r="E253" s="4" t="s">
        <v>54</v>
      </c>
      <c r="F253" s="92">
        <v>5</v>
      </c>
      <c r="G253" s="4" t="s">
        <v>376</v>
      </c>
      <c r="H253" s="4" t="s">
        <v>46</v>
      </c>
      <c r="I253" s="4" t="s">
        <v>421</v>
      </c>
      <c r="J253" s="4" t="s">
        <v>84</v>
      </c>
      <c r="K253" s="4" t="s">
        <v>440</v>
      </c>
      <c r="L253" s="4" t="s">
        <v>54</v>
      </c>
      <c r="M253" s="4" t="s">
        <v>55</v>
      </c>
      <c r="N253" s="4" t="s">
        <v>653</v>
      </c>
      <c r="O253" s="4" t="s">
        <v>731</v>
      </c>
      <c r="P253" s="4" t="s">
        <v>42</v>
      </c>
      <c r="Q253" s="50" t="s">
        <v>43</v>
      </c>
      <c r="R253" s="50"/>
      <c r="S253" s="50" t="s">
        <v>702</v>
      </c>
      <c r="T253" s="4" t="s">
        <v>43</v>
      </c>
      <c r="U253" s="4" t="s">
        <v>43</v>
      </c>
      <c r="W253" s="48">
        <v>1</v>
      </c>
      <c r="X253" s="48">
        <v>1</v>
      </c>
      <c r="Y253" s="48">
        <v>3</v>
      </c>
      <c r="AD253" s="91">
        <f t="shared" si="4"/>
        <v>5</v>
      </c>
      <c r="AE253" s="48" t="s">
        <v>1220</v>
      </c>
    </row>
    <row r="254" spans="3:31" x14ac:dyDescent="0.25">
      <c r="C254" s="87" t="s">
        <v>687</v>
      </c>
      <c r="D254" s="4" t="s">
        <v>688</v>
      </c>
      <c r="E254" s="4" t="s">
        <v>689</v>
      </c>
      <c r="F254" s="92">
        <v>6</v>
      </c>
      <c r="G254" s="4" t="s">
        <v>376</v>
      </c>
      <c r="H254" s="4" t="s">
        <v>46</v>
      </c>
      <c r="I254" s="4" t="s">
        <v>377</v>
      </c>
      <c r="J254" s="4" t="s">
        <v>248</v>
      </c>
      <c r="K254" s="4" t="s">
        <v>43</v>
      </c>
      <c r="L254" s="4" t="s">
        <v>51</v>
      </c>
      <c r="M254" s="4" t="s">
        <v>40</v>
      </c>
      <c r="N254" s="4" t="s">
        <v>653</v>
      </c>
      <c r="O254" s="4" t="s">
        <v>687</v>
      </c>
      <c r="P254" s="4" t="s">
        <v>42</v>
      </c>
      <c r="Q254" s="50" t="s">
        <v>43</v>
      </c>
      <c r="R254" s="50"/>
      <c r="S254" s="50" t="s">
        <v>51</v>
      </c>
      <c r="T254" s="4" t="s">
        <v>43</v>
      </c>
      <c r="U254" s="4" t="s">
        <v>43</v>
      </c>
      <c r="W254" s="48">
        <v>1</v>
      </c>
      <c r="X254" s="48">
        <v>2</v>
      </c>
      <c r="Y254" s="48">
        <v>3</v>
      </c>
      <c r="AD254" s="91">
        <f t="shared" si="4"/>
        <v>6</v>
      </c>
      <c r="AE254" s="48" t="e">
        <f>VLOOKUP(C254,#REF!,1,0)</f>
        <v>#REF!</v>
      </c>
    </row>
    <row r="255" spans="3:31" x14ac:dyDescent="0.25">
      <c r="C255" s="87" t="s">
        <v>750</v>
      </c>
      <c r="D255" s="4" t="s">
        <v>751</v>
      </c>
      <c r="E255" s="4" t="s">
        <v>751</v>
      </c>
      <c r="F255" s="92">
        <v>5</v>
      </c>
      <c r="G255" s="4" t="s">
        <v>376</v>
      </c>
      <c r="H255" s="4" t="s">
        <v>46</v>
      </c>
      <c r="I255" s="4" t="s">
        <v>421</v>
      </c>
      <c r="J255" s="4" t="s">
        <v>84</v>
      </c>
      <c r="K255" s="4" t="s">
        <v>440</v>
      </c>
      <c r="L255" s="4" t="s">
        <v>54</v>
      </c>
      <c r="M255" s="4" t="s">
        <v>55</v>
      </c>
      <c r="N255" s="4" t="s">
        <v>653</v>
      </c>
      <c r="O255" s="4" t="s">
        <v>750</v>
      </c>
      <c r="P255" s="4" t="s">
        <v>42</v>
      </c>
      <c r="Q255" s="50" t="s">
        <v>43</v>
      </c>
      <c r="R255" s="50"/>
      <c r="S255" s="50" t="s">
        <v>741</v>
      </c>
      <c r="T255" s="4" t="s">
        <v>43</v>
      </c>
      <c r="U255" s="4" t="s">
        <v>43</v>
      </c>
      <c r="W255" s="48">
        <v>1</v>
      </c>
      <c r="X255" s="48">
        <v>1</v>
      </c>
      <c r="Y255" s="48">
        <v>3</v>
      </c>
      <c r="AD255" s="91">
        <f t="shared" si="4"/>
        <v>5</v>
      </c>
      <c r="AE255" s="48" t="s">
        <v>1220</v>
      </c>
    </row>
    <row r="256" spans="3:31" x14ac:dyDescent="0.25">
      <c r="C256" s="87" t="s">
        <v>754</v>
      </c>
      <c r="D256" s="4" t="s">
        <v>755</v>
      </c>
      <c r="E256" s="4" t="s">
        <v>755</v>
      </c>
      <c r="F256" s="92">
        <v>5</v>
      </c>
      <c r="G256" s="4" t="s">
        <v>376</v>
      </c>
      <c r="H256" s="4" t="s">
        <v>81</v>
      </c>
      <c r="I256" s="4" t="s">
        <v>421</v>
      </c>
      <c r="J256" s="4" t="s">
        <v>84</v>
      </c>
      <c r="K256" s="4" t="s">
        <v>440</v>
      </c>
      <c r="L256" s="4" t="s">
        <v>279</v>
      </c>
      <c r="M256" s="4" t="s">
        <v>55</v>
      </c>
      <c r="N256" s="4" t="s">
        <v>653</v>
      </c>
      <c r="O256" s="4" t="s">
        <v>754</v>
      </c>
      <c r="P256" s="4" t="s">
        <v>42</v>
      </c>
      <c r="Q256" s="50" t="s">
        <v>43</v>
      </c>
      <c r="R256" s="50"/>
      <c r="S256" s="50" t="s">
        <v>741</v>
      </c>
      <c r="T256" s="4" t="s">
        <v>43</v>
      </c>
      <c r="U256" s="4" t="s">
        <v>43</v>
      </c>
      <c r="W256" s="48">
        <v>1</v>
      </c>
      <c r="X256" s="48">
        <v>1</v>
      </c>
      <c r="Y256" s="48">
        <v>3</v>
      </c>
      <c r="AD256" s="91">
        <f t="shared" si="4"/>
        <v>5</v>
      </c>
      <c r="AE256" s="48" t="s">
        <v>1220</v>
      </c>
    </row>
    <row r="257" spans="3:31" x14ac:dyDescent="0.25">
      <c r="C257" s="87" t="s">
        <v>756</v>
      </c>
      <c r="D257" s="4" t="s">
        <v>757</v>
      </c>
      <c r="E257" s="4" t="s">
        <v>757</v>
      </c>
      <c r="F257" s="92">
        <v>5</v>
      </c>
      <c r="G257" s="4" t="s">
        <v>376</v>
      </c>
      <c r="H257" s="4" t="s">
        <v>46</v>
      </c>
      <c r="I257" s="4" t="s">
        <v>421</v>
      </c>
      <c r="J257" s="4" t="s">
        <v>84</v>
      </c>
      <c r="K257" s="4" t="s">
        <v>440</v>
      </c>
      <c r="L257" s="4" t="s">
        <v>54</v>
      </c>
      <c r="M257" s="4" t="s">
        <v>55</v>
      </c>
      <c r="N257" s="4" t="s">
        <v>653</v>
      </c>
      <c r="O257" s="4" t="s">
        <v>756</v>
      </c>
      <c r="P257" s="4" t="s">
        <v>42</v>
      </c>
      <c r="Q257" s="50" t="s">
        <v>43</v>
      </c>
      <c r="R257" s="50"/>
      <c r="S257" s="50" t="s">
        <v>741</v>
      </c>
      <c r="T257" s="4" t="s">
        <v>43</v>
      </c>
      <c r="U257" s="4" t="s">
        <v>43</v>
      </c>
      <c r="W257" s="48">
        <v>1</v>
      </c>
      <c r="X257" s="48">
        <v>1</v>
      </c>
      <c r="Y257" s="48">
        <v>3</v>
      </c>
      <c r="AD257" s="91">
        <f t="shared" si="4"/>
        <v>5</v>
      </c>
      <c r="AE257" s="48" t="s">
        <v>1220</v>
      </c>
    </row>
    <row r="258" spans="3:31" x14ac:dyDescent="0.25">
      <c r="C258" s="87" t="s">
        <v>631</v>
      </c>
      <c r="D258" s="4" t="s">
        <v>632</v>
      </c>
      <c r="E258" s="4" t="s">
        <v>633</v>
      </c>
      <c r="F258" s="92">
        <v>5.6</v>
      </c>
      <c r="G258" s="4" t="s">
        <v>376</v>
      </c>
      <c r="H258" s="4" t="s">
        <v>46</v>
      </c>
      <c r="I258" s="4" t="s">
        <v>421</v>
      </c>
      <c r="J258" s="4" t="s">
        <v>50</v>
      </c>
      <c r="K258" s="4" t="s">
        <v>43</v>
      </c>
      <c r="L258" s="4" t="s">
        <v>51</v>
      </c>
      <c r="M258" s="4" t="s">
        <v>40</v>
      </c>
      <c r="N258" s="4" t="s">
        <v>422</v>
      </c>
      <c r="O258" s="4" t="s">
        <v>631</v>
      </c>
      <c r="P258" s="4" t="s">
        <v>42</v>
      </c>
      <c r="Q258" s="50" t="s">
        <v>43</v>
      </c>
      <c r="R258" s="50"/>
      <c r="S258" s="50" t="s">
        <v>597</v>
      </c>
      <c r="T258" s="4" t="s">
        <v>43</v>
      </c>
      <c r="U258" s="4" t="s">
        <v>43</v>
      </c>
      <c r="W258" s="48">
        <v>1</v>
      </c>
      <c r="X258" s="48">
        <v>1</v>
      </c>
      <c r="AA258" s="48">
        <v>4</v>
      </c>
      <c r="AC258" s="48">
        <v>4</v>
      </c>
      <c r="AD258" s="91">
        <f t="shared" si="4"/>
        <v>5.6363636363636367</v>
      </c>
      <c r="AE258" s="48" t="e">
        <f>VLOOKUP(C258,#REF!,1,0)</f>
        <v>#REF!</v>
      </c>
    </row>
    <row r="259" spans="3:31" x14ac:dyDescent="0.25">
      <c r="C259" s="87" t="s">
        <v>699</v>
      </c>
      <c r="D259" s="4" t="s">
        <v>700</v>
      </c>
      <c r="E259" s="4" t="s">
        <v>701</v>
      </c>
      <c r="F259" s="92">
        <v>10</v>
      </c>
      <c r="G259" s="4" t="s">
        <v>376</v>
      </c>
      <c r="H259" s="4" t="s">
        <v>46</v>
      </c>
      <c r="I259" s="4" t="s">
        <v>421</v>
      </c>
      <c r="J259" s="4" t="s">
        <v>84</v>
      </c>
      <c r="K259" s="4" t="s">
        <v>440</v>
      </c>
      <c r="L259" s="4" t="s">
        <v>54</v>
      </c>
      <c r="M259" s="4" t="s">
        <v>55</v>
      </c>
      <c r="N259" s="4" t="s">
        <v>653</v>
      </c>
      <c r="O259" s="4" t="s">
        <v>699</v>
      </c>
      <c r="P259" s="4" t="s">
        <v>379</v>
      </c>
      <c r="Q259" s="50" t="s">
        <v>43</v>
      </c>
      <c r="R259" s="50"/>
      <c r="S259" s="50" t="s">
        <v>702</v>
      </c>
      <c r="T259" s="4" t="s">
        <v>43</v>
      </c>
      <c r="U259" s="4" t="s">
        <v>43</v>
      </c>
      <c r="W259" s="48">
        <v>1</v>
      </c>
      <c r="X259" s="48">
        <v>2</v>
      </c>
      <c r="Y259" s="48">
        <v>7</v>
      </c>
      <c r="AD259" s="91">
        <f t="shared" si="4"/>
        <v>10</v>
      </c>
      <c r="AE259" s="48" t="e">
        <f>VLOOKUP(C259,#REF!,1,0)</f>
        <v>#REF!</v>
      </c>
    </row>
    <row r="260" spans="3:31" x14ac:dyDescent="0.25">
      <c r="C260" s="87" t="s">
        <v>761</v>
      </c>
      <c r="D260" s="4" t="s">
        <v>762</v>
      </c>
      <c r="E260" s="4" t="s">
        <v>762</v>
      </c>
      <c r="F260" s="92">
        <v>5</v>
      </c>
      <c r="G260" s="4" t="s">
        <v>376</v>
      </c>
      <c r="H260" s="4" t="s">
        <v>46</v>
      </c>
      <c r="I260" s="4" t="s">
        <v>421</v>
      </c>
      <c r="J260" s="4" t="s">
        <v>84</v>
      </c>
      <c r="K260" s="4" t="s">
        <v>440</v>
      </c>
      <c r="L260" s="4" t="s">
        <v>54</v>
      </c>
      <c r="M260" s="4" t="s">
        <v>55</v>
      </c>
      <c r="N260" s="4" t="s">
        <v>653</v>
      </c>
      <c r="O260" s="4" t="s">
        <v>761</v>
      </c>
      <c r="P260" s="4" t="s">
        <v>42</v>
      </c>
      <c r="Q260" s="50" t="s">
        <v>43</v>
      </c>
      <c r="R260" s="50"/>
      <c r="S260" s="50" t="s">
        <v>741</v>
      </c>
      <c r="T260" s="4" t="s">
        <v>43</v>
      </c>
      <c r="U260" s="4" t="s">
        <v>43</v>
      </c>
      <c r="W260" s="48">
        <v>1</v>
      </c>
      <c r="X260" s="48">
        <v>1</v>
      </c>
      <c r="Y260" s="48">
        <v>3</v>
      </c>
      <c r="AD260" s="91">
        <f t="shared" si="4"/>
        <v>5</v>
      </c>
      <c r="AE260" s="48" t="s">
        <v>1220</v>
      </c>
    </row>
    <row r="261" spans="3:31" x14ac:dyDescent="0.25">
      <c r="C261" s="87" t="s">
        <v>763</v>
      </c>
      <c r="D261" s="4" t="s">
        <v>764</v>
      </c>
      <c r="E261" s="4" t="s">
        <v>765</v>
      </c>
      <c r="F261" s="92">
        <v>5</v>
      </c>
      <c r="G261" s="4" t="s">
        <v>376</v>
      </c>
      <c r="H261" s="4" t="s">
        <v>81</v>
      </c>
      <c r="I261" s="4" t="s">
        <v>421</v>
      </c>
      <c r="J261" s="4" t="s">
        <v>84</v>
      </c>
      <c r="K261" s="4" t="s">
        <v>440</v>
      </c>
      <c r="L261" s="4" t="s">
        <v>279</v>
      </c>
      <c r="M261" s="4" t="s">
        <v>55</v>
      </c>
      <c r="N261" s="4" t="s">
        <v>653</v>
      </c>
      <c r="O261" s="4" t="s">
        <v>763</v>
      </c>
      <c r="P261" s="4" t="s">
        <v>42</v>
      </c>
      <c r="Q261" s="50" t="s">
        <v>43</v>
      </c>
      <c r="R261" s="50"/>
      <c r="S261" s="50" t="s">
        <v>741</v>
      </c>
      <c r="T261" s="4" t="s">
        <v>43</v>
      </c>
      <c r="U261" s="4" t="s">
        <v>43</v>
      </c>
      <c r="W261" s="48">
        <v>1</v>
      </c>
      <c r="X261" s="48">
        <v>1</v>
      </c>
      <c r="Y261" s="48">
        <v>3</v>
      </c>
      <c r="AD261" s="91">
        <f t="shared" si="4"/>
        <v>5</v>
      </c>
      <c r="AE261" s="48" t="s">
        <v>1220</v>
      </c>
    </row>
    <row r="262" spans="3:31" x14ac:dyDescent="0.25">
      <c r="C262" s="87" t="s">
        <v>709</v>
      </c>
      <c r="D262" s="4" t="s">
        <v>710</v>
      </c>
      <c r="E262" s="4" t="s">
        <v>711</v>
      </c>
      <c r="F262" s="92">
        <v>8</v>
      </c>
      <c r="G262" s="4" t="s">
        <v>376</v>
      </c>
      <c r="H262" s="4" t="s">
        <v>46</v>
      </c>
      <c r="I262" s="4" t="s">
        <v>421</v>
      </c>
      <c r="J262" s="4" t="s">
        <v>84</v>
      </c>
      <c r="K262" s="4" t="s">
        <v>440</v>
      </c>
      <c r="L262" s="4" t="s">
        <v>54</v>
      </c>
      <c r="M262" s="4" t="s">
        <v>55</v>
      </c>
      <c r="N262" s="4" t="s">
        <v>653</v>
      </c>
      <c r="O262" s="4" t="s">
        <v>709</v>
      </c>
      <c r="P262" s="4" t="s">
        <v>379</v>
      </c>
      <c r="Q262" s="50" t="s">
        <v>43</v>
      </c>
      <c r="R262" s="50"/>
      <c r="S262" s="50" t="s">
        <v>702</v>
      </c>
      <c r="T262" s="4" t="s">
        <v>43</v>
      </c>
      <c r="U262" s="4" t="s">
        <v>43</v>
      </c>
      <c r="W262" s="48">
        <v>1</v>
      </c>
      <c r="X262" s="48">
        <v>2</v>
      </c>
      <c r="Y262" s="48">
        <v>5</v>
      </c>
      <c r="AD262" s="91">
        <f t="shared" si="4"/>
        <v>8</v>
      </c>
      <c r="AE262" s="48" t="e">
        <f>VLOOKUP(C262,#REF!,1,0)</f>
        <v>#REF!</v>
      </c>
    </row>
    <row r="263" spans="3:31" x14ac:dyDescent="0.25">
      <c r="C263" s="87" t="s">
        <v>782</v>
      </c>
      <c r="D263" s="4" t="s">
        <v>783</v>
      </c>
      <c r="E263" s="4" t="s">
        <v>783</v>
      </c>
      <c r="F263" s="92">
        <v>5</v>
      </c>
      <c r="G263" s="4" t="s">
        <v>376</v>
      </c>
      <c r="H263" s="4" t="s">
        <v>81</v>
      </c>
      <c r="I263" s="4" t="s">
        <v>421</v>
      </c>
      <c r="J263" s="4" t="s">
        <v>73</v>
      </c>
      <c r="K263" s="4" t="s">
        <v>43</v>
      </c>
      <c r="L263" s="4" t="s">
        <v>103</v>
      </c>
      <c r="M263" s="4" t="s">
        <v>104</v>
      </c>
      <c r="N263" s="4" t="s">
        <v>378</v>
      </c>
      <c r="O263" s="4" t="s">
        <v>782</v>
      </c>
      <c r="P263" s="4" t="s">
        <v>42</v>
      </c>
      <c r="Q263" s="50" t="s">
        <v>43</v>
      </c>
      <c r="R263" s="50"/>
      <c r="S263" s="50" t="s">
        <v>772</v>
      </c>
      <c r="T263" s="4" t="s">
        <v>43</v>
      </c>
      <c r="U263" s="4" t="s">
        <v>43</v>
      </c>
      <c r="W263" s="48">
        <v>1</v>
      </c>
      <c r="X263" s="48">
        <v>1</v>
      </c>
      <c r="Y263" s="48">
        <v>3</v>
      </c>
      <c r="AD263" s="91">
        <f t="shared" si="4"/>
        <v>5</v>
      </c>
      <c r="AE263" s="48" t="s">
        <v>1220</v>
      </c>
    </row>
    <row r="264" spans="3:31" x14ac:dyDescent="0.25">
      <c r="C264" s="87" t="s">
        <v>786</v>
      </c>
      <c r="D264" s="4" t="s">
        <v>787</v>
      </c>
      <c r="E264" s="4" t="s">
        <v>787</v>
      </c>
      <c r="F264" s="92">
        <v>5</v>
      </c>
      <c r="G264" s="4" t="s">
        <v>376</v>
      </c>
      <c r="H264" s="4" t="s">
        <v>81</v>
      </c>
      <c r="I264" s="4" t="s">
        <v>421</v>
      </c>
      <c r="J264" s="4" t="s">
        <v>73</v>
      </c>
      <c r="K264" s="4" t="s">
        <v>43</v>
      </c>
      <c r="L264" s="4" t="s">
        <v>109</v>
      </c>
      <c r="M264" s="4" t="s">
        <v>91</v>
      </c>
      <c r="N264" s="4" t="s">
        <v>378</v>
      </c>
      <c r="O264" s="4" t="s">
        <v>786</v>
      </c>
      <c r="P264" s="4" t="s">
        <v>42</v>
      </c>
      <c r="Q264" s="50" t="s">
        <v>43</v>
      </c>
      <c r="R264" s="50"/>
      <c r="S264" s="50" t="s">
        <v>772</v>
      </c>
      <c r="T264" s="4" t="s">
        <v>43</v>
      </c>
      <c r="U264" s="4" t="s">
        <v>43</v>
      </c>
      <c r="W264" s="48">
        <v>1</v>
      </c>
      <c r="X264" s="48">
        <v>1</v>
      </c>
      <c r="Y264" s="48">
        <v>3</v>
      </c>
      <c r="AD264" s="91">
        <f t="shared" ref="AD264:AD327" si="5">SUMPRODUCT($W$6:$AC$6,W264:AC264)</f>
        <v>5</v>
      </c>
      <c r="AE264" s="48" t="s">
        <v>1220</v>
      </c>
    </row>
    <row r="265" spans="3:31" x14ac:dyDescent="0.25">
      <c r="C265" s="87" t="s">
        <v>788</v>
      </c>
      <c r="D265" s="4" t="s">
        <v>789</v>
      </c>
      <c r="E265" s="4" t="s">
        <v>790</v>
      </c>
      <c r="F265" s="92">
        <v>5</v>
      </c>
      <c r="G265" s="4" t="s">
        <v>376</v>
      </c>
      <c r="H265" s="4" t="s">
        <v>81</v>
      </c>
      <c r="I265" s="4" t="s">
        <v>421</v>
      </c>
      <c r="J265" s="4" t="s">
        <v>73</v>
      </c>
      <c r="K265" s="4" t="s">
        <v>43</v>
      </c>
      <c r="L265" s="4" t="s">
        <v>109</v>
      </c>
      <c r="M265" s="4" t="s">
        <v>91</v>
      </c>
      <c r="N265" s="4" t="s">
        <v>378</v>
      </c>
      <c r="O265" s="4" t="s">
        <v>788</v>
      </c>
      <c r="P265" s="4" t="s">
        <v>42</v>
      </c>
      <c r="Q265" s="50" t="s">
        <v>43</v>
      </c>
      <c r="R265" s="50"/>
      <c r="S265" s="50" t="s">
        <v>772</v>
      </c>
      <c r="T265" s="4" t="s">
        <v>43</v>
      </c>
      <c r="U265" s="4" t="s">
        <v>43</v>
      </c>
      <c r="W265" s="48">
        <v>1</v>
      </c>
      <c r="X265" s="48">
        <v>1</v>
      </c>
      <c r="Y265" s="48">
        <v>3</v>
      </c>
      <c r="AD265" s="91">
        <f t="shared" si="5"/>
        <v>5</v>
      </c>
      <c r="AE265" s="48" t="s">
        <v>1220</v>
      </c>
    </row>
    <row r="266" spans="3:31" x14ac:dyDescent="0.25">
      <c r="C266" s="87" t="s">
        <v>810</v>
      </c>
      <c r="D266" s="4" t="s">
        <v>811</v>
      </c>
      <c r="E266" s="4" t="s">
        <v>811</v>
      </c>
      <c r="F266" s="92">
        <v>5</v>
      </c>
      <c r="G266" s="4" t="s">
        <v>376</v>
      </c>
      <c r="H266" s="4" t="s">
        <v>46</v>
      </c>
      <c r="I266" s="4" t="s">
        <v>421</v>
      </c>
      <c r="J266" s="4" t="s">
        <v>798</v>
      </c>
      <c r="K266" s="4" t="s">
        <v>43</v>
      </c>
      <c r="L266" s="4" t="s">
        <v>59</v>
      </c>
      <c r="M266" s="4" t="s">
        <v>40</v>
      </c>
      <c r="N266" s="4" t="s">
        <v>653</v>
      </c>
      <c r="O266" s="4" t="s">
        <v>810</v>
      </c>
      <c r="P266" s="4" t="s">
        <v>42</v>
      </c>
      <c r="Q266" s="50" t="s">
        <v>43</v>
      </c>
      <c r="R266" s="50"/>
      <c r="S266" s="50" t="s">
        <v>799</v>
      </c>
      <c r="T266" s="4" t="s">
        <v>43</v>
      </c>
      <c r="U266" s="4" t="s">
        <v>43</v>
      </c>
      <c r="W266" s="48">
        <v>1</v>
      </c>
      <c r="X266" s="48">
        <v>1</v>
      </c>
      <c r="Y266" s="48">
        <v>3</v>
      </c>
      <c r="AD266" s="91">
        <f t="shared" si="5"/>
        <v>5</v>
      </c>
      <c r="AE266" s="48" t="s">
        <v>1220</v>
      </c>
    </row>
    <row r="267" spans="3:31" x14ac:dyDescent="0.25">
      <c r="C267" s="87" t="s">
        <v>812</v>
      </c>
      <c r="D267" s="4" t="s">
        <v>813</v>
      </c>
      <c r="E267" s="4" t="s">
        <v>813</v>
      </c>
      <c r="F267" s="92">
        <v>5</v>
      </c>
      <c r="G267" s="4" t="s">
        <v>376</v>
      </c>
      <c r="H267" s="4" t="s">
        <v>46</v>
      </c>
      <c r="I267" s="4" t="s">
        <v>421</v>
      </c>
      <c r="J267" s="4" t="s">
        <v>798</v>
      </c>
      <c r="K267" s="4" t="s">
        <v>43</v>
      </c>
      <c r="L267" s="4" t="s">
        <v>59</v>
      </c>
      <c r="M267" s="4" t="s">
        <v>40</v>
      </c>
      <c r="N267" s="4" t="s">
        <v>653</v>
      </c>
      <c r="O267" s="4" t="s">
        <v>812</v>
      </c>
      <c r="P267" s="4" t="s">
        <v>42</v>
      </c>
      <c r="Q267" s="50" t="s">
        <v>43</v>
      </c>
      <c r="R267" s="50"/>
      <c r="S267" s="50" t="s">
        <v>799</v>
      </c>
      <c r="T267" s="4" t="s">
        <v>43</v>
      </c>
      <c r="U267" s="4" t="s">
        <v>43</v>
      </c>
      <c r="W267" s="48">
        <v>1</v>
      </c>
      <c r="X267" s="48">
        <v>1</v>
      </c>
      <c r="Y267" s="48">
        <v>3</v>
      </c>
      <c r="AD267" s="91">
        <f t="shared" si="5"/>
        <v>5</v>
      </c>
      <c r="AE267" s="48" t="s">
        <v>1220</v>
      </c>
    </row>
    <row r="268" spans="3:31" x14ac:dyDescent="0.25">
      <c r="C268" s="87" t="s">
        <v>814</v>
      </c>
      <c r="D268" s="4" t="s">
        <v>815</v>
      </c>
      <c r="E268" s="4" t="s">
        <v>816</v>
      </c>
      <c r="F268" s="92">
        <v>5</v>
      </c>
      <c r="G268" s="4" t="s">
        <v>376</v>
      </c>
      <c r="H268" s="4" t="s">
        <v>81</v>
      </c>
      <c r="I268" s="4" t="s">
        <v>421</v>
      </c>
      <c r="J268" s="4" t="s">
        <v>798</v>
      </c>
      <c r="K268" s="4" t="s">
        <v>43</v>
      </c>
      <c r="L268" s="4" t="s">
        <v>59</v>
      </c>
      <c r="M268" s="4" t="s">
        <v>40</v>
      </c>
      <c r="N268" s="4" t="s">
        <v>653</v>
      </c>
      <c r="O268" s="4" t="s">
        <v>814</v>
      </c>
      <c r="P268" s="4" t="s">
        <v>42</v>
      </c>
      <c r="Q268" s="50" t="s">
        <v>43</v>
      </c>
      <c r="R268" s="50"/>
      <c r="S268" s="50" t="s">
        <v>799</v>
      </c>
      <c r="T268" s="4" t="s">
        <v>43</v>
      </c>
      <c r="U268" s="4" t="s">
        <v>43</v>
      </c>
      <c r="W268" s="48">
        <v>1</v>
      </c>
      <c r="X268" s="48">
        <v>1</v>
      </c>
      <c r="Y268" s="48">
        <v>3</v>
      </c>
      <c r="AD268" s="91">
        <f t="shared" si="5"/>
        <v>5</v>
      </c>
      <c r="AE268" s="48" t="s">
        <v>1220</v>
      </c>
    </row>
    <row r="269" spans="3:31" x14ac:dyDescent="0.25">
      <c r="C269" s="87" t="s">
        <v>817</v>
      </c>
      <c r="D269" s="4" t="s">
        <v>818</v>
      </c>
      <c r="E269" s="4" t="s">
        <v>818</v>
      </c>
      <c r="F269" s="92">
        <v>5</v>
      </c>
      <c r="G269" s="4" t="s">
        <v>376</v>
      </c>
      <c r="H269" s="4" t="s">
        <v>46</v>
      </c>
      <c r="I269" s="4" t="s">
        <v>421</v>
      </c>
      <c r="J269" s="4" t="s">
        <v>798</v>
      </c>
      <c r="K269" s="4" t="s">
        <v>43</v>
      </c>
      <c r="L269" s="4" t="s">
        <v>59</v>
      </c>
      <c r="M269" s="4" t="s">
        <v>40</v>
      </c>
      <c r="N269" s="4" t="s">
        <v>653</v>
      </c>
      <c r="O269" s="4" t="s">
        <v>817</v>
      </c>
      <c r="P269" s="4" t="s">
        <v>42</v>
      </c>
      <c r="Q269" s="50" t="s">
        <v>43</v>
      </c>
      <c r="R269" s="50"/>
      <c r="S269" s="50" t="s">
        <v>799</v>
      </c>
      <c r="T269" s="4" t="s">
        <v>43</v>
      </c>
      <c r="U269" s="4" t="s">
        <v>43</v>
      </c>
      <c r="W269" s="48">
        <v>1</v>
      </c>
      <c r="X269" s="48">
        <v>1</v>
      </c>
      <c r="Y269" s="48">
        <v>3</v>
      </c>
      <c r="AD269" s="91">
        <f t="shared" si="5"/>
        <v>5</v>
      </c>
      <c r="AE269" s="48" t="s">
        <v>1220</v>
      </c>
    </row>
    <row r="270" spans="3:31" x14ac:dyDescent="0.25">
      <c r="C270" s="87" t="s">
        <v>823</v>
      </c>
      <c r="D270" s="4" t="s">
        <v>824</v>
      </c>
      <c r="E270" s="4" t="s">
        <v>824</v>
      </c>
      <c r="F270" s="92">
        <v>5</v>
      </c>
      <c r="G270" s="4" t="s">
        <v>376</v>
      </c>
      <c r="H270" s="4" t="s">
        <v>46</v>
      </c>
      <c r="I270" s="4" t="s">
        <v>421</v>
      </c>
      <c r="J270" s="4" t="s">
        <v>798</v>
      </c>
      <c r="K270" s="4" t="s">
        <v>43</v>
      </c>
      <c r="L270" s="4" t="s">
        <v>59</v>
      </c>
      <c r="M270" s="4" t="s">
        <v>40</v>
      </c>
      <c r="N270" s="4" t="s">
        <v>653</v>
      </c>
      <c r="O270" s="4" t="s">
        <v>823</v>
      </c>
      <c r="P270" s="4" t="s">
        <v>42</v>
      </c>
      <c r="Q270" s="50" t="s">
        <v>43</v>
      </c>
      <c r="R270" s="50"/>
      <c r="S270" s="50" t="s">
        <v>799</v>
      </c>
      <c r="T270" s="4" t="s">
        <v>43</v>
      </c>
      <c r="U270" s="4" t="s">
        <v>43</v>
      </c>
      <c r="W270" s="48">
        <v>1</v>
      </c>
      <c r="X270" s="48">
        <v>1</v>
      </c>
      <c r="Y270" s="48">
        <v>3</v>
      </c>
      <c r="AD270" s="91">
        <f t="shared" si="5"/>
        <v>5</v>
      </c>
      <c r="AE270" s="48" t="s">
        <v>1220</v>
      </c>
    </row>
    <row r="271" spans="3:31" x14ac:dyDescent="0.25">
      <c r="C271" s="87" t="s">
        <v>825</v>
      </c>
      <c r="D271" s="4" t="s">
        <v>826</v>
      </c>
      <c r="E271" s="4" t="s">
        <v>827</v>
      </c>
      <c r="F271" s="92">
        <v>5</v>
      </c>
      <c r="G271" s="4" t="s">
        <v>376</v>
      </c>
      <c r="H271" s="4" t="s">
        <v>81</v>
      </c>
      <c r="I271" s="4" t="s">
        <v>421</v>
      </c>
      <c r="J271" s="4" t="s">
        <v>798</v>
      </c>
      <c r="K271" s="4" t="s">
        <v>43</v>
      </c>
      <c r="L271" s="4" t="s">
        <v>59</v>
      </c>
      <c r="M271" s="4" t="s">
        <v>40</v>
      </c>
      <c r="N271" s="4" t="s">
        <v>653</v>
      </c>
      <c r="O271" s="4" t="s">
        <v>825</v>
      </c>
      <c r="P271" s="4" t="s">
        <v>42</v>
      </c>
      <c r="Q271" s="50" t="s">
        <v>43</v>
      </c>
      <c r="R271" s="50"/>
      <c r="S271" s="50" t="s">
        <v>799</v>
      </c>
      <c r="T271" s="4" t="s">
        <v>43</v>
      </c>
      <c r="U271" s="4" t="s">
        <v>43</v>
      </c>
      <c r="W271" s="48">
        <v>1</v>
      </c>
      <c r="X271" s="48">
        <v>1</v>
      </c>
      <c r="Y271" s="48">
        <v>3</v>
      </c>
      <c r="AD271" s="91">
        <f t="shared" si="5"/>
        <v>5</v>
      </c>
      <c r="AE271" s="48" t="s">
        <v>1220</v>
      </c>
    </row>
    <row r="272" spans="3:31" x14ac:dyDescent="0.25">
      <c r="C272" s="87" t="s">
        <v>736</v>
      </c>
      <c r="D272" s="4" t="s">
        <v>737</v>
      </c>
      <c r="E272" s="4" t="s">
        <v>738</v>
      </c>
      <c r="F272" s="92">
        <v>6</v>
      </c>
      <c r="G272" s="4" t="s">
        <v>376</v>
      </c>
      <c r="H272" s="4" t="s">
        <v>81</v>
      </c>
      <c r="I272" s="4" t="s">
        <v>421</v>
      </c>
      <c r="J272" s="4" t="s">
        <v>84</v>
      </c>
      <c r="K272" s="4" t="s">
        <v>440</v>
      </c>
      <c r="L272" s="4" t="s">
        <v>722</v>
      </c>
      <c r="M272" s="4" t="s">
        <v>55</v>
      </c>
      <c r="N272" s="4" t="s">
        <v>653</v>
      </c>
      <c r="O272" s="4" t="s">
        <v>736</v>
      </c>
      <c r="P272" s="4">
        <v>0</v>
      </c>
      <c r="Q272" s="50" t="s">
        <v>43</v>
      </c>
      <c r="R272" s="50"/>
      <c r="S272" s="50" t="s">
        <v>702</v>
      </c>
      <c r="T272" s="82" t="s">
        <v>440</v>
      </c>
      <c r="U272" s="4" t="s">
        <v>43</v>
      </c>
      <c r="W272" s="48">
        <v>1</v>
      </c>
      <c r="X272" s="48">
        <v>2</v>
      </c>
      <c r="Y272" s="48">
        <v>3</v>
      </c>
      <c r="AD272" s="91">
        <f t="shared" si="5"/>
        <v>6</v>
      </c>
      <c r="AE272" s="48" t="e">
        <f>VLOOKUP(C272,#REF!,1,0)</f>
        <v>#REF!</v>
      </c>
    </row>
    <row r="273" spans="1:31" x14ac:dyDescent="0.25">
      <c r="C273" s="87" t="s">
        <v>739</v>
      </c>
      <c r="D273" s="4" t="s">
        <v>740</v>
      </c>
      <c r="E273" s="4" t="s">
        <v>740</v>
      </c>
      <c r="F273" s="92">
        <v>9</v>
      </c>
      <c r="G273" s="4" t="s">
        <v>376</v>
      </c>
      <c r="H273" s="4" t="s">
        <v>46</v>
      </c>
      <c r="I273" s="4" t="s">
        <v>421</v>
      </c>
      <c r="J273" s="4" t="s">
        <v>84</v>
      </c>
      <c r="K273" s="4" t="s">
        <v>440</v>
      </c>
      <c r="L273" s="4" t="s">
        <v>54</v>
      </c>
      <c r="M273" s="4" t="s">
        <v>55</v>
      </c>
      <c r="N273" s="4" t="s">
        <v>653</v>
      </c>
      <c r="O273" s="4" t="s">
        <v>739</v>
      </c>
      <c r="P273" s="4" t="s">
        <v>379</v>
      </c>
      <c r="Q273" s="50" t="s">
        <v>43</v>
      </c>
      <c r="R273" s="50"/>
      <c r="S273" s="50" t="s">
        <v>741</v>
      </c>
      <c r="T273" s="4" t="s">
        <v>43</v>
      </c>
      <c r="U273" s="4" t="s">
        <v>43</v>
      </c>
      <c r="W273" s="48">
        <v>1</v>
      </c>
      <c r="X273" s="48">
        <v>2</v>
      </c>
      <c r="Y273" s="48">
        <v>6</v>
      </c>
      <c r="AD273" s="91">
        <f t="shared" si="5"/>
        <v>9</v>
      </c>
      <c r="AE273" s="48" t="e">
        <f>VLOOKUP(C273,#REF!,1,0)</f>
        <v>#REF!</v>
      </c>
    </row>
    <row r="274" spans="1:31" x14ac:dyDescent="0.25">
      <c r="C274" s="87" t="s">
        <v>742</v>
      </c>
      <c r="D274" s="4" t="s">
        <v>743</v>
      </c>
      <c r="E274" s="51" t="s">
        <v>744</v>
      </c>
      <c r="F274" s="92">
        <v>6</v>
      </c>
      <c r="G274" s="4" t="s">
        <v>376</v>
      </c>
      <c r="H274" s="4" t="s">
        <v>46</v>
      </c>
      <c r="I274" s="4" t="s">
        <v>421</v>
      </c>
      <c r="J274" s="4" t="s">
        <v>84</v>
      </c>
      <c r="K274" s="4" t="s">
        <v>440</v>
      </c>
      <c r="L274" s="4" t="s">
        <v>54</v>
      </c>
      <c r="M274" s="4" t="s">
        <v>55</v>
      </c>
      <c r="N274" s="4" t="s">
        <v>653</v>
      </c>
      <c r="O274" s="4" t="s">
        <v>742</v>
      </c>
      <c r="P274" s="4" t="s">
        <v>42</v>
      </c>
      <c r="Q274" s="50" t="s">
        <v>43</v>
      </c>
      <c r="R274" s="50"/>
      <c r="S274" s="50" t="s">
        <v>741</v>
      </c>
      <c r="T274" s="4" t="s">
        <v>43</v>
      </c>
      <c r="U274" s="4" t="s">
        <v>43</v>
      </c>
      <c r="W274" s="48">
        <v>1</v>
      </c>
      <c r="X274" s="48">
        <v>2</v>
      </c>
      <c r="Y274" s="48">
        <v>3</v>
      </c>
      <c r="AD274" s="91">
        <f t="shared" si="5"/>
        <v>6</v>
      </c>
      <c r="AE274" s="48" t="e">
        <f>VLOOKUP(C274,#REF!,1,0)</f>
        <v>#REF!</v>
      </c>
    </row>
    <row r="275" spans="1:31" x14ac:dyDescent="0.25">
      <c r="C275" s="87" t="s">
        <v>745</v>
      </c>
      <c r="D275" s="4" t="s">
        <v>746</v>
      </c>
      <c r="E275" s="4" t="s">
        <v>746</v>
      </c>
      <c r="F275" s="92">
        <v>9</v>
      </c>
      <c r="G275" s="4" t="s">
        <v>376</v>
      </c>
      <c r="H275" s="4" t="s">
        <v>46</v>
      </c>
      <c r="I275" s="4" t="s">
        <v>421</v>
      </c>
      <c r="J275" s="4" t="s">
        <v>84</v>
      </c>
      <c r="K275" s="4" t="s">
        <v>440</v>
      </c>
      <c r="L275" s="4" t="s">
        <v>279</v>
      </c>
      <c r="M275" s="4" t="s">
        <v>55</v>
      </c>
      <c r="N275" s="4" t="s">
        <v>653</v>
      </c>
      <c r="O275" s="4" t="s">
        <v>745</v>
      </c>
      <c r="P275" s="4" t="s">
        <v>379</v>
      </c>
      <c r="Q275" s="50" t="s">
        <v>43</v>
      </c>
      <c r="R275" s="50"/>
      <c r="S275" s="50" t="s">
        <v>741</v>
      </c>
      <c r="T275" s="4" t="s">
        <v>43</v>
      </c>
      <c r="U275" s="4" t="s">
        <v>43</v>
      </c>
      <c r="W275" s="48">
        <v>1</v>
      </c>
      <c r="X275" s="48">
        <v>2</v>
      </c>
      <c r="Y275" s="48">
        <v>6</v>
      </c>
      <c r="AD275" s="91">
        <f t="shared" si="5"/>
        <v>9</v>
      </c>
      <c r="AE275" s="48" t="e">
        <f>VLOOKUP(C275,#REF!,1,0)</f>
        <v>#REF!</v>
      </c>
    </row>
    <row r="276" spans="1:31" x14ac:dyDescent="0.25">
      <c r="C276" s="87" t="s">
        <v>747</v>
      </c>
      <c r="D276" s="4" t="s">
        <v>748</v>
      </c>
      <c r="E276" s="4" t="s">
        <v>749</v>
      </c>
      <c r="F276" s="92">
        <v>6.9</v>
      </c>
      <c r="G276" s="4" t="s">
        <v>376</v>
      </c>
      <c r="H276" s="4" t="s">
        <v>46</v>
      </c>
      <c r="I276" s="4" t="s">
        <v>421</v>
      </c>
      <c r="J276" s="4" t="s">
        <v>84</v>
      </c>
      <c r="K276" s="4" t="s">
        <v>440</v>
      </c>
      <c r="L276" s="4" t="s">
        <v>54</v>
      </c>
      <c r="M276" s="4" t="s">
        <v>55</v>
      </c>
      <c r="N276" s="4" t="s">
        <v>653</v>
      </c>
      <c r="O276" s="4" t="s">
        <v>747</v>
      </c>
      <c r="P276" s="4" t="s">
        <v>42</v>
      </c>
      <c r="Q276" s="50" t="s">
        <v>43</v>
      </c>
      <c r="R276" s="50"/>
      <c r="S276" s="50" t="s">
        <v>741</v>
      </c>
      <c r="T276" s="4" t="s">
        <v>43</v>
      </c>
      <c r="U276" s="4" t="s">
        <v>43</v>
      </c>
      <c r="W276" s="48">
        <v>1</v>
      </c>
      <c r="X276" s="48">
        <v>2</v>
      </c>
      <c r="Y276" s="48">
        <v>3</v>
      </c>
      <c r="AB276" s="48">
        <v>2</v>
      </c>
      <c r="AD276" s="91">
        <f t="shared" si="5"/>
        <v>6.9090909090909092</v>
      </c>
      <c r="AE276" s="48" t="e">
        <f>VLOOKUP(C276,#REF!,1,0)</f>
        <v>#REF!</v>
      </c>
    </row>
    <row r="277" spans="1:31" x14ac:dyDescent="0.25">
      <c r="C277" s="87" t="s">
        <v>830</v>
      </c>
      <c r="D277" s="4" t="s">
        <v>831</v>
      </c>
      <c r="E277" s="4" t="s">
        <v>832</v>
      </c>
      <c r="F277" s="92">
        <v>5</v>
      </c>
      <c r="G277" s="4" t="s">
        <v>376</v>
      </c>
      <c r="H277" s="4" t="s">
        <v>46</v>
      </c>
      <c r="I277" s="4" t="s">
        <v>421</v>
      </c>
      <c r="J277" s="4" t="s">
        <v>798</v>
      </c>
      <c r="K277" s="4" t="s">
        <v>43</v>
      </c>
      <c r="L277" s="4" t="s">
        <v>59</v>
      </c>
      <c r="M277" s="4" t="s">
        <v>40</v>
      </c>
      <c r="N277" s="4" t="s">
        <v>653</v>
      </c>
      <c r="O277" s="4" t="s">
        <v>830</v>
      </c>
      <c r="P277" s="4" t="s">
        <v>42</v>
      </c>
      <c r="Q277" s="50" t="s">
        <v>43</v>
      </c>
      <c r="R277" s="50"/>
      <c r="S277" s="50" t="s">
        <v>799</v>
      </c>
      <c r="T277" s="4" t="s">
        <v>43</v>
      </c>
      <c r="U277" s="4" t="s">
        <v>43</v>
      </c>
      <c r="W277" s="48">
        <v>1</v>
      </c>
      <c r="X277" s="48">
        <v>1</v>
      </c>
      <c r="Y277" s="48">
        <v>3</v>
      </c>
      <c r="AD277" s="91">
        <f t="shared" si="5"/>
        <v>5</v>
      </c>
      <c r="AE277" s="48" t="s">
        <v>1220</v>
      </c>
    </row>
    <row r="278" spans="1:31" x14ac:dyDescent="0.25">
      <c r="C278" s="87" t="s">
        <v>752</v>
      </c>
      <c r="D278" s="4" t="s">
        <v>753</v>
      </c>
      <c r="E278" s="4" t="s">
        <v>753</v>
      </c>
      <c r="F278" s="92">
        <v>8</v>
      </c>
      <c r="G278" s="4" t="s">
        <v>376</v>
      </c>
      <c r="H278" s="4" t="s">
        <v>46</v>
      </c>
      <c r="I278" s="4" t="s">
        <v>421</v>
      </c>
      <c r="J278" s="4" t="s">
        <v>84</v>
      </c>
      <c r="K278" s="4" t="s">
        <v>440</v>
      </c>
      <c r="L278" s="4" t="s">
        <v>54</v>
      </c>
      <c r="M278" s="4" t="s">
        <v>55</v>
      </c>
      <c r="N278" s="4" t="s">
        <v>653</v>
      </c>
      <c r="O278" s="4" t="s">
        <v>752</v>
      </c>
      <c r="P278" s="4" t="s">
        <v>379</v>
      </c>
      <c r="Q278" s="50" t="s">
        <v>43</v>
      </c>
      <c r="R278" s="50"/>
      <c r="S278" s="50" t="s">
        <v>741</v>
      </c>
      <c r="T278" s="4" t="s">
        <v>43</v>
      </c>
      <c r="U278" s="4" t="s">
        <v>43</v>
      </c>
      <c r="W278" s="48">
        <v>1</v>
      </c>
      <c r="X278" s="48">
        <v>2</v>
      </c>
      <c r="Y278" s="48">
        <v>5</v>
      </c>
      <c r="AD278" s="91">
        <f t="shared" si="5"/>
        <v>8</v>
      </c>
      <c r="AE278" s="48" t="e">
        <f>VLOOKUP(C278,#REF!,1,0)</f>
        <v>#REF!</v>
      </c>
    </row>
    <row r="279" spans="1:31" x14ac:dyDescent="0.25">
      <c r="C279" s="87" t="s">
        <v>836</v>
      </c>
      <c r="D279" s="4" t="s">
        <v>837</v>
      </c>
      <c r="E279" s="4" t="s">
        <v>838</v>
      </c>
      <c r="F279" s="92">
        <v>5</v>
      </c>
      <c r="G279" s="4" t="s">
        <v>376</v>
      </c>
      <c r="H279" s="4" t="s">
        <v>81</v>
      </c>
      <c r="I279" s="4" t="s">
        <v>421</v>
      </c>
      <c r="J279" s="4" t="s">
        <v>798</v>
      </c>
      <c r="K279" s="4" t="s">
        <v>43</v>
      </c>
      <c r="L279" s="4" t="s">
        <v>59</v>
      </c>
      <c r="M279" s="4" t="s">
        <v>40</v>
      </c>
      <c r="N279" s="4" t="s">
        <v>653</v>
      </c>
      <c r="O279" s="4" t="s">
        <v>836</v>
      </c>
      <c r="P279" s="4" t="s">
        <v>42</v>
      </c>
      <c r="Q279" s="50" t="s">
        <v>43</v>
      </c>
      <c r="R279" s="50"/>
      <c r="S279" s="50" t="s">
        <v>799</v>
      </c>
      <c r="T279" s="4" t="s">
        <v>43</v>
      </c>
      <c r="U279" s="4" t="s">
        <v>43</v>
      </c>
      <c r="W279" s="48">
        <v>1</v>
      </c>
      <c r="X279" s="48">
        <v>1</v>
      </c>
      <c r="Y279" s="48">
        <v>3</v>
      </c>
      <c r="AD279" s="91">
        <f t="shared" si="5"/>
        <v>5</v>
      </c>
      <c r="AE279" s="48" t="s">
        <v>1220</v>
      </c>
    </row>
    <row r="280" spans="1:31" x14ac:dyDescent="0.25">
      <c r="C280" s="87" t="s">
        <v>852</v>
      </c>
      <c r="D280" s="4" t="s">
        <v>853</v>
      </c>
      <c r="E280" s="4" t="s">
        <v>853</v>
      </c>
      <c r="F280" s="92">
        <v>5</v>
      </c>
      <c r="G280" s="4" t="s">
        <v>376</v>
      </c>
      <c r="H280" s="4" t="s">
        <v>46</v>
      </c>
      <c r="I280" s="4" t="s">
        <v>377</v>
      </c>
      <c r="J280" s="4" t="s">
        <v>132</v>
      </c>
      <c r="K280" s="4" t="s">
        <v>43</v>
      </c>
      <c r="L280" s="4" t="s">
        <v>138</v>
      </c>
      <c r="M280" s="4" t="s">
        <v>40</v>
      </c>
      <c r="N280" s="4" t="s">
        <v>514</v>
      </c>
      <c r="O280" s="4" t="s">
        <v>852</v>
      </c>
      <c r="P280" s="4" t="s">
        <v>42</v>
      </c>
      <c r="Q280" s="50" t="s">
        <v>43</v>
      </c>
      <c r="R280" s="50"/>
      <c r="S280" s="50" t="s">
        <v>847</v>
      </c>
      <c r="T280" s="4" t="s">
        <v>43</v>
      </c>
      <c r="U280" s="4" t="s">
        <v>43</v>
      </c>
      <c r="W280" s="48">
        <v>1</v>
      </c>
      <c r="X280" s="48">
        <v>1</v>
      </c>
      <c r="Y280" s="48">
        <v>3</v>
      </c>
      <c r="AD280" s="91">
        <f t="shared" si="5"/>
        <v>5</v>
      </c>
      <c r="AE280" s="48" t="s">
        <v>1220</v>
      </c>
    </row>
    <row r="281" spans="1:31" x14ac:dyDescent="0.25">
      <c r="A281" s="48" t="s">
        <v>1218</v>
      </c>
      <c r="C281" s="87" t="s">
        <v>758</v>
      </c>
      <c r="D281" s="4" t="s">
        <v>759</v>
      </c>
      <c r="E281" s="4" t="s">
        <v>760</v>
      </c>
      <c r="F281" s="92">
        <v>8</v>
      </c>
      <c r="G281" s="4" t="s">
        <v>376</v>
      </c>
      <c r="H281" s="4" t="s">
        <v>81</v>
      </c>
      <c r="I281" s="4" t="s">
        <v>421</v>
      </c>
      <c r="J281" s="4" t="s">
        <v>84</v>
      </c>
      <c r="K281" s="4" t="s">
        <v>440</v>
      </c>
      <c r="L281" s="4" t="s">
        <v>54</v>
      </c>
      <c r="M281" s="4" t="s">
        <v>55</v>
      </c>
      <c r="N281" s="4" t="s">
        <v>653</v>
      </c>
      <c r="O281" s="4" t="s">
        <v>758</v>
      </c>
      <c r="P281" s="4" t="s">
        <v>42</v>
      </c>
      <c r="Q281" s="50" t="s">
        <v>43</v>
      </c>
      <c r="R281" s="50"/>
      <c r="S281" s="50" t="s">
        <v>741</v>
      </c>
      <c r="T281" s="4" t="s">
        <v>43</v>
      </c>
      <c r="U281" s="4" t="s">
        <v>43</v>
      </c>
      <c r="W281" s="48">
        <v>1</v>
      </c>
      <c r="X281" s="48">
        <v>2</v>
      </c>
      <c r="Y281" s="48">
        <v>5</v>
      </c>
      <c r="AD281" s="91">
        <f t="shared" si="5"/>
        <v>8</v>
      </c>
      <c r="AE281" s="48" t="e">
        <f>VLOOKUP(C281,#REF!,1,0)</f>
        <v>#REF!</v>
      </c>
    </row>
    <row r="282" spans="1:31" x14ac:dyDescent="0.25">
      <c r="C282" s="87" t="s">
        <v>870</v>
      </c>
      <c r="D282" s="4" t="s">
        <v>871</v>
      </c>
      <c r="E282" s="4" t="s">
        <v>871</v>
      </c>
      <c r="F282" s="92">
        <v>5</v>
      </c>
      <c r="G282" s="4" t="s">
        <v>376</v>
      </c>
      <c r="H282" s="4" t="s">
        <v>46</v>
      </c>
      <c r="I282" s="4" t="s">
        <v>377</v>
      </c>
      <c r="J282" s="4" t="s">
        <v>132</v>
      </c>
      <c r="K282" s="4" t="s">
        <v>43</v>
      </c>
      <c r="L282" s="4" t="s">
        <v>856</v>
      </c>
      <c r="M282" s="4" t="s">
        <v>40</v>
      </c>
      <c r="N282" s="4" t="s">
        <v>514</v>
      </c>
      <c r="O282" s="4" t="s">
        <v>870</v>
      </c>
      <c r="P282" s="4" t="s">
        <v>42</v>
      </c>
      <c r="Q282" s="50" t="s">
        <v>43</v>
      </c>
      <c r="R282" s="50"/>
      <c r="S282" s="50" t="s">
        <v>847</v>
      </c>
      <c r="T282" s="4" t="s">
        <v>43</v>
      </c>
      <c r="U282" s="4" t="s">
        <v>43</v>
      </c>
      <c r="W282" s="48">
        <v>1</v>
      </c>
      <c r="X282" s="48">
        <v>1</v>
      </c>
      <c r="Y282" s="48">
        <v>3</v>
      </c>
      <c r="AD282" s="91">
        <f t="shared" si="5"/>
        <v>5</v>
      </c>
      <c r="AE282" s="48" t="s">
        <v>1220</v>
      </c>
    </row>
    <row r="283" spans="1:31" x14ac:dyDescent="0.25">
      <c r="C283" s="87" t="s">
        <v>877</v>
      </c>
      <c r="D283" s="4" t="s">
        <v>878</v>
      </c>
      <c r="E283" s="4" t="s">
        <v>878</v>
      </c>
      <c r="F283" s="92">
        <v>5</v>
      </c>
      <c r="G283" s="4" t="s">
        <v>376</v>
      </c>
      <c r="H283" s="4" t="s">
        <v>81</v>
      </c>
      <c r="I283" s="4" t="s">
        <v>377</v>
      </c>
      <c r="J283" s="4" t="s">
        <v>132</v>
      </c>
      <c r="K283" s="4" t="s">
        <v>43</v>
      </c>
      <c r="L283" s="4" t="s">
        <v>856</v>
      </c>
      <c r="M283" s="4" t="s">
        <v>40</v>
      </c>
      <c r="N283" s="4" t="s">
        <v>514</v>
      </c>
      <c r="O283" s="4" t="s">
        <v>877</v>
      </c>
      <c r="P283" s="4" t="s">
        <v>42</v>
      </c>
      <c r="Q283" s="50" t="s">
        <v>43</v>
      </c>
      <c r="R283" s="50"/>
      <c r="S283" s="50" t="s">
        <v>847</v>
      </c>
      <c r="T283" s="4" t="s">
        <v>43</v>
      </c>
      <c r="U283" s="4" t="s">
        <v>43</v>
      </c>
      <c r="W283" s="48">
        <v>1</v>
      </c>
      <c r="X283" s="48">
        <v>1</v>
      </c>
      <c r="Y283" s="48">
        <v>3</v>
      </c>
      <c r="AD283" s="91">
        <f t="shared" si="5"/>
        <v>5</v>
      </c>
      <c r="AE283" s="48" t="s">
        <v>1220</v>
      </c>
    </row>
    <row r="284" spans="1:31" x14ac:dyDescent="0.25">
      <c r="C284" s="87" t="s">
        <v>662</v>
      </c>
      <c r="D284" s="4" t="s">
        <v>663</v>
      </c>
      <c r="E284" s="4" t="s">
        <v>664</v>
      </c>
      <c r="F284" s="92">
        <v>5.6</v>
      </c>
      <c r="G284" s="4" t="s">
        <v>376</v>
      </c>
      <c r="H284" s="4" t="s">
        <v>46</v>
      </c>
      <c r="I284" s="4" t="s">
        <v>377</v>
      </c>
      <c r="J284" s="4" t="s">
        <v>248</v>
      </c>
      <c r="K284" s="4" t="s">
        <v>43</v>
      </c>
      <c r="L284" s="4" t="s">
        <v>51</v>
      </c>
      <c r="M284" s="4" t="s">
        <v>40</v>
      </c>
      <c r="N284" s="4" t="s">
        <v>653</v>
      </c>
      <c r="O284" s="4" t="s">
        <v>662</v>
      </c>
      <c r="P284" s="4" t="s">
        <v>42</v>
      </c>
      <c r="Q284" s="50" t="s">
        <v>43</v>
      </c>
      <c r="R284" s="50"/>
      <c r="S284" s="50" t="s">
        <v>51</v>
      </c>
      <c r="T284" s="4" t="s">
        <v>43</v>
      </c>
      <c r="U284" s="4" t="s">
        <v>43</v>
      </c>
      <c r="W284" s="48">
        <v>1</v>
      </c>
      <c r="X284" s="48">
        <v>1</v>
      </c>
      <c r="AA284" s="48">
        <v>4</v>
      </c>
      <c r="AC284" s="48">
        <v>4</v>
      </c>
      <c r="AD284" s="91">
        <f t="shared" si="5"/>
        <v>5.6363636363636367</v>
      </c>
      <c r="AE284" s="48" t="e">
        <f>VLOOKUP(C284,#REF!,1,0)</f>
        <v>#REF!</v>
      </c>
    </row>
    <row r="285" spans="1:31" x14ac:dyDescent="0.25">
      <c r="C285" s="87" t="s">
        <v>769</v>
      </c>
      <c r="D285" s="4" t="s">
        <v>770</v>
      </c>
      <c r="E285" s="4" t="s">
        <v>771</v>
      </c>
      <c r="F285" s="92">
        <v>5.07</v>
      </c>
      <c r="G285" s="4" t="s">
        <v>376</v>
      </c>
      <c r="H285" s="4" t="s">
        <v>46</v>
      </c>
      <c r="I285" s="4" t="s">
        <v>421</v>
      </c>
      <c r="J285" s="4" t="s">
        <v>73</v>
      </c>
      <c r="K285" s="4"/>
      <c r="L285" s="4" t="s">
        <v>109</v>
      </c>
      <c r="M285" s="4" t="s">
        <v>91</v>
      </c>
      <c r="N285" s="4" t="s">
        <v>378</v>
      </c>
      <c r="O285" s="4" t="s">
        <v>769</v>
      </c>
      <c r="P285" s="4" t="s">
        <v>42</v>
      </c>
      <c r="Q285" s="50" t="s">
        <v>43</v>
      </c>
      <c r="R285" s="50"/>
      <c r="S285" s="50" t="s">
        <v>772</v>
      </c>
      <c r="T285" s="4" t="s">
        <v>43</v>
      </c>
      <c r="U285" s="4" t="s">
        <v>43</v>
      </c>
      <c r="W285" s="48">
        <v>1</v>
      </c>
      <c r="X285" s="48">
        <v>1</v>
      </c>
      <c r="AA285" s="48">
        <v>3</v>
      </c>
      <c r="AC285" s="48">
        <v>4</v>
      </c>
      <c r="AD285" s="91">
        <f t="shared" si="5"/>
        <v>5.0681818181818183</v>
      </c>
      <c r="AE285" s="48" t="e">
        <f>VLOOKUP(C285,#REF!,1,0)</f>
        <v>#REF!</v>
      </c>
    </row>
    <row r="286" spans="1:31" x14ac:dyDescent="0.25">
      <c r="C286" s="87" t="s">
        <v>773</v>
      </c>
      <c r="D286" s="4" t="s">
        <v>774</v>
      </c>
      <c r="E286" s="4" t="s">
        <v>775</v>
      </c>
      <c r="F286" s="92">
        <v>5.07</v>
      </c>
      <c r="G286" s="4" t="s">
        <v>376</v>
      </c>
      <c r="H286" s="4" t="s">
        <v>46</v>
      </c>
      <c r="I286" s="4" t="s">
        <v>421</v>
      </c>
      <c r="J286" s="4" t="s">
        <v>73</v>
      </c>
      <c r="K286" s="4" t="s">
        <v>43</v>
      </c>
      <c r="L286" s="4" t="s">
        <v>776</v>
      </c>
      <c r="M286" s="4" t="s">
        <v>91</v>
      </c>
      <c r="N286" s="4" t="s">
        <v>378</v>
      </c>
      <c r="O286" s="4" t="s">
        <v>773</v>
      </c>
      <c r="P286" s="4" t="s">
        <v>42</v>
      </c>
      <c r="Q286" s="50" t="s">
        <v>43</v>
      </c>
      <c r="R286" s="50"/>
      <c r="S286" s="50" t="s">
        <v>772</v>
      </c>
      <c r="T286" s="4" t="s">
        <v>43</v>
      </c>
      <c r="U286" s="4" t="s">
        <v>43</v>
      </c>
      <c r="W286" s="48">
        <v>1</v>
      </c>
      <c r="X286" s="48">
        <v>1</v>
      </c>
      <c r="AA286" s="48">
        <v>3</v>
      </c>
      <c r="AC286" s="48">
        <v>4</v>
      </c>
      <c r="AD286" s="91">
        <f t="shared" si="5"/>
        <v>5.0681818181818183</v>
      </c>
      <c r="AE286" s="48" t="e">
        <f>VLOOKUP(C286,#REF!,1,0)</f>
        <v>#REF!</v>
      </c>
    </row>
    <row r="287" spans="1:31" x14ac:dyDescent="0.25">
      <c r="C287" s="87" t="s">
        <v>777</v>
      </c>
      <c r="D287" s="4" t="s">
        <v>778</v>
      </c>
      <c r="E287" s="4" t="s">
        <v>779</v>
      </c>
      <c r="F287" s="92">
        <v>6</v>
      </c>
      <c r="G287" s="4" t="s">
        <v>376</v>
      </c>
      <c r="H287" s="4" t="s">
        <v>46</v>
      </c>
      <c r="I287" s="4" t="s">
        <v>421</v>
      </c>
      <c r="J287" s="4" t="s">
        <v>73</v>
      </c>
      <c r="K287" s="4"/>
      <c r="L287" s="4" t="s">
        <v>90</v>
      </c>
      <c r="M287" s="4" t="s">
        <v>91</v>
      </c>
      <c r="N287" s="4" t="s">
        <v>378</v>
      </c>
      <c r="O287" s="4" t="s">
        <v>777</v>
      </c>
      <c r="P287" s="4" t="s">
        <v>42</v>
      </c>
      <c r="Q287" s="50" t="s">
        <v>43</v>
      </c>
      <c r="R287" s="50"/>
      <c r="S287" s="50" t="s">
        <v>772</v>
      </c>
      <c r="T287" s="4" t="s">
        <v>43</v>
      </c>
      <c r="U287" s="4" t="s">
        <v>43</v>
      </c>
      <c r="V287" s="2"/>
      <c r="W287" s="48">
        <v>1</v>
      </c>
      <c r="X287" s="48">
        <v>2</v>
      </c>
      <c r="Y287" s="48">
        <v>3</v>
      </c>
      <c r="AD287" s="91">
        <f t="shared" si="5"/>
        <v>6</v>
      </c>
      <c r="AE287" s="48" t="e">
        <f>VLOOKUP(C287,#REF!,1,0)</f>
        <v>#REF!</v>
      </c>
    </row>
    <row r="288" spans="1:31" x14ac:dyDescent="0.25">
      <c r="C288" s="87" t="s">
        <v>780</v>
      </c>
      <c r="D288" s="4" t="s">
        <v>781</v>
      </c>
      <c r="E288" s="4" t="s">
        <v>781</v>
      </c>
      <c r="F288" s="92">
        <v>5.45</v>
      </c>
      <c r="G288" s="4" t="s">
        <v>376</v>
      </c>
      <c r="H288" s="4" t="s">
        <v>46</v>
      </c>
      <c r="I288" s="4" t="s">
        <v>421</v>
      </c>
      <c r="J288" s="4" t="s">
        <v>73</v>
      </c>
      <c r="K288" s="4" t="s">
        <v>43</v>
      </c>
      <c r="L288" s="4" t="s">
        <v>109</v>
      </c>
      <c r="M288" s="4" t="s">
        <v>91</v>
      </c>
      <c r="N288" s="4" t="s">
        <v>378</v>
      </c>
      <c r="O288" s="4" t="s">
        <v>780</v>
      </c>
      <c r="P288" s="4" t="s">
        <v>42</v>
      </c>
      <c r="Q288" s="50" t="s">
        <v>43</v>
      </c>
      <c r="R288" s="50"/>
      <c r="S288" s="50" t="s">
        <v>772</v>
      </c>
      <c r="T288" s="4" t="s">
        <v>43</v>
      </c>
      <c r="U288" s="4" t="s">
        <v>43</v>
      </c>
      <c r="W288" s="48">
        <v>1</v>
      </c>
      <c r="X288" s="48">
        <v>1</v>
      </c>
      <c r="Y288" s="48">
        <v>3</v>
      </c>
      <c r="AB288" s="48">
        <v>1</v>
      </c>
      <c r="AD288" s="91">
        <f t="shared" si="5"/>
        <v>5.4545454545454541</v>
      </c>
      <c r="AE288" s="48" t="e">
        <f>VLOOKUP(C288,#REF!,1,0)</f>
        <v>#REF!</v>
      </c>
    </row>
    <row r="289" spans="3:31" x14ac:dyDescent="0.25">
      <c r="C289" s="87" t="s">
        <v>891</v>
      </c>
      <c r="D289" s="4" t="s">
        <v>892</v>
      </c>
      <c r="E289" s="4" t="s">
        <v>893</v>
      </c>
      <c r="F289" s="92">
        <v>5</v>
      </c>
      <c r="G289" s="4" t="s">
        <v>376</v>
      </c>
      <c r="H289" s="4" t="s">
        <v>46</v>
      </c>
      <c r="I289" s="4" t="s">
        <v>421</v>
      </c>
      <c r="J289" s="4" t="s">
        <v>885</v>
      </c>
      <c r="K289" s="4" t="s">
        <v>43</v>
      </c>
      <c r="L289" s="4" t="s">
        <v>47</v>
      </c>
      <c r="M289" s="4" t="s">
        <v>40</v>
      </c>
      <c r="N289" s="4" t="s">
        <v>514</v>
      </c>
      <c r="O289" s="4" t="s">
        <v>891</v>
      </c>
      <c r="P289" s="4" t="s">
        <v>42</v>
      </c>
      <c r="Q289" s="50" t="s">
        <v>43</v>
      </c>
      <c r="R289" s="50"/>
      <c r="S289" s="50" t="s">
        <v>886</v>
      </c>
      <c r="T289" s="4" t="s">
        <v>43</v>
      </c>
      <c r="U289" s="4" t="s">
        <v>43</v>
      </c>
      <c r="W289" s="48">
        <v>1</v>
      </c>
      <c r="X289" s="48">
        <v>1</v>
      </c>
      <c r="Y289" s="48">
        <v>3</v>
      </c>
      <c r="AD289" s="91">
        <f t="shared" si="5"/>
        <v>5</v>
      </c>
      <c r="AE289" s="48" t="s">
        <v>1220</v>
      </c>
    </row>
    <row r="290" spans="3:31" x14ac:dyDescent="0.25">
      <c r="C290" s="87" t="s">
        <v>784</v>
      </c>
      <c r="D290" s="4" t="s">
        <v>785</v>
      </c>
      <c r="E290" s="4" t="s">
        <v>785</v>
      </c>
      <c r="F290" s="92">
        <v>5.45</v>
      </c>
      <c r="G290" s="4" t="s">
        <v>376</v>
      </c>
      <c r="H290" s="4" t="s">
        <v>46</v>
      </c>
      <c r="I290" s="4" t="s">
        <v>421</v>
      </c>
      <c r="J290" s="4" t="s">
        <v>73</v>
      </c>
      <c r="K290" s="4" t="s">
        <v>43</v>
      </c>
      <c r="L290" s="4" t="s">
        <v>109</v>
      </c>
      <c r="M290" s="4" t="s">
        <v>91</v>
      </c>
      <c r="N290" s="4" t="s">
        <v>378</v>
      </c>
      <c r="O290" s="4" t="s">
        <v>784</v>
      </c>
      <c r="P290" s="4" t="s">
        <v>42</v>
      </c>
      <c r="Q290" s="50" t="s">
        <v>43</v>
      </c>
      <c r="R290" s="50"/>
      <c r="S290" s="50" t="s">
        <v>772</v>
      </c>
      <c r="T290" s="4" t="s">
        <v>43</v>
      </c>
      <c r="U290" s="4" t="s">
        <v>43</v>
      </c>
      <c r="W290" s="48">
        <v>1</v>
      </c>
      <c r="X290" s="48">
        <v>1</v>
      </c>
      <c r="Y290" s="48">
        <v>3</v>
      </c>
      <c r="AB290" s="48">
        <v>1</v>
      </c>
      <c r="AD290" s="91">
        <f t="shared" si="5"/>
        <v>5.4545454545454541</v>
      </c>
      <c r="AE290" s="48" t="e">
        <f>VLOOKUP(C290,#REF!,1,0)</f>
        <v>#REF!</v>
      </c>
    </row>
    <row r="291" spans="3:31" x14ac:dyDescent="0.25">
      <c r="C291" s="87" t="s">
        <v>894</v>
      </c>
      <c r="D291" s="4" t="s">
        <v>895</v>
      </c>
      <c r="E291" s="4" t="s">
        <v>895</v>
      </c>
      <c r="F291" s="92">
        <v>5</v>
      </c>
      <c r="G291" s="4" t="s">
        <v>376</v>
      </c>
      <c r="H291" s="4" t="s">
        <v>46</v>
      </c>
      <c r="I291" s="4" t="s">
        <v>421</v>
      </c>
      <c r="J291" s="4" t="s">
        <v>885</v>
      </c>
      <c r="K291" s="4" t="s">
        <v>43</v>
      </c>
      <c r="L291" s="4" t="s">
        <v>609</v>
      </c>
      <c r="M291" s="4" t="s">
        <v>40</v>
      </c>
      <c r="N291" s="4" t="s">
        <v>514</v>
      </c>
      <c r="O291" s="4" t="s">
        <v>894</v>
      </c>
      <c r="P291" s="4" t="s">
        <v>42</v>
      </c>
      <c r="Q291" s="50" t="s">
        <v>43</v>
      </c>
      <c r="R291" s="50"/>
      <c r="S291" s="50" t="s">
        <v>886</v>
      </c>
      <c r="T291" s="4" t="s">
        <v>43</v>
      </c>
      <c r="U291" s="4" t="s">
        <v>43</v>
      </c>
      <c r="W291" s="48">
        <v>1</v>
      </c>
      <c r="X291" s="48">
        <v>1</v>
      </c>
      <c r="Y291" s="48">
        <v>3</v>
      </c>
      <c r="AD291" s="91">
        <f t="shared" si="5"/>
        <v>5</v>
      </c>
      <c r="AE291" s="48" t="s">
        <v>1220</v>
      </c>
    </row>
    <row r="292" spans="3:31" x14ac:dyDescent="0.25">
      <c r="C292" s="87" t="s">
        <v>896</v>
      </c>
      <c r="D292" s="4" t="s">
        <v>897</v>
      </c>
      <c r="E292" s="4" t="s">
        <v>897</v>
      </c>
      <c r="F292" s="92">
        <v>5</v>
      </c>
      <c r="G292" s="4" t="s">
        <v>376</v>
      </c>
      <c r="H292" s="4" t="s">
        <v>46</v>
      </c>
      <c r="I292" s="4" t="s">
        <v>421</v>
      </c>
      <c r="J292" s="4" t="s">
        <v>885</v>
      </c>
      <c r="K292" s="4" t="s">
        <v>43</v>
      </c>
      <c r="L292" s="4" t="s">
        <v>133</v>
      </c>
      <c r="M292" s="4" t="s">
        <v>40</v>
      </c>
      <c r="N292" s="4" t="s">
        <v>514</v>
      </c>
      <c r="O292" s="4" t="s">
        <v>896</v>
      </c>
      <c r="P292" s="4" t="s">
        <v>42</v>
      </c>
      <c r="Q292" s="50" t="s">
        <v>43</v>
      </c>
      <c r="R292" s="50"/>
      <c r="S292" s="50" t="s">
        <v>886</v>
      </c>
      <c r="T292" s="4" t="s">
        <v>43</v>
      </c>
      <c r="U292" s="4" t="s">
        <v>43</v>
      </c>
      <c r="W292" s="48">
        <v>1</v>
      </c>
      <c r="X292" s="48">
        <v>1</v>
      </c>
      <c r="Y292" s="48">
        <v>3</v>
      </c>
      <c r="AD292" s="91">
        <f t="shared" si="5"/>
        <v>5</v>
      </c>
      <c r="AE292" s="48" t="s">
        <v>1220</v>
      </c>
    </row>
    <row r="293" spans="3:31" x14ac:dyDescent="0.25">
      <c r="C293" s="87" t="s">
        <v>697</v>
      </c>
      <c r="D293" s="4" t="s">
        <v>698</v>
      </c>
      <c r="E293" s="4" t="s">
        <v>698</v>
      </c>
      <c r="F293" s="92">
        <v>5.6</v>
      </c>
      <c r="G293" s="4" t="s">
        <v>376</v>
      </c>
      <c r="H293" s="4" t="s">
        <v>81</v>
      </c>
      <c r="I293" s="4" t="s">
        <v>377</v>
      </c>
      <c r="J293" s="4" t="s">
        <v>248</v>
      </c>
      <c r="K293" s="4" t="s">
        <v>43</v>
      </c>
      <c r="L293" s="4" t="s">
        <v>51</v>
      </c>
      <c r="M293" s="4" t="s">
        <v>40</v>
      </c>
      <c r="N293" s="4" t="s">
        <v>653</v>
      </c>
      <c r="O293" s="4" t="s">
        <v>697</v>
      </c>
      <c r="P293" s="4" t="s">
        <v>42</v>
      </c>
      <c r="Q293" s="50" t="s">
        <v>43</v>
      </c>
      <c r="R293" s="50"/>
      <c r="S293" s="50" t="s">
        <v>51</v>
      </c>
      <c r="T293" s="82" t="s">
        <v>440</v>
      </c>
      <c r="U293" s="4" t="s">
        <v>32</v>
      </c>
      <c r="W293" s="48">
        <v>1</v>
      </c>
      <c r="X293" s="48">
        <v>1</v>
      </c>
      <c r="AA293" s="48">
        <v>4</v>
      </c>
      <c r="AC293" s="48">
        <v>4</v>
      </c>
      <c r="AD293" s="91">
        <f t="shared" si="5"/>
        <v>5.6363636363636367</v>
      </c>
      <c r="AE293" s="48" t="e">
        <f>VLOOKUP(C293,#REF!,1,0)</f>
        <v>#REF!</v>
      </c>
    </row>
    <row r="294" spans="3:31" x14ac:dyDescent="0.25">
      <c r="C294" s="87" t="s">
        <v>794</v>
      </c>
      <c r="D294" s="4" t="s">
        <v>795</v>
      </c>
      <c r="E294" s="4" t="s">
        <v>795</v>
      </c>
      <c r="F294" s="92">
        <v>0</v>
      </c>
      <c r="G294" s="4" t="s">
        <v>37</v>
      </c>
      <c r="H294" s="4" t="s">
        <v>46</v>
      </c>
      <c r="I294" s="4" t="s">
        <v>421</v>
      </c>
      <c r="J294" s="4" t="s">
        <v>89</v>
      </c>
      <c r="K294" s="4"/>
      <c r="L294" s="4" t="s">
        <v>109</v>
      </c>
      <c r="M294" s="4" t="s">
        <v>91</v>
      </c>
      <c r="N294" s="4" t="s">
        <v>41</v>
      </c>
      <c r="O294" s="4" t="s">
        <v>794</v>
      </c>
      <c r="P294" s="4" t="s">
        <v>42</v>
      </c>
      <c r="Q294" s="50" t="s">
        <v>43</v>
      </c>
      <c r="R294" s="50"/>
      <c r="S294" s="50" t="s">
        <v>772</v>
      </c>
      <c r="T294" s="4" t="s">
        <v>43</v>
      </c>
      <c r="U294" s="4" t="s">
        <v>43</v>
      </c>
      <c r="AD294" s="91">
        <f t="shared" si="5"/>
        <v>0</v>
      </c>
      <c r="AE294" s="48" t="e">
        <f>VLOOKUP(C294,#REF!,1,0)</f>
        <v>#REF!</v>
      </c>
    </row>
    <row r="295" spans="3:31" x14ac:dyDescent="0.25">
      <c r="C295" s="87" t="s">
        <v>796</v>
      </c>
      <c r="D295" s="4" t="s">
        <v>797</v>
      </c>
      <c r="E295" s="4" t="s">
        <v>797</v>
      </c>
      <c r="F295" s="92">
        <v>8.68</v>
      </c>
      <c r="G295" s="4" t="s">
        <v>376</v>
      </c>
      <c r="H295" s="4" t="s">
        <v>81</v>
      </c>
      <c r="I295" s="4" t="s">
        <v>421</v>
      </c>
      <c r="J295" s="4" t="s">
        <v>798</v>
      </c>
      <c r="K295" s="4" t="s">
        <v>43</v>
      </c>
      <c r="L295" s="4" t="s">
        <v>59</v>
      </c>
      <c r="M295" s="4" t="s">
        <v>40</v>
      </c>
      <c r="N295" s="4" t="s">
        <v>653</v>
      </c>
      <c r="O295" s="4" t="s">
        <v>796</v>
      </c>
      <c r="P295" s="4" t="s">
        <v>379</v>
      </c>
      <c r="Q295" s="50" t="s">
        <v>43</v>
      </c>
      <c r="R295" s="50"/>
      <c r="S295" s="50" t="s">
        <v>799</v>
      </c>
      <c r="T295" s="4" t="s">
        <v>43</v>
      </c>
      <c r="U295" s="4" t="s">
        <v>43</v>
      </c>
      <c r="W295" s="48">
        <v>1</v>
      </c>
      <c r="X295" s="48">
        <v>2</v>
      </c>
      <c r="Y295" s="48">
        <v>5</v>
      </c>
      <c r="Z295" s="48">
        <v>1</v>
      </c>
      <c r="AD295" s="91">
        <f t="shared" si="5"/>
        <v>8.6818181818181817</v>
      </c>
      <c r="AE295" s="48" t="e">
        <f>VLOOKUP(C295,#REF!,1,0)</f>
        <v>#REF!</v>
      </c>
    </row>
    <row r="296" spans="3:31" x14ac:dyDescent="0.25">
      <c r="C296" s="87" t="s">
        <v>800</v>
      </c>
      <c r="D296" s="4" t="s">
        <v>801</v>
      </c>
      <c r="E296" s="4" t="s">
        <v>801</v>
      </c>
      <c r="F296" s="92">
        <v>7</v>
      </c>
      <c r="G296" s="4" t="s">
        <v>376</v>
      </c>
      <c r="H296" s="4" t="s">
        <v>46</v>
      </c>
      <c r="I296" s="4" t="s">
        <v>421</v>
      </c>
      <c r="J296" s="4" t="s">
        <v>798</v>
      </c>
      <c r="K296" s="4" t="s">
        <v>440</v>
      </c>
      <c r="L296" s="4" t="s">
        <v>59</v>
      </c>
      <c r="M296" s="4" t="s">
        <v>40</v>
      </c>
      <c r="N296" s="4" t="s">
        <v>653</v>
      </c>
      <c r="O296" s="4" t="s">
        <v>800</v>
      </c>
      <c r="P296" s="4" t="s">
        <v>42</v>
      </c>
      <c r="Q296" s="50" t="s">
        <v>43</v>
      </c>
      <c r="R296" s="50"/>
      <c r="S296" s="50" t="s">
        <v>799</v>
      </c>
      <c r="T296" s="4" t="s">
        <v>43</v>
      </c>
      <c r="U296" s="4" t="s">
        <v>43</v>
      </c>
      <c r="W296" s="48">
        <v>1</v>
      </c>
      <c r="X296" s="48">
        <v>1</v>
      </c>
      <c r="Y296" s="48">
        <v>5</v>
      </c>
      <c r="AD296" s="91">
        <f t="shared" si="5"/>
        <v>7</v>
      </c>
      <c r="AE296" s="48" t="e">
        <f>VLOOKUP(C296,#REF!,1,0)</f>
        <v>#REF!</v>
      </c>
    </row>
    <row r="297" spans="3:31" x14ac:dyDescent="0.25">
      <c r="C297" s="87" t="s">
        <v>802</v>
      </c>
      <c r="D297" s="4" t="s">
        <v>803</v>
      </c>
      <c r="E297" s="4" t="s">
        <v>803</v>
      </c>
      <c r="F297" s="92">
        <v>7</v>
      </c>
      <c r="G297" s="4" t="s">
        <v>376</v>
      </c>
      <c r="H297" s="4" t="s">
        <v>46</v>
      </c>
      <c r="I297" s="4" t="s">
        <v>421</v>
      </c>
      <c r="J297" s="4" t="s">
        <v>798</v>
      </c>
      <c r="K297" s="4" t="s">
        <v>43</v>
      </c>
      <c r="L297" s="4" t="s">
        <v>59</v>
      </c>
      <c r="M297" s="4" t="s">
        <v>40</v>
      </c>
      <c r="N297" s="4" t="s">
        <v>653</v>
      </c>
      <c r="O297" s="4" t="s">
        <v>802</v>
      </c>
      <c r="P297" s="4" t="s">
        <v>42</v>
      </c>
      <c r="Q297" s="50" t="s">
        <v>43</v>
      </c>
      <c r="R297" s="50"/>
      <c r="S297" s="50" t="s">
        <v>799</v>
      </c>
      <c r="T297" s="4" t="s">
        <v>43</v>
      </c>
      <c r="U297" s="4" t="s">
        <v>43</v>
      </c>
      <c r="W297" s="48">
        <v>1</v>
      </c>
      <c r="X297" s="48">
        <v>1</v>
      </c>
      <c r="Y297" s="48">
        <v>5</v>
      </c>
      <c r="AD297" s="91">
        <f t="shared" si="5"/>
        <v>7</v>
      </c>
      <c r="AE297" s="48" t="e">
        <f>VLOOKUP(C297,#REF!,1,0)</f>
        <v>#REF!</v>
      </c>
    </row>
    <row r="298" spans="3:31" x14ac:dyDescent="0.25">
      <c r="C298" s="87" t="s">
        <v>804</v>
      </c>
      <c r="D298" s="4" t="s">
        <v>805</v>
      </c>
      <c r="E298" s="4" t="s">
        <v>806</v>
      </c>
      <c r="F298" s="92">
        <v>7</v>
      </c>
      <c r="G298" s="4" t="s">
        <v>376</v>
      </c>
      <c r="H298" s="4" t="s">
        <v>46</v>
      </c>
      <c r="I298" s="4" t="s">
        <v>421</v>
      </c>
      <c r="J298" s="4" t="s">
        <v>798</v>
      </c>
      <c r="K298" s="4" t="s">
        <v>43</v>
      </c>
      <c r="L298" s="4" t="s">
        <v>59</v>
      </c>
      <c r="M298" s="4" t="s">
        <v>40</v>
      </c>
      <c r="N298" s="4" t="s">
        <v>653</v>
      </c>
      <c r="O298" s="4" t="s">
        <v>804</v>
      </c>
      <c r="P298" s="4" t="s">
        <v>42</v>
      </c>
      <c r="Q298" s="50" t="s">
        <v>43</v>
      </c>
      <c r="R298" s="50"/>
      <c r="S298" s="50" t="s">
        <v>799</v>
      </c>
      <c r="T298" s="4" t="s">
        <v>43</v>
      </c>
      <c r="U298" s="4" t="s">
        <v>32</v>
      </c>
      <c r="W298" s="48">
        <v>1</v>
      </c>
      <c r="X298" s="48">
        <v>2</v>
      </c>
      <c r="Y298" s="48">
        <v>4</v>
      </c>
      <c r="AD298" s="91">
        <f t="shared" si="5"/>
        <v>7</v>
      </c>
      <c r="AE298" s="48" t="e">
        <f>VLOOKUP(C298,#REF!,1,0)</f>
        <v>#REF!</v>
      </c>
    </row>
    <row r="299" spans="3:31" x14ac:dyDescent="0.25">
      <c r="C299" s="87" t="s">
        <v>807</v>
      </c>
      <c r="D299" s="4" t="s">
        <v>808</v>
      </c>
      <c r="E299" s="4" t="s">
        <v>809</v>
      </c>
      <c r="F299" s="92">
        <v>7</v>
      </c>
      <c r="G299" s="4" t="s">
        <v>376</v>
      </c>
      <c r="H299" s="4" t="s">
        <v>46</v>
      </c>
      <c r="I299" s="4" t="s">
        <v>421</v>
      </c>
      <c r="J299" s="4" t="s">
        <v>798</v>
      </c>
      <c r="K299" s="4" t="s">
        <v>440</v>
      </c>
      <c r="L299" s="4" t="s">
        <v>59</v>
      </c>
      <c r="M299" s="4" t="s">
        <v>40</v>
      </c>
      <c r="N299" s="4" t="s">
        <v>653</v>
      </c>
      <c r="O299" s="4" t="s">
        <v>807</v>
      </c>
      <c r="P299" s="4" t="s">
        <v>42</v>
      </c>
      <c r="Q299" s="50" t="s">
        <v>43</v>
      </c>
      <c r="R299" s="50"/>
      <c r="S299" s="50" t="s">
        <v>799</v>
      </c>
      <c r="T299" s="4" t="s">
        <v>43</v>
      </c>
      <c r="U299" s="4" t="s">
        <v>43</v>
      </c>
      <c r="W299" s="48">
        <v>1</v>
      </c>
      <c r="X299" s="48">
        <v>2</v>
      </c>
      <c r="Y299" s="48">
        <v>4</v>
      </c>
      <c r="AD299" s="91">
        <f t="shared" si="5"/>
        <v>7</v>
      </c>
      <c r="AE299" s="48" t="e">
        <f>VLOOKUP(C299,#REF!,1,0)</f>
        <v>#REF!</v>
      </c>
    </row>
    <row r="300" spans="3:31" x14ac:dyDescent="0.25">
      <c r="C300" s="87">
        <v>50724</v>
      </c>
      <c r="D300" s="4" t="s">
        <v>900</v>
      </c>
      <c r="E300" s="4" t="s">
        <v>900</v>
      </c>
      <c r="F300" s="92">
        <v>5</v>
      </c>
      <c r="G300" s="4" t="s">
        <v>376</v>
      </c>
      <c r="H300" s="4" t="s">
        <v>46</v>
      </c>
      <c r="I300" s="4" t="s">
        <v>421</v>
      </c>
      <c r="J300" s="4" t="s">
        <v>885</v>
      </c>
      <c r="K300" s="4" t="s">
        <v>43</v>
      </c>
      <c r="L300" s="4" t="s">
        <v>609</v>
      </c>
      <c r="M300" s="4" t="s">
        <v>40</v>
      </c>
      <c r="N300" s="4" t="s">
        <v>514</v>
      </c>
      <c r="O300" s="4">
        <v>50724</v>
      </c>
      <c r="P300" s="4" t="s">
        <v>42</v>
      </c>
      <c r="Q300" s="50" t="s">
        <v>43</v>
      </c>
      <c r="R300" s="50"/>
      <c r="S300" s="50" t="s">
        <v>886</v>
      </c>
      <c r="T300" s="4" t="s">
        <v>43</v>
      </c>
      <c r="U300" s="4" t="s">
        <v>43</v>
      </c>
      <c r="W300" s="48">
        <v>1</v>
      </c>
      <c r="X300" s="48">
        <v>1</v>
      </c>
      <c r="Y300" s="48">
        <v>3</v>
      </c>
      <c r="AD300" s="91">
        <f t="shared" si="5"/>
        <v>5</v>
      </c>
      <c r="AE300" s="48" t="s">
        <v>1220</v>
      </c>
    </row>
    <row r="301" spans="3:31" x14ac:dyDescent="0.25">
      <c r="C301" s="87">
        <v>50863</v>
      </c>
      <c r="D301" s="4" t="s">
        <v>901</v>
      </c>
      <c r="E301" s="4" t="s">
        <v>902</v>
      </c>
      <c r="F301" s="92">
        <v>5</v>
      </c>
      <c r="G301" s="4" t="s">
        <v>376</v>
      </c>
      <c r="H301" s="4" t="s">
        <v>81</v>
      </c>
      <c r="I301" s="4" t="s">
        <v>421</v>
      </c>
      <c r="J301" s="4" t="s">
        <v>885</v>
      </c>
      <c r="K301" s="4" t="s">
        <v>43</v>
      </c>
      <c r="L301" s="4" t="s">
        <v>364</v>
      </c>
      <c r="M301" s="4" t="s">
        <v>40</v>
      </c>
      <c r="N301" s="4" t="s">
        <v>514</v>
      </c>
      <c r="O301" s="4">
        <v>50863</v>
      </c>
      <c r="P301" s="4" t="s">
        <v>42</v>
      </c>
      <c r="Q301" s="50" t="s">
        <v>43</v>
      </c>
      <c r="R301" s="50"/>
      <c r="S301" s="50" t="s">
        <v>886</v>
      </c>
      <c r="T301" s="4" t="s">
        <v>43</v>
      </c>
      <c r="U301" s="4" t="s">
        <v>43</v>
      </c>
      <c r="W301" s="48">
        <v>1</v>
      </c>
      <c r="X301" s="48">
        <v>1</v>
      </c>
      <c r="Y301" s="48">
        <v>3</v>
      </c>
      <c r="AD301" s="91">
        <f t="shared" si="5"/>
        <v>5</v>
      </c>
      <c r="AE301" s="48" t="s">
        <v>1220</v>
      </c>
    </row>
    <row r="302" spans="3:31" x14ac:dyDescent="0.25">
      <c r="C302" s="87" t="s">
        <v>903</v>
      </c>
      <c r="D302" s="4" t="s">
        <v>904</v>
      </c>
      <c r="E302" s="4" t="s">
        <v>904</v>
      </c>
      <c r="F302" s="92">
        <v>5</v>
      </c>
      <c r="G302" s="4" t="s">
        <v>376</v>
      </c>
      <c r="H302" s="4" t="s">
        <v>46</v>
      </c>
      <c r="I302" s="4" t="s">
        <v>421</v>
      </c>
      <c r="J302" s="4" t="s">
        <v>885</v>
      </c>
      <c r="K302" s="4" t="s">
        <v>43</v>
      </c>
      <c r="L302" s="4" t="s">
        <v>47</v>
      </c>
      <c r="M302" s="4" t="s">
        <v>40</v>
      </c>
      <c r="N302" s="4" t="s">
        <v>514</v>
      </c>
      <c r="O302" s="4" t="s">
        <v>903</v>
      </c>
      <c r="P302" s="4" t="s">
        <v>42</v>
      </c>
      <c r="Q302" s="50" t="s">
        <v>43</v>
      </c>
      <c r="R302" s="50"/>
      <c r="S302" s="50" t="s">
        <v>886</v>
      </c>
      <c r="T302" s="4" t="s">
        <v>43</v>
      </c>
      <c r="U302" s="4" t="s">
        <v>43</v>
      </c>
      <c r="W302" s="48">
        <v>1</v>
      </c>
      <c r="X302" s="48">
        <v>1</v>
      </c>
      <c r="Y302" s="48">
        <v>3</v>
      </c>
      <c r="AD302" s="91">
        <f t="shared" si="5"/>
        <v>5</v>
      </c>
      <c r="AE302" s="48" t="s">
        <v>1220</v>
      </c>
    </row>
    <row r="303" spans="3:31" x14ac:dyDescent="0.25">
      <c r="C303" s="87" t="s">
        <v>905</v>
      </c>
      <c r="D303" s="4" t="s">
        <v>906</v>
      </c>
      <c r="E303" s="4" t="s">
        <v>906</v>
      </c>
      <c r="F303" s="92">
        <v>5</v>
      </c>
      <c r="G303" s="4" t="s">
        <v>376</v>
      </c>
      <c r="H303" s="4" t="s">
        <v>81</v>
      </c>
      <c r="I303" s="4" t="s">
        <v>421</v>
      </c>
      <c r="J303" s="4" t="s">
        <v>885</v>
      </c>
      <c r="K303" s="4" t="s">
        <v>43</v>
      </c>
      <c r="L303" s="4" t="s">
        <v>907</v>
      </c>
      <c r="M303" s="4" t="s">
        <v>40</v>
      </c>
      <c r="N303" s="4" t="s">
        <v>514</v>
      </c>
      <c r="O303" s="4" t="s">
        <v>905</v>
      </c>
      <c r="P303" s="4" t="s">
        <v>42</v>
      </c>
      <c r="Q303" s="50" t="s">
        <v>43</v>
      </c>
      <c r="R303" s="50"/>
      <c r="S303" s="50" t="s">
        <v>886</v>
      </c>
      <c r="T303" s="4" t="s">
        <v>43</v>
      </c>
      <c r="U303" s="4" t="s">
        <v>43</v>
      </c>
      <c r="W303" s="48">
        <v>1</v>
      </c>
      <c r="X303" s="48">
        <v>1</v>
      </c>
      <c r="Y303" s="48">
        <v>3</v>
      </c>
      <c r="AD303" s="91">
        <f t="shared" si="5"/>
        <v>5</v>
      </c>
      <c r="AE303" s="48" t="s">
        <v>1220</v>
      </c>
    </row>
    <row r="304" spans="3:31" x14ac:dyDescent="0.25">
      <c r="C304" s="87" t="s">
        <v>819</v>
      </c>
      <c r="D304" s="4" t="s">
        <v>820</v>
      </c>
      <c r="E304" s="4" t="s">
        <v>820</v>
      </c>
      <c r="F304" s="92">
        <v>6</v>
      </c>
      <c r="G304" s="4" t="s">
        <v>376</v>
      </c>
      <c r="H304" s="4" t="s">
        <v>46</v>
      </c>
      <c r="I304" s="4" t="s">
        <v>421</v>
      </c>
      <c r="J304" s="4" t="s">
        <v>798</v>
      </c>
      <c r="K304" s="4" t="s">
        <v>43</v>
      </c>
      <c r="L304" s="4" t="s">
        <v>59</v>
      </c>
      <c r="M304" s="4" t="s">
        <v>40</v>
      </c>
      <c r="N304" s="4" t="s">
        <v>653</v>
      </c>
      <c r="O304" s="4" t="s">
        <v>819</v>
      </c>
      <c r="P304" s="4" t="s">
        <v>42</v>
      </c>
      <c r="Q304" s="50" t="s">
        <v>43</v>
      </c>
      <c r="R304" s="50"/>
      <c r="S304" s="50" t="s">
        <v>799</v>
      </c>
      <c r="T304" s="4" t="s">
        <v>43</v>
      </c>
      <c r="U304" s="4" t="s">
        <v>43</v>
      </c>
      <c r="W304" s="48">
        <v>1</v>
      </c>
      <c r="X304" s="48">
        <v>1</v>
      </c>
      <c r="Y304" s="48">
        <v>4</v>
      </c>
      <c r="AD304" s="91">
        <f t="shared" si="5"/>
        <v>6</v>
      </c>
      <c r="AE304" s="48" t="e">
        <f>VLOOKUP(C304,#REF!,1,0)</f>
        <v>#REF!</v>
      </c>
    </row>
    <row r="305" spans="3:31" x14ac:dyDescent="0.25">
      <c r="C305" s="87" t="s">
        <v>839</v>
      </c>
      <c r="D305" s="4" t="s">
        <v>840</v>
      </c>
      <c r="E305" s="4" t="s">
        <v>840</v>
      </c>
      <c r="F305" s="92">
        <v>5.6</v>
      </c>
      <c r="G305" s="4" t="s">
        <v>376</v>
      </c>
      <c r="H305" s="4" t="s">
        <v>81</v>
      </c>
      <c r="I305" s="4" t="s">
        <v>421</v>
      </c>
      <c r="J305" s="4" t="s">
        <v>798</v>
      </c>
      <c r="K305" s="4" t="s">
        <v>43</v>
      </c>
      <c r="L305" s="4" t="s">
        <v>59</v>
      </c>
      <c r="M305" s="4" t="s">
        <v>40</v>
      </c>
      <c r="N305" s="4" t="s">
        <v>653</v>
      </c>
      <c r="O305" s="4" t="s">
        <v>839</v>
      </c>
      <c r="P305" s="4" t="s">
        <v>42</v>
      </c>
      <c r="Q305" s="4"/>
      <c r="R305" s="50"/>
      <c r="S305" s="50" t="s">
        <v>799</v>
      </c>
      <c r="T305" s="4" t="s">
        <v>43</v>
      </c>
      <c r="U305" s="4" t="s">
        <v>43</v>
      </c>
      <c r="W305" s="48">
        <v>1</v>
      </c>
      <c r="X305" s="48">
        <v>1</v>
      </c>
      <c r="AA305" s="48">
        <v>4</v>
      </c>
      <c r="AC305" s="48">
        <v>4</v>
      </c>
      <c r="AD305" s="91">
        <f t="shared" si="5"/>
        <v>5.6363636363636367</v>
      </c>
      <c r="AE305" s="48" t="e">
        <f>VLOOKUP(C305,#REF!,1,0)</f>
        <v>#REF!</v>
      </c>
    </row>
    <row r="306" spans="3:31" x14ac:dyDescent="0.25">
      <c r="C306" s="87" t="s">
        <v>908</v>
      </c>
      <c r="D306" s="4" t="s">
        <v>909</v>
      </c>
      <c r="E306" s="4" t="s">
        <v>910</v>
      </c>
      <c r="F306" s="92">
        <v>5</v>
      </c>
      <c r="G306" s="4" t="s">
        <v>37</v>
      </c>
      <c r="H306" s="4" t="s">
        <v>81</v>
      </c>
      <c r="I306" s="4" t="s">
        <v>421</v>
      </c>
      <c r="J306" s="4" t="s">
        <v>73</v>
      </c>
      <c r="K306" s="4"/>
      <c r="L306" s="4" t="s">
        <v>911</v>
      </c>
      <c r="M306" s="4" t="s">
        <v>40</v>
      </c>
      <c r="N306" s="4" t="s">
        <v>41</v>
      </c>
      <c r="O306" s="4" t="s">
        <v>908</v>
      </c>
      <c r="P306" s="4" t="s">
        <v>42</v>
      </c>
      <c r="Q306" s="50" t="s">
        <v>43</v>
      </c>
      <c r="R306" s="50"/>
      <c r="S306" s="50" t="s">
        <v>886</v>
      </c>
      <c r="T306" s="4" t="s">
        <v>43</v>
      </c>
      <c r="U306" s="4" t="s">
        <v>43</v>
      </c>
      <c r="W306" s="48">
        <v>1</v>
      </c>
      <c r="X306" s="48">
        <v>1</v>
      </c>
      <c r="Y306" s="48">
        <v>3</v>
      </c>
      <c r="AD306" s="91">
        <f t="shared" si="5"/>
        <v>5</v>
      </c>
      <c r="AE306" s="48" t="s">
        <v>1220</v>
      </c>
    </row>
    <row r="307" spans="3:31" x14ac:dyDescent="0.25">
      <c r="C307" s="87" t="s">
        <v>912</v>
      </c>
      <c r="D307" s="4" t="s">
        <v>913</v>
      </c>
      <c r="E307" s="4" t="s">
        <v>913</v>
      </c>
      <c r="F307" s="92">
        <v>5</v>
      </c>
      <c r="G307" s="4" t="s">
        <v>376</v>
      </c>
      <c r="H307" s="4" t="s">
        <v>81</v>
      </c>
      <c r="I307" s="4" t="s">
        <v>421</v>
      </c>
      <c r="J307" s="4" t="s">
        <v>885</v>
      </c>
      <c r="K307" s="4" t="s">
        <v>43</v>
      </c>
      <c r="L307" s="4" t="s">
        <v>914</v>
      </c>
      <c r="M307" s="4" t="s">
        <v>40</v>
      </c>
      <c r="N307" s="4" t="s">
        <v>514</v>
      </c>
      <c r="O307" s="4" t="s">
        <v>912</v>
      </c>
      <c r="P307" s="4" t="s">
        <v>42</v>
      </c>
      <c r="Q307" s="50" t="s">
        <v>43</v>
      </c>
      <c r="R307" s="50"/>
      <c r="S307" s="50" t="s">
        <v>886</v>
      </c>
      <c r="T307" s="4" t="s">
        <v>43</v>
      </c>
      <c r="U307" s="4" t="s">
        <v>43</v>
      </c>
      <c r="W307" s="48">
        <v>1</v>
      </c>
      <c r="X307" s="48">
        <v>1</v>
      </c>
      <c r="Y307" s="48">
        <v>3</v>
      </c>
      <c r="AD307" s="91">
        <f t="shared" si="5"/>
        <v>5</v>
      </c>
      <c r="AE307" s="48" t="s">
        <v>1220</v>
      </c>
    </row>
    <row r="308" spans="3:31" x14ac:dyDescent="0.25">
      <c r="C308" s="87" t="s">
        <v>828</v>
      </c>
      <c r="D308" s="4" t="s">
        <v>829</v>
      </c>
      <c r="E308" s="4" t="s">
        <v>829</v>
      </c>
      <c r="F308" s="92">
        <v>5.68</v>
      </c>
      <c r="G308" s="4" t="s">
        <v>376</v>
      </c>
      <c r="H308" s="4" t="s">
        <v>46</v>
      </c>
      <c r="I308" s="4" t="s">
        <v>421</v>
      </c>
      <c r="J308" s="4" t="s">
        <v>798</v>
      </c>
      <c r="K308" s="4" t="s">
        <v>43</v>
      </c>
      <c r="L308" s="4" t="s">
        <v>59</v>
      </c>
      <c r="M308" s="4" t="s">
        <v>40</v>
      </c>
      <c r="N308" s="4" t="s">
        <v>653</v>
      </c>
      <c r="O308" s="4" t="s">
        <v>828</v>
      </c>
      <c r="P308" s="4" t="s">
        <v>42</v>
      </c>
      <c r="Q308" s="50" t="s">
        <v>43</v>
      </c>
      <c r="R308" s="50"/>
      <c r="S308" s="50" t="s">
        <v>799</v>
      </c>
      <c r="T308" s="4" t="s">
        <v>43</v>
      </c>
      <c r="U308" s="4" t="s">
        <v>43</v>
      </c>
      <c r="W308" s="48">
        <v>1</v>
      </c>
      <c r="X308" s="48">
        <v>2</v>
      </c>
      <c r="Y308" s="48">
        <v>2</v>
      </c>
      <c r="Z308" s="48">
        <v>1</v>
      </c>
      <c r="AD308" s="91">
        <f t="shared" si="5"/>
        <v>5.6818181818181817</v>
      </c>
      <c r="AE308" s="48" t="e">
        <f>VLOOKUP(C308,#REF!,1,0)</f>
        <v>#REF!</v>
      </c>
    </row>
    <row r="309" spans="3:31" x14ac:dyDescent="0.25">
      <c r="C309" s="87" t="s">
        <v>915</v>
      </c>
      <c r="D309" s="4" t="s">
        <v>916</v>
      </c>
      <c r="E309" s="4" t="s">
        <v>916</v>
      </c>
      <c r="F309" s="92">
        <v>5</v>
      </c>
      <c r="G309" s="4" t="s">
        <v>376</v>
      </c>
      <c r="H309" s="4" t="s">
        <v>81</v>
      </c>
      <c r="I309" s="4" t="s">
        <v>421</v>
      </c>
      <c r="J309" s="4" t="s">
        <v>885</v>
      </c>
      <c r="K309" s="4" t="s">
        <v>43</v>
      </c>
      <c r="L309" s="4" t="s">
        <v>133</v>
      </c>
      <c r="M309" s="4" t="s">
        <v>40</v>
      </c>
      <c r="N309" s="4" t="s">
        <v>514</v>
      </c>
      <c r="O309" s="4" t="s">
        <v>915</v>
      </c>
      <c r="P309" s="4" t="s">
        <v>42</v>
      </c>
      <c r="Q309" s="50" t="s">
        <v>43</v>
      </c>
      <c r="R309" s="50"/>
      <c r="S309" s="50" t="s">
        <v>886</v>
      </c>
      <c r="T309" s="4" t="s">
        <v>43</v>
      </c>
      <c r="U309" s="4" t="s">
        <v>43</v>
      </c>
      <c r="W309" s="48">
        <v>1</v>
      </c>
      <c r="X309" s="48">
        <v>1</v>
      </c>
      <c r="Y309" s="48">
        <v>3</v>
      </c>
      <c r="AD309" s="94">
        <f t="shared" si="5"/>
        <v>5</v>
      </c>
      <c r="AE309" s="48" t="s">
        <v>1220</v>
      </c>
    </row>
    <row r="310" spans="3:31" x14ac:dyDescent="0.25">
      <c r="C310" s="87" t="s">
        <v>841</v>
      </c>
      <c r="D310" s="4" t="s">
        <v>842</v>
      </c>
      <c r="E310" s="4" t="s">
        <v>843</v>
      </c>
      <c r="F310" s="92">
        <v>5.6</v>
      </c>
      <c r="G310" s="4" t="s">
        <v>376</v>
      </c>
      <c r="H310" s="4" t="s">
        <v>38</v>
      </c>
      <c r="I310" s="4" t="s">
        <v>421</v>
      </c>
      <c r="J310" s="4" t="s">
        <v>798</v>
      </c>
      <c r="K310" s="4" t="s">
        <v>43</v>
      </c>
      <c r="L310" s="4" t="s">
        <v>59</v>
      </c>
      <c r="M310" s="4" t="s">
        <v>40</v>
      </c>
      <c r="N310" s="4" t="s">
        <v>653</v>
      </c>
      <c r="O310" s="4" t="s">
        <v>841</v>
      </c>
      <c r="P310" s="4" t="s">
        <v>42</v>
      </c>
      <c r="Q310" s="50"/>
      <c r="R310" s="50"/>
      <c r="S310" s="50" t="s">
        <v>799</v>
      </c>
      <c r="T310" s="4" t="s">
        <v>43</v>
      </c>
      <c r="U310" s="4" t="s">
        <v>43</v>
      </c>
      <c r="W310" s="48">
        <v>1</v>
      </c>
      <c r="X310" s="48">
        <v>1</v>
      </c>
      <c r="AA310" s="48">
        <v>4</v>
      </c>
      <c r="AC310" s="48">
        <v>4</v>
      </c>
      <c r="AD310" s="91">
        <f t="shared" si="5"/>
        <v>5.6363636363636367</v>
      </c>
      <c r="AE310" s="48" t="e">
        <f>VLOOKUP(C310,#REF!,1,0)</f>
        <v>#REF!</v>
      </c>
    </row>
    <row r="311" spans="3:31" x14ac:dyDescent="0.25">
      <c r="C311" s="87" t="s">
        <v>917</v>
      </c>
      <c r="D311" s="4" t="s">
        <v>918</v>
      </c>
      <c r="E311" s="4" t="s">
        <v>918</v>
      </c>
      <c r="F311" s="92">
        <v>5</v>
      </c>
      <c r="G311" s="4" t="s">
        <v>376</v>
      </c>
      <c r="H311" s="4" t="s">
        <v>46</v>
      </c>
      <c r="I311" s="4" t="s">
        <v>421</v>
      </c>
      <c r="J311" s="4" t="s">
        <v>885</v>
      </c>
      <c r="K311" s="4" t="s">
        <v>43</v>
      </c>
      <c r="L311" s="4" t="s">
        <v>605</v>
      </c>
      <c r="M311" s="4" t="s">
        <v>40</v>
      </c>
      <c r="N311" s="4" t="s">
        <v>514</v>
      </c>
      <c r="O311" s="4" t="s">
        <v>917</v>
      </c>
      <c r="P311" s="4" t="s">
        <v>42</v>
      </c>
      <c r="Q311" s="50" t="s">
        <v>43</v>
      </c>
      <c r="R311" s="50"/>
      <c r="S311" s="50" t="s">
        <v>886</v>
      </c>
      <c r="T311" s="4" t="s">
        <v>43</v>
      </c>
      <c r="U311" s="4" t="s">
        <v>43</v>
      </c>
      <c r="W311" s="48">
        <v>1</v>
      </c>
      <c r="X311" s="48">
        <v>1</v>
      </c>
      <c r="Y311" s="48">
        <v>3</v>
      </c>
      <c r="AD311" s="91">
        <f t="shared" si="5"/>
        <v>5</v>
      </c>
      <c r="AE311" s="48" t="s">
        <v>1220</v>
      </c>
    </row>
    <row r="312" spans="3:31" x14ac:dyDescent="0.25">
      <c r="C312" s="87" t="s">
        <v>881</v>
      </c>
      <c r="D312" s="4" t="s">
        <v>882</v>
      </c>
      <c r="E312" s="4" t="s">
        <v>882</v>
      </c>
      <c r="F312" s="92">
        <v>5.6</v>
      </c>
      <c r="G312" s="4" t="s">
        <v>376</v>
      </c>
      <c r="H312" s="4"/>
      <c r="I312" s="4" t="s">
        <v>377</v>
      </c>
      <c r="J312" s="4" t="s">
        <v>132</v>
      </c>
      <c r="K312" s="4"/>
      <c r="L312" s="4"/>
      <c r="M312" s="4"/>
      <c r="N312" s="4" t="s">
        <v>514</v>
      </c>
      <c r="O312" s="4" t="s">
        <v>881</v>
      </c>
      <c r="P312" s="4"/>
      <c r="Q312" s="50"/>
      <c r="R312" s="50"/>
      <c r="S312" s="50" t="s">
        <v>847</v>
      </c>
      <c r="T312" s="4"/>
      <c r="U312" s="4"/>
      <c r="W312" s="48">
        <v>1</v>
      </c>
      <c r="X312" s="48">
        <v>1</v>
      </c>
      <c r="AA312" s="48">
        <v>4</v>
      </c>
      <c r="AC312" s="48">
        <v>4</v>
      </c>
      <c r="AD312" s="91">
        <f t="shared" si="5"/>
        <v>5.6363636363636367</v>
      </c>
      <c r="AE312" s="48" t="e">
        <f>VLOOKUP(C312,#REF!,1,0)</f>
        <v>#REF!</v>
      </c>
    </row>
    <row r="313" spans="3:31" x14ac:dyDescent="0.25">
      <c r="C313" s="87" t="s">
        <v>942</v>
      </c>
      <c r="D313" s="4" t="s">
        <v>943</v>
      </c>
      <c r="E313" s="4" t="s">
        <v>944</v>
      </c>
      <c r="F313" s="92">
        <v>5.6</v>
      </c>
      <c r="G313" s="4" t="s">
        <v>376</v>
      </c>
      <c r="H313" s="4" t="s">
        <v>46</v>
      </c>
      <c r="I313" s="4" t="s">
        <v>377</v>
      </c>
      <c r="J313" s="4" t="s">
        <v>132</v>
      </c>
      <c r="K313" s="4" t="s">
        <v>43</v>
      </c>
      <c r="L313" s="4" t="s">
        <v>371</v>
      </c>
      <c r="M313" s="4" t="s">
        <v>40</v>
      </c>
      <c r="N313" s="4" t="s">
        <v>378</v>
      </c>
      <c r="O313" s="4" t="s">
        <v>942</v>
      </c>
      <c r="P313" s="4" t="s">
        <v>42</v>
      </c>
      <c r="Q313" s="72" t="s">
        <v>43</v>
      </c>
      <c r="R313" s="72"/>
      <c r="S313" s="50" t="s">
        <v>931</v>
      </c>
      <c r="T313" s="4" t="s">
        <v>43</v>
      </c>
      <c r="U313" s="4" t="s">
        <v>43</v>
      </c>
      <c r="W313" s="48">
        <v>1</v>
      </c>
      <c r="X313" s="48">
        <v>1</v>
      </c>
      <c r="AA313" s="48">
        <v>4</v>
      </c>
      <c r="AC313" s="48">
        <v>4</v>
      </c>
      <c r="AD313" s="91">
        <f t="shared" si="5"/>
        <v>5.6363636363636367</v>
      </c>
      <c r="AE313" s="48" t="e">
        <f>VLOOKUP(C313,#REF!,1,0)</f>
        <v>#REF!</v>
      </c>
    </row>
    <row r="314" spans="3:31" x14ac:dyDescent="0.25">
      <c r="C314" s="87" t="s">
        <v>844</v>
      </c>
      <c r="D314" s="4" t="s">
        <v>845</v>
      </c>
      <c r="E314" s="4" t="s">
        <v>846</v>
      </c>
      <c r="F314" s="92">
        <v>6</v>
      </c>
      <c r="G314" s="4" t="s">
        <v>376</v>
      </c>
      <c r="H314" s="4" t="s">
        <v>46</v>
      </c>
      <c r="I314" s="4" t="s">
        <v>377</v>
      </c>
      <c r="J314" s="4" t="s">
        <v>132</v>
      </c>
      <c r="K314" s="4" t="s">
        <v>43</v>
      </c>
      <c r="L314" s="4" t="s">
        <v>138</v>
      </c>
      <c r="M314" s="4" t="s">
        <v>40</v>
      </c>
      <c r="N314" s="4" t="s">
        <v>514</v>
      </c>
      <c r="O314" s="4" t="s">
        <v>844</v>
      </c>
      <c r="P314" s="4" t="s">
        <v>42</v>
      </c>
      <c r="Q314" s="50" t="s">
        <v>43</v>
      </c>
      <c r="R314" s="50"/>
      <c r="S314" s="50" t="s">
        <v>847</v>
      </c>
      <c r="T314" s="4" t="s">
        <v>43</v>
      </c>
      <c r="U314" s="4" t="s">
        <v>43</v>
      </c>
      <c r="W314" s="48">
        <v>1</v>
      </c>
      <c r="X314" s="48">
        <v>1</v>
      </c>
      <c r="Y314" s="48">
        <v>4</v>
      </c>
      <c r="AD314" s="91">
        <f t="shared" si="5"/>
        <v>6</v>
      </c>
      <c r="AE314" s="48" t="e">
        <f>VLOOKUP(C314,#REF!,1,0)</f>
        <v>#REF!</v>
      </c>
    </row>
    <row r="315" spans="3:31" x14ac:dyDescent="0.25">
      <c r="C315" s="87" t="s">
        <v>883</v>
      </c>
      <c r="D315" s="4" t="s">
        <v>884</v>
      </c>
      <c r="E315" s="4" t="s">
        <v>884</v>
      </c>
      <c r="F315" s="92">
        <v>5.79</v>
      </c>
      <c r="G315" s="4" t="s">
        <v>376</v>
      </c>
      <c r="H315" s="4" t="s">
        <v>46</v>
      </c>
      <c r="I315" s="4" t="s">
        <v>421</v>
      </c>
      <c r="J315" s="4" t="s">
        <v>885</v>
      </c>
      <c r="K315" s="4" t="s">
        <v>43</v>
      </c>
      <c r="L315" s="4" t="s">
        <v>315</v>
      </c>
      <c r="M315" s="4" t="s">
        <v>40</v>
      </c>
      <c r="N315" s="4" t="s">
        <v>514</v>
      </c>
      <c r="O315" s="4" t="s">
        <v>883</v>
      </c>
      <c r="P315" s="4" t="s">
        <v>42</v>
      </c>
      <c r="Q315" s="50" t="s">
        <v>43</v>
      </c>
      <c r="R315" s="50"/>
      <c r="S315" s="50" t="s">
        <v>886</v>
      </c>
      <c r="T315" s="4" t="s">
        <v>43</v>
      </c>
      <c r="U315" s="4" t="s">
        <v>43</v>
      </c>
      <c r="V315" s="2"/>
      <c r="W315" s="48">
        <v>1</v>
      </c>
      <c r="X315" s="48">
        <v>2</v>
      </c>
      <c r="Y315" s="48">
        <v>2</v>
      </c>
      <c r="AB315" s="48">
        <v>1</v>
      </c>
      <c r="AC315" s="48">
        <v>1</v>
      </c>
      <c r="AD315" s="91">
        <f t="shared" si="5"/>
        <v>5.795454545454545</v>
      </c>
      <c r="AE315" s="48" t="e">
        <f>VLOOKUP(C315,#REF!,1,0)</f>
        <v>#REF!</v>
      </c>
    </row>
    <row r="316" spans="3:31" x14ac:dyDescent="0.25">
      <c r="C316" s="87" t="s">
        <v>850</v>
      </c>
      <c r="D316" s="4" t="s">
        <v>851</v>
      </c>
      <c r="E316" s="4" t="s">
        <v>851</v>
      </c>
      <c r="F316" s="92">
        <v>6</v>
      </c>
      <c r="G316" s="4" t="s">
        <v>376</v>
      </c>
      <c r="H316" s="4" t="s">
        <v>46</v>
      </c>
      <c r="I316" s="4" t="s">
        <v>377</v>
      </c>
      <c r="J316" s="4" t="s">
        <v>132</v>
      </c>
      <c r="K316" s="4" t="s">
        <v>43</v>
      </c>
      <c r="L316" s="4" t="s">
        <v>138</v>
      </c>
      <c r="M316" s="4" t="s">
        <v>40</v>
      </c>
      <c r="N316" s="4" t="s">
        <v>514</v>
      </c>
      <c r="O316" s="4" t="s">
        <v>850</v>
      </c>
      <c r="P316" s="4" t="s">
        <v>42</v>
      </c>
      <c r="Q316" s="50" t="s">
        <v>43</v>
      </c>
      <c r="R316" s="50"/>
      <c r="S316" s="50" t="s">
        <v>847</v>
      </c>
      <c r="T316" s="4" t="s">
        <v>43</v>
      </c>
      <c r="U316" s="4" t="s">
        <v>43</v>
      </c>
      <c r="W316" s="48">
        <v>1</v>
      </c>
      <c r="X316" s="48">
        <v>1</v>
      </c>
      <c r="Y316" s="48">
        <v>4</v>
      </c>
      <c r="AD316" s="91">
        <f t="shared" si="5"/>
        <v>6</v>
      </c>
      <c r="AE316" s="48" t="e">
        <f>VLOOKUP(C316,#REF!,1,0)</f>
        <v>#REF!</v>
      </c>
    </row>
    <row r="317" spans="3:31" x14ac:dyDescent="0.25">
      <c r="C317" s="87" t="s">
        <v>919</v>
      </c>
      <c r="D317" s="4" t="s">
        <v>920</v>
      </c>
      <c r="E317" s="4" t="s">
        <v>920</v>
      </c>
      <c r="F317" s="92">
        <v>5</v>
      </c>
      <c r="G317" s="4" t="s">
        <v>376</v>
      </c>
      <c r="H317" s="4" t="s">
        <v>81</v>
      </c>
      <c r="I317" s="4" t="s">
        <v>421</v>
      </c>
      <c r="J317" s="4" t="s">
        <v>885</v>
      </c>
      <c r="K317" s="4" t="s">
        <v>43</v>
      </c>
      <c r="L317" s="4" t="s">
        <v>315</v>
      </c>
      <c r="M317" s="4" t="s">
        <v>40</v>
      </c>
      <c r="N317" s="4" t="s">
        <v>514</v>
      </c>
      <c r="O317" s="4" t="s">
        <v>919</v>
      </c>
      <c r="P317" s="4" t="s">
        <v>42</v>
      </c>
      <c r="Q317" s="50" t="s">
        <v>43</v>
      </c>
      <c r="R317" s="50"/>
      <c r="S317" s="50" t="s">
        <v>886</v>
      </c>
      <c r="T317" s="4" t="s">
        <v>43</v>
      </c>
      <c r="U317" s="4" t="s">
        <v>43</v>
      </c>
      <c r="W317" s="48">
        <v>1</v>
      </c>
      <c r="X317" s="48">
        <v>1</v>
      </c>
      <c r="Y317" s="48">
        <v>3</v>
      </c>
      <c r="AD317" s="91">
        <f t="shared" si="5"/>
        <v>5</v>
      </c>
      <c r="AE317" s="48" t="s">
        <v>1220</v>
      </c>
    </row>
    <row r="318" spans="3:31" x14ac:dyDescent="0.25">
      <c r="C318" s="87" t="s">
        <v>854</v>
      </c>
      <c r="D318" s="4" t="s">
        <v>855</v>
      </c>
      <c r="E318" s="4" t="s">
        <v>855</v>
      </c>
      <c r="F318" s="92">
        <v>6.45</v>
      </c>
      <c r="G318" s="4" t="s">
        <v>376</v>
      </c>
      <c r="H318" s="4" t="s">
        <v>46</v>
      </c>
      <c r="I318" s="4" t="s">
        <v>377</v>
      </c>
      <c r="J318" s="4" t="s">
        <v>132</v>
      </c>
      <c r="K318" s="4" t="s">
        <v>43</v>
      </c>
      <c r="L318" s="4" t="s">
        <v>856</v>
      </c>
      <c r="M318" s="4" t="s">
        <v>40</v>
      </c>
      <c r="N318" s="4" t="s">
        <v>514</v>
      </c>
      <c r="O318" s="4" t="s">
        <v>854</v>
      </c>
      <c r="P318" s="4" t="s">
        <v>42</v>
      </c>
      <c r="Q318" s="50" t="s">
        <v>43</v>
      </c>
      <c r="R318" s="50"/>
      <c r="S318" s="50" t="s">
        <v>847</v>
      </c>
      <c r="T318" s="4" t="s">
        <v>43</v>
      </c>
      <c r="U318" s="4" t="s">
        <v>43</v>
      </c>
      <c r="W318" s="48">
        <v>1</v>
      </c>
      <c r="X318" s="48">
        <v>2</v>
      </c>
      <c r="Y318" s="48">
        <v>3</v>
      </c>
      <c r="AB318" s="48">
        <v>1</v>
      </c>
      <c r="AD318" s="91">
        <f t="shared" si="5"/>
        <v>6.4545454545454541</v>
      </c>
      <c r="AE318" s="48" t="e">
        <f>VLOOKUP(C318,#REF!,1,0)</f>
        <v>#REF!</v>
      </c>
    </row>
    <row r="319" spans="3:31" x14ac:dyDescent="0.25">
      <c r="C319" s="87" t="s">
        <v>857</v>
      </c>
      <c r="D319" s="4" t="s">
        <v>858</v>
      </c>
      <c r="E319" s="4" t="s">
        <v>859</v>
      </c>
      <c r="F319" s="95">
        <v>5.9</v>
      </c>
      <c r="G319" s="4" t="s">
        <v>376</v>
      </c>
      <c r="H319" s="4" t="s">
        <v>46</v>
      </c>
      <c r="I319" s="4" t="s">
        <v>377</v>
      </c>
      <c r="J319" s="4" t="s">
        <v>132</v>
      </c>
      <c r="K319" s="4" t="s">
        <v>43</v>
      </c>
      <c r="L319" s="4" t="s">
        <v>138</v>
      </c>
      <c r="M319" s="4" t="s">
        <v>40</v>
      </c>
      <c r="N319" s="4" t="s">
        <v>514</v>
      </c>
      <c r="O319" s="4" t="s">
        <v>857</v>
      </c>
      <c r="P319" s="4" t="s">
        <v>42</v>
      </c>
      <c r="Q319" s="50" t="s">
        <v>43</v>
      </c>
      <c r="R319" s="50"/>
      <c r="S319" s="50" t="s">
        <v>847</v>
      </c>
      <c r="T319" s="4" t="s">
        <v>43</v>
      </c>
      <c r="U319" s="4" t="s">
        <v>43</v>
      </c>
      <c r="V319" s="48" t="s">
        <v>860</v>
      </c>
      <c r="W319" s="48">
        <v>1</v>
      </c>
      <c r="X319" s="48">
        <v>2</v>
      </c>
      <c r="Y319" s="48">
        <v>2</v>
      </c>
      <c r="AB319" s="48">
        <v>2</v>
      </c>
      <c r="AD319" s="91">
        <f t="shared" si="5"/>
        <v>5.9090909090909092</v>
      </c>
      <c r="AE319" s="48" t="e">
        <f>VLOOKUP(C319,#REF!,1,0)</f>
        <v>#REF!</v>
      </c>
    </row>
    <row r="320" spans="3:31" x14ac:dyDescent="0.25">
      <c r="C320" s="87" t="s">
        <v>642</v>
      </c>
      <c r="D320" s="4" t="s">
        <v>643</v>
      </c>
      <c r="E320" s="4" t="s">
        <v>643</v>
      </c>
      <c r="F320" s="92">
        <v>6.16</v>
      </c>
      <c r="G320" s="4" t="s">
        <v>376</v>
      </c>
      <c r="H320" s="4" t="s">
        <v>46</v>
      </c>
      <c r="I320" s="4" t="s">
        <v>421</v>
      </c>
      <c r="J320" s="4" t="s">
        <v>50</v>
      </c>
      <c r="K320" s="4" t="s">
        <v>43</v>
      </c>
      <c r="L320" s="4" t="s">
        <v>51</v>
      </c>
      <c r="M320" s="4" t="s">
        <v>40</v>
      </c>
      <c r="N320" s="4" t="s">
        <v>422</v>
      </c>
      <c r="O320" s="4" t="s">
        <v>642</v>
      </c>
      <c r="P320" s="4" t="s">
        <v>42</v>
      </c>
      <c r="Q320" s="50" t="s">
        <v>43</v>
      </c>
      <c r="R320" s="50"/>
      <c r="S320" s="50" t="s">
        <v>597</v>
      </c>
      <c r="T320" s="4" t="s">
        <v>43</v>
      </c>
      <c r="U320" s="4" t="s">
        <v>43</v>
      </c>
      <c r="W320" s="48">
        <v>1</v>
      </c>
      <c r="X320" s="48">
        <v>1</v>
      </c>
      <c r="AA320" s="48">
        <v>5</v>
      </c>
      <c r="AC320" s="48">
        <v>4</v>
      </c>
      <c r="AD320" s="91">
        <f t="shared" si="5"/>
        <v>6.204545454545455</v>
      </c>
      <c r="AE320" s="48" t="e">
        <f>VLOOKUP(C320,#REF!,1,0)</f>
        <v>#REF!</v>
      </c>
    </row>
    <row r="321" spans="3:31" x14ac:dyDescent="0.25">
      <c r="C321" s="87" t="s">
        <v>644</v>
      </c>
      <c r="D321" s="4" t="s">
        <v>645</v>
      </c>
      <c r="E321" s="4" t="s">
        <v>645</v>
      </c>
      <c r="F321" s="92">
        <v>6.16</v>
      </c>
      <c r="G321" s="4" t="s">
        <v>376</v>
      </c>
      <c r="H321" s="4" t="s">
        <v>81</v>
      </c>
      <c r="I321" s="4" t="s">
        <v>421</v>
      </c>
      <c r="J321" s="4" t="s">
        <v>50</v>
      </c>
      <c r="K321" s="4" t="s">
        <v>43</v>
      </c>
      <c r="L321" s="4" t="s">
        <v>51</v>
      </c>
      <c r="M321" s="4" t="s">
        <v>40</v>
      </c>
      <c r="N321" s="4" t="s">
        <v>422</v>
      </c>
      <c r="O321" s="4" t="s">
        <v>644</v>
      </c>
      <c r="P321" s="4" t="s">
        <v>42</v>
      </c>
      <c r="Q321" s="50" t="s">
        <v>43</v>
      </c>
      <c r="R321" s="50"/>
      <c r="S321" s="50" t="s">
        <v>597</v>
      </c>
      <c r="T321" s="4" t="s">
        <v>43</v>
      </c>
      <c r="U321" s="4" t="s">
        <v>32</v>
      </c>
      <c r="W321" s="48">
        <v>1</v>
      </c>
      <c r="X321" s="48">
        <v>1</v>
      </c>
      <c r="AA321" s="48">
        <v>5</v>
      </c>
      <c r="AC321" s="48">
        <v>4</v>
      </c>
      <c r="AD321" s="91">
        <f t="shared" si="5"/>
        <v>6.204545454545455</v>
      </c>
      <c r="AE321" s="48" t="e">
        <f>VLOOKUP(C321,#REF!,1,0)</f>
        <v>#REF!</v>
      </c>
    </row>
    <row r="322" spans="3:31" x14ac:dyDescent="0.25">
      <c r="C322" s="87" t="s">
        <v>865</v>
      </c>
      <c r="D322" s="4" t="s">
        <v>866</v>
      </c>
      <c r="E322" s="4" t="s">
        <v>866</v>
      </c>
      <c r="F322" s="92">
        <v>6</v>
      </c>
      <c r="G322" s="4" t="s">
        <v>376</v>
      </c>
      <c r="H322" s="4" t="s">
        <v>46</v>
      </c>
      <c r="I322" s="4" t="s">
        <v>377</v>
      </c>
      <c r="J322" s="4" t="s">
        <v>132</v>
      </c>
      <c r="K322" s="4" t="s">
        <v>43</v>
      </c>
      <c r="L322" s="4" t="s">
        <v>856</v>
      </c>
      <c r="M322" s="4" t="s">
        <v>40</v>
      </c>
      <c r="N322" s="4" t="s">
        <v>514</v>
      </c>
      <c r="O322" s="4" t="s">
        <v>865</v>
      </c>
      <c r="P322" s="4" t="s">
        <v>42</v>
      </c>
      <c r="Q322" s="50" t="s">
        <v>43</v>
      </c>
      <c r="R322" s="50"/>
      <c r="S322" s="50" t="s">
        <v>847</v>
      </c>
      <c r="T322" s="4" t="s">
        <v>43</v>
      </c>
      <c r="U322" s="4" t="s">
        <v>43</v>
      </c>
      <c r="W322" s="48">
        <v>1</v>
      </c>
      <c r="X322" s="48">
        <v>1</v>
      </c>
      <c r="Y322" s="48">
        <v>4</v>
      </c>
      <c r="AD322" s="91">
        <f t="shared" si="5"/>
        <v>6</v>
      </c>
      <c r="AE322" s="48" t="e">
        <f>VLOOKUP(C322,#REF!,1,0)</f>
        <v>#REF!</v>
      </c>
    </row>
    <row r="323" spans="3:31" x14ac:dyDescent="0.25">
      <c r="C323" s="87" t="s">
        <v>867</v>
      </c>
      <c r="D323" s="4" t="s">
        <v>868</v>
      </c>
      <c r="E323" s="4" t="s">
        <v>869</v>
      </c>
      <c r="F323" s="92">
        <v>5.07</v>
      </c>
      <c r="G323" s="4" t="s">
        <v>376</v>
      </c>
      <c r="H323" s="4" t="s">
        <v>46</v>
      </c>
      <c r="I323" s="4" t="s">
        <v>377</v>
      </c>
      <c r="J323" s="4" t="s">
        <v>132</v>
      </c>
      <c r="K323" s="4" t="s">
        <v>43</v>
      </c>
      <c r="L323" s="4" t="s">
        <v>856</v>
      </c>
      <c r="M323" s="4" t="s">
        <v>40</v>
      </c>
      <c r="N323" s="4" t="s">
        <v>514</v>
      </c>
      <c r="O323" s="4" t="s">
        <v>867</v>
      </c>
      <c r="P323" s="4" t="s">
        <v>42</v>
      </c>
      <c r="Q323" s="50" t="s">
        <v>43</v>
      </c>
      <c r="R323" s="50"/>
      <c r="S323" s="50" t="s">
        <v>847</v>
      </c>
      <c r="T323" s="4" t="s">
        <v>43</v>
      </c>
      <c r="U323" s="4" t="s">
        <v>32</v>
      </c>
      <c r="W323" s="48">
        <v>1</v>
      </c>
      <c r="X323" s="48">
        <v>1</v>
      </c>
      <c r="AA323" s="48">
        <v>3</v>
      </c>
      <c r="AC323" s="48">
        <v>4</v>
      </c>
      <c r="AD323" s="91">
        <f t="shared" si="5"/>
        <v>5.0681818181818183</v>
      </c>
      <c r="AE323" s="48" t="e">
        <f>VLOOKUP(C323,#REF!,1,0)</f>
        <v>#REF!</v>
      </c>
    </row>
    <row r="324" spans="3:31" x14ac:dyDescent="0.25">
      <c r="C324" s="87" t="s">
        <v>921</v>
      </c>
      <c r="D324" s="4" t="s">
        <v>922</v>
      </c>
      <c r="E324" s="4" t="s">
        <v>911</v>
      </c>
      <c r="F324" s="92">
        <v>5</v>
      </c>
      <c r="G324" s="4" t="s">
        <v>376</v>
      </c>
      <c r="H324" s="4" t="s">
        <v>81</v>
      </c>
      <c r="I324" s="4" t="s">
        <v>421</v>
      </c>
      <c r="J324" s="4" t="s">
        <v>885</v>
      </c>
      <c r="K324" s="4" t="s">
        <v>43</v>
      </c>
      <c r="L324" s="4" t="s">
        <v>911</v>
      </c>
      <c r="M324" s="4" t="s">
        <v>40</v>
      </c>
      <c r="N324" s="4" t="s">
        <v>514</v>
      </c>
      <c r="O324" s="4" t="s">
        <v>921</v>
      </c>
      <c r="P324" s="4" t="s">
        <v>42</v>
      </c>
      <c r="Q324" s="50" t="s">
        <v>43</v>
      </c>
      <c r="R324" s="50"/>
      <c r="S324" s="50" t="s">
        <v>886</v>
      </c>
      <c r="T324" s="4" t="s">
        <v>43</v>
      </c>
      <c r="U324" s="4" t="s">
        <v>43</v>
      </c>
      <c r="W324" s="48">
        <v>1</v>
      </c>
      <c r="X324" s="48">
        <v>1</v>
      </c>
      <c r="Y324" s="48">
        <v>3</v>
      </c>
      <c r="AD324" s="91">
        <f t="shared" si="5"/>
        <v>5</v>
      </c>
      <c r="AE324" s="48" t="s">
        <v>1220</v>
      </c>
    </row>
    <row r="325" spans="3:31" x14ac:dyDescent="0.25">
      <c r="C325" s="87" t="s">
        <v>528</v>
      </c>
      <c r="D325" s="4" t="s">
        <v>529</v>
      </c>
      <c r="E325" s="4" t="s">
        <v>530</v>
      </c>
      <c r="F325" s="92">
        <v>6.28</v>
      </c>
      <c r="G325" s="4" t="s">
        <v>376</v>
      </c>
      <c r="H325" s="4" t="s">
        <v>46</v>
      </c>
      <c r="I325" s="4" t="s">
        <v>377</v>
      </c>
      <c r="J325" s="4" t="s">
        <v>100</v>
      </c>
      <c r="K325" s="4" t="s">
        <v>43</v>
      </c>
      <c r="L325" s="4" t="s">
        <v>64</v>
      </c>
      <c r="M325" s="4" t="s">
        <v>40</v>
      </c>
      <c r="N325" s="4" t="s">
        <v>514</v>
      </c>
      <c r="O325" s="4" t="s">
        <v>528</v>
      </c>
      <c r="P325" s="4" t="s">
        <v>42</v>
      </c>
      <c r="Q325" s="50" t="s">
        <v>43</v>
      </c>
      <c r="R325" s="50"/>
      <c r="S325" s="50" t="s">
        <v>515</v>
      </c>
      <c r="T325" s="4" t="s">
        <v>43</v>
      </c>
      <c r="U325" s="4" t="s">
        <v>43</v>
      </c>
      <c r="W325" s="48">
        <v>1</v>
      </c>
      <c r="X325" s="48">
        <v>1</v>
      </c>
      <c r="Z325" s="48">
        <v>1</v>
      </c>
      <c r="AA325" s="48">
        <v>4</v>
      </c>
      <c r="AC325" s="48">
        <v>4</v>
      </c>
      <c r="AD325" s="91">
        <f t="shared" si="5"/>
        <v>6.3181818181818183</v>
      </c>
      <c r="AE325" s="48" t="e">
        <f>VLOOKUP(C325,#REF!,1,0)</f>
        <v>#REF!</v>
      </c>
    </row>
    <row r="326" spans="3:31" x14ac:dyDescent="0.25">
      <c r="C326" s="87" t="s">
        <v>476</v>
      </c>
      <c r="D326" s="4" t="s">
        <v>477</v>
      </c>
      <c r="E326" s="4" t="s">
        <v>477</v>
      </c>
      <c r="F326" s="92">
        <v>7.68</v>
      </c>
      <c r="G326" s="4" t="s">
        <v>376</v>
      </c>
      <c r="H326" s="4" t="s">
        <v>46</v>
      </c>
      <c r="I326" s="4" t="s">
        <v>377</v>
      </c>
      <c r="J326" s="4" t="s">
        <v>466</v>
      </c>
      <c r="K326" s="4" t="s">
        <v>43</v>
      </c>
      <c r="L326" s="4" t="s">
        <v>51</v>
      </c>
      <c r="M326" s="4" t="s">
        <v>40</v>
      </c>
      <c r="N326" s="4" t="s">
        <v>378</v>
      </c>
      <c r="O326" s="4" t="s">
        <v>476</v>
      </c>
      <c r="P326" s="4" t="s">
        <v>379</v>
      </c>
      <c r="Q326" s="50" t="s">
        <v>43</v>
      </c>
      <c r="R326" s="50"/>
      <c r="S326" s="50" t="s">
        <v>467</v>
      </c>
      <c r="T326" s="4" t="s">
        <v>43</v>
      </c>
      <c r="U326" s="4" t="s">
        <v>43</v>
      </c>
      <c r="W326" s="48">
        <v>1</v>
      </c>
      <c r="X326" s="48">
        <v>2</v>
      </c>
      <c r="Y326" s="48">
        <v>4</v>
      </c>
      <c r="Z326" s="48">
        <v>1</v>
      </c>
      <c r="AD326" s="91">
        <f t="shared" si="5"/>
        <v>7.6818181818181817</v>
      </c>
      <c r="AE326" s="48" t="e">
        <f>VLOOKUP(C326,#REF!,1,0)</f>
        <v>#REF!</v>
      </c>
    </row>
    <row r="327" spans="3:31" x14ac:dyDescent="0.25">
      <c r="C327" s="87" t="s">
        <v>923</v>
      </c>
      <c r="D327" s="4" t="s">
        <v>924</v>
      </c>
      <c r="E327" s="4" t="s">
        <v>924</v>
      </c>
      <c r="F327" s="92">
        <v>5</v>
      </c>
      <c r="G327" s="4" t="s">
        <v>376</v>
      </c>
      <c r="H327" s="4" t="s">
        <v>46</v>
      </c>
      <c r="I327" s="4" t="s">
        <v>421</v>
      </c>
      <c r="J327" s="4" t="s">
        <v>885</v>
      </c>
      <c r="K327" s="4" t="s">
        <v>43</v>
      </c>
      <c r="L327" s="4" t="s">
        <v>133</v>
      </c>
      <c r="M327" s="4" t="s">
        <v>40</v>
      </c>
      <c r="N327" s="4" t="s">
        <v>514</v>
      </c>
      <c r="O327" s="4" t="s">
        <v>923</v>
      </c>
      <c r="P327" s="4" t="s">
        <v>42</v>
      </c>
      <c r="Q327" s="50" t="s">
        <v>43</v>
      </c>
      <c r="R327" s="50"/>
      <c r="S327" s="50" t="s">
        <v>886</v>
      </c>
      <c r="T327" s="4" t="s">
        <v>43</v>
      </c>
      <c r="U327" s="4" t="s">
        <v>43</v>
      </c>
      <c r="W327" s="48">
        <v>1</v>
      </c>
      <c r="X327" s="48">
        <v>1</v>
      </c>
      <c r="Y327" s="48">
        <v>3</v>
      </c>
      <c r="AD327" s="91">
        <f t="shared" si="5"/>
        <v>5</v>
      </c>
      <c r="AE327" s="48" t="s">
        <v>1220</v>
      </c>
    </row>
    <row r="328" spans="3:31" x14ac:dyDescent="0.25">
      <c r="C328" s="87" t="s">
        <v>519</v>
      </c>
      <c r="D328" s="4" t="s">
        <v>520</v>
      </c>
      <c r="E328" s="4" t="s">
        <v>520</v>
      </c>
      <c r="F328" s="92">
        <v>7.68</v>
      </c>
      <c r="G328" s="4" t="s">
        <v>376</v>
      </c>
      <c r="H328" s="4" t="s">
        <v>46</v>
      </c>
      <c r="I328" s="4" t="s">
        <v>377</v>
      </c>
      <c r="J328" s="4" t="s">
        <v>100</v>
      </c>
      <c r="K328" s="4" t="s">
        <v>43</v>
      </c>
      <c r="L328" s="4" t="s">
        <v>138</v>
      </c>
      <c r="M328" s="4" t="s">
        <v>40</v>
      </c>
      <c r="N328" s="4" t="s">
        <v>514</v>
      </c>
      <c r="O328" s="4" t="s">
        <v>519</v>
      </c>
      <c r="P328" s="4" t="s">
        <v>42</v>
      </c>
      <c r="Q328" s="50" t="s">
        <v>43</v>
      </c>
      <c r="R328" s="50"/>
      <c r="S328" s="50" t="s">
        <v>515</v>
      </c>
      <c r="T328" s="4" t="s">
        <v>43</v>
      </c>
      <c r="U328" s="4" t="s">
        <v>43</v>
      </c>
      <c r="W328" s="48">
        <v>1</v>
      </c>
      <c r="X328" s="48">
        <v>1</v>
      </c>
      <c r="Y328" s="48">
        <v>5</v>
      </c>
      <c r="Z328" s="48">
        <v>1</v>
      </c>
      <c r="AD328" s="91">
        <f t="shared" ref="AD328:AD368" si="6">SUMPRODUCT($W$6:$AC$6,W328:AC328)</f>
        <v>7.6818181818181817</v>
      </c>
      <c r="AE328" s="48" t="e">
        <f>VLOOKUP(C328,#REF!,1,0)</f>
        <v>#REF!</v>
      </c>
    </row>
    <row r="329" spans="3:31" x14ac:dyDescent="0.25">
      <c r="C329" s="87" t="s">
        <v>525</v>
      </c>
      <c r="D329" s="4" t="s">
        <v>526</v>
      </c>
      <c r="E329" s="4" t="s">
        <v>527</v>
      </c>
      <c r="F329" s="92">
        <v>7.68</v>
      </c>
      <c r="G329" s="4" t="s">
        <v>376</v>
      </c>
      <c r="H329" s="4" t="s">
        <v>46</v>
      </c>
      <c r="I329" s="4" t="s">
        <v>377</v>
      </c>
      <c r="J329" s="4" t="s">
        <v>100</v>
      </c>
      <c r="K329" s="4" t="s">
        <v>43</v>
      </c>
      <c r="L329" s="4" t="s">
        <v>138</v>
      </c>
      <c r="M329" s="4" t="s">
        <v>40</v>
      </c>
      <c r="N329" s="4" t="s">
        <v>514</v>
      </c>
      <c r="O329" s="4" t="s">
        <v>525</v>
      </c>
      <c r="P329" s="4" t="s">
        <v>379</v>
      </c>
      <c r="Q329" s="50" t="s">
        <v>43</v>
      </c>
      <c r="R329" s="50"/>
      <c r="S329" s="50" t="s">
        <v>515</v>
      </c>
      <c r="T329" s="4" t="s">
        <v>43</v>
      </c>
      <c r="U329" s="4" t="s">
        <v>43</v>
      </c>
      <c r="W329" s="48">
        <v>1</v>
      </c>
      <c r="X329" s="48">
        <v>2</v>
      </c>
      <c r="Y329" s="48">
        <v>4</v>
      </c>
      <c r="Z329" s="48">
        <v>1</v>
      </c>
      <c r="AD329" s="91">
        <f t="shared" si="6"/>
        <v>7.6818181818181817</v>
      </c>
      <c r="AE329" s="48" t="e">
        <f>VLOOKUP(C329,#REF!,1,0)</f>
        <v>#REF!</v>
      </c>
    </row>
    <row r="330" spans="3:31" x14ac:dyDescent="0.25">
      <c r="C330" s="87" t="s">
        <v>861</v>
      </c>
      <c r="D330" s="4" t="s">
        <v>862</v>
      </c>
      <c r="E330" s="4" t="s">
        <v>862</v>
      </c>
      <c r="F330" s="92">
        <v>7.9</v>
      </c>
      <c r="G330" s="4" t="s">
        <v>376</v>
      </c>
      <c r="H330" s="4" t="s">
        <v>46</v>
      </c>
      <c r="I330" s="4" t="s">
        <v>377</v>
      </c>
      <c r="J330" s="4" t="s">
        <v>132</v>
      </c>
      <c r="K330" s="4" t="s">
        <v>43</v>
      </c>
      <c r="L330" s="4" t="s">
        <v>856</v>
      </c>
      <c r="M330" s="4" t="s">
        <v>40</v>
      </c>
      <c r="N330" s="4" t="s">
        <v>514</v>
      </c>
      <c r="O330" s="4" t="s">
        <v>861</v>
      </c>
      <c r="P330" s="4" t="s">
        <v>379</v>
      </c>
      <c r="Q330" s="50" t="s">
        <v>43</v>
      </c>
      <c r="R330" s="50"/>
      <c r="S330" s="50" t="s">
        <v>847</v>
      </c>
      <c r="T330" s="4" t="s">
        <v>43</v>
      </c>
      <c r="U330" s="4" t="s">
        <v>43</v>
      </c>
      <c r="W330" s="48">
        <v>1</v>
      </c>
      <c r="X330" s="48">
        <v>2</v>
      </c>
      <c r="Y330" s="48">
        <v>4</v>
      </c>
      <c r="AB330" s="48">
        <v>2</v>
      </c>
      <c r="AD330" s="91">
        <f t="shared" si="6"/>
        <v>7.9090909090909092</v>
      </c>
      <c r="AE330" s="48" t="e">
        <f>VLOOKUP(C330,#REF!,1,0)</f>
        <v>#REF!</v>
      </c>
    </row>
    <row r="331" spans="3:31" x14ac:dyDescent="0.25">
      <c r="C331" s="87" t="s">
        <v>848</v>
      </c>
      <c r="D331" s="4" t="s">
        <v>849</v>
      </c>
      <c r="E331" s="4" t="s">
        <v>849</v>
      </c>
      <c r="F331" s="92">
        <v>8.34</v>
      </c>
      <c r="G331" s="4" t="s">
        <v>376</v>
      </c>
      <c r="H331" s="4" t="s">
        <v>46</v>
      </c>
      <c r="I331" s="4" t="s">
        <v>377</v>
      </c>
      <c r="J331" s="4" t="s">
        <v>132</v>
      </c>
      <c r="K331" s="4" t="s">
        <v>43</v>
      </c>
      <c r="L331" s="4" t="s">
        <v>138</v>
      </c>
      <c r="M331" s="4" t="s">
        <v>40</v>
      </c>
      <c r="N331" s="4" t="s">
        <v>514</v>
      </c>
      <c r="O331" s="4" t="s">
        <v>848</v>
      </c>
      <c r="P331" s="4" t="s">
        <v>379</v>
      </c>
      <c r="Q331" s="50" t="s">
        <v>43</v>
      </c>
      <c r="R331" s="50"/>
      <c r="S331" s="50" t="s">
        <v>847</v>
      </c>
      <c r="T331" s="4" t="s">
        <v>43</v>
      </c>
      <c r="U331" s="4" t="s">
        <v>43</v>
      </c>
      <c r="W331" s="48">
        <v>1</v>
      </c>
      <c r="X331" s="48">
        <v>2</v>
      </c>
      <c r="Y331" s="48">
        <v>5</v>
      </c>
      <c r="AC331" s="48">
        <v>1</v>
      </c>
      <c r="AD331" s="91">
        <f t="shared" si="6"/>
        <v>8.3409090909090917</v>
      </c>
      <c r="AE331" s="48" t="e">
        <f>VLOOKUP(C331,#REF!,1,0)</f>
        <v>#REF!</v>
      </c>
    </row>
    <row r="332" spans="3:31" x14ac:dyDescent="0.25">
      <c r="C332" s="87" t="s">
        <v>889</v>
      </c>
      <c r="D332" s="4" t="s">
        <v>890</v>
      </c>
      <c r="E332" s="4" t="s">
        <v>890</v>
      </c>
      <c r="F332" s="92">
        <v>6</v>
      </c>
      <c r="G332" s="4" t="s">
        <v>376</v>
      </c>
      <c r="H332" s="4" t="s">
        <v>46</v>
      </c>
      <c r="I332" s="4" t="s">
        <v>421</v>
      </c>
      <c r="J332" s="4" t="s">
        <v>885</v>
      </c>
      <c r="K332" s="4" t="s">
        <v>43</v>
      </c>
      <c r="L332" s="4" t="s">
        <v>97</v>
      </c>
      <c r="M332" s="4" t="s">
        <v>40</v>
      </c>
      <c r="N332" s="4" t="s">
        <v>514</v>
      </c>
      <c r="O332" s="4" t="s">
        <v>889</v>
      </c>
      <c r="P332" s="4" t="s">
        <v>42</v>
      </c>
      <c r="Q332" s="50" t="s">
        <v>43</v>
      </c>
      <c r="R332" s="50"/>
      <c r="S332" s="50" t="s">
        <v>886</v>
      </c>
      <c r="T332" s="4" t="s">
        <v>43</v>
      </c>
      <c r="U332" s="4" t="s">
        <v>43</v>
      </c>
      <c r="W332" s="48">
        <v>1</v>
      </c>
      <c r="X332" s="48">
        <v>1</v>
      </c>
      <c r="Y332" s="48">
        <v>4</v>
      </c>
      <c r="AD332" s="91">
        <f t="shared" si="6"/>
        <v>6</v>
      </c>
      <c r="AE332" s="48" t="e">
        <f>VLOOKUP(C332,#REF!,1,0)</f>
        <v>#REF!</v>
      </c>
    </row>
    <row r="333" spans="3:31" x14ac:dyDescent="0.25">
      <c r="C333" s="87" t="s">
        <v>925</v>
      </c>
      <c r="D333" s="4" t="s">
        <v>926</v>
      </c>
      <c r="E333" s="4" t="s">
        <v>927</v>
      </c>
      <c r="F333" s="92">
        <v>5</v>
      </c>
      <c r="G333" s="4" t="s">
        <v>376</v>
      </c>
      <c r="H333" s="4" t="s">
        <v>81</v>
      </c>
      <c r="I333" s="4" t="s">
        <v>421</v>
      </c>
      <c r="J333" s="4" t="s">
        <v>885</v>
      </c>
      <c r="K333" s="4" t="s">
        <v>43</v>
      </c>
      <c r="L333" s="4" t="s">
        <v>928</v>
      </c>
      <c r="M333" s="4" t="s">
        <v>40</v>
      </c>
      <c r="N333" s="4" t="s">
        <v>514</v>
      </c>
      <c r="O333" s="4" t="s">
        <v>925</v>
      </c>
      <c r="P333" s="4" t="s">
        <v>42</v>
      </c>
      <c r="Q333" s="50" t="s">
        <v>43</v>
      </c>
      <c r="R333" s="50"/>
      <c r="S333" s="50" t="s">
        <v>886</v>
      </c>
      <c r="T333" s="4" t="s">
        <v>43</v>
      </c>
      <c r="U333" s="4" t="s">
        <v>43</v>
      </c>
      <c r="W333" s="48">
        <v>1</v>
      </c>
      <c r="X333" s="48">
        <v>1</v>
      </c>
      <c r="Y333" s="48">
        <v>3</v>
      </c>
      <c r="AD333" s="91">
        <f t="shared" si="6"/>
        <v>5</v>
      </c>
      <c r="AE333" s="48" t="s">
        <v>1220</v>
      </c>
    </row>
    <row r="334" spans="3:31" x14ac:dyDescent="0.25">
      <c r="C334" s="87" t="s">
        <v>960</v>
      </c>
      <c r="D334" s="4" t="s">
        <v>961</v>
      </c>
      <c r="E334" s="4" t="s">
        <v>961</v>
      </c>
      <c r="F334" s="92">
        <v>5</v>
      </c>
      <c r="G334" s="4" t="s">
        <v>376</v>
      </c>
      <c r="H334" s="4" t="s">
        <v>81</v>
      </c>
      <c r="I334" s="4" t="s">
        <v>377</v>
      </c>
      <c r="J334" s="4" t="s">
        <v>132</v>
      </c>
      <c r="K334" s="4" t="s">
        <v>43</v>
      </c>
      <c r="L334" s="4" t="s">
        <v>353</v>
      </c>
      <c r="M334" s="4" t="s">
        <v>40</v>
      </c>
      <c r="N334" s="4" t="s">
        <v>378</v>
      </c>
      <c r="O334" s="4" t="s">
        <v>960</v>
      </c>
      <c r="P334" s="4" t="s">
        <v>42</v>
      </c>
      <c r="Q334" s="50" t="s">
        <v>43</v>
      </c>
      <c r="R334" s="50"/>
      <c r="S334" s="50" t="s">
        <v>931</v>
      </c>
      <c r="T334" s="4" t="s">
        <v>43</v>
      </c>
      <c r="U334" s="4" t="s">
        <v>43</v>
      </c>
      <c r="W334" s="48">
        <v>1</v>
      </c>
      <c r="X334" s="48">
        <v>1</v>
      </c>
      <c r="Y334" s="48">
        <v>3</v>
      </c>
      <c r="AD334" s="91">
        <f t="shared" si="6"/>
        <v>5</v>
      </c>
      <c r="AE334" s="48" t="s">
        <v>1220</v>
      </c>
    </row>
    <row r="335" spans="3:31" x14ac:dyDescent="0.25">
      <c r="C335" s="87" t="s">
        <v>968</v>
      </c>
      <c r="D335" s="4" t="s">
        <v>969</v>
      </c>
      <c r="E335" s="4" t="s">
        <v>969</v>
      </c>
      <c r="F335" s="92">
        <v>5</v>
      </c>
      <c r="G335" s="4" t="s">
        <v>376</v>
      </c>
      <c r="H335" s="4" t="s">
        <v>46</v>
      </c>
      <c r="I335" s="4" t="s">
        <v>377</v>
      </c>
      <c r="J335" s="4" t="s">
        <v>132</v>
      </c>
      <c r="K335" s="4" t="s">
        <v>43</v>
      </c>
      <c r="L335" s="4" t="s">
        <v>39</v>
      </c>
      <c r="M335" s="4" t="s">
        <v>40</v>
      </c>
      <c r="N335" s="4" t="s">
        <v>378</v>
      </c>
      <c r="O335" s="4" t="s">
        <v>968</v>
      </c>
      <c r="P335" s="4" t="s">
        <v>42</v>
      </c>
      <c r="Q335" s="50" t="s">
        <v>43</v>
      </c>
      <c r="R335" s="50"/>
      <c r="S335" s="50" t="s">
        <v>931</v>
      </c>
      <c r="T335" s="4" t="s">
        <v>43</v>
      </c>
      <c r="U335" s="4" t="s">
        <v>43</v>
      </c>
      <c r="W335" s="48">
        <v>1</v>
      </c>
      <c r="X335" s="48">
        <v>1</v>
      </c>
      <c r="Y335" s="48">
        <v>3</v>
      </c>
      <c r="AD335" s="91">
        <f t="shared" si="6"/>
        <v>5</v>
      </c>
      <c r="AE335" s="48" t="s">
        <v>1220</v>
      </c>
    </row>
    <row r="336" spans="3:31" x14ac:dyDescent="0.25">
      <c r="C336" s="87" t="s">
        <v>898</v>
      </c>
      <c r="D336" s="4" t="s">
        <v>899</v>
      </c>
      <c r="E336" s="4" t="s">
        <v>899</v>
      </c>
      <c r="F336" s="92">
        <v>5.45</v>
      </c>
      <c r="G336" s="4" t="s">
        <v>376</v>
      </c>
      <c r="H336" s="4" t="s">
        <v>46</v>
      </c>
      <c r="I336" s="4" t="s">
        <v>421</v>
      </c>
      <c r="J336" s="4" t="s">
        <v>885</v>
      </c>
      <c r="K336" s="4" t="s">
        <v>43</v>
      </c>
      <c r="L336" s="4" t="s">
        <v>315</v>
      </c>
      <c r="M336" s="4" t="s">
        <v>40</v>
      </c>
      <c r="N336" s="4" t="s">
        <v>514</v>
      </c>
      <c r="O336" s="4" t="s">
        <v>898</v>
      </c>
      <c r="P336" s="4" t="s">
        <v>42</v>
      </c>
      <c r="Q336" s="50" t="s">
        <v>43</v>
      </c>
      <c r="R336" s="50"/>
      <c r="S336" s="50" t="s">
        <v>886</v>
      </c>
      <c r="T336" s="4" t="s">
        <v>43</v>
      </c>
      <c r="U336" s="4" t="s">
        <v>43</v>
      </c>
      <c r="W336" s="48">
        <v>1</v>
      </c>
      <c r="X336" s="48">
        <v>1</v>
      </c>
      <c r="Y336" s="48">
        <v>3</v>
      </c>
      <c r="AB336" s="48">
        <v>1</v>
      </c>
      <c r="AD336" s="91">
        <f t="shared" si="6"/>
        <v>5.4545454545454541</v>
      </c>
      <c r="AE336" s="48" t="e">
        <f>VLOOKUP(C336,#REF!,1,0)</f>
        <v>#REF!</v>
      </c>
    </row>
    <row r="337" spans="3:31" x14ac:dyDescent="0.25">
      <c r="C337" s="87" t="s">
        <v>970</v>
      </c>
      <c r="D337" s="4" t="s">
        <v>971</v>
      </c>
      <c r="E337" s="4" t="s">
        <v>972</v>
      </c>
      <c r="F337" s="92">
        <v>5</v>
      </c>
      <c r="G337" s="4" t="s">
        <v>376</v>
      </c>
      <c r="H337" s="4" t="s">
        <v>81</v>
      </c>
      <c r="I337" s="4" t="s">
        <v>377</v>
      </c>
      <c r="J337" s="4" t="s">
        <v>132</v>
      </c>
      <c r="K337" s="4" t="s">
        <v>43</v>
      </c>
      <c r="L337" s="4" t="s">
        <v>353</v>
      </c>
      <c r="M337" s="4" t="s">
        <v>40</v>
      </c>
      <c r="N337" s="4" t="s">
        <v>378</v>
      </c>
      <c r="O337" s="4" t="s">
        <v>970</v>
      </c>
      <c r="P337" s="4" t="s">
        <v>42</v>
      </c>
      <c r="Q337" s="50" t="s">
        <v>43</v>
      </c>
      <c r="R337" s="50"/>
      <c r="S337" s="50" t="s">
        <v>931</v>
      </c>
      <c r="T337" s="4" t="s">
        <v>43</v>
      </c>
      <c r="U337" s="4" t="s">
        <v>43</v>
      </c>
      <c r="W337" s="48">
        <v>1</v>
      </c>
      <c r="X337" s="48">
        <v>1</v>
      </c>
      <c r="Y337" s="48">
        <v>3</v>
      </c>
      <c r="AD337" s="91">
        <f t="shared" si="6"/>
        <v>5</v>
      </c>
      <c r="AE337" s="48" t="s">
        <v>1220</v>
      </c>
    </row>
    <row r="338" spans="3:31" x14ac:dyDescent="0.25">
      <c r="C338" s="87" t="s">
        <v>973</v>
      </c>
      <c r="D338" s="4" t="s">
        <v>974</v>
      </c>
      <c r="E338" s="4" t="s">
        <v>974</v>
      </c>
      <c r="F338" s="92">
        <v>5</v>
      </c>
      <c r="G338" s="4" t="s">
        <v>376</v>
      </c>
      <c r="H338" s="4" t="s">
        <v>46</v>
      </c>
      <c r="I338" s="4" t="s">
        <v>377</v>
      </c>
      <c r="J338" s="4" t="s">
        <v>132</v>
      </c>
      <c r="K338" s="4" t="s">
        <v>43</v>
      </c>
      <c r="L338" s="4" t="s">
        <v>39</v>
      </c>
      <c r="M338" s="4" t="s">
        <v>40</v>
      </c>
      <c r="N338" s="4" t="s">
        <v>378</v>
      </c>
      <c r="O338" s="4" t="s">
        <v>973</v>
      </c>
      <c r="P338" s="4" t="s">
        <v>42</v>
      </c>
      <c r="Q338" s="50" t="s">
        <v>43</v>
      </c>
      <c r="R338" s="50"/>
      <c r="S338" s="50" t="s">
        <v>931</v>
      </c>
      <c r="T338" s="4" t="s">
        <v>43</v>
      </c>
      <c r="U338" s="4" t="s">
        <v>43</v>
      </c>
      <c r="W338" s="48">
        <v>1</v>
      </c>
      <c r="X338" s="48">
        <v>1</v>
      </c>
      <c r="Y338" s="48">
        <v>3</v>
      </c>
      <c r="AD338" s="91">
        <f t="shared" si="6"/>
        <v>5</v>
      </c>
      <c r="AE338" s="48" t="s">
        <v>1220</v>
      </c>
    </row>
    <row r="339" spans="3:31" x14ac:dyDescent="0.25">
      <c r="C339" s="87" t="s">
        <v>408</v>
      </c>
      <c r="D339" s="4" t="s">
        <v>409</v>
      </c>
      <c r="E339" s="4" t="s">
        <v>410</v>
      </c>
      <c r="F339" s="92">
        <v>5</v>
      </c>
      <c r="G339" s="4" t="s">
        <v>376</v>
      </c>
      <c r="H339" s="4" t="s">
        <v>46</v>
      </c>
      <c r="I339" s="4" t="s">
        <v>377</v>
      </c>
      <c r="J339" s="4" t="s">
        <v>160</v>
      </c>
      <c r="K339" s="4" t="s">
        <v>43</v>
      </c>
      <c r="L339" s="4" t="s">
        <v>138</v>
      </c>
      <c r="M339" s="4" t="s">
        <v>40</v>
      </c>
      <c r="N339" s="4" t="s">
        <v>378</v>
      </c>
      <c r="O339" s="4" t="s">
        <v>408</v>
      </c>
      <c r="P339" s="4" t="s">
        <v>42</v>
      </c>
      <c r="Q339" s="50" t="s">
        <v>43</v>
      </c>
      <c r="R339" s="50"/>
      <c r="S339" s="50" t="s">
        <v>380</v>
      </c>
      <c r="T339" s="4" t="s">
        <v>43</v>
      </c>
      <c r="U339" s="4" t="s">
        <v>43</v>
      </c>
      <c r="W339" s="48">
        <v>1</v>
      </c>
      <c r="X339" s="48">
        <v>2</v>
      </c>
      <c r="Y339" s="48">
        <v>2</v>
      </c>
      <c r="AD339" s="91">
        <f t="shared" si="6"/>
        <v>5</v>
      </c>
      <c r="AE339" s="48" t="s">
        <v>1219</v>
      </c>
    </row>
    <row r="340" spans="3:31" x14ac:dyDescent="0.25">
      <c r="C340" s="87" t="s">
        <v>426</v>
      </c>
      <c r="D340" s="4" t="s">
        <v>427</v>
      </c>
      <c r="E340" s="4" t="s">
        <v>428</v>
      </c>
      <c r="F340" s="92">
        <v>5</v>
      </c>
      <c r="G340" s="4" t="s">
        <v>376</v>
      </c>
      <c r="H340" s="4" t="s">
        <v>46</v>
      </c>
      <c r="I340" s="4" t="s">
        <v>421</v>
      </c>
      <c r="J340" s="4" t="s">
        <v>94</v>
      </c>
      <c r="K340" s="4" t="s">
        <v>43</v>
      </c>
      <c r="L340" s="4" t="s">
        <v>64</v>
      </c>
      <c r="M340" s="4" t="s">
        <v>40</v>
      </c>
      <c r="N340" s="4" t="s">
        <v>422</v>
      </c>
      <c r="O340" s="4" t="s">
        <v>426</v>
      </c>
      <c r="P340" s="4" t="s">
        <v>42</v>
      </c>
      <c r="Q340" s="50" t="s">
        <v>43</v>
      </c>
      <c r="R340" s="50"/>
      <c r="S340" s="50" t="s">
        <v>423</v>
      </c>
      <c r="T340" s="4" t="s">
        <v>43</v>
      </c>
      <c r="U340" s="4" t="s">
        <v>43</v>
      </c>
      <c r="W340" s="48">
        <v>1</v>
      </c>
      <c r="X340" s="48">
        <v>2</v>
      </c>
      <c r="Y340" s="48">
        <v>2</v>
      </c>
      <c r="AD340" s="91">
        <f t="shared" si="6"/>
        <v>5</v>
      </c>
      <c r="AE340" s="48" t="s">
        <v>1219</v>
      </c>
    </row>
    <row r="341" spans="3:31" x14ac:dyDescent="0.25">
      <c r="C341" s="87" t="s">
        <v>450</v>
      </c>
      <c r="D341" s="4" t="s">
        <v>451</v>
      </c>
      <c r="E341" s="4" t="s">
        <v>452</v>
      </c>
      <c r="F341" s="92">
        <v>5</v>
      </c>
      <c r="G341" s="4" t="s">
        <v>376</v>
      </c>
      <c r="H341" s="4" t="s">
        <v>46</v>
      </c>
      <c r="I341" s="4" t="s">
        <v>421</v>
      </c>
      <c r="J341" s="4" t="s">
        <v>94</v>
      </c>
      <c r="K341" s="4" t="s">
        <v>43</v>
      </c>
      <c r="L341" s="4" t="s">
        <v>64</v>
      </c>
      <c r="M341" s="4" t="s">
        <v>40</v>
      </c>
      <c r="N341" s="4" t="s">
        <v>422</v>
      </c>
      <c r="O341" s="4" t="s">
        <v>450</v>
      </c>
      <c r="P341" s="4" t="s">
        <v>42</v>
      </c>
      <c r="Q341" s="50" t="s">
        <v>43</v>
      </c>
      <c r="R341" s="50"/>
      <c r="S341" s="50" t="s">
        <v>423</v>
      </c>
      <c r="T341" s="4" t="s">
        <v>43</v>
      </c>
      <c r="U341" s="4" t="s">
        <v>43</v>
      </c>
      <c r="W341" s="48">
        <v>1</v>
      </c>
      <c r="X341" s="48">
        <v>2</v>
      </c>
      <c r="Y341" s="48">
        <v>2</v>
      </c>
      <c r="AD341" s="91">
        <f t="shared" si="6"/>
        <v>5</v>
      </c>
      <c r="AE341" s="48" t="s">
        <v>1219</v>
      </c>
    </row>
    <row r="342" spans="3:31" x14ac:dyDescent="0.25">
      <c r="C342" s="87" t="s">
        <v>471</v>
      </c>
      <c r="D342" s="4" t="s">
        <v>472</v>
      </c>
      <c r="E342" s="4" t="s">
        <v>473</v>
      </c>
      <c r="F342" s="92">
        <v>5</v>
      </c>
      <c r="G342" s="4" t="s">
        <v>376</v>
      </c>
      <c r="H342" s="4" t="s">
        <v>46</v>
      </c>
      <c r="I342" s="4" t="s">
        <v>377</v>
      </c>
      <c r="J342" s="4" t="s">
        <v>466</v>
      </c>
      <c r="K342" s="4" t="s">
        <v>43</v>
      </c>
      <c r="L342" s="4" t="s">
        <v>51</v>
      </c>
      <c r="M342" s="4" t="s">
        <v>40</v>
      </c>
      <c r="N342" s="4" t="s">
        <v>378</v>
      </c>
      <c r="O342" s="4" t="s">
        <v>471</v>
      </c>
      <c r="P342" s="4" t="s">
        <v>42</v>
      </c>
      <c r="Q342" s="50" t="s">
        <v>43</v>
      </c>
      <c r="R342" s="50"/>
      <c r="S342" s="50" t="s">
        <v>467</v>
      </c>
      <c r="T342" s="4" t="s">
        <v>43</v>
      </c>
      <c r="U342" s="4" t="s">
        <v>43</v>
      </c>
      <c r="W342" s="48">
        <v>1</v>
      </c>
      <c r="X342" s="48">
        <v>2</v>
      </c>
      <c r="Y342" s="48">
        <v>2</v>
      </c>
      <c r="AD342" s="91">
        <f t="shared" si="6"/>
        <v>5</v>
      </c>
      <c r="AE342" s="48" t="s">
        <v>1219</v>
      </c>
    </row>
    <row r="343" spans="3:31" x14ac:dyDescent="0.25">
      <c r="C343" s="87" t="s">
        <v>483</v>
      </c>
      <c r="D343" s="4" t="s">
        <v>484</v>
      </c>
      <c r="E343" s="4" t="s">
        <v>485</v>
      </c>
      <c r="F343" s="92">
        <v>5</v>
      </c>
      <c r="G343" s="4" t="s">
        <v>376</v>
      </c>
      <c r="H343" s="4" t="s">
        <v>46</v>
      </c>
      <c r="I343" s="4" t="s">
        <v>377</v>
      </c>
      <c r="J343" s="4" t="s">
        <v>466</v>
      </c>
      <c r="K343" s="4" t="s">
        <v>43</v>
      </c>
      <c r="L343" s="4" t="s">
        <v>51</v>
      </c>
      <c r="M343" s="4" t="s">
        <v>40</v>
      </c>
      <c r="N343" s="4" t="s">
        <v>378</v>
      </c>
      <c r="O343" s="4" t="s">
        <v>483</v>
      </c>
      <c r="P343" s="4" t="s">
        <v>42</v>
      </c>
      <c r="Q343" s="50" t="s">
        <v>43</v>
      </c>
      <c r="R343" s="50"/>
      <c r="S343" s="50" t="s">
        <v>467</v>
      </c>
      <c r="T343" s="4" t="s">
        <v>43</v>
      </c>
      <c r="U343" s="4" t="s">
        <v>43</v>
      </c>
      <c r="W343" s="48">
        <v>1</v>
      </c>
      <c r="X343" s="48">
        <v>2</v>
      </c>
      <c r="Y343" s="48">
        <v>2</v>
      </c>
      <c r="AD343" s="91">
        <f t="shared" si="6"/>
        <v>5</v>
      </c>
      <c r="AE343" s="48" t="s">
        <v>1219</v>
      </c>
    </row>
    <row r="344" spans="3:31" x14ac:dyDescent="0.25">
      <c r="C344" s="87" t="s">
        <v>491</v>
      </c>
      <c r="D344" s="4" t="s">
        <v>492</v>
      </c>
      <c r="E344" s="4" t="s">
        <v>493</v>
      </c>
      <c r="F344" s="92">
        <v>5</v>
      </c>
      <c r="G344" s="4" t="s">
        <v>376</v>
      </c>
      <c r="H344" s="4" t="s">
        <v>46</v>
      </c>
      <c r="I344" s="4" t="s">
        <v>377</v>
      </c>
      <c r="J344" s="4" t="s">
        <v>466</v>
      </c>
      <c r="K344" s="4" t="s">
        <v>43</v>
      </c>
      <c r="L344" s="4" t="s">
        <v>51</v>
      </c>
      <c r="M344" s="4" t="s">
        <v>40</v>
      </c>
      <c r="N344" s="4" t="s">
        <v>378</v>
      </c>
      <c r="O344" s="4" t="s">
        <v>491</v>
      </c>
      <c r="P344" s="4" t="s">
        <v>42</v>
      </c>
      <c r="Q344" s="50" t="s">
        <v>43</v>
      </c>
      <c r="R344" s="50"/>
      <c r="S344" s="50" t="s">
        <v>467</v>
      </c>
      <c r="T344" s="4" t="s">
        <v>43</v>
      </c>
      <c r="U344" s="4" t="s">
        <v>43</v>
      </c>
      <c r="W344" s="48">
        <v>1</v>
      </c>
      <c r="X344" s="48">
        <v>2</v>
      </c>
      <c r="Y344" s="48">
        <v>2</v>
      </c>
      <c r="AD344" s="91">
        <f t="shared" si="6"/>
        <v>5</v>
      </c>
      <c r="AE344" s="48" t="s">
        <v>1219</v>
      </c>
    </row>
    <row r="345" spans="3:31" x14ac:dyDescent="0.25">
      <c r="C345" s="87" t="s">
        <v>502</v>
      </c>
      <c r="D345" s="4" t="s">
        <v>503</v>
      </c>
      <c r="E345" s="4" t="s">
        <v>504</v>
      </c>
      <c r="F345" s="92">
        <v>5</v>
      </c>
      <c r="G345" s="4" t="s">
        <v>376</v>
      </c>
      <c r="H345" s="4" t="s">
        <v>46</v>
      </c>
      <c r="I345" s="4" t="s">
        <v>377</v>
      </c>
      <c r="J345" s="4" t="s">
        <v>466</v>
      </c>
      <c r="K345" s="4" t="s">
        <v>43</v>
      </c>
      <c r="L345" s="4" t="s">
        <v>51</v>
      </c>
      <c r="M345" s="4" t="s">
        <v>40</v>
      </c>
      <c r="N345" s="4" t="s">
        <v>378</v>
      </c>
      <c r="O345" s="4" t="s">
        <v>502</v>
      </c>
      <c r="P345" s="4" t="s">
        <v>42</v>
      </c>
      <c r="Q345" s="50" t="s">
        <v>43</v>
      </c>
      <c r="R345" s="50"/>
      <c r="S345" s="50" t="s">
        <v>467</v>
      </c>
      <c r="T345" s="4" t="s">
        <v>43</v>
      </c>
      <c r="U345" s="4" t="s">
        <v>43</v>
      </c>
      <c r="W345" s="48">
        <v>1</v>
      </c>
      <c r="X345" s="48">
        <v>2</v>
      </c>
      <c r="Y345" s="48">
        <v>2</v>
      </c>
      <c r="AD345" s="91">
        <f t="shared" si="6"/>
        <v>5</v>
      </c>
      <c r="AE345" s="48" t="s">
        <v>1219</v>
      </c>
    </row>
    <row r="346" spans="3:31" x14ac:dyDescent="0.25">
      <c r="C346" s="87" t="s">
        <v>551</v>
      </c>
      <c r="D346" s="4" t="s">
        <v>552</v>
      </c>
      <c r="E346" s="4" t="s">
        <v>552</v>
      </c>
      <c r="F346" s="92">
        <v>5</v>
      </c>
      <c r="G346" s="4" t="s">
        <v>37</v>
      </c>
      <c r="H346" s="4" t="s">
        <v>46</v>
      </c>
      <c r="I346" s="4" t="s">
        <v>377</v>
      </c>
      <c r="J346" s="4" t="s">
        <v>100</v>
      </c>
      <c r="K346" s="4"/>
      <c r="L346" s="4" t="s">
        <v>138</v>
      </c>
      <c r="M346" s="4" t="s">
        <v>40</v>
      </c>
      <c r="N346" s="4" t="s">
        <v>41</v>
      </c>
      <c r="O346" s="4" t="s">
        <v>551</v>
      </c>
      <c r="P346" s="4" t="s">
        <v>42</v>
      </c>
      <c r="Q346" s="50" t="s">
        <v>43</v>
      </c>
      <c r="R346" s="50"/>
      <c r="S346" s="50" t="s">
        <v>515</v>
      </c>
      <c r="T346" s="4" t="s">
        <v>43</v>
      </c>
      <c r="U346" s="4" t="s">
        <v>43</v>
      </c>
      <c r="W346" s="48">
        <v>1</v>
      </c>
      <c r="X346" s="48">
        <v>2</v>
      </c>
      <c r="Y346" s="48">
        <v>2</v>
      </c>
      <c r="AD346" s="91">
        <f t="shared" si="6"/>
        <v>5</v>
      </c>
      <c r="AE346" s="48" t="s">
        <v>1219</v>
      </c>
    </row>
    <row r="347" spans="3:31" x14ac:dyDescent="0.25">
      <c r="C347" s="87" t="s">
        <v>677</v>
      </c>
      <c r="D347" s="4" t="s">
        <v>678</v>
      </c>
      <c r="E347" s="4" t="s">
        <v>679</v>
      </c>
      <c r="F347" s="92">
        <v>5</v>
      </c>
      <c r="G347" s="4" t="s">
        <v>376</v>
      </c>
      <c r="H347" s="4" t="s">
        <v>46</v>
      </c>
      <c r="I347" s="4" t="s">
        <v>377</v>
      </c>
      <c r="J347" s="4" t="s">
        <v>248</v>
      </c>
      <c r="K347" s="4" t="s">
        <v>43</v>
      </c>
      <c r="L347" s="4" t="s">
        <v>51</v>
      </c>
      <c r="M347" s="4" t="s">
        <v>40</v>
      </c>
      <c r="N347" s="4" t="s">
        <v>653</v>
      </c>
      <c r="O347" s="4" t="s">
        <v>677</v>
      </c>
      <c r="P347" s="4" t="s">
        <v>42</v>
      </c>
      <c r="Q347" s="50" t="s">
        <v>43</v>
      </c>
      <c r="R347" s="50"/>
      <c r="S347" s="50" t="s">
        <v>51</v>
      </c>
      <c r="T347" s="4" t="s">
        <v>43</v>
      </c>
      <c r="U347" s="4" t="s">
        <v>43</v>
      </c>
      <c r="W347" s="48">
        <v>1</v>
      </c>
      <c r="X347" s="48">
        <v>2</v>
      </c>
      <c r="Y347" s="48">
        <v>2</v>
      </c>
      <c r="AD347" s="91">
        <f t="shared" si="6"/>
        <v>5</v>
      </c>
      <c r="AE347" s="48" t="s">
        <v>1219</v>
      </c>
    </row>
    <row r="348" spans="3:31" x14ac:dyDescent="0.25">
      <c r="C348" s="87" t="s">
        <v>690</v>
      </c>
      <c r="D348" s="4" t="s">
        <v>691</v>
      </c>
      <c r="E348" s="4" t="s">
        <v>692</v>
      </c>
      <c r="F348" s="92">
        <v>5</v>
      </c>
      <c r="G348" s="4" t="s">
        <v>376</v>
      </c>
      <c r="H348" s="4" t="s">
        <v>46</v>
      </c>
      <c r="I348" s="4" t="s">
        <v>377</v>
      </c>
      <c r="J348" s="4" t="s">
        <v>248</v>
      </c>
      <c r="K348" s="4" t="s">
        <v>43</v>
      </c>
      <c r="L348" s="4" t="s">
        <v>51</v>
      </c>
      <c r="M348" s="4" t="s">
        <v>40</v>
      </c>
      <c r="N348" s="4" t="s">
        <v>653</v>
      </c>
      <c r="O348" s="4" t="s">
        <v>690</v>
      </c>
      <c r="P348" s="4" t="s">
        <v>42</v>
      </c>
      <c r="Q348" s="50" t="s">
        <v>43</v>
      </c>
      <c r="R348" s="50"/>
      <c r="S348" s="50" t="s">
        <v>51</v>
      </c>
      <c r="T348" s="4" t="s">
        <v>43</v>
      </c>
      <c r="U348" s="4" t="s">
        <v>43</v>
      </c>
      <c r="W348" s="48">
        <v>1</v>
      </c>
      <c r="X348" s="48">
        <v>2</v>
      </c>
      <c r="Y348" s="48">
        <v>2</v>
      </c>
      <c r="AD348" s="91">
        <f t="shared" si="6"/>
        <v>5</v>
      </c>
      <c r="AE348" s="48" t="s">
        <v>1219</v>
      </c>
    </row>
    <row r="349" spans="3:31" x14ac:dyDescent="0.25">
      <c r="C349" s="87" t="s">
        <v>929</v>
      </c>
      <c r="D349" s="4" t="s">
        <v>930</v>
      </c>
      <c r="E349" s="4" t="s">
        <v>930</v>
      </c>
      <c r="F349" s="92">
        <v>11.68</v>
      </c>
      <c r="G349" s="4" t="s">
        <v>376</v>
      </c>
      <c r="H349" s="4" t="s">
        <v>46</v>
      </c>
      <c r="I349" s="4" t="s">
        <v>377</v>
      </c>
      <c r="J349" s="4" t="s">
        <v>132</v>
      </c>
      <c r="K349" s="4" t="s">
        <v>43</v>
      </c>
      <c r="L349" s="4" t="s">
        <v>353</v>
      </c>
      <c r="M349" s="4" t="s">
        <v>40</v>
      </c>
      <c r="N349" s="4" t="s">
        <v>378</v>
      </c>
      <c r="O349" s="4" t="s">
        <v>929</v>
      </c>
      <c r="P349" s="4" t="s">
        <v>379</v>
      </c>
      <c r="Q349" s="50" t="s">
        <v>43</v>
      </c>
      <c r="R349" s="50"/>
      <c r="S349" s="50" t="s">
        <v>931</v>
      </c>
      <c r="T349" s="4" t="s">
        <v>43</v>
      </c>
      <c r="U349" s="4" t="s">
        <v>43</v>
      </c>
      <c r="W349" s="48">
        <v>1</v>
      </c>
      <c r="X349" s="48">
        <v>2</v>
      </c>
      <c r="Y349" s="48">
        <v>8</v>
      </c>
      <c r="Z349" s="48">
        <v>1</v>
      </c>
      <c r="AD349" s="91">
        <f t="shared" si="6"/>
        <v>11.681818181818182</v>
      </c>
      <c r="AE349" s="48" t="e">
        <f>VLOOKUP(C349,#REF!,1,0)</f>
        <v>#REF!</v>
      </c>
    </row>
    <row r="350" spans="3:31" x14ac:dyDescent="0.25">
      <c r="C350" s="87" t="s">
        <v>932</v>
      </c>
      <c r="D350" s="4" t="s">
        <v>933</v>
      </c>
      <c r="E350" s="4" t="s">
        <v>933</v>
      </c>
      <c r="F350" s="92">
        <v>8</v>
      </c>
      <c r="G350" s="4" t="s">
        <v>376</v>
      </c>
      <c r="H350" s="4" t="s">
        <v>46</v>
      </c>
      <c r="I350" s="4" t="s">
        <v>377</v>
      </c>
      <c r="J350" s="4" t="s">
        <v>132</v>
      </c>
      <c r="K350" s="4" t="s">
        <v>43</v>
      </c>
      <c r="L350" s="4" t="s">
        <v>353</v>
      </c>
      <c r="M350" s="4" t="s">
        <v>40</v>
      </c>
      <c r="N350" s="4" t="s">
        <v>378</v>
      </c>
      <c r="O350" s="4" t="s">
        <v>932</v>
      </c>
      <c r="P350" s="4" t="s">
        <v>379</v>
      </c>
      <c r="Q350" s="50" t="s">
        <v>43</v>
      </c>
      <c r="R350" s="50"/>
      <c r="S350" s="50" t="s">
        <v>931</v>
      </c>
      <c r="T350" s="4" t="s">
        <v>43</v>
      </c>
      <c r="U350" s="4" t="s">
        <v>43</v>
      </c>
      <c r="W350" s="48">
        <v>1</v>
      </c>
      <c r="X350" s="48">
        <v>2</v>
      </c>
      <c r="Y350" s="48">
        <v>5</v>
      </c>
      <c r="AD350" s="91">
        <f t="shared" si="6"/>
        <v>8</v>
      </c>
      <c r="AE350" s="48" t="e">
        <f>VLOOKUP(C350,#REF!,1,0)</f>
        <v>#REF!</v>
      </c>
    </row>
    <row r="351" spans="3:31" x14ac:dyDescent="0.25">
      <c r="C351" s="87" t="s">
        <v>934</v>
      </c>
      <c r="D351" s="4" t="s">
        <v>935</v>
      </c>
      <c r="E351" s="4" t="s">
        <v>935</v>
      </c>
      <c r="F351" s="92">
        <v>7</v>
      </c>
      <c r="G351" s="4" t="s">
        <v>376</v>
      </c>
      <c r="H351" s="4" t="s">
        <v>46</v>
      </c>
      <c r="I351" s="4" t="s">
        <v>377</v>
      </c>
      <c r="J351" s="4" t="s">
        <v>132</v>
      </c>
      <c r="K351" s="4" t="s">
        <v>43</v>
      </c>
      <c r="L351" s="4" t="s">
        <v>353</v>
      </c>
      <c r="M351" s="4" t="s">
        <v>40</v>
      </c>
      <c r="N351" s="4" t="s">
        <v>378</v>
      </c>
      <c r="O351" s="4" t="s">
        <v>934</v>
      </c>
      <c r="P351" s="4" t="s">
        <v>42</v>
      </c>
      <c r="Q351" s="50" t="s">
        <v>43</v>
      </c>
      <c r="R351" s="50"/>
      <c r="S351" s="50" t="s">
        <v>931</v>
      </c>
      <c r="T351" s="4" t="s">
        <v>43</v>
      </c>
      <c r="U351" s="4" t="s">
        <v>43</v>
      </c>
      <c r="W351" s="48">
        <v>1</v>
      </c>
      <c r="X351" s="48">
        <v>1</v>
      </c>
      <c r="Y351" s="48">
        <v>5</v>
      </c>
      <c r="AD351" s="91">
        <f t="shared" si="6"/>
        <v>7</v>
      </c>
      <c r="AE351" s="48" t="e">
        <f>VLOOKUP(C351,#REF!,1,0)</f>
        <v>#REF!</v>
      </c>
    </row>
    <row r="352" spans="3:31" x14ac:dyDescent="0.25">
      <c r="C352" s="87" t="s">
        <v>863</v>
      </c>
      <c r="D352" s="4" t="s">
        <v>864</v>
      </c>
      <c r="E352" s="4" t="s">
        <v>864</v>
      </c>
      <c r="F352" s="92">
        <v>8.36</v>
      </c>
      <c r="G352" s="4" t="s">
        <v>376</v>
      </c>
      <c r="H352" s="4" t="s">
        <v>46</v>
      </c>
      <c r="I352" s="4" t="s">
        <v>377</v>
      </c>
      <c r="J352" s="4" t="s">
        <v>132</v>
      </c>
      <c r="K352" s="4" t="s">
        <v>43</v>
      </c>
      <c r="L352" s="4" t="s">
        <v>138</v>
      </c>
      <c r="M352" s="4" t="s">
        <v>40</v>
      </c>
      <c r="N352" s="4" t="s">
        <v>514</v>
      </c>
      <c r="O352" s="4" t="s">
        <v>863</v>
      </c>
      <c r="P352" s="4" t="s">
        <v>379</v>
      </c>
      <c r="Q352" s="50" t="s">
        <v>43</v>
      </c>
      <c r="R352" s="50"/>
      <c r="S352" s="50" t="s">
        <v>847</v>
      </c>
      <c r="T352" s="4" t="s">
        <v>43</v>
      </c>
      <c r="U352" s="4" t="s">
        <v>43</v>
      </c>
      <c r="W352" s="48">
        <v>1</v>
      </c>
      <c r="X352" s="48">
        <v>2</v>
      </c>
      <c r="Y352" s="48">
        <v>4</v>
      </c>
      <c r="Z352" s="48">
        <v>2</v>
      </c>
      <c r="AD352" s="91">
        <f t="shared" si="6"/>
        <v>8.3636363636363633</v>
      </c>
      <c r="AE352" s="48" t="e">
        <f>VLOOKUP(C352,#REF!,1,0)</f>
        <v>#REF!</v>
      </c>
    </row>
    <row r="353" spans="3:31" x14ac:dyDescent="0.25">
      <c r="C353" s="87" t="s">
        <v>939</v>
      </c>
      <c r="D353" s="4" t="s">
        <v>39</v>
      </c>
      <c r="E353" s="4" t="s">
        <v>39</v>
      </c>
      <c r="F353" s="92">
        <v>10.130000000000001</v>
      </c>
      <c r="G353" s="4" t="s">
        <v>376</v>
      </c>
      <c r="H353" s="4" t="s">
        <v>46</v>
      </c>
      <c r="I353" s="4" t="s">
        <v>377</v>
      </c>
      <c r="J353" s="4" t="s">
        <v>132</v>
      </c>
      <c r="K353" s="4" t="s">
        <v>43</v>
      </c>
      <c r="L353" s="4" t="s">
        <v>39</v>
      </c>
      <c r="M353" s="4" t="s">
        <v>40</v>
      </c>
      <c r="N353" s="4" t="s">
        <v>378</v>
      </c>
      <c r="O353" s="4" t="s">
        <v>939</v>
      </c>
      <c r="P353" s="4" t="s">
        <v>379</v>
      </c>
      <c r="Q353" s="72" t="s">
        <v>43</v>
      </c>
      <c r="R353" s="72"/>
      <c r="S353" s="50" t="s">
        <v>931</v>
      </c>
      <c r="T353" s="4" t="s">
        <v>43</v>
      </c>
      <c r="U353" s="4" t="s">
        <v>43</v>
      </c>
      <c r="W353" s="48">
        <v>1</v>
      </c>
      <c r="X353" s="48">
        <v>2</v>
      </c>
      <c r="Y353" s="48">
        <v>6</v>
      </c>
      <c r="Z353" s="48">
        <v>1</v>
      </c>
      <c r="AB353" s="48">
        <v>1</v>
      </c>
      <c r="AD353" s="91">
        <f t="shared" si="6"/>
        <v>10.136363636363637</v>
      </c>
      <c r="AE353" s="48" t="e">
        <f>VLOOKUP(C353,#REF!,1,0)</f>
        <v>#REF!</v>
      </c>
    </row>
    <row r="354" spans="3:31" x14ac:dyDescent="0.25">
      <c r="C354" s="87" t="s">
        <v>940</v>
      </c>
      <c r="D354" s="4" t="s">
        <v>941</v>
      </c>
      <c r="E354" s="4" t="s">
        <v>941</v>
      </c>
      <c r="F354" s="92">
        <v>10</v>
      </c>
      <c r="G354" s="4" t="s">
        <v>376</v>
      </c>
      <c r="H354" s="4" t="s">
        <v>46</v>
      </c>
      <c r="I354" s="4" t="s">
        <v>377</v>
      </c>
      <c r="J354" s="4" t="s">
        <v>132</v>
      </c>
      <c r="K354" s="4" t="s">
        <v>43</v>
      </c>
      <c r="L354" s="4" t="s">
        <v>371</v>
      </c>
      <c r="M354" s="4" t="s">
        <v>40</v>
      </c>
      <c r="N354" s="4" t="s">
        <v>378</v>
      </c>
      <c r="O354" s="4" t="s">
        <v>940</v>
      </c>
      <c r="P354" s="4" t="s">
        <v>379</v>
      </c>
      <c r="Q354" s="72" t="s">
        <v>43</v>
      </c>
      <c r="R354" s="72"/>
      <c r="S354" s="50" t="s">
        <v>931</v>
      </c>
      <c r="T354" s="4" t="s">
        <v>43</v>
      </c>
      <c r="U354" s="4" t="s">
        <v>43</v>
      </c>
      <c r="W354" s="48">
        <v>1</v>
      </c>
      <c r="X354" s="48">
        <v>2</v>
      </c>
      <c r="Y354" s="48">
        <v>7</v>
      </c>
      <c r="AD354" s="91">
        <f t="shared" si="6"/>
        <v>10</v>
      </c>
      <c r="AE354" s="48" t="e">
        <f>VLOOKUP(C354,#REF!,1,0)</f>
        <v>#REF!</v>
      </c>
    </row>
    <row r="355" spans="3:31" x14ac:dyDescent="0.25">
      <c r="C355" s="87" t="s">
        <v>516</v>
      </c>
      <c r="D355" s="4" t="s">
        <v>517</v>
      </c>
      <c r="E355" s="4" t="s">
        <v>518</v>
      </c>
      <c r="F355" s="92">
        <v>10.24</v>
      </c>
      <c r="G355" s="4" t="s">
        <v>376</v>
      </c>
      <c r="H355" s="4" t="s">
        <v>46</v>
      </c>
      <c r="I355" s="4" t="s">
        <v>377</v>
      </c>
      <c r="J355" s="4" t="s">
        <v>100</v>
      </c>
      <c r="K355" s="4" t="s">
        <v>43</v>
      </c>
      <c r="L355" s="4" t="s">
        <v>205</v>
      </c>
      <c r="M355" s="4" t="s">
        <v>40</v>
      </c>
      <c r="N355" s="4" t="s">
        <v>514</v>
      </c>
      <c r="O355" s="4" t="s">
        <v>516</v>
      </c>
      <c r="P355" s="4" t="s">
        <v>379</v>
      </c>
      <c r="Q355" s="50" t="s">
        <v>43</v>
      </c>
      <c r="R355" s="50"/>
      <c r="S355" s="50" t="s">
        <v>515</v>
      </c>
      <c r="T355" s="4" t="s">
        <v>43</v>
      </c>
      <c r="U355" s="4" t="s">
        <v>43</v>
      </c>
      <c r="W355" s="48">
        <v>1</v>
      </c>
      <c r="X355" s="48">
        <v>2</v>
      </c>
      <c r="Y355" s="48">
        <v>6</v>
      </c>
      <c r="Z355" s="48">
        <v>1</v>
      </c>
      <c r="AA355" s="48">
        <v>1</v>
      </c>
      <c r="AD355" s="91">
        <f t="shared" si="6"/>
        <v>10.25</v>
      </c>
      <c r="AE355" s="48" t="e">
        <f>VLOOKUP(C355,#REF!,1,0)</f>
        <v>#REF!</v>
      </c>
    </row>
    <row r="356" spans="3:31" x14ac:dyDescent="0.25">
      <c r="C356" s="87" t="s">
        <v>945</v>
      </c>
      <c r="D356" s="4" t="s">
        <v>946</v>
      </c>
      <c r="E356" s="4" t="s">
        <v>947</v>
      </c>
      <c r="F356" s="92">
        <v>9.1300000000000008</v>
      </c>
      <c r="G356" s="4" t="s">
        <v>376</v>
      </c>
      <c r="H356" s="4" t="s">
        <v>46</v>
      </c>
      <c r="I356" s="4" t="s">
        <v>377</v>
      </c>
      <c r="J356" s="4" t="s">
        <v>132</v>
      </c>
      <c r="K356" s="4" t="s">
        <v>43</v>
      </c>
      <c r="L356" s="4" t="s">
        <v>371</v>
      </c>
      <c r="M356" s="4" t="s">
        <v>40</v>
      </c>
      <c r="N356" s="4" t="s">
        <v>378</v>
      </c>
      <c r="O356" s="4" t="s">
        <v>945</v>
      </c>
      <c r="P356" s="4" t="s">
        <v>379</v>
      </c>
      <c r="Q356" s="50" t="s">
        <v>43</v>
      </c>
      <c r="R356" s="50"/>
      <c r="S356" s="50" t="s">
        <v>931</v>
      </c>
      <c r="T356" s="4" t="s">
        <v>43</v>
      </c>
      <c r="U356" s="4" t="s">
        <v>43</v>
      </c>
      <c r="V356" s="3"/>
      <c r="W356" s="48">
        <v>1</v>
      </c>
      <c r="X356" s="48">
        <v>2</v>
      </c>
      <c r="Y356" s="48">
        <v>5</v>
      </c>
      <c r="Z356" s="48">
        <v>1</v>
      </c>
      <c r="AB356" s="48">
        <v>1</v>
      </c>
      <c r="AD356" s="91">
        <f t="shared" si="6"/>
        <v>9.1363636363636367</v>
      </c>
      <c r="AE356" s="48" t="e">
        <f>VLOOKUP(C356,#REF!,1,0)</f>
        <v>#REF!</v>
      </c>
    </row>
    <row r="357" spans="3:31" x14ac:dyDescent="0.25">
      <c r="C357" s="87" t="s">
        <v>948</v>
      </c>
      <c r="D357" s="4" t="s">
        <v>949</v>
      </c>
      <c r="E357" s="4" t="s">
        <v>949</v>
      </c>
      <c r="F357" s="92">
        <v>5.45</v>
      </c>
      <c r="G357" s="4" t="s">
        <v>376</v>
      </c>
      <c r="H357" s="4" t="s">
        <v>46</v>
      </c>
      <c r="I357" s="4" t="s">
        <v>377</v>
      </c>
      <c r="J357" s="4" t="s">
        <v>132</v>
      </c>
      <c r="K357" s="4" t="s">
        <v>43</v>
      </c>
      <c r="L357" s="4" t="s">
        <v>353</v>
      </c>
      <c r="M357" s="4" t="s">
        <v>40</v>
      </c>
      <c r="N357" s="4" t="s">
        <v>378</v>
      </c>
      <c r="O357" s="4" t="s">
        <v>948</v>
      </c>
      <c r="P357" s="50" t="s">
        <v>42</v>
      </c>
      <c r="Q357" s="50" t="s">
        <v>43</v>
      </c>
      <c r="R357" s="50"/>
      <c r="S357" s="50" t="s">
        <v>931</v>
      </c>
      <c r="T357" s="4" t="s">
        <v>43</v>
      </c>
      <c r="U357" s="4" t="s">
        <v>43</v>
      </c>
      <c r="W357" s="48">
        <v>1</v>
      </c>
      <c r="X357" s="48">
        <v>1</v>
      </c>
      <c r="Y357" s="48">
        <v>3</v>
      </c>
      <c r="AB357" s="48">
        <v>1</v>
      </c>
      <c r="AD357" s="91">
        <f t="shared" si="6"/>
        <v>5.4545454545454541</v>
      </c>
      <c r="AE357" s="48" t="e">
        <f>VLOOKUP(C357,#REF!,1,0)</f>
        <v>#REF!</v>
      </c>
    </row>
    <row r="358" spans="3:31" x14ac:dyDescent="0.25">
      <c r="C358" s="87" t="s">
        <v>950</v>
      </c>
      <c r="D358" s="4" t="s">
        <v>951</v>
      </c>
      <c r="E358" s="4" t="s">
        <v>951</v>
      </c>
      <c r="F358" s="92">
        <v>5.45</v>
      </c>
      <c r="G358" s="4" t="s">
        <v>376</v>
      </c>
      <c r="H358" s="4" t="s">
        <v>46</v>
      </c>
      <c r="I358" s="4" t="s">
        <v>377</v>
      </c>
      <c r="J358" s="4" t="s">
        <v>132</v>
      </c>
      <c r="K358" s="4" t="s">
        <v>43</v>
      </c>
      <c r="L358" s="4" t="s">
        <v>353</v>
      </c>
      <c r="M358" s="4" t="s">
        <v>40</v>
      </c>
      <c r="N358" s="4" t="s">
        <v>378</v>
      </c>
      <c r="O358" s="4" t="s">
        <v>950</v>
      </c>
      <c r="P358" s="4" t="s">
        <v>42</v>
      </c>
      <c r="Q358" s="50" t="s">
        <v>43</v>
      </c>
      <c r="R358" s="50"/>
      <c r="S358" s="50" t="s">
        <v>931</v>
      </c>
      <c r="T358" s="4" t="s">
        <v>43</v>
      </c>
      <c r="U358" s="4" t="s">
        <v>43</v>
      </c>
      <c r="W358" s="48">
        <v>1</v>
      </c>
      <c r="X358" s="48">
        <v>1</v>
      </c>
      <c r="Y358" s="48">
        <v>3</v>
      </c>
      <c r="AB358" s="48">
        <v>1</v>
      </c>
      <c r="AD358" s="91">
        <f t="shared" si="6"/>
        <v>5.4545454545454541</v>
      </c>
      <c r="AE358" s="48" t="e">
        <f>VLOOKUP(C358,#REF!,1,0)</f>
        <v>#REF!</v>
      </c>
    </row>
    <row r="359" spans="3:31" x14ac:dyDescent="0.25">
      <c r="C359" s="87" t="s">
        <v>952</v>
      </c>
      <c r="D359" s="4" t="s">
        <v>953</v>
      </c>
      <c r="E359" s="4" t="s">
        <v>953</v>
      </c>
      <c r="F359" s="92">
        <v>5.45</v>
      </c>
      <c r="G359" s="4" t="s">
        <v>376</v>
      </c>
      <c r="H359" s="4" t="s">
        <v>46</v>
      </c>
      <c r="I359" s="4" t="s">
        <v>377</v>
      </c>
      <c r="J359" s="4" t="s">
        <v>132</v>
      </c>
      <c r="K359" s="4" t="s">
        <v>43</v>
      </c>
      <c r="L359" s="4" t="s">
        <v>371</v>
      </c>
      <c r="M359" s="4" t="s">
        <v>40</v>
      </c>
      <c r="N359" s="4" t="s">
        <v>378</v>
      </c>
      <c r="O359" s="4" t="s">
        <v>952</v>
      </c>
      <c r="P359" s="4" t="s">
        <v>42</v>
      </c>
      <c r="Q359" s="50" t="s">
        <v>43</v>
      </c>
      <c r="R359" s="50"/>
      <c r="S359" s="50" t="s">
        <v>931</v>
      </c>
      <c r="T359" s="4" t="s">
        <v>43</v>
      </c>
      <c r="U359" s="4" t="s">
        <v>43</v>
      </c>
      <c r="W359" s="48">
        <v>1</v>
      </c>
      <c r="X359" s="48">
        <v>1</v>
      </c>
      <c r="Y359" s="48">
        <v>3</v>
      </c>
      <c r="AB359" s="48">
        <v>1</v>
      </c>
      <c r="AD359" s="91">
        <f t="shared" si="6"/>
        <v>5.4545454545454541</v>
      </c>
      <c r="AE359" s="48" t="e">
        <f>VLOOKUP(C359,#REF!,1,0)</f>
        <v>#REF!</v>
      </c>
    </row>
    <row r="360" spans="3:31" x14ac:dyDescent="0.25">
      <c r="C360" s="87" t="s">
        <v>703</v>
      </c>
      <c r="D360" s="4" t="s">
        <v>704</v>
      </c>
      <c r="E360" s="4" t="s">
        <v>705</v>
      </c>
      <c r="F360" s="92">
        <v>5</v>
      </c>
      <c r="G360" s="4" t="s">
        <v>376</v>
      </c>
      <c r="H360" s="4" t="s">
        <v>46</v>
      </c>
      <c r="I360" s="4" t="s">
        <v>421</v>
      </c>
      <c r="J360" s="4" t="s">
        <v>84</v>
      </c>
      <c r="K360" s="4" t="s">
        <v>440</v>
      </c>
      <c r="L360" s="4" t="s">
        <v>706</v>
      </c>
      <c r="M360" s="4" t="s">
        <v>55</v>
      </c>
      <c r="N360" s="4" t="s">
        <v>653</v>
      </c>
      <c r="O360" s="4" t="s">
        <v>703</v>
      </c>
      <c r="P360" s="4" t="s">
        <v>42</v>
      </c>
      <c r="Q360" s="50" t="s">
        <v>43</v>
      </c>
      <c r="R360" s="50"/>
      <c r="S360" s="50" t="s">
        <v>702</v>
      </c>
      <c r="T360" s="4" t="s">
        <v>43</v>
      </c>
      <c r="U360" s="4" t="s">
        <v>43</v>
      </c>
      <c r="W360" s="48">
        <v>1</v>
      </c>
      <c r="X360" s="48">
        <v>2</v>
      </c>
      <c r="Y360" s="48">
        <v>2</v>
      </c>
      <c r="AD360" s="91">
        <f t="shared" si="6"/>
        <v>5</v>
      </c>
      <c r="AE360" s="48" t="s">
        <v>1219</v>
      </c>
    </row>
    <row r="361" spans="3:31" x14ac:dyDescent="0.25">
      <c r="C361" s="87" t="s">
        <v>957</v>
      </c>
      <c r="D361" s="4" t="s">
        <v>958</v>
      </c>
      <c r="E361" s="4" t="s">
        <v>959</v>
      </c>
      <c r="F361" s="92">
        <v>5.45</v>
      </c>
      <c r="G361" s="4" t="s">
        <v>376</v>
      </c>
      <c r="H361" s="4" t="s">
        <v>46</v>
      </c>
      <c r="I361" s="4" t="s">
        <v>377</v>
      </c>
      <c r="J361" s="4" t="s">
        <v>132</v>
      </c>
      <c r="K361" s="4" t="s">
        <v>43</v>
      </c>
      <c r="L361" s="4" t="s">
        <v>39</v>
      </c>
      <c r="M361" s="4" t="s">
        <v>40</v>
      </c>
      <c r="N361" s="4" t="s">
        <v>378</v>
      </c>
      <c r="O361" s="4" t="s">
        <v>957</v>
      </c>
      <c r="P361" s="4" t="s">
        <v>42</v>
      </c>
      <c r="Q361" s="50" t="s">
        <v>43</v>
      </c>
      <c r="R361" s="50"/>
      <c r="S361" s="50" t="s">
        <v>931</v>
      </c>
      <c r="T361" s="4" t="s">
        <v>43</v>
      </c>
      <c r="U361" s="4" t="s">
        <v>43</v>
      </c>
      <c r="W361" s="48">
        <v>1</v>
      </c>
      <c r="X361" s="48">
        <v>2</v>
      </c>
      <c r="Y361" s="48">
        <v>2</v>
      </c>
      <c r="AB361" s="48">
        <v>1</v>
      </c>
      <c r="AD361" s="91">
        <f t="shared" si="6"/>
        <v>5.4545454545454541</v>
      </c>
      <c r="AE361" s="48" t="e">
        <f>VLOOKUP(C361,#REF!,1,0)</f>
        <v>#REF!</v>
      </c>
    </row>
    <row r="362" spans="3:31" x14ac:dyDescent="0.25">
      <c r="C362" s="87" t="s">
        <v>707</v>
      </c>
      <c r="D362" s="4" t="s">
        <v>706</v>
      </c>
      <c r="E362" s="4" t="s">
        <v>708</v>
      </c>
      <c r="F362" s="92">
        <v>5</v>
      </c>
      <c r="G362" s="4" t="s">
        <v>376</v>
      </c>
      <c r="H362" s="4" t="s">
        <v>46</v>
      </c>
      <c r="I362" s="4" t="s">
        <v>421</v>
      </c>
      <c r="J362" s="4" t="s">
        <v>84</v>
      </c>
      <c r="K362" s="4" t="s">
        <v>440</v>
      </c>
      <c r="L362" s="4" t="s">
        <v>706</v>
      </c>
      <c r="M362" s="4" t="s">
        <v>55</v>
      </c>
      <c r="N362" s="4" t="s">
        <v>653</v>
      </c>
      <c r="O362" s="4" t="s">
        <v>707</v>
      </c>
      <c r="P362" s="4" t="s">
        <v>42</v>
      </c>
      <c r="Q362" s="50" t="s">
        <v>43</v>
      </c>
      <c r="R362" s="50"/>
      <c r="S362" s="50" t="s">
        <v>702</v>
      </c>
      <c r="T362" s="4" t="s">
        <v>43</v>
      </c>
      <c r="U362" s="4" t="s">
        <v>43</v>
      </c>
      <c r="W362" s="48">
        <v>1</v>
      </c>
      <c r="X362" s="48">
        <v>2</v>
      </c>
      <c r="Y362" s="48">
        <v>2</v>
      </c>
      <c r="AD362" s="91">
        <f t="shared" si="6"/>
        <v>5</v>
      </c>
      <c r="AE362" s="48" t="s">
        <v>1219</v>
      </c>
    </row>
    <row r="363" spans="3:31" x14ac:dyDescent="0.25">
      <c r="C363" s="87" t="s">
        <v>728</v>
      </c>
      <c r="D363" s="4" t="s">
        <v>729</v>
      </c>
      <c r="E363" s="4" t="s">
        <v>730</v>
      </c>
      <c r="F363" s="92">
        <v>5</v>
      </c>
      <c r="G363" s="4" t="s">
        <v>376</v>
      </c>
      <c r="H363" s="4" t="s">
        <v>46</v>
      </c>
      <c r="I363" s="4" t="s">
        <v>421</v>
      </c>
      <c r="J363" s="4" t="s">
        <v>84</v>
      </c>
      <c r="K363" s="4" t="s">
        <v>440</v>
      </c>
      <c r="L363" s="4" t="s">
        <v>722</v>
      </c>
      <c r="M363" s="4" t="s">
        <v>55</v>
      </c>
      <c r="N363" s="4" t="s">
        <v>653</v>
      </c>
      <c r="O363" s="4" t="s">
        <v>728</v>
      </c>
      <c r="P363" s="4" t="s">
        <v>42</v>
      </c>
      <c r="Q363" s="50" t="s">
        <v>43</v>
      </c>
      <c r="R363" s="50"/>
      <c r="S363" s="50" t="s">
        <v>702</v>
      </c>
      <c r="T363" s="4" t="s">
        <v>43</v>
      </c>
      <c r="U363" s="4" t="s">
        <v>43</v>
      </c>
      <c r="W363" s="48">
        <v>1</v>
      </c>
      <c r="X363" s="48">
        <v>2</v>
      </c>
      <c r="Y363" s="48">
        <v>2</v>
      </c>
      <c r="AD363" s="91">
        <f t="shared" si="6"/>
        <v>5</v>
      </c>
      <c r="AE363" s="48" t="s">
        <v>1219</v>
      </c>
    </row>
    <row r="364" spans="3:31" x14ac:dyDescent="0.25">
      <c r="C364" s="87" t="s">
        <v>733</v>
      </c>
      <c r="D364" s="4" t="s">
        <v>734</v>
      </c>
      <c r="E364" s="4" t="s">
        <v>735</v>
      </c>
      <c r="F364" s="92">
        <v>5</v>
      </c>
      <c r="G364" s="4" t="s">
        <v>376</v>
      </c>
      <c r="H364" s="4" t="s">
        <v>46</v>
      </c>
      <c r="I364" s="4" t="s">
        <v>421</v>
      </c>
      <c r="J364" s="4" t="s">
        <v>84</v>
      </c>
      <c r="K364" s="4" t="s">
        <v>440</v>
      </c>
      <c r="L364" s="4" t="s">
        <v>54</v>
      </c>
      <c r="M364" s="4" t="s">
        <v>55</v>
      </c>
      <c r="N364" s="4" t="s">
        <v>653</v>
      </c>
      <c r="O364" s="4" t="s">
        <v>733</v>
      </c>
      <c r="P364" s="4" t="s">
        <v>42</v>
      </c>
      <c r="Q364" s="50" t="s">
        <v>43</v>
      </c>
      <c r="R364" s="50"/>
      <c r="S364" s="50" t="s">
        <v>702</v>
      </c>
      <c r="T364" s="4" t="s">
        <v>43</v>
      </c>
      <c r="U364" s="4" t="s">
        <v>43</v>
      </c>
      <c r="W364" s="48">
        <v>1</v>
      </c>
      <c r="X364" s="48">
        <v>2</v>
      </c>
      <c r="Y364" s="48">
        <v>2</v>
      </c>
      <c r="AD364" s="91">
        <f t="shared" si="6"/>
        <v>5</v>
      </c>
      <c r="AE364" s="48" t="s">
        <v>1219</v>
      </c>
    </row>
    <row r="365" spans="3:31" x14ac:dyDescent="0.25">
      <c r="C365" s="87" t="s">
        <v>954</v>
      </c>
      <c r="D365" s="4" t="s">
        <v>955</v>
      </c>
      <c r="E365" s="4" t="s">
        <v>956</v>
      </c>
      <c r="F365" s="92">
        <v>5</v>
      </c>
      <c r="G365" s="4" t="s">
        <v>376</v>
      </c>
      <c r="H365" s="4" t="s">
        <v>46</v>
      </c>
      <c r="I365" s="4" t="s">
        <v>377</v>
      </c>
      <c r="J365" s="4" t="s">
        <v>132</v>
      </c>
      <c r="K365" s="4" t="s">
        <v>43</v>
      </c>
      <c r="L365" s="4" t="s">
        <v>353</v>
      </c>
      <c r="M365" s="4" t="s">
        <v>40</v>
      </c>
      <c r="N365" s="4" t="s">
        <v>378</v>
      </c>
      <c r="O365" s="4" t="s">
        <v>954</v>
      </c>
      <c r="P365" s="4" t="s">
        <v>42</v>
      </c>
      <c r="Q365" s="50" t="s">
        <v>43</v>
      </c>
      <c r="R365" s="50"/>
      <c r="S365" s="50" t="s">
        <v>931</v>
      </c>
      <c r="T365" s="4" t="s">
        <v>43</v>
      </c>
      <c r="U365" s="4" t="s">
        <v>43</v>
      </c>
      <c r="W365" s="48">
        <v>1</v>
      </c>
      <c r="X365" s="48">
        <v>2</v>
      </c>
      <c r="Y365" s="48">
        <v>2</v>
      </c>
      <c r="AD365" s="91">
        <f t="shared" si="6"/>
        <v>5</v>
      </c>
      <c r="AE365" s="48" t="s">
        <v>1219</v>
      </c>
    </row>
    <row r="366" spans="3:31" x14ac:dyDescent="0.25">
      <c r="C366" s="87" t="s">
        <v>962</v>
      </c>
      <c r="D366" s="4" t="s">
        <v>963</v>
      </c>
      <c r="E366" s="4" t="s">
        <v>964</v>
      </c>
      <c r="F366" s="92">
        <v>5</v>
      </c>
      <c r="G366" s="4" t="s">
        <v>376</v>
      </c>
      <c r="H366" s="4" t="s">
        <v>46</v>
      </c>
      <c r="I366" s="4" t="s">
        <v>377</v>
      </c>
      <c r="J366" s="4" t="s">
        <v>132</v>
      </c>
      <c r="K366" s="4" t="s">
        <v>43</v>
      </c>
      <c r="L366" s="4" t="s">
        <v>371</v>
      </c>
      <c r="M366" s="4" t="s">
        <v>40</v>
      </c>
      <c r="N366" s="4" t="s">
        <v>378</v>
      </c>
      <c r="O366" s="4" t="s">
        <v>962</v>
      </c>
      <c r="P366" s="4" t="s">
        <v>42</v>
      </c>
      <c r="Q366" s="50" t="s">
        <v>43</v>
      </c>
      <c r="R366" s="50"/>
      <c r="S366" s="50" t="s">
        <v>931</v>
      </c>
      <c r="T366" s="4" t="s">
        <v>43</v>
      </c>
      <c r="U366" s="4" t="s">
        <v>43</v>
      </c>
      <c r="W366" s="48">
        <v>1</v>
      </c>
      <c r="X366" s="48">
        <v>2</v>
      </c>
      <c r="Y366" s="48">
        <v>2</v>
      </c>
      <c r="AD366" s="91">
        <f t="shared" si="6"/>
        <v>5</v>
      </c>
      <c r="AE366" s="48" t="s">
        <v>1219</v>
      </c>
    </row>
    <row r="367" spans="3:31" x14ac:dyDescent="0.25">
      <c r="C367" s="87" t="s">
        <v>965</v>
      </c>
      <c r="D367" s="4" t="s">
        <v>966</v>
      </c>
      <c r="E367" s="4" t="s">
        <v>967</v>
      </c>
      <c r="F367" s="92">
        <v>5</v>
      </c>
      <c r="G367" s="4" t="s">
        <v>376</v>
      </c>
      <c r="H367" s="4" t="s">
        <v>46</v>
      </c>
      <c r="I367" s="4" t="s">
        <v>377</v>
      </c>
      <c r="J367" s="4" t="s">
        <v>132</v>
      </c>
      <c r="K367" s="4" t="s">
        <v>43</v>
      </c>
      <c r="L367" s="4" t="s">
        <v>353</v>
      </c>
      <c r="M367" s="4" t="s">
        <v>40</v>
      </c>
      <c r="N367" s="4" t="s">
        <v>378</v>
      </c>
      <c r="O367" s="4" t="s">
        <v>965</v>
      </c>
      <c r="P367" s="4" t="s">
        <v>42</v>
      </c>
      <c r="Q367" s="50" t="s">
        <v>43</v>
      </c>
      <c r="R367" s="50"/>
      <c r="S367" s="50" t="s">
        <v>931</v>
      </c>
      <c r="T367" s="4" t="s">
        <v>43</v>
      </c>
      <c r="U367" s="4" t="s">
        <v>43</v>
      </c>
      <c r="W367" s="48">
        <v>1</v>
      </c>
      <c r="X367" s="48">
        <v>2</v>
      </c>
      <c r="Y367" s="48">
        <v>2</v>
      </c>
      <c r="AD367" s="91">
        <f t="shared" si="6"/>
        <v>5</v>
      </c>
      <c r="AE367" s="48" t="s">
        <v>1219</v>
      </c>
    </row>
    <row r="368" spans="3:31" x14ac:dyDescent="0.25">
      <c r="C368" s="87" t="s">
        <v>887</v>
      </c>
      <c r="D368" s="4" t="s">
        <v>275</v>
      </c>
      <c r="E368" s="4" t="s">
        <v>888</v>
      </c>
      <c r="F368" s="92">
        <v>10.36</v>
      </c>
      <c r="G368" s="4" t="s">
        <v>376</v>
      </c>
      <c r="H368" s="4" t="s">
        <v>46</v>
      </c>
      <c r="I368" s="4" t="s">
        <v>421</v>
      </c>
      <c r="J368" s="4" t="s">
        <v>885</v>
      </c>
      <c r="K368" s="4" t="s">
        <v>43</v>
      </c>
      <c r="L368" s="4" t="s">
        <v>275</v>
      </c>
      <c r="M368" s="4" t="s">
        <v>40</v>
      </c>
      <c r="N368" s="4" t="s">
        <v>514</v>
      </c>
      <c r="O368" s="4" t="s">
        <v>887</v>
      </c>
      <c r="P368" s="4" t="s">
        <v>379</v>
      </c>
      <c r="Q368" s="50" t="s">
        <v>43</v>
      </c>
      <c r="R368" s="50"/>
      <c r="S368" s="50" t="s">
        <v>886</v>
      </c>
      <c r="T368" s="4" t="s">
        <v>43</v>
      </c>
      <c r="U368" s="4" t="s">
        <v>43</v>
      </c>
      <c r="W368" s="48">
        <v>1</v>
      </c>
      <c r="X368" s="48">
        <v>2</v>
      </c>
      <c r="Y368" s="48">
        <v>6</v>
      </c>
      <c r="Z368" s="48">
        <v>2</v>
      </c>
      <c r="AD368" s="91">
        <f t="shared" si="6"/>
        <v>10.363636363636363</v>
      </c>
      <c r="AE368" s="48" t="e">
        <f>VLOOKUP(C368,#REF!,1,0)</f>
        <v>#REF!</v>
      </c>
    </row>
    <row r="369" spans="1:31" ht="18" x14ac:dyDescent="0.25">
      <c r="F369" s="96">
        <v>1351.12</v>
      </c>
      <c r="AD369" s="91"/>
      <c r="AE369" s="48" t="e">
        <f>VLOOKUP(C369,#REF!,1,0)</f>
        <v>#REF!</v>
      </c>
    </row>
    <row r="371" spans="1:31" x14ac:dyDescent="0.25">
      <c r="A371" s="99"/>
      <c r="B371" s="99"/>
      <c r="C371" s="99"/>
      <c r="D371" s="99"/>
      <c r="E371" s="99"/>
      <c r="F371" s="99"/>
      <c r="G371" s="99"/>
      <c r="H371" s="99"/>
      <c r="I371" s="99"/>
    </row>
    <row r="372" spans="1:31" x14ac:dyDescent="0.25">
      <c r="A372" s="99"/>
      <c r="B372" s="99"/>
      <c r="C372" s="99"/>
      <c r="D372" s="99"/>
      <c r="E372" s="99"/>
      <c r="F372" s="99"/>
      <c r="G372" s="99"/>
      <c r="H372" s="99"/>
      <c r="I372" s="99"/>
    </row>
    <row r="373" spans="1:31" x14ac:dyDescent="0.25">
      <c r="A373" s="99"/>
      <c r="B373" s="99"/>
      <c r="C373" s="99"/>
      <c r="D373" s="99"/>
      <c r="E373" s="99"/>
      <c r="F373" s="99"/>
      <c r="G373" s="99"/>
      <c r="H373" s="99"/>
      <c r="I373" s="99"/>
    </row>
    <row r="374" spans="1:31" x14ac:dyDescent="0.25">
      <c r="A374" s="99"/>
      <c r="B374" s="99"/>
      <c r="C374" s="99"/>
      <c r="D374" s="99"/>
      <c r="E374" s="99"/>
      <c r="F374" s="99"/>
      <c r="G374" s="99"/>
      <c r="H374" s="99"/>
      <c r="I374" s="99"/>
    </row>
    <row r="375" spans="1:31" x14ac:dyDescent="0.25">
      <c r="A375" s="99"/>
      <c r="B375" s="99"/>
      <c r="C375" s="99"/>
      <c r="D375" s="99"/>
      <c r="E375" s="99"/>
      <c r="F375" s="99"/>
      <c r="G375" s="99"/>
      <c r="H375" s="99"/>
      <c r="I375" s="99"/>
    </row>
    <row r="376" spans="1:31" x14ac:dyDescent="0.25">
      <c r="A376" s="99"/>
      <c r="B376" s="99"/>
      <c r="C376" s="99"/>
      <c r="D376" s="99"/>
      <c r="E376" s="99"/>
      <c r="F376" s="99"/>
      <c r="G376" s="99"/>
      <c r="H376" s="99"/>
      <c r="I376" s="99"/>
    </row>
    <row r="377" spans="1:31" ht="13" x14ac:dyDescent="0.25">
      <c r="A377" s="99"/>
      <c r="B377" s="99"/>
      <c r="C377" s="99"/>
      <c r="D377" s="99"/>
      <c r="E377" s="103"/>
      <c r="F377" s="103"/>
      <c r="G377" s="99"/>
      <c r="H377" s="99"/>
      <c r="I377" s="99"/>
    </row>
    <row r="378" spans="1:31" x14ac:dyDescent="0.25">
      <c r="A378" s="99"/>
      <c r="B378" s="99"/>
      <c r="C378" s="99"/>
      <c r="D378" s="99"/>
      <c r="E378" s="99"/>
      <c r="F378" s="99"/>
      <c r="G378" s="99"/>
      <c r="H378" s="99"/>
      <c r="I378" s="99"/>
    </row>
    <row r="379" spans="1:31" x14ac:dyDescent="0.25">
      <c r="A379" s="99"/>
      <c r="B379" s="99"/>
      <c r="C379" s="99"/>
      <c r="D379" s="99"/>
      <c r="E379" s="99"/>
      <c r="F379" s="99"/>
      <c r="G379" s="99"/>
      <c r="H379" s="99"/>
      <c r="I379" s="99"/>
    </row>
    <row r="380" spans="1:31" x14ac:dyDescent="0.25">
      <c r="A380" s="99"/>
      <c r="B380" s="99"/>
      <c r="C380" s="99"/>
      <c r="D380" s="99"/>
      <c r="E380" s="99"/>
      <c r="F380" s="99"/>
      <c r="G380" s="99"/>
      <c r="H380" s="99"/>
      <c r="I380" s="99"/>
    </row>
    <row r="381" spans="1:31" x14ac:dyDescent="0.25">
      <c r="A381" s="99"/>
      <c r="B381" s="99"/>
      <c r="C381" s="99"/>
      <c r="D381" s="99"/>
      <c r="E381" s="99"/>
      <c r="F381" s="99"/>
      <c r="G381" s="99"/>
      <c r="H381" s="99"/>
      <c r="I381" s="99"/>
    </row>
    <row r="382" spans="1:31" x14ac:dyDescent="0.25">
      <c r="A382" s="99"/>
      <c r="B382" s="99"/>
      <c r="C382" s="99"/>
      <c r="D382" s="99"/>
      <c r="E382" s="99"/>
      <c r="F382" s="99"/>
      <c r="G382" s="99"/>
      <c r="H382" s="99"/>
      <c r="I382" s="99"/>
    </row>
    <row r="383" spans="1:31" ht="13" x14ac:dyDescent="0.25">
      <c r="A383" s="99"/>
      <c r="B383" s="99"/>
      <c r="C383" s="99"/>
      <c r="D383" s="99"/>
      <c r="E383" s="100"/>
      <c r="F383" s="99"/>
      <c r="G383" s="99"/>
      <c r="H383" s="99"/>
      <c r="I383" s="99"/>
    </row>
    <row r="384" spans="1:31" x14ac:dyDescent="0.25">
      <c r="A384" s="99"/>
      <c r="B384" s="99"/>
      <c r="C384" s="99"/>
      <c r="D384" s="99"/>
      <c r="E384" s="99"/>
      <c r="F384" s="99"/>
      <c r="G384" s="99"/>
      <c r="H384" s="99"/>
      <c r="I384" s="99"/>
    </row>
    <row r="385" spans="1:9" x14ac:dyDescent="0.25">
      <c r="A385" s="99"/>
      <c r="B385" s="99"/>
      <c r="C385" s="99"/>
      <c r="D385" s="99"/>
      <c r="E385" s="99"/>
      <c r="F385" s="99"/>
      <c r="G385" s="99"/>
      <c r="H385" s="99"/>
      <c r="I385" s="99"/>
    </row>
    <row r="386" spans="1:9" x14ac:dyDescent="0.25">
      <c r="A386" s="99"/>
      <c r="B386" s="99"/>
      <c r="C386" s="99"/>
      <c r="D386" s="99"/>
      <c r="E386" s="99"/>
      <c r="F386" s="99"/>
      <c r="G386" s="99"/>
      <c r="H386" s="99"/>
      <c r="I386" s="99"/>
    </row>
    <row r="387" spans="1:9" x14ac:dyDescent="0.25">
      <c r="A387" s="99"/>
      <c r="B387" s="99"/>
      <c r="C387" s="99"/>
      <c r="D387" s="99"/>
      <c r="E387" s="99"/>
      <c r="F387" s="99"/>
      <c r="G387" s="99"/>
      <c r="H387" s="99"/>
      <c r="I387" s="99"/>
    </row>
    <row r="388" spans="1:9" x14ac:dyDescent="0.25">
      <c r="A388" s="99"/>
      <c r="B388" s="99"/>
      <c r="C388" s="99"/>
      <c r="D388" s="99"/>
      <c r="E388" s="99"/>
      <c r="F388" s="99"/>
      <c r="G388" s="99"/>
      <c r="H388" s="99"/>
      <c r="I388" s="99"/>
    </row>
    <row r="389" spans="1:9" x14ac:dyDescent="0.25">
      <c r="A389" s="99"/>
      <c r="B389" s="99"/>
      <c r="C389" s="99"/>
      <c r="D389" s="101"/>
      <c r="E389" s="99"/>
      <c r="F389" s="99"/>
      <c r="G389" s="99"/>
      <c r="H389" s="99"/>
      <c r="I389" s="101"/>
    </row>
    <row r="390" spans="1:9" x14ac:dyDescent="0.25">
      <c r="A390" s="99"/>
      <c r="B390" s="99"/>
      <c r="C390" s="99"/>
      <c r="D390" s="101"/>
      <c r="E390" s="99"/>
      <c r="F390" s="99"/>
      <c r="G390" s="99"/>
      <c r="H390" s="99"/>
      <c r="I390" s="101"/>
    </row>
    <row r="391" spans="1:9" x14ac:dyDescent="0.25">
      <c r="A391" s="99"/>
      <c r="B391" s="99"/>
      <c r="C391" s="99"/>
      <c r="D391" s="99"/>
      <c r="E391" s="99"/>
      <c r="F391" s="99"/>
      <c r="G391" s="99" t="s">
        <v>981</v>
      </c>
      <c r="H391" s="99">
        <v>7</v>
      </c>
      <c r="I391" s="101"/>
    </row>
    <row r="392" spans="1:9" x14ac:dyDescent="0.25">
      <c r="A392" s="99"/>
      <c r="B392" s="99"/>
      <c r="C392" s="99"/>
      <c r="D392" s="99"/>
      <c r="E392" s="99"/>
      <c r="F392" s="99"/>
      <c r="G392" s="99"/>
      <c r="H392" s="99"/>
      <c r="I392" s="101"/>
    </row>
    <row r="393" spans="1:9" x14ac:dyDescent="0.25">
      <c r="A393" s="102"/>
      <c r="B393" s="102"/>
      <c r="C393" s="102"/>
      <c r="D393" s="102"/>
      <c r="E393" s="102"/>
      <c r="F393" s="102"/>
      <c r="G393" s="102"/>
      <c r="H393" s="102"/>
      <c r="I393" s="102"/>
    </row>
    <row r="404" spans="6:9" x14ac:dyDescent="0.25">
      <c r="F404" s="80"/>
      <c r="I404" s="52"/>
    </row>
    <row r="413" spans="6:9" ht="13" x14ac:dyDescent="0.25">
      <c r="H413" s="81"/>
    </row>
  </sheetData>
  <autoFilter ref="C7:AE369" xr:uid="{447BD56F-288A-4EFB-9807-1D53025ACF81}"/>
  <mergeCells count="3">
    <mergeCell ref="D389:D390"/>
    <mergeCell ref="I389:I390"/>
    <mergeCell ref="I391:I392"/>
  </mergeCells>
  <phoneticPr fontId="26" type="noConversion"/>
  <conditionalFormatting sqref="C8:C368">
    <cfRule type="duplicateValues" dxfId="44" priority="1"/>
    <cfRule type="duplicateValues" dxfId="43" priority="2"/>
    <cfRule type="duplicateValues" dxfId="42" priority="4"/>
  </conditionalFormatting>
  <conditionalFormatting sqref="O367:O368">
    <cfRule type="duplicateValues" dxfId="41" priority="3"/>
  </conditionalFormatting>
  <pageMargins left="0.7" right="0.7" top="0.75" bottom="0.75" header="0.3" footer="0.3"/>
  <pageSetup paperSize="9" orientation="portrait" r:id="rId1"/>
  <headerFooter>
    <oddFooter>&amp;C_x000D_&amp;1#&amp;"Calibri"&amp;10&amp;K000000 OXXO | Uso Interno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631D6-EE80-4BF5-A328-757CC1FF6E71}">
  <sheetPr filterMode="1"/>
  <dimension ref="C1:AD413"/>
  <sheetViews>
    <sheetView topLeftCell="M1" zoomScale="60" zoomScaleNormal="60" workbookViewId="0">
      <selection activeCell="AC6" activeCellId="1" sqref="Z6 AC6"/>
    </sheetView>
  </sheetViews>
  <sheetFormatPr baseColWidth="10" defaultColWidth="10.81640625" defaultRowHeight="12.5" x14ac:dyDescent="0.25"/>
  <cols>
    <col min="1" max="1" width="6.453125" style="48" customWidth="1"/>
    <col min="2" max="2" width="5.26953125" style="48" customWidth="1"/>
    <col min="3" max="3" width="17.26953125" style="48" bestFit="1" customWidth="1"/>
    <col min="4" max="4" width="40.54296875" style="48" customWidth="1"/>
    <col min="5" max="5" width="42.54296875" style="48" customWidth="1"/>
    <col min="6" max="6" width="23" style="48" customWidth="1"/>
    <col min="7" max="8" width="23.54296875" style="48" customWidth="1"/>
    <col min="9" max="9" width="30" style="48" customWidth="1"/>
    <col min="10" max="10" width="39.81640625" style="48" customWidth="1"/>
    <col min="11" max="11" width="24.81640625" style="48" customWidth="1"/>
    <col min="12" max="14" width="31.453125" style="48" customWidth="1"/>
    <col min="15" max="15" width="10.81640625" style="48" customWidth="1"/>
    <col min="16" max="16" width="33.81640625" style="48" customWidth="1"/>
    <col min="17" max="17" width="23" style="48" customWidth="1"/>
    <col min="18" max="18" width="25.453125" style="48" customWidth="1"/>
    <col min="19" max="19" width="34.54296875" style="48" customWidth="1"/>
    <col min="20" max="20" width="16" style="48" customWidth="1"/>
    <col min="21" max="21" width="22.26953125" style="48" customWidth="1"/>
    <col min="22" max="22" width="12.1796875" style="48" customWidth="1"/>
    <col min="23" max="23" width="14.81640625" style="48" customWidth="1"/>
    <col min="24" max="24" width="17" style="48" customWidth="1"/>
    <col min="25" max="25" width="12.54296875" style="48" customWidth="1"/>
    <col min="26" max="26" width="15.7265625" style="48" customWidth="1"/>
    <col min="27" max="27" width="13" style="48" customWidth="1"/>
    <col min="28" max="28" width="17.81640625" style="48" customWidth="1"/>
    <col min="29" max="29" width="12.1796875" style="48" customWidth="1"/>
    <col min="30" max="16384" width="10.81640625" style="48"/>
  </cols>
  <sheetData>
    <row r="1" spans="3:30" x14ac:dyDescent="0.25">
      <c r="C1" s="53"/>
      <c r="D1" s="48">
        <v>1</v>
      </c>
      <c r="E1" s="48" t="s">
        <v>11</v>
      </c>
      <c r="F1" s="48">
        <v>1</v>
      </c>
      <c r="G1" s="48">
        <f>F1*D1</f>
        <v>1</v>
      </c>
    </row>
    <row r="2" spans="3:30" x14ac:dyDescent="0.25">
      <c r="D2" s="48">
        <v>1</v>
      </c>
      <c r="E2" s="48" t="s">
        <v>12</v>
      </c>
      <c r="F2" s="48">
        <v>1</v>
      </c>
      <c r="G2" s="48">
        <f>F2*D2</f>
        <v>1</v>
      </c>
    </row>
    <row r="3" spans="3:30" x14ac:dyDescent="0.25">
      <c r="D3" s="48">
        <v>4</v>
      </c>
      <c r="E3" s="48" t="s">
        <v>13</v>
      </c>
      <c r="F3" s="54">
        <v>0.56000000000000005</v>
      </c>
      <c r="G3" s="48">
        <f>F3*D3</f>
        <v>2.2400000000000002</v>
      </c>
    </row>
    <row r="4" spans="3:30" x14ac:dyDescent="0.25">
      <c r="D4" s="48">
        <v>4</v>
      </c>
      <c r="E4" s="48" t="s">
        <v>14</v>
      </c>
      <c r="F4" s="54">
        <v>0.34</v>
      </c>
      <c r="G4" s="48">
        <f>F4*D4</f>
        <v>1.36</v>
      </c>
    </row>
    <row r="5" spans="3:30" x14ac:dyDescent="0.25">
      <c r="D5" s="54"/>
      <c r="E5" s="55"/>
      <c r="G5" s="48">
        <f>SUM(G1:G4)</f>
        <v>5.6000000000000005</v>
      </c>
    </row>
    <row r="6" spans="3:30" s="78" customFormat="1" ht="29.5" x14ac:dyDescent="0.25">
      <c r="C6" s="78">
        <v>1</v>
      </c>
      <c r="D6" s="78">
        <f>C6+1</f>
        <v>2</v>
      </c>
      <c r="E6" s="78">
        <f t="shared" ref="E6:T6" si="0">D6+1</f>
        <v>3</v>
      </c>
      <c r="F6" s="78">
        <f t="shared" si="0"/>
        <v>4</v>
      </c>
      <c r="G6" s="78">
        <v>5</v>
      </c>
      <c r="H6" s="78">
        <f>G6+1</f>
        <v>6</v>
      </c>
      <c r="I6" s="78">
        <f t="shared" si="0"/>
        <v>7</v>
      </c>
      <c r="J6" s="78">
        <f t="shared" si="0"/>
        <v>8</v>
      </c>
      <c r="K6" s="78">
        <f t="shared" si="0"/>
        <v>9</v>
      </c>
      <c r="L6" s="78">
        <f t="shared" si="0"/>
        <v>10</v>
      </c>
      <c r="M6" s="78">
        <f t="shared" si="0"/>
        <v>11</v>
      </c>
      <c r="N6" s="78">
        <f t="shared" si="0"/>
        <v>12</v>
      </c>
      <c r="O6" s="78">
        <f t="shared" si="0"/>
        <v>13</v>
      </c>
      <c r="P6" s="78">
        <f t="shared" si="0"/>
        <v>14</v>
      </c>
      <c r="Q6" s="78">
        <f>P6+1</f>
        <v>15</v>
      </c>
      <c r="R6" s="78">
        <f t="shared" si="0"/>
        <v>16</v>
      </c>
      <c r="S6" s="78">
        <f t="shared" si="0"/>
        <v>17</v>
      </c>
      <c r="T6" s="78">
        <f t="shared" si="0"/>
        <v>18</v>
      </c>
      <c r="U6" s="78">
        <v>20</v>
      </c>
      <c r="W6" s="78">
        <v>1</v>
      </c>
      <c r="X6" s="78">
        <v>1</v>
      </c>
      <c r="Y6" s="78">
        <v>1</v>
      </c>
      <c r="Z6" s="88">
        <f>30/44</f>
        <v>0.68181818181818177</v>
      </c>
      <c r="AA6" s="89">
        <f>25/44</f>
        <v>0.56818181818181823</v>
      </c>
      <c r="AB6" s="89">
        <f>20/44</f>
        <v>0.45454545454545453</v>
      </c>
      <c r="AC6" s="78">
        <f>15/44</f>
        <v>0.34090909090909088</v>
      </c>
    </row>
    <row r="7" spans="3:30" ht="13" x14ac:dyDescent="0.25">
      <c r="C7" s="1" t="s">
        <v>15</v>
      </c>
      <c r="D7" s="1" t="s">
        <v>16</v>
      </c>
      <c r="E7" s="1" t="s">
        <v>17</v>
      </c>
      <c r="F7" s="1" t="s">
        <v>18</v>
      </c>
      <c r="G7" s="1" t="s">
        <v>19</v>
      </c>
      <c r="H7" s="1" t="s">
        <v>20</v>
      </c>
      <c r="I7" s="1" t="s">
        <v>21</v>
      </c>
      <c r="J7" s="1" t="s">
        <v>22</v>
      </c>
      <c r="K7" s="73" t="s">
        <v>23</v>
      </c>
      <c r="L7" s="1" t="s">
        <v>24</v>
      </c>
      <c r="M7" s="1" t="s">
        <v>25</v>
      </c>
      <c r="N7" s="1" t="s">
        <v>26</v>
      </c>
      <c r="O7" s="1" t="s">
        <v>15</v>
      </c>
      <c r="P7" s="1" t="s">
        <v>27</v>
      </c>
      <c r="Q7" s="1" t="s">
        <v>28</v>
      </c>
      <c r="R7" s="1" t="s">
        <v>29</v>
      </c>
      <c r="S7" s="1" t="s">
        <v>30</v>
      </c>
      <c r="T7" s="1" t="s">
        <v>31</v>
      </c>
      <c r="U7" s="1" t="s">
        <v>32</v>
      </c>
      <c r="V7" s="76" t="s">
        <v>33</v>
      </c>
      <c r="W7" s="1" t="s">
        <v>1</v>
      </c>
      <c r="X7" s="1" t="s">
        <v>2</v>
      </c>
      <c r="Y7" s="1" t="s">
        <v>3</v>
      </c>
      <c r="Z7" s="1" t="s">
        <v>5</v>
      </c>
      <c r="AA7" s="1" t="s">
        <v>9</v>
      </c>
      <c r="AB7" s="1" t="s">
        <v>4</v>
      </c>
      <c r="AC7" s="1" t="s">
        <v>10</v>
      </c>
    </row>
    <row r="8" spans="3:30" x14ac:dyDescent="0.25">
      <c r="C8" s="87" t="s">
        <v>929</v>
      </c>
      <c r="D8" s="4" t="s">
        <v>930</v>
      </c>
      <c r="E8" s="4" t="s">
        <v>930</v>
      </c>
      <c r="F8" s="4">
        <v>11.68</v>
      </c>
      <c r="G8" s="4" t="s">
        <v>376</v>
      </c>
      <c r="H8" s="4" t="s">
        <v>46</v>
      </c>
      <c r="I8" s="4" t="s">
        <v>377</v>
      </c>
      <c r="J8" s="4" t="s">
        <v>160</v>
      </c>
      <c r="K8" s="4" t="s">
        <v>43</v>
      </c>
      <c r="L8" s="4" t="s">
        <v>353</v>
      </c>
      <c r="M8" s="4" t="s">
        <v>40</v>
      </c>
      <c r="N8" s="4" t="s">
        <v>378</v>
      </c>
      <c r="O8" s="4" t="s">
        <v>929</v>
      </c>
      <c r="P8" s="4" t="s">
        <v>379</v>
      </c>
      <c r="Q8" s="50" t="s">
        <v>43</v>
      </c>
      <c r="R8" s="50"/>
      <c r="S8" s="50" t="s">
        <v>931</v>
      </c>
      <c r="T8" s="4" t="s">
        <v>43</v>
      </c>
      <c r="U8" s="4" t="s">
        <v>43</v>
      </c>
      <c r="W8" s="48">
        <v>1</v>
      </c>
      <c r="X8" s="48">
        <v>2</v>
      </c>
      <c r="Y8" s="48">
        <v>8</v>
      </c>
      <c r="Z8" s="48">
        <v>1</v>
      </c>
      <c r="AD8" s="91">
        <f>SUMPRODUCT($W$6:$AC$6,W8:AC8)</f>
        <v>11.681818181818182</v>
      </c>
    </row>
    <row r="9" spans="3:30" hidden="1" x14ac:dyDescent="0.25">
      <c r="C9" s="87" t="s">
        <v>651</v>
      </c>
      <c r="D9" s="4" t="s">
        <v>652</v>
      </c>
      <c r="E9" s="4" t="s">
        <v>652</v>
      </c>
      <c r="F9" s="4">
        <v>12</v>
      </c>
      <c r="G9" s="4" t="s">
        <v>376</v>
      </c>
      <c r="H9" s="4" t="s">
        <v>46</v>
      </c>
      <c r="I9" s="4" t="s">
        <v>377</v>
      </c>
      <c r="J9" s="4" t="s">
        <v>248</v>
      </c>
      <c r="K9" s="4" t="s">
        <v>43</v>
      </c>
      <c r="L9" s="4" t="s">
        <v>51</v>
      </c>
      <c r="M9" s="4" t="s">
        <v>40</v>
      </c>
      <c r="N9" s="4" t="s">
        <v>653</v>
      </c>
      <c r="O9" s="4" t="s">
        <v>651</v>
      </c>
      <c r="P9" s="4" t="s">
        <v>379</v>
      </c>
      <c r="Q9" s="50" t="s">
        <v>43</v>
      </c>
      <c r="R9" s="50"/>
      <c r="S9" s="50" t="s">
        <v>51</v>
      </c>
      <c r="T9" s="4" t="s">
        <v>43</v>
      </c>
      <c r="U9" s="4" t="s">
        <v>43</v>
      </c>
      <c r="W9" s="48">
        <v>1</v>
      </c>
      <c r="X9" s="48">
        <v>2</v>
      </c>
      <c r="Y9" s="48">
        <v>9</v>
      </c>
      <c r="AD9" s="91">
        <f t="shared" ref="AD9:AD72" si="1">SUMPRODUCT($W$6:$AC$6,W9:AC9)</f>
        <v>12</v>
      </c>
    </row>
    <row r="10" spans="3:30" x14ac:dyDescent="0.25">
      <c r="C10" s="87" t="s">
        <v>373</v>
      </c>
      <c r="D10" s="4" t="s">
        <v>374</v>
      </c>
      <c r="E10" s="4" t="s">
        <v>375</v>
      </c>
      <c r="F10" s="4">
        <v>11.68</v>
      </c>
      <c r="G10" s="4" t="s">
        <v>376</v>
      </c>
      <c r="H10" s="4" t="s">
        <v>46</v>
      </c>
      <c r="I10" s="4" t="s">
        <v>377</v>
      </c>
      <c r="J10" s="4" t="s">
        <v>63</v>
      </c>
      <c r="K10" s="4" t="s">
        <v>43</v>
      </c>
      <c r="L10" s="4" t="s">
        <v>138</v>
      </c>
      <c r="M10" s="4" t="s">
        <v>40</v>
      </c>
      <c r="N10" s="4" t="s">
        <v>378</v>
      </c>
      <c r="O10" s="4" t="s">
        <v>373</v>
      </c>
      <c r="P10" s="4" t="s">
        <v>379</v>
      </c>
      <c r="Q10" s="50" t="s">
        <v>43</v>
      </c>
      <c r="R10" s="50"/>
      <c r="S10" s="50" t="s">
        <v>380</v>
      </c>
      <c r="T10" s="4" t="s">
        <v>43</v>
      </c>
      <c r="U10" s="4" t="s">
        <v>43</v>
      </c>
      <c r="W10" s="48">
        <v>1</v>
      </c>
      <c r="X10" s="48">
        <v>2</v>
      </c>
      <c r="Y10" s="48">
        <v>8</v>
      </c>
      <c r="Z10" s="48">
        <v>1</v>
      </c>
      <c r="AD10" s="91">
        <f t="shared" si="1"/>
        <v>11.681818181818182</v>
      </c>
    </row>
    <row r="11" spans="3:30" hidden="1" x14ac:dyDescent="0.25">
      <c r="C11" s="87" t="s">
        <v>699</v>
      </c>
      <c r="D11" s="4" t="s">
        <v>700</v>
      </c>
      <c r="E11" s="4" t="s">
        <v>701</v>
      </c>
      <c r="F11" s="4">
        <v>10</v>
      </c>
      <c r="G11" s="4" t="s">
        <v>376</v>
      </c>
      <c r="H11" s="4" t="s">
        <v>46</v>
      </c>
      <c r="I11" s="4" t="s">
        <v>421</v>
      </c>
      <c r="J11" s="4" t="s">
        <v>84</v>
      </c>
      <c r="K11" s="4" t="s">
        <v>440</v>
      </c>
      <c r="L11" s="4" t="s">
        <v>54</v>
      </c>
      <c r="M11" s="4" t="s">
        <v>55</v>
      </c>
      <c r="N11" s="4" t="s">
        <v>653</v>
      </c>
      <c r="O11" s="4" t="s">
        <v>699</v>
      </c>
      <c r="P11" s="4" t="s">
        <v>379</v>
      </c>
      <c r="Q11" s="50" t="s">
        <v>43</v>
      </c>
      <c r="R11" s="50"/>
      <c r="S11" s="50" t="s">
        <v>702</v>
      </c>
      <c r="T11" s="4" t="s">
        <v>43</v>
      </c>
      <c r="U11" s="4" t="s">
        <v>43</v>
      </c>
      <c r="W11" s="48">
        <v>1</v>
      </c>
      <c r="X11" s="48">
        <v>2</v>
      </c>
      <c r="Y11" s="48">
        <v>7</v>
      </c>
      <c r="AD11" s="91">
        <f t="shared" si="1"/>
        <v>10</v>
      </c>
    </row>
    <row r="12" spans="3:30" hidden="1" x14ac:dyDescent="0.25">
      <c r="C12" s="87" t="s">
        <v>739</v>
      </c>
      <c r="D12" s="4" t="s">
        <v>740</v>
      </c>
      <c r="E12" s="4" t="s">
        <v>740</v>
      </c>
      <c r="F12" s="4">
        <v>9</v>
      </c>
      <c r="G12" s="4" t="s">
        <v>376</v>
      </c>
      <c r="H12" s="4" t="s">
        <v>46</v>
      </c>
      <c r="I12" s="4" t="s">
        <v>421</v>
      </c>
      <c r="J12" s="4" t="s">
        <v>84</v>
      </c>
      <c r="K12" s="4" t="s">
        <v>440</v>
      </c>
      <c r="L12" s="4" t="s">
        <v>54</v>
      </c>
      <c r="M12" s="4" t="s">
        <v>55</v>
      </c>
      <c r="N12" s="4" t="s">
        <v>653</v>
      </c>
      <c r="O12" s="4" t="s">
        <v>739</v>
      </c>
      <c r="P12" s="4" t="s">
        <v>379</v>
      </c>
      <c r="Q12" s="50" t="s">
        <v>43</v>
      </c>
      <c r="R12" s="50"/>
      <c r="S12" s="50" t="s">
        <v>741</v>
      </c>
      <c r="T12" s="4" t="s">
        <v>43</v>
      </c>
      <c r="U12" s="4" t="s">
        <v>43</v>
      </c>
      <c r="W12" s="48">
        <v>1</v>
      </c>
      <c r="X12" s="48">
        <v>2</v>
      </c>
      <c r="Y12" s="48">
        <v>6</v>
      </c>
      <c r="AD12" s="91">
        <f t="shared" si="1"/>
        <v>9</v>
      </c>
    </row>
    <row r="13" spans="3:30" hidden="1" x14ac:dyDescent="0.25">
      <c r="C13" s="87" t="s">
        <v>381</v>
      </c>
      <c r="D13" s="4" t="s">
        <v>382</v>
      </c>
      <c r="E13" s="4" t="s">
        <v>382</v>
      </c>
      <c r="F13" s="4">
        <v>8.4499999999999993</v>
      </c>
      <c r="G13" s="4" t="s">
        <v>376</v>
      </c>
      <c r="H13" s="4" t="s">
        <v>46</v>
      </c>
      <c r="I13" s="4" t="s">
        <v>377</v>
      </c>
      <c r="J13" s="4" t="s">
        <v>63</v>
      </c>
      <c r="K13" s="4" t="s">
        <v>43</v>
      </c>
      <c r="L13" s="4" t="s">
        <v>138</v>
      </c>
      <c r="M13" s="4" t="s">
        <v>40</v>
      </c>
      <c r="N13" s="4" t="s">
        <v>378</v>
      </c>
      <c r="O13" s="4" t="s">
        <v>381</v>
      </c>
      <c r="P13" s="4" t="s">
        <v>379</v>
      </c>
      <c r="Q13" s="50" t="s">
        <v>43</v>
      </c>
      <c r="R13" s="50"/>
      <c r="S13" s="50" t="s">
        <v>380</v>
      </c>
      <c r="T13" s="4" t="s">
        <v>43</v>
      </c>
      <c r="U13" s="4" t="s">
        <v>43</v>
      </c>
      <c r="W13" s="48">
        <v>1</v>
      </c>
      <c r="X13" s="48">
        <v>2</v>
      </c>
      <c r="Y13" s="48">
        <v>5</v>
      </c>
      <c r="AB13" s="48">
        <v>1</v>
      </c>
      <c r="AD13" s="91">
        <f t="shared" si="1"/>
        <v>8.454545454545455</v>
      </c>
    </row>
    <row r="14" spans="3:30" hidden="1" x14ac:dyDescent="0.25">
      <c r="C14" s="87" t="s">
        <v>511</v>
      </c>
      <c r="D14" s="4" t="s">
        <v>512</v>
      </c>
      <c r="E14" s="4" t="s">
        <v>513</v>
      </c>
      <c r="F14" s="4">
        <v>10.58</v>
      </c>
      <c r="G14" s="4" t="s">
        <v>376</v>
      </c>
      <c r="H14" s="4" t="s">
        <v>46</v>
      </c>
      <c r="I14" s="4" t="s">
        <v>377</v>
      </c>
      <c r="J14" s="4" t="s">
        <v>100</v>
      </c>
      <c r="K14" s="4" t="s">
        <v>43</v>
      </c>
      <c r="L14" s="4" t="s">
        <v>138</v>
      </c>
      <c r="M14" s="4" t="s">
        <v>40</v>
      </c>
      <c r="N14" s="4" t="s">
        <v>514</v>
      </c>
      <c r="O14" s="4" t="s">
        <v>511</v>
      </c>
      <c r="P14" s="4" t="s">
        <v>379</v>
      </c>
      <c r="Q14" s="50" t="s">
        <v>43</v>
      </c>
      <c r="R14" s="50"/>
      <c r="S14" s="50" t="s">
        <v>515</v>
      </c>
      <c r="T14" s="4" t="s">
        <v>43</v>
      </c>
      <c r="U14" s="4" t="s">
        <v>43</v>
      </c>
      <c r="W14" s="48">
        <v>1</v>
      </c>
      <c r="X14" s="48">
        <v>2</v>
      </c>
      <c r="Y14" s="48">
        <v>7</v>
      </c>
      <c r="AA14" s="48">
        <v>1</v>
      </c>
      <c r="AD14" s="91">
        <f t="shared" si="1"/>
        <v>10.568181818181818</v>
      </c>
    </row>
    <row r="15" spans="3:30" x14ac:dyDescent="0.25">
      <c r="C15" s="87" t="s">
        <v>516</v>
      </c>
      <c r="D15" s="4" t="s">
        <v>517</v>
      </c>
      <c r="E15" s="4" t="s">
        <v>518</v>
      </c>
      <c r="F15" s="4">
        <v>10.24</v>
      </c>
      <c r="G15" s="4" t="s">
        <v>376</v>
      </c>
      <c r="H15" s="4" t="s">
        <v>46</v>
      </c>
      <c r="I15" s="4" t="s">
        <v>377</v>
      </c>
      <c r="J15" s="4" t="s">
        <v>100</v>
      </c>
      <c r="K15" s="4" t="s">
        <v>43</v>
      </c>
      <c r="L15" s="4" t="s">
        <v>205</v>
      </c>
      <c r="M15" s="4" t="s">
        <v>40</v>
      </c>
      <c r="N15" s="4" t="s">
        <v>514</v>
      </c>
      <c r="O15" s="4" t="s">
        <v>516</v>
      </c>
      <c r="P15" s="4" t="s">
        <v>379</v>
      </c>
      <c r="Q15" s="50" t="s">
        <v>43</v>
      </c>
      <c r="R15" s="50"/>
      <c r="S15" s="50" t="s">
        <v>515</v>
      </c>
      <c r="T15" s="4" t="s">
        <v>43</v>
      </c>
      <c r="U15" s="4" t="s">
        <v>43</v>
      </c>
      <c r="W15" s="48">
        <v>1</v>
      </c>
      <c r="X15" s="48">
        <v>2</v>
      </c>
      <c r="Y15" s="48">
        <v>6</v>
      </c>
      <c r="Z15" s="48">
        <v>1</v>
      </c>
      <c r="AA15" s="48">
        <v>1</v>
      </c>
      <c r="AD15" s="90">
        <f t="shared" si="1"/>
        <v>10.25</v>
      </c>
    </row>
    <row r="16" spans="3:30" x14ac:dyDescent="0.25">
      <c r="C16" s="87" t="s">
        <v>796</v>
      </c>
      <c r="D16" s="4" t="s">
        <v>797</v>
      </c>
      <c r="E16" s="4" t="s">
        <v>797</v>
      </c>
      <c r="F16" s="4">
        <v>8.68</v>
      </c>
      <c r="G16" s="4" t="s">
        <v>376</v>
      </c>
      <c r="H16" s="4" t="s">
        <v>81</v>
      </c>
      <c r="I16" s="4" t="s">
        <v>421</v>
      </c>
      <c r="J16" s="4" t="s">
        <v>146</v>
      </c>
      <c r="K16" s="4" t="s">
        <v>43</v>
      </c>
      <c r="L16" s="4" t="s">
        <v>59</v>
      </c>
      <c r="M16" s="4" t="s">
        <v>40</v>
      </c>
      <c r="N16" s="4" t="s">
        <v>653</v>
      </c>
      <c r="O16" s="4" t="s">
        <v>796</v>
      </c>
      <c r="P16" s="4" t="s">
        <v>379</v>
      </c>
      <c r="Q16" s="50" t="s">
        <v>43</v>
      </c>
      <c r="R16" s="50"/>
      <c r="S16" s="50" t="s">
        <v>799</v>
      </c>
      <c r="T16" s="4" t="s">
        <v>43</v>
      </c>
      <c r="U16" s="4" t="s">
        <v>43</v>
      </c>
      <c r="W16" s="48">
        <v>1</v>
      </c>
      <c r="X16" s="48">
        <v>2</v>
      </c>
      <c r="Y16" s="48">
        <v>5</v>
      </c>
      <c r="Z16" s="48">
        <v>1</v>
      </c>
      <c r="AD16" s="91">
        <f t="shared" si="1"/>
        <v>8.6818181818181817</v>
      </c>
    </row>
    <row r="17" spans="3:30" hidden="1" x14ac:dyDescent="0.25">
      <c r="C17" s="87" t="s">
        <v>463</v>
      </c>
      <c r="D17" s="4" t="s">
        <v>464</v>
      </c>
      <c r="E17" s="4" t="s">
        <v>465</v>
      </c>
      <c r="F17" s="4">
        <v>8.9</v>
      </c>
      <c r="G17" s="4" t="s">
        <v>376</v>
      </c>
      <c r="H17" s="4" t="s">
        <v>46</v>
      </c>
      <c r="I17" s="4" t="s">
        <v>377</v>
      </c>
      <c r="J17" s="4" t="s">
        <v>466</v>
      </c>
      <c r="K17" s="4" t="s">
        <v>43</v>
      </c>
      <c r="L17" s="4" t="s">
        <v>51</v>
      </c>
      <c r="M17" s="4" t="s">
        <v>40</v>
      </c>
      <c r="N17" s="4" t="s">
        <v>378</v>
      </c>
      <c r="O17" s="4" t="s">
        <v>463</v>
      </c>
      <c r="P17" s="4" t="s">
        <v>379</v>
      </c>
      <c r="Q17" s="50" t="s">
        <v>43</v>
      </c>
      <c r="R17" s="50"/>
      <c r="S17" s="50" t="s">
        <v>467</v>
      </c>
      <c r="T17" s="4" t="s">
        <v>43</v>
      </c>
      <c r="U17" s="4" t="s">
        <v>43</v>
      </c>
      <c r="W17" s="48">
        <v>1</v>
      </c>
      <c r="X17" s="48">
        <v>2</v>
      </c>
      <c r="Y17" s="48">
        <v>5</v>
      </c>
      <c r="AB17" s="48">
        <v>2</v>
      </c>
      <c r="AD17" s="91">
        <f t="shared" si="1"/>
        <v>8.9090909090909083</v>
      </c>
    </row>
    <row r="18" spans="3:30" hidden="1" x14ac:dyDescent="0.25">
      <c r="C18" s="87" t="s">
        <v>383</v>
      </c>
      <c r="D18" s="4" t="s">
        <v>384</v>
      </c>
      <c r="E18" s="4" t="s">
        <v>384</v>
      </c>
      <c r="F18" s="4">
        <v>8</v>
      </c>
      <c r="G18" s="4" t="s">
        <v>376</v>
      </c>
      <c r="H18" s="4" t="s">
        <v>46</v>
      </c>
      <c r="I18" s="4" t="s">
        <v>377</v>
      </c>
      <c r="J18" s="4" t="s">
        <v>63</v>
      </c>
      <c r="K18" s="4" t="s">
        <v>43</v>
      </c>
      <c r="L18" s="4" t="s">
        <v>138</v>
      </c>
      <c r="M18" s="4" t="s">
        <v>40</v>
      </c>
      <c r="N18" s="4" t="s">
        <v>378</v>
      </c>
      <c r="O18" s="4" t="s">
        <v>383</v>
      </c>
      <c r="P18" s="4" t="s">
        <v>42</v>
      </c>
      <c r="Q18" s="50" t="s">
        <v>43</v>
      </c>
      <c r="R18" s="50"/>
      <c r="S18" s="50" t="s">
        <v>380</v>
      </c>
      <c r="T18" s="4" t="s">
        <v>43</v>
      </c>
      <c r="U18" s="4" t="s">
        <v>43</v>
      </c>
      <c r="W18" s="48">
        <v>1</v>
      </c>
      <c r="X18" s="48">
        <v>1</v>
      </c>
      <c r="Y18" s="48">
        <v>6</v>
      </c>
      <c r="AD18" s="91">
        <f t="shared" si="1"/>
        <v>8</v>
      </c>
    </row>
    <row r="19" spans="3:30" hidden="1" x14ac:dyDescent="0.25">
      <c r="C19" s="87" t="s">
        <v>594</v>
      </c>
      <c r="D19" s="4" t="s">
        <v>595</v>
      </c>
      <c r="E19" s="4" t="s">
        <v>595</v>
      </c>
      <c r="F19" s="93">
        <v>5</v>
      </c>
      <c r="G19" s="4" t="s">
        <v>376</v>
      </c>
      <c r="H19" s="4" t="s">
        <v>81</v>
      </c>
      <c r="I19" s="4" t="s">
        <v>421</v>
      </c>
      <c r="J19" s="4" t="s">
        <v>50</v>
      </c>
      <c r="K19" s="4" t="s">
        <v>43</v>
      </c>
      <c r="L19" s="4" t="s">
        <v>596</v>
      </c>
      <c r="M19" s="4" t="s">
        <v>40</v>
      </c>
      <c r="N19" s="4" t="s">
        <v>422</v>
      </c>
      <c r="O19" s="4" t="s">
        <v>594</v>
      </c>
      <c r="P19" s="4" t="s">
        <v>42</v>
      </c>
      <c r="Q19" s="50" t="s">
        <v>43</v>
      </c>
      <c r="R19" s="50"/>
      <c r="S19" s="50" t="s">
        <v>597</v>
      </c>
      <c r="T19" s="82" t="s">
        <v>440</v>
      </c>
      <c r="U19" s="4" t="s">
        <v>43</v>
      </c>
      <c r="W19" s="48">
        <v>1</v>
      </c>
      <c r="X19" s="48">
        <v>1</v>
      </c>
      <c r="Y19" s="48">
        <v>3</v>
      </c>
      <c r="AD19" s="91">
        <f t="shared" si="1"/>
        <v>5</v>
      </c>
    </row>
    <row r="20" spans="3:30" hidden="1" x14ac:dyDescent="0.25">
      <c r="C20" s="87" t="s">
        <v>598</v>
      </c>
      <c r="D20" s="4" t="s">
        <v>599</v>
      </c>
      <c r="E20" s="4" t="s">
        <v>600</v>
      </c>
      <c r="F20" s="93">
        <v>5</v>
      </c>
      <c r="G20" s="4" t="s">
        <v>376</v>
      </c>
      <c r="H20" s="4" t="s">
        <v>81</v>
      </c>
      <c r="I20" s="4" t="s">
        <v>421</v>
      </c>
      <c r="J20" s="4" t="s">
        <v>50</v>
      </c>
      <c r="K20" s="4" t="s">
        <v>43</v>
      </c>
      <c r="L20" s="4" t="s">
        <v>601</v>
      </c>
      <c r="M20" s="4" t="s">
        <v>40</v>
      </c>
      <c r="N20" s="4" t="s">
        <v>422</v>
      </c>
      <c r="O20" s="4" t="s">
        <v>598</v>
      </c>
      <c r="P20" s="4" t="s">
        <v>42</v>
      </c>
      <c r="Q20" s="50" t="s">
        <v>43</v>
      </c>
      <c r="R20" s="50"/>
      <c r="S20" s="50" t="s">
        <v>597</v>
      </c>
      <c r="T20" s="82" t="s">
        <v>440</v>
      </c>
      <c r="U20" s="4" t="s">
        <v>43</v>
      </c>
      <c r="W20" s="48">
        <v>1</v>
      </c>
      <c r="X20" s="48">
        <v>1</v>
      </c>
      <c r="Y20" s="48">
        <v>3</v>
      </c>
      <c r="AD20" s="91">
        <f t="shared" si="1"/>
        <v>5</v>
      </c>
    </row>
    <row r="21" spans="3:30" hidden="1" x14ac:dyDescent="0.25">
      <c r="C21" s="87" t="s">
        <v>602</v>
      </c>
      <c r="D21" s="4" t="s">
        <v>603</v>
      </c>
      <c r="E21" s="4" t="s">
        <v>604</v>
      </c>
      <c r="F21" s="93">
        <v>5</v>
      </c>
      <c r="G21" s="4" t="s">
        <v>376</v>
      </c>
      <c r="H21" s="4" t="s">
        <v>81</v>
      </c>
      <c r="I21" s="4" t="s">
        <v>421</v>
      </c>
      <c r="J21" s="4" t="s">
        <v>50</v>
      </c>
      <c r="K21" s="4" t="s">
        <v>43</v>
      </c>
      <c r="L21" s="4" t="s">
        <v>605</v>
      </c>
      <c r="M21" s="4" t="s">
        <v>40</v>
      </c>
      <c r="N21" s="4" t="s">
        <v>422</v>
      </c>
      <c r="O21" s="4" t="s">
        <v>602</v>
      </c>
      <c r="P21" s="4" t="s">
        <v>42</v>
      </c>
      <c r="Q21" s="50" t="s">
        <v>43</v>
      </c>
      <c r="R21" s="50"/>
      <c r="S21" s="50" t="s">
        <v>597</v>
      </c>
      <c r="T21" s="82" t="s">
        <v>440</v>
      </c>
      <c r="U21" s="4" t="s">
        <v>43</v>
      </c>
      <c r="W21" s="48">
        <v>1</v>
      </c>
      <c r="X21" s="48">
        <v>1</v>
      </c>
      <c r="Y21" s="48">
        <v>3</v>
      </c>
      <c r="AD21" s="91">
        <f t="shared" si="1"/>
        <v>5</v>
      </c>
    </row>
    <row r="22" spans="3:30" hidden="1" x14ac:dyDescent="0.25">
      <c r="C22" s="87" t="s">
        <v>468</v>
      </c>
      <c r="D22" s="4" t="s">
        <v>469</v>
      </c>
      <c r="E22" s="4" t="s">
        <v>470</v>
      </c>
      <c r="F22" s="4">
        <v>8.4499999999999993</v>
      </c>
      <c r="G22" s="4" t="s">
        <v>376</v>
      </c>
      <c r="H22" s="4" t="s">
        <v>46</v>
      </c>
      <c r="I22" s="4" t="s">
        <v>377</v>
      </c>
      <c r="J22" s="4" t="s">
        <v>466</v>
      </c>
      <c r="K22" s="4" t="s">
        <v>43</v>
      </c>
      <c r="L22" s="4" t="s">
        <v>51</v>
      </c>
      <c r="M22" s="4" t="s">
        <v>40</v>
      </c>
      <c r="N22" s="4" t="s">
        <v>378</v>
      </c>
      <c r="O22" s="4" t="s">
        <v>468</v>
      </c>
      <c r="P22" s="4" t="s">
        <v>42</v>
      </c>
      <c r="Q22" s="50" t="s">
        <v>43</v>
      </c>
      <c r="R22" s="50"/>
      <c r="S22" s="50" t="s">
        <v>467</v>
      </c>
      <c r="T22" s="4" t="s">
        <v>43</v>
      </c>
      <c r="U22" s="4" t="s">
        <v>43</v>
      </c>
      <c r="W22" s="48">
        <v>1</v>
      </c>
      <c r="X22" s="48">
        <v>1</v>
      </c>
      <c r="Y22" s="48">
        <v>6</v>
      </c>
      <c r="AB22" s="48">
        <v>1</v>
      </c>
      <c r="AD22" s="91">
        <f t="shared" si="1"/>
        <v>8.454545454545455</v>
      </c>
    </row>
    <row r="23" spans="3:30" hidden="1" x14ac:dyDescent="0.25">
      <c r="C23" s="87" t="s">
        <v>932</v>
      </c>
      <c r="D23" s="4" t="s">
        <v>933</v>
      </c>
      <c r="E23" s="4" t="s">
        <v>933</v>
      </c>
      <c r="F23" s="4">
        <v>8</v>
      </c>
      <c r="G23" s="4" t="s">
        <v>376</v>
      </c>
      <c r="H23" s="4" t="s">
        <v>46</v>
      </c>
      <c r="I23" s="4" t="s">
        <v>377</v>
      </c>
      <c r="J23" s="4" t="s">
        <v>160</v>
      </c>
      <c r="K23" s="4" t="s">
        <v>43</v>
      </c>
      <c r="L23" s="4" t="s">
        <v>353</v>
      </c>
      <c r="M23" s="4" t="s">
        <v>40</v>
      </c>
      <c r="N23" s="4" t="s">
        <v>378</v>
      </c>
      <c r="O23" s="4" t="s">
        <v>932</v>
      </c>
      <c r="P23" s="4" t="s">
        <v>379</v>
      </c>
      <c r="Q23" s="50" t="s">
        <v>43</v>
      </c>
      <c r="R23" s="50"/>
      <c r="S23" s="50" t="s">
        <v>931</v>
      </c>
      <c r="T23" s="4" t="s">
        <v>43</v>
      </c>
      <c r="U23" s="4" t="s">
        <v>43</v>
      </c>
      <c r="W23" s="48">
        <v>1</v>
      </c>
      <c r="X23" s="48">
        <v>2</v>
      </c>
      <c r="Y23" s="48">
        <v>5</v>
      </c>
      <c r="AD23" s="91">
        <f t="shared" si="1"/>
        <v>8</v>
      </c>
    </row>
    <row r="24" spans="3:30" hidden="1" x14ac:dyDescent="0.25">
      <c r="C24" s="87" t="s">
        <v>385</v>
      </c>
      <c r="D24" s="4" t="s">
        <v>386</v>
      </c>
      <c r="E24" s="4" t="s">
        <v>386</v>
      </c>
      <c r="F24" s="4">
        <v>7</v>
      </c>
      <c r="G24" s="4" t="s">
        <v>376</v>
      </c>
      <c r="H24" s="4" t="s">
        <v>46</v>
      </c>
      <c r="I24" s="4" t="s">
        <v>377</v>
      </c>
      <c r="J24" s="4" t="s">
        <v>63</v>
      </c>
      <c r="K24" s="4" t="s">
        <v>43</v>
      </c>
      <c r="L24" s="4" t="s">
        <v>138</v>
      </c>
      <c r="M24" s="4" t="s">
        <v>40</v>
      </c>
      <c r="N24" s="4" t="s">
        <v>378</v>
      </c>
      <c r="O24" s="4" t="s">
        <v>385</v>
      </c>
      <c r="P24" s="4" t="s">
        <v>42</v>
      </c>
      <c r="Q24" s="50" t="s">
        <v>43</v>
      </c>
      <c r="R24" s="50"/>
      <c r="S24" s="50" t="s">
        <v>380</v>
      </c>
      <c r="T24" s="4" t="s">
        <v>43</v>
      </c>
      <c r="U24" s="4" t="s">
        <v>43</v>
      </c>
      <c r="W24" s="48">
        <v>1</v>
      </c>
      <c r="X24" s="48">
        <v>1</v>
      </c>
      <c r="Y24" s="48">
        <v>5</v>
      </c>
      <c r="AD24" s="91">
        <f t="shared" si="1"/>
        <v>7</v>
      </c>
    </row>
    <row r="25" spans="3:30" hidden="1" x14ac:dyDescent="0.25">
      <c r="C25" s="87" t="s">
        <v>883</v>
      </c>
      <c r="D25" s="4" t="s">
        <v>884</v>
      </c>
      <c r="E25" s="4" t="s">
        <v>884</v>
      </c>
      <c r="F25" s="4">
        <v>5.79</v>
      </c>
      <c r="G25" s="4" t="s">
        <v>376</v>
      </c>
      <c r="H25" s="4" t="s">
        <v>46</v>
      </c>
      <c r="I25" s="4" t="s">
        <v>421</v>
      </c>
      <c r="J25" s="4" t="s">
        <v>73</v>
      </c>
      <c r="K25" s="4" t="s">
        <v>43</v>
      </c>
      <c r="L25" s="4" t="s">
        <v>315</v>
      </c>
      <c r="M25" s="4" t="s">
        <v>40</v>
      </c>
      <c r="N25" s="4" t="s">
        <v>514</v>
      </c>
      <c r="O25" s="4" t="s">
        <v>883</v>
      </c>
      <c r="P25" s="4" t="s">
        <v>42</v>
      </c>
      <c r="Q25" s="50" t="s">
        <v>43</v>
      </c>
      <c r="R25" s="50"/>
      <c r="S25" s="50" t="s">
        <v>886</v>
      </c>
      <c r="T25" s="4" t="s">
        <v>43</v>
      </c>
      <c r="U25" s="4" t="s">
        <v>43</v>
      </c>
      <c r="V25" s="2"/>
      <c r="W25" s="48">
        <v>1</v>
      </c>
      <c r="X25" s="48">
        <v>2</v>
      </c>
      <c r="Y25" s="48">
        <v>2</v>
      </c>
      <c r="AB25" s="48">
        <v>1</v>
      </c>
      <c r="AC25" s="48">
        <v>1</v>
      </c>
      <c r="AD25" s="91">
        <f t="shared" si="1"/>
        <v>5.795454545454545</v>
      </c>
    </row>
    <row r="26" spans="3:30" x14ac:dyDescent="0.25">
      <c r="C26" s="87" t="s">
        <v>387</v>
      </c>
      <c r="D26" s="4" t="s">
        <v>388</v>
      </c>
      <c r="E26" s="4" t="s">
        <v>389</v>
      </c>
      <c r="F26" s="4">
        <v>6.68</v>
      </c>
      <c r="G26" s="4" t="s">
        <v>376</v>
      </c>
      <c r="H26" s="4" t="s">
        <v>46</v>
      </c>
      <c r="I26" s="4" t="s">
        <v>377</v>
      </c>
      <c r="J26" s="4" t="s">
        <v>63</v>
      </c>
      <c r="K26" s="4" t="s">
        <v>43</v>
      </c>
      <c r="L26" s="4" t="s">
        <v>138</v>
      </c>
      <c r="M26" s="4" t="s">
        <v>40</v>
      </c>
      <c r="N26" s="4" t="s">
        <v>378</v>
      </c>
      <c r="O26" s="4" t="s">
        <v>387</v>
      </c>
      <c r="P26" s="4" t="s">
        <v>42</v>
      </c>
      <c r="Q26" s="50" t="s">
        <v>43</v>
      </c>
      <c r="R26" s="50"/>
      <c r="S26" s="50" t="s">
        <v>380</v>
      </c>
      <c r="T26" s="4" t="s">
        <v>43</v>
      </c>
      <c r="U26" s="4" t="s">
        <v>43</v>
      </c>
      <c r="W26" s="48">
        <v>1</v>
      </c>
      <c r="X26" s="48">
        <v>1</v>
      </c>
      <c r="Y26" s="48">
        <v>4</v>
      </c>
      <c r="Z26" s="48">
        <v>1</v>
      </c>
      <c r="AD26" s="91">
        <f t="shared" si="1"/>
        <v>6.6818181818181817</v>
      </c>
    </row>
    <row r="27" spans="3:30" x14ac:dyDescent="0.25">
      <c r="C27" s="87" t="s">
        <v>519</v>
      </c>
      <c r="D27" s="4" t="s">
        <v>520</v>
      </c>
      <c r="E27" s="4" t="s">
        <v>520</v>
      </c>
      <c r="F27" s="4">
        <v>7.68</v>
      </c>
      <c r="G27" s="4" t="s">
        <v>376</v>
      </c>
      <c r="H27" s="4" t="s">
        <v>46</v>
      </c>
      <c r="I27" s="4" t="s">
        <v>377</v>
      </c>
      <c r="J27" s="4" t="s">
        <v>100</v>
      </c>
      <c r="K27" s="4" t="s">
        <v>43</v>
      </c>
      <c r="L27" s="4" t="s">
        <v>138</v>
      </c>
      <c r="M27" s="4" t="s">
        <v>40</v>
      </c>
      <c r="N27" s="4" t="s">
        <v>514</v>
      </c>
      <c r="O27" s="4" t="s">
        <v>519</v>
      </c>
      <c r="P27" s="4" t="s">
        <v>42</v>
      </c>
      <c r="Q27" s="50" t="s">
        <v>43</v>
      </c>
      <c r="R27" s="50"/>
      <c r="S27" s="50" t="s">
        <v>515</v>
      </c>
      <c r="T27" s="4" t="s">
        <v>43</v>
      </c>
      <c r="U27" s="4" t="s">
        <v>43</v>
      </c>
      <c r="W27" s="48">
        <v>1</v>
      </c>
      <c r="X27" s="48">
        <v>1</v>
      </c>
      <c r="Y27" s="48">
        <v>5</v>
      </c>
      <c r="Z27" s="48">
        <v>1</v>
      </c>
      <c r="AD27" s="91">
        <f t="shared" si="1"/>
        <v>7.6818181818181817</v>
      </c>
    </row>
    <row r="28" spans="3:30" hidden="1" x14ac:dyDescent="0.25">
      <c r="C28" s="87" t="s">
        <v>887</v>
      </c>
      <c r="D28" s="4" t="s">
        <v>275</v>
      </c>
      <c r="E28" s="4" t="s">
        <v>888</v>
      </c>
      <c r="F28" s="4">
        <v>10.36</v>
      </c>
      <c r="G28" s="4" t="s">
        <v>376</v>
      </c>
      <c r="H28" s="4" t="s">
        <v>46</v>
      </c>
      <c r="I28" s="4" t="s">
        <v>421</v>
      </c>
      <c r="J28" s="4" t="s">
        <v>73</v>
      </c>
      <c r="K28" s="4" t="s">
        <v>43</v>
      </c>
      <c r="L28" s="4" t="s">
        <v>275</v>
      </c>
      <c r="M28" s="4" t="s">
        <v>40</v>
      </c>
      <c r="N28" s="4" t="s">
        <v>514</v>
      </c>
      <c r="O28" s="4" t="s">
        <v>887</v>
      </c>
      <c r="P28" s="4" t="s">
        <v>379</v>
      </c>
      <c r="Q28" s="50" t="s">
        <v>43</v>
      </c>
      <c r="R28" s="50"/>
      <c r="S28" s="50" t="s">
        <v>886</v>
      </c>
      <c r="T28" s="4" t="s">
        <v>43</v>
      </c>
      <c r="U28" s="4" t="s">
        <v>43</v>
      </c>
      <c r="W28" s="48">
        <v>1</v>
      </c>
      <c r="X28" s="48">
        <v>2</v>
      </c>
      <c r="Y28" s="48">
        <v>6</v>
      </c>
      <c r="Z28" s="48">
        <v>2</v>
      </c>
      <c r="AD28" s="91">
        <f t="shared" si="1"/>
        <v>10.363636363636363</v>
      </c>
    </row>
    <row r="29" spans="3:30" hidden="1" x14ac:dyDescent="0.25">
      <c r="C29" s="87" t="s">
        <v>390</v>
      </c>
      <c r="D29" s="4" t="s">
        <v>391</v>
      </c>
      <c r="E29" s="4" t="s">
        <v>391</v>
      </c>
      <c r="F29" s="4">
        <v>7</v>
      </c>
      <c r="G29" s="4" t="s">
        <v>376</v>
      </c>
      <c r="H29" s="4" t="s">
        <v>46</v>
      </c>
      <c r="I29" s="4" t="s">
        <v>377</v>
      </c>
      <c r="J29" s="4" t="s">
        <v>63</v>
      </c>
      <c r="K29" s="4" t="s">
        <v>43</v>
      </c>
      <c r="L29" s="4" t="s">
        <v>138</v>
      </c>
      <c r="M29" s="4" t="s">
        <v>40</v>
      </c>
      <c r="N29" s="4" t="s">
        <v>378</v>
      </c>
      <c r="O29" s="4" t="s">
        <v>390</v>
      </c>
      <c r="P29" s="4" t="s">
        <v>42</v>
      </c>
      <c r="Q29" s="50" t="s">
        <v>43</v>
      </c>
      <c r="R29" s="50"/>
      <c r="S29" s="50" t="s">
        <v>380</v>
      </c>
      <c r="T29" s="4" t="s">
        <v>43</v>
      </c>
      <c r="U29" s="4" t="s">
        <v>43</v>
      </c>
      <c r="W29" s="48">
        <v>1</v>
      </c>
      <c r="X29" s="48">
        <v>1</v>
      </c>
      <c r="Y29" s="48">
        <v>5</v>
      </c>
      <c r="AD29" s="91">
        <f t="shared" si="1"/>
        <v>7</v>
      </c>
    </row>
    <row r="30" spans="3:30" hidden="1" x14ac:dyDescent="0.25">
      <c r="C30" s="87" t="s">
        <v>800</v>
      </c>
      <c r="D30" s="4" t="s">
        <v>801</v>
      </c>
      <c r="E30" s="4" t="s">
        <v>801</v>
      </c>
      <c r="F30" s="4">
        <v>7</v>
      </c>
      <c r="G30" s="4" t="s">
        <v>376</v>
      </c>
      <c r="H30" s="4" t="s">
        <v>46</v>
      </c>
      <c r="I30" s="4" t="s">
        <v>421</v>
      </c>
      <c r="J30" s="4" t="s">
        <v>146</v>
      </c>
      <c r="K30" s="4" t="s">
        <v>440</v>
      </c>
      <c r="L30" s="4" t="s">
        <v>59</v>
      </c>
      <c r="M30" s="4" t="s">
        <v>40</v>
      </c>
      <c r="N30" s="4" t="s">
        <v>653</v>
      </c>
      <c r="O30" s="4" t="s">
        <v>800</v>
      </c>
      <c r="P30" s="4" t="s">
        <v>42</v>
      </c>
      <c r="Q30" s="50" t="s">
        <v>43</v>
      </c>
      <c r="R30" s="50"/>
      <c r="S30" s="50" t="s">
        <v>799</v>
      </c>
      <c r="T30" s="4" t="s">
        <v>43</v>
      </c>
      <c r="U30" s="4" t="s">
        <v>43</v>
      </c>
      <c r="W30" s="48">
        <v>1</v>
      </c>
      <c r="X30" s="48">
        <v>1</v>
      </c>
      <c r="Y30" s="48">
        <v>5</v>
      </c>
      <c r="AD30" s="91">
        <f t="shared" si="1"/>
        <v>7</v>
      </c>
    </row>
    <row r="31" spans="3:30" hidden="1" x14ac:dyDescent="0.25">
      <c r="C31" s="87" t="s">
        <v>934</v>
      </c>
      <c r="D31" s="4" t="s">
        <v>935</v>
      </c>
      <c r="E31" s="4" t="s">
        <v>935</v>
      </c>
      <c r="F31" s="4">
        <v>7</v>
      </c>
      <c r="G31" s="4" t="s">
        <v>376</v>
      </c>
      <c r="H31" s="4" t="s">
        <v>46</v>
      </c>
      <c r="I31" s="4" t="s">
        <v>377</v>
      </c>
      <c r="J31" s="4" t="s">
        <v>160</v>
      </c>
      <c r="K31" s="4" t="s">
        <v>43</v>
      </c>
      <c r="L31" s="4" t="s">
        <v>353</v>
      </c>
      <c r="M31" s="4" t="s">
        <v>40</v>
      </c>
      <c r="N31" s="4" t="s">
        <v>378</v>
      </c>
      <c r="O31" s="4" t="s">
        <v>934</v>
      </c>
      <c r="P31" s="4" t="s">
        <v>42</v>
      </c>
      <c r="Q31" s="50" t="s">
        <v>43</v>
      </c>
      <c r="R31" s="50"/>
      <c r="S31" s="50" t="s">
        <v>931</v>
      </c>
      <c r="T31" s="4" t="s">
        <v>43</v>
      </c>
      <c r="U31" s="4" t="s">
        <v>43</v>
      </c>
      <c r="W31" s="48">
        <v>1</v>
      </c>
      <c r="X31" s="48">
        <v>1</v>
      </c>
      <c r="Y31" s="48">
        <v>5</v>
      </c>
      <c r="AD31" s="91">
        <f t="shared" si="1"/>
        <v>7</v>
      </c>
    </row>
    <row r="32" spans="3:30" hidden="1" x14ac:dyDescent="0.25">
      <c r="C32" s="87" t="s">
        <v>654</v>
      </c>
      <c r="D32" s="4" t="s">
        <v>655</v>
      </c>
      <c r="E32" s="4" t="s">
        <v>655</v>
      </c>
      <c r="F32" s="4">
        <v>7</v>
      </c>
      <c r="G32" s="4" t="s">
        <v>376</v>
      </c>
      <c r="H32" s="4" t="s">
        <v>46</v>
      </c>
      <c r="I32" s="4" t="s">
        <v>377</v>
      </c>
      <c r="J32" s="4" t="s">
        <v>248</v>
      </c>
      <c r="K32" s="4" t="s">
        <v>43</v>
      </c>
      <c r="L32" s="4" t="s">
        <v>51</v>
      </c>
      <c r="M32" s="4" t="s">
        <v>40</v>
      </c>
      <c r="N32" s="4" t="s">
        <v>653</v>
      </c>
      <c r="O32" s="4" t="s">
        <v>654</v>
      </c>
      <c r="P32" s="4" t="s">
        <v>42</v>
      </c>
      <c r="Q32" s="50" t="s">
        <v>43</v>
      </c>
      <c r="R32" s="50"/>
      <c r="S32" s="50" t="s">
        <v>51</v>
      </c>
      <c r="T32" s="4" t="s">
        <v>43</v>
      </c>
      <c r="U32" s="4" t="s">
        <v>43</v>
      </c>
      <c r="W32" s="48">
        <v>1</v>
      </c>
      <c r="X32" s="48">
        <v>1</v>
      </c>
      <c r="Y32" s="48">
        <v>5</v>
      </c>
      <c r="AD32" s="91">
        <f t="shared" si="1"/>
        <v>7</v>
      </c>
    </row>
    <row r="33" spans="3:30" hidden="1" x14ac:dyDescent="0.25">
      <c r="C33" s="87" t="s">
        <v>802</v>
      </c>
      <c r="D33" s="4" t="s">
        <v>803</v>
      </c>
      <c r="E33" s="4" t="s">
        <v>803</v>
      </c>
      <c r="F33" s="4">
        <v>7</v>
      </c>
      <c r="G33" s="4" t="s">
        <v>376</v>
      </c>
      <c r="H33" s="4" t="s">
        <v>46</v>
      </c>
      <c r="I33" s="4" t="s">
        <v>421</v>
      </c>
      <c r="J33" s="4" t="s">
        <v>146</v>
      </c>
      <c r="K33" s="4" t="s">
        <v>43</v>
      </c>
      <c r="L33" s="4" t="s">
        <v>59</v>
      </c>
      <c r="M33" s="4" t="s">
        <v>40</v>
      </c>
      <c r="N33" s="4" t="s">
        <v>653</v>
      </c>
      <c r="O33" s="4" t="s">
        <v>802</v>
      </c>
      <c r="P33" s="4" t="s">
        <v>42</v>
      </c>
      <c r="Q33" s="50" t="s">
        <v>43</v>
      </c>
      <c r="R33" s="50"/>
      <c r="S33" s="50" t="s">
        <v>799</v>
      </c>
      <c r="T33" s="4" t="s">
        <v>43</v>
      </c>
      <c r="U33" s="4" t="s">
        <v>43</v>
      </c>
      <c r="W33" s="48">
        <v>1</v>
      </c>
      <c r="X33" s="48">
        <v>1</v>
      </c>
      <c r="Y33" s="48">
        <v>5</v>
      </c>
      <c r="AD33" s="91">
        <f t="shared" si="1"/>
        <v>7</v>
      </c>
    </row>
    <row r="34" spans="3:30" hidden="1" x14ac:dyDescent="0.25">
      <c r="C34" s="87" t="s">
        <v>804</v>
      </c>
      <c r="D34" s="4" t="s">
        <v>805</v>
      </c>
      <c r="E34" s="4" t="s">
        <v>806</v>
      </c>
      <c r="F34" s="4">
        <v>7</v>
      </c>
      <c r="G34" s="4" t="s">
        <v>376</v>
      </c>
      <c r="H34" s="4" t="s">
        <v>46</v>
      </c>
      <c r="I34" s="4" t="s">
        <v>421</v>
      </c>
      <c r="J34" s="4" t="s">
        <v>146</v>
      </c>
      <c r="K34" s="4" t="s">
        <v>43</v>
      </c>
      <c r="L34" s="4" t="s">
        <v>59</v>
      </c>
      <c r="M34" s="4" t="s">
        <v>40</v>
      </c>
      <c r="N34" s="4" t="s">
        <v>653</v>
      </c>
      <c r="O34" s="4" t="s">
        <v>804</v>
      </c>
      <c r="P34" s="4" t="s">
        <v>42</v>
      </c>
      <c r="Q34" s="50" t="s">
        <v>43</v>
      </c>
      <c r="R34" s="50"/>
      <c r="S34" s="50" t="s">
        <v>799</v>
      </c>
      <c r="T34" s="4" t="s">
        <v>43</v>
      </c>
      <c r="U34" s="4" t="s">
        <v>32</v>
      </c>
      <c r="W34" s="48">
        <v>1</v>
      </c>
      <c r="X34" s="48">
        <v>2</v>
      </c>
      <c r="Y34" s="48">
        <v>4</v>
      </c>
      <c r="AD34" s="91">
        <f t="shared" si="1"/>
        <v>7</v>
      </c>
    </row>
    <row r="35" spans="3:30" hidden="1" x14ac:dyDescent="0.25">
      <c r="C35" s="87" t="s">
        <v>606</v>
      </c>
      <c r="D35" s="4" t="s">
        <v>607</v>
      </c>
      <c r="E35" s="4" t="s">
        <v>608</v>
      </c>
      <c r="F35" s="93">
        <v>5</v>
      </c>
      <c r="G35" s="4" t="s">
        <v>376</v>
      </c>
      <c r="H35" s="4" t="s">
        <v>46</v>
      </c>
      <c r="I35" s="4" t="s">
        <v>421</v>
      </c>
      <c r="J35" s="4" t="s">
        <v>50</v>
      </c>
      <c r="K35" s="4" t="s">
        <v>43</v>
      </c>
      <c r="L35" s="4" t="s">
        <v>609</v>
      </c>
      <c r="M35" s="4" t="s">
        <v>40</v>
      </c>
      <c r="N35" s="4" t="s">
        <v>422</v>
      </c>
      <c r="O35" s="4" t="s">
        <v>606</v>
      </c>
      <c r="P35" s="4" t="s">
        <v>42</v>
      </c>
      <c r="Q35" s="50" t="s">
        <v>43</v>
      </c>
      <c r="R35" s="50"/>
      <c r="S35" s="50" t="s">
        <v>597</v>
      </c>
      <c r="T35" s="4" t="s">
        <v>43</v>
      </c>
      <c r="U35" s="4" t="s">
        <v>43</v>
      </c>
      <c r="W35" s="48">
        <v>1</v>
      </c>
      <c r="X35" s="48">
        <v>1</v>
      </c>
      <c r="Y35" s="48">
        <v>3</v>
      </c>
      <c r="AD35" s="91">
        <f t="shared" si="1"/>
        <v>5</v>
      </c>
    </row>
    <row r="36" spans="3:30" hidden="1" x14ac:dyDescent="0.25">
      <c r="C36" s="87" t="s">
        <v>419</v>
      </c>
      <c r="D36" s="4" t="s">
        <v>420</v>
      </c>
      <c r="E36" s="4" t="s">
        <v>64</v>
      </c>
      <c r="F36" s="4">
        <v>6</v>
      </c>
      <c r="G36" s="4" t="s">
        <v>376</v>
      </c>
      <c r="H36" s="4" t="s">
        <v>46</v>
      </c>
      <c r="I36" s="4" t="s">
        <v>421</v>
      </c>
      <c r="J36" s="4" t="s">
        <v>94</v>
      </c>
      <c r="K36" s="4" t="s">
        <v>43</v>
      </c>
      <c r="L36" s="4" t="s">
        <v>64</v>
      </c>
      <c r="M36" s="4" t="s">
        <v>40</v>
      </c>
      <c r="N36" s="4" t="s">
        <v>422</v>
      </c>
      <c r="O36" s="4" t="s">
        <v>419</v>
      </c>
      <c r="P36" s="4" t="s">
        <v>42</v>
      </c>
      <c r="Q36" s="50" t="s">
        <v>43</v>
      </c>
      <c r="R36" s="50"/>
      <c r="S36" s="50" t="s">
        <v>423</v>
      </c>
      <c r="T36" s="4" t="s">
        <v>43</v>
      </c>
      <c r="U36" s="4" t="s">
        <v>43</v>
      </c>
      <c r="W36" s="48">
        <v>1</v>
      </c>
      <c r="X36" s="48">
        <v>1</v>
      </c>
      <c r="Y36" s="48">
        <v>4</v>
      </c>
      <c r="AD36" s="91">
        <f t="shared" si="1"/>
        <v>6</v>
      </c>
    </row>
    <row r="37" spans="3:30" hidden="1" x14ac:dyDescent="0.25">
      <c r="C37" s="87" t="s">
        <v>521</v>
      </c>
      <c r="D37" s="4" t="s">
        <v>522</v>
      </c>
      <c r="E37" s="4" t="s">
        <v>522</v>
      </c>
      <c r="F37" s="4">
        <v>6</v>
      </c>
      <c r="G37" s="4" t="s">
        <v>376</v>
      </c>
      <c r="H37" s="4" t="s">
        <v>46</v>
      </c>
      <c r="I37" s="4" t="s">
        <v>377</v>
      </c>
      <c r="J37" s="4" t="s">
        <v>100</v>
      </c>
      <c r="K37" s="4" t="s">
        <v>43</v>
      </c>
      <c r="L37" s="4" t="s">
        <v>138</v>
      </c>
      <c r="M37" s="4" t="s">
        <v>40</v>
      </c>
      <c r="N37" s="4" t="s">
        <v>514</v>
      </c>
      <c r="O37" s="4" t="s">
        <v>521</v>
      </c>
      <c r="P37" s="4" t="s">
        <v>42</v>
      </c>
      <c r="Q37" s="50" t="s">
        <v>43</v>
      </c>
      <c r="R37" s="50"/>
      <c r="S37" s="50" t="s">
        <v>515</v>
      </c>
      <c r="T37" s="4" t="s">
        <v>43</v>
      </c>
      <c r="U37" s="4" t="s">
        <v>43</v>
      </c>
      <c r="W37" s="48">
        <v>1</v>
      </c>
      <c r="X37" s="48">
        <v>1</v>
      </c>
      <c r="Y37" s="48">
        <v>4</v>
      </c>
      <c r="AD37" s="91">
        <f t="shared" si="1"/>
        <v>6</v>
      </c>
    </row>
    <row r="38" spans="3:30" hidden="1" x14ac:dyDescent="0.25">
      <c r="C38" s="87" t="s">
        <v>844</v>
      </c>
      <c r="D38" s="4" t="s">
        <v>845</v>
      </c>
      <c r="E38" s="4" t="s">
        <v>846</v>
      </c>
      <c r="F38" s="4">
        <v>6</v>
      </c>
      <c r="G38" s="4" t="s">
        <v>376</v>
      </c>
      <c r="H38" s="4" t="s">
        <v>46</v>
      </c>
      <c r="I38" s="4" t="s">
        <v>377</v>
      </c>
      <c r="J38" s="4" t="s">
        <v>132</v>
      </c>
      <c r="K38" s="4" t="s">
        <v>43</v>
      </c>
      <c r="L38" s="4" t="s">
        <v>138</v>
      </c>
      <c r="M38" s="4" t="s">
        <v>40</v>
      </c>
      <c r="N38" s="4" t="s">
        <v>514</v>
      </c>
      <c r="O38" s="4" t="s">
        <v>844</v>
      </c>
      <c r="P38" s="4" t="s">
        <v>42</v>
      </c>
      <c r="Q38" s="50" t="s">
        <v>43</v>
      </c>
      <c r="R38" s="50"/>
      <c r="S38" s="50" t="s">
        <v>847</v>
      </c>
      <c r="T38" s="4" t="s">
        <v>43</v>
      </c>
      <c r="U38" s="4" t="s">
        <v>43</v>
      </c>
      <c r="W38" s="48">
        <v>1</v>
      </c>
      <c r="X38" s="48">
        <v>1</v>
      </c>
      <c r="Y38" s="48">
        <v>4</v>
      </c>
      <c r="AD38" s="91">
        <f t="shared" si="1"/>
        <v>6</v>
      </c>
    </row>
    <row r="39" spans="3:30" hidden="1" x14ac:dyDescent="0.25">
      <c r="C39" s="87" t="s">
        <v>889</v>
      </c>
      <c r="D39" s="4" t="s">
        <v>890</v>
      </c>
      <c r="E39" s="4" t="s">
        <v>890</v>
      </c>
      <c r="F39" s="4">
        <v>6</v>
      </c>
      <c r="G39" s="4" t="s">
        <v>376</v>
      </c>
      <c r="H39" s="4" t="s">
        <v>46</v>
      </c>
      <c r="I39" s="4" t="s">
        <v>421</v>
      </c>
      <c r="J39" s="4" t="s">
        <v>73</v>
      </c>
      <c r="K39" s="4" t="s">
        <v>43</v>
      </c>
      <c r="L39" s="4" t="s">
        <v>97</v>
      </c>
      <c r="M39" s="4" t="s">
        <v>40</v>
      </c>
      <c r="N39" s="4" t="s">
        <v>514</v>
      </c>
      <c r="O39" s="4" t="s">
        <v>889</v>
      </c>
      <c r="P39" s="4" t="s">
        <v>42</v>
      </c>
      <c r="Q39" s="50" t="s">
        <v>43</v>
      </c>
      <c r="R39" s="50"/>
      <c r="S39" s="50" t="s">
        <v>886</v>
      </c>
      <c r="T39" s="4" t="s">
        <v>43</v>
      </c>
      <c r="U39" s="4" t="s">
        <v>43</v>
      </c>
      <c r="W39" s="48">
        <v>1</v>
      </c>
      <c r="X39" s="48">
        <v>1</v>
      </c>
      <c r="Y39" s="48">
        <v>4</v>
      </c>
      <c r="AD39" s="91">
        <f t="shared" si="1"/>
        <v>6</v>
      </c>
    </row>
    <row r="40" spans="3:30" hidden="1" x14ac:dyDescent="0.25">
      <c r="C40" s="87" t="s">
        <v>392</v>
      </c>
      <c r="D40" s="4" t="s">
        <v>393</v>
      </c>
      <c r="E40" s="4" t="s">
        <v>393</v>
      </c>
      <c r="F40" s="4">
        <v>5</v>
      </c>
      <c r="G40" s="4" t="s">
        <v>376</v>
      </c>
      <c r="H40" s="4" t="s">
        <v>46</v>
      </c>
      <c r="I40" s="4" t="s">
        <v>377</v>
      </c>
      <c r="J40" s="4" t="s">
        <v>63</v>
      </c>
      <c r="K40" s="4" t="s">
        <v>43</v>
      </c>
      <c r="L40" s="4" t="s">
        <v>138</v>
      </c>
      <c r="M40" s="4" t="s">
        <v>40</v>
      </c>
      <c r="N40" s="4" t="s">
        <v>378</v>
      </c>
      <c r="O40" s="4" t="s">
        <v>392</v>
      </c>
      <c r="P40" s="4" t="s">
        <v>42</v>
      </c>
      <c r="Q40" s="50" t="s">
        <v>43</v>
      </c>
      <c r="R40" s="50"/>
      <c r="S40" s="50" t="s">
        <v>380</v>
      </c>
      <c r="T40" s="4" t="s">
        <v>43</v>
      </c>
      <c r="U40" s="4" t="s">
        <v>43</v>
      </c>
      <c r="W40" s="48">
        <v>1</v>
      </c>
      <c r="X40" s="48">
        <v>1</v>
      </c>
      <c r="Y40" s="48">
        <v>3</v>
      </c>
      <c r="AD40" s="91">
        <f t="shared" si="1"/>
        <v>5</v>
      </c>
    </row>
    <row r="41" spans="3:30" hidden="1" x14ac:dyDescent="0.25">
      <c r="C41" s="87" t="s">
        <v>703</v>
      </c>
      <c r="D41" s="4" t="s">
        <v>704</v>
      </c>
      <c r="E41" s="4" t="s">
        <v>705</v>
      </c>
      <c r="F41" s="4">
        <v>5</v>
      </c>
      <c r="G41" s="4" t="s">
        <v>376</v>
      </c>
      <c r="H41" s="4" t="s">
        <v>46</v>
      </c>
      <c r="I41" s="4" t="s">
        <v>421</v>
      </c>
      <c r="J41" s="4" t="s">
        <v>84</v>
      </c>
      <c r="K41" s="4" t="s">
        <v>440</v>
      </c>
      <c r="L41" s="4" t="s">
        <v>706</v>
      </c>
      <c r="M41" s="4" t="s">
        <v>55</v>
      </c>
      <c r="N41" s="4" t="s">
        <v>653</v>
      </c>
      <c r="O41" s="4" t="s">
        <v>703</v>
      </c>
      <c r="P41" s="4" t="s">
        <v>42</v>
      </c>
      <c r="Q41" s="50" t="s">
        <v>43</v>
      </c>
      <c r="R41" s="50"/>
      <c r="S41" s="50" t="s">
        <v>702</v>
      </c>
      <c r="T41" s="4" t="s">
        <v>43</v>
      </c>
      <c r="U41" s="4" t="s">
        <v>43</v>
      </c>
      <c r="W41" s="48">
        <v>1</v>
      </c>
      <c r="X41" s="48">
        <v>2</v>
      </c>
      <c r="Y41" s="48">
        <v>2</v>
      </c>
      <c r="AD41" s="91">
        <f t="shared" si="1"/>
        <v>5</v>
      </c>
    </row>
    <row r="42" spans="3:30" hidden="1" x14ac:dyDescent="0.25">
      <c r="C42" s="87" t="s">
        <v>34</v>
      </c>
      <c r="D42" s="4" t="s">
        <v>35</v>
      </c>
      <c r="E42" s="4" t="s">
        <v>35</v>
      </c>
      <c r="F42" s="4" t="s">
        <v>36</v>
      </c>
      <c r="G42" s="4" t="s">
        <v>37</v>
      </c>
      <c r="H42" s="4" t="s">
        <v>38</v>
      </c>
      <c r="I42" s="4"/>
      <c r="J42" s="4">
        <v>0</v>
      </c>
      <c r="K42" s="4"/>
      <c r="L42" s="4" t="s">
        <v>39</v>
      </c>
      <c r="M42" s="4" t="s">
        <v>40</v>
      </c>
      <c r="N42" s="4" t="s">
        <v>41</v>
      </c>
      <c r="O42" s="4" t="s">
        <v>34</v>
      </c>
      <c r="P42" s="4" t="s">
        <v>42</v>
      </c>
      <c r="Q42" s="50" t="s">
        <v>43</v>
      </c>
      <c r="R42" s="50"/>
      <c r="S42" s="50">
        <v>0</v>
      </c>
      <c r="T42" s="4" t="s">
        <v>43</v>
      </c>
      <c r="U42" s="4" t="s">
        <v>43</v>
      </c>
      <c r="AD42" s="91">
        <f t="shared" si="1"/>
        <v>0</v>
      </c>
    </row>
    <row r="43" spans="3:30" hidden="1" x14ac:dyDescent="0.25">
      <c r="C43" s="87" t="s">
        <v>424</v>
      </c>
      <c r="D43" s="4" t="s">
        <v>425</v>
      </c>
      <c r="E43" s="4" t="s">
        <v>425</v>
      </c>
      <c r="F43" s="4">
        <v>6</v>
      </c>
      <c r="G43" s="4" t="s">
        <v>37</v>
      </c>
      <c r="H43" s="4" t="s">
        <v>46</v>
      </c>
      <c r="I43" s="4" t="s">
        <v>421</v>
      </c>
      <c r="J43" s="4" t="s">
        <v>94</v>
      </c>
      <c r="K43" s="4"/>
      <c r="L43" s="4" t="s">
        <v>64</v>
      </c>
      <c r="M43" s="4" t="s">
        <v>40</v>
      </c>
      <c r="N43" s="4" t="s">
        <v>41</v>
      </c>
      <c r="O43" s="4" t="s">
        <v>424</v>
      </c>
      <c r="P43" s="4" t="s">
        <v>42</v>
      </c>
      <c r="Q43" s="50" t="s">
        <v>43</v>
      </c>
      <c r="R43" s="50"/>
      <c r="S43" s="50" t="s">
        <v>423</v>
      </c>
      <c r="T43" s="4" t="s">
        <v>43</v>
      </c>
      <c r="U43" s="4" t="s">
        <v>43</v>
      </c>
      <c r="AD43" s="91">
        <f t="shared" si="1"/>
        <v>0</v>
      </c>
    </row>
    <row r="44" spans="3:30" hidden="1" x14ac:dyDescent="0.25">
      <c r="C44" s="87" t="s">
        <v>471</v>
      </c>
      <c r="D44" s="4" t="s">
        <v>472</v>
      </c>
      <c r="E44" s="4" t="s">
        <v>473</v>
      </c>
      <c r="F44" s="4">
        <v>5</v>
      </c>
      <c r="G44" s="4" t="s">
        <v>376</v>
      </c>
      <c r="H44" s="4" t="s">
        <v>46</v>
      </c>
      <c r="I44" s="4" t="s">
        <v>377</v>
      </c>
      <c r="J44" s="4" t="s">
        <v>466</v>
      </c>
      <c r="K44" s="4" t="s">
        <v>43</v>
      </c>
      <c r="L44" s="4" t="s">
        <v>51</v>
      </c>
      <c r="M44" s="4" t="s">
        <v>40</v>
      </c>
      <c r="N44" s="4" t="s">
        <v>378</v>
      </c>
      <c r="O44" s="4" t="s">
        <v>471</v>
      </c>
      <c r="P44" s="4" t="s">
        <v>42</v>
      </c>
      <c r="Q44" s="50" t="s">
        <v>43</v>
      </c>
      <c r="R44" s="50"/>
      <c r="S44" s="50" t="s">
        <v>467</v>
      </c>
      <c r="T44" s="4" t="s">
        <v>43</v>
      </c>
      <c r="U44" s="4" t="s">
        <v>43</v>
      </c>
      <c r="W44" s="48">
        <v>1</v>
      </c>
      <c r="X44" s="48">
        <v>2</v>
      </c>
      <c r="Y44" s="48">
        <v>2</v>
      </c>
      <c r="AD44" s="91">
        <f t="shared" si="1"/>
        <v>5</v>
      </c>
    </row>
    <row r="45" spans="3:30" hidden="1" x14ac:dyDescent="0.25">
      <c r="C45" s="87" t="s">
        <v>742</v>
      </c>
      <c r="D45" s="4" t="s">
        <v>743</v>
      </c>
      <c r="E45" s="51" t="s">
        <v>744</v>
      </c>
      <c r="F45" s="4">
        <v>6</v>
      </c>
      <c r="G45" s="4" t="s">
        <v>376</v>
      </c>
      <c r="H45" s="4" t="s">
        <v>46</v>
      </c>
      <c r="I45" s="4" t="s">
        <v>421</v>
      </c>
      <c r="J45" s="4" t="s">
        <v>84</v>
      </c>
      <c r="K45" s="4" t="s">
        <v>440</v>
      </c>
      <c r="L45" s="4" t="s">
        <v>54</v>
      </c>
      <c r="M45" s="4" t="s">
        <v>55</v>
      </c>
      <c r="N45" s="4" t="s">
        <v>653</v>
      </c>
      <c r="O45" s="4" t="s">
        <v>742</v>
      </c>
      <c r="P45" s="4" t="s">
        <v>42</v>
      </c>
      <c r="Q45" s="50" t="s">
        <v>43</v>
      </c>
      <c r="R45" s="50"/>
      <c r="S45" s="50" t="s">
        <v>741</v>
      </c>
      <c r="T45" s="4" t="s">
        <v>43</v>
      </c>
      <c r="U45" s="4" t="s">
        <v>43</v>
      </c>
      <c r="W45" s="48">
        <v>1</v>
      </c>
      <c r="X45" s="48">
        <v>2</v>
      </c>
      <c r="Y45" s="48">
        <v>3</v>
      </c>
      <c r="AD45" s="91">
        <f t="shared" si="1"/>
        <v>6</v>
      </c>
    </row>
    <row r="46" spans="3:30" hidden="1" x14ac:dyDescent="0.25">
      <c r="C46" s="87" t="s">
        <v>707</v>
      </c>
      <c r="D46" s="4" t="s">
        <v>706</v>
      </c>
      <c r="E46" s="4" t="s">
        <v>708</v>
      </c>
      <c r="F46" s="4">
        <v>5</v>
      </c>
      <c r="G46" s="4" t="s">
        <v>376</v>
      </c>
      <c r="H46" s="4" t="s">
        <v>46</v>
      </c>
      <c r="I46" s="4" t="s">
        <v>421</v>
      </c>
      <c r="J46" s="4" t="s">
        <v>84</v>
      </c>
      <c r="K46" s="4" t="s">
        <v>440</v>
      </c>
      <c r="L46" s="4" t="s">
        <v>706</v>
      </c>
      <c r="M46" s="4" t="s">
        <v>55</v>
      </c>
      <c r="N46" s="4" t="s">
        <v>653</v>
      </c>
      <c r="O46" s="4" t="s">
        <v>707</v>
      </c>
      <c r="P46" s="4" t="s">
        <v>42</v>
      </c>
      <c r="Q46" s="50" t="s">
        <v>43</v>
      </c>
      <c r="R46" s="50"/>
      <c r="S46" s="50" t="s">
        <v>702</v>
      </c>
      <c r="T46" s="4" t="s">
        <v>43</v>
      </c>
      <c r="U46" s="4" t="s">
        <v>43</v>
      </c>
      <c r="W46" s="48">
        <v>1</v>
      </c>
      <c r="X46" s="48">
        <v>2</v>
      </c>
      <c r="Y46" s="48">
        <v>2</v>
      </c>
      <c r="AD46" s="91">
        <f t="shared" si="1"/>
        <v>5</v>
      </c>
    </row>
    <row r="47" spans="3:30" hidden="1" x14ac:dyDescent="0.25">
      <c r="C47" s="87" t="s">
        <v>394</v>
      </c>
      <c r="D47" s="4" t="s">
        <v>395</v>
      </c>
      <c r="E47" s="4" t="s">
        <v>395</v>
      </c>
      <c r="F47" s="4">
        <v>6</v>
      </c>
      <c r="G47" s="4" t="s">
        <v>376</v>
      </c>
      <c r="H47" s="4" t="s">
        <v>46</v>
      </c>
      <c r="I47" s="4" t="s">
        <v>377</v>
      </c>
      <c r="J47" s="4" t="s">
        <v>63</v>
      </c>
      <c r="K47" s="4" t="s">
        <v>43</v>
      </c>
      <c r="L47" s="4" t="s">
        <v>138</v>
      </c>
      <c r="M47" s="4" t="s">
        <v>40</v>
      </c>
      <c r="N47" s="4" t="s">
        <v>378</v>
      </c>
      <c r="O47" s="4" t="s">
        <v>394</v>
      </c>
      <c r="P47" s="4" t="s">
        <v>42</v>
      </c>
      <c r="Q47" s="50" t="s">
        <v>43</v>
      </c>
      <c r="R47" s="50"/>
      <c r="S47" s="50" t="s">
        <v>380</v>
      </c>
      <c r="T47" s="4" t="s">
        <v>43</v>
      </c>
      <c r="U47" s="4" t="s">
        <v>43</v>
      </c>
      <c r="W47" s="48">
        <v>1</v>
      </c>
      <c r="X47" s="48">
        <v>1</v>
      </c>
      <c r="Y47" s="48">
        <v>4</v>
      </c>
      <c r="AD47" s="91">
        <f t="shared" si="1"/>
        <v>6</v>
      </c>
    </row>
    <row r="48" spans="3:30" hidden="1" x14ac:dyDescent="0.25">
      <c r="C48" s="87" t="s">
        <v>396</v>
      </c>
      <c r="D48" s="4" t="s">
        <v>397</v>
      </c>
      <c r="E48" s="4" t="s">
        <v>397</v>
      </c>
      <c r="F48" s="4">
        <v>6</v>
      </c>
      <c r="G48" s="4" t="s">
        <v>376</v>
      </c>
      <c r="H48" s="4" t="s">
        <v>46</v>
      </c>
      <c r="I48" s="4" t="s">
        <v>377</v>
      </c>
      <c r="J48" s="4" t="s">
        <v>63</v>
      </c>
      <c r="K48" s="4" t="s">
        <v>43</v>
      </c>
      <c r="L48" s="4" t="s">
        <v>138</v>
      </c>
      <c r="M48" s="4" t="s">
        <v>40</v>
      </c>
      <c r="N48" s="4" t="s">
        <v>378</v>
      </c>
      <c r="O48" s="4" t="s">
        <v>396</v>
      </c>
      <c r="P48" s="4" t="s">
        <v>42</v>
      </c>
      <c r="Q48" s="50" t="s">
        <v>43</v>
      </c>
      <c r="R48" s="50"/>
      <c r="S48" s="50" t="s">
        <v>380</v>
      </c>
      <c r="T48" s="4" t="s">
        <v>43</v>
      </c>
      <c r="U48" s="4" t="s">
        <v>43</v>
      </c>
      <c r="W48" s="48">
        <v>1</v>
      </c>
      <c r="X48" s="48">
        <v>1</v>
      </c>
      <c r="Y48" s="48">
        <v>4</v>
      </c>
      <c r="AD48" s="91">
        <f t="shared" si="1"/>
        <v>6</v>
      </c>
    </row>
    <row r="49" spans="3:30" hidden="1" x14ac:dyDescent="0.25">
      <c r="C49" s="87" t="s">
        <v>848</v>
      </c>
      <c r="D49" s="4" t="s">
        <v>849</v>
      </c>
      <c r="E49" s="4" t="s">
        <v>849</v>
      </c>
      <c r="F49" s="4">
        <v>8.34</v>
      </c>
      <c r="G49" s="4" t="s">
        <v>376</v>
      </c>
      <c r="H49" s="4" t="s">
        <v>46</v>
      </c>
      <c r="I49" s="4" t="s">
        <v>377</v>
      </c>
      <c r="J49" s="4" t="s">
        <v>132</v>
      </c>
      <c r="K49" s="4" t="s">
        <v>43</v>
      </c>
      <c r="L49" s="4" t="s">
        <v>138</v>
      </c>
      <c r="M49" s="4" t="s">
        <v>40</v>
      </c>
      <c r="N49" s="4" t="s">
        <v>514</v>
      </c>
      <c r="O49" s="4" t="s">
        <v>848</v>
      </c>
      <c r="P49" s="4" t="s">
        <v>379</v>
      </c>
      <c r="Q49" s="50" t="s">
        <v>43</v>
      </c>
      <c r="R49" s="50"/>
      <c r="S49" s="50" t="s">
        <v>847</v>
      </c>
      <c r="T49" s="4" t="s">
        <v>43</v>
      </c>
      <c r="U49" s="4" t="s">
        <v>43</v>
      </c>
      <c r="W49" s="48">
        <v>1</v>
      </c>
      <c r="X49" s="48">
        <v>2</v>
      </c>
      <c r="Y49" s="48">
        <v>5</v>
      </c>
      <c r="AC49" s="48">
        <v>1</v>
      </c>
      <c r="AD49" s="91">
        <f t="shared" si="1"/>
        <v>8.3409090909090917</v>
      </c>
    </row>
    <row r="50" spans="3:30" hidden="1" x14ac:dyDescent="0.25">
      <c r="C50" s="87" t="s">
        <v>936</v>
      </c>
      <c r="D50" s="4" t="s">
        <v>937</v>
      </c>
      <c r="E50" s="4" t="s">
        <v>938</v>
      </c>
      <c r="F50" s="47">
        <v>5.56</v>
      </c>
      <c r="G50" s="4" t="s">
        <v>376</v>
      </c>
      <c r="H50" s="4" t="s">
        <v>46</v>
      </c>
      <c r="I50" s="4" t="s">
        <v>377</v>
      </c>
      <c r="J50" s="4" t="s">
        <v>160</v>
      </c>
      <c r="K50" s="4" t="s">
        <v>43</v>
      </c>
      <c r="L50" s="4" t="s">
        <v>138</v>
      </c>
      <c r="M50" s="4" t="s">
        <v>40</v>
      </c>
      <c r="N50" s="4" t="s">
        <v>378</v>
      </c>
      <c r="O50" s="4" t="s">
        <v>936</v>
      </c>
      <c r="P50" s="4" t="s">
        <v>42</v>
      </c>
      <c r="Q50" s="72" t="s">
        <v>43</v>
      </c>
      <c r="R50" s="72"/>
      <c r="S50" s="50" t="s">
        <v>931</v>
      </c>
      <c r="T50" s="4" t="s">
        <v>43</v>
      </c>
      <c r="U50" s="4" t="s">
        <v>43</v>
      </c>
      <c r="W50" s="48">
        <v>1</v>
      </c>
      <c r="X50" s="48">
        <v>1</v>
      </c>
      <c r="Y50" s="48">
        <v>3</v>
      </c>
      <c r="AA50" s="94">
        <v>1</v>
      </c>
      <c r="AD50" s="94">
        <f t="shared" si="1"/>
        <v>5.5681818181818183</v>
      </c>
    </row>
    <row r="51" spans="3:30" x14ac:dyDescent="0.25">
      <c r="C51" s="87" t="s">
        <v>939</v>
      </c>
      <c r="D51" s="4" t="s">
        <v>39</v>
      </c>
      <c r="E51" s="4" t="s">
        <v>39</v>
      </c>
      <c r="F51" s="4">
        <v>10.130000000000001</v>
      </c>
      <c r="G51" s="4" t="s">
        <v>376</v>
      </c>
      <c r="H51" s="4" t="s">
        <v>46</v>
      </c>
      <c r="I51" s="4" t="s">
        <v>377</v>
      </c>
      <c r="J51" s="4" t="s">
        <v>160</v>
      </c>
      <c r="K51" s="4" t="s">
        <v>43</v>
      </c>
      <c r="L51" s="4" t="s">
        <v>39</v>
      </c>
      <c r="M51" s="4" t="s">
        <v>40</v>
      </c>
      <c r="N51" s="4" t="s">
        <v>378</v>
      </c>
      <c r="O51" s="4" t="s">
        <v>939</v>
      </c>
      <c r="P51" s="4" t="s">
        <v>379</v>
      </c>
      <c r="Q51" s="72" t="s">
        <v>43</v>
      </c>
      <c r="R51" s="72"/>
      <c r="S51" s="50" t="s">
        <v>931</v>
      </c>
      <c r="T51" s="4" t="s">
        <v>43</v>
      </c>
      <c r="U51" s="4" t="s">
        <v>43</v>
      </c>
      <c r="W51" s="48">
        <v>1</v>
      </c>
      <c r="X51" s="48">
        <v>2</v>
      </c>
      <c r="Y51" s="48">
        <v>6</v>
      </c>
      <c r="Z51" s="48">
        <v>1</v>
      </c>
      <c r="AB51" s="48">
        <v>1</v>
      </c>
      <c r="AD51" s="91">
        <f t="shared" si="1"/>
        <v>10.136363636363637</v>
      </c>
    </row>
    <row r="52" spans="3:30" hidden="1" x14ac:dyDescent="0.25">
      <c r="C52" s="87" t="s">
        <v>44</v>
      </c>
      <c r="D52" s="4" t="s">
        <v>45</v>
      </c>
      <c r="E52" s="4" t="s">
        <v>45</v>
      </c>
      <c r="F52" s="4" t="s">
        <v>36</v>
      </c>
      <c r="G52" s="4" t="s">
        <v>37</v>
      </c>
      <c r="H52" s="4" t="s">
        <v>46</v>
      </c>
      <c r="I52" s="4"/>
      <c r="J52" s="4">
        <v>0</v>
      </c>
      <c r="K52" s="4"/>
      <c r="L52" s="4" t="s">
        <v>47</v>
      </c>
      <c r="M52" s="4" t="s">
        <v>40</v>
      </c>
      <c r="N52" s="4" t="s">
        <v>41</v>
      </c>
      <c r="O52" s="4" t="s">
        <v>44</v>
      </c>
      <c r="P52" s="4" t="s">
        <v>42</v>
      </c>
      <c r="Q52" s="50" t="s">
        <v>43</v>
      </c>
      <c r="R52" s="50"/>
      <c r="S52" s="50">
        <v>0</v>
      </c>
      <c r="T52" s="4" t="s">
        <v>43</v>
      </c>
      <c r="U52" s="4" t="s">
        <v>43</v>
      </c>
      <c r="AD52" s="91">
        <f t="shared" si="1"/>
        <v>0</v>
      </c>
    </row>
    <row r="53" spans="3:30" hidden="1" x14ac:dyDescent="0.25">
      <c r="C53" s="87" t="s">
        <v>940</v>
      </c>
      <c r="D53" s="4" t="s">
        <v>941</v>
      </c>
      <c r="E53" s="4" t="s">
        <v>941</v>
      </c>
      <c r="F53" s="4">
        <v>10</v>
      </c>
      <c r="G53" s="4" t="s">
        <v>376</v>
      </c>
      <c r="H53" s="4" t="s">
        <v>46</v>
      </c>
      <c r="I53" s="4" t="s">
        <v>377</v>
      </c>
      <c r="J53" s="4" t="s">
        <v>160</v>
      </c>
      <c r="K53" s="4" t="s">
        <v>43</v>
      </c>
      <c r="L53" s="4" t="s">
        <v>371</v>
      </c>
      <c r="M53" s="4" t="s">
        <v>40</v>
      </c>
      <c r="N53" s="4" t="s">
        <v>378</v>
      </c>
      <c r="O53" s="4" t="s">
        <v>940</v>
      </c>
      <c r="P53" s="4" t="s">
        <v>379</v>
      </c>
      <c r="Q53" s="72" t="s">
        <v>43</v>
      </c>
      <c r="R53" s="72"/>
      <c r="S53" s="50" t="s">
        <v>931</v>
      </c>
      <c r="T53" s="4" t="s">
        <v>43</v>
      </c>
      <c r="U53" s="4" t="s">
        <v>43</v>
      </c>
      <c r="W53" s="48">
        <v>1</v>
      </c>
      <c r="X53" s="48">
        <v>2</v>
      </c>
      <c r="Y53" s="48">
        <v>7</v>
      </c>
      <c r="AD53" s="91">
        <f t="shared" si="1"/>
        <v>10</v>
      </c>
    </row>
    <row r="54" spans="3:30" hidden="1" x14ac:dyDescent="0.25">
      <c r="C54" s="87" t="s">
        <v>850</v>
      </c>
      <c r="D54" s="4" t="s">
        <v>851</v>
      </c>
      <c r="E54" s="4" t="s">
        <v>851</v>
      </c>
      <c r="F54" s="4">
        <v>6</v>
      </c>
      <c r="G54" s="4" t="s">
        <v>376</v>
      </c>
      <c r="H54" s="4" t="s">
        <v>46</v>
      </c>
      <c r="I54" s="4" t="s">
        <v>377</v>
      </c>
      <c r="J54" s="4" t="s">
        <v>132</v>
      </c>
      <c r="K54" s="4" t="s">
        <v>43</v>
      </c>
      <c r="L54" s="4" t="s">
        <v>138</v>
      </c>
      <c r="M54" s="4" t="s">
        <v>40</v>
      </c>
      <c r="N54" s="4" t="s">
        <v>514</v>
      </c>
      <c r="O54" s="4" t="s">
        <v>850</v>
      </c>
      <c r="P54" s="4" t="s">
        <v>42</v>
      </c>
      <c r="Q54" s="50" t="s">
        <v>43</v>
      </c>
      <c r="R54" s="50"/>
      <c r="S54" s="50" t="s">
        <v>847</v>
      </c>
      <c r="T54" s="4" t="s">
        <v>43</v>
      </c>
      <c r="U54" s="4" t="s">
        <v>43</v>
      </c>
      <c r="W54" s="48">
        <v>1</v>
      </c>
      <c r="X54" s="48">
        <v>1</v>
      </c>
      <c r="Y54" s="48">
        <v>4</v>
      </c>
      <c r="AD54" s="91">
        <f t="shared" si="1"/>
        <v>6</v>
      </c>
    </row>
    <row r="55" spans="3:30" hidden="1" x14ac:dyDescent="0.25">
      <c r="C55" s="87" t="s">
        <v>474</v>
      </c>
      <c r="D55" s="4" t="s">
        <v>475</v>
      </c>
      <c r="E55" s="4" t="s">
        <v>475</v>
      </c>
      <c r="F55" s="4">
        <v>6</v>
      </c>
      <c r="G55" s="4" t="s">
        <v>376</v>
      </c>
      <c r="H55" s="4" t="s">
        <v>46</v>
      </c>
      <c r="I55" s="4" t="s">
        <v>377</v>
      </c>
      <c r="J55" s="4" t="s">
        <v>466</v>
      </c>
      <c r="K55" s="4" t="s">
        <v>43</v>
      </c>
      <c r="L55" s="4" t="s">
        <v>51</v>
      </c>
      <c r="M55" s="4" t="s">
        <v>40</v>
      </c>
      <c r="N55" s="4" t="s">
        <v>378</v>
      </c>
      <c r="O55" s="4" t="s">
        <v>474</v>
      </c>
      <c r="P55" s="4" t="s">
        <v>42</v>
      </c>
      <c r="Q55" s="50" t="s">
        <v>43</v>
      </c>
      <c r="R55" s="50"/>
      <c r="S55" s="50" t="s">
        <v>467</v>
      </c>
      <c r="T55" s="4" t="s">
        <v>43</v>
      </c>
      <c r="U55" s="4" t="s">
        <v>43</v>
      </c>
      <c r="W55" s="48">
        <v>1</v>
      </c>
      <c r="X55" s="48">
        <v>1</v>
      </c>
      <c r="Y55" s="48">
        <v>4</v>
      </c>
      <c r="AD55" s="91">
        <f t="shared" si="1"/>
        <v>6</v>
      </c>
    </row>
    <row r="56" spans="3:30" hidden="1" x14ac:dyDescent="0.25">
      <c r="C56" s="87" t="s">
        <v>555</v>
      </c>
      <c r="D56" s="4" t="s">
        <v>556</v>
      </c>
      <c r="E56" s="4" t="s">
        <v>556</v>
      </c>
      <c r="F56" s="4">
        <v>5</v>
      </c>
      <c r="G56" s="4" t="s">
        <v>376</v>
      </c>
      <c r="H56" s="4" t="s">
        <v>46</v>
      </c>
      <c r="I56" s="4" t="s">
        <v>377</v>
      </c>
      <c r="J56" s="4" t="s">
        <v>331</v>
      </c>
      <c r="K56" s="4" t="s">
        <v>43</v>
      </c>
      <c r="L56" s="4" t="s">
        <v>138</v>
      </c>
      <c r="M56" s="4" t="s">
        <v>40</v>
      </c>
      <c r="N56" s="4" t="s">
        <v>422</v>
      </c>
      <c r="O56" s="4" t="s">
        <v>555</v>
      </c>
      <c r="P56" s="4" t="s">
        <v>42</v>
      </c>
      <c r="Q56" s="50" t="s">
        <v>43</v>
      </c>
      <c r="R56" s="50"/>
      <c r="S56" s="50" t="s">
        <v>557</v>
      </c>
      <c r="T56" s="4" t="s">
        <v>43</v>
      </c>
      <c r="U56" s="4" t="s">
        <v>43</v>
      </c>
      <c r="W56" s="48">
        <v>1</v>
      </c>
      <c r="X56" s="48">
        <v>1</v>
      </c>
      <c r="Y56" s="48">
        <v>3</v>
      </c>
      <c r="AD56" s="91">
        <f t="shared" si="1"/>
        <v>5</v>
      </c>
    </row>
    <row r="57" spans="3:30" hidden="1" x14ac:dyDescent="0.25">
      <c r="C57" s="87" t="s">
        <v>745</v>
      </c>
      <c r="D57" s="4" t="s">
        <v>746</v>
      </c>
      <c r="E57" s="4" t="s">
        <v>746</v>
      </c>
      <c r="F57" s="4">
        <v>9</v>
      </c>
      <c r="G57" s="4" t="s">
        <v>376</v>
      </c>
      <c r="H57" s="4" t="s">
        <v>46</v>
      </c>
      <c r="I57" s="4" t="s">
        <v>421</v>
      </c>
      <c r="J57" s="4" t="s">
        <v>84</v>
      </c>
      <c r="K57" s="4" t="s">
        <v>440</v>
      </c>
      <c r="L57" s="4" t="s">
        <v>279</v>
      </c>
      <c r="M57" s="4" t="s">
        <v>55</v>
      </c>
      <c r="N57" s="4" t="s">
        <v>653</v>
      </c>
      <c r="O57" s="4" t="s">
        <v>745</v>
      </c>
      <c r="P57" s="4" t="s">
        <v>379</v>
      </c>
      <c r="Q57" s="50" t="s">
        <v>43</v>
      </c>
      <c r="R57" s="50"/>
      <c r="S57" s="50" t="s">
        <v>741</v>
      </c>
      <c r="T57" s="4" t="s">
        <v>43</v>
      </c>
      <c r="U57" s="4" t="s">
        <v>43</v>
      </c>
      <c r="W57" s="48">
        <v>1</v>
      </c>
      <c r="X57" s="48">
        <v>2</v>
      </c>
      <c r="Y57" s="48">
        <v>6</v>
      </c>
      <c r="AD57" s="91">
        <f t="shared" si="1"/>
        <v>9</v>
      </c>
    </row>
    <row r="58" spans="3:30" hidden="1" x14ac:dyDescent="0.25">
      <c r="C58" s="87" t="s">
        <v>656</v>
      </c>
      <c r="D58" s="4" t="s">
        <v>657</v>
      </c>
      <c r="E58" s="4" t="s">
        <v>658</v>
      </c>
      <c r="F58" s="4">
        <v>5</v>
      </c>
      <c r="G58" s="4" t="s">
        <v>376</v>
      </c>
      <c r="H58" s="4" t="s">
        <v>46</v>
      </c>
      <c r="I58" s="4" t="s">
        <v>377</v>
      </c>
      <c r="J58" s="4" t="s">
        <v>248</v>
      </c>
      <c r="K58" s="4" t="s">
        <v>43</v>
      </c>
      <c r="L58" s="4" t="s">
        <v>51</v>
      </c>
      <c r="M58" s="4" t="s">
        <v>40</v>
      </c>
      <c r="N58" s="4" t="s">
        <v>653</v>
      </c>
      <c r="O58" s="4" t="s">
        <v>656</v>
      </c>
      <c r="P58" s="4" t="s">
        <v>42</v>
      </c>
      <c r="Q58" s="50" t="s">
        <v>43</v>
      </c>
      <c r="R58" s="50"/>
      <c r="S58" s="50" t="s">
        <v>51</v>
      </c>
      <c r="T58" s="4" t="s">
        <v>43</v>
      </c>
      <c r="U58" s="4" t="s">
        <v>43</v>
      </c>
      <c r="W58" s="48">
        <v>1</v>
      </c>
      <c r="X58" s="48">
        <v>1</v>
      </c>
      <c r="Y58" s="48">
        <v>3</v>
      </c>
      <c r="AD58" s="91">
        <f t="shared" si="1"/>
        <v>5</v>
      </c>
    </row>
    <row r="59" spans="3:30" hidden="1" x14ac:dyDescent="0.25">
      <c r="C59" s="87" t="s">
        <v>523</v>
      </c>
      <c r="D59" s="4" t="s">
        <v>524</v>
      </c>
      <c r="E59" s="4" t="s">
        <v>524</v>
      </c>
      <c r="F59" s="4">
        <v>6</v>
      </c>
      <c r="G59" s="4" t="s">
        <v>376</v>
      </c>
      <c r="H59" s="4" t="s">
        <v>46</v>
      </c>
      <c r="I59" s="4" t="s">
        <v>377</v>
      </c>
      <c r="J59" s="4" t="s">
        <v>100</v>
      </c>
      <c r="K59" s="4" t="s">
        <v>43</v>
      </c>
      <c r="L59" s="4" t="s">
        <v>138</v>
      </c>
      <c r="M59" s="4" t="s">
        <v>40</v>
      </c>
      <c r="N59" s="4" t="s">
        <v>514</v>
      </c>
      <c r="O59" s="4" t="s">
        <v>523</v>
      </c>
      <c r="P59" s="4" t="s">
        <v>42</v>
      </c>
      <c r="Q59" s="50" t="s">
        <v>43</v>
      </c>
      <c r="R59" s="50"/>
      <c r="S59" s="50" t="s">
        <v>515</v>
      </c>
      <c r="T59" s="4" t="s">
        <v>43</v>
      </c>
      <c r="U59" s="4" t="s">
        <v>43</v>
      </c>
      <c r="W59" s="48">
        <v>1</v>
      </c>
      <c r="X59" s="48">
        <v>1</v>
      </c>
      <c r="Y59" s="48">
        <v>4</v>
      </c>
      <c r="AD59" s="91">
        <f t="shared" si="1"/>
        <v>6</v>
      </c>
    </row>
    <row r="60" spans="3:30" x14ac:dyDescent="0.25">
      <c r="C60" s="87" t="s">
        <v>476</v>
      </c>
      <c r="D60" s="4" t="s">
        <v>477</v>
      </c>
      <c r="E60" s="4" t="s">
        <v>477</v>
      </c>
      <c r="F60" s="4">
        <v>7.68</v>
      </c>
      <c r="G60" s="4" t="s">
        <v>376</v>
      </c>
      <c r="H60" s="4" t="s">
        <v>46</v>
      </c>
      <c r="I60" s="4" t="s">
        <v>377</v>
      </c>
      <c r="J60" s="4" t="s">
        <v>466</v>
      </c>
      <c r="K60" s="4" t="s">
        <v>43</v>
      </c>
      <c r="L60" s="4" t="s">
        <v>51</v>
      </c>
      <c r="M60" s="4" t="s">
        <v>40</v>
      </c>
      <c r="N60" s="4" t="s">
        <v>378</v>
      </c>
      <c r="O60" s="4" t="s">
        <v>476</v>
      </c>
      <c r="P60" s="4" t="s">
        <v>379</v>
      </c>
      <c r="Q60" s="50" t="s">
        <v>43</v>
      </c>
      <c r="R60" s="50"/>
      <c r="S60" s="50" t="s">
        <v>467</v>
      </c>
      <c r="T60" s="4" t="s">
        <v>43</v>
      </c>
      <c r="U60" s="4" t="s">
        <v>43</v>
      </c>
      <c r="W60" s="48">
        <v>1</v>
      </c>
      <c r="X60" s="48">
        <v>2</v>
      </c>
      <c r="Y60" s="48">
        <v>4</v>
      </c>
      <c r="Z60" s="48">
        <v>1</v>
      </c>
      <c r="AD60" s="91">
        <f t="shared" si="1"/>
        <v>7.6818181818181817</v>
      </c>
    </row>
    <row r="61" spans="3:30" hidden="1" x14ac:dyDescent="0.25">
      <c r="C61" s="87" t="s">
        <v>659</v>
      </c>
      <c r="D61" s="4" t="s">
        <v>660</v>
      </c>
      <c r="E61" s="4" t="s">
        <v>661</v>
      </c>
      <c r="F61" s="4">
        <v>6</v>
      </c>
      <c r="G61" s="4" t="s">
        <v>376</v>
      </c>
      <c r="H61" s="4" t="s">
        <v>46</v>
      </c>
      <c r="I61" s="4" t="s">
        <v>377</v>
      </c>
      <c r="J61" s="4" t="s">
        <v>248</v>
      </c>
      <c r="K61" s="4" t="s">
        <v>43</v>
      </c>
      <c r="L61" s="4" t="s">
        <v>51</v>
      </c>
      <c r="M61" s="4" t="s">
        <v>40</v>
      </c>
      <c r="N61" s="4" t="s">
        <v>653</v>
      </c>
      <c r="O61" s="4" t="s">
        <v>659</v>
      </c>
      <c r="P61" s="4" t="s">
        <v>42</v>
      </c>
      <c r="Q61" s="50" t="s">
        <v>43</v>
      </c>
      <c r="R61" s="50"/>
      <c r="S61" s="50" t="s">
        <v>51</v>
      </c>
      <c r="T61" s="4" t="s">
        <v>43</v>
      </c>
      <c r="U61" s="4" t="s">
        <v>43</v>
      </c>
      <c r="W61" s="48">
        <v>1</v>
      </c>
      <c r="X61" s="48">
        <v>1</v>
      </c>
      <c r="Y61" s="48">
        <v>4</v>
      </c>
      <c r="AD61" s="91">
        <f t="shared" si="1"/>
        <v>6</v>
      </c>
    </row>
    <row r="62" spans="3:30" hidden="1" x14ac:dyDescent="0.25">
      <c r="C62" s="87" t="s">
        <v>610</v>
      </c>
      <c r="D62" s="4" t="s">
        <v>611</v>
      </c>
      <c r="E62" s="4" t="s">
        <v>611</v>
      </c>
      <c r="F62" s="93">
        <v>5</v>
      </c>
      <c r="G62" s="4" t="s">
        <v>376</v>
      </c>
      <c r="H62" s="4" t="s">
        <v>81</v>
      </c>
      <c r="I62" s="4" t="s">
        <v>421</v>
      </c>
      <c r="J62" s="4" t="s">
        <v>50</v>
      </c>
      <c r="K62" s="4" t="s">
        <v>43</v>
      </c>
      <c r="L62" s="4" t="s">
        <v>59</v>
      </c>
      <c r="M62" s="4" t="s">
        <v>40</v>
      </c>
      <c r="N62" s="4" t="s">
        <v>422</v>
      </c>
      <c r="O62" s="4" t="s">
        <v>610</v>
      </c>
      <c r="P62" s="4" t="s">
        <v>42</v>
      </c>
      <c r="Q62" s="50" t="s">
        <v>43</v>
      </c>
      <c r="R62" s="50"/>
      <c r="S62" s="50" t="s">
        <v>597</v>
      </c>
      <c r="T62" s="4" t="s">
        <v>43</v>
      </c>
      <c r="U62" s="4" t="s">
        <v>43</v>
      </c>
      <c r="W62" s="48">
        <v>1</v>
      </c>
      <c r="X62" s="48">
        <v>1</v>
      </c>
      <c r="Y62" s="48">
        <v>3</v>
      </c>
      <c r="AD62" s="91">
        <f t="shared" si="1"/>
        <v>5</v>
      </c>
    </row>
    <row r="63" spans="3:30" hidden="1" x14ac:dyDescent="0.25">
      <c r="C63" s="87" t="s">
        <v>398</v>
      </c>
      <c r="D63" s="4" t="s">
        <v>399</v>
      </c>
      <c r="E63" s="4" t="s">
        <v>399</v>
      </c>
      <c r="F63" s="4">
        <v>5</v>
      </c>
      <c r="G63" s="4" t="s">
        <v>376</v>
      </c>
      <c r="H63" s="4" t="s">
        <v>46</v>
      </c>
      <c r="I63" s="4" t="s">
        <v>377</v>
      </c>
      <c r="J63" s="4" t="s">
        <v>63</v>
      </c>
      <c r="K63" s="4" t="s">
        <v>43</v>
      </c>
      <c r="L63" s="4" t="s">
        <v>138</v>
      </c>
      <c r="M63" s="4" t="s">
        <v>40</v>
      </c>
      <c r="N63" s="4" t="s">
        <v>378</v>
      </c>
      <c r="O63" s="4" t="s">
        <v>398</v>
      </c>
      <c r="P63" s="4" t="s">
        <v>42</v>
      </c>
      <c r="Q63" s="50" t="s">
        <v>43</v>
      </c>
      <c r="R63" s="50"/>
      <c r="S63" s="50" t="s">
        <v>380</v>
      </c>
      <c r="T63" s="4" t="s">
        <v>43</v>
      </c>
      <c r="U63" s="4" t="s">
        <v>43</v>
      </c>
      <c r="W63" s="48">
        <v>1</v>
      </c>
      <c r="X63" s="48">
        <v>1</v>
      </c>
      <c r="Y63" s="48">
        <v>3</v>
      </c>
      <c r="AD63" s="91">
        <f t="shared" si="1"/>
        <v>5</v>
      </c>
    </row>
    <row r="64" spans="3:30" hidden="1" x14ac:dyDescent="0.25">
      <c r="C64" s="87" t="s">
        <v>612</v>
      </c>
      <c r="D64" s="4" t="s">
        <v>613</v>
      </c>
      <c r="E64" s="4" t="s">
        <v>613</v>
      </c>
      <c r="F64" s="93">
        <v>5</v>
      </c>
      <c r="G64" s="4" t="s">
        <v>376</v>
      </c>
      <c r="H64" s="4" t="s">
        <v>81</v>
      </c>
      <c r="I64" s="4" t="s">
        <v>421</v>
      </c>
      <c r="J64" s="4" t="s">
        <v>50</v>
      </c>
      <c r="K64" s="4" t="s">
        <v>43</v>
      </c>
      <c r="L64" s="4" t="s">
        <v>364</v>
      </c>
      <c r="M64" s="4" t="s">
        <v>40</v>
      </c>
      <c r="N64" s="4" t="s">
        <v>422</v>
      </c>
      <c r="O64" s="4" t="s">
        <v>612</v>
      </c>
      <c r="P64" s="4" t="s">
        <v>42</v>
      </c>
      <c r="Q64" s="50" t="s">
        <v>43</v>
      </c>
      <c r="R64" s="50"/>
      <c r="S64" s="50" t="s">
        <v>597</v>
      </c>
      <c r="T64" s="82" t="s">
        <v>440</v>
      </c>
      <c r="U64" s="4" t="s">
        <v>43</v>
      </c>
      <c r="W64" s="48">
        <v>1</v>
      </c>
      <c r="X64" s="48">
        <v>1</v>
      </c>
      <c r="Y64" s="48">
        <v>3</v>
      </c>
      <c r="AD64" s="91">
        <f t="shared" si="1"/>
        <v>5</v>
      </c>
    </row>
    <row r="65" spans="3:30" hidden="1" x14ac:dyDescent="0.25">
      <c r="C65" s="87" t="s">
        <v>558</v>
      </c>
      <c r="D65" s="4" t="s">
        <v>559</v>
      </c>
      <c r="E65" s="4" t="s">
        <v>560</v>
      </c>
      <c r="F65" s="4">
        <v>6</v>
      </c>
      <c r="G65" s="4" t="s">
        <v>376</v>
      </c>
      <c r="H65" s="4" t="s">
        <v>46</v>
      </c>
      <c r="I65" s="4" t="s">
        <v>377</v>
      </c>
      <c r="J65" s="4" t="s">
        <v>331</v>
      </c>
      <c r="K65" s="4" t="s">
        <v>43</v>
      </c>
      <c r="L65" s="4" t="s">
        <v>138</v>
      </c>
      <c r="M65" s="4" t="s">
        <v>40</v>
      </c>
      <c r="N65" s="4" t="s">
        <v>422</v>
      </c>
      <c r="O65" s="4" t="s">
        <v>558</v>
      </c>
      <c r="P65" s="4" t="s">
        <v>42</v>
      </c>
      <c r="Q65" s="50" t="s">
        <v>43</v>
      </c>
      <c r="R65" s="50"/>
      <c r="S65" s="50" t="s">
        <v>557</v>
      </c>
      <c r="T65" s="4" t="s">
        <v>43</v>
      </c>
      <c r="U65" s="4" t="s">
        <v>43</v>
      </c>
      <c r="W65" s="48">
        <v>1</v>
      </c>
      <c r="X65" s="48">
        <v>2</v>
      </c>
      <c r="Y65" s="48">
        <v>3</v>
      </c>
      <c r="AD65" s="91">
        <f t="shared" si="1"/>
        <v>6</v>
      </c>
    </row>
    <row r="66" spans="3:30" hidden="1" x14ac:dyDescent="0.25">
      <c r="C66" s="87" t="s">
        <v>561</v>
      </c>
      <c r="D66" s="4" t="s">
        <v>562</v>
      </c>
      <c r="E66" s="4" t="s">
        <v>563</v>
      </c>
      <c r="F66" s="4">
        <v>6</v>
      </c>
      <c r="G66" s="4" t="s">
        <v>376</v>
      </c>
      <c r="H66" s="4" t="s">
        <v>46</v>
      </c>
      <c r="I66" s="4" t="s">
        <v>377</v>
      </c>
      <c r="J66" s="4" t="s">
        <v>331</v>
      </c>
      <c r="K66" s="4" t="s">
        <v>43</v>
      </c>
      <c r="L66" s="4" t="s">
        <v>138</v>
      </c>
      <c r="M66" s="4" t="s">
        <v>40</v>
      </c>
      <c r="N66" s="4" t="s">
        <v>422</v>
      </c>
      <c r="O66" s="4" t="s">
        <v>561</v>
      </c>
      <c r="P66" s="4" t="s">
        <v>42</v>
      </c>
      <c r="Q66" s="50" t="s">
        <v>43</v>
      </c>
      <c r="R66" s="50"/>
      <c r="S66" s="50" t="s">
        <v>557</v>
      </c>
      <c r="T66" s="4" t="s">
        <v>43</v>
      </c>
      <c r="U66" s="4" t="s">
        <v>43</v>
      </c>
      <c r="W66" s="48">
        <v>1</v>
      </c>
      <c r="X66" s="48">
        <v>1</v>
      </c>
      <c r="Y66" s="48">
        <v>4</v>
      </c>
      <c r="AD66" s="91">
        <f t="shared" si="1"/>
        <v>6</v>
      </c>
    </row>
    <row r="67" spans="3:30" hidden="1" x14ac:dyDescent="0.25">
      <c r="C67" s="87" t="s">
        <v>478</v>
      </c>
      <c r="D67" s="4" t="s">
        <v>479</v>
      </c>
      <c r="E67" s="4" t="s">
        <v>479</v>
      </c>
      <c r="F67" s="4">
        <v>5</v>
      </c>
      <c r="G67" s="4" t="s">
        <v>376</v>
      </c>
      <c r="H67" s="4" t="s">
        <v>46</v>
      </c>
      <c r="I67" s="4" t="s">
        <v>377</v>
      </c>
      <c r="J67" s="4" t="s">
        <v>466</v>
      </c>
      <c r="K67" s="4" t="s">
        <v>43</v>
      </c>
      <c r="L67" s="4" t="s">
        <v>51</v>
      </c>
      <c r="M67" s="4" t="s">
        <v>40</v>
      </c>
      <c r="N67" s="4" t="s">
        <v>378</v>
      </c>
      <c r="O67" s="4" t="s">
        <v>478</v>
      </c>
      <c r="P67" s="4" t="s">
        <v>42</v>
      </c>
      <c r="Q67" s="50" t="s">
        <v>43</v>
      </c>
      <c r="R67" s="50"/>
      <c r="S67" s="50" t="s">
        <v>467</v>
      </c>
      <c r="T67" s="4" t="s">
        <v>43</v>
      </c>
      <c r="U67" s="4" t="s">
        <v>43</v>
      </c>
      <c r="W67" s="48">
        <v>1</v>
      </c>
      <c r="X67" s="48">
        <v>1</v>
      </c>
      <c r="Y67" s="48">
        <v>3</v>
      </c>
      <c r="AD67" s="91">
        <f t="shared" si="1"/>
        <v>5</v>
      </c>
    </row>
    <row r="68" spans="3:30" hidden="1" x14ac:dyDescent="0.25">
      <c r="C68" s="87" t="s">
        <v>852</v>
      </c>
      <c r="D68" s="4" t="s">
        <v>853</v>
      </c>
      <c r="E68" s="4" t="s">
        <v>853</v>
      </c>
      <c r="F68" s="4">
        <v>5</v>
      </c>
      <c r="G68" s="4" t="s">
        <v>376</v>
      </c>
      <c r="H68" s="4" t="s">
        <v>46</v>
      </c>
      <c r="I68" s="4" t="s">
        <v>377</v>
      </c>
      <c r="J68" s="4" t="s">
        <v>132</v>
      </c>
      <c r="K68" s="4" t="s">
        <v>43</v>
      </c>
      <c r="L68" s="4" t="s">
        <v>138</v>
      </c>
      <c r="M68" s="4" t="s">
        <v>40</v>
      </c>
      <c r="N68" s="4" t="s">
        <v>514</v>
      </c>
      <c r="O68" s="4" t="s">
        <v>852</v>
      </c>
      <c r="P68" s="4" t="s">
        <v>42</v>
      </c>
      <c r="Q68" s="50" t="s">
        <v>43</v>
      </c>
      <c r="R68" s="50"/>
      <c r="S68" s="50" t="s">
        <v>847</v>
      </c>
      <c r="T68" s="4" t="s">
        <v>43</v>
      </c>
      <c r="U68" s="4" t="s">
        <v>43</v>
      </c>
      <c r="W68" s="48">
        <v>1</v>
      </c>
      <c r="X68" s="48">
        <v>1</v>
      </c>
      <c r="Y68" s="48">
        <v>3</v>
      </c>
      <c r="AD68" s="91">
        <f t="shared" si="1"/>
        <v>5</v>
      </c>
    </row>
    <row r="69" spans="3:30" hidden="1" x14ac:dyDescent="0.25">
      <c r="C69" s="87" t="s">
        <v>426</v>
      </c>
      <c r="D69" s="4" t="s">
        <v>427</v>
      </c>
      <c r="E69" s="4" t="s">
        <v>428</v>
      </c>
      <c r="F69" s="4">
        <v>5</v>
      </c>
      <c r="G69" s="4" t="s">
        <v>376</v>
      </c>
      <c r="H69" s="4" t="s">
        <v>46</v>
      </c>
      <c r="I69" s="4" t="s">
        <v>421</v>
      </c>
      <c r="J69" s="4" t="s">
        <v>94</v>
      </c>
      <c r="K69" s="4" t="s">
        <v>43</v>
      </c>
      <c r="L69" s="4" t="s">
        <v>64</v>
      </c>
      <c r="M69" s="4" t="s">
        <v>40</v>
      </c>
      <c r="N69" s="4" t="s">
        <v>422</v>
      </c>
      <c r="O69" s="4" t="s">
        <v>426</v>
      </c>
      <c r="P69" s="4" t="s">
        <v>42</v>
      </c>
      <c r="Q69" s="50" t="s">
        <v>43</v>
      </c>
      <c r="R69" s="50"/>
      <c r="S69" s="50" t="s">
        <v>423</v>
      </c>
      <c r="T69" s="4" t="s">
        <v>43</v>
      </c>
      <c r="U69" s="4" t="s">
        <v>43</v>
      </c>
      <c r="W69" s="48">
        <v>1</v>
      </c>
      <c r="X69" s="48">
        <v>2</v>
      </c>
      <c r="Y69" s="48">
        <v>2</v>
      </c>
      <c r="AD69" s="91">
        <f t="shared" si="1"/>
        <v>5</v>
      </c>
    </row>
    <row r="70" spans="3:30" hidden="1" x14ac:dyDescent="0.25">
      <c r="C70" s="87" t="s">
        <v>769</v>
      </c>
      <c r="D70" s="4" t="s">
        <v>770</v>
      </c>
      <c r="E70" s="4" t="s">
        <v>771</v>
      </c>
      <c r="F70" s="4">
        <v>5.07</v>
      </c>
      <c r="G70" s="4" t="s">
        <v>376</v>
      </c>
      <c r="H70" s="4" t="s">
        <v>46</v>
      </c>
      <c r="I70" s="4" t="s">
        <v>421</v>
      </c>
      <c r="J70" s="4" t="s">
        <v>89</v>
      </c>
      <c r="K70" s="4"/>
      <c r="L70" s="4" t="s">
        <v>109</v>
      </c>
      <c r="M70" s="4" t="s">
        <v>91</v>
      </c>
      <c r="N70" s="4" t="s">
        <v>378</v>
      </c>
      <c r="O70" s="4" t="s">
        <v>769</v>
      </c>
      <c r="P70" s="4" t="s">
        <v>42</v>
      </c>
      <c r="Q70" s="50" t="s">
        <v>43</v>
      </c>
      <c r="R70" s="50"/>
      <c r="S70" s="50" t="s">
        <v>772</v>
      </c>
      <c r="T70" s="4" t="s">
        <v>43</v>
      </c>
      <c r="U70" s="4" t="s">
        <v>43</v>
      </c>
      <c r="W70" s="48">
        <v>1</v>
      </c>
      <c r="X70" s="48">
        <v>1</v>
      </c>
      <c r="AA70" s="48">
        <v>3</v>
      </c>
      <c r="AC70" s="48">
        <v>4</v>
      </c>
      <c r="AD70" s="91">
        <f t="shared" si="1"/>
        <v>5.0681818181818183</v>
      </c>
    </row>
    <row r="71" spans="3:30" hidden="1" x14ac:dyDescent="0.25">
      <c r="C71" s="87" t="s">
        <v>942</v>
      </c>
      <c r="D71" s="4" t="s">
        <v>943</v>
      </c>
      <c r="E71" s="4" t="s">
        <v>944</v>
      </c>
      <c r="F71" s="93">
        <v>5.6</v>
      </c>
      <c r="G71" s="4" t="s">
        <v>376</v>
      </c>
      <c r="H71" s="4" t="s">
        <v>46</v>
      </c>
      <c r="I71" s="4" t="s">
        <v>377</v>
      </c>
      <c r="J71" s="4" t="s">
        <v>160</v>
      </c>
      <c r="K71" s="4" t="s">
        <v>43</v>
      </c>
      <c r="L71" s="4" t="s">
        <v>371</v>
      </c>
      <c r="M71" s="4" t="s">
        <v>40</v>
      </c>
      <c r="N71" s="4" t="s">
        <v>378</v>
      </c>
      <c r="O71" s="4" t="s">
        <v>942</v>
      </c>
      <c r="P71" s="4" t="s">
        <v>42</v>
      </c>
      <c r="Q71" s="72" t="s">
        <v>43</v>
      </c>
      <c r="R71" s="72"/>
      <c r="S71" s="50" t="s">
        <v>931</v>
      </c>
      <c r="T71" s="4" t="s">
        <v>43</v>
      </c>
      <c r="U71" s="4" t="s">
        <v>43</v>
      </c>
      <c r="W71" s="48">
        <v>1</v>
      </c>
      <c r="X71" s="48">
        <v>1</v>
      </c>
      <c r="AA71" s="48">
        <v>4</v>
      </c>
      <c r="AC71" s="48">
        <v>4</v>
      </c>
      <c r="AD71" s="91">
        <f t="shared" si="1"/>
        <v>5.6363636363636367</v>
      </c>
    </row>
    <row r="72" spans="3:30" x14ac:dyDescent="0.25">
      <c r="C72" s="87" t="s">
        <v>525</v>
      </c>
      <c r="D72" s="4" t="s">
        <v>526</v>
      </c>
      <c r="E72" s="4" t="s">
        <v>527</v>
      </c>
      <c r="F72" s="4">
        <v>7.68</v>
      </c>
      <c r="G72" s="4" t="s">
        <v>376</v>
      </c>
      <c r="H72" s="4" t="s">
        <v>46</v>
      </c>
      <c r="I72" s="4" t="s">
        <v>377</v>
      </c>
      <c r="J72" s="4" t="s">
        <v>100</v>
      </c>
      <c r="K72" s="4" t="s">
        <v>43</v>
      </c>
      <c r="L72" s="4" t="s">
        <v>138</v>
      </c>
      <c r="M72" s="4" t="s">
        <v>40</v>
      </c>
      <c r="N72" s="4" t="s">
        <v>514</v>
      </c>
      <c r="O72" s="4" t="s">
        <v>525</v>
      </c>
      <c r="P72" s="4" t="s">
        <v>379</v>
      </c>
      <c r="Q72" s="50" t="s">
        <v>43</v>
      </c>
      <c r="R72" s="50"/>
      <c r="S72" s="50" t="s">
        <v>515</v>
      </c>
      <c r="T72" s="4" t="s">
        <v>43</v>
      </c>
      <c r="U72" s="4" t="s">
        <v>43</v>
      </c>
      <c r="W72" s="48">
        <v>1</v>
      </c>
      <c r="X72" s="48">
        <v>2</v>
      </c>
      <c r="Y72" s="48">
        <v>4</v>
      </c>
      <c r="Z72" s="48">
        <v>1</v>
      </c>
      <c r="AD72" s="91">
        <f t="shared" si="1"/>
        <v>7.6818181818181817</v>
      </c>
    </row>
    <row r="73" spans="3:30" hidden="1" x14ac:dyDescent="0.25">
      <c r="C73" s="87" t="s">
        <v>48</v>
      </c>
      <c r="D73" s="4" t="s">
        <v>49</v>
      </c>
      <c r="E73" s="4" t="s">
        <v>49</v>
      </c>
      <c r="F73" s="4" t="s">
        <v>36</v>
      </c>
      <c r="G73" s="4" t="s">
        <v>37</v>
      </c>
      <c r="H73" s="4" t="s">
        <v>38</v>
      </c>
      <c r="I73" s="4"/>
      <c r="J73" s="4" t="s">
        <v>50</v>
      </c>
      <c r="K73" s="4"/>
      <c r="L73" s="4" t="s">
        <v>51</v>
      </c>
      <c r="M73" s="4" t="s">
        <v>40</v>
      </c>
      <c r="N73" s="4" t="s">
        <v>41</v>
      </c>
      <c r="O73" s="4" t="s">
        <v>48</v>
      </c>
      <c r="P73" s="4" t="s">
        <v>42</v>
      </c>
      <c r="Q73" s="50" t="s">
        <v>43</v>
      </c>
      <c r="R73" s="50"/>
      <c r="S73" s="50">
        <v>0</v>
      </c>
      <c r="T73" s="4" t="s">
        <v>43</v>
      </c>
      <c r="U73" s="4" t="s">
        <v>43</v>
      </c>
      <c r="AD73" s="91">
        <f t="shared" ref="AD73:AD136" si="2">SUMPRODUCT($W$6:$AC$6,W73:AC73)</f>
        <v>0</v>
      </c>
    </row>
    <row r="74" spans="3:30" hidden="1" x14ac:dyDescent="0.25">
      <c r="C74" s="87" t="s">
        <v>52</v>
      </c>
      <c r="D74" s="4" t="s">
        <v>53</v>
      </c>
      <c r="E74" s="4" t="s">
        <v>53</v>
      </c>
      <c r="F74" s="4" t="s">
        <v>36</v>
      </c>
      <c r="G74" s="4" t="s">
        <v>37</v>
      </c>
      <c r="H74" s="4" t="s">
        <v>38</v>
      </c>
      <c r="I74" s="4"/>
      <c r="J74" s="4">
        <v>0</v>
      </c>
      <c r="K74" s="4"/>
      <c r="L74" s="4" t="s">
        <v>54</v>
      </c>
      <c r="M74" s="4" t="s">
        <v>55</v>
      </c>
      <c r="N74" s="4" t="s">
        <v>41</v>
      </c>
      <c r="O74" s="4" t="s">
        <v>52</v>
      </c>
      <c r="P74" s="4" t="s">
        <v>42</v>
      </c>
      <c r="Q74" s="50" t="s">
        <v>43</v>
      </c>
      <c r="R74" s="50"/>
      <c r="S74" s="50">
        <v>0</v>
      </c>
      <c r="T74" s="4" t="s">
        <v>43</v>
      </c>
      <c r="U74" s="4" t="s">
        <v>43</v>
      </c>
      <c r="AD74" s="91">
        <f t="shared" si="2"/>
        <v>0</v>
      </c>
    </row>
    <row r="75" spans="3:30" x14ac:dyDescent="0.25">
      <c r="C75" s="87" t="s">
        <v>528</v>
      </c>
      <c r="D75" s="4" t="s">
        <v>529</v>
      </c>
      <c r="E75" s="4" t="s">
        <v>530</v>
      </c>
      <c r="F75" s="4">
        <v>6.28</v>
      </c>
      <c r="G75" s="4" t="s">
        <v>376</v>
      </c>
      <c r="H75" s="4" t="s">
        <v>46</v>
      </c>
      <c r="I75" s="4" t="s">
        <v>377</v>
      </c>
      <c r="J75" s="4" t="s">
        <v>100</v>
      </c>
      <c r="K75" s="4" t="s">
        <v>43</v>
      </c>
      <c r="L75" s="4" t="s">
        <v>64</v>
      </c>
      <c r="M75" s="4" t="s">
        <v>40</v>
      </c>
      <c r="N75" s="4" t="s">
        <v>514</v>
      </c>
      <c r="O75" s="4" t="s">
        <v>528</v>
      </c>
      <c r="P75" s="4" t="s">
        <v>42</v>
      </c>
      <c r="Q75" s="50" t="s">
        <v>43</v>
      </c>
      <c r="R75" s="50"/>
      <c r="S75" s="50" t="s">
        <v>515</v>
      </c>
      <c r="T75" s="4" t="s">
        <v>43</v>
      </c>
      <c r="U75" s="4" t="s">
        <v>43</v>
      </c>
      <c r="W75" s="48">
        <v>1</v>
      </c>
      <c r="X75" s="48">
        <v>1</v>
      </c>
      <c r="Z75" s="48">
        <v>1</v>
      </c>
      <c r="AA75" s="48">
        <v>4</v>
      </c>
      <c r="AC75" s="48">
        <v>4</v>
      </c>
      <c r="AD75" s="91">
        <f t="shared" si="2"/>
        <v>6.3181818181818183</v>
      </c>
    </row>
    <row r="76" spans="3:30" hidden="1" x14ac:dyDescent="0.25">
      <c r="C76" s="87" t="s">
        <v>854</v>
      </c>
      <c r="D76" s="4" t="s">
        <v>855</v>
      </c>
      <c r="E76" s="4" t="s">
        <v>855</v>
      </c>
      <c r="F76" s="4">
        <v>6.45</v>
      </c>
      <c r="G76" s="4" t="s">
        <v>376</v>
      </c>
      <c r="H76" s="4" t="s">
        <v>46</v>
      </c>
      <c r="I76" s="4" t="s">
        <v>377</v>
      </c>
      <c r="J76" s="4" t="s">
        <v>132</v>
      </c>
      <c r="K76" s="4" t="s">
        <v>43</v>
      </c>
      <c r="L76" s="4" t="s">
        <v>856</v>
      </c>
      <c r="M76" s="4" t="s">
        <v>40</v>
      </c>
      <c r="N76" s="4" t="s">
        <v>514</v>
      </c>
      <c r="O76" s="4" t="s">
        <v>854</v>
      </c>
      <c r="P76" s="4" t="s">
        <v>42</v>
      </c>
      <c r="Q76" s="50" t="s">
        <v>43</v>
      </c>
      <c r="R76" s="50"/>
      <c r="S76" s="50" t="s">
        <v>847</v>
      </c>
      <c r="T76" s="4" t="s">
        <v>43</v>
      </c>
      <c r="U76" s="4" t="s">
        <v>43</v>
      </c>
      <c r="W76" s="48">
        <v>1</v>
      </c>
      <c r="X76" s="48">
        <v>2</v>
      </c>
      <c r="Y76" s="48">
        <v>3</v>
      </c>
      <c r="AB76" s="48">
        <v>1</v>
      </c>
      <c r="AD76" s="91">
        <f t="shared" si="2"/>
        <v>6.4545454545454541</v>
      </c>
    </row>
    <row r="77" spans="3:30" hidden="1" x14ac:dyDescent="0.25">
      <c r="C77" s="87" t="s">
        <v>531</v>
      </c>
      <c r="D77" s="4" t="s">
        <v>532</v>
      </c>
      <c r="E77" s="4" t="s">
        <v>533</v>
      </c>
      <c r="F77" s="92">
        <v>5.45</v>
      </c>
      <c r="G77" s="4" t="s">
        <v>376</v>
      </c>
      <c r="H77" s="4" t="s">
        <v>46</v>
      </c>
      <c r="I77" s="4" t="s">
        <v>377</v>
      </c>
      <c r="J77" s="4" t="s">
        <v>100</v>
      </c>
      <c r="K77" s="4" t="s">
        <v>43</v>
      </c>
      <c r="L77" s="4" t="s">
        <v>138</v>
      </c>
      <c r="M77" s="4" t="s">
        <v>40</v>
      </c>
      <c r="N77" s="4" t="s">
        <v>514</v>
      </c>
      <c r="O77" s="4" t="s">
        <v>531</v>
      </c>
      <c r="P77" s="4" t="s">
        <v>42</v>
      </c>
      <c r="Q77" s="50" t="s">
        <v>43</v>
      </c>
      <c r="R77" s="50"/>
      <c r="S77" s="50" t="s">
        <v>515</v>
      </c>
      <c r="T77" s="4" t="s">
        <v>43</v>
      </c>
      <c r="U77" s="4" t="s">
        <v>32</v>
      </c>
      <c r="W77" s="48">
        <v>1</v>
      </c>
      <c r="X77" s="48">
        <v>2</v>
      </c>
      <c r="Y77" s="48">
        <v>2</v>
      </c>
      <c r="AB77" s="48">
        <v>1</v>
      </c>
      <c r="AD77" s="91">
        <f t="shared" si="2"/>
        <v>5.4545454545454541</v>
      </c>
    </row>
    <row r="78" spans="3:30" x14ac:dyDescent="0.25">
      <c r="C78" s="87" t="s">
        <v>945</v>
      </c>
      <c r="D78" s="4" t="s">
        <v>946</v>
      </c>
      <c r="E78" s="4" t="s">
        <v>947</v>
      </c>
      <c r="F78" s="4">
        <v>9.1300000000000008</v>
      </c>
      <c r="G78" s="4" t="s">
        <v>376</v>
      </c>
      <c r="H78" s="4" t="s">
        <v>46</v>
      </c>
      <c r="I78" s="4" t="s">
        <v>377</v>
      </c>
      <c r="J78" s="4" t="s">
        <v>160</v>
      </c>
      <c r="K78" s="4" t="s">
        <v>43</v>
      </c>
      <c r="L78" s="4" t="s">
        <v>371</v>
      </c>
      <c r="M78" s="4" t="s">
        <v>40</v>
      </c>
      <c r="N78" s="4" t="s">
        <v>378</v>
      </c>
      <c r="O78" s="4" t="s">
        <v>945</v>
      </c>
      <c r="P78" s="4" t="s">
        <v>379</v>
      </c>
      <c r="Q78" s="50" t="s">
        <v>43</v>
      </c>
      <c r="R78" s="50"/>
      <c r="S78" s="50" t="s">
        <v>931</v>
      </c>
      <c r="T78" s="4" t="s">
        <v>43</v>
      </c>
      <c r="U78" s="4" t="s">
        <v>43</v>
      </c>
      <c r="V78" s="3"/>
      <c r="W78" s="48">
        <v>1</v>
      </c>
      <c r="X78" s="48">
        <v>2</v>
      </c>
      <c r="Y78" s="48">
        <v>5</v>
      </c>
      <c r="Z78" s="48">
        <v>1</v>
      </c>
      <c r="AB78" s="48">
        <v>1</v>
      </c>
      <c r="AD78" s="90">
        <f t="shared" si="2"/>
        <v>9.1363636363636367</v>
      </c>
    </row>
    <row r="79" spans="3:30" hidden="1" x14ac:dyDescent="0.25">
      <c r="C79" s="87" t="s">
        <v>773</v>
      </c>
      <c r="D79" s="4" t="s">
        <v>774</v>
      </c>
      <c r="E79" s="4" t="s">
        <v>775</v>
      </c>
      <c r="F79" s="4">
        <v>5.07</v>
      </c>
      <c r="G79" s="4" t="s">
        <v>376</v>
      </c>
      <c r="H79" s="4" t="s">
        <v>46</v>
      </c>
      <c r="I79" s="4" t="s">
        <v>421</v>
      </c>
      <c r="J79" s="4" t="s">
        <v>89</v>
      </c>
      <c r="K79" s="4" t="s">
        <v>43</v>
      </c>
      <c r="L79" s="4" t="s">
        <v>776</v>
      </c>
      <c r="M79" s="4" t="s">
        <v>91</v>
      </c>
      <c r="N79" s="4" t="s">
        <v>378</v>
      </c>
      <c r="O79" s="4" t="s">
        <v>773</v>
      </c>
      <c r="P79" s="4" t="s">
        <v>42</v>
      </c>
      <c r="Q79" s="50" t="s">
        <v>43</v>
      </c>
      <c r="R79" s="50"/>
      <c r="S79" s="50" t="s">
        <v>772</v>
      </c>
      <c r="T79" s="4" t="s">
        <v>43</v>
      </c>
      <c r="U79" s="4" t="s">
        <v>43</v>
      </c>
      <c r="W79" s="48">
        <v>1</v>
      </c>
      <c r="X79" s="48">
        <v>1</v>
      </c>
      <c r="AA79" s="48">
        <v>3</v>
      </c>
      <c r="AC79" s="48">
        <v>4</v>
      </c>
      <c r="AD79" s="91">
        <f t="shared" si="2"/>
        <v>5.0681818181818183</v>
      </c>
    </row>
    <row r="80" spans="3:30" hidden="1" x14ac:dyDescent="0.25">
      <c r="C80" s="87" t="s">
        <v>662</v>
      </c>
      <c r="D80" s="4" t="s">
        <v>663</v>
      </c>
      <c r="E80" s="4" t="s">
        <v>664</v>
      </c>
      <c r="F80" s="93">
        <v>5.6</v>
      </c>
      <c r="G80" s="4" t="s">
        <v>376</v>
      </c>
      <c r="H80" s="4" t="s">
        <v>46</v>
      </c>
      <c r="I80" s="4" t="s">
        <v>377</v>
      </c>
      <c r="J80" s="4" t="s">
        <v>248</v>
      </c>
      <c r="K80" s="4" t="s">
        <v>43</v>
      </c>
      <c r="L80" s="4" t="s">
        <v>51</v>
      </c>
      <c r="M80" s="4" t="s">
        <v>40</v>
      </c>
      <c r="N80" s="4" t="s">
        <v>653</v>
      </c>
      <c r="O80" s="4" t="s">
        <v>662</v>
      </c>
      <c r="P80" s="4" t="s">
        <v>42</v>
      </c>
      <c r="Q80" s="50" t="s">
        <v>43</v>
      </c>
      <c r="R80" s="50"/>
      <c r="S80" s="50" t="s">
        <v>51</v>
      </c>
      <c r="T80" s="4" t="s">
        <v>43</v>
      </c>
      <c r="U80" s="4" t="s">
        <v>43</v>
      </c>
      <c r="W80" s="48">
        <v>1</v>
      </c>
      <c r="X80" s="48">
        <v>1</v>
      </c>
      <c r="AA80" s="48">
        <v>4</v>
      </c>
      <c r="AC80" s="48">
        <v>4</v>
      </c>
      <c r="AD80" s="91">
        <f t="shared" si="2"/>
        <v>5.6363636363636367</v>
      </c>
    </row>
    <row r="81" spans="3:30" hidden="1" x14ac:dyDescent="0.25">
      <c r="C81" s="87" t="s">
        <v>56</v>
      </c>
      <c r="D81" s="4" t="s">
        <v>57</v>
      </c>
      <c r="E81" s="4" t="s">
        <v>57</v>
      </c>
      <c r="F81" s="4" t="s">
        <v>36</v>
      </c>
      <c r="G81" s="4" t="s">
        <v>37</v>
      </c>
      <c r="H81" s="4" t="s">
        <v>38</v>
      </c>
      <c r="I81" s="4"/>
      <c r="J81" s="4" t="s">
        <v>58</v>
      </c>
      <c r="K81" s="4"/>
      <c r="L81" s="4" t="s">
        <v>59</v>
      </c>
      <c r="M81" s="4" t="s">
        <v>40</v>
      </c>
      <c r="N81" s="4" t="s">
        <v>41</v>
      </c>
      <c r="O81" s="4" t="s">
        <v>56</v>
      </c>
      <c r="P81" s="4" t="s">
        <v>42</v>
      </c>
      <c r="Q81" s="50" t="s">
        <v>43</v>
      </c>
      <c r="R81" s="50"/>
      <c r="S81" s="50">
        <v>0</v>
      </c>
      <c r="T81" s="4" t="s">
        <v>43</v>
      </c>
      <c r="U81" s="4" t="s">
        <v>43</v>
      </c>
      <c r="AD81" s="91">
        <f t="shared" si="2"/>
        <v>0</v>
      </c>
    </row>
    <row r="82" spans="3:30" hidden="1" x14ac:dyDescent="0.25">
      <c r="C82" s="87" t="s">
        <v>534</v>
      </c>
      <c r="D82" s="4" t="s">
        <v>535</v>
      </c>
      <c r="E82" s="4" t="s">
        <v>536</v>
      </c>
      <c r="F82" s="92">
        <v>5.45</v>
      </c>
      <c r="G82" s="4" t="s">
        <v>376</v>
      </c>
      <c r="H82" s="4" t="s">
        <v>46</v>
      </c>
      <c r="I82" s="4" t="s">
        <v>377</v>
      </c>
      <c r="J82" s="4" t="s">
        <v>100</v>
      </c>
      <c r="K82" s="4" t="s">
        <v>43</v>
      </c>
      <c r="L82" s="4" t="s">
        <v>138</v>
      </c>
      <c r="M82" s="4" t="s">
        <v>40</v>
      </c>
      <c r="N82" s="4" t="s">
        <v>514</v>
      </c>
      <c r="O82" s="4" t="s">
        <v>534</v>
      </c>
      <c r="P82" s="4" t="s">
        <v>42</v>
      </c>
      <c r="Q82" s="50" t="s">
        <v>43</v>
      </c>
      <c r="R82" s="50"/>
      <c r="S82" s="50" t="s">
        <v>515</v>
      </c>
      <c r="T82" s="4" t="s">
        <v>43</v>
      </c>
      <c r="U82" s="4" t="s">
        <v>43</v>
      </c>
      <c r="W82" s="48">
        <v>1</v>
      </c>
      <c r="X82" s="48">
        <v>2</v>
      </c>
      <c r="Y82" s="48">
        <v>2</v>
      </c>
      <c r="AB82" s="48">
        <v>1</v>
      </c>
      <c r="AD82" s="91">
        <f t="shared" si="2"/>
        <v>5.4545454545454541</v>
      </c>
    </row>
    <row r="83" spans="3:30" hidden="1" x14ac:dyDescent="0.25">
      <c r="C83" s="87" t="s">
        <v>614</v>
      </c>
      <c r="D83" s="4" t="s">
        <v>615</v>
      </c>
      <c r="E83" s="4" t="s">
        <v>615</v>
      </c>
      <c r="F83" s="93">
        <v>5</v>
      </c>
      <c r="G83" s="4" t="s">
        <v>376</v>
      </c>
      <c r="H83" s="4" t="s">
        <v>81</v>
      </c>
      <c r="I83" s="4" t="s">
        <v>421</v>
      </c>
      <c r="J83" s="4" t="s">
        <v>50</v>
      </c>
      <c r="K83" s="4" t="s">
        <v>43</v>
      </c>
      <c r="L83" s="4" t="s">
        <v>64</v>
      </c>
      <c r="M83" s="4" t="s">
        <v>40</v>
      </c>
      <c r="N83" s="4" t="s">
        <v>422</v>
      </c>
      <c r="O83" s="4" t="s">
        <v>614</v>
      </c>
      <c r="P83" s="4" t="s">
        <v>42</v>
      </c>
      <c r="Q83" s="50" t="s">
        <v>43</v>
      </c>
      <c r="R83" s="50"/>
      <c r="S83" s="50" t="s">
        <v>597</v>
      </c>
      <c r="T83" s="82" t="s">
        <v>440</v>
      </c>
      <c r="U83" s="4" t="s">
        <v>43</v>
      </c>
      <c r="W83" s="48">
        <v>1</v>
      </c>
      <c r="X83" s="48">
        <v>1</v>
      </c>
      <c r="Y83" s="48">
        <v>3</v>
      </c>
      <c r="AD83" s="91">
        <f t="shared" si="2"/>
        <v>5</v>
      </c>
    </row>
    <row r="84" spans="3:30" hidden="1" x14ac:dyDescent="0.25">
      <c r="C84" s="87" t="s">
        <v>857</v>
      </c>
      <c r="D84" s="4" t="s">
        <v>858</v>
      </c>
      <c r="E84" s="4" t="s">
        <v>859</v>
      </c>
      <c r="F84" s="44">
        <v>5.9</v>
      </c>
      <c r="G84" s="4" t="s">
        <v>376</v>
      </c>
      <c r="H84" s="4" t="s">
        <v>46</v>
      </c>
      <c r="I84" s="4" t="s">
        <v>377</v>
      </c>
      <c r="J84" s="4" t="s">
        <v>132</v>
      </c>
      <c r="K84" s="4" t="s">
        <v>43</v>
      </c>
      <c r="L84" s="4" t="s">
        <v>138</v>
      </c>
      <c r="M84" s="4" t="s">
        <v>40</v>
      </c>
      <c r="N84" s="4" t="s">
        <v>514</v>
      </c>
      <c r="O84" s="4" t="s">
        <v>857</v>
      </c>
      <c r="P84" s="4" t="s">
        <v>42</v>
      </c>
      <c r="Q84" s="50" t="s">
        <v>43</v>
      </c>
      <c r="R84" s="50"/>
      <c r="S84" s="50" t="s">
        <v>847</v>
      </c>
      <c r="T84" s="4" t="s">
        <v>43</v>
      </c>
      <c r="U84" s="4" t="s">
        <v>43</v>
      </c>
      <c r="V84" s="48" t="s">
        <v>860</v>
      </c>
      <c r="W84" s="48">
        <v>1</v>
      </c>
      <c r="X84" s="48">
        <v>2</v>
      </c>
      <c r="Y84" s="48">
        <v>2</v>
      </c>
      <c r="AB84" s="48">
        <v>2</v>
      </c>
      <c r="AD84" s="91">
        <f t="shared" si="2"/>
        <v>5.9090909090909092</v>
      </c>
    </row>
    <row r="85" spans="3:30" hidden="1" x14ac:dyDescent="0.25">
      <c r="C85" s="87" t="s">
        <v>747</v>
      </c>
      <c r="D85" s="4" t="s">
        <v>748</v>
      </c>
      <c r="E85" s="4" t="s">
        <v>749</v>
      </c>
      <c r="F85" s="4">
        <v>6.9</v>
      </c>
      <c r="G85" s="4" t="s">
        <v>376</v>
      </c>
      <c r="H85" s="4" t="s">
        <v>46</v>
      </c>
      <c r="I85" s="4" t="s">
        <v>421</v>
      </c>
      <c r="J85" s="4" t="s">
        <v>84</v>
      </c>
      <c r="K85" s="4" t="s">
        <v>440</v>
      </c>
      <c r="L85" s="4" t="s">
        <v>54</v>
      </c>
      <c r="M85" s="4" t="s">
        <v>55</v>
      </c>
      <c r="N85" s="4" t="s">
        <v>653</v>
      </c>
      <c r="O85" s="4" t="s">
        <v>747</v>
      </c>
      <c r="P85" s="4" t="s">
        <v>42</v>
      </c>
      <c r="Q85" s="50" t="s">
        <v>43</v>
      </c>
      <c r="R85" s="50"/>
      <c r="S85" s="50" t="s">
        <v>741</v>
      </c>
      <c r="T85" s="4" t="s">
        <v>43</v>
      </c>
      <c r="U85" s="4" t="s">
        <v>43</v>
      </c>
      <c r="W85" s="48">
        <v>1</v>
      </c>
      <c r="X85" s="48">
        <v>2</v>
      </c>
      <c r="Y85" s="48">
        <v>3</v>
      </c>
      <c r="AB85" s="48">
        <v>2</v>
      </c>
      <c r="AD85" s="91">
        <f t="shared" si="2"/>
        <v>6.9090909090909092</v>
      </c>
    </row>
    <row r="86" spans="3:30" hidden="1" x14ac:dyDescent="0.25">
      <c r="C86" s="87" t="s">
        <v>564</v>
      </c>
      <c r="D86" s="4" t="s">
        <v>565</v>
      </c>
      <c r="E86" s="4" t="s">
        <v>566</v>
      </c>
      <c r="F86" s="4">
        <v>5.9</v>
      </c>
      <c r="G86" s="4" t="s">
        <v>376</v>
      </c>
      <c r="H86" s="4" t="s">
        <v>46</v>
      </c>
      <c r="I86" s="4" t="s">
        <v>377</v>
      </c>
      <c r="J86" s="4" t="s">
        <v>331</v>
      </c>
      <c r="K86" s="4"/>
      <c r="L86" s="4" t="s">
        <v>138</v>
      </c>
      <c r="M86" s="4" t="s">
        <v>40</v>
      </c>
      <c r="N86" s="4" t="s">
        <v>422</v>
      </c>
      <c r="O86" s="4" t="s">
        <v>564</v>
      </c>
      <c r="P86" s="4" t="s">
        <v>42</v>
      </c>
      <c r="Q86" s="50" t="s">
        <v>43</v>
      </c>
      <c r="R86" s="50"/>
      <c r="S86" s="50" t="s">
        <v>557</v>
      </c>
      <c r="T86" s="4" t="s">
        <v>43</v>
      </c>
      <c r="U86" s="4" t="s">
        <v>43</v>
      </c>
      <c r="W86" s="48">
        <v>1</v>
      </c>
      <c r="X86" s="48">
        <v>2</v>
      </c>
      <c r="Y86" s="48">
        <v>2</v>
      </c>
      <c r="AB86" s="48">
        <v>2</v>
      </c>
      <c r="AD86" s="91">
        <f t="shared" si="2"/>
        <v>5.9090909090909092</v>
      </c>
    </row>
    <row r="87" spans="3:30" hidden="1" x14ac:dyDescent="0.25">
      <c r="C87" s="87" t="s">
        <v>709</v>
      </c>
      <c r="D87" s="4" t="s">
        <v>710</v>
      </c>
      <c r="E87" s="4" t="s">
        <v>711</v>
      </c>
      <c r="F87" s="4">
        <v>8</v>
      </c>
      <c r="G87" s="4" t="s">
        <v>376</v>
      </c>
      <c r="H87" s="4" t="s">
        <v>46</v>
      </c>
      <c r="I87" s="4" t="s">
        <v>421</v>
      </c>
      <c r="J87" s="4" t="s">
        <v>84</v>
      </c>
      <c r="K87" s="4" t="s">
        <v>440</v>
      </c>
      <c r="L87" s="4" t="s">
        <v>54</v>
      </c>
      <c r="M87" s="4" t="s">
        <v>55</v>
      </c>
      <c r="N87" s="4" t="s">
        <v>653</v>
      </c>
      <c r="O87" s="4" t="s">
        <v>709</v>
      </c>
      <c r="P87" s="4" t="s">
        <v>379</v>
      </c>
      <c r="Q87" s="50" t="s">
        <v>43</v>
      </c>
      <c r="R87" s="50"/>
      <c r="S87" s="50" t="s">
        <v>702</v>
      </c>
      <c r="T87" s="4" t="s">
        <v>43</v>
      </c>
      <c r="U87" s="4" t="s">
        <v>43</v>
      </c>
      <c r="W87" s="48">
        <v>1</v>
      </c>
      <c r="X87" s="48">
        <v>2</v>
      </c>
      <c r="Y87" s="48">
        <v>5</v>
      </c>
      <c r="AD87" s="91">
        <f t="shared" si="2"/>
        <v>8</v>
      </c>
    </row>
    <row r="88" spans="3:30" hidden="1" x14ac:dyDescent="0.25">
      <c r="C88" s="87" t="s">
        <v>60</v>
      </c>
      <c r="D88" s="4" t="s">
        <v>61</v>
      </c>
      <c r="E88" s="4" t="s">
        <v>62</v>
      </c>
      <c r="F88" s="4" t="s">
        <v>36</v>
      </c>
      <c r="G88" s="4" t="s">
        <v>37</v>
      </c>
      <c r="H88" s="4" t="s">
        <v>38</v>
      </c>
      <c r="I88" s="4"/>
      <c r="J88" s="4" t="s">
        <v>63</v>
      </c>
      <c r="K88" s="4"/>
      <c r="L88" s="4" t="s">
        <v>64</v>
      </c>
      <c r="M88" s="4" t="s">
        <v>40</v>
      </c>
      <c r="N88" s="4" t="s">
        <v>41</v>
      </c>
      <c r="O88" s="4" t="s">
        <v>60</v>
      </c>
      <c r="P88" s="4" t="s">
        <v>42</v>
      </c>
      <c r="Q88" s="50" t="s">
        <v>43</v>
      </c>
      <c r="R88" s="50"/>
      <c r="S88" s="50">
        <v>0</v>
      </c>
      <c r="T88" s="4" t="s">
        <v>43</v>
      </c>
      <c r="U88" s="4" t="s">
        <v>43</v>
      </c>
      <c r="AD88" s="91">
        <f t="shared" si="2"/>
        <v>0</v>
      </c>
    </row>
    <row r="89" spans="3:30" hidden="1" x14ac:dyDescent="0.25">
      <c r="C89" s="87" t="s">
        <v>861</v>
      </c>
      <c r="D89" s="4" t="s">
        <v>862</v>
      </c>
      <c r="E89" s="4" t="s">
        <v>862</v>
      </c>
      <c r="F89" s="4">
        <v>7.9</v>
      </c>
      <c r="G89" s="4" t="s">
        <v>376</v>
      </c>
      <c r="H89" s="4" t="s">
        <v>46</v>
      </c>
      <c r="I89" s="4" t="s">
        <v>377</v>
      </c>
      <c r="J89" s="4" t="s">
        <v>132</v>
      </c>
      <c r="K89" s="4" t="s">
        <v>43</v>
      </c>
      <c r="L89" s="4" t="s">
        <v>856</v>
      </c>
      <c r="M89" s="4" t="s">
        <v>40</v>
      </c>
      <c r="N89" s="4" t="s">
        <v>514</v>
      </c>
      <c r="O89" s="4" t="s">
        <v>861</v>
      </c>
      <c r="P89" s="4" t="s">
        <v>379</v>
      </c>
      <c r="Q89" s="50" t="s">
        <v>43</v>
      </c>
      <c r="R89" s="50"/>
      <c r="S89" s="50" t="s">
        <v>847</v>
      </c>
      <c r="T89" s="4" t="s">
        <v>43</v>
      </c>
      <c r="U89" s="4" t="s">
        <v>43</v>
      </c>
      <c r="W89" s="48">
        <v>1</v>
      </c>
      <c r="X89" s="48">
        <v>2</v>
      </c>
      <c r="Y89" s="48">
        <v>4</v>
      </c>
      <c r="AB89" s="48">
        <v>2</v>
      </c>
      <c r="AD89" s="91">
        <f t="shared" si="2"/>
        <v>7.9090909090909092</v>
      </c>
    </row>
    <row r="90" spans="3:30" hidden="1" x14ac:dyDescent="0.25">
      <c r="C90" s="87" t="s">
        <v>616</v>
      </c>
      <c r="D90" s="4" t="s">
        <v>617</v>
      </c>
      <c r="E90" s="4" t="s">
        <v>617</v>
      </c>
      <c r="F90" s="92">
        <v>5.45</v>
      </c>
      <c r="G90" s="4" t="s">
        <v>376</v>
      </c>
      <c r="H90" s="4" t="s">
        <v>46</v>
      </c>
      <c r="I90" s="4" t="s">
        <v>421</v>
      </c>
      <c r="J90" s="4" t="s">
        <v>50</v>
      </c>
      <c r="K90" s="4" t="s">
        <v>43</v>
      </c>
      <c r="L90" s="4" t="s">
        <v>138</v>
      </c>
      <c r="M90" s="4" t="s">
        <v>40</v>
      </c>
      <c r="N90" s="4" t="s">
        <v>422</v>
      </c>
      <c r="O90" s="4" t="s">
        <v>616</v>
      </c>
      <c r="P90" s="4" t="s">
        <v>42</v>
      </c>
      <c r="Q90" s="50" t="s">
        <v>43</v>
      </c>
      <c r="R90" s="50"/>
      <c r="S90" s="50" t="s">
        <v>597</v>
      </c>
      <c r="T90" s="4" t="s">
        <v>43</v>
      </c>
      <c r="U90" s="4" t="s">
        <v>43</v>
      </c>
      <c r="W90" s="48">
        <v>1</v>
      </c>
      <c r="X90" s="48">
        <v>2</v>
      </c>
      <c r="Y90" s="48">
        <v>2</v>
      </c>
      <c r="AB90" s="48">
        <v>1</v>
      </c>
      <c r="AD90" s="91">
        <f t="shared" si="2"/>
        <v>5.4545454545454541</v>
      </c>
    </row>
    <row r="91" spans="3:30" hidden="1" x14ac:dyDescent="0.25">
      <c r="C91" s="87" t="s">
        <v>891</v>
      </c>
      <c r="D91" s="4" t="s">
        <v>892</v>
      </c>
      <c r="E91" s="4" t="s">
        <v>893</v>
      </c>
      <c r="F91" s="4">
        <v>5</v>
      </c>
      <c r="G91" s="4" t="s">
        <v>376</v>
      </c>
      <c r="H91" s="4" t="s">
        <v>46</v>
      </c>
      <c r="I91" s="4" t="s">
        <v>421</v>
      </c>
      <c r="J91" s="4" t="s">
        <v>73</v>
      </c>
      <c r="K91" s="4" t="s">
        <v>43</v>
      </c>
      <c r="L91" s="4" t="s">
        <v>47</v>
      </c>
      <c r="M91" s="4" t="s">
        <v>40</v>
      </c>
      <c r="N91" s="4" t="s">
        <v>514</v>
      </c>
      <c r="O91" s="4" t="s">
        <v>891</v>
      </c>
      <c r="P91" s="4" t="s">
        <v>42</v>
      </c>
      <c r="Q91" s="50" t="s">
        <v>43</v>
      </c>
      <c r="R91" s="50"/>
      <c r="S91" s="50" t="s">
        <v>886</v>
      </c>
      <c r="T91" s="4" t="s">
        <v>43</v>
      </c>
      <c r="U91" s="4" t="s">
        <v>43</v>
      </c>
      <c r="W91" s="48">
        <v>1</v>
      </c>
      <c r="X91" s="48">
        <v>1</v>
      </c>
      <c r="Y91" s="48">
        <v>3</v>
      </c>
      <c r="AD91" s="91">
        <f t="shared" si="2"/>
        <v>5</v>
      </c>
    </row>
    <row r="92" spans="3:30" hidden="1" x14ac:dyDescent="0.25">
      <c r="C92" s="87" t="s">
        <v>65</v>
      </c>
      <c r="D92" s="4" t="s">
        <v>66</v>
      </c>
      <c r="E92" s="4" t="s">
        <v>66</v>
      </c>
      <c r="F92" s="4" t="s">
        <v>36</v>
      </c>
      <c r="G92" s="4" t="s">
        <v>37</v>
      </c>
      <c r="H92" s="4" t="s">
        <v>38</v>
      </c>
      <c r="I92" s="4"/>
      <c r="J92" s="4" t="s">
        <v>67</v>
      </c>
      <c r="K92" s="4"/>
      <c r="L92" s="4" t="s">
        <v>59</v>
      </c>
      <c r="M92" s="4" t="s">
        <v>40</v>
      </c>
      <c r="N92" s="4" t="s">
        <v>41</v>
      </c>
      <c r="O92" s="4" t="s">
        <v>65</v>
      </c>
      <c r="P92" s="4" t="s">
        <v>42</v>
      </c>
      <c r="Q92" s="50" t="s">
        <v>43</v>
      </c>
      <c r="R92" s="50"/>
      <c r="S92" s="50">
        <v>0</v>
      </c>
      <c r="T92" s="4" t="s">
        <v>43</v>
      </c>
      <c r="U92" s="4" t="s">
        <v>43</v>
      </c>
      <c r="AD92" s="91">
        <f t="shared" si="2"/>
        <v>0</v>
      </c>
    </row>
    <row r="93" spans="3:30" hidden="1" x14ac:dyDescent="0.25">
      <c r="C93" s="87" t="s">
        <v>777</v>
      </c>
      <c r="D93" s="4" t="s">
        <v>778</v>
      </c>
      <c r="E93" s="4" t="s">
        <v>779</v>
      </c>
      <c r="F93" s="4">
        <v>6</v>
      </c>
      <c r="G93" s="4" t="s">
        <v>376</v>
      </c>
      <c r="H93" s="4" t="s">
        <v>46</v>
      </c>
      <c r="I93" s="4" t="s">
        <v>421</v>
      </c>
      <c r="J93" s="4" t="s">
        <v>89</v>
      </c>
      <c r="K93" s="4"/>
      <c r="L93" s="4" t="s">
        <v>90</v>
      </c>
      <c r="M93" s="4" t="s">
        <v>91</v>
      </c>
      <c r="N93" s="4" t="s">
        <v>378</v>
      </c>
      <c r="O93" s="4" t="s">
        <v>777</v>
      </c>
      <c r="P93" s="4" t="s">
        <v>42</v>
      </c>
      <c r="Q93" s="50" t="s">
        <v>43</v>
      </c>
      <c r="R93" s="50"/>
      <c r="S93" s="50" t="s">
        <v>772</v>
      </c>
      <c r="T93" s="4" t="s">
        <v>43</v>
      </c>
      <c r="U93" s="4" t="s">
        <v>43</v>
      </c>
      <c r="V93" s="2"/>
      <c r="W93" s="48">
        <v>1</v>
      </c>
      <c r="X93" s="48">
        <v>2</v>
      </c>
      <c r="Y93" s="48">
        <v>3</v>
      </c>
      <c r="AD93" s="91">
        <f t="shared" si="2"/>
        <v>6</v>
      </c>
    </row>
    <row r="94" spans="3:30" hidden="1" x14ac:dyDescent="0.25">
      <c r="C94" s="87" t="s">
        <v>480</v>
      </c>
      <c r="D94" s="4" t="s">
        <v>481</v>
      </c>
      <c r="E94" s="4" t="s">
        <v>482</v>
      </c>
      <c r="F94" s="4">
        <v>5</v>
      </c>
      <c r="G94" s="4" t="s">
        <v>376</v>
      </c>
      <c r="H94" s="4" t="s">
        <v>46</v>
      </c>
      <c r="I94" s="4" t="s">
        <v>377</v>
      </c>
      <c r="J94" s="4" t="s">
        <v>466</v>
      </c>
      <c r="K94" s="4" t="s">
        <v>43</v>
      </c>
      <c r="L94" s="4" t="s">
        <v>51</v>
      </c>
      <c r="M94" s="4" t="s">
        <v>40</v>
      </c>
      <c r="N94" s="4" t="s">
        <v>378</v>
      </c>
      <c r="O94" s="4" t="s">
        <v>480</v>
      </c>
      <c r="P94" s="4" t="s">
        <v>42</v>
      </c>
      <c r="Q94" s="50" t="s">
        <v>43</v>
      </c>
      <c r="R94" s="50"/>
      <c r="S94" s="50" t="s">
        <v>467</v>
      </c>
      <c r="T94" s="4" t="s">
        <v>43</v>
      </c>
      <c r="U94" s="4" t="s">
        <v>43</v>
      </c>
      <c r="W94" s="48">
        <v>1</v>
      </c>
      <c r="X94" s="48">
        <v>1</v>
      </c>
      <c r="Y94" s="48">
        <v>3</v>
      </c>
      <c r="AD94" s="91">
        <f t="shared" si="2"/>
        <v>5</v>
      </c>
    </row>
    <row r="95" spans="3:30" hidden="1" x14ac:dyDescent="0.25">
      <c r="C95" s="87" t="s">
        <v>807</v>
      </c>
      <c r="D95" s="4" t="s">
        <v>808</v>
      </c>
      <c r="E95" s="4" t="s">
        <v>809</v>
      </c>
      <c r="F95" s="4">
        <v>7</v>
      </c>
      <c r="G95" s="4" t="s">
        <v>376</v>
      </c>
      <c r="H95" s="4" t="s">
        <v>46</v>
      </c>
      <c r="I95" s="4" t="s">
        <v>421</v>
      </c>
      <c r="J95" s="4" t="s">
        <v>146</v>
      </c>
      <c r="K95" s="4" t="s">
        <v>440</v>
      </c>
      <c r="L95" s="4" t="s">
        <v>59</v>
      </c>
      <c r="M95" s="4" t="s">
        <v>40</v>
      </c>
      <c r="N95" s="4" t="s">
        <v>653</v>
      </c>
      <c r="O95" s="4" t="s">
        <v>807</v>
      </c>
      <c r="P95" s="4" t="s">
        <v>42</v>
      </c>
      <c r="Q95" s="50" t="s">
        <v>43</v>
      </c>
      <c r="R95" s="50"/>
      <c r="S95" s="50" t="s">
        <v>799</v>
      </c>
      <c r="T95" s="4" t="s">
        <v>43</v>
      </c>
      <c r="U95" s="4" t="s">
        <v>43</v>
      </c>
      <c r="W95" s="48">
        <v>1</v>
      </c>
      <c r="X95" s="48">
        <v>2</v>
      </c>
      <c r="Y95" s="48">
        <v>4</v>
      </c>
      <c r="AD95" s="91">
        <f t="shared" si="2"/>
        <v>7</v>
      </c>
    </row>
    <row r="96" spans="3:30" hidden="1" x14ac:dyDescent="0.25">
      <c r="C96" s="87" t="s">
        <v>400</v>
      </c>
      <c r="D96" s="4" t="s">
        <v>401</v>
      </c>
      <c r="E96" s="4" t="s">
        <v>401</v>
      </c>
      <c r="F96" s="92">
        <v>5.45</v>
      </c>
      <c r="G96" s="4" t="s">
        <v>376</v>
      </c>
      <c r="H96" s="4" t="s">
        <v>46</v>
      </c>
      <c r="I96" s="4" t="s">
        <v>377</v>
      </c>
      <c r="J96" s="4" t="s">
        <v>63</v>
      </c>
      <c r="K96" s="4" t="s">
        <v>43</v>
      </c>
      <c r="L96" s="4" t="s">
        <v>138</v>
      </c>
      <c r="M96" s="4" t="s">
        <v>40</v>
      </c>
      <c r="N96" s="4" t="s">
        <v>378</v>
      </c>
      <c r="O96" s="4" t="s">
        <v>400</v>
      </c>
      <c r="P96" s="4" t="s">
        <v>42</v>
      </c>
      <c r="Q96" s="50" t="s">
        <v>43</v>
      </c>
      <c r="R96" s="50"/>
      <c r="S96" s="50" t="s">
        <v>380</v>
      </c>
      <c r="T96" s="4" t="s">
        <v>43</v>
      </c>
      <c r="U96" s="4" t="s">
        <v>43</v>
      </c>
      <c r="W96" s="48">
        <v>1</v>
      </c>
      <c r="X96" s="48">
        <v>1</v>
      </c>
      <c r="Y96" s="48">
        <v>3</v>
      </c>
      <c r="AB96" s="48">
        <v>1</v>
      </c>
      <c r="AD96" s="91">
        <f t="shared" si="2"/>
        <v>5.4545454545454541</v>
      </c>
    </row>
    <row r="97" spans="3:30" hidden="1" x14ac:dyDescent="0.25">
      <c r="C97" s="87" t="s">
        <v>402</v>
      </c>
      <c r="D97" s="4" t="s">
        <v>403</v>
      </c>
      <c r="E97" s="4" t="s">
        <v>403</v>
      </c>
      <c r="F97" s="92">
        <v>5.45</v>
      </c>
      <c r="G97" s="4" t="s">
        <v>376</v>
      </c>
      <c r="H97" s="4" t="s">
        <v>46</v>
      </c>
      <c r="I97" s="4" t="s">
        <v>377</v>
      </c>
      <c r="J97" s="4" t="s">
        <v>63</v>
      </c>
      <c r="K97" s="4" t="s">
        <v>43</v>
      </c>
      <c r="L97" s="4" t="s">
        <v>138</v>
      </c>
      <c r="M97" s="4" t="s">
        <v>40</v>
      </c>
      <c r="N97" s="4" t="s">
        <v>378</v>
      </c>
      <c r="O97" s="4" t="s">
        <v>402</v>
      </c>
      <c r="P97" s="4" t="s">
        <v>42</v>
      </c>
      <c r="Q97" s="50" t="s">
        <v>43</v>
      </c>
      <c r="R97" s="50"/>
      <c r="S97" s="50" t="s">
        <v>380</v>
      </c>
      <c r="T97" s="4" t="s">
        <v>43</v>
      </c>
      <c r="U97" s="4" t="s">
        <v>43</v>
      </c>
      <c r="W97" s="48">
        <v>1</v>
      </c>
      <c r="X97" s="48">
        <v>1</v>
      </c>
      <c r="Y97" s="48">
        <v>3</v>
      </c>
      <c r="AB97" s="48">
        <v>1</v>
      </c>
      <c r="AD97" s="91">
        <f t="shared" si="2"/>
        <v>5.4545454545454541</v>
      </c>
    </row>
    <row r="98" spans="3:30" hidden="1" x14ac:dyDescent="0.25">
      <c r="C98" s="87" t="s">
        <v>665</v>
      </c>
      <c r="D98" s="4" t="s">
        <v>666</v>
      </c>
      <c r="E98" s="4" t="s">
        <v>666</v>
      </c>
      <c r="F98" s="4">
        <v>6</v>
      </c>
      <c r="G98" s="4" t="s">
        <v>376</v>
      </c>
      <c r="H98" s="4" t="s">
        <v>46</v>
      </c>
      <c r="I98" s="4" t="s">
        <v>377</v>
      </c>
      <c r="J98" s="4" t="s">
        <v>248</v>
      </c>
      <c r="K98" s="4" t="s">
        <v>43</v>
      </c>
      <c r="L98" s="4" t="s">
        <v>51</v>
      </c>
      <c r="M98" s="4" t="s">
        <v>40</v>
      </c>
      <c r="N98" s="4" t="s">
        <v>653</v>
      </c>
      <c r="O98" s="4" t="s">
        <v>665</v>
      </c>
      <c r="P98" s="4" t="s">
        <v>42</v>
      </c>
      <c r="Q98" s="50" t="s">
        <v>43</v>
      </c>
      <c r="R98" s="50"/>
      <c r="S98" s="50" t="s">
        <v>51</v>
      </c>
      <c r="T98" s="4" t="s">
        <v>43</v>
      </c>
      <c r="U98" s="4" t="s">
        <v>43</v>
      </c>
      <c r="W98" s="48">
        <v>1</v>
      </c>
      <c r="X98" s="48">
        <v>1</v>
      </c>
      <c r="Y98" s="48">
        <v>4</v>
      </c>
      <c r="AD98" s="91">
        <f t="shared" si="2"/>
        <v>6</v>
      </c>
    </row>
    <row r="99" spans="3:30" hidden="1" x14ac:dyDescent="0.25">
      <c r="C99" s="87" t="s">
        <v>404</v>
      </c>
      <c r="D99" s="4" t="s">
        <v>405</v>
      </c>
      <c r="E99" s="4" t="s">
        <v>405</v>
      </c>
      <c r="F99" s="4">
        <v>5</v>
      </c>
      <c r="G99" s="4" t="s">
        <v>376</v>
      </c>
      <c r="H99" s="4" t="s">
        <v>46</v>
      </c>
      <c r="I99" s="4" t="s">
        <v>377</v>
      </c>
      <c r="J99" s="4" t="s">
        <v>63</v>
      </c>
      <c r="K99" s="4" t="s">
        <v>43</v>
      </c>
      <c r="L99" s="4" t="s">
        <v>138</v>
      </c>
      <c r="M99" s="4" t="s">
        <v>40</v>
      </c>
      <c r="N99" s="4" t="s">
        <v>378</v>
      </c>
      <c r="O99" s="4" t="s">
        <v>404</v>
      </c>
      <c r="P99" s="4" t="s">
        <v>42</v>
      </c>
      <c r="Q99" s="50" t="s">
        <v>43</v>
      </c>
      <c r="R99" s="50"/>
      <c r="S99" s="50" t="s">
        <v>380</v>
      </c>
      <c r="T99" s="4" t="s">
        <v>43</v>
      </c>
      <c r="U99" s="4" t="s">
        <v>43</v>
      </c>
      <c r="W99" s="48">
        <v>1</v>
      </c>
      <c r="X99" s="48">
        <v>1</v>
      </c>
      <c r="Y99" s="48">
        <v>3</v>
      </c>
      <c r="AD99" s="91">
        <f t="shared" si="2"/>
        <v>5</v>
      </c>
    </row>
    <row r="100" spans="3:30" hidden="1" x14ac:dyDescent="0.25">
      <c r="C100" s="87" t="s">
        <v>948</v>
      </c>
      <c r="D100" s="4" t="s">
        <v>949</v>
      </c>
      <c r="E100" s="4" t="s">
        <v>949</v>
      </c>
      <c r="F100" s="92">
        <v>5.45</v>
      </c>
      <c r="G100" s="4" t="s">
        <v>376</v>
      </c>
      <c r="H100" s="4" t="s">
        <v>46</v>
      </c>
      <c r="I100" s="4" t="s">
        <v>377</v>
      </c>
      <c r="J100" s="4" t="s">
        <v>160</v>
      </c>
      <c r="K100" s="4" t="s">
        <v>43</v>
      </c>
      <c r="L100" s="4" t="s">
        <v>353</v>
      </c>
      <c r="M100" s="4" t="s">
        <v>40</v>
      </c>
      <c r="N100" s="4" t="s">
        <v>378</v>
      </c>
      <c r="O100" s="4" t="s">
        <v>948</v>
      </c>
      <c r="P100" s="50" t="s">
        <v>42</v>
      </c>
      <c r="Q100" s="50" t="s">
        <v>43</v>
      </c>
      <c r="R100" s="50"/>
      <c r="S100" s="50" t="s">
        <v>931</v>
      </c>
      <c r="T100" s="48" t="s">
        <v>43</v>
      </c>
      <c r="U100" s="4" t="s">
        <v>43</v>
      </c>
      <c r="W100" s="48">
        <v>1</v>
      </c>
      <c r="X100" s="48">
        <v>1</v>
      </c>
      <c r="Y100" s="48">
        <v>3</v>
      </c>
      <c r="AB100" s="48">
        <v>1</v>
      </c>
      <c r="AD100" s="91">
        <f t="shared" si="2"/>
        <v>5.4545454545454541</v>
      </c>
    </row>
    <row r="101" spans="3:30" hidden="1" x14ac:dyDescent="0.25">
      <c r="C101" s="87" t="s">
        <v>667</v>
      </c>
      <c r="D101" s="4" t="s">
        <v>668</v>
      </c>
      <c r="E101" s="4" t="s">
        <v>668</v>
      </c>
      <c r="F101" s="4">
        <v>6</v>
      </c>
      <c r="G101" s="4" t="s">
        <v>376</v>
      </c>
      <c r="H101" s="4" t="s">
        <v>46</v>
      </c>
      <c r="I101" s="4" t="s">
        <v>377</v>
      </c>
      <c r="J101" s="4" t="s">
        <v>248</v>
      </c>
      <c r="K101" s="4" t="s">
        <v>43</v>
      </c>
      <c r="L101" s="4" t="s">
        <v>51</v>
      </c>
      <c r="M101" s="4" t="s">
        <v>40</v>
      </c>
      <c r="N101" s="4" t="s">
        <v>653</v>
      </c>
      <c r="O101" s="4" t="s">
        <v>667</v>
      </c>
      <c r="P101" s="4" t="s">
        <v>42</v>
      </c>
      <c r="Q101" s="50" t="s">
        <v>43</v>
      </c>
      <c r="R101" s="50"/>
      <c r="S101" s="50" t="s">
        <v>51</v>
      </c>
      <c r="T101" s="4" t="s">
        <v>43</v>
      </c>
      <c r="U101" s="4" t="s">
        <v>43</v>
      </c>
      <c r="W101" s="48">
        <v>1</v>
      </c>
      <c r="X101" s="48">
        <v>1</v>
      </c>
      <c r="Y101" s="48">
        <v>4</v>
      </c>
      <c r="AD101" s="91">
        <f t="shared" si="2"/>
        <v>6</v>
      </c>
    </row>
    <row r="102" spans="3:30" hidden="1" x14ac:dyDescent="0.25">
      <c r="C102" s="87" t="s">
        <v>669</v>
      </c>
      <c r="D102" s="4" t="s">
        <v>670</v>
      </c>
      <c r="E102" s="4" t="s">
        <v>670</v>
      </c>
      <c r="F102" s="92">
        <v>5.45</v>
      </c>
      <c r="G102" s="4" t="s">
        <v>376</v>
      </c>
      <c r="H102" s="4" t="s">
        <v>46</v>
      </c>
      <c r="I102" s="4" t="s">
        <v>377</v>
      </c>
      <c r="J102" s="4" t="s">
        <v>248</v>
      </c>
      <c r="K102" s="4" t="s">
        <v>43</v>
      </c>
      <c r="L102" s="4" t="s">
        <v>51</v>
      </c>
      <c r="M102" s="4" t="s">
        <v>40</v>
      </c>
      <c r="N102" s="4" t="s">
        <v>653</v>
      </c>
      <c r="O102" s="4" t="s">
        <v>669</v>
      </c>
      <c r="P102" s="4" t="s">
        <v>42</v>
      </c>
      <c r="Q102" s="50" t="s">
        <v>43</v>
      </c>
      <c r="R102" s="50"/>
      <c r="S102" s="50" t="s">
        <v>51</v>
      </c>
      <c r="T102" s="4" t="s">
        <v>43</v>
      </c>
      <c r="U102" s="4" t="s">
        <v>43</v>
      </c>
      <c r="W102" s="48">
        <v>1</v>
      </c>
      <c r="X102" s="48">
        <v>1</v>
      </c>
      <c r="Y102" s="48">
        <v>3</v>
      </c>
      <c r="AB102" s="48">
        <v>1</v>
      </c>
      <c r="AD102" s="91">
        <f t="shared" si="2"/>
        <v>5.4545454545454541</v>
      </c>
    </row>
    <row r="103" spans="3:30" hidden="1" x14ac:dyDescent="0.25">
      <c r="C103" s="87" t="s">
        <v>894</v>
      </c>
      <c r="D103" s="4" t="s">
        <v>895</v>
      </c>
      <c r="E103" s="4" t="s">
        <v>895</v>
      </c>
      <c r="F103" s="4">
        <v>5</v>
      </c>
      <c r="G103" s="4" t="s">
        <v>376</v>
      </c>
      <c r="H103" s="4" t="s">
        <v>46</v>
      </c>
      <c r="I103" s="4" t="s">
        <v>421</v>
      </c>
      <c r="J103" s="4" t="s">
        <v>73</v>
      </c>
      <c r="K103" s="4" t="s">
        <v>43</v>
      </c>
      <c r="L103" s="4" t="s">
        <v>609</v>
      </c>
      <c r="M103" s="4" t="s">
        <v>40</v>
      </c>
      <c r="N103" s="4" t="s">
        <v>514</v>
      </c>
      <c r="O103" s="4" t="s">
        <v>894</v>
      </c>
      <c r="P103" s="4" t="s">
        <v>42</v>
      </c>
      <c r="Q103" s="50" t="s">
        <v>43</v>
      </c>
      <c r="R103" s="50"/>
      <c r="S103" s="50" t="s">
        <v>886</v>
      </c>
      <c r="T103" s="4" t="s">
        <v>43</v>
      </c>
      <c r="U103" s="4" t="s">
        <v>43</v>
      </c>
      <c r="W103" s="48">
        <v>1</v>
      </c>
      <c r="X103" s="48">
        <v>1</v>
      </c>
      <c r="Y103" s="48">
        <v>3</v>
      </c>
      <c r="AD103" s="91">
        <f t="shared" si="2"/>
        <v>5</v>
      </c>
    </row>
    <row r="104" spans="3:30" x14ac:dyDescent="0.25">
      <c r="C104" s="87" t="s">
        <v>537</v>
      </c>
      <c r="D104" s="4" t="s">
        <v>538</v>
      </c>
      <c r="E104" s="4" t="s">
        <v>538</v>
      </c>
      <c r="F104" s="4">
        <v>6.13</v>
      </c>
      <c r="G104" s="4" t="s">
        <v>376</v>
      </c>
      <c r="H104" s="4" t="s">
        <v>46</v>
      </c>
      <c r="I104" s="4" t="s">
        <v>377</v>
      </c>
      <c r="J104" s="4" t="s">
        <v>100</v>
      </c>
      <c r="K104" s="4" t="s">
        <v>43</v>
      </c>
      <c r="L104" s="4" t="s">
        <v>64</v>
      </c>
      <c r="M104" s="4" t="s">
        <v>40</v>
      </c>
      <c r="N104" s="4" t="s">
        <v>514</v>
      </c>
      <c r="O104" s="4" t="s">
        <v>537</v>
      </c>
      <c r="P104" s="4" t="s">
        <v>379</v>
      </c>
      <c r="Q104" s="50" t="s">
        <v>43</v>
      </c>
      <c r="R104" s="50"/>
      <c r="S104" s="50" t="s">
        <v>515</v>
      </c>
      <c r="T104" s="4" t="s">
        <v>43</v>
      </c>
      <c r="U104" s="4" t="s">
        <v>43</v>
      </c>
      <c r="W104" s="48">
        <v>1</v>
      </c>
      <c r="X104" s="48">
        <v>1</v>
      </c>
      <c r="Y104" s="48">
        <v>3</v>
      </c>
      <c r="Z104" s="48">
        <v>1</v>
      </c>
      <c r="AB104" s="48">
        <v>1</v>
      </c>
      <c r="AD104" s="91">
        <f t="shared" si="2"/>
        <v>6.1363636363636358</v>
      </c>
    </row>
    <row r="105" spans="3:30" hidden="1" x14ac:dyDescent="0.25">
      <c r="C105" s="87" t="s">
        <v>863</v>
      </c>
      <c r="D105" s="4" t="s">
        <v>864</v>
      </c>
      <c r="E105" s="4" t="s">
        <v>864</v>
      </c>
      <c r="F105" s="4">
        <v>8.36</v>
      </c>
      <c r="G105" s="4" t="s">
        <v>376</v>
      </c>
      <c r="H105" s="4" t="s">
        <v>46</v>
      </c>
      <c r="I105" s="4" t="s">
        <v>377</v>
      </c>
      <c r="J105" s="4" t="s">
        <v>132</v>
      </c>
      <c r="K105" s="4" t="s">
        <v>43</v>
      </c>
      <c r="L105" s="4" t="s">
        <v>138</v>
      </c>
      <c r="M105" s="4" t="s">
        <v>40</v>
      </c>
      <c r="N105" s="4" t="s">
        <v>514</v>
      </c>
      <c r="O105" s="4" t="s">
        <v>863</v>
      </c>
      <c r="P105" s="4" t="s">
        <v>379</v>
      </c>
      <c r="Q105" s="50" t="s">
        <v>43</v>
      </c>
      <c r="R105" s="50"/>
      <c r="S105" s="50" t="s">
        <v>847</v>
      </c>
      <c r="T105" s="4" t="s">
        <v>43</v>
      </c>
      <c r="U105" s="4" t="s">
        <v>43</v>
      </c>
      <c r="W105" s="48">
        <v>1</v>
      </c>
      <c r="X105" s="48">
        <v>2</v>
      </c>
      <c r="Y105" s="48">
        <v>4</v>
      </c>
      <c r="Z105" s="48">
        <v>2</v>
      </c>
      <c r="AD105" s="91">
        <f t="shared" si="2"/>
        <v>8.3636363636363633</v>
      </c>
    </row>
    <row r="106" spans="3:30" hidden="1" x14ac:dyDescent="0.25">
      <c r="C106" s="87" t="s">
        <v>896</v>
      </c>
      <c r="D106" s="4" t="s">
        <v>897</v>
      </c>
      <c r="E106" s="4" t="s">
        <v>897</v>
      </c>
      <c r="F106" s="4">
        <v>5</v>
      </c>
      <c r="G106" s="4" t="s">
        <v>376</v>
      </c>
      <c r="H106" s="4" t="s">
        <v>46</v>
      </c>
      <c r="I106" s="4" t="s">
        <v>421</v>
      </c>
      <c r="J106" s="4" t="s">
        <v>73</v>
      </c>
      <c r="K106" s="4" t="s">
        <v>43</v>
      </c>
      <c r="L106" s="4" t="s">
        <v>133</v>
      </c>
      <c r="M106" s="4" t="s">
        <v>40</v>
      </c>
      <c r="N106" s="4" t="s">
        <v>514</v>
      </c>
      <c r="O106" s="4" t="s">
        <v>896</v>
      </c>
      <c r="P106" s="4" t="s">
        <v>42</v>
      </c>
      <c r="Q106" s="50" t="s">
        <v>43</v>
      </c>
      <c r="R106" s="50"/>
      <c r="S106" s="50" t="s">
        <v>886</v>
      </c>
      <c r="T106" s="4" t="s">
        <v>43</v>
      </c>
      <c r="U106" s="4" t="s">
        <v>43</v>
      </c>
      <c r="W106" s="48">
        <v>1</v>
      </c>
      <c r="X106" s="48">
        <v>1</v>
      </c>
      <c r="Y106" s="48">
        <v>3</v>
      </c>
      <c r="AD106" s="91">
        <f t="shared" si="2"/>
        <v>5</v>
      </c>
    </row>
    <row r="107" spans="3:30" hidden="1" x14ac:dyDescent="0.25">
      <c r="C107" s="87" t="s">
        <v>898</v>
      </c>
      <c r="D107" s="4" t="s">
        <v>899</v>
      </c>
      <c r="E107" s="4" t="s">
        <v>899</v>
      </c>
      <c r="F107" s="92">
        <v>5.45</v>
      </c>
      <c r="G107" s="4" t="s">
        <v>376</v>
      </c>
      <c r="H107" s="4" t="s">
        <v>46</v>
      </c>
      <c r="I107" s="4" t="s">
        <v>421</v>
      </c>
      <c r="J107" s="4" t="s">
        <v>73</v>
      </c>
      <c r="K107" s="4" t="s">
        <v>43</v>
      </c>
      <c r="L107" s="4" t="s">
        <v>315</v>
      </c>
      <c r="M107" s="4" t="s">
        <v>40</v>
      </c>
      <c r="N107" s="4" t="s">
        <v>514</v>
      </c>
      <c r="O107" s="4" t="s">
        <v>898</v>
      </c>
      <c r="P107" s="4" t="s">
        <v>42</v>
      </c>
      <c r="Q107" s="50" t="s">
        <v>43</v>
      </c>
      <c r="R107" s="50"/>
      <c r="S107" s="50" t="s">
        <v>886</v>
      </c>
      <c r="T107" s="4" t="s">
        <v>43</v>
      </c>
      <c r="U107" s="4" t="s">
        <v>43</v>
      </c>
      <c r="W107" s="48">
        <v>1</v>
      </c>
      <c r="X107" s="48">
        <v>1</v>
      </c>
      <c r="Y107" s="48">
        <v>3</v>
      </c>
      <c r="AB107" s="48">
        <v>1</v>
      </c>
      <c r="AD107" s="91">
        <f t="shared" si="2"/>
        <v>5.4545454545454541</v>
      </c>
    </row>
    <row r="108" spans="3:30" hidden="1" x14ac:dyDescent="0.25">
      <c r="C108" s="87" t="s">
        <v>950</v>
      </c>
      <c r="D108" s="4" t="s">
        <v>951</v>
      </c>
      <c r="E108" s="4" t="s">
        <v>951</v>
      </c>
      <c r="F108" s="92">
        <v>5.45</v>
      </c>
      <c r="G108" s="4" t="s">
        <v>376</v>
      </c>
      <c r="H108" s="4" t="s">
        <v>46</v>
      </c>
      <c r="I108" s="4" t="s">
        <v>377</v>
      </c>
      <c r="J108" s="4" t="s">
        <v>160</v>
      </c>
      <c r="K108" s="4" t="s">
        <v>43</v>
      </c>
      <c r="L108" s="4" t="s">
        <v>353</v>
      </c>
      <c r="M108" s="4" t="s">
        <v>40</v>
      </c>
      <c r="N108" s="4" t="s">
        <v>378</v>
      </c>
      <c r="O108" s="4" t="s">
        <v>950</v>
      </c>
      <c r="P108" s="4" t="s">
        <v>42</v>
      </c>
      <c r="Q108" s="50" t="s">
        <v>43</v>
      </c>
      <c r="R108" s="50"/>
      <c r="S108" s="50" t="s">
        <v>931</v>
      </c>
      <c r="T108" s="4" t="s">
        <v>43</v>
      </c>
      <c r="U108" s="4" t="s">
        <v>43</v>
      </c>
      <c r="W108" s="48">
        <v>1</v>
      </c>
      <c r="X108" s="48">
        <v>1</v>
      </c>
      <c r="Y108" s="48">
        <v>3</v>
      </c>
      <c r="AB108" s="48">
        <v>1</v>
      </c>
      <c r="AD108" s="91">
        <f t="shared" si="2"/>
        <v>5.4545454545454541</v>
      </c>
    </row>
    <row r="109" spans="3:30" hidden="1" x14ac:dyDescent="0.25">
      <c r="C109" s="87" t="s">
        <v>406</v>
      </c>
      <c r="D109" s="4" t="s">
        <v>407</v>
      </c>
      <c r="E109" s="4" t="s">
        <v>407</v>
      </c>
      <c r="F109" s="92">
        <v>5.45</v>
      </c>
      <c r="G109" s="4" t="s">
        <v>376</v>
      </c>
      <c r="H109" s="4" t="s">
        <v>46</v>
      </c>
      <c r="I109" s="4" t="s">
        <v>377</v>
      </c>
      <c r="J109" s="4" t="s">
        <v>63</v>
      </c>
      <c r="K109" s="4" t="s">
        <v>43</v>
      </c>
      <c r="L109" s="4" t="s">
        <v>138</v>
      </c>
      <c r="M109" s="4" t="s">
        <v>40</v>
      </c>
      <c r="N109" s="4" t="s">
        <v>378</v>
      </c>
      <c r="O109" s="4" t="s">
        <v>406</v>
      </c>
      <c r="P109" s="4" t="s">
        <v>42</v>
      </c>
      <c r="Q109" s="50" t="s">
        <v>43</v>
      </c>
      <c r="R109" s="50"/>
      <c r="S109" s="50" t="s">
        <v>380</v>
      </c>
      <c r="T109" s="4" t="s">
        <v>43</v>
      </c>
      <c r="U109" s="4" t="s">
        <v>43</v>
      </c>
      <c r="W109" s="48">
        <v>1</v>
      </c>
      <c r="X109" s="48">
        <v>1</v>
      </c>
      <c r="Y109" s="48">
        <v>3</v>
      </c>
      <c r="AB109" s="48">
        <v>1</v>
      </c>
      <c r="AD109" s="91">
        <f t="shared" si="2"/>
        <v>5.4545454545454541</v>
      </c>
    </row>
    <row r="110" spans="3:30" hidden="1" x14ac:dyDescent="0.25">
      <c r="C110" s="87" t="s">
        <v>429</v>
      </c>
      <c r="D110" s="4" t="s">
        <v>430</v>
      </c>
      <c r="E110" s="4" t="s">
        <v>431</v>
      </c>
      <c r="F110" s="4">
        <v>6</v>
      </c>
      <c r="G110" s="4" t="s">
        <v>376</v>
      </c>
      <c r="H110" s="4" t="s">
        <v>46</v>
      </c>
      <c r="I110" s="4" t="s">
        <v>421</v>
      </c>
      <c r="J110" s="4" t="s">
        <v>94</v>
      </c>
      <c r="K110" s="4" t="s">
        <v>43</v>
      </c>
      <c r="L110" s="4" t="s">
        <v>64</v>
      </c>
      <c r="M110" s="4" t="s">
        <v>40</v>
      </c>
      <c r="N110" s="4" t="s">
        <v>422</v>
      </c>
      <c r="O110" s="4" t="s">
        <v>429</v>
      </c>
      <c r="P110" s="4" t="s">
        <v>42</v>
      </c>
      <c r="Q110" s="50" t="s">
        <v>43</v>
      </c>
      <c r="R110" s="50"/>
      <c r="S110" s="50" t="s">
        <v>423</v>
      </c>
      <c r="T110" s="4" t="s">
        <v>43</v>
      </c>
      <c r="U110" s="4" t="s">
        <v>43</v>
      </c>
      <c r="W110" s="48">
        <v>1</v>
      </c>
      <c r="X110" s="48">
        <v>2</v>
      </c>
      <c r="Y110" s="48">
        <v>3</v>
      </c>
      <c r="AD110" s="91">
        <f t="shared" si="2"/>
        <v>6</v>
      </c>
    </row>
    <row r="111" spans="3:30" hidden="1" x14ac:dyDescent="0.25">
      <c r="C111" s="87" t="s">
        <v>483</v>
      </c>
      <c r="D111" s="4" t="s">
        <v>484</v>
      </c>
      <c r="E111" s="4" t="s">
        <v>485</v>
      </c>
      <c r="F111" s="4">
        <v>5</v>
      </c>
      <c r="G111" s="4" t="s">
        <v>376</v>
      </c>
      <c r="H111" s="4" t="s">
        <v>46</v>
      </c>
      <c r="I111" s="4" t="s">
        <v>377</v>
      </c>
      <c r="J111" s="4" t="s">
        <v>466</v>
      </c>
      <c r="K111" s="4" t="s">
        <v>43</v>
      </c>
      <c r="L111" s="4" t="s">
        <v>51</v>
      </c>
      <c r="M111" s="4" t="s">
        <v>40</v>
      </c>
      <c r="N111" s="4" t="s">
        <v>378</v>
      </c>
      <c r="O111" s="4" t="s">
        <v>483</v>
      </c>
      <c r="P111" s="4" t="s">
        <v>42</v>
      </c>
      <c r="Q111" s="50" t="s">
        <v>43</v>
      </c>
      <c r="R111" s="50"/>
      <c r="S111" s="50" t="s">
        <v>467</v>
      </c>
      <c r="T111" s="4" t="s">
        <v>43</v>
      </c>
      <c r="U111" s="4" t="s">
        <v>43</v>
      </c>
      <c r="W111" s="48">
        <v>1</v>
      </c>
      <c r="X111" s="48">
        <v>2</v>
      </c>
      <c r="Y111" s="48">
        <v>2</v>
      </c>
      <c r="AD111" s="91">
        <f t="shared" si="2"/>
        <v>5</v>
      </c>
    </row>
    <row r="112" spans="3:30" x14ac:dyDescent="0.25">
      <c r="C112" s="87" t="s">
        <v>539</v>
      </c>
      <c r="D112" s="4" t="s">
        <v>540</v>
      </c>
      <c r="E112" s="4" t="s">
        <v>541</v>
      </c>
      <c r="F112" s="4">
        <v>6.13</v>
      </c>
      <c r="G112" s="4" t="s">
        <v>376</v>
      </c>
      <c r="H112" s="4" t="s">
        <v>46</v>
      </c>
      <c r="I112" s="4" t="s">
        <v>377</v>
      </c>
      <c r="J112" s="4" t="s">
        <v>100</v>
      </c>
      <c r="K112" s="4" t="s">
        <v>43</v>
      </c>
      <c r="L112" s="4" t="s">
        <v>51</v>
      </c>
      <c r="M112" s="4" t="s">
        <v>40</v>
      </c>
      <c r="N112" s="4" t="s">
        <v>514</v>
      </c>
      <c r="O112" s="4" t="s">
        <v>539</v>
      </c>
      <c r="P112" s="4" t="s">
        <v>42</v>
      </c>
      <c r="Q112" s="50" t="s">
        <v>43</v>
      </c>
      <c r="R112" s="50"/>
      <c r="S112" s="50" t="s">
        <v>515</v>
      </c>
      <c r="T112" s="4" t="s">
        <v>43</v>
      </c>
      <c r="U112" s="4" t="s">
        <v>43</v>
      </c>
      <c r="W112" s="48">
        <v>1</v>
      </c>
      <c r="X112" s="48">
        <v>2</v>
      </c>
      <c r="Y112" s="48">
        <v>2</v>
      </c>
      <c r="Z112" s="48">
        <v>1</v>
      </c>
      <c r="AB112" s="48">
        <v>1</v>
      </c>
      <c r="AD112" s="91">
        <f t="shared" si="2"/>
        <v>6.1363636363636358</v>
      </c>
    </row>
    <row r="113" spans="3:30" hidden="1" x14ac:dyDescent="0.25">
      <c r="C113" s="87" t="s">
        <v>432</v>
      </c>
      <c r="D113" s="4" t="s">
        <v>433</v>
      </c>
      <c r="E113" s="4" t="s">
        <v>434</v>
      </c>
      <c r="F113" s="92">
        <v>5.45</v>
      </c>
      <c r="G113" s="4" t="s">
        <v>376</v>
      </c>
      <c r="H113" s="4" t="s">
        <v>46</v>
      </c>
      <c r="I113" s="4" t="s">
        <v>421</v>
      </c>
      <c r="J113" s="4" t="s">
        <v>94</v>
      </c>
      <c r="K113" s="4" t="s">
        <v>43</v>
      </c>
      <c r="L113" s="4" t="s">
        <v>205</v>
      </c>
      <c r="M113" s="4" t="s">
        <v>40</v>
      </c>
      <c r="N113" s="4" t="s">
        <v>422</v>
      </c>
      <c r="O113" s="4" t="s">
        <v>432</v>
      </c>
      <c r="P113" s="4" t="s">
        <v>42</v>
      </c>
      <c r="Q113" s="50" t="s">
        <v>43</v>
      </c>
      <c r="R113" s="50"/>
      <c r="S113" s="50" t="s">
        <v>423</v>
      </c>
      <c r="T113" s="4" t="s">
        <v>43</v>
      </c>
      <c r="U113" s="4" t="s">
        <v>43</v>
      </c>
      <c r="W113" s="48">
        <v>1</v>
      </c>
      <c r="X113" s="48">
        <v>2</v>
      </c>
      <c r="Y113" s="48">
        <v>2</v>
      </c>
      <c r="AB113" s="48">
        <v>1</v>
      </c>
      <c r="AD113" s="91">
        <f t="shared" si="2"/>
        <v>5.4545454545454541</v>
      </c>
    </row>
    <row r="114" spans="3:30" hidden="1" x14ac:dyDescent="0.25">
      <c r="C114" s="87" t="s">
        <v>671</v>
      </c>
      <c r="D114" s="4" t="s">
        <v>672</v>
      </c>
      <c r="E114" s="4" t="s">
        <v>672</v>
      </c>
      <c r="F114" s="4">
        <v>5</v>
      </c>
      <c r="G114" s="4" t="s">
        <v>376</v>
      </c>
      <c r="H114" s="4" t="s">
        <v>46</v>
      </c>
      <c r="I114" s="4" t="s">
        <v>377</v>
      </c>
      <c r="J114" s="4" t="s">
        <v>248</v>
      </c>
      <c r="K114" s="4" t="s">
        <v>43</v>
      </c>
      <c r="L114" s="4" t="s">
        <v>51</v>
      </c>
      <c r="M114" s="4" t="s">
        <v>40</v>
      </c>
      <c r="N114" s="4" t="s">
        <v>653</v>
      </c>
      <c r="O114" s="4" t="s">
        <v>671</v>
      </c>
      <c r="P114" s="4" t="s">
        <v>42</v>
      </c>
      <c r="Q114" s="50" t="s">
        <v>43</v>
      </c>
      <c r="R114" s="50"/>
      <c r="S114" s="50" t="s">
        <v>51</v>
      </c>
      <c r="T114" s="4" t="s">
        <v>43</v>
      </c>
      <c r="U114" s="4" t="s">
        <v>43</v>
      </c>
      <c r="W114" s="48">
        <v>1</v>
      </c>
      <c r="X114" s="48">
        <v>1</v>
      </c>
      <c r="Y114" s="48">
        <v>3</v>
      </c>
      <c r="AD114" s="91">
        <f t="shared" si="2"/>
        <v>5</v>
      </c>
    </row>
    <row r="115" spans="3:30" hidden="1" x14ac:dyDescent="0.25">
      <c r="C115" s="87" t="s">
        <v>567</v>
      </c>
      <c r="D115" s="4" t="s">
        <v>568</v>
      </c>
      <c r="E115" s="4" t="s">
        <v>568</v>
      </c>
      <c r="F115" s="4">
        <v>5</v>
      </c>
      <c r="G115" s="4" t="s">
        <v>376</v>
      </c>
      <c r="H115" s="4" t="s">
        <v>46</v>
      </c>
      <c r="I115" s="4" t="s">
        <v>377</v>
      </c>
      <c r="J115" s="4" t="s">
        <v>331</v>
      </c>
      <c r="K115" s="4" t="s">
        <v>43</v>
      </c>
      <c r="L115" s="4" t="s">
        <v>138</v>
      </c>
      <c r="M115" s="4" t="s">
        <v>40</v>
      </c>
      <c r="N115" s="4" t="s">
        <v>422</v>
      </c>
      <c r="O115" s="4" t="s">
        <v>567</v>
      </c>
      <c r="P115" s="4" t="s">
        <v>42</v>
      </c>
      <c r="Q115" s="50" t="s">
        <v>43</v>
      </c>
      <c r="R115" s="50"/>
      <c r="S115" s="50" t="s">
        <v>557</v>
      </c>
      <c r="T115" s="4" t="s">
        <v>43</v>
      </c>
      <c r="U115" s="4" t="s">
        <v>43</v>
      </c>
      <c r="W115" s="48">
        <v>1</v>
      </c>
      <c r="X115" s="48">
        <v>1</v>
      </c>
      <c r="Y115" s="48">
        <v>3</v>
      </c>
      <c r="AD115" s="91">
        <f t="shared" si="2"/>
        <v>5</v>
      </c>
    </row>
    <row r="116" spans="3:30" hidden="1" x14ac:dyDescent="0.25">
      <c r="C116" s="87" t="s">
        <v>435</v>
      </c>
      <c r="D116" s="4" t="s">
        <v>436</v>
      </c>
      <c r="E116" s="4" t="s">
        <v>436</v>
      </c>
      <c r="F116" s="4">
        <v>5</v>
      </c>
      <c r="G116" s="4" t="s">
        <v>376</v>
      </c>
      <c r="H116" s="4" t="s">
        <v>46</v>
      </c>
      <c r="I116" s="4" t="s">
        <v>421</v>
      </c>
      <c r="J116" s="4" t="s">
        <v>94</v>
      </c>
      <c r="K116" s="4" t="s">
        <v>43</v>
      </c>
      <c r="L116" s="4" t="s">
        <v>64</v>
      </c>
      <c r="M116" s="4" t="s">
        <v>40</v>
      </c>
      <c r="N116" s="4" t="s">
        <v>422</v>
      </c>
      <c r="O116" s="4" t="s">
        <v>435</v>
      </c>
      <c r="P116" s="4" t="s">
        <v>42</v>
      </c>
      <c r="Q116" s="50" t="s">
        <v>43</v>
      </c>
      <c r="R116" s="50"/>
      <c r="S116" s="50" t="s">
        <v>423</v>
      </c>
      <c r="T116" s="4" t="s">
        <v>43</v>
      </c>
      <c r="U116" s="4" t="s">
        <v>43</v>
      </c>
      <c r="W116" s="48">
        <v>1</v>
      </c>
      <c r="X116" s="48">
        <v>1</v>
      </c>
      <c r="Y116" s="48">
        <v>3</v>
      </c>
      <c r="AD116" s="91">
        <f t="shared" si="2"/>
        <v>5</v>
      </c>
    </row>
    <row r="117" spans="3:30" hidden="1" x14ac:dyDescent="0.25">
      <c r="C117" s="87" t="s">
        <v>865</v>
      </c>
      <c r="D117" s="4" t="s">
        <v>866</v>
      </c>
      <c r="E117" s="4" t="s">
        <v>866</v>
      </c>
      <c r="F117" s="4">
        <v>6</v>
      </c>
      <c r="G117" s="4" t="s">
        <v>376</v>
      </c>
      <c r="H117" s="4" t="s">
        <v>46</v>
      </c>
      <c r="I117" s="4" t="s">
        <v>377</v>
      </c>
      <c r="J117" s="4" t="s">
        <v>132</v>
      </c>
      <c r="K117" s="4" t="s">
        <v>43</v>
      </c>
      <c r="L117" s="4" t="s">
        <v>856</v>
      </c>
      <c r="M117" s="4" t="s">
        <v>40</v>
      </c>
      <c r="N117" s="4" t="s">
        <v>514</v>
      </c>
      <c r="O117" s="4" t="s">
        <v>865</v>
      </c>
      <c r="P117" s="4" t="s">
        <v>42</v>
      </c>
      <c r="Q117" s="50" t="s">
        <v>43</v>
      </c>
      <c r="R117" s="50"/>
      <c r="S117" s="50" t="s">
        <v>847</v>
      </c>
      <c r="T117" s="4" t="s">
        <v>43</v>
      </c>
      <c r="U117" s="4" t="s">
        <v>43</v>
      </c>
      <c r="W117" s="48">
        <v>1</v>
      </c>
      <c r="X117" s="48">
        <v>1</v>
      </c>
      <c r="Y117" s="48">
        <v>4</v>
      </c>
      <c r="AD117" s="91">
        <f t="shared" si="2"/>
        <v>6</v>
      </c>
    </row>
    <row r="118" spans="3:30" hidden="1" x14ac:dyDescent="0.25">
      <c r="C118" s="87" t="s">
        <v>486</v>
      </c>
      <c r="D118" s="4" t="s">
        <v>487</v>
      </c>
      <c r="E118" s="4" t="s">
        <v>487</v>
      </c>
      <c r="F118" s="4">
        <v>5</v>
      </c>
      <c r="G118" s="4" t="s">
        <v>376</v>
      </c>
      <c r="H118" s="4" t="s">
        <v>46</v>
      </c>
      <c r="I118" s="4" t="s">
        <v>377</v>
      </c>
      <c r="J118" s="4" t="s">
        <v>466</v>
      </c>
      <c r="K118" s="4" t="s">
        <v>43</v>
      </c>
      <c r="L118" s="4" t="s">
        <v>51</v>
      </c>
      <c r="M118" s="4" t="s">
        <v>40</v>
      </c>
      <c r="N118" s="4" t="s">
        <v>378</v>
      </c>
      <c r="O118" s="4" t="s">
        <v>486</v>
      </c>
      <c r="P118" s="4" t="s">
        <v>42</v>
      </c>
      <c r="Q118" s="50" t="s">
        <v>43</v>
      </c>
      <c r="R118" s="50"/>
      <c r="S118" s="50" t="s">
        <v>467</v>
      </c>
      <c r="T118" s="4" t="s">
        <v>43</v>
      </c>
      <c r="U118" s="4" t="s">
        <v>43</v>
      </c>
      <c r="W118" s="48">
        <v>1</v>
      </c>
      <c r="X118" s="48">
        <v>1</v>
      </c>
      <c r="Y118" s="48">
        <v>3</v>
      </c>
      <c r="AD118" s="91">
        <f t="shared" si="2"/>
        <v>5</v>
      </c>
    </row>
    <row r="119" spans="3:30" hidden="1" x14ac:dyDescent="0.25">
      <c r="C119" s="87" t="s">
        <v>673</v>
      </c>
      <c r="D119" s="4" t="s">
        <v>674</v>
      </c>
      <c r="E119" s="4" t="s">
        <v>674</v>
      </c>
      <c r="F119" s="92">
        <v>5.45</v>
      </c>
      <c r="G119" s="4" t="s">
        <v>376</v>
      </c>
      <c r="H119" s="4" t="s">
        <v>46</v>
      </c>
      <c r="I119" s="4" t="s">
        <v>377</v>
      </c>
      <c r="J119" s="4" t="s">
        <v>248</v>
      </c>
      <c r="K119" s="4" t="s">
        <v>43</v>
      </c>
      <c r="L119" s="4" t="s">
        <v>51</v>
      </c>
      <c r="M119" s="4" t="s">
        <v>40</v>
      </c>
      <c r="N119" s="4" t="s">
        <v>653</v>
      </c>
      <c r="O119" s="4" t="s">
        <v>673</v>
      </c>
      <c r="P119" s="4" t="s">
        <v>42</v>
      </c>
      <c r="Q119" s="50" t="s">
        <v>43</v>
      </c>
      <c r="R119" s="50"/>
      <c r="S119" s="50" t="s">
        <v>51</v>
      </c>
      <c r="T119" s="4" t="s">
        <v>43</v>
      </c>
      <c r="U119" s="4" t="s">
        <v>43</v>
      </c>
      <c r="W119" s="48">
        <v>1</v>
      </c>
      <c r="X119" s="48">
        <v>1</v>
      </c>
      <c r="Y119" s="48">
        <v>3</v>
      </c>
      <c r="AB119" s="48">
        <v>1</v>
      </c>
      <c r="AD119" s="91">
        <f t="shared" si="2"/>
        <v>5.4545454545454541</v>
      </c>
    </row>
    <row r="120" spans="3:30" hidden="1" x14ac:dyDescent="0.25">
      <c r="C120" s="87" t="s">
        <v>569</v>
      </c>
      <c r="D120" s="4" t="s">
        <v>570</v>
      </c>
      <c r="E120" s="4" t="s">
        <v>570</v>
      </c>
      <c r="F120" s="92">
        <v>5.45</v>
      </c>
      <c r="G120" s="4" t="s">
        <v>376</v>
      </c>
      <c r="H120" s="4" t="s">
        <v>46</v>
      </c>
      <c r="I120" s="4" t="s">
        <v>377</v>
      </c>
      <c r="J120" s="4" t="s">
        <v>331</v>
      </c>
      <c r="K120" s="4" t="s">
        <v>43</v>
      </c>
      <c r="L120" s="4" t="s">
        <v>138</v>
      </c>
      <c r="M120" s="4" t="s">
        <v>40</v>
      </c>
      <c r="N120" s="4" t="s">
        <v>422</v>
      </c>
      <c r="O120" s="4" t="s">
        <v>569</v>
      </c>
      <c r="P120" s="4" t="s">
        <v>42</v>
      </c>
      <c r="Q120" s="50" t="s">
        <v>43</v>
      </c>
      <c r="R120" s="50"/>
      <c r="S120" s="50" t="s">
        <v>557</v>
      </c>
      <c r="T120" s="4" t="s">
        <v>43</v>
      </c>
      <c r="U120" s="4" t="s">
        <v>43</v>
      </c>
      <c r="W120" s="48">
        <v>1</v>
      </c>
      <c r="X120" s="48">
        <v>1</v>
      </c>
      <c r="Y120" s="48">
        <v>3</v>
      </c>
      <c r="AB120" s="48">
        <v>1</v>
      </c>
      <c r="AD120" s="91">
        <f t="shared" si="2"/>
        <v>5.4545454545454541</v>
      </c>
    </row>
    <row r="121" spans="3:30" hidden="1" x14ac:dyDescent="0.25">
      <c r="C121" s="87" t="s">
        <v>750</v>
      </c>
      <c r="D121" s="4" t="s">
        <v>751</v>
      </c>
      <c r="E121" s="4" t="s">
        <v>751</v>
      </c>
      <c r="F121" s="4">
        <v>5</v>
      </c>
      <c r="G121" s="4" t="s">
        <v>376</v>
      </c>
      <c r="H121" s="4" t="s">
        <v>46</v>
      </c>
      <c r="I121" s="4" t="s">
        <v>421</v>
      </c>
      <c r="J121" s="4" t="s">
        <v>84</v>
      </c>
      <c r="K121" s="4" t="s">
        <v>440</v>
      </c>
      <c r="L121" s="4" t="s">
        <v>54</v>
      </c>
      <c r="M121" s="4" t="s">
        <v>55</v>
      </c>
      <c r="N121" s="4" t="s">
        <v>653</v>
      </c>
      <c r="O121" s="4" t="s">
        <v>750</v>
      </c>
      <c r="P121" s="4" t="s">
        <v>42</v>
      </c>
      <c r="Q121" s="50" t="s">
        <v>43</v>
      </c>
      <c r="R121" s="50"/>
      <c r="S121" s="50" t="s">
        <v>741</v>
      </c>
      <c r="T121" s="4" t="s">
        <v>43</v>
      </c>
      <c r="U121" s="4" t="s">
        <v>43</v>
      </c>
      <c r="W121" s="48">
        <v>1</v>
      </c>
      <c r="X121" s="48">
        <v>1</v>
      </c>
      <c r="Y121" s="48">
        <v>3</v>
      </c>
      <c r="AD121" s="91">
        <f t="shared" si="2"/>
        <v>5</v>
      </c>
    </row>
    <row r="122" spans="3:30" hidden="1" x14ac:dyDescent="0.25">
      <c r="C122" s="87" t="s">
        <v>488</v>
      </c>
      <c r="D122" s="4" t="s">
        <v>489</v>
      </c>
      <c r="E122" s="4" t="s">
        <v>490</v>
      </c>
      <c r="F122" s="4">
        <v>5</v>
      </c>
      <c r="G122" s="4" t="s">
        <v>376</v>
      </c>
      <c r="H122" s="4" t="s">
        <v>46</v>
      </c>
      <c r="I122" s="4" t="s">
        <v>377</v>
      </c>
      <c r="J122" s="4" t="s">
        <v>466</v>
      </c>
      <c r="K122" s="4" t="s">
        <v>43</v>
      </c>
      <c r="L122" s="4" t="s">
        <v>51</v>
      </c>
      <c r="M122" s="4" t="s">
        <v>40</v>
      </c>
      <c r="N122" s="4" t="s">
        <v>378</v>
      </c>
      <c r="O122" s="4" t="s">
        <v>488</v>
      </c>
      <c r="P122" s="4" t="s">
        <v>42</v>
      </c>
      <c r="Q122" s="50" t="s">
        <v>43</v>
      </c>
      <c r="R122" s="50"/>
      <c r="S122" s="50" t="s">
        <v>467</v>
      </c>
      <c r="T122" s="4" t="s">
        <v>43</v>
      </c>
      <c r="U122" s="4" t="s">
        <v>43</v>
      </c>
      <c r="W122" s="48">
        <v>1</v>
      </c>
      <c r="X122" s="48">
        <v>1</v>
      </c>
      <c r="Y122" s="48">
        <v>3</v>
      </c>
      <c r="AD122" s="91">
        <f t="shared" si="2"/>
        <v>5</v>
      </c>
    </row>
    <row r="123" spans="3:30" hidden="1" x14ac:dyDescent="0.25">
      <c r="C123" s="87" t="s">
        <v>952</v>
      </c>
      <c r="D123" s="4" t="s">
        <v>953</v>
      </c>
      <c r="E123" s="4" t="s">
        <v>953</v>
      </c>
      <c r="F123" s="92">
        <v>5.45</v>
      </c>
      <c r="G123" s="4" t="s">
        <v>376</v>
      </c>
      <c r="H123" s="4" t="s">
        <v>46</v>
      </c>
      <c r="I123" s="4" t="s">
        <v>377</v>
      </c>
      <c r="J123" s="4" t="s">
        <v>160</v>
      </c>
      <c r="K123" s="4" t="s">
        <v>43</v>
      </c>
      <c r="L123" s="4" t="s">
        <v>371</v>
      </c>
      <c r="M123" s="4" t="s">
        <v>40</v>
      </c>
      <c r="N123" s="4" t="s">
        <v>378</v>
      </c>
      <c r="O123" s="4" t="s">
        <v>952</v>
      </c>
      <c r="P123" s="4" t="s">
        <v>42</v>
      </c>
      <c r="Q123" s="50" t="s">
        <v>43</v>
      </c>
      <c r="R123" s="50"/>
      <c r="S123" s="50" t="s">
        <v>931</v>
      </c>
      <c r="T123" s="4" t="s">
        <v>43</v>
      </c>
      <c r="U123" s="4" t="s">
        <v>43</v>
      </c>
      <c r="W123" s="48">
        <v>1</v>
      </c>
      <c r="X123" s="48">
        <v>1</v>
      </c>
      <c r="Y123" s="48">
        <v>3</v>
      </c>
      <c r="AB123" s="48">
        <v>1</v>
      </c>
      <c r="AD123" s="91">
        <f t="shared" si="2"/>
        <v>5.4545454545454541</v>
      </c>
    </row>
    <row r="124" spans="3:30" hidden="1" x14ac:dyDescent="0.25">
      <c r="C124" s="87" t="s">
        <v>675</v>
      </c>
      <c r="D124" s="4" t="s">
        <v>676</v>
      </c>
      <c r="E124" s="4" t="s">
        <v>676</v>
      </c>
      <c r="F124" s="4">
        <v>5</v>
      </c>
      <c r="G124" s="4" t="s">
        <v>376</v>
      </c>
      <c r="H124" s="4" t="s">
        <v>81</v>
      </c>
      <c r="I124" s="4" t="s">
        <v>377</v>
      </c>
      <c r="J124" s="4" t="s">
        <v>248</v>
      </c>
      <c r="K124" s="4" t="s">
        <v>43</v>
      </c>
      <c r="L124" s="4" t="s">
        <v>51</v>
      </c>
      <c r="M124" s="4" t="s">
        <v>40</v>
      </c>
      <c r="N124" s="4" t="s">
        <v>653</v>
      </c>
      <c r="O124" s="4" t="s">
        <v>675</v>
      </c>
      <c r="P124" s="4" t="s">
        <v>42</v>
      </c>
      <c r="Q124" s="50" t="s">
        <v>43</v>
      </c>
      <c r="R124" s="50"/>
      <c r="S124" s="50" t="s">
        <v>51</v>
      </c>
      <c r="T124" s="4" t="s">
        <v>43</v>
      </c>
      <c r="U124" s="4" t="s">
        <v>43</v>
      </c>
      <c r="W124" s="48">
        <v>1</v>
      </c>
      <c r="X124" s="48">
        <v>1</v>
      </c>
      <c r="Y124" s="48">
        <v>3</v>
      </c>
      <c r="AD124" s="91">
        <f t="shared" si="2"/>
        <v>5</v>
      </c>
    </row>
    <row r="125" spans="3:30" hidden="1" x14ac:dyDescent="0.25">
      <c r="C125" s="87" t="s">
        <v>780</v>
      </c>
      <c r="D125" s="4" t="s">
        <v>781</v>
      </c>
      <c r="E125" s="4" t="s">
        <v>781</v>
      </c>
      <c r="F125" s="92">
        <v>5.45</v>
      </c>
      <c r="G125" s="4" t="s">
        <v>376</v>
      </c>
      <c r="H125" s="4" t="s">
        <v>46</v>
      </c>
      <c r="I125" s="4" t="s">
        <v>421</v>
      </c>
      <c r="J125" s="4" t="s">
        <v>89</v>
      </c>
      <c r="K125" s="4" t="s">
        <v>43</v>
      </c>
      <c r="L125" s="4" t="s">
        <v>109</v>
      </c>
      <c r="M125" s="4" t="s">
        <v>91</v>
      </c>
      <c r="N125" s="4" t="s">
        <v>378</v>
      </c>
      <c r="O125" s="4" t="s">
        <v>780</v>
      </c>
      <c r="P125" s="4" t="s">
        <v>42</v>
      </c>
      <c r="Q125" s="50" t="s">
        <v>43</v>
      </c>
      <c r="R125" s="50"/>
      <c r="S125" s="50" t="s">
        <v>772</v>
      </c>
      <c r="T125" s="4" t="s">
        <v>43</v>
      </c>
      <c r="U125" s="4" t="s">
        <v>43</v>
      </c>
      <c r="W125" s="48">
        <v>1</v>
      </c>
      <c r="X125" s="48">
        <v>1</v>
      </c>
      <c r="Y125" s="48">
        <v>3</v>
      </c>
      <c r="AB125" s="48">
        <v>1</v>
      </c>
      <c r="AD125" s="91">
        <f t="shared" si="2"/>
        <v>5.4545454545454541</v>
      </c>
    </row>
    <row r="126" spans="3:30" hidden="1" x14ac:dyDescent="0.25">
      <c r="C126" s="87" t="s">
        <v>618</v>
      </c>
      <c r="D126" s="4" t="s">
        <v>619</v>
      </c>
      <c r="E126" s="4" t="s">
        <v>619</v>
      </c>
      <c r="F126" s="93">
        <v>5.07</v>
      </c>
      <c r="G126" s="4" t="s">
        <v>376</v>
      </c>
      <c r="H126" s="4" t="s">
        <v>46</v>
      </c>
      <c r="I126" s="4" t="s">
        <v>421</v>
      </c>
      <c r="J126" s="4" t="s">
        <v>50</v>
      </c>
      <c r="K126" s="4"/>
      <c r="L126" s="4" t="s">
        <v>59</v>
      </c>
      <c r="M126" s="4" t="s">
        <v>40</v>
      </c>
      <c r="N126" s="4" t="s">
        <v>422</v>
      </c>
      <c r="O126" s="4" t="s">
        <v>618</v>
      </c>
      <c r="P126" s="4" t="s">
        <v>42</v>
      </c>
      <c r="Q126" s="50" t="s">
        <v>43</v>
      </c>
      <c r="R126" s="50"/>
      <c r="S126" s="50" t="s">
        <v>597</v>
      </c>
      <c r="T126" s="4" t="s">
        <v>43</v>
      </c>
      <c r="U126" s="4" t="s">
        <v>43</v>
      </c>
      <c r="W126" s="48">
        <v>1</v>
      </c>
      <c r="X126" s="48">
        <v>1</v>
      </c>
      <c r="AA126" s="48">
        <v>3</v>
      </c>
      <c r="AC126" s="48">
        <v>4</v>
      </c>
      <c r="AD126" s="91">
        <f t="shared" si="2"/>
        <v>5.0681818181818183</v>
      </c>
    </row>
    <row r="127" spans="3:30" hidden="1" x14ac:dyDescent="0.25">
      <c r="C127" s="87" t="s">
        <v>408</v>
      </c>
      <c r="D127" s="4" t="s">
        <v>409</v>
      </c>
      <c r="E127" s="4" t="s">
        <v>410</v>
      </c>
      <c r="F127" s="4">
        <v>5</v>
      </c>
      <c r="G127" s="4" t="s">
        <v>376</v>
      </c>
      <c r="H127" s="4" t="s">
        <v>46</v>
      </c>
      <c r="I127" s="4" t="s">
        <v>377</v>
      </c>
      <c r="J127" s="4" t="s">
        <v>63</v>
      </c>
      <c r="K127" s="4" t="s">
        <v>43</v>
      </c>
      <c r="L127" s="4" t="s">
        <v>138</v>
      </c>
      <c r="M127" s="4" t="s">
        <v>40</v>
      </c>
      <c r="N127" s="4" t="s">
        <v>378</v>
      </c>
      <c r="O127" s="4" t="s">
        <v>408</v>
      </c>
      <c r="P127" s="4" t="s">
        <v>42</v>
      </c>
      <c r="Q127" s="50" t="s">
        <v>43</v>
      </c>
      <c r="R127" s="50"/>
      <c r="S127" s="50" t="s">
        <v>380</v>
      </c>
      <c r="T127" s="4" t="s">
        <v>43</v>
      </c>
      <c r="U127" s="4" t="s">
        <v>43</v>
      </c>
      <c r="W127" s="48">
        <v>1</v>
      </c>
      <c r="X127" s="48">
        <v>2</v>
      </c>
      <c r="Y127" s="48">
        <v>2</v>
      </c>
      <c r="AD127" s="91">
        <f t="shared" si="2"/>
        <v>5</v>
      </c>
    </row>
    <row r="128" spans="3:30" hidden="1" x14ac:dyDescent="0.25">
      <c r="C128" s="87" t="s">
        <v>677</v>
      </c>
      <c r="D128" s="4" t="s">
        <v>678</v>
      </c>
      <c r="E128" s="4" t="s">
        <v>679</v>
      </c>
      <c r="F128" s="4">
        <v>5</v>
      </c>
      <c r="G128" s="4" t="s">
        <v>376</v>
      </c>
      <c r="H128" s="4" t="s">
        <v>46</v>
      </c>
      <c r="I128" s="4" t="s">
        <v>377</v>
      </c>
      <c r="J128" s="4" t="s">
        <v>248</v>
      </c>
      <c r="K128" s="4" t="s">
        <v>43</v>
      </c>
      <c r="L128" s="4" t="s">
        <v>51</v>
      </c>
      <c r="M128" s="4" t="s">
        <v>40</v>
      </c>
      <c r="N128" s="4" t="s">
        <v>653</v>
      </c>
      <c r="O128" s="4" t="s">
        <v>677</v>
      </c>
      <c r="P128" s="4" t="s">
        <v>42</v>
      </c>
      <c r="Q128" s="50" t="s">
        <v>43</v>
      </c>
      <c r="R128" s="50"/>
      <c r="S128" s="50" t="s">
        <v>51</v>
      </c>
      <c r="T128" s="4" t="s">
        <v>43</v>
      </c>
      <c r="U128" s="4" t="s">
        <v>43</v>
      </c>
      <c r="W128" s="48">
        <v>1</v>
      </c>
      <c r="X128" s="48">
        <v>2</v>
      </c>
      <c r="Y128" s="48">
        <v>2</v>
      </c>
      <c r="AD128" s="91">
        <f t="shared" si="2"/>
        <v>5</v>
      </c>
    </row>
    <row r="129" spans="3:30" hidden="1" x14ac:dyDescent="0.25">
      <c r="C129" s="87" t="s">
        <v>571</v>
      </c>
      <c r="D129" s="4" t="s">
        <v>572</v>
      </c>
      <c r="E129" s="4" t="s">
        <v>572</v>
      </c>
      <c r="F129" s="4">
        <v>6</v>
      </c>
      <c r="G129" s="4" t="s">
        <v>376</v>
      </c>
      <c r="H129" s="4" t="s">
        <v>46</v>
      </c>
      <c r="I129" s="4" t="s">
        <v>377</v>
      </c>
      <c r="J129" s="4" t="s">
        <v>331</v>
      </c>
      <c r="K129" s="4" t="s">
        <v>43</v>
      </c>
      <c r="L129" s="4" t="s">
        <v>138</v>
      </c>
      <c r="M129" s="4" t="s">
        <v>40</v>
      </c>
      <c r="N129" s="4" t="s">
        <v>422</v>
      </c>
      <c r="O129" s="4" t="s">
        <v>571</v>
      </c>
      <c r="P129" s="4" t="s">
        <v>42</v>
      </c>
      <c r="Q129" s="50" t="s">
        <v>43</v>
      </c>
      <c r="R129" s="50"/>
      <c r="S129" s="50" t="s">
        <v>557</v>
      </c>
      <c r="T129" s="4" t="s">
        <v>43</v>
      </c>
      <c r="U129" s="4" t="s">
        <v>43</v>
      </c>
      <c r="W129" s="48">
        <v>1</v>
      </c>
      <c r="X129" s="48">
        <v>1</v>
      </c>
      <c r="Y129" s="48">
        <v>4</v>
      </c>
      <c r="AD129" s="91">
        <f t="shared" si="2"/>
        <v>6</v>
      </c>
    </row>
    <row r="130" spans="3:30" hidden="1" x14ac:dyDescent="0.25">
      <c r="C130" s="87" t="s">
        <v>752</v>
      </c>
      <c r="D130" s="4" t="s">
        <v>753</v>
      </c>
      <c r="E130" s="4" t="s">
        <v>753</v>
      </c>
      <c r="F130" s="4">
        <v>8</v>
      </c>
      <c r="G130" s="4" t="s">
        <v>376</v>
      </c>
      <c r="H130" s="4" t="s">
        <v>46</v>
      </c>
      <c r="I130" s="4" t="s">
        <v>421</v>
      </c>
      <c r="J130" s="4" t="s">
        <v>84</v>
      </c>
      <c r="K130" s="4" t="s">
        <v>440</v>
      </c>
      <c r="L130" s="4" t="s">
        <v>54</v>
      </c>
      <c r="M130" s="4" t="s">
        <v>55</v>
      </c>
      <c r="N130" s="4" t="s">
        <v>653</v>
      </c>
      <c r="O130" s="4" t="s">
        <v>752</v>
      </c>
      <c r="P130" s="4" t="s">
        <v>379</v>
      </c>
      <c r="Q130" s="50" t="s">
        <v>43</v>
      </c>
      <c r="R130" s="50"/>
      <c r="S130" s="50" t="s">
        <v>741</v>
      </c>
      <c r="T130" s="4" t="s">
        <v>43</v>
      </c>
      <c r="U130" s="4" t="s">
        <v>43</v>
      </c>
      <c r="W130" s="48">
        <v>1</v>
      </c>
      <c r="X130" s="48">
        <v>2</v>
      </c>
      <c r="Y130" s="48">
        <v>5</v>
      </c>
      <c r="AD130" s="91">
        <f t="shared" si="2"/>
        <v>8</v>
      </c>
    </row>
    <row r="131" spans="3:30" hidden="1" x14ac:dyDescent="0.25">
      <c r="C131" s="87" t="s">
        <v>680</v>
      </c>
      <c r="D131" s="4" t="s">
        <v>681</v>
      </c>
      <c r="E131" s="4" t="s">
        <v>682</v>
      </c>
      <c r="F131" s="4">
        <v>5</v>
      </c>
      <c r="G131" s="4" t="s">
        <v>376</v>
      </c>
      <c r="H131" s="4" t="s">
        <v>46</v>
      </c>
      <c r="I131" s="4" t="s">
        <v>377</v>
      </c>
      <c r="J131" s="4" t="s">
        <v>248</v>
      </c>
      <c r="K131" s="4" t="s">
        <v>43</v>
      </c>
      <c r="L131" s="4" t="s">
        <v>51</v>
      </c>
      <c r="M131" s="4" t="s">
        <v>40</v>
      </c>
      <c r="N131" s="4" t="s">
        <v>653</v>
      </c>
      <c r="O131" s="4" t="s">
        <v>680</v>
      </c>
      <c r="P131" s="4" t="s">
        <v>42</v>
      </c>
      <c r="Q131" s="50" t="s">
        <v>43</v>
      </c>
      <c r="R131" s="50"/>
      <c r="S131" s="50" t="s">
        <v>51</v>
      </c>
      <c r="T131" s="4" t="s">
        <v>43</v>
      </c>
      <c r="U131" s="4" t="s">
        <v>43</v>
      </c>
      <c r="W131" s="48">
        <v>1</v>
      </c>
      <c r="X131" s="48">
        <v>1</v>
      </c>
      <c r="Y131" s="48">
        <v>3</v>
      </c>
      <c r="AD131" s="91">
        <f t="shared" si="2"/>
        <v>5</v>
      </c>
    </row>
    <row r="132" spans="3:30" hidden="1" x14ac:dyDescent="0.25">
      <c r="C132" s="87" t="s">
        <v>954</v>
      </c>
      <c r="D132" s="4" t="s">
        <v>955</v>
      </c>
      <c r="E132" s="4" t="s">
        <v>956</v>
      </c>
      <c r="F132" s="4">
        <v>5</v>
      </c>
      <c r="G132" s="4" t="s">
        <v>376</v>
      </c>
      <c r="H132" s="4" t="s">
        <v>46</v>
      </c>
      <c r="I132" s="4" t="s">
        <v>377</v>
      </c>
      <c r="J132" s="4" t="s">
        <v>160</v>
      </c>
      <c r="K132" s="4" t="s">
        <v>43</v>
      </c>
      <c r="L132" s="4" t="s">
        <v>353</v>
      </c>
      <c r="M132" s="4" t="s">
        <v>40</v>
      </c>
      <c r="N132" s="4" t="s">
        <v>378</v>
      </c>
      <c r="O132" s="4" t="s">
        <v>954</v>
      </c>
      <c r="P132" s="4" t="s">
        <v>42</v>
      </c>
      <c r="Q132" s="50" t="s">
        <v>43</v>
      </c>
      <c r="R132" s="50"/>
      <c r="S132" s="50" t="s">
        <v>931</v>
      </c>
      <c r="T132" s="4" t="s">
        <v>43</v>
      </c>
      <c r="U132" s="4" t="s">
        <v>43</v>
      </c>
      <c r="W132" s="48">
        <v>1</v>
      </c>
      <c r="X132" s="48">
        <v>2</v>
      </c>
      <c r="Y132" s="48">
        <v>2</v>
      </c>
      <c r="AD132" s="91">
        <f t="shared" si="2"/>
        <v>5</v>
      </c>
    </row>
    <row r="133" spans="3:30" hidden="1" x14ac:dyDescent="0.25">
      <c r="C133" s="87" t="s">
        <v>68</v>
      </c>
      <c r="D133" s="4" t="s">
        <v>69</v>
      </c>
      <c r="E133" s="4" t="s">
        <v>70</v>
      </c>
      <c r="F133" s="4" t="s">
        <v>36</v>
      </c>
      <c r="G133" s="4" t="s">
        <v>37</v>
      </c>
      <c r="H133" s="4" t="s">
        <v>38</v>
      </c>
      <c r="I133" s="4"/>
      <c r="J133" s="4" t="s">
        <v>58</v>
      </c>
      <c r="K133" s="4"/>
      <c r="L133" s="4" t="s">
        <v>64</v>
      </c>
      <c r="M133" s="4" t="s">
        <v>40</v>
      </c>
      <c r="N133" s="4" t="s">
        <v>41</v>
      </c>
      <c r="O133" s="4" t="s">
        <v>68</v>
      </c>
      <c r="P133" s="4" t="s">
        <v>42</v>
      </c>
      <c r="Q133" s="50" t="s">
        <v>43</v>
      </c>
      <c r="R133" s="50"/>
      <c r="S133" s="50">
        <v>0</v>
      </c>
      <c r="T133" s="4" t="s">
        <v>43</v>
      </c>
      <c r="U133" s="4" t="s">
        <v>43</v>
      </c>
      <c r="AD133" s="91">
        <f t="shared" si="2"/>
        <v>0</v>
      </c>
    </row>
    <row r="134" spans="3:30" hidden="1" x14ac:dyDescent="0.25">
      <c r="C134" s="87" t="s">
        <v>867</v>
      </c>
      <c r="D134" s="4" t="s">
        <v>868</v>
      </c>
      <c r="E134" s="4" t="s">
        <v>869</v>
      </c>
      <c r="F134" s="4">
        <v>5.07</v>
      </c>
      <c r="G134" s="4" t="s">
        <v>376</v>
      </c>
      <c r="H134" s="4" t="s">
        <v>46</v>
      </c>
      <c r="I134" s="4" t="s">
        <v>377</v>
      </c>
      <c r="J134" s="4" t="s">
        <v>132</v>
      </c>
      <c r="K134" s="4" t="s">
        <v>43</v>
      </c>
      <c r="L134" s="4" t="s">
        <v>856</v>
      </c>
      <c r="M134" s="4" t="s">
        <v>40</v>
      </c>
      <c r="N134" s="4" t="s">
        <v>514</v>
      </c>
      <c r="O134" s="4" t="s">
        <v>867</v>
      </c>
      <c r="P134" s="4" t="s">
        <v>42</v>
      </c>
      <c r="Q134" s="50" t="s">
        <v>43</v>
      </c>
      <c r="R134" s="50"/>
      <c r="S134" s="50" t="s">
        <v>847</v>
      </c>
      <c r="T134" s="4" t="s">
        <v>43</v>
      </c>
      <c r="U134" s="4" t="s">
        <v>32</v>
      </c>
      <c r="W134" s="48">
        <v>1</v>
      </c>
      <c r="X134" s="48">
        <v>1</v>
      </c>
      <c r="AA134" s="48">
        <v>3</v>
      </c>
      <c r="AC134" s="48">
        <v>4</v>
      </c>
      <c r="AD134" s="91">
        <f t="shared" si="2"/>
        <v>5.0681818181818183</v>
      </c>
    </row>
    <row r="135" spans="3:30" hidden="1" x14ac:dyDescent="0.25">
      <c r="C135" s="87" t="s">
        <v>71</v>
      </c>
      <c r="D135" s="4" t="s">
        <v>72</v>
      </c>
      <c r="E135" s="4" t="s">
        <v>72</v>
      </c>
      <c r="F135" s="4">
        <v>0</v>
      </c>
      <c r="G135" s="4" t="s">
        <v>37</v>
      </c>
      <c r="H135" s="4" t="s">
        <v>46</v>
      </c>
      <c r="I135" s="4"/>
      <c r="J135" s="4" t="s">
        <v>73</v>
      </c>
      <c r="K135" s="4"/>
      <c r="L135" s="4" t="s">
        <v>74</v>
      </c>
      <c r="M135" s="4" t="s">
        <v>40</v>
      </c>
      <c r="N135" s="4" t="s">
        <v>41</v>
      </c>
      <c r="O135" s="4" t="s">
        <v>71</v>
      </c>
      <c r="P135" s="4" t="s">
        <v>42</v>
      </c>
      <c r="Q135" s="50" t="s">
        <v>43</v>
      </c>
      <c r="R135" s="50"/>
      <c r="S135" s="50">
        <v>0</v>
      </c>
      <c r="T135" s="4" t="s">
        <v>43</v>
      </c>
      <c r="U135" s="4" t="s">
        <v>43</v>
      </c>
      <c r="AD135" s="91">
        <f t="shared" si="2"/>
        <v>0</v>
      </c>
    </row>
    <row r="136" spans="3:30" hidden="1" x14ac:dyDescent="0.25">
      <c r="C136" s="87" t="s">
        <v>573</v>
      </c>
      <c r="D136" s="4" t="s">
        <v>574</v>
      </c>
      <c r="E136" s="4" t="s">
        <v>575</v>
      </c>
      <c r="F136" s="4">
        <v>7</v>
      </c>
      <c r="G136" s="4" t="s">
        <v>376</v>
      </c>
      <c r="H136" s="4" t="s">
        <v>46</v>
      </c>
      <c r="I136" s="4" t="s">
        <v>377</v>
      </c>
      <c r="J136" s="4" t="s">
        <v>331</v>
      </c>
      <c r="K136" s="4" t="s">
        <v>43</v>
      </c>
      <c r="L136" s="4" t="s">
        <v>138</v>
      </c>
      <c r="M136" s="4" t="s">
        <v>40</v>
      </c>
      <c r="N136" s="4" t="s">
        <v>422</v>
      </c>
      <c r="O136" s="4" t="s">
        <v>573</v>
      </c>
      <c r="P136" s="4" t="s">
        <v>42</v>
      </c>
      <c r="Q136" s="50" t="s">
        <v>43</v>
      </c>
      <c r="R136" s="50"/>
      <c r="S136" s="50" t="s">
        <v>557</v>
      </c>
      <c r="T136" s="4" t="s">
        <v>43</v>
      </c>
      <c r="U136" s="4" t="s">
        <v>43</v>
      </c>
      <c r="W136" s="48">
        <v>1</v>
      </c>
      <c r="X136" s="48">
        <v>2</v>
      </c>
      <c r="Y136" s="48">
        <v>4</v>
      </c>
      <c r="AD136" s="91">
        <f t="shared" si="2"/>
        <v>7</v>
      </c>
    </row>
    <row r="137" spans="3:30" hidden="1" x14ac:dyDescent="0.25">
      <c r="C137" s="87" t="s">
        <v>957</v>
      </c>
      <c r="D137" s="4" t="s">
        <v>958</v>
      </c>
      <c r="E137" s="4" t="s">
        <v>959</v>
      </c>
      <c r="F137" s="92">
        <v>5.45</v>
      </c>
      <c r="G137" s="4" t="s">
        <v>376</v>
      </c>
      <c r="H137" s="4" t="s">
        <v>46</v>
      </c>
      <c r="I137" s="4" t="s">
        <v>377</v>
      </c>
      <c r="J137" s="4" t="s">
        <v>160</v>
      </c>
      <c r="K137" s="4" t="s">
        <v>43</v>
      </c>
      <c r="L137" s="4" t="s">
        <v>39</v>
      </c>
      <c r="M137" s="4" t="s">
        <v>40</v>
      </c>
      <c r="N137" s="4" t="s">
        <v>378</v>
      </c>
      <c r="O137" s="4" t="s">
        <v>957</v>
      </c>
      <c r="P137" s="4" t="s">
        <v>42</v>
      </c>
      <c r="Q137" s="50" t="s">
        <v>43</v>
      </c>
      <c r="R137" s="50"/>
      <c r="S137" s="50" t="s">
        <v>931</v>
      </c>
      <c r="T137" s="4" t="s">
        <v>43</v>
      </c>
      <c r="U137" s="4" t="s">
        <v>43</v>
      </c>
      <c r="W137" s="48">
        <v>1</v>
      </c>
      <c r="X137" s="48">
        <v>2</v>
      </c>
      <c r="Y137" s="48">
        <v>2</v>
      </c>
      <c r="AB137" s="48">
        <v>1</v>
      </c>
      <c r="AD137" s="91">
        <f t="shared" ref="AD137:AD200" si="3">SUMPRODUCT($W$6:$AC$6,W137:AC137)</f>
        <v>5.4545454545454541</v>
      </c>
    </row>
    <row r="138" spans="3:30" hidden="1" x14ac:dyDescent="0.25">
      <c r="C138" s="87" t="s">
        <v>75</v>
      </c>
      <c r="D138" s="4" t="s">
        <v>76</v>
      </c>
      <c r="E138" s="4" t="s">
        <v>77</v>
      </c>
      <c r="F138" s="4" t="s">
        <v>36</v>
      </c>
      <c r="G138" s="4" t="s">
        <v>37</v>
      </c>
      <c r="H138" s="4" t="s">
        <v>38</v>
      </c>
      <c r="I138" s="4"/>
      <c r="J138" s="4">
        <v>0</v>
      </c>
      <c r="K138" s="4"/>
      <c r="L138" s="4" t="s">
        <v>78</v>
      </c>
      <c r="M138" s="4" t="s">
        <v>40</v>
      </c>
      <c r="N138" s="4" t="s">
        <v>41</v>
      </c>
      <c r="O138" s="4" t="s">
        <v>75</v>
      </c>
      <c r="P138" s="4" t="s">
        <v>42</v>
      </c>
      <c r="Q138" s="50" t="s">
        <v>43</v>
      </c>
      <c r="R138" s="50"/>
      <c r="S138" s="50">
        <v>0</v>
      </c>
      <c r="T138" s="4" t="s">
        <v>43</v>
      </c>
      <c r="U138" s="4" t="s">
        <v>43</v>
      </c>
      <c r="AD138" s="91">
        <f t="shared" si="3"/>
        <v>0</v>
      </c>
    </row>
    <row r="139" spans="3:30" hidden="1" x14ac:dyDescent="0.25">
      <c r="C139" s="87" t="s">
        <v>491</v>
      </c>
      <c r="D139" s="4" t="s">
        <v>492</v>
      </c>
      <c r="E139" s="4" t="s">
        <v>493</v>
      </c>
      <c r="F139" s="4">
        <v>5</v>
      </c>
      <c r="G139" s="4" t="s">
        <v>376</v>
      </c>
      <c r="H139" s="4" t="s">
        <v>46</v>
      </c>
      <c r="I139" s="4" t="s">
        <v>377</v>
      </c>
      <c r="J139" s="4" t="s">
        <v>466</v>
      </c>
      <c r="K139" s="4" t="s">
        <v>43</v>
      </c>
      <c r="L139" s="4" t="s">
        <v>51</v>
      </c>
      <c r="M139" s="4" t="s">
        <v>40</v>
      </c>
      <c r="N139" s="4" t="s">
        <v>378</v>
      </c>
      <c r="O139" s="4" t="s">
        <v>491</v>
      </c>
      <c r="P139" s="4" t="s">
        <v>42</v>
      </c>
      <c r="Q139" s="50" t="s">
        <v>43</v>
      </c>
      <c r="R139" s="50"/>
      <c r="S139" s="50" t="s">
        <v>467</v>
      </c>
      <c r="T139" s="4" t="s">
        <v>43</v>
      </c>
      <c r="U139" s="4" t="s">
        <v>43</v>
      </c>
      <c r="W139" s="48">
        <v>1</v>
      </c>
      <c r="X139" s="48">
        <v>2</v>
      </c>
      <c r="Y139" s="48">
        <v>2</v>
      </c>
      <c r="AD139" s="91">
        <f t="shared" si="3"/>
        <v>5</v>
      </c>
    </row>
    <row r="140" spans="3:30" hidden="1" x14ac:dyDescent="0.25">
      <c r="C140" s="87" t="s">
        <v>494</v>
      </c>
      <c r="D140" s="4" t="s">
        <v>495</v>
      </c>
      <c r="E140" s="4" t="s">
        <v>496</v>
      </c>
      <c r="F140" s="4">
        <v>5.07</v>
      </c>
      <c r="G140" s="4" t="s">
        <v>376</v>
      </c>
      <c r="H140" s="4" t="s">
        <v>46</v>
      </c>
      <c r="I140" s="4" t="s">
        <v>377</v>
      </c>
      <c r="J140" s="4" t="s">
        <v>466</v>
      </c>
      <c r="K140" s="4" t="s">
        <v>43</v>
      </c>
      <c r="L140" s="4" t="s">
        <v>51</v>
      </c>
      <c r="M140" s="4" t="s">
        <v>40</v>
      </c>
      <c r="N140" s="4" t="s">
        <v>378</v>
      </c>
      <c r="O140" s="4" t="s">
        <v>494</v>
      </c>
      <c r="P140" s="4" t="s">
        <v>42</v>
      </c>
      <c r="Q140" s="50" t="s">
        <v>43</v>
      </c>
      <c r="R140" s="50"/>
      <c r="S140" s="50" t="s">
        <v>467</v>
      </c>
      <c r="T140" s="4" t="s">
        <v>43</v>
      </c>
      <c r="U140" s="4" t="s">
        <v>32</v>
      </c>
      <c r="W140" s="48">
        <v>1</v>
      </c>
      <c r="X140" s="48">
        <v>1</v>
      </c>
      <c r="AA140" s="48">
        <v>3</v>
      </c>
      <c r="AC140" s="48">
        <v>4</v>
      </c>
      <c r="AD140" s="91">
        <f t="shared" si="3"/>
        <v>5.0681818181818183</v>
      </c>
    </row>
    <row r="141" spans="3:30" hidden="1" x14ac:dyDescent="0.25">
      <c r="C141" s="87" t="s">
        <v>542</v>
      </c>
      <c r="D141" s="4" t="s">
        <v>543</v>
      </c>
      <c r="E141" s="4" t="s">
        <v>543</v>
      </c>
      <c r="F141" s="4">
        <v>6</v>
      </c>
      <c r="G141" s="4" t="s">
        <v>376</v>
      </c>
      <c r="H141" s="4" t="s">
        <v>46</v>
      </c>
      <c r="I141" s="4" t="s">
        <v>377</v>
      </c>
      <c r="J141" s="4" t="s">
        <v>100</v>
      </c>
      <c r="K141" s="4" t="s">
        <v>43</v>
      </c>
      <c r="L141" s="4" t="s">
        <v>138</v>
      </c>
      <c r="M141" s="4" t="s">
        <v>40</v>
      </c>
      <c r="N141" s="4" t="s">
        <v>514</v>
      </c>
      <c r="O141" s="4" t="s">
        <v>542</v>
      </c>
      <c r="P141" s="4" t="s">
        <v>42</v>
      </c>
      <c r="Q141" s="50" t="s">
        <v>43</v>
      </c>
      <c r="R141" s="50"/>
      <c r="S141" s="50" t="s">
        <v>515</v>
      </c>
      <c r="T141" s="4" t="s">
        <v>43</v>
      </c>
      <c r="U141" s="4" t="s">
        <v>43</v>
      </c>
      <c r="W141" s="48">
        <v>1</v>
      </c>
      <c r="X141" s="48">
        <v>1</v>
      </c>
      <c r="Y141" s="48">
        <v>4</v>
      </c>
      <c r="AD141" s="91">
        <f t="shared" si="3"/>
        <v>6</v>
      </c>
    </row>
    <row r="142" spans="3:30" hidden="1" x14ac:dyDescent="0.25">
      <c r="C142" s="87" t="s">
        <v>544</v>
      </c>
      <c r="D142" s="4" t="s">
        <v>545</v>
      </c>
      <c r="E142" s="4" t="s">
        <v>545</v>
      </c>
      <c r="F142" s="4">
        <v>5</v>
      </c>
      <c r="G142" s="4" t="s">
        <v>376</v>
      </c>
      <c r="H142" s="4" t="s">
        <v>46</v>
      </c>
      <c r="I142" s="4" t="s">
        <v>377</v>
      </c>
      <c r="J142" s="4" t="s">
        <v>100</v>
      </c>
      <c r="K142" s="4" t="s">
        <v>43</v>
      </c>
      <c r="L142" s="4" t="s">
        <v>138</v>
      </c>
      <c r="M142" s="4" t="s">
        <v>40</v>
      </c>
      <c r="N142" s="4" t="s">
        <v>514</v>
      </c>
      <c r="O142" s="4" t="s">
        <v>544</v>
      </c>
      <c r="P142" s="4" t="s">
        <v>42</v>
      </c>
      <c r="Q142" s="50" t="s">
        <v>43</v>
      </c>
      <c r="R142" s="50"/>
      <c r="S142" s="50" t="s">
        <v>515</v>
      </c>
      <c r="T142" s="4" t="s">
        <v>43</v>
      </c>
      <c r="U142" s="4" t="s">
        <v>43</v>
      </c>
      <c r="W142" s="48">
        <v>1</v>
      </c>
      <c r="X142" s="48">
        <v>1</v>
      </c>
      <c r="Y142" s="48">
        <v>3</v>
      </c>
      <c r="AD142" s="91">
        <f t="shared" si="3"/>
        <v>5</v>
      </c>
    </row>
    <row r="143" spans="3:30" hidden="1" x14ac:dyDescent="0.25">
      <c r="C143" s="87" t="s">
        <v>810</v>
      </c>
      <c r="D143" s="4" t="s">
        <v>811</v>
      </c>
      <c r="E143" s="4" t="s">
        <v>811</v>
      </c>
      <c r="F143" s="4">
        <v>5</v>
      </c>
      <c r="G143" s="4" t="s">
        <v>376</v>
      </c>
      <c r="H143" s="4" t="s">
        <v>46</v>
      </c>
      <c r="I143" s="4" t="s">
        <v>421</v>
      </c>
      <c r="J143" s="4" t="s">
        <v>146</v>
      </c>
      <c r="K143" s="4" t="s">
        <v>43</v>
      </c>
      <c r="L143" s="4" t="s">
        <v>59</v>
      </c>
      <c r="M143" s="4" t="s">
        <v>40</v>
      </c>
      <c r="N143" s="4" t="s">
        <v>653</v>
      </c>
      <c r="O143" s="4" t="s">
        <v>810</v>
      </c>
      <c r="P143" s="4" t="s">
        <v>42</v>
      </c>
      <c r="Q143" s="50" t="s">
        <v>43</v>
      </c>
      <c r="R143" s="50"/>
      <c r="S143" s="50" t="s">
        <v>799</v>
      </c>
      <c r="T143" s="4" t="s">
        <v>43</v>
      </c>
      <c r="U143" s="4" t="s">
        <v>43</v>
      </c>
      <c r="W143" s="48">
        <v>1</v>
      </c>
      <c r="X143" s="48">
        <v>1</v>
      </c>
      <c r="Y143" s="48">
        <v>3</v>
      </c>
      <c r="AD143" s="91">
        <f t="shared" si="3"/>
        <v>5</v>
      </c>
    </row>
    <row r="144" spans="3:30" hidden="1" x14ac:dyDescent="0.25">
      <c r="C144" s="87" t="s">
        <v>79</v>
      </c>
      <c r="D144" s="4" t="s">
        <v>80</v>
      </c>
      <c r="E144" s="4" t="s">
        <v>80</v>
      </c>
      <c r="F144" s="4" t="s">
        <v>36</v>
      </c>
      <c r="G144" s="4" t="s">
        <v>37</v>
      </c>
      <c r="H144" s="4" t="s">
        <v>81</v>
      </c>
      <c r="I144" s="4"/>
      <c r="J144" s="4">
        <v>0</v>
      </c>
      <c r="K144" s="4"/>
      <c r="L144" s="4" t="s">
        <v>59</v>
      </c>
      <c r="M144" s="4" t="s">
        <v>40</v>
      </c>
      <c r="N144" s="4" t="s">
        <v>41</v>
      </c>
      <c r="O144" s="4" t="s">
        <v>79</v>
      </c>
      <c r="P144" s="4" t="s">
        <v>42</v>
      </c>
      <c r="Q144" s="50" t="s">
        <v>43</v>
      </c>
      <c r="R144" s="50"/>
      <c r="S144" s="50">
        <v>0</v>
      </c>
      <c r="T144" s="4" t="s">
        <v>43</v>
      </c>
      <c r="U144" s="4" t="s">
        <v>43</v>
      </c>
      <c r="AD144" s="91">
        <f t="shared" si="3"/>
        <v>0</v>
      </c>
    </row>
    <row r="145" spans="3:30" hidden="1" x14ac:dyDescent="0.25">
      <c r="C145" s="87" t="s">
        <v>870</v>
      </c>
      <c r="D145" s="4" t="s">
        <v>871</v>
      </c>
      <c r="E145" s="4" t="s">
        <v>871</v>
      </c>
      <c r="F145" s="4">
        <v>5</v>
      </c>
      <c r="G145" s="4" t="s">
        <v>376</v>
      </c>
      <c r="H145" s="4" t="s">
        <v>46</v>
      </c>
      <c r="I145" s="4" t="s">
        <v>377</v>
      </c>
      <c r="J145" s="4" t="s">
        <v>132</v>
      </c>
      <c r="K145" s="4" t="s">
        <v>43</v>
      </c>
      <c r="L145" s="4" t="s">
        <v>856</v>
      </c>
      <c r="M145" s="4" t="s">
        <v>40</v>
      </c>
      <c r="N145" s="4" t="s">
        <v>514</v>
      </c>
      <c r="O145" s="4" t="s">
        <v>870</v>
      </c>
      <c r="P145" s="4" t="s">
        <v>42</v>
      </c>
      <c r="Q145" s="50" t="s">
        <v>43</v>
      </c>
      <c r="R145" s="50"/>
      <c r="S145" s="50" t="s">
        <v>847</v>
      </c>
      <c r="T145" s="4" t="s">
        <v>43</v>
      </c>
      <c r="U145" s="4" t="s">
        <v>43</v>
      </c>
      <c r="W145" s="48">
        <v>1</v>
      </c>
      <c r="X145" s="48">
        <v>1</v>
      </c>
      <c r="Y145" s="48">
        <v>3</v>
      </c>
      <c r="AD145" s="91">
        <f t="shared" si="3"/>
        <v>5</v>
      </c>
    </row>
    <row r="146" spans="3:30" hidden="1" x14ac:dyDescent="0.25">
      <c r="C146" s="87">
        <v>50096</v>
      </c>
      <c r="D146" s="4" t="s">
        <v>683</v>
      </c>
      <c r="E146" s="4" t="s">
        <v>684</v>
      </c>
      <c r="F146" s="4">
        <v>5</v>
      </c>
      <c r="G146" s="4" t="s">
        <v>376</v>
      </c>
      <c r="H146" s="4" t="s">
        <v>81</v>
      </c>
      <c r="I146" s="4" t="s">
        <v>377</v>
      </c>
      <c r="J146" s="4" t="s">
        <v>248</v>
      </c>
      <c r="K146" s="4" t="s">
        <v>43</v>
      </c>
      <c r="L146" s="4" t="s">
        <v>51</v>
      </c>
      <c r="M146" s="4" t="s">
        <v>40</v>
      </c>
      <c r="N146" s="4" t="s">
        <v>653</v>
      </c>
      <c r="O146" s="4">
        <v>50096</v>
      </c>
      <c r="P146" s="4" t="s">
        <v>42</v>
      </c>
      <c r="Q146" s="50" t="s">
        <v>43</v>
      </c>
      <c r="R146" s="50"/>
      <c r="S146" s="50" t="s">
        <v>51</v>
      </c>
      <c r="T146" s="4" t="s">
        <v>43</v>
      </c>
      <c r="U146" s="4" t="s">
        <v>43</v>
      </c>
      <c r="W146" s="48">
        <v>1</v>
      </c>
      <c r="X146" s="48">
        <v>1</v>
      </c>
      <c r="Y146" s="48">
        <v>3</v>
      </c>
      <c r="AD146" s="91">
        <f t="shared" si="3"/>
        <v>5</v>
      </c>
    </row>
    <row r="147" spans="3:30" hidden="1" x14ac:dyDescent="0.25">
      <c r="C147" s="87">
        <v>50724</v>
      </c>
      <c r="D147" s="4" t="s">
        <v>900</v>
      </c>
      <c r="E147" s="4" t="s">
        <v>900</v>
      </c>
      <c r="F147" s="4">
        <v>5</v>
      </c>
      <c r="G147" s="4" t="s">
        <v>376</v>
      </c>
      <c r="H147" s="4" t="s">
        <v>46</v>
      </c>
      <c r="I147" s="4" t="s">
        <v>421</v>
      </c>
      <c r="J147" s="4" t="s">
        <v>73</v>
      </c>
      <c r="K147" s="4" t="s">
        <v>43</v>
      </c>
      <c r="L147" s="4" t="s">
        <v>609</v>
      </c>
      <c r="M147" s="4" t="s">
        <v>40</v>
      </c>
      <c r="N147" s="4" t="s">
        <v>514</v>
      </c>
      <c r="O147" s="4">
        <v>50724</v>
      </c>
      <c r="P147" s="4" t="s">
        <v>42</v>
      </c>
      <c r="Q147" s="50" t="s">
        <v>43</v>
      </c>
      <c r="R147" s="50"/>
      <c r="S147" s="50" t="s">
        <v>886</v>
      </c>
      <c r="T147" s="4" t="s">
        <v>43</v>
      </c>
      <c r="U147" s="4" t="s">
        <v>43</v>
      </c>
      <c r="W147" s="48">
        <v>1</v>
      </c>
      <c r="X147" s="48">
        <v>1</v>
      </c>
      <c r="Y147" s="48">
        <v>3</v>
      </c>
      <c r="AD147" s="91">
        <f t="shared" si="3"/>
        <v>5</v>
      </c>
    </row>
    <row r="148" spans="3:30" hidden="1" x14ac:dyDescent="0.25">
      <c r="C148" s="87">
        <v>50863</v>
      </c>
      <c r="D148" s="4" t="s">
        <v>901</v>
      </c>
      <c r="E148" s="4" t="s">
        <v>902</v>
      </c>
      <c r="F148" s="4">
        <v>5</v>
      </c>
      <c r="G148" s="4" t="s">
        <v>376</v>
      </c>
      <c r="H148" s="4" t="s">
        <v>81</v>
      </c>
      <c r="I148" s="4" t="s">
        <v>421</v>
      </c>
      <c r="J148" s="4" t="s">
        <v>73</v>
      </c>
      <c r="K148" s="4" t="s">
        <v>43</v>
      </c>
      <c r="L148" s="4" t="s">
        <v>364</v>
      </c>
      <c r="M148" s="4" t="s">
        <v>40</v>
      </c>
      <c r="N148" s="4" t="s">
        <v>514</v>
      </c>
      <c r="O148" s="4">
        <v>50863</v>
      </c>
      <c r="P148" s="4" t="s">
        <v>42</v>
      </c>
      <c r="Q148" s="50" t="s">
        <v>43</v>
      </c>
      <c r="R148" s="50"/>
      <c r="S148" s="50" t="s">
        <v>886</v>
      </c>
      <c r="T148" s="4" t="s">
        <v>43</v>
      </c>
      <c r="U148" s="4" t="s">
        <v>43</v>
      </c>
      <c r="W148" s="48">
        <v>1</v>
      </c>
      <c r="X148" s="48">
        <v>1</v>
      </c>
      <c r="Y148" s="48">
        <v>3</v>
      </c>
      <c r="AD148" s="91">
        <f t="shared" si="3"/>
        <v>5</v>
      </c>
    </row>
    <row r="149" spans="3:30" hidden="1" x14ac:dyDescent="0.25">
      <c r="C149" s="87" t="s">
        <v>82</v>
      </c>
      <c r="D149" s="4" t="s">
        <v>83</v>
      </c>
      <c r="E149" s="4" t="s">
        <v>83</v>
      </c>
      <c r="F149" s="4" t="s">
        <v>36</v>
      </c>
      <c r="G149" s="4" t="s">
        <v>37</v>
      </c>
      <c r="H149" s="4" t="s">
        <v>81</v>
      </c>
      <c r="I149" s="4"/>
      <c r="J149" s="4" t="s">
        <v>84</v>
      </c>
      <c r="K149" s="4"/>
      <c r="L149" s="4" t="s">
        <v>85</v>
      </c>
      <c r="M149" s="4" t="s">
        <v>55</v>
      </c>
      <c r="N149" s="4" t="s">
        <v>41</v>
      </c>
      <c r="O149" s="4" t="s">
        <v>82</v>
      </c>
      <c r="P149" s="4" t="s">
        <v>42</v>
      </c>
      <c r="Q149" s="50" t="s">
        <v>43</v>
      </c>
      <c r="R149" s="50"/>
      <c r="S149" s="50">
        <v>0</v>
      </c>
      <c r="T149" s="4" t="s">
        <v>43</v>
      </c>
      <c r="U149" s="4" t="s">
        <v>43</v>
      </c>
      <c r="AD149" s="91">
        <f t="shared" si="3"/>
        <v>0</v>
      </c>
    </row>
    <row r="150" spans="3:30" hidden="1" x14ac:dyDescent="0.25">
      <c r="C150" s="87" t="s">
        <v>86</v>
      </c>
      <c r="D150" s="4" t="s">
        <v>87</v>
      </c>
      <c r="E150" s="4" t="s">
        <v>87</v>
      </c>
      <c r="F150" s="4" t="s">
        <v>36</v>
      </c>
      <c r="G150" s="4" t="s">
        <v>37</v>
      </c>
      <c r="H150" s="4" t="s">
        <v>88</v>
      </c>
      <c r="I150" s="4"/>
      <c r="J150" s="4" t="s">
        <v>89</v>
      </c>
      <c r="K150" s="4"/>
      <c r="L150" s="4" t="s">
        <v>90</v>
      </c>
      <c r="M150" s="4" t="s">
        <v>91</v>
      </c>
      <c r="N150" s="4" t="s">
        <v>41</v>
      </c>
      <c r="O150" s="4" t="s">
        <v>86</v>
      </c>
      <c r="P150" s="4" t="s">
        <v>42</v>
      </c>
      <c r="Q150" s="50" t="s">
        <v>43</v>
      </c>
      <c r="R150" s="50"/>
      <c r="S150" s="50">
        <v>0</v>
      </c>
      <c r="T150" s="4" t="s">
        <v>43</v>
      </c>
      <c r="U150" s="4" t="s">
        <v>43</v>
      </c>
      <c r="AD150" s="91">
        <f t="shared" si="3"/>
        <v>0</v>
      </c>
    </row>
    <row r="151" spans="3:30" hidden="1" x14ac:dyDescent="0.25">
      <c r="C151" s="87" t="s">
        <v>576</v>
      </c>
      <c r="D151" s="4" t="s">
        <v>577</v>
      </c>
      <c r="E151" s="4" t="s">
        <v>577</v>
      </c>
      <c r="F151" s="4">
        <v>5</v>
      </c>
      <c r="G151" s="4" t="s">
        <v>376</v>
      </c>
      <c r="H151" s="4" t="s">
        <v>46</v>
      </c>
      <c r="I151" s="4" t="s">
        <v>377</v>
      </c>
      <c r="J151" s="4" t="s">
        <v>331</v>
      </c>
      <c r="K151" s="4" t="s">
        <v>43</v>
      </c>
      <c r="L151" s="4" t="s">
        <v>138</v>
      </c>
      <c r="M151" s="4" t="s">
        <v>40</v>
      </c>
      <c r="N151" s="4" t="s">
        <v>422</v>
      </c>
      <c r="O151" s="4" t="s">
        <v>576</v>
      </c>
      <c r="P151" s="4" t="s">
        <v>42</v>
      </c>
      <c r="Q151" s="50" t="s">
        <v>43</v>
      </c>
      <c r="R151" s="50"/>
      <c r="S151" s="50" t="s">
        <v>557</v>
      </c>
      <c r="T151" s="4" t="s">
        <v>43</v>
      </c>
      <c r="U151" s="4" t="s">
        <v>43</v>
      </c>
      <c r="W151" s="48">
        <v>1</v>
      </c>
      <c r="X151" s="48">
        <v>1</v>
      </c>
      <c r="Y151" s="48">
        <v>3</v>
      </c>
      <c r="AD151" s="91">
        <f t="shared" si="3"/>
        <v>5</v>
      </c>
    </row>
    <row r="152" spans="3:30" hidden="1" x14ac:dyDescent="0.25">
      <c r="C152" s="87" t="s">
        <v>92</v>
      </c>
      <c r="D152" s="4" t="s">
        <v>93</v>
      </c>
      <c r="E152" s="4" t="s">
        <v>93</v>
      </c>
      <c r="F152" s="4" t="s">
        <v>36</v>
      </c>
      <c r="G152" s="4" t="s">
        <v>37</v>
      </c>
      <c r="H152" s="4" t="s">
        <v>81</v>
      </c>
      <c r="I152" s="4"/>
      <c r="J152" s="4" t="s">
        <v>94</v>
      </c>
      <c r="K152" s="4"/>
      <c r="L152" s="4" t="s">
        <v>64</v>
      </c>
      <c r="M152" s="4" t="s">
        <v>40</v>
      </c>
      <c r="N152" s="4" t="s">
        <v>41</v>
      </c>
      <c r="O152" s="4" t="s">
        <v>92</v>
      </c>
      <c r="P152" s="4" t="s">
        <v>42</v>
      </c>
      <c r="Q152" s="50" t="s">
        <v>43</v>
      </c>
      <c r="R152" s="50"/>
      <c r="S152" s="50">
        <v>0</v>
      </c>
      <c r="T152" s="4" t="s">
        <v>43</v>
      </c>
      <c r="U152" s="4" t="s">
        <v>43</v>
      </c>
      <c r="AD152" s="91">
        <f t="shared" si="3"/>
        <v>0</v>
      </c>
    </row>
    <row r="153" spans="3:30" hidden="1" x14ac:dyDescent="0.25">
      <c r="C153" s="87" t="s">
        <v>782</v>
      </c>
      <c r="D153" s="4" t="s">
        <v>783</v>
      </c>
      <c r="E153" s="4" t="s">
        <v>783</v>
      </c>
      <c r="F153" s="4">
        <v>5</v>
      </c>
      <c r="G153" s="4" t="s">
        <v>376</v>
      </c>
      <c r="H153" s="4" t="s">
        <v>81</v>
      </c>
      <c r="I153" s="4" t="s">
        <v>421</v>
      </c>
      <c r="J153" s="4" t="s">
        <v>89</v>
      </c>
      <c r="K153" s="4" t="s">
        <v>43</v>
      </c>
      <c r="L153" s="4" t="s">
        <v>103</v>
      </c>
      <c r="M153" s="4" t="s">
        <v>104</v>
      </c>
      <c r="N153" s="4" t="s">
        <v>378</v>
      </c>
      <c r="O153" s="4" t="s">
        <v>782</v>
      </c>
      <c r="P153" s="4" t="s">
        <v>42</v>
      </c>
      <c r="Q153" s="50" t="s">
        <v>43</v>
      </c>
      <c r="R153" s="50"/>
      <c r="S153" s="50" t="s">
        <v>772</v>
      </c>
      <c r="T153" s="4" t="s">
        <v>43</v>
      </c>
      <c r="U153" s="4" t="s">
        <v>43</v>
      </c>
      <c r="W153" s="48">
        <v>1</v>
      </c>
      <c r="X153" s="48">
        <v>1</v>
      </c>
      <c r="Y153" s="48">
        <v>3</v>
      </c>
      <c r="AD153" s="91">
        <f t="shared" si="3"/>
        <v>5</v>
      </c>
    </row>
    <row r="154" spans="3:30" hidden="1" x14ac:dyDescent="0.25">
      <c r="C154" s="87" t="s">
        <v>95</v>
      </c>
      <c r="D154" s="4" t="s">
        <v>96</v>
      </c>
      <c r="E154" s="4" t="s">
        <v>96</v>
      </c>
      <c r="F154" s="4" t="s">
        <v>36</v>
      </c>
      <c r="G154" s="4" t="s">
        <v>37</v>
      </c>
      <c r="H154" s="4" t="s">
        <v>81</v>
      </c>
      <c r="I154" s="4"/>
      <c r="J154" s="4">
        <v>0</v>
      </c>
      <c r="K154" s="4"/>
      <c r="L154" s="4" t="s">
        <v>97</v>
      </c>
      <c r="M154" s="4" t="s">
        <v>40</v>
      </c>
      <c r="N154" s="4" t="s">
        <v>41</v>
      </c>
      <c r="O154" s="4" t="s">
        <v>95</v>
      </c>
      <c r="P154" s="4" t="s">
        <v>42</v>
      </c>
      <c r="Q154" s="50" t="s">
        <v>43</v>
      </c>
      <c r="R154" s="50"/>
      <c r="S154" s="50">
        <v>0</v>
      </c>
      <c r="T154" s="4" t="s">
        <v>43</v>
      </c>
      <c r="U154" s="4" t="s">
        <v>43</v>
      </c>
      <c r="AD154" s="91">
        <f t="shared" si="3"/>
        <v>0</v>
      </c>
    </row>
    <row r="155" spans="3:30" hidden="1" x14ac:dyDescent="0.25">
      <c r="C155" s="87" t="s">
        <v>98</v>
      </c>
      <c r="D155" s="4" t="s">
        <v>99</v>
      </c>
      <c r="E155" s="4" t="s">
        <v>99</v>
      </c>
      <c r="F155" s="4" t="s">
        <v>36</v>
      </c>
      <c r="G155" s="4" t="s">
        <v>37</v>
      </c>
      <c r="H155" s="4" t="s">
        <v>81</v>
      </c>
      <c r="I155" s="4"/>
      <c r="J155" s="4" t="s">
        <v>100</v>
      </c>
      <c r="K155" s="4"/>
      <c r="L155" s="4" t="s">
        <v>59</v>
      </c>
      <c r="M155" s="4" t="s">
        <v>40</v>
      </c>
      <c r="N155" s="4" t="s">
        <v>41</v>
      </c>
      <c r="O155" s="4" t="s">
        <v>98</v>
      </c>
      <c r="P155" s="4" t="s">
        <v>42</v>
      </c>
      <c r="Q155" s="50" t="s">
        <v>43</v>
      </c>
      <c r="R155" s="50"/>
      <c r="S155" s="50">
        <v>0</v>
      </c>
      <c r="T155" s="4" t="s">
        <v>43</v>
      </c>
      <c r="U155" s="4" t="s">
        <v>43</v>
      </c>
      <c r="AD155" s="91">
        <f t="shared" si="3"/>
        <v>0</v>
      </c>
    </row>
    <row r="156" spans="3:30" hidden="1" x14ac:dyDescent="0.25">
      <c r="C156" s="87" t="s">
        <v>712</v>
      </c>
      <c r="D156" s="4" t="s">
        <v>713</v>
      </c>
      <c r="E156" s="4" t="s">
        <v>713</v>
      </c>
      <c r="F156" s="4">
        <v>5</v>
      </c>
      <c r="G156" s="4" t="s">
        <v>376</v>
      </c>
      <c r="H156" s="4" t="s">
        <v>46</v>
      </c>
      <c r="I156" s="4" t="s">
        <v>421</v>
      </c>
      <c r="J156" s="4" t="s">
        <v>84</v>
      </c>
      <c r="K156" s="4" t="s">
        <v>440</v>
      </c>
      <c r="L156" s="4" t="s">
        <v>54</v>
      </c>
      <c r="M156" s="4" t="s">
        <v>55</v>
      </c>
      <c r="N156" s="4" t="s">
        <v>653</v>
      </c>
      <c r="O156" s="4" t="s">
        <v>712</v>
      </c>
      <c r="P156" s="4" t="s">
        <v>42</v>
      </c>
      <c r="Q156" s="50" t="s">
        <v>43</v>
      </c>
      <c r="R156" s="50"/>
      <c r="S156" s="50" t="s">
        <v>702</v>
      </c>
      <c r="T156" s="4" t="s">
        <v>43</v>
      </c>
      <c r="U156" s="4" t="s">
        <v>43</v>
      </c>
      <c r="W156" s="48">
        <v>1</v>
      </c>
      <c r="X156" s="48">
        <v>1</v>
      </c>
      <c r="Y156" s="48">
        <v>3</v>
      </c>
      <c r="AD156" s="91">
        <f t="shared" si="3"/>
        <v>5</v>
      </c>
    </row>
    <row r="157" spans="3:30" hidden="1" x14ac:dyDescent="0.25">
      <c r="C157" s="87" t="s">
        <v>101</v>
      </c>
      <c r="D157" s="4" t="s">
        <v>102</v>
      </c>
      <c r="E157" s="4" t="s">
        <v>102</v>
      </c>
      <c r="F157" s="4" t="s">
        <v>36</v>
      </c>
      <c r="G157" s="4" t="s">
        <v>37</v>
      </c>
      <c r="H157" s="4" t="s">
        <v>81</v>
      </c>
      <c r="I157" s="4"/>
      <c r="J157" s="4" t="s">
        <v>73</v>
      </c>
      <c r="K157" s="4"/>
      <c r="L157" s="4" t="s">
        <v>103</v>
      </c>
      <c r="M157" s="4" t="s">
        <v>104</v>
      </c>
      <c r="N157" s="4" t="s">
        <v>41</v>
      </c>
      <c r="O157" s="4" t="s">
        <v>101</v>
      </c>
      <c r="P157" s="4" t="s">
        <v>42</v>
      </c>
      <c r="Q157" s="50" t="s">
        <v>43</v>
      </c>
      <c r="R157" s="50"/>
      <c r="S157" s="50">
        <v>0</v>
      </c>
      <c r="T157" s="4" t="s">
        <v>43</v>
      </c>
      <c r="U157" s="4" t="s">
        <v>43</v>
      </c>
      <c r="AD157" s="91">
        <f t="shared" si="3"/>
        <v>0</v>
      </c>
    </row>
    <row r="158" spans="3:30" hidden="1" x14ac:dyDescent="0.25">
      <c r="C158" s="87" t="s">
        <v>105</v>
      </c>
      <c r="D158" s="4" t="s">
        <v>106</v>
      </c>
      <c r="E158" s="4" t="s">
        <v>106</v>
      </c>
      <c r="F158" s="4" t="s">
        <v>36</v>
      </c>
      <c r="G158" s="4" t="s">
        <v>37</v>
      </c>
      <c r="H158" s="4" t="s">
        <v>81</v>
      </c>
      <c r="I158" s="4"/>
      <c r="J158" s="4" t="s">
        <v>100</v>
      </c>
      <c r="K158" s="4"/>
      <c r="L158" s="4" t="s">
        <v>59</v>
      </c>
      <c r="M158" s="4" t="s">
        <v>40</v>
      </c>
      <c r="N158" s="4" t="s">
        <v>41</v>
      </c>
      <c r="O158" s="4" t="s">
        <v>105</v>
      </c>
      <c r="P158" s="4" t="s">
        <v>42</v>
      </c>
      <c r="Q158" s="50" t="s">
        <v>43</v>
      </c>
      <c r="R158" s="50"/>
      <c r="S158" s="50">
        <v>0</v>
      </c>
      <c r="T158" s="4" t="s">
        <v>43</v>
      </c>
      <c r="U158" s="4" t="s">
        <v>43</v>
      </c>
      <c r="AD158" s="91">
        <f t="shared" si="3"/>
        <v>0</v>
      </c>
    </row>
    <row r="159" spans="3:30" hidden="1" x14ac:dyDescent="0.25">
      <c r="C159" s="87" t="s">
        <v>903</v>
      </c>
      <c r="D159" s="4" t="s">
        <v>904</v>
      </c>
      <c r="E159" s="4" t="s">
        <v>904</v>
      </c>
      <c r="F159" s="4">
        <v>5</v>
      </c>
      <c r="G159" s="4" t="s">
        <v>376</v>
      </c>
      <c r="H159" s="4" t="s">
        <v>46</v>
      </c>
      <c r="I159" s="4" t="s">
        <v>421</v>
      </c>
      <c r="J159" s="4" t="s">
        <v>73</v>
      </c>
      <c r="K159" s="4" t="s">
        <v>43</v>
      </c>
      <c r="L159" s="4" t="s">
        <v>47</v>
      </c>
      <c r="M159" s="4" t="s">
        <v>40</v>
      </c>
      <c r="N159" s="4" t="s">
        <v>514</v>
      </c>
      <c r="O159" s="4" t="s">
        <v>903</v>
      </c>
      <c r="P159" s="4" t="s">
        <v>42</v>
      </c>
      <c r="Q159" s="50" t="s">
        <v>43</v>
      </c>
      <c r="R159" s="50"/>
      <c r="S159" s="50" t="s">
        <v>886</v>
      </c>
      <c r="T159" s="4" t="s">
        <v>43</v>
      </c>
      <c r="U159" s="4" t="s">
        <v>43</v>
      </c>
      <c r="W159" s="48">
        <v>1</v>
      </c>
      <c r="X159" s="48">
        <v>1</v>
      </c>
      <c r="Y159" s="48">
        <v>3</v>
      </c>
      <c r="AD159" s="91">
        <f t="shared" si="3"/>
        <v>5</v>
      </c>
    </row>
    <row r="160" spans="3:30" hidden="1" x14ac:dyDescent="0.25">
      <c r="C160" s="87" t="s">
        <v>107</v>
      </c>
      <c r="D160" s="4" t="s">
        <v>108</v>
      </c>
      <c r="E160" s="4" t="s">
        <v>108</v>
      </c>
      <c r="F160" s="4" t="s">
        <v>36</v>
      </c>
      <c r="G160" s="4" t="s">
        <v>37</v>
      </c>
      <c r="H160" s="4" t="s">
        <v>81</v>
      </c>
      <c r="I160" s="4"/>
      <c r="J160" s="4" t="s">
        <v>89</v>
      </c>
      <c r="K160" s="4"/>
      <c r="L160" s="4" t="s">
        <v>109</v>
      </c>
      <c r="M160" s="4" t="s">
        <v>91</v>
      </c>
      <c r="N160" s="4" t="s">
        <v>41</v>
      </c>
      <c r="O160" s="4" t="s">
        <v>107</v>
      </c>
      <c r="P160" s="4" t="s">
        <v>42</v>
      </c>
      <c r="Q160" s="50" t="s">
        <v>43</v>
      </c>
      <c r="R160" s="50"/>
      <c r="S160" s="50">
        <v>0</v>
      </c>
      <c r="T160" s="4" t="s">
        <v>43</v>
      </c>
      <c r="U160" s="4" t="s">
        <v>43</v>
      </c>
      <c r="AD160" s="91">
        <f t="shared" si="3"/>
        <v>0</v>
      </c>
    </row>
    <row r="161" spans="3:30" hidden="1" x14ac:dyDescent="0.25">
      <c r="C161" s="87" t="s">
        <v>110</v>
      </c>
      <c r="D161" s="4" t="s">
        <v>111</v>
      </c>
      <c r="E161" s="4" t="s">
        <v>111</v>
      </c>
      <c r="F161" s="4" t="s">
        <v>36</v>
      </c>
      <c r="G161" s="4" t="s">
        <v>37</v>
      </c>
      <c r="H161" s="4" t="s">
        <v>81</v>
      </c>
      <c r="I161" s="4"/>
      <c r="J161" s="4" t="s">
        <v>58</v>
      </c>
      <c r="K161" s="4"/>
      <c r="L161" s="4" t="s">
        <v>59</v>
      </c>
      <c r="M161" s="4" t="s">
        <v>40</v>
      </c>
      <c r="N161" s="4" t="s">
        <v>41</v>
      </c>
      <c r="O161" s="4" t="s">
        <v>110</v>
      </c>
      <c r="P161" s="4" t="s">
        <v>42</v>
      </c>
      <c r="Q161" s="50" t="s">
        <v>43</v>
      </c>
      <c r="R161" s="50"/>
      <c r="S161" s="50">
        <v>0</v>
      </c>
      <c r="T161" s="4" t="s">
        <v>43</v>
      </c>
      <c r="U161" s="4" t="s">
        <v>43</v>
      </c>
      <c r="AD161" s="91">
        <f t="shared" si="3"/>
        <v>0</v>
      </c>
    </row>
    <row r="162" spans="3:30" hidden="1" x14ac:dyDescent="0.25">
      <c r="C162" s="87" t="s">
        <v>112</v>
      </c>
      <c r="D162" s="4" t="s">
        <v>113</v>
      </c>
      <c r="E162" s="4" t="s">
        <v>114</v>
      </c>
      <c r="F162" s="4" t="s">
        <v>36</v>
      </c>
      <c r="G162" s="4" t="s">
        <v>37</v>
      </c>
      <c r="H162" s="4" t="s">
        <v>81</v>
      </c>
      <c r="I162" s="4"/>
      <c r="J162" s="4" t="s">
        <v>73</v>
      </c>
      <c r="K162" s="4"/>
      <c r="L162" s="4" t="s">
        <v>115</v>
      </c>
      <c r="M162" s="4" t="s">
        <v>116</v>
      </c>
      <c r="N162" s="4" t="s">
        <v>41</v>
      </c>
      <c r="O162" s="4" t="s">
        <v>112</v>
      </c>
      <c r="P162" s="4" t="s">
        <v>42</v>
      </c>
      <c r="Q162" s="50" t="s">
        <v>43</v>
      </c>
      <c r="R162" s="50"/>
      <c r="S162" s="50">
        <v>0</v>
      </c>
      <c r="T162" s="4" t="s">
        <v>43</v>
      </c>
      <c r="U162" s="4" t="s">
        <v>43</v>
      </c>
      <c r="AD162" s="91">
        <f t="shared" si="3"/>
        <v>0</v>
      </c>
    </row>
    <row r="163" spans="3:30" hidden="1" x14ac:dyDescent="0.25">
      <c r="C163" s="87" t="s">
        <v>905</v>
      </c>
      <c r="D163" s="4" t="s">
        <v>906</v>
      </c>
      <c r="E163" s="4" t="s">
        <v>906</v>
      </c>
      <c r="F163" s="4">
        <v>5</v>
      </c>
      <c r="G163" s="4" t="s">
        <v>376</v>
      </c>
      <c r="H163" s="4" t="s">
        <v>81</v>
      </c>
      <c r="I163" s="4" t="s">
        <v>421</v>
      </c>
      <c r="J163" s="4" t="s">
        <v>73</v>
      </c>
      <c r="K163" s="4" t="s">
        <v>43</v>
      </c>
      <c r="L163" s="4" t="s">
        <v>907</v>
      </c>
      <c r="M163" s="4" t="s">
        <v>40</v>
      </c>
      <c r="N163" s="4" t="s">
        <v>514</v>
      </c>
      <c r="O163" s="4" t="s">
        <v>905</v>
      </c>
      <c r="P163" s="4" t="s">
        <v>42</v>
      </c>
      <c r="Q163" s="50" t="s">
        <v>43</v>
      </c>
      <c r="R163" s="50"/>
      <c r="S163" s="50" t="s">
        <v>886</v>
      </c>
      <c r="T163" s="4" t="s">
        <v>43</v>
      </c>
      <c r="U163" s="4" t="s">
        <v>43</v>
      </c>
      <c r="W163" s="48">
        <v>1</v>
      </c>
      <c r="X163" s="48">
        <v>1</v>
      </c>
      <c r="Y163" s="48">
        <v>3</v>
      </c>
      <c r="AD163" s="91">
        <f t="shared" si="3"/>
        <v>5</v>
      </c>
    </row>
    <row r="164" spans="3:30" hidden="1" x14ac:dyDescent="0.25">
      <c r="C164" s="87" t="s">
        <v>685</v>
      </c>
      <c r="D164" s="4" t="s">
        <v>686</v>
      </c>
      <c r="E164" s="4" t="s">
        <v>686</v>
      </c>
      <c r="F164" s="4">
        <v>5</v>
      </c>
      <c r="G164" s="4" t="s">
        <v>376</v>
      </c>
      <c r="H164" s="4" t="s">
        <v>81</v>
      </c>
      <c r="I164" s="4" t="s">
        <v>377</v>
      </c>
      <c r="J164" s="4" t="s">
        <v>248</v>
      </c>
      <c r="K164" s="4" t="s">
        <v>43</v>
      </c>
      <c r="L164" s="4" t="s">
        <v>51</v>
      </c>
      <c r="M164" s="4" t="s">
        <v>40</v>
      </c>
      <c r="N164" s="4" t="s">
        <v>653</v>
      </c>
      <c r="O164" s="4" t="s">
        <v>685</v>
      </c>
      <c r="P164" s="4" t="s">
        <v>42</v>
      </c>
      <c r="Q164" s="50" t="s">
        <v>43</v>
      </c>
      <c r="R164" s="50"/>
      <c r="S164" s="50" t="s">
        <v>51</v>
      </c>
      <c r="T164" s="4" t="s">
        <v>43</v>
      </c>
      <c r="U164" s="4" t="s">
        <v>43</v>
      </c>
      <c r="W164" s="48">
        <v>1</v>
      </c>
      <c r="X164" s="48">
        <v>1</v>
      </c>
      <c r="Y164" s="48">
        <v>3</v>
      </c>
      <c r="AD164" s="91">
        <f t="shared" si="3"/>
        <v>5</v>
      </c>
    </row>
    <row r="165" spans="3:30" hidden="1" x14ac:dyDescent="0.25">
      <c r="C165" s="87" t="s">
        <v>960</v>
      </c>
      <c r="D165" s="4" t="s">
        <v>961</v>
      </c>
      <c r="E165" s="4" t="s">
        <v>961</v>
      </c>
      <c r="F165" s="4">
        <v>5</v>
      </c>
      <c r="G165" s="4" t="s">
        <v>376</v>
      </c>
      <c r="H165" s="4" t="s">
        <v>81</v>
      </c>
      <c r="I165" s="4" t="s">
        <v>377</v>
      </c>
      <c r="J165" s="4" t="s">
        <v>160</v>
      </c>
      <c r="K165" s="4" t="s">
        <v>43</v>
      </c>
      <c r="L165" s="4" t="s">
        <v>353</v>
      </c>
      <c r="M165" s="4" t="s">
        <v>40</v>
      </c>
      <c r="N165" s="4" t="s">
        <v>378</v>
      </c>
      <c r="O165" s="4" t="s">
        <v>960</v>
      </c>
      <c r="P165" s="4" t="s">
        <v>42</v>
      </c>
      <c r="Q165" s="50" t="s">
        <v>43</v>
      </c>
      <c r="R165" s="50"/>
      <c r="S165" s="50" t="s">
        <v>931</v>
      </c>
      <c r="T165" s="4" t="s">
        <v>43</v>
      </c>
      <c r="U165" s="4" t="s">
        <v>43</v>
      </c>
      <c r="W165" s="48">
        <v>1</v>
      </c>
      <c r="X165" s="48">
        <v>1</v>
      </c>
      <c r="Y165" s="48">
        <v>3</v>
      </c>
      <c r="AD165" s="91">
        <f t="shared" si="3"/>
        <v>5</v>
      </c>
    </row>
    <row r="166" spans="3:30" hidden="1" x14ac:dyDescent="0.25">
      <c r="C166" s="87" t="s">
        <v>754</v>
      </c>
      <c r="D166" s="4" t="s">
        <v>755</v>
      </c>
      <c r="E166" s="4" t="s">
        <v>755</v>
      </c>
      <c r="F166" s="4">
        <v>5</v>
      </c>
      <c r="G166" s="4" t="s">
        <v>376</v>
      </c>
      <c r="H166" s="4" t="s">
        <v>81</v>
      </c>
      <c r="I166" s="4" t="s">
        <v>421</v>
      </c>
      <c r="J166" s="4" t="s">
        <v>84</v>
      </c>
      <c r="K166" s="4" t="s">
        <v>440</v>
      </c>
      <c r="L166" s="4" t="s">
        <v>279</v>
      </c>
      <c r="M166" s="4" t="s">
        <v>55</v>
      </c>
      <c r="N166" s="4" t="s">
        <v>653</v>
      </c>
      <c r="O166" s="4" t="s">
        <v>754</v>
      </c>
      <c r="P166" s="4" t="s">
        <v>42</v>
      </c>
      <c r="Q166" s="50" t="s">
        <v>43</v>
      </c>
      <c r="R166" s="50"/>
      <c r="S166" s="50" t="s">
        <v>741</v>
      </c>
      <c r="T166" s="4" t="s">
        <v>43</v>
      </c>
      <c r="U166" s="4" t="s">
        <v>43</v>
      </c>
      <c r="W166" s="48">
        <v>1</v>
      </c>
      <c r="X166" s="48">
        <v>1</v>
      </c>
      <c r="Y166" s="48">
        <v>3</v>
      </c>
      <c r="AD166" s="91">
        <f t="shared" si="3"/>
        <v>5</v>
      </c>
    </row>
    <row r="167" spans="3:30" hidden="1" x14ac:dyDescent="0.25">
      <c r="C167" s="87" t="s">
        <v>872</v>
      </c>
      <c r="D167" s="4" t="s">
        <v>873</v>
      </c>
      <c r="E167" s="4" t="s">
        <v>874</v>
      </c>
      <c r="F167" s="4">
        <v>3.93</v>
      </c>
      <c r="G167" s="4" t="s">
        <v>376</v>
      </c>
      <c r="H167" s="4" t="s">
        <v>81</v>
      </c>
      <c r="I167" s="4" t="s">
        <v>377</v>
      </c>
      <c r="J167" s="4" t="s">
        <v>132</v>
      </c>
      <c r="K167" s="4" t="s">
        <v>43</v>
      </c>
      <c r="L167" s="4" t="s">
        <v>138</v>
      </c>
      <c r="M167" s="4" t="s">
        <v>40</v>
      </c>
      <c r="N167" s="4" t="s">
        <v>514</v>
      </c>
      <c r="O167" s="4" t="s">
        <v>872</v>
      </c>
      <c r="P167" s="4" t="s">
        <v>42</v>
      </c>
      <c r="Q167" s="50" t="s">
        <v>43</v>
      </c>
      <c r="R167" s="50"/>
      <c r="S167" s="50" t="s">
        <v>847</v>
      </c>
      <c r="T167" s="4" t="s">
        <v>43</v>
      </c>
      <c r="U167" s="4" t="s">
        <v>32</v>
      </c>
      <c r="W167" s="48">
        <v>1</v>
      </c>
      <c r="X167" s="48">
        <v>1</v>
      </c>
      <c r="Z167" s="48">
        <v>3</v>
      </c>
      <c r="AD167" s="91">
        <f t="shared" si="3"/>
        <v>4.045454545454545</v>
      </c>
    </row>
    <row r="168" spans="3:30" hidden="1" x14ac:dyDescent="0.25">
      <c r="C168" s="87" t="s">
        <v>117</v>
      </c>
      <c r="D168" s="4" t="s">
        <v>118</v>
      </c>
      <c r="E168" s="4" t="s">
        <v>118</v>
      </c>
      <c r="F168" s="4" t="s">
        <v>36</v>
      </c>
      <c r="G168" s="4" t="s">
        <v>37</v>
      </c>
      <c r="H168" s="4" t="s">
        <v>81</v>
      </c>
      <c r="I168" s="4"/>
      <c r="J168" s="4">
        <v>0</v>
      </c>
      <c r="K168" s="4"/>
      <c r="L168" s="4" t="s">
        <v>59</v>
      </c>
      <c r="M168" s="4" t="s">
        <v>40</v>
      </c>
      <c r="N168" s="4" t="s">
        <v>41</v>
      </c>
      <c r="O168" s="4" t="s">
        <v>117</v>
      </c>
      <c r="P168" s="4" t="s">
        <v>42</v>
      </c>
      <c r="Q168" s="50" t="s">
        <v>43</v>
      </c>
      <c r="R168" s="50"/>
      <c r="S168" s="50">
        <v>0</v>
      </c>
      <c r="T168" s="4" t="s">
        <v>43</v>
      </c>
      <c r="U168" s="4" t="s">
        <v>43</v>
      </c>
      <c r="AD168" s="91">
        <f t="shared" si="3"/>
        <v>0</v>
      </c>
    </row>
    <row r="169" spans="3:30" hidden="1" x14ac:dyDescent="0.25">
      <c r="C169" s="87" t="s">
        <v>620</v>
      </c>
      <c r="D169" s="4" t="s">
        <v>621</v>
      </c>
      <c r="E169" s="4" t="s">
        <v>622</v>
      </c>
      <c r="F169" s="93">
        <v>5.07</v>
      </c>
      <c r="G169" s="4" t="s">
        <v>376</v>
      </c>
      <c r="H169" s="4" t="s">
        <v>46</v>
      </c>
      <c r="I169" s="4" t="s">
        <v>421</v>
      </c>
      <c r="J169" s="4" t="s">
        <v>50</v>
      </c>
      <c r="K169" s="4" t="s">
        <v>43</v>
      </c>
      <c r="L169" s="4" t="s">
        <v>59</v>
      </c>
      <c r="M169" s="4" t="s">
        <v>40</v>
      </c>
      <c r="N169" s="4" t="s">
        <v>422</v>
      </c>
      <c r="O169" s="4" t="s">
        <v>620</v>
      </c>
      <c r="P169" s="4" t="s">
        <v>42</v>
      </c>
      <c r="Q169" s="50" t="s">
        <v>43</v>
      </c>
      <c r="R169" s="50"/>
      <c r="S169" s="50" t="s">
        <v>597</v>
      </c>
      <c r="T169" s="4" t="s">
        <v>43</v>
      </c>
      <c r="U169" s="4" t="s">
        <v>32</v>
      </c>
      <c r="W169" s="48">
        <v>1</v>
      </c>
      <c r="X169" s="48">
        <v>1</v>
      </c>
      <c r="AA169" s="48">
        <v>3</v>
      </c>
      <c r="AC169" s="48">
        <v>4</v>
      </c>
      <c r="AD169" s="91">
        <f t="shared" si="3"/>
        <v>5.0681818181818183</v>
      </c>
    </row>
    <row r="170" spans="3:30" hidden="1" x14ac:dyDescent="0.25">
      <c r="C170" s="87" t="s">
        <v>119</v>
      </c>
      <c r="D170" s="4" t="s">
        <v>120</v>
      </c>
      <c r="E170" s="4" t="s">
        <v>120</v>
      </c>
      <c r="F170" s="4" t="s">
        <v>36</v>
      </c>
      <c r="G170" s="4" t="s">
        <v>37</v>
      </c>
      <c r="H170" s="4" t="s">
        <v>81</v>
      </c>
      <c r="I170" s="4"/>
      <c r="J170" s="4" t="s">
        <v>63</v>
      </c>
      <c r="K170" s="4"/>
      <c r="L170" s="4" t="s">
        <v>64</v>
      </c>
      <c r="M170" s="4" t="s">
        <v>40</v>
      </c>
      <c r="N170" s="4" t="s">
        <v>41</v>
      </c>
      <c r="O170" s="4" t="s">
        <v>119</v>
      </c>
      <c r="P170" s="4" t="s">
        <v>42</v>
      </c>
      <c r="Q170" s="50" t="s">
        <v>43</v>
      </c>
      <c r="R170" s="50"/>
      <c r="S170" s="50">
        <v>0</v>
      </c>
      <c r="T170" s="4" t="s">
        <v>43</v>
      </c>
      <c r="U170" s="4" t="s">
        <v>43</v>
      </c>
      <c r="AD170" s="91">
        <f t="shared" si="3"/>
        <v>0</v>
      </c>
    </row>
    <row r="171" spans="3:30" hidden="1" x14ac:dyDescent="0.25">
      <c r="C171" s="87" t="s">
        <v>121</v>
      </c>
      <c r="D171" s="4" t="s">
        <v>122</v>
      </c>
      <c r="E171" s="4" t="s">
        <v>123</v>
      </c>
      <c r="F171" s="4" t="s">
        <v>36</v>
      </c>
      <c r="G171" s="4" t="s">
        <v>37</v>
      </c>
      <c r="H171" s="4" t="s">
        <v>81</v>
      </c>
      <c r="I171" s="4"/>
      <c r="J171" s="4" t="s">
        <v>73</v>
      </c>
      <c r="K171" s="4"/>
      <c r="L171" s="4" t="s">
        <v>122</v>
      </c>
      <c r="M171" s="4" t="s">
        <v>104</v>
      </c>
      <c r="N171" s="4" t="s">
        <v>41</v>
      </c>
      <c r="O171" s="4" t="s">
        <v>121</v>
      </c>
      <c r="P171" s="4" t="s">
        <v>42</v>
      </c>
      <c r="Q171" s="50" t="s">
        <v>43</v>
      </c>
      <c r="R171" s="50"/>
      <c r="S171" s="50">
        <v>0</v>
      </c>
      <c r="T171" s="4" t="s">
        <v>43</v>
      </c>
      <c r="U171" s="4" t="s">
        <v>43</v>
      </c>
      <c r="AD171" s="91">
        <f t="shared" si="3"/>
        <v>0</v>
      </c>
    </row>
    <row r="172" spans="3:30" hidden="1" x14ac:dyDescent="0.25">
      <c r="C172" s="87" t="s">
        <v>124</v>
      </c>
      <c r="D172" s="4" t="s">
        <v>125</v>
      </c>
      <c r="E172" s="4" t="s">
        <v>125</v>
      </c>
      <c r="F172" s="4" t="s">
        <v>36</v>
      </c>
      <c r="G172" s="4" t="s">
        <v>37</v>
      </c>
      <c r="H172" s="4" t="s">
        <v>81</v>
      </c>
      <c r="I172" s="4"/>
      <c r="J172" s="4">
        <v>0</v>
      </c>
      <c r="K172" s="4"/>
      <c r="L172" s="4" t="s">
        <v>51</v>
      </c>
      <c r="M172" s="4" t="s">
        <v>40</v>
      </c>
      <c r="N172" s="4" t="s">
        <v>41</v>
      </c>
      <c r="O172" s="4" t="s">
        <v>124</v>
      </c>
      <c r="P172" s="4" t="s">
        <v>42</v>
      </c>
      <c r="Q172" s="50" t="s">
        <v>43</v>
      </c>
      <c r="R172" s="50"/>
      <c r="S172" s="50">
        <v>0</v>
      </c>
      <c r="T172" s="4" t="s">
        <v>43</v>
      </c>
      <c r="U172" s="4" t="s">
        <v>43</v>
      </c>
      <c r="AD172" s="91">
        <f t="shared" si="3"/>
        <v>0</v>
      </c>
    </row>
    <row r="173" spans="3:30" hidden="1" x14ac:dyDescent="0.25">
      <c r="C173" s="87" t="s">
        <v>126</v>
      </c>
      <c r="D173" s="4" t="s">
        <v>127</v>
      </c>
      <c r="E173" s="4" t="s">
        <v>128</v>
      </c>
      <c r="F173" s="4" t="s">
        <v>36</v>
      </c>
      <c r="G173" s="4" t="s">
        <v>37</v>
      </c>
      <c r="H173" s="4" t="s">
        <v>81</v>
      </c>
      <c r="I173" s="4"/>
      <c r="J173" s="4" t="s">
        <v>73</v>
      </c>
      <c r="K173" s="4"/>
      <c r="L173" s="4" t="s">
        <v>129</v>
      </c>
      <c r="M173" s="4" t="s">
        <v>116</v>
      </c>
      <c r="N173" s="4" t="s">
        <v>41</v>
      </c>
      <c r="O173" s="4" t="s">
        <v>126</v>
      </c>
      <c r="P173" s="4" t="s">
        <v>42</v>
      </c>
      <c r="Q173" s="50" t="s">
        <v>43</v>
      </c>
      <c r="R173" s="50"/>
      <c r="S173" s="50">
        <v>0</v>
      </c>
      <c r="T173" s="4" t="s">
        <v>43</v>
      </c>
      <c r="U173" s="4" t="s">
        <v>43</v>
      </c>
      <c r="AD173" s="91">
        <f t="shared" si="3"/>
        <v>0</v>
      </c>
    </row>
    <row r="174" spans="3:30" hidden="1" x14ac:dyDescent="0.25">
      <c r="C174" s="87" t="s">
        <v>546</v>
      </c>
      <c r="D174" s="4" t="s">
        <v>547</v>
      </c>
      <c r="E174" s="4" t="s">
        <v>547</v>
      </c>
      <c r="F174" s="4">
        <v>5</v>
      </c>
      <c r="G174" s="4" t="s">
        <v>376</v>
      </c>
      <c r="H174" s="4" t="s">
        <v>46</v>
      </c>
      <c r="I174" s="4" t="s">
        <v>377</v>
      </c>
      <c r="J174" s="4" t="s">
        <v>100</v>
      </c>
      <c r="K174" s="4" t="s">
        <v>43</v>
      </c>
      <c r="L174" s="4" t="s">
        <v>138</v>
      </c>
      <c r="M174" s="4" t="s">
        <v>40</v>
      </c>
      <c r="N174" s="4" t="s">
        <v>514</v>
      </c>
      <c r="O174" s="4" t="s">
        <v>546</v>
      </c>
      <c r="P174" s="4" t="s">
        <v>42</v>
      </c>
      <c r="Q174" s="50" t="s">
        <v>43</v>
      </c>
      <c r="R174" s="50"/>
      <c r="S174" s="50" t="s">
        <v>515</v>
      </c>
      <c r="T174" s="4" t="s">
        <v>43</v>
      </c>
      <c r="U174" s="4" t="s">
        <v>43</v>
      </c>
      <c r="W174" s="48">
        <v>1</v>
      </c>
      <c r="X174" s="48">
        <v>1</v>
      </c>
      <c r="Y174" s="48">
        <v>3</v>
      </c>
      <c r="AD174" s="91">
        <f t="shared" si="3"/>
        <v>5</v>
      </c>
    </row>
    <row r="175" spans="3:30" hidden="1" x14ac:dyDescent="0.25">
      <c r="C175" s="87" t="s">
        <v>130</v>
      </c>
      <c r="D175" s="4" t="s">
        <v>131</v>
      </c>
      <c r="E175" s="4" t="s">
        <v>131</v>
      </c>
      <c r="F175" s="4" t="s">
        <v>36</v>
      </c>
      <c r="G175" s="4" t="s">
        <v>37</v>
      </c>
      <c r="H175" s="4" t="s">
        <v>81</v>
      </c>
      <c r="I175" s="4"/>
      <c r="J175" s="4" t="s">
        <v>132</v>
      </c>
      <c r="K175" s="4"/>
      <c r="L175" s="4" t="s">
        <v>133</v>
      </c>
      <c r="M175" s="4" t="s">
        <v>40</v>
      </c>
      <c r="N175" s="4" t="s">
        <v>41</v>
      </c>
      <c r="O175" s="4" t="s">
        <v>130</v>
      </c>
      <c r="P175" s="4" t="s">
        <v>42</v>
      </c>
      <c r="Q175" s="50" t="s">
        <v>43</v>
      </c>
      <c r="R175" s="50"/>
      <c r="S175" s="50">
        <v>0</v>
      </c>
      <c r="T175" s="4" t="s">
        <v>43</v>
      </c>
      <c r="U175" s="4" t="s">
        <v>43</v>
      </c>
      <c r="AD175" s="91">
        <f t="shared" si="3"/>
        <v>0</v>
      </c>
    </row>
    <row r="176" spans="3:30" hidden="1" x14ac:dyDescent="0.25">
      <c r="C176" s="87" t="s">
        <v>134</v>
      </c>
      <c r="D176" s="4" t="s">
        <v>135</v>
      </c>
      <c r="E176" s="4" t="s">
        <v>135</v>
      </c>
      <c r="F176" s="4" t="s">
        <v>36</v>
      </c>
      <c r="G176" s="4" t="s">
        <v>37</v>
      </c>
      <c r="H176" s="4" t="s">
        <v>81</v>
      </c>
      <c r="I176" s="4"/>
      <c r="J176" s="4" t="s">
        <v>132</v>
      </c>
      <c r="K176" s="4"/>
      <c r="L176" s="4" t="s">
        <v>51</v>
      </c>
      <c r="M176" s="4" t="s">
        <v>40</v>
      </c>
      <c r="N176" s="4" t="s">
        <v>41</v>
      </c>
      <c r="O176" s="4" t="s">
        <v>134</v>
      </c>
      <c r="P176" s="4" t="s">
        <v>42</v>
      </c>
      <c r="Q176" s="50" t="s">
        <v>43</v>
      </c>
      <c r="R176" s="50"/>
      <c r="S176" s="50">
        <v>0</v>
      </c>
      <c r="T176" s="4" t="s">
        <v>43</v>
      </c>
      <c r="U176" s="4" t="s">
        <v>43</v>
      </c>
      <c r="AD176" s="91">
        <f t="shared" si="3"/>
        <v>0</v>
      </c>
    </row>
    <row r="177" spans="3:30" hidden="1" x14ac:dyDescent="0.25">
      <c r="C177" s="87" t="s">
        <v>136</v>
      </c>
      <c r="D177" s="4" t="s">
        <v>137</v>
      </c>
      <c r="E177" s="4" t="s">
        <v>137</v>
      </c>
      <c r="F177" s="4" t="s">
        <v>36</v>
      </c>
      <c r="G177" s="4" t="s">
        <v>37</v>
      </c>
      <c r="H177" s="4" t="s">
        <v>88</v>
      </c>
      <c r="I177" s="4"/>
      <c r="J177" s="4" t="s">
        <v>58</v>
      </c>
      <c r="K177" s="4"/>
      <c r="L177" s="4" t="s">
        <v>138</v>
      </c>
      <c r="M177" s="4" t="s">
        <v>40</v>
      </c>
      <c r="N177" s="4" t="s">
        <v>41</v>
      </c>
      <c r="O177" s="4" t="s">
        <v>136</v>
      </c>
      <c r="P177" s="4" t="s">
        <v>42</v>
      </c>
      <c r="Q177" s="50" t="s">
        <v>43</v>
      </c>
      <c r="R177" s="50"/>
      <c r="S177" s="50">
        <v>0</v>
      </c>
      <c r="T177" s="4" t="s">
        <v>43</v>
      </c>
      <c r="U177" s="4" t="s">
        <v>43</v>
      </c>
      <c r="AD177" s="91">
        <f t="shared" si="3"/>
        <v>0</v>
      </c>
    </row>
    <row r="178" spans="3:30" hidden="1" x14ac:dyDescent="0.25">
      <c r="C178" s="87" t="s">
        <v>139</v>
      </c>
      <c r="D178" s="4" t="s">
        <v>140</v>
      </c>
      <c r="E178" s="4" t="s">
        <v>140</v>
      </c>
      <c r="F178" s="4" t="s">
        <v>36</v>
      </c>
      <c r="G178" s="4" t="s">
        <v>37</v>
      </c>
      <c r="H178" s="4" t="s">
        <v>88</v>
      </c>
      <c r="I178" s="4"/>
      <c r="J178" s="4" t="s">
        <v>89</v>
      </c>
      <c r="K178" s="4"/>
      <c r="L178" s="4" t="s">
        <v>109</v>
      </c>
      <c r="M178" s="4" t="s">
        <v>91</v>
      </c>
      <c r="N178" s="4" t="s">
        <v>41</v>
      </c>
      <c r="O178" s="4" t="s">
        <v>139</v>
      </c>
      <c r="P178" s="4" t="s">
        <v>42</v>
      </c>
      <c r="Q178" s="50" t="s">
        <v>43</v>
      </c>
      <c r="R178" s="50"/>
      <c r="S178" s="50">
        <v>0</v>
      </c>
      <c r="T178" s="4" t="s">
        <v>43</v>
      </c>
      <c r="U178" s="4" t="s">
        <v>43</v>
      </c>
      <c r="AD178" s="91">
        <f t="shared" si="3"/>
        <v>0</v>
      </c>
    </row>
    <row r="179" spans="3:30" hidden="1" x14ac:dyDescent="0.25">
      <c r="C179" s="87" t="s">
        <v>411</v>
      </c>
      <c r="D179" s="4" t="s">
        <v>412</v>
      </c>
      <c r="E179" s="4" t="s">
        <v>412</v>
      </c>
      <c r="F179" s="4">
        <v>5</v>
      </c>
      <c r="G179" s="4" t="s">
        <v>376</v>
      </c>
      <c r="H179" s="4" t="s">
        <v>46</v>
      </c>
      <c r="I179" s="4" t="s">
        <v>377</v>
      </c>
      <c r="J179" s="4" t="s">
        <v>63</v>
      </c>
      <c r="K179" s="4" t="s">
        <v>43</v>
      </c>
      <c r="L179" s="4" t="s">
        <v>138</v>
      </c>
      <c r="M179" s="4" t="s">
        <v>40</v>
      </c>
      <c r="N179" s="4" t="s">
        <v>378</v>
      </c>
      <c r="O179" s="4" t="s">
        <v>411</v>
      </c>
      <c r="P179" s="4" t="s">
        <v>42</v>
      </c>
      <c r="Q179" s="50" t="s">
        <v>43</v>
      </c>
      <c r="R179" s="50"/>
      <c r="S179" s="50" t="s">
        <v>380</v>
      </c>
      <c r="T179" s="4" t="s">
        <v>43</v>
      </c>
      <c r="U179" s="4" t="s">
        <v>43</v>
      </c>
      <c r="W179" s="48">
        <v>1</v>
      </c>
      <c r="X179" s="48">
        <v>1</v>
      </c>
      <c r="Y179" s="48">
        <v>3</v>
      </c>
      <c r="AD179" s="91">
        <f t="shared" si="3"/>
        <v>5</v>
      </c>
    </row>
    <row r="180" spans="3:30" hidden="1" x14ac:dyDescent="0.25">
      <c r="C180" s="87" t="s">
        <v>578</v>
      </c>
      <c r="D180" s="4" t="s">
        <v>579</v>
      </c>
      <c r="E180" s="4" t="s">
        <v>579</v>
      </c>
      <c r="F180" s="4">
        <v>5</v>
      </c>
      <c r="G180" s="4" t="s">
        <v>376</v>
      </c>
      <c r="H180" s="4" t="s">
        <v>46</v>
      </c>
      <c r="I180" s="4" t="s">
        <v>377</v>
      </c>
      <c r="J180" s="4" t="s">
        <v>331</v>
      </c>
      <c r="K180" s="4" t="s">
        <v>43</v>
      </c>
      <c r="L180" s="4" t="s">
        <v>138</v>
      </c>
      <c r="M180" s="4" t="s">
        <v>40</v>
      </c>
      <c r="N180" s="4" t="s">
        <v>422</v>
      </c>
      <c r="O180" s="4" t="s">
        <v>578</v>
      </c>
      <c r="P180" s="4" t="s">
        <v>42</v>
      </c>
      <c r="Q180" s="50" t="s">
        <v>43</v>
      </c>
      <c r="R180" s="50"/>
      <c r="S180" s="50" t="s">
        <v>557</v>
      </c>
      <c r="T180" s="4" t="s">
        <v>43</v>
      </c>
      <c r="U180" s="4" t="s">
        <v>43</v>
      </c>
      <c r="W180" s="48">
        <v>1</v>
      </c>
      <c r="X180" s="48">
        <v>1</v>
      </c>
      <c r="Y180" s="48">
        <v>3</v>
      </c>
      <c r="AD180" s="91">
        <f t="shared" si="3"/>
        <v>5</v>
      </c>
    </row>
    <row r="181" spans="3:30" hidden="1" x14ac:dyDescent="0.25">
      <c r="C181" s="87" t="s">
        <v>908</v>
      </c>
      <c r="D181" s="4" t="s">
        <v>909</v>
      </c>
      <c r="E181" s="4" t="s">
        <v>910</v>
      </c>
      <c r="F181" s="4">
        <v>5</v>
      </c>
      <c r="G181" s="4" t="s">
        <v>37</v>
      </c>
      <c r="H181" s="4" t="s">
        <v>81</v>
      </c>
      <c r="I181" s="4" t="s">
        <v>421</v>
      </c>
      <c r="J181" s="4" t="s">
        <v>73</v>
      </c>
      <c r="K181" s="4"/>
      <c r="L181" s="4" t="s">
        <v>911</v>
      </c>
      <c r="M181" s="4" t="s">
        <v>40</v>
      </c>
      <c r="N181" s="4" t="s">
        <v>41</v>
      </c>
      <c r="O181" s="4" t="s">
        <v>908</v>
      </c>
      <c r="P181" s="4" t="s">
        <v>42</v>
      </c>
      <c r="Q181" s="50" t="s">
        <v>43</v>
      </c>
      <c r="R181" s="50"/>
      <c r="S181" s="50" t="s">
        <v>886</v>
      </c>
      <c r="T181" s="4" t="s">
        <v>43</v>
      </c>
      <c r="U181" s="4" t="s">
        <v>43</v>
      </c>
      <c r="W181" s="48">
        <v>1</v>
      </c>
      <c r="X181" s="48">
        <v>1</v>
      </c>
      <c r="Y181" s="48">
        <v>3</v>
      </c>
      <c r="AD181" s="91">
        <f t="shared" si="3"/>
        <v>5</v>
      </c>
    </row>
    <row r="182" spans="3:30" hidden="1" x14ac:dyDescent="0.25">
      <c r="C182" s="87" t="s">
        <v>413</v>
      </c>
      <c r="D182" s="4" t="s">
        <v>414</v>
      </c>
      <c r="E182" s="4" t="s">
        <v>414</v>
      </c>
      <c r="F182" s="4">
        <v>5</v>
      </c>
      <c r="G182" s="4" t="s">
        <v>376</v>
      </c>
      <c r="H182" s="4" t="s">
        <v>46</v>
      </c>
      <c r="I182" s="4" t="s">
        <v>377</v>
      </c>
      <c r="J182" s="4" t="s">
        <v>63</v>
      </c>
      <c r="K182" s="4" t="s">
        <v>43</v>
      </c>
      <c r="L182" s="4" t="s">
        <v>138</v>
      </c>
      <c r="M182" s="4" t="s">
        <v>40</v>
      </c>
      <c r="N182" s="4" t="s">
        <v>378</v>
      </c>
      <c r="O182" s="4" t="s">
        <v>413</v>
      </c>
      <c r="P182" s="4" t="s">
        <v>42</v>
      </c>
      <c r="Q182" s="50" t="s">
        <v>43</v>
      </c>
      <c r="R182" s="50"/>
      <c r="S182" s="50" t="s">
        <v>380</v>
      </c>
      <c r="T182" s="4" t="s">
        <v>43</v>
      </c>
      <c r="U182" s="4" t="s">
        <v>43</v>
      </c>
      <c r="W182" s="48">
        <v>1</v>
      </c>
      <c r="X182" s="48">
        <v>1</v>
      </c>
      <c r="Y182" s="48">
        <v>3</v>
      </c>
      <c r="AD182" s="91">
        <f t="shared" si="3"/>
        <v>5</v>
      </c>
    </row>
    <row r="183" spans="3:30" hidden="1" x14ac:dyDescent="0.25">
      <c r="C183" s="87" t="s">
        <v>580</v>
      </c>
      <c r="D183" s="4" t="s">
        <v>581</v>
      </c>
      <c r="E183" s="4" t="s">
        <v>581</v>
      </c>
      <c r="F183" s="4">
        <v>5</v>
      </c>
      <c r="G183" s="4" t="s">
        <v>376</v>
      </c>
      <c r="H183" s="4" t="s">
        <v>46</v>
      </c>
      <c r="I183" s="4" t="s">
        <v>377</v>
      </c>
      <c r="J183" s="4" t="s">
        <v>331</v>
      </c>
      <c r="K183" s="4" t="s">
        <v>43</v>
      </c>
      <c r="L183" s="4" t="s">
        <v>138</v>
      </c>
      <c r="M183" s="4" t="s">
        <v>40</v>
      </c>
      <c r="N183" s="4" t="s">
        <v>422</v>
      </c>
      <c r="O183" s="4" t="s">
        <v>580</v>
      </c>
      <c r="P183" s="4" t="s">
        <v>42</v>
      </c>
      <c r="Q183" s="50" t="s">
        <v>43</v>
      </c>
      <c r="R183" s="50"/>
      <c r="S183" s="50" t="s">
        <v>557</v>
      </c>
      <c r="T183" s="4" t="s">
        <v>43</v>
      </c>
      <c r="U183" s="4" t="s">
        <v>43</v>
      </c>
      <c r="W183" s="48">
        <v>1</v>
      </c>
      <c r="X183" s="48">
        <v>1</v>
      </c>
      <c r="Y183" s="48">
        <v>3</v>
      </c>
      <c r="AD183" s="91">
        <f t="shared" si="3"/>
        <v>5</v>
      </c>
    </row>
    <row r="184" spans="3:30" hidden="1" x14ac:dyDescent="0.25">
      <c r="C184" s="87" t="s">
        <v>756</v>
      </c>
      <c r="D184" s="4" t="s">
        <v>757</v>
      </c>
      <c r="E184" s="4" t="s">
        <v>757</v>
      </c>
      <c r="F184" s="4">
        <v>5</v>
      </c>
      <c r="G184" s="4" t="s">
        <v>376</v>
      </c>
      <c r="H184" s="4" t="s">
        <v>46</v>
      </c>
      <c r="I184" s="4" t="s">
        <v>421</v>
      </c>
      <c r="J184" s="4" t="s">
        <v>84</v>
      </c>
      <c r="K184" s="4" t="s">
        <v>440</v>
      </c>
      <c r="L184" s="4" t="s">
        <v>54</v>
      </c>
      <c r="M184" s="4" t="s">
        <v>55</v>
      </c>
      <c r="N184" s="4" t="s">
        <v>653</v>
      </c>
      <c r="O184" s="4" t="s">
        <v>756</v>
      </c>
      <c r="P184" s="4" t="s">
        <v>42</v>
      </c>
      <c r="Q184" s="50" t="s">
        <v>43</v>
      </c>
      <c r="R184" s="50"/>
      <c r="S184" s="50" t="s">
        <v>741</v>
      </c>
      <c r="T184" s="4" t="s">
        <v>43</v>
      </c>
      <c r="U184" s="4" t="s">
        <v>43</v>
      </c>
      <c r="W184" s="48">
        <v>1</v>
      </c>
      <c r="X184" s="48">
        <v>1</v>
      </c>
      <c r="Y184" s="48">
        <v>3</v>
      </c>
      <c r="AD184" s="91">
        <f t="shared" si="3"/>
        <v>5</v>
      </c>
    </row>
    <row r="185" spans="3:30" hidden="1" x14ac:dyDescent="0.25">
      <c r="C185" s="87" t="s">
        <v>812</v>
      </c>
      <c r="D185" s="4" t="s">
        <v>813</v>
      </c>
      <c r="E185" s="4" t="s">
        <v>813</v>
      </c>
      <c r="F185" s="4">
        <v>5</v>
      </c>
      <c r="G185" s="4" t="s">
        <v>376</v>
      </c>
      <c r="H185" s="4" t="s">
        <v>46</v>
      </c>
      <c r="I185" s="4" t="s">
        <v>421</v>
      </c>
      <c r="J185" s="4" t="s">
        <v>146</v>
      </c>
      <c r="K185" s="4" t="s">
        <v>43</v>
      </c>
      <c r="L185" s="4" t="s">
        <v>59</v>
      </c>
      <c r="M185" s="4" t="s">
        <v>40</v>
      </c>
      <c r="N185" s="4" t="s">
        <v>653</v>
      </c>
      <c r="O185" s="4" t="s">
        <v>812</v>
      </c>
      <c r="P185" s="4" t="s">
        <v>42</v>
      </c>
      <c r="Q185" s="50" t="s">
        <v>43</v>
      </c>
      <c r="R185" s="50"/>
      <c r="S185" s="50" t="s">
        <v>799</v>
      </c>
      <c r="T185" s="4" t="s">
        <v>43</v>
      </c>
      <c r="U185" s="4" t="s">
        <v>43</v>
      </c>
      <c r="W185" s="48">
        <v>1</v>
      </c>
      <c r="X185" s="48">
        <v>1</v>
      </c>
      <c r="Y185" s="48">
        <v>3</v>
      </c>
      <c r="AD185" s="91">
        <f t="shared" si="3"/>
        <v>5</v>
      </c>
    </row>
    <row r="186" spans="3:30" hidden="1" x14ac:dyDescent="0.25">
      <c r="C186" s="87" t="s">
        <v>141</v>
      </c>
      <c r="D186" s="4" t="s">
        <v>142</v>
      </c>
      <c r="E186" s="4" t="s">
        <v>142</v>
      </c>
      <c r="F186" s="4" t="s">
        <v>36</v>
      </c>
      <c r="G186" s="4" t="s">
        <v>37</v>
      </c>
      <c r="H186" s="4" t="s">
        <v>81</v>
      </c>
      <c r="I186" s="4"/>
      <c r="J186" s="4">
        <v>0</v>
      </c>
      <c r="K186" s="4"/>
      <c r="L186" s="4" t="s">
        <v>143</v>
      </c>
      <c r="M186" s="4" t="s">
        <v>40</v>
      </c>
      <c r="N186" s="4" t="s">
        <v>41</v>
      </c>
      <c r="O186" s="4" t="s">
        <v>141</v>
      </c>
      <c r="P186" s="4" t="s">
        <v>42</v>
      </c>
      <c r="Q186" s="50" t="s">
        <v>43</v>
      </c>
      <c r="R186" s="50"/>
      <c r="S186" s="50">
        <v>0</v>
      </c>
      <c r="T186" s="4" t="s">
        <v>43</v>
      </c>
      <c r="U186" s="4" t="s">
        <v>43</v>
      </c>
      <c r="AD186" s="91">
        <f t="shared" si="3"/>
        <v>0</v>
      </c>
    </row>
    <row r="187" spans="3:30" hidden="1" x14ac:dyDescent="0.25">
      <c r="C187" s="87" t="s">
        <v>437</v>
      </c>
      <c r="D187" s="4" t="s">
        <v>438</v>
      </c>
      <c r="E187" s="4" t="s">
        <v>439</v>
      </c>
      <c r="F187" s="4">
        <v>5</v>
      </c>
      <c r="G187" s="4" t="s">
        <v>376</v>
      </c>
      <c r="H187" s="4" t="s">
        <v>81</v>
      </c>
      <c r="I187" s="4" t="s">
        <v>421</v>
      </c>
      <c r="J187" s="4" t="s">
        <v>94</v>
      </c>
      <c r="K187" s="4" t="s">
        <v>43</v>
      </c>
      <c r="L187" s="4" t="s">
        <v>64</v>
      </c>
      <c r="M187" s="4" t="s">
        <v>40</v>
      </c>
      <c r="N187" s="4" t="s">
        <v>422</v>
      </c>
      <c r="O187" s="4" t="s">
        <v>437</v>
      </c>
      <c r="P187" s="4" t="s">
        <v>42</v>
      </c>
      <c r="Q187" s="50" t="s">
        <v>43</v>
      </c>
      <c r="R187" s="50"/>
      <c r="S187" s="50" t="s">
        <v>423</v>
      </c>
      <c r="T187" s="82" t="s">
        <v>440</v>
      </c>
      <c r="U187" s="4" t="s">
        <v>43</v>
      </c>
      <c r="W187" s="48">
        <v>1</v>
      </c>
      <c r="X187" s="48">
        <v>1</v>
      </c>
      <c r="Y187" s="48">
        <v>3</v>
      </c>
      <c r="AD187" s="91">
        <f t="shared" si="3"/>
        <v>5</v>
      </c>
    </row>
    <row r="188" spans="3:30" hidden="1" x14ac:dyDescent="0.25">
      <c r="C188" s="87" t="s">
        <v>497</v>
      </c>
      <c r="D188" s="4" t="s">
        <v>498</v>
      </c>
      <c r="E188" s="4" t="s">
        <v>499</v>
      </c>
      <c r="F188" s="4">
        <v>5</v>
      </c>
      <c r="G188" s="4" t="s">
        <v>376</v>
      </c>
      <c r="H188" s="4" t="s">
        <v>46</v>
      </c>
      <c r="I188" s="4" t="s">
        <v>377</v>
      </c>
      <c r="J188" s="4" t="s">
        <v>466</v>
      </c>
      <c r="K188" s="4" t="s">
        <v>43</v>
      </c>
      <c r="L188" s="4" t="s">
        <v>51</v>
      </c>
      <c r="M188" s="4" t="s">
        <v>40</v>
      </c>
      <c r="N188" s="4" t="s">
        <v>378</v>
      </c>
      <c r="O188" s="4" t="s">
        <v>497</v>
      </c>
      <c r="P188" s="4" t="s">
        <v>42</v>
      </c>
      <c r="Q188" s="50" t="s">
        <v>43</v>
      </c>
      <c r="R188" s="50"/>
      <c r="S188" s="50" t="s">
        <v>467</v>
      </c>
      <c r="T188" s="4" t="s">
        <v>43</v>
      </c>
      <c r="U188" s="4" t="s">
        <v>43</v>
      </c>
      <c r="W188" s="48">
        <v>1</v>
      </c>
      <c r="X188" s="48">
        <v>1</v>
      </c>
      <c r="Y188" s="48">
        <v>3</v>
      </c>
      <c r="AD188" s="91">
        <f t="shared" si="3"/>
        <v>5</v>
      </c>
    </row>
    <row r="189" spans="3:30" hidden="1" x14ac:dyDescent="0.25">
      <c r="C189" s="87" t="s">
        <v>144</v>
      </c>
      <c r="D189" s="4" t="s">
        <v>145</v>
      </c>
      <c r="E189" s="4" t="s">
        <v>145</v>
      </c>
      <c r="F189" s="4" t="s">
        <v>36</v>
      </c>
      <c r="G189" s="4" t="s">
        <v>37</v>
      </c>
      <c r="H189" s="4" t="s">
        <v>46</v>
      </c>
      <c r="I189" s="4"/>
      <c r="J189" s="4" t="s">
        <v>146</v>
      </c>
      <c r="K189" s="4"/>
      <c r="L189" s="4" t="s">
        <v>138</v>
      </c>
      <c r="M189" s="4" t="s">
        <v>40</v>
      </c>
      <c r="N189" s="4" t="s">
        <v>41</v>
      </c>
      <c r="O189" s="4" t="s">
        <v>144</v>
      </c>
      <c r="P189" s="4" t="s">
        <v>42</v>
      </c>
      <c r="Q189" s="50" t="s">
        <v>43</v>
      </c>
      <c r="R189" s="50"/>
      <c r="S189" s="50">
        <v>0</v>
      </c>
      <c r="T189" s="4" t="s">
        <v>43</v>
      </c>
      <c r="U189" s="4" t="s">
        <v>43</v>
      </c>
      <c r="AD189" s="91">
        <f t="shared" si="3"/>
        <v>0</v>
      </c>
    </row>
    <row r="190" spans="3:30" hidden="1" x14ac:dyDescent="0.25">
      <c r="C190" s="87" t="s">
        <v>784</v>
      </c>
      <c r="D190" s="4" t="s">
        <v>785</v>
      </c>
      <c r="E190" s="4" t="s">
        <v>785</v>
      </c>
      <c r="F190" s="92">
        <v>5.45</v>
      </c>
      <c r="G190" s="4" t="s">
        <v>376</v>
      </c>
      <c r="H190" s="4" t="s">
        <v>46</v>
      </c>
      <c r="I190" s="4" t="s">
        <v>421</v>
      </c>
      <c r="J190" s="4" t="s">
        <v>89</v>
      </c>
      <c r="K190" s="4" t="s">
        <v>43</v>
      </c>
      <c r="L190" s="4" t="s">
        <v>109</v>
      </c>
      <c r="M190" s="4" t="s">
        <v>91</v>
      </c>
      <c r="N190" s="4" t="s">
        <v>378</v>
      </c>
      <c r="O190" s="4" t="s">
        <v>784</v>
      </c>
      <c r="P190" s="4" t="s">
        <v>42</v>
      </c>
      <c r="Q190" s="50" t="s">
        <v>43</v>
      </c>
      <c r="R190" s="50"/>
      <c r="S190" s="50" t="s">
        <v>772</v>
      </c>
      <c r="T190" s="4" t="s">
        <v>43</v>
      </c>
      <c r="U190" s="4" t="s">
        <v>43</v>
      </c>
      <c r="W190" s="48">
        <v>1</v>
      </c>
      <c r="X190" s="48">
        <v>1</v>
      </c>
      <c r="Y190" s="48">
        <v>3</v>
      </c>
      <c r="AB190" s="48">
        <v>1</v>
      </c>
      <c r="AD190" s="91">
        <f t="shared" si="3"/>
        <v>5.4545454545454541</v>
      </c>
    </row>
    <row r="191" spans="3:30" hidden="1" x14ac:dyDescent="0.25">
      <c r="C191" s="87" t="s">
        <v>147</v>
      </c>
      <c r="D191" s="4" t="s">
        <v>148</v>
      </c>
      <c r="E191" s="4" t="s">
        <v>148</v>
      </c>
      <c r="F191" s="4" t="s">
        <v>36</v>
      </c>
      <c r="G191" s="4" t="s">
        <v>37</v>
      </c>
      <c r="H191" s="4" t="s">
        <v>46</v>
      </c>
      <c r="I191" s="4"/>
      <c r="J191" s="4" t="s">
        <v>50</v>
      </c>
      <c r="K191" s="4"/>
      <c r="L191" s="4" t="s">
        <v>51</v>
      </c>
      <c r="M191" s="4" t="s">
        <v>40</v>
      </c>
      <c r="N191" s="4" t="s">
        <v>41</v>
      </c>
      <c r="O191" s="4" t="s">
        <v>147</v>
      </c>
      <c r="P191" s="4" t="s">
        <v>42</v>
      </c>
      <c r="Q191" s="50" t="s">
        <v>43</v>
      </c>
      <c r="R191" s="50"/>
      <c r="S191" s="50">
        <v>0</v>
      </c>
      <c r="T191" s="4" t="s">
        <v>43</v>
      </c>
      <c r="U191" s="4" t="s">
        <v>43</v>
      </c>
      <c r="AD191" s="91">
        <f t="shared" si="3"/>
        <v>0</v>
      </c>
    </row>
    <row r="192" spans="3:30" hidden="1" x14ac:dyDescent="0.25">
      <c r="C192" s="87" t="s">
        <v>149</v>
      </c>
      <c r="D192" s="4" t="s">
        <v>150</v>
      </c>
      <c r="E192" s="4" t="s">
        <v>150</v>
      </c>
      <c r="F192" s="4" t="s">
        <v>36</v>
      </c>
      <c r="G192" s="4" t="s">
        <v>37</v>
      </c>
      <c r="H192" s="4" t="s">
        <v>81</v>
      </c>
      <c r="I192" s="4"/>
      <c r="J192" s="4" t="s">
        <v>100</v>
      </c>
      <c r="K192" s="4"/>
      <c r="L192" s="4" t="s">
        <v>59</v>
      </c>
      <c r="M192" s="4" t="s">
        <v>40</v>
      </c>
      <c r="N192" s="4" t="s">
        <v>41</v>
      </c>
      <c r="O192" s="4" t="s">
        <v>149</v>
      </c>
      <c r="P192" s="4" t="s">
        <v>42</v>
      </c>
      <c r="Q192" s="50" t="s">
        <v>43</v>
      </c>
      <c r="R192" s="50"/>
      <c r="S192" s="50">
        <v>0</v>
      </c>
      <c r="T192" s="4" t="s">
        <v>43</v>
      </c>
      <c r="U192" s="4" t="s">
        <v>43</v>
      </c>
      <c r="AD192" s="91">
        <f t="shared" si="3"/>
        <v>0</v>
      </c>
    </row>
    <row r="193" spans="3:30" hidden="1" x14ac:dyDescent="0.25">
      <c r="C193" s="87" t="s">
        <v>151</v>
      </c>
      <c r="D193" s="4" t="s">
        <v>152</v>
      </c>
      <c r="E193" s="4" t="s">
        <v>152</v>
      </c>
      <c r="F193" s="4" t="s">
        <v>36</v>
      </c>
      <c r="G193" s="4" t="s">
        <v>37</v>
      </c>
      <c r="H193" s="4" t="s">
        <v>88</v>
      </c>
      <c r="I193" s="4"/>
      <c r="J193" s="4" t="s">
        <v>132</v>
      </c>
      <c r="K193" s="4"/>
      <c r="L193" s="4" t="s">
        <v>133</v>
      </c>
      <c r="M193" s="4" t="s">
        <v>40</v>
      </c>
      <c r="N193" s="4" t="s">
        <v>41</v>
      </c>
      <c r="O193" s="4" t="s">
        <v>151</v>
      </c>
      <c r="P193" s="4" t="s">
        <v>42</v>
      </c>
      <c r="Q193" s="50" t="s">
        <v>43</v>
      </c>
      <c r="R193" s="50"/>
      <c r="S193" s="50">
        <v>0</v>
      </c>
      <c r="T193" s="4" t="s">
        <v>43</v>
      </c>
      <c r="U193" s="4" t="s">
        <v>43</v>
      </c>
      <c r="AD193" s="91">
        <f t="shared" si="3"/>
        <v>0</v>
      </c>
    </row>
    <row r="194" spans="3:30" hidden="1" x14ac:dyDescent="0.25">
      <c r="C194" s="87" t="s">
        <v>786</v>
      </c>
      <c r="D194" s="4" t="s">
        <v>787</v>
      </c>
      <c r="E194" s="4" t="s">
        <v>787</v>
      </c>
      <c r="F194" s="4">
        <v>5</v>
      </c>
      <c r="G194" s="4" t="s">
        <v>376</v>
      </c>
      <c r="H194" s="4" t="s">
        <v>81</v>
      </c>
      <c r="I194" s="4" t="s">
        <v>421</v>
      </c>
      <c r="J194" s="4" t="s">
        <v>89</v>
      </c>
      <c r="K194" s="4" t="s">
        <v>43</v>
      </c>
      <c r="L194" s="4" t="s">
        <v>109</v>
      </c>
      <c r="M194" s="4" t="s">
        <v>91</v>
      </c>
      <c r="N194" s="4" t="s">
        <v>378</v>
      </c>
      <c r="O194" s="4" t="s">
        <v>786</v>
      </c>
      <c r="P194" s="4" t="s">
        <v>42</v>
      </c>
      <c r="Q194" s="50" t="s">
        <v>43</v>
      </c>
      <c r="R194" s="50"/>
      <c r="S194" s="50" t="s">
        <v>772</v>
      </c>
      <c r="T194" s="4" t="s">
        <v>43</v>
      </c>
      <c r="U194" s="4" t="s">
        <v>43</v>
      </c>
      <c r="W194" s="48">
        <v>1</v>
      </c>
      <c r="X194" s="48">
        <v>1</v>
      </c>
      <c r="Y194" s="48">
        <v>3</v>
      </c>
      <c r="AD194" s="91">
        <f t="shared" si="3"/>
        <v>5</v>
      </c>
    </row>
    <row r="195" spans="3:30" hidden="1" x14ac:dyDescent="0.25">
      <c r="C195" s="87" t="s">
        <v>582</v>
      </c>
      <c r="D195" s="4" t="s">
        <v>583</v>
      </c>
      <c r="E195" s="4" t="s">
        <v>583</v>
      </c>
      <c r="F195" s="4">
        <v>5</v>
      </c>
      <c r="G195" s="4" t="s">
        <v>376</v>
      </c>
      <c r="H195" s="4" t="s">
        <v>46</v>
      </c>
      <c r="I195" s="4" t="s">
        <v>377</v>
      </c>
      <c r="J195" s="4" t="s">
        <v>331</v>
      </c>
      <c r="K195" s="4" t="s">
        <v>43</v>
      </c>
      <c r="L195" s="4" t="s">
        <v>138</v>
      </c>
      <c r="M195" s="4" t="s">
        <v>40</v>
      </c>
      <c r="N195" s="4" t="s">
        <v>422</v>
      </c>
      <c r="O195" s="4" t="s">
        <v>582</v>
      </c>
      <c r="P195" s="4" t="s">
        <v>42</v>
      </c>
      <c r="Q195" s="50" t="s">
        <v>43</v>
      </c>
      <c r="R195" s="50"/>
      <c r="S195" s="50" t="s">
        <v>557</v>
      </c>
      <c r="T195" s="4" t="s">
        <v>43</v>
      </c>
      <c r="U195" s="4" t="s">
        <v>43</v>
      </c>
      <c r="W195" s="48">
        <v>1</v>
      </c>
      <c r="X195" s="48">
        <v>1</v>
      </c>
      <c r="Y195" s="48">
        <v>3</v>
      </c>
      <c r="AD195" s="91">
        <f t="shared" si="3"/>
        <v>5</v>
      </c>
    </row>
    <row r="196" spans="3:30" hidden="1" x14ac:dyDescent="0.25">
      <c r="C196" s="87" t="s">
        <v>714</v>
      </c>
      <c r="D196" s="4" t="s">
        <v>715</v>
      </c>
      <c r="E196" s="4" t="s">
        <v>715</v>
      </c>
      <c r="F196" s="4">
        <v>5</v>
      </c>
      <c r="G196" s="4" t="s">
        <v>376</v>
      </c>
      <c r="H196" s="4" t="s">
        <v>46</v>
      </c>
      <c r="I196" s="4" t="s">
        <v>421</v>
      </c>
      <c r="J196" s="4" t="s">
        <v>84</v>
      </c>
      <c r="K196" s="4" t="s">
        <v>440</v>
      </c>
      <c r="L196" s="4" t="s">
        <v>54</v>
      </c>
      <c r="M196" s="4" t="s">
        <v>55</v>
      </c>
      <c r="N196" s="4" t="s">
        <v>653</v>
      </c>
      <c r="O196" s="4" t="s">
        <v>714</v>
      </c>
      <c r="P196" s="4" t="s">
        <v>42</v>
      </c>
      <c r="Q196" s="50" t="s">
        <v>43</v>
      </c>
      <c r="R196" s="50"/>
      <c r="S196" s="50" t="s">
        <v>702</v>
      </c>
      <c r="T196" s="4" t="s">
        <v>43</v>
      </c>
      <c r="U196" s="4" t="s">
        <v>43</v>
      </c>
      <c r="W196" s="48">
        <v>1</v>
      </c>
      <c r="X196" s="48">
        <v>1</v>
      </c>
      <c r="Y196" s="48">
        <v>3</v>
      </c>
      <c r="AD196" s="91">
        <f t="shared" si="3"/>
        <v>5</v>
      </c>
    </row>
    <row r="197" spans="3:30" hidden="1" x14ac:dyDescent="0.25">
      <c r="C197" s="87" t="s">
        <v>153</v>
      </c>
      <c r="D197" s="4" t="s">
        <v>154</v>
      </c>
      <c r="E197" s="4" t="s">
        <v>155</v>
      </c>
      <c r="F197" s="4" t="s">
        <v>36</v>
      </c>
      <c r="G197" s="4" t="s">
        <v>37</v>
      </c>
      <c r="H197" s="4" t="s">
        <v>81</v>
      </c>
      <c r="I197" s="4"/>
      <c r="J197" s="4" t="s">
        <v>84</v>
      </c>
      <c r="K197" s="4"/>
      <c r="L197" s="4" t="s">
        <v>54</v>
      </c>
      <c r="M197" s="4" t="s">
        <v>55</v>
      </c>
      <c r="N197" s="4" t="s">
        <v>41</v>
      </c>
      <c r="O197" s="4" t="s">
        <v>153</v>
      </c>
      <c r="P197" s="4" t="s">
        <v>42</v>
      </c>
      <c r="Q197" s="50" t="s">
        <v>43</v>
      </c>
      <c r="R197" s="50"/>
      <c r="S197" s="50">
        <v>0</v>
      </c>
      <c r="T197" s="4" t="s">
        <v>43</v>
      </c>
      <c r="U197" s="4" t="s">
        <v>43</v>
      </c>
      <c r="AD197" s="91">
        <f t="shared" si="3"/>
        <v>0</v>
      </c>
    </row>
    <row r="198" spans="3:30" hidden="1" x14ac:dyDescent="0.25">
      <c r="C198" s="87" t="s">
        <v>912</v>
      </c>
      <c r="D198" s="4" t="s">
        <v>913</v>
      </c>
      <c r="E198" s="4" t="s">
        <v>913</v>
      </c>
      <c r="F198" s="4">
        <v>5</v>
      </c>
      <c r="G198" s="4" t="s">
        <v>376</v>
      </c>
      <c r="H198" s="4" t="s">
        <v>81</v>
      </c>
      <c r="I198" s="4" t="s">
        <v>421</v>
      </c>
      <c r="J198" s="4" t="s">
        <v>73</v>
      </c>
      <c r="K198" s="4" t="s">
        <v>43</v>
      </c>
      <c r="L198" s="4" t="s">
        <v>914</v>
      </c>
      <c r="M198" s="4" t="s">
        <v>40</v>
      </c>
      <c r="N198" s="4" t="s">
        <v>514</v>
      </c>
      <c r="O198" s="4" t="s">
        <v>912</v>
      </c>
      <c r="P198" s="4" t="s">
        <v>42</v>
      </c>
      <c r="Q198" s="50" t="s">
        <v>43</v>
      </c>
      <c r="R198" s="50"/>
      <c r="S198" s="50" t="s">
        <v>886</v>
      </c>
      <c r="T198" s="4" t="s">
        <v>43</v>
      </c>
      <c r="U198" s="4" t="s">
        <v>43</v>
      </c>
      <c r="W198" s="48">
        <v>1</v>
      </c>
      <c r="X198" s="48">
        <v>1</v>
      </c>
      <c r="Y198" s="48">
        <v>3</v>
      </c>
      <c r="AD198" s="91">
        <f t="shared" si="3"/>
        <v>5</v>
      </c>
    </row>
    <row r="199" spans="3:30" hidden="1" x14ac:dyDescent="0.25">
      <c r="C199" s="87" t="s">
        <v>500</v>
      </c>
      <c r="D199" s="4" t="s">
        <v>501</v>
      </c>
      <c r="E199" s="4" t="s">
        <v>501</v>
      </c>
      <c r="F199" s="4">
        <v>5</v>
      </c>
      <c r="G199" s="4" t="s">
        <v>376</v>
      </c>
      <c r="H199" s="4" t="s">
        <v>46</v>
      </c>
      <c r="I199" s="4" t="s">
        <v>377</v>
      </c>
      <c r="J199" s="4" t="s">
        <v>466</v>
      </c>
      <c r="K199" s="4" t="s">
        <v>43</v>
      </c>
      <c r="L199" s="4" t="s">
        <v>51</v>
      </c>
      <c r="M199" s="4" t="s">
        <v>40</v>
      </c>
      <c r="N199" s="4" t="s">
        <v>378</v>
      </c>
      <c r="O199" s="4" t="s">
        <v>500</v>
      </c>
      <c r="P199" s="4" t="s">
        <v>42</v>
      </c>
      <c r="Q199" s="50" t="s">
        <v>43</v>
      </c>
      <c r="R199" s="50"/>
      <c r="S199" s="50" t="s">
        <v>467</v>
      </c>
      <c r="T199" s="4" t="s">
        <v>43</v>
      </c>
      <c r="U199" s="4" t="s">
        <v>43</v>
      </c>
      <c r="W199" s="48">
        <v>1</v>
      </c>
      <c r="X199" s="48">
        <v>1</v>
      </c>
      <c r="Y199" s="48">
        <v>3</v>
      </c>
      <c r="AD199" s="91">
        <f t="shared" si="3"/>
        <v>5</v>
      </c>
    </row>
    <row r="200" spans="3:30" hidden="1" x14ac:dyDescent="0.25">
      <c r="C200" s="87" t="s">
        <v>441</v>
      </c>
      <c r="D200" s="4" t="s">
        <v>442</v>
      </c>
      <c r="E200" s="4" t="s">
        <v>442</v>
      </c>
      <c r="F200" s="4">
        <v>5</v>
      </c>
      <c r="G200" s="4" t="s">
        <v>376</v>
      </c>
      <c r="H200" s="4" t="s">
        <v>46</v>
      </c>
      <c r="I200" s="4" t="s">
        <v>421</v>
      </c>
      <c r="J200" s="4" t="s">
        <v>94</v>
      </c>
      <c r="K200" s="4" t="s">
        <v>43</v>
      </c>
      <c r="L200" s="4" t="s">
        <v>64</v>
      </c>
      <c r="M200" s="4" t="s">
        <v>40</v>
      </c>
      <c r="N200" s="4" t="s">
        <v>422</v>
      </c>
      <c r="O200" s="4" t="s">
        <v>441</v>
      </c>
      <c r="P200" s="4" t="s">
        <v>42</v>
      </c>
      <c r="Q200" s="50" t="s">
        <v>43</v>
      </c>
      <c r="R200" s="50"/>
      <c r="S200" s="50" t="s">
        <v>423</v>
      </c>
      <c r="T200" s="4" t="s">
        <v>43</v>
      </c>
      <c r="U200" s="4" t="s">
        <v>43</v>
      </c>
      <c r="W200" s="48">
        <v>1</v>
      </c>
      <c r="X200" s="48">
        <v>1</v>
      </c>
      <c r="Y200" s="48">
        <v>3</v>
      </c>
      <c r="AD200" s="91">
        <f t="shared" si="3"/>
        <v>5</v>
      </c>
    </row>
    <row r="201" spans="3:30" hidden="1" x14ac:dyDescent="0.25">
      <c r="C201" s="87" t="s">
        <v>156</v>
      </c>
      <c r="D201" s="4" t="s">
        <v>157</v>
      </c>
      <c r="E201" s="4" t="s">
        <v>157</v>
      </c>
      <c r="F201" s="4" t="s">
        <v>36</v>
      </c>
      <c r="G201" s="4" t="s">
        <v>37</v>
      </c>
      <c r="H201" s="4" t="s">
        <v>46</v>
      </c>
      <c r="I201" s="4"/>
      <c r="J201" s="4">
        <v>0</v>
      </c>
      <c r="K201" s="4"/>
      <c r="L201" s="4" t="s">
        <v>51</v>
      </c>
      <c r="M201" s="4" t="s">
        <v>40</v>
      </c>
      <c r="N201" s="4" t="s">
        <v>41</v>
      </c>
      <c r="O201" s="4" t="s">
        <v>156</v>
      </c>
      <c r="P201" s="4" t="s">
        <v>42</v>
      </c>
      <c r="Q201" s="50" t="s">
        <v>43</v>
      </c>
      <c r="R201" s="50"/>
      <c r="S201" s="50">
        <v>0</v>
      </c>
      <c r="T201" s="4" t="s">
        <v>43</v>
      </c>
      <c r="U201" s="4" t="s">
        <v>43</v>
      </c>
      <c r="AD201" s="91">
        <f t="shared" ref="AD201:AD264" si="4">SUMPRODUCT($W$6:$AC$6,W201:AC201)</f>
        <v>0</v>
      </c>
    </row>
    <row r="202" spans="3:30" hidden="1" x14ac:dyDescent="0.25">
      <c r="C202" s="87" t="s">
        <v>875</v>
      </c>
      <c r="D202" s="4" t="s">
        <v>876</v>
      </c>
      <c r="E202" s="4" t="s">
        <v>876</v>
      </c>
      <c r="F202" s="4">
        <v>3.93</v>
      </c>
      <c r="G202" s="4" t="s">
        <v>376</v>
      </c>
      <c r="H202" s="4" t="s">
        <v>81</v>
      </c>
      <c r="I202" s="4" t="s">
        <v>377</v>
      </c>
      <c r="J202" s="4" t="s">
        <v>132</v>
      </c>
      <c r="K202" s="4" t="s">
        <v>43</v>
      </c>
      <c r="L202" s="4" t="s">
        <v>856</v>
      </c>
      <c r="M202" s="4" t="s">
        <v>40</v>
      </c>
      <c r="N202" s="4" t="s">
        <v>514</v>
      </c>
      <c r="O202" s="4" t="s">
        <v>875</v>
      </c>
      <c r="P202" s="4" t="s">
        <v>42</v>
      </c>
      <c r="Q202" s="50" t="s">
        <v>43</v>
      </c>
      <c r="R202" s="50"/>
      <c r="S202" s="50" t="s">
        <v>847</v>
      </c>
      <c r="T202" s="4" t="s">
        <v>43</v>
      </c>
      <c r="U202" s="4" t="s">
        <v>43</v>
      </c>
      <c r="W202" s="48">
        <v>1</v>
      </c>
      <c r="X202" s="48">
        <v>1</v>
      </c>
      <c r="Z202" s="48">
        <v>3</v>
      </c>
      <c r="AD202" s="91">
        <f t="shared" si="4"/>
        <v>4.045454545454545</v>
      </c>
    </row>
    <row r="203" spans="3:30" hidden="1" x14ac:dyDescent="0.25">
      <c r="C203" s="87" t="s">
        <v>158</v>
      </c>
      <c r="D203" s="4" t="s">
        <v>159</v>
      </c>
      <c r="E203" s="4" t="s">
        <v>159</v>
      </c>
      <c r="F203" s="4" t="s">
        <v>36</v>
      </c>
      <c r="G203" s="4" t="s">
        <v>37</v>
      </c>
      <c r="H203" s="4" t="s">
        <v>81</v>
      </c>
      <c r="I203" s="4"/>
      <c r="J203" s="4" t="s">
        <v>160</v>
      </c>
      <c r="K203" s="4"/>
      <c r="L203" s="4" t="s">
        <v>161</v>
      </c>
      <c r="M203" s="4" t="s">
        <v>55</v>
      </c>
      <c r="N203" s="4" t="s">
        <v>41</v>
      </c>
      <c r="O203" s="4" t="s">
        <v>158</v>
      </c>
      <c r="P203" s="4" t="s">
        <v>42</v>
      </c>
      <c r="Q203" s="50" t="s">
        <v>43</v>
      </c>
      <c r="R203" s="50"/>
      <c r="S203" s="50">
        <v>0</v>
      </c>
      <c r="T203" s="4" t="s">
        <v>43</v>
      </c>
      <c r="U203" s="4" t="s">
        <v>43</v>
      </c>
      <c r="AD203" s="91">
        <f t="shared" si="4"/>
        <v>0</v>
      </c>
    </row>
    <row r="204" spans="3:30" hidden="1" x14ac:dyDescent="0.25">
      <c r="C204" s="87" t="s">
        <v>814</v>
      </c>
      <c r="D204" s="4" t="s">
        <v>815</v>
      </c>
      <c r="E204" s="4" t="s">
        <v>816</v>
      </c>
      <c r="F204" s="4">
        <v>5</v>
      </c>
      <c r="G204" s="4" t="s">
        <v>376</v>
      </c>
      <c r="H204" s="4" t="s">
        <v>81</v>
      </c>
      <c r="I204" s="4" t="s">
        <v>421</v>
      </c>
      <c r="J204" s="4" t="s">
        <v>146</v>
      </c>
      <c r="K204" s="4" t="s">
        <v>43</v>
      </c>
      <c r="L204" s="4" t="s">
        <v>59</v>
      </c>
      <c r="M204" s="4" t="s">
        <v>40</v>
      </c>
      <c r="N204" s="4" t="s">
        <v>653</v>
      </c>
      <c r="O204" s="4" t="s">
        <v>814</v>
      </c>
      <c r="P204" s="4" t="s">
        <v>42</v>
      </c>
      <c r="Q204" s="50" t="s">
        <v>43</v>
      </c>
      <c r="R204" s="50"/>
      <c r="S204" s="50" t="s">
        <v>799</v>
      </c>
      <c r="T204" s="4" t="s">
        <v>43</v>
      </c>
      <c r="U204" s="4" t="s">
        <v>43</v>
      </c>
      <c r="W204" s="48">
        <v>1</v>
      </c>
      <c r="X204" s="48">
        <v>1</v>
      </c>
      <c r="Y204" s="48">
        <v>3</v>
      </c>
      <c r="AD204" s="91">
        <f t="shared" si="4"/>
        <v>5</v>
      </c>
    </row>
    <row r="205" spans="3:30" hidden="1" x14ac:dyDescent="0.25">
      <c r="C205" s="87" t="s">
        <v>623</v>
      </c>
      <c r="D205" s="4" t="s">
        <v>624</v>
      </c>
      <c r="E205" s="4" t="s">
        <v>625</v>
      </c>
      <c r="F205" s="93">
        <v>5.07</v>
      </c>
      <c r="G205" s="4" t="s">
        <v>376</v>
      </c>
      <c r="H205" s="4" t="s">
        <v>81</v>
      </c>
      <c r="I205" s="4" t="s">
        <v>421</v>
      </c>
      <c r="J205" s="4" t="s">
        <v>50</v>
      </c>
      <c r="K205" s="4"/>
      <c r="L205" s="4" t="s">
        <v>64</v>
      </c>
      <c r="M205" s="4" t="s">
        <v>40</v>
      </c>
      <c r="N205" s="4" t="s">
        <v>422</v>
      </c>
      <c r="O205" s="4" t="s">
        <v>623</v>
      </c>
      <c r="P205" s="4" t="s">
        <v>42</v>
      </c>
      <c r="Q205" s="50" t="s">
        <v>43</v>
      </c>
      <c r="R205" s="50"/>
      <c r="S205" s="50" t="s">
        <v>597</v>
      </c>
      <c r="T205" s="4" t="s">
        <v>43</v>
      </c>
      <c r="U205" s="4" t="s">
        <v>43</v>
      </c>
      <c r="W205" s="48">
        <v>1</v>
      </c>
      <c r="X205" s="48">
        <v>1</v>
      </c>
      <c r="AA205" s="48">
        <v>3</v>
      </c>
      <c r="AC205" s="48">
        <v>4</v>
      </c>
      <c r="AD205" s="91">
        <f t="shared" si="4"/>
        <v>5.0681818181818183</v>
      </c>
    </row>
    <row r="206" spans="3:30" hidden="1" x14ac:dyDescent="0.25">
      <c r="C206" s="87" t="s">
        <v>162</v>
      </c>
      <c r="D206" s="4" t="s">
        <v>163</v>
      </c>
      <c r="E206" s="4" t="s">
        <v>163</v>
      </c>
      <c r="F206" s="4" t="s">
        <v>36</v>
      </c>
      <c r="G206" s="4" t="s">
        <v>37</v>
      </c>
      <c r="H206" s="4" t="s">
        <v>88</v>
      </c>
      <c r="I206" s="4"/>
      <c r="J206" s="4" t="s">
        <v>63</v>
      </c>
      <c r="K206" s="4"/>
      <c r="L206" s="4" t="s">
        <v>138</v>
      </c>
      <c r="M206" s="4" t="s">
        <v>40</v>
      </c>
      <c r="N206" s="4" t="s">
        <v>41</v>
      </c>
      <c r="O206" s="4" t="s">
        <v>162</v>
      </c>
      <c r="P206" s="4" t="s">
        <v>42</v>
      </c>
      <c r="Q206" s="50" t="s">
        <v>43</v>
      </c>
      <c r="R206" s="50"/>
      <c r="S206" s="50">
        <v>0</v>
      </c>
      <c r="T206" s="4" t="s">
        <v>43</v>
      </c>
      <c r="U206" s="4" t="s">
        <v>43</v>
      </c>
      <c r="AD206" s="91">
        <f t="shared" si="4"/>
        <v>0</v>
      </c>
    </row>
    <row r="207" spans="3:30" hidden="1" x14ac:dyDescent="0.25">
      <c r="C207" s="87" t="s">
        <v>716</v>
      </c>
      <c r="D207" s="4" t="s">
        <v>717</v>
      </c>
      <c r="E207" s="4" t="s">
        <v>718</v>
      </c>
      <c r="F207" s="4">
        <v>5</v>
      </c>
      <c r="G207" s="4" t="s">
        <v>376</v>
      </c>
      <c r="H207" s="4" t="s">
        <v>46</v>
      </c>
      <c r="I207" s="4" t="s">
        <v>421</v>
      </c>
      <c r="J207" s="4" t="s">
        <v>84</v>
      </c>
      <c r="K207" s="4" t="s">
        <v>440</v>
      </c>
      <c r="L207" s="4" t="s">
        <v>54</v>
      </c>
      <c r="M207" s="4" t="s">
        <v>55</v>
      </c>
      <c r="N207" s="4" t="s">
        <v>653</v>
      </c>
      <c r="O207" s="4" t="s">
        <v>716</v>
      </c>
      <c r="P207" s="4" t="s">
        <v>42</v>
      </c>
      <c r="Q207" s="50" t="s">
        <v>43</v>
      </c>
      <c r="R207" s="50"/>
      <c r="S207" s="50" t="s">
        <v>702</v>
      </c>
      <c r="T207" s="4" t="s">
        <v>43</v>
      </c>
      <c r="U207" s="4" t="s">
        <v>43</v>
      </c>
      <c r="W207" s="48">
        <v>1</v>
      </c>
      <c r="X207" s="48">
        <v>1</v>
      </c>
      <c r="Y207" s="48">
        <v>3</v>
      </c>
      <c r="AD207" s="91">
        <f t="shared" si="4"/>
        <v>5</v>
      </c>
    </row>
    <row r="208" spans="3:30" hidden="1" x14ac:dyDescent="0.25">
      <c r="C208" s="87" t="s">
        <v>788</v>
      </c>
      <c r="D208" s="4" t="s">
        <v>789</v>
      </c>
      <c r="E208" s="4" t="s">
        <v>790</v>
      </c>
      <c r="F208" s="4">
        <v>5</v>
      </c>
      <c r="G208" s="4" t="s">
        <v>376</v>
      </c>
      <c r="H208" s="4" t="s">
        <v>81</v>
      </c>
      <c r="I208" s="4" t="s">
        <v>421</v>
      </c>
      <c r="J208" s="4" t="s">
        <v>89</v>
      </c>
      <c r="K208" s="4" t="s">
        <v>43</v>
      </c>
      <c r="L208" s="4" t="s">
        <v>109</v>
      </c>
      <c r="M208" s="4" t="s">
        <v>91</v>
      </c>
      <c r="N208" s="4" t="s">
        <v>378</v>
      </c>
      <c r="O208" s="4" t="s">
        <v>788</v>
      </c>
      <c r="P208" s="4" t="s">
        <v>42</v>
      </c>
      <c r="Q208" s="50" t="s">
        <v>43</v>
      </c>
      <c r="R208" s="50"/>
      <c r="S208" s="50" t="s">
        <v>772</v>
      </c>
      <c r="T208" s="4" t="s">
        <v>43</v>
      </c>
      <c r="U208" s="4" t="s">
        <v>43</v>
      </c>
      <c r="W208" s="48">
        <v>1</v>
      </c>
      <c r="X208" s="48">
        <v>1</v>
      </c>
      <c r="Y208" s="48">
        <v>3</v>
      </c>
      <c r="AD208" s="91">
        <f t="shared" si="4"/>
        <v>5</v>
      </c>
    </row>
    <row r="209" spans="3:30" hidden="1" x14ac:dyDescent="0.25">
      <c r="C209" s="87" t="s">
        <v>443</v>
      </c>
      <c r="D209" s="4" t="s">
        <v>444</v>
      </c>
      <c r="E209" s="4" t="s">
        <v>444</v>
      </c>
      <c r="F209" s="4">
        <v>5</v>
      </c>
      <c r="G209" s="4" t="s">
        <v>376</v>
      </c>
      <c r="H209" s="4" t="s">
        <v>81</v>
      </c>
      <c r="I209" s="4" t="s">
        <v>421</v>
      </c>
      <c r="J209" s="4" t="s">
        <v>94</v>
      </c>
      <c r="K209" s="4" t="s">
        <v>43</v>
      </c>
      <c r="L209" s="4" t="s">
        <v>64</v>
      </c>
      <c r="M209" s="4" t="s">
        <v>40</v>
      </c>
      <c r="N209" s="4" t="s">
        <v>422</v>
      </c>
      <c r="O209" s="4" t="s">
        <v>443</v>
      </c>
      <c r="P209" s="4" t="s">
        <v>42</v>
      </c>
      <c r="Q209" s="50" t="s">
        <v>43</v>
      </c>
      <c r="R209" s="50"/>
      <c r="S209" s="50" t="s">
        <v>423</v>
      </c>
      <c r="T209" s="4" t="s">
        <v>43</v>
      </c>
      <c r="U209" s="4" t="s">
        <v>43</v>
      </c>
      <c r="W209" s="48">
        <v>1</v>
      </c>
      <c r="X209" s="48">
        <v>1</v>
      </c>
      <c r="Y209" s="48">
        <v>3</v>
      </c>
      <c r="AD209" s="91">
        <f t="shared" si="4"/>
        <v>5</v>
      </c>
    </row>
    <row r="210" spans="3:30" hidden="1" x14ac:dyDescent="0.25">
      <c r="C210" s="87" t="s">
        <v>415</v>
      </c>
      <c r="D210" s="4" t="s">
        <v>416</v>
      </c>
      <c r="E210" s="4" t="s">
        <v>416</v>
      </c>
      <c r="F210" s="4">
        <v>5</v>
      </c>
      <c r="G210" s="4" t="s">
        <v>376</v>
      </c>
      <c r="H210" s="4" t="s">
        <v>81</v>
      </c>
      <c r="I210" s="4" t="s">
        <v>377</v>
      </c>
      <c r="J210" s="4" t="s">
        <v>63</v>
      </c>
      <c r="K210" s="4" t="s">
        <v>43</v>
      </c>
      <c r="L210" s="4" t="s">
        <v>138</v>
      </c>
      <c r="M210" s="4" t="s">
        <v>40</v>
      </c>
      <c r="N210" s="4" t="s">
        <v>378</v>
      </c>
      <c r="O210" s="4" t="s">
        <v>415</v>
      </c>
      <c r="P210" s="4" t="s">
        <v>42</v>
      </c>
      <c r="Q210" s="50" t="s">
        <v>43</v>
      </c>
      <c r="R210" s="50"/>
      <c r="S210" s="50" t="s">
        <v>380</v>
      </c>
      <c r="T210" s="4" t="s">
        <v>43</v>
      </c>
      <c r="U210" s="4" t="s">
        <v>43</v>
      </c>
      <c r="W210" s="48">
        <v>1</v>
      </c>
      <c r="X210" s="48">
        <v>1</v>
      </c>
      <c r="Y210" s="48">
        <v>3</v>
      </c>
      <c r="AD210" s="91">
        <f t="shared" si="4"/>
        <v>5</v>
      </c>
    </row>
    <row r="211" spans="3:30" hidden="1" x14ac:dyDescent="0.25">
      <c r="C211" s="87" t="s">
        <v>915</v>
      </c>
      <c r="D211" s="4" t="s">
        <v>916</v>
      </c>
      <c r="E211" s="4" t="s">
        <v>916</v>
      </c>
      <c r="F211" s="4">
        <v>5</v>
      </c>
      <c r="G211" s="4" t="s">
        <v>376</v>
      </c>
      <c r="H211" s="4" t="s">
        <v>81</v>
      </c>
      <c r="I211" s="4" t="s">
        <v>421</v>
      </c>
      <c r="J211" s="4" t="s">
        <v>73</v>
      </c>
      <c r="K211" s="4" t="s">
        <v>43</v>
      </c>
      <c r="L211" s="4" t="s">
        <v>133</v>
      </c>
      <c r="M211" s="4" t="s">
        <v>40</v>
      </c>
      <c r="N211" s="4" t="s">
        <v>514</v>
      </c>
      <c r="O211" s="4" t="s">
        <v>915</v>
      </c>
      <c r="P211" s="4" t="s">
        <v>42</v>
      </c>
      <c r="Q211" s="50" t="s">
        <v>43</v>
      </c>
      <c r="R211" s="50"/>
      <c r="S211" s="50" t="s">
        <v>886</v>
      </c>
      <c r="T211" s="4" t="s">
        <v>43</v>
      </c>
      <c r="U211" s="4" t="s">
        <v>43</v>
      </c>
      <c r="W211" s="48">
        <v>1</v>
      </c>
      <c r="X211" s="48">
        <v>1</v>
      </c>
      <c r="Y211" s="48">
        <v>3</v>
      </c>
      <c r="AD211" s="91">
        <f t="shared" si="4"/>
        <v>5</v>
      </c>
    </row>
    <row r="212" spans="3:30" hidden="1" x14ac:dyDescent="0.25">
      <c r="C212" s="87" t="s">
        <v>164</v>
      </c>
      <c r="D212" s="4" t="s">
        <v>165</v>
      </c>
      <c r="E212" s="4" t="s">
        <v>165</v>
      </c>
      <c r="F212" s="4" t="s">
        <v>36</v>
      </c>
      <c r="G212" s="4" t="s">
        <v>37</v>
      </c>
      <c r="H212" s="4" t="s">
        <v>46</v>
      </c>
      <c r="I212" s="4"/>
      <c r="J212" s="4" t="s">
        <v>58</v>
      </c>
      <c r="K212" s="4"/>
      <c r="L212" s="4" t="s">
        <v>138</v>
      </c>
      <c r="M212" s="4" t="s">
        <v>40</v>
      </c>
      <c r="N212" s="4" t="s">
        <v>41</v>
      </c>
      <c r="O212" s="4" t="s">
        <v>164</v>
      </c>
      <c r="P212" s="4" t="s">
        <v>42</v>
      </c>
      <c r="Q212" s="50" t="s">
        <v>43</v>
      </c>
      <c r="R212" s="50"/>
      <c r="S212" s="50">
        <v>0</v>
      </c>
      <c r="T212" s="4" t="s">
        <v>43</v>
      </c>
      <c r="U212" s="4" t="s">
        <v>43</v>
      </c>
      <c r="AD212" s="91">
        <f t="shared" si="4"/>
        <v>0</v>
      </c>
    </row>
    <row r="213" spans="3:30" hidden="1" x14ac:dyDescent="0.25">
      <c r="C213" s="87" t="s">
        <v>166</v>
      </c>
      <c r="D213" s="4" t="s">
        <v>167</v>
      </c>
      <c r="E213" s="4" t="s">
        <v>167</v>
      </c>
      <c r="F213" s="4" t="s">
        <v>36</v>
      </c>
      <c r="G213" s="4" t="s">
        <v>37</v>
      </c>
      <c r="H213" s="4" t="s">
        <v>81</v>
      </c>
      <c r="I213" s="4"/>
      <c r="J213" s="4" t="s">
        <v>58</v>
      </c>
      <c r="K213" s="4"/>
      <c r="L213" s="4" t="s">
        <v>59</v>
      </c>
      <c r="M213" s="4" t="s">
        <v>40</v>
      </c>
      <c r="N213" s="4" t="s">
        <v>41</v>
      </c>
      <c r="O213" s="4" t="s">
        <v>166</v>
      </c>
      <c r="P213" s="4" t="s">
        <v>42</v>
      </c>
      <c r="Q213" s="50" t="s">
        <v>43</v>
      </c>
      <c r="R213" s="50"/>
      <c r="S213" s="50">
        <v>0</v>
      </c>
      <c r="T213" s="4" t="s">
        <v>43</v>
      </c>
      <c r="U213" s="4" t="s">
        <v>43</v>
      </c>
      <c r="AD213" s="91">
        <f t="shared" si="4"/>
        <v>0</v>
      </c>
    </row>
    <row r="214" spans="3:30" hidden="1" x14ac:dyDescent="0.25">
      <c r="C214" s="87" t="s">
        <v>168</v>
      </c>
      <c r="D214" s="4" t="s">
        <v>169</v>
      </c>
      <c r="E214" s="4" t="s">
        <v>170</v>
      </c>
      <c r="F214" s="4" t="s">
        <v>36</v>
      </c>
      <c r="G214" s="4" t="s">
        <v>37</v>
      </c>
      <c r="H214" s="4" t="s">
        <v>46</v>
      </c>
      <c r="I214" s="4"/>
      <c r="J214" s="4" t="s">
        <v>160</v>
      </c>
      <c r="K214" s="4"/>
      <c r="L214" s="4" t="s">
        <v>59</v>
      </c>
      <c r="M214" s="4" t="s">
        <v>40</v>
      </c>
      <c r="N214" s="4" t="s">
        <v>41</v>
      </c>
      <c r="O214" s="4" t="s">
        <v>168</v>
      </c>
      <c r="P214" s="4" t="s">
        <v>42</v>
      </c>
      <c r="Q214" s="50" t="s">
        <v>43</v>
      </c>
      <c r="R214" s="50"/>
      <c r="S214" s="50">
        <v>0</v>
      </c>
      <c r="T214" s="4" t="s">
        <v>43</v>
      </c>
      <c r="U214" s="4" t="s">
        <v>43</v>
      </c>
      <c r="AD214" s="91">
        <f t="shared" si="4"/>
        <v>0</v>
      </c>
    </row>
    <row r="215" spans="3:30" hidden="1" x14ac:dyDescent="0.25">
      <c r="C215" s="87" t="s">
        <v>171</v>
      </c>
      <c r="D215" s="4" t="s">
        <v>172</v>
      </c>
      <c r="E215" s="4" t="s">
        <v>172</v>
      </c>
      <c r="F215" s="4" t="s">
        <v>36</v>
      </c>
      <c r="G215" s="4" t="s">
        <v>37</v>
      </c>
      <c r="H215" s="4" t="s">
        <v>81</v>
      </c>
      <c r="I215" s="4"/>
      <c r="J215" s="4" t="s">
        <v>89</v>
      </c>
      <c r="K215" s="4"/>
      <c r="L215" s="4" t="s">
        <v>109</v>
      </c>
      <c r="M215" s="4" t="s">
        <v>91</v>
      </c>
      <c r="N215" s="4" t="s">
        <v>41</v>
      </c>
      <c r="O215" s="4" t="s">
        <v>171</v>
      </c>
      <c r="P215" s="4" t="s">
        <v>42</v>
      </c>
      <c r="Q215" s="50" t="s">
        <v>43</v>
      </c>
      <c r="R215" s="50"/>
      <c r="S215" s="50">
        <v>0</v>
      </c>
      <c r="T215" s="4" t="s">
        <v>43</v>
      </c>
      <c r="U215" s="4" t="s">
        <v>43</v>
      </c>
      <c r="AD215" s="91">
        <f t="shared" si="4"/>
        <v>0</v>
      </c>
    </row>
    <row r="216" spans="3:30" hidden="1" x14ac:dyDescent="0.25">
      <c r="C216" s="87" t="s">
        <v>173</v>
      </c>
      <c r="D216" s="4" t="s">
        <v>174</v>
      </c>
      <c r="E216" s="4" t="s">
        <v>174</v>
      </c>
      <c r="F216" s="4" t="s">
        <v>36</v>
      </c>
      <c r="G216" s="4" t="s">
        <v>37</v>
      </c>
      <c r="H216" s="4" t="s">
        <v>46</v>
      </c>
      <c r="I216" s="4"/>
      <c r="J216" s="4" t="s">
        <v>73</v>
      </c>
      <c r="K216" s="4"/>
      <c r="L216" s="4" t="s">
        <v>64</v>
      </c>
      <c r="M216" s="4" t="s">
        <v>40</v>
      </c>
      <c r="N216" s="4" t="s">
        <v>41</v>
      </c>
      <c r="O216" s="4" t="s">
        <v>173</v>
      </c>
      <c r="P216" s="4" t="s">
        <v>42</v>
      </c>
      <c r="Q216" s="50" t="s">
        <v>43</v>
      </c>
      <c r="R216" s="50"/>
      <c r="S216" s="50">
        <v>0</v>
      </c>
      <c r="T216" s="4" t="s">
        <v>43</v>
      </c>
      <c r="U216" s="4" t="s">
        <v>43</v>
      </c>
      <c r="AD216" s="91">
        <f t="shared" si="4"/>
        <v>0</v>
      </c>
    </row>
    <row r="217" spans="3:30" hidden="1" x14ac:dyDescent="0.25">
      <c r="C217" s="87" t="s">
        <v>584</v>
      </c>
      <c r="D217" s="4" t="s">
        <v>585</v>
      </c>
      <c r="E217" s="4" t="s">
        <v>585</v>
      </c>
      <c r="F217" s="4">
        <v>5</v>
      </c>
      <c r="G217" s="4" t="s">
        <v>376</v>
      </c>
      <c r="H217" s="4" t="s">
        <v>46</v>
      </c>
      <c r="I217" s="4" t="s">
        <v>377</v>
      </c>
      <c r="J217" s="4" t="s">
        <v>331</v>
      </c>
      <c r="K217" s="4" t="s">
        <v>43</v>
      </c>
      <c r="L217" s="4" t="s">
        <v>138</v>
      </c>
      <c r="M217" s="4" t="s">
        <v>40</v>
      </c>
      <c r="N217" s="4" t="s">
        <v>422</v>
      </c>
      <c r="O217" s="4" t="s">
        <v>584</v>
      </c>
      <c r="P217" s="4" t="s">
        <v>42</v>
      </c>
      <c r="Q217" s="50" t="s">
        <v>43</v>
      </c>
      <c r="R217" s="50"/>
      <c r="S217" s="50" t="s">
        <v>557</v>
      </c>
      <c r="T217" s="4" t="s">
        <v>43</v>
      </c>
      <c r="U217" s="4" t="s">
        <v>43</v>
      </c>
      <c r="W217" s="48">
        <v>1</v>
      </c>
      <c r="X217" s="48">
        <v>1</v>
      </c>
      <c r="Y217" s="48">
        <v>3</v>
      </c>
      <c r="AD217" s="91">
        <f t="shared" si="4"/>
        <v>5</v>
      </c>
    </row>
    <row r="218" spans="3:30" hidden="1" x14ac:dyDescent="0.25">
      <c r="C218" s="87" t="s">
        <v>917</v>
      </c>
      <c r="D218" s="4" t="s">
        <v>918</v>
      </c>
      <c r="E218" s="4" t="s">
        <v>918</v>
      </c>
      <c r="F218" s="4">
        <v>5</v>
      </c>
      <c r="G218" s="4" t="s">
        <v>376</v>
      </c>
      <c r="H218" s="4" t="s">
        <v>46</v>
      </c>
      <c r="I218" s="4" t="s">
        <v>421</v>
      </c>
      <c r="J218" s="4" t="s">
        <v>73</v>
      </c>
      <c r="K218" s="4" t="s">
        <v>43</v>
      </c>
      <c r="L218" s="4" t="s">
        <v>605</v>
      </c>
      <c r="M218" s="4" t="s">
        <v>40</v>
      </c>
      <c r="N218" s="4" t="s">
        <v>514</v>
      </c>
      <c r="O218" s="4" t="s">
        <v>917</v>
      </c>
      <c r="P218" s="4" t="s">
        <v>42</v>
      </c>
      <c r="Q218" s="50" t="s">
        <v>43</v>
      </c>
      <c r="R218" s="50"/>
      <c r="S218" s="50" t="s">
        <v>886</v>
      </c>
      <c r="T218" s="4" t="s">
        <v>43</v>
      </c>
      <c r="U218" s="4" t="s">
        <v>43</v>
      </c>
      <c r="W218" s="48">
        <v>1</v>
      </c>
      <c r="X218" s="48">
        <v>1</v>
      </c>
      <c r="Y218" s="48">
        <v>3</v>
      </c>
      <c r="AD218" s="91">
        <f t="shared" si="4"/>
        <v>5</v>
      </c>
    </row>
    <row r="219" spans="3:30" hidden="1" x14ac:dyDescent="0.25">
      <c r="C219" s="87" t="s">
        <v>877</v>
      </c>
      <c r="D219" s="4" t="s">
        <v>878</v>
      </c>
      <c r="E219" s="4" t="s">
        <v>878</v>
      </c>
      <c r="F219" s="4">
        <v>5</v>
      </c>
      <c r="G219" s="4" t="s">
        <v>376</v>
      </c>
      <c r="H219" s="4" t="s">
        <v>81</v>
      </c>
      <c r="I219" s="4" t="s">
        <v>377</v>
      </c>
      <c r="J219" s="4" t="s">
        <v>132</v>
      </c>
      <c r="K219" s="4" t="s">
        <v>43</v>
      </c>
      <c r="L219" s="4" t="s">
        <v>856</v>
      </c>
      <c r="M219" s="4" t="s">
        <v>40</v>
      </c>
      <c r="N219" s="4" t="s">
        <v>514</v>
      </c>
      <c r="O219" s="4" t="s">
        <v>877</v>
      </c>
      <c r="P219" s="4" t="s">
        <v>42</v>
      </c>
      <c r="Q219" s="50" t="s">
        <v>43</v>
      </c>
      <c r="R219" s="50"/>
      <c r="S219" s="50" t="s">
        <v>847</v>
      </c>
      <c r="T219" s="4" t="s">
        <v>43</v>
      </c>
      <c r="U219" s="4" t="s">
        <v>43</v>
      </c>
      <c r="W219" s="48">
        <v>1</v>
      </c>
      <c r="X219" s="48">
        <v>1</v>
      </c>
      <c r="Y219" s="48">
        <v>3</v>
      </c>
      <c r="AD219" s="91">
        <f t="shared" si="4"/>
        <v>5</v>
      </c>
    </row>
    <row r="220" spans="3:30" hidden="1" x14ac:dyDescent="0.25">
      <c r="C220" s="87" t="s">
        <v>586</v>
      </c>
      <c r="D220" s="4" t="s">
        <v>587</v>
      </c>
      <c r="E220" s="4" t="s">
        <v>587</v>
      </c>
      <c r="F220" s="4">
        <v>5</v>
      </c>
      <c r="G220" s="4" t="s">
        <v>376</v>
      </c>
      <c r="H220" s="4" t="s">
        <v>46</v>
      </c>
      <c r="I220" s="4" t="s">
        <v>377</v>
      </c>
      <c r="J220" s="4" t="s">
        <v>331</v>
      </c>
      <c r="K220" s="4" t="s">
        <v>43</v>
      </c>
      <c r="L220" s="4" t="s">
        <v>138</v>
      </c>
      <c r="M220" s="4" t="s">
        <v>40</v>
      </c>
      <c r="N220" s="4" t="s">
        <v>422</v>
      </c>
      <c r="O220" s="4" t="s">
        <v>586</v>
      </c>
      <c r="P220" s="4" t="s">
        <v>42</v>
      </c>
      <c r="Q220" s="50" t="s">
        <v>43</v>
      </c>
      <c r="R220" s="50"/>
      <c r="S220" s="50" t="s">
        <v>557</v>
      </c>
      <c r="T220" s="4" t="s">
        <v>43</v>
      </c>
      <c r="U220" s="4" t="s">
        <v>43</v>
      </c>
      <c r="W220" s="48">
        <v>1</v>
      </c>
      <c r="X220" s="48">
        <v>1</v>
      </c>
      <c r="Y220" s="48">
        <v>3</v>
      </c>
      <c r="AD220" s="91">
        <f t="shared" si="4"/>
        <v>5</v>
      </c>
    </row>
    <row r="221" spans="3:30" hidden="1" x14ac:dyDescent="0.25">
      <c r="C221" s="87" t="s">
        <v>175</v>
      </c>
      <c r="D221" s="4" t="s">
        <v>176</v>
      </c>
      <c r="E221" s="4" t="s">
        <v>176</v>
      </c>
      <c r="F221" s="4" t="s">
        <v>36</v>
      </c>
      <c r="G221" s="4" t="s">
        <v>37</v>
      </c>
      <c r="H221" s="4" t="s">
        <v>46</v>
      </c>
      <c r="I221" s="4"/>
      <c r="J221" s="4" t="s">
        <v>132</v>
      </c>
      <c r="K221" s="4"/>
      <c r="L221" s="4" t="s">
        <v>64</v>
      </c>
      <c r="M221" s="4" t="s">
        <v>40</v>
      </c>
      <c r="N221" s="4" t="s">
        <v>41</v>
      </c>
      <c r="O221" s="4" t="s">
        <v>175</v>
      </c>
      <c r="P221" s="4" t="s">
        <v>42</v>
      </c>
      <c r="Q221" s="50" t="s">
        <v>43</v>
      </c>
      <c r="R221" s="50"/>
      <c r="S221" s="50">
        <v>0</v>
      </c>
      <c r="T221" s="4" t="s">
        <v>43</v>
      </c>
      <c r="U221" s="4" t="s">
        <v>43</v>
      </c>
      <c r="AD221" s="91">
        <f t="shared" si="4"/>
        <v>0</v>
      </c>
    </row>
    <row r="222" spans="3:30" hidden="1" x14ac:dyDescent="0.25">
      <c r="C222" s="87" t="s">
        <v>177</v>
      </c>
      <c r="D222" s="4" t="s">
        <v>178</v>
      </c>
      <c r="E222" s="4" t="s">
        <v>178</v>
      </c>
      <c r="F222" s="4" t="s">
        <v>36</v>
      </c>
      <c r="G222" s="4" t="s">
        <v>37</v>
      </c>
      <c r="H222" s="4" t="s">
        <v>81</v>
      </c>
      <c r="I222" s="4"/>
      <c r="J222" s="4" t="s">
        <v>84</v>
      </c>
      <c r="K222" s="4"/>
      <c r="L222" s="4" t="s">
        <v>179</v>
      </c>
      <c r="M222" s="4" t="s">
        <v>55</v>
      </c>
      <c r="N222" s="4" t="s">
        <v>41</v>
      </c>
      <c r="O222" s="4" t="s">
        <v>177</v>
      </c>
      <c r="P222" s="4" t="s">
        <v>42</v>
      </c>
      <c r="Q222" s="50" t="s">
        <v>43</v>
      </c>
      <c r="R222" s="50"/>
      <c r="S222" s="50">
        <v>0</v>
      </c>
      <c r="T222" s="4" t="s">
        <v>43</v>
      </c>
      <c r="U222" s="4" t="s">
        <v>43</v>
      </c>
      <c r="AD222" s="91">
        <f t="shared" si="4"/>
        <v>0</v>
      </c>
    </row>
    <row r="223" spans="3:30" hidden="1" x14ac:dyDescent="0.25">
      <c r="C223" s="87" t="s">
        <v>180</v>
      </c>
      <c r="D223" s="4" t="s">
        <v>181</v>
      </c>
      <c r="E223" s="4" t="s">
        <v>181</v>
      </c>
      <c r="F223" s="4" t="s">
        <v>36</v>
      </c>
      <c r="G223" s="4" t="s">
        <v>37</v>
      </c>
      <c r="H223" s="4" t="s">
        <v>81</v>
      </c>
      <c r="I223" s="4"/>
      <c r="J223" s="4" t="s">
        <v>84</v>
      </c>
      <c r="K223" s="4"/>
      <c r="L223" s="4" t="s">
        <v>182</v>
      </c>
      <c r="M223" s="4" t="s">
        <v>55</v>
      </c>
      <c r="N223" s="4" t="s">
        <v>41</v>
      </c>
      <c r="O223" s="4" t="s">
        <v>180</v>
      </c>
      <c r="P223" s="4" t="s">
        <v>42</v>
      </c>
      <c r="Q223" s="50" t="s">
        <v>43</v>
      </c>
      <c r="R223" s="50"/>
      <c r="S223" s="50">
        <v>0</v>
      </c>
      <c r="T223" s="4" t="s">
        <v>43</v>
      </c>
      <c r="U223" s="4" t="s">
        <v>43</v>
      </c>
      <c r="AD223" s="91">
        <f t="shared" si="4"/>
        <v>0</v>
      </c>
    </row>
    <row r="224" spans="3:30" hidden="1" x14ac:dyDescent="0.25">
      <c r="C224" s="87" t="s">
        <v>588</v>
      </c>
      <c r="D224" s="4" t="s">
        <v>589</v>
      </c>
      <c r="E224" s="4" t="s">
        <v>589</v>
      </c>
      <c r="F224" s="4">
        <v>5</v>
      </c>
      <c r="G224" s="4" t="s">
        <v>376</v>
      </c>
      <c r="H224" s="4" t="s">
        <v>46</v>
      </c>
      <c r="I224" s="4" t="s">
        <v>377</v>
      </c>
      <c r="J224" s="4" t="s">
        <v>331</v>
      </c>
      <c r="K224" s="4" t="s">
        <v>43</v>
      </c>
      <c r="L224" s="4" t="s">
        <v>138</v>
      </c>
      <c r="M224" s="4" t="s">
        <v>40</v>
      </c>
      <c r="N224" s="4" t="s">
        <v>422</v>
      </c>
      <c r="O224" s="4" t="s">
        <v>588</v>
      </c>
      <c r="P224" s="4" t="s">
        <v>42</v>
      </c>
      <c r="Q224" s="50" t="s">
        <v>43</v>
      </c>
      <c r="R224" s="50"/>
      <c r="S224" s="50" t="s">
        <v>557</v>
      </c>
      <c r="T224" s="4" t="s">
        <v>43</v>
      </c>
      <c r="U224" s="4" t="s">
        <v>43</v>
      </c>
      <c r="W224" s="48">
        <v>1</v>
      </c>
      <c r="X224" s="48">
        <v>1</v>
      </c>
      <c r="Y224" s="48">
        <v>3</v>
      </c>
      <c r="AD224" s="91">
        <f t="shared" si="4"/>
        <v>5</v>
      </c>
    </row>
    <row r="225" spans="3:30" hidden="1" x14ac:dyDescent="0.25">
      <c r="C225" s="87" t="s">
        <v>183</v>
      </c>
      <c r="D225" s="4" t="s">
        <v>184</v>
      </c>
      <c r="E225" s="4" t="s">
        <v>184</v>
      </c>
      <c r="F225" s="4" t="s">
        <v>36</v>
      </c>
      <c r="G225" s="4" t="s">
        <v>37</v>
      </c>
      <c r="H225" s="4" t="s">
        <v>81</v>
      </c>
      <c r="I225" s="4"/>
      <c r="J225" s="4">
        <v>0</v>
      </c>
      <c r="K225" s="4"/>
      <c r="L225" s="4" t="s">
        <v>64</v>
      </c>
      <c r="M225" s="4" t="s">
        <v>40</v>
      </c>
      <c r="N225" s="4" t="s">
        <v>41</v>
      </c>
      <c r="O225" s="4" t="s">
        <v>183</v>
      </c>
      <c r="P225" s="4" t="s">
        <v>42</v>
      </c>
      <c r="Q225" s="50" t="s">
        <v>43</v>
      </c>
      <c r="R225" s="50"/>
      <c r="S225" s="50">
        <v>0</v>
      </c>
      <c r="T225" s="4" t="s">
        <v>43</v>
      </c>
      <c r="U225" s="4" t="s">
        <v>43</v>
      </c>
      <c r="AD225" s="91">
        <f t="shared" si="4"/>
        <v>0</v>
      </c>
    </row>
    <row r="226" spans="3:30" hidden="1" x14ac:dyDescent="0.25">
      <c r="C226" s="87" t="s">
        <v>185</v>
      </c>
      <c r="D226" s="4" t="s">
        <v>186</v>
      </c>
      <c r="E226" s="4" t="s">
        <v>186</v>
      </c>
      <c r="F226" s="4" t="s">
        <v>36</v>
      </c>
      <c r="G226" s="4" t="s">
        <v>37</v>
      </c>
      <c r="H226" s="4" t="s">
        <v>46</v>
      </c>
      <c r="I226" s="4"/>
      <c r="J226" s="4" t="s">
        <v>94</v>
      </c>
      <c r="K226" s="4"/>
      <c r="L226" s="4" t="s">
        <v>64</v>
      </c>
      <c r="M226" s="4" t="s">
        <v>40</v>
      </c>
      <c r="N226" s="4" t="s">
        <v>41</v>
      </c>
      <c r="O226" s="4" t="s">
        <v>185</v>
      </c>
      <c r="P226" s="4" t="s">
        <v>42</v>
      </c>
      <c r="Q226" s="50" t="s">
        <v>43</v>
      </c>
      <c r="R226" s="50"/>
      <c r="S226" s="50">
        <v>0</v>
      </c>
      <c r="T226" s="4" t="s">
        <v>43</v>
      </c>
      <c r="U226" s="4" t="s">
        <v>43</v>
      </c>
      <c r="AD226" s="91">
        <f t="shared" si="4"/>
        <v>0</v>
      </c>
    </row>
    <row r="227" spans="3:30" hidden="1" x14ac:dyDescent="0.25">
      <c r="C227" s="87" t="s">
        <v>445</v>
      </c>
      <c r="D227" s="4" t="s">
        <v>446</v>
      </c>
      <c r="E227" s="4" t="s">
        <v>446</v>
      </c>
      <c r="F227" s="4">
        <v>5</v>
      </c>
      <c r="G227" s="4" t="s">
        <v>376</v>
      </c>
      <c r="H227" s="4" t="s">
        <v>46</v>
      </c>
      <c r="I227" s="4" t="s">
        <v>421</v>
      </c>
      <c r="J227" s="4" t="s">
        <v>94</v>
      </c>
      <c r="K227" s="4" t="s">
        <v>43</v>
      </c>
      <c r="L227" s="4" t="s">
        <v>64</v>
      </c>
      <c r="M227" s="4" t="s">
        <v>40</v>
      </c>
      <c r="N227" s="4" t="s">
        <v>422</v>
      </c>
      <c r="O227" s="4" t="s">
        <v>445</v>
      </c>
      <c r="P227" s="4" t="s">
        <v>42</v>
      </c>
      <c r="Q227" s="50" t="s">
        <v>43</v>
      </c>
      <c r="R227" s="50"/>
      <c r="S227" s="50" t="s">
        <v>423</v>
      </c>
      <c r="T227" s="4" t="s">
        <v>43</v>
      </c>
      <c r="U227" s="4" t="s">
        <v>43</v>
      </c>
      <c r="W227" s="48">
        <v>1</v>
      </c>
      <c r="X227" s="48">
        <v>1</v>
      </c>
      <c r="Y227" s="48">
        <v>3</v>
      </c>
      <c r="AD227" s="91">
        <f t="shared" si="4"/>
        <v>5</v>
      </c>
    </row>
    <row r="228" spans="3:30" hidden="1" x14ac:dyDescent="0.25">
      <c r="C228" s="87" t="s">
        <v>817</v>
      </c>
      <c r="D228" s="4" t="s">
        <v>818</v>
      </c>
      <c r="E228" s="4" t="s">
        <v>818</v>
      </c>
      <c r="F228" s="4">
        <v>5</v>
      </c>
      <c r="G228" s="4" t="s">
        <v>376</v>
      </c>
      <c r="H228" s="4" t="s">
        <v>46</v>
      </c>
      <c r="I228" s="4" t="s">
        <v>421</v>
      </c>
      <c r="J228" s="4" t="s">
        <v>146</v>
      </c>
      <c r="K228" s="4" t="s">
        <v>43</v>
      </c>
      <c r="L228" s="4" t="s">
        <v>59</v>
      </c>
      <c r="M228" s="4" t="s">
        <v>40</v>
      </c>
      <c r="N228" s="4" t="s">
        <v>653</v>
      </c>
      <c r="O228" s="4" t="s">
        <v>817</v>
      </c>
      <c r="P228" s="4" t="s">
        <v>42</v>
      </c>
      <c r="Q228" s="50" t="s">
        <v>43</v>
      </c>
      <c r="R228" s="50"/>
      <c r="S228" s="50" t="s">
        <v>799</v>
      </c>
      <c r="T228" s="4" t="s">
        <v>43</v>
      </c>
      <c r="U228" s="4" t="s">
        <v>43</v>
      </c>
      <c r="W228" s="48">
        <v>1</v>
      </c>
      <c r="X228" s="48">
        <v>1</v>
      </c>
      <c r="Y228" s="48">
        <v>3</v>
      </c>
      <c r="AD228" s="91">
        <f t="shared" si="4"/>
        <v>5</v>
      </c>
    </row>
    <row r="229" spans="3:30" hidden="1" x14ac:dyDescent="0.25">
      <c r="C229" s="87" t="s">
        <v>187</v>
      </c>
      <c r="D229" s="4" t="s">
        <v>188</v>
      </c>
      <c r="E229" s="4" t="s">
        <v>188</v>
      </c>
      <c r="F229" s="4" t="s">
        <v>36</v>
      </c>
      <c r="G229" s="4" t="s">
        <v>37</v>
      </c>
      <c r="H229" s="4" t="s">
        <v>81</v>
      </c>
      <c r="I229" s="4"/>
      <c r="J229" s="4" t="s">
        <v>160</v>
      </c>
      <c r="K229" s="4"/>
      <c r="L229" s="4" t="s">
        <v>64</v>
      </c>
      <c r="M229" s="4" t="s">
        <v>40</v>
      </c>
      <c r="N229" s="4" t="s">
        <v>41</v>
      </c>
      <c r="O229" s="4" t="s">
        <v>187</v>
      </c>
      <c r="P229" s="4" t="s">
        <v>42</v>
      </c>
      <c r="Q229" s="50" t="s">
        <v>43</v>
      </c>
      <c r="R229" s="50"/>
      <c r="S229" s="50">
        <v>0</v>
      </c>
      <c r="T229" s="4" t="s">
        <v>43</v>
      </c>
      <c r="U229" s="4" t="s">
        <v>43</v>
      </c>
      <c r="AD229" s="91">
        <f t="shared" si="4"/>
        <v>0</v>
      </c>
    </row>
    <row r="230" spans="3:30" hidden="1" x14ac:dyDescent="0.25">
      <c r="C230" s="87" t="s">
        <v>189</v>
      </c>
      <c r="D230" s="4" t="s">
        <v>190</v>
      </c>
      <c r="E230" s="4" t="s">
        <v>190</v>
      </c>
      <c r="F230" s="4" t="s">
        <v>36</v>
      </c>
      <c r="G230" s="4" t="s">
        <v>37</v>
      </c>
      <c r="H230" s="4" t="s">
        <v>81</v>
      </c>
      <c r="I230" s="4"/>
      <c r="J230" s="4" t="s">
        <v>73</v>
      </c>
      <c r="K230" s="4"/>
      <c r="L230" s="4" t="s">
        <v>64</v>
      </c>
      <c r="M230" s="4" t="s">
        <v>40</v>
      </c>
      <c r="N230" s="4" t="s">
        <v>41</v>
      </c>
      <c r="O230" s="4" t="s">
        <v>189</v>
      </c>
      <c r="P230" s="4" t="s">
        <v>42</v>
      </c>
      <c r="Q230" s="50" t="s">
        <v>43</v>
      </c>
      <c r="R230" s="50"/>
      <c r="S230" s="50">
        <v>0</v>
      </c>
      <c r="T230" s="4" t="s">
        <v>43</v>
      </c>
      <c r="U230" s="4" t="s">
        <v>43</v>
      </c>
      <c r="AD230" s="91">
        <f t="shared" si="4"/>
        <v>0</v>
      </c>
    </row>
    <row r="231" spans="3:30" hidden="1" x14ac:dyDescent="0.25">
      <c r="C231" s="87" t="s">
        <v>626</v>
      </c>
      <c r="D231" s="4" t="s">
        <v>627</v>
      </c>
      <c r="E231" s="4" t="s">
        <v>627</v>
      </c>
      <c r="F231" s="93">
        <v>5.07</v>
      </c>
      <c r="G231" s="4" t="s">
        <v>376</v>
      </c>
      <c r="H231" s="4"/>
      <c r="I231" s="4" t="s">
        <v>421</v>
      </c>
      <c r="J231" s="4"/>
      <c r="K231" s="4"/>
      <c r="L231" s="4"/>
      <c r="M231" s="4"/>
      <c r="N231" s="4" t="s">
        <v>422</v>
      </c>
      <c r="O231" s="4" t="s">
        <v>626</v>
      </c>
      <c r="P231" s="4"/>
      <c r="Q231" s="50"/>
      <c r="R231" s="50"/>
      <c r="S231" s="50" t="s">
        <v>597</v>
      </c>
      <c r="T231" s="4"/>
      <c r="U231" s="4"/>
      <c r="W231" s="48">
        <v>1</v>
      </c>
      <c r="X231" s="48">
        <v>1</v>
      </c>
      <c r="AA231" s="48">
        <v>3</v>
      </c>
      <c r="AC231" s="48">
        <v>4</v>
      </c>
      <c r="AD231" s="91">
        <f t="shared" si="4"/>
        <v>5.0681818181818183</v>
      </c>
    </row>
    <row r="232" spans="3:30" hidden="1" x14ac:dyDescent="0.25">
      <c r="C232" s="87" t="s">
        <v>191</v>
      </c>
      <c r="D232" s="4" t="s">
        <v>192</v>
      </c>
      <c r="E232" s="4" t="s">
        <v>193</v>
      </c>
      <c r="F232" s="4" t="s">
        <v>36</v>
      </c>
      <c r="G232" s="4" t="s">
        <v>37</v>
      </c>
      <c r="H232" s="4" t="s">
        <v>81</v>
      </c>
      <c r="I232" s="4"/>
      <c r="J232" s="4" t="s">
        <v>94</v>
      </c>
      <c r="K232" s="4"/>
      <c r="L232" s="4" t="s">
        <v>64</v>
      </c>
      <c r="M232" s="4" t="s">
        <v>40</v>
      </c>
      <c r="N232" s="4" t="s">
        <v>41</v>
      </c>
      <c r="O232" s="4" t="s">
        <v>191</v>
      </c>
      <c r="P232" s="4" t="s">
        <v>42</v>
      </c>
      <c r="Q232" s="50" t="s">
        <v>43</v>
      </c>
      <c r="R232" s="50"/>
      <c r="S232" s="50">
        <v>0</v>
      </c>
      <c r="T232" s="4" t="s">
        <v>43</v>
      </c>
      <c r="U232" s="4" t="s">
        <v>43</v>
      </c>
      <c r="AD232" s="91">
        <f t="shared" si="4"/>
        <v>0</v>
      </c>
    </row>
    <row r="233" spans="3:30" hidden="1" x14ac:dyDescent="0.25">
      <c r="C233" s="87" t="s">
        <v>194</v>
      </c>
      <c r="D233" s="4" t="s">
        <v>195</v>
      </c>
      <c r="E233" s="4" t="s">
        <v>196</v>
      </c>
      <c r="F233" s="4" t="s">
        <v>36</v>
      </c>
      <c r="G233" s="4" t="s">
        <v>37</v>
      </c>
      <c r="H233" s="4" t="s">
        <v>88</v>
      </c>
      <c r="I233" s="4"/>
      <c r="J233" s="4" t="s">
        <v>84</v>
      </c>
      <c r="K233" s="4"/>
      <c r="L233" s="4" t="s">
        <v>85</v>
      </c>
      <c r="M233" s="4" t="s">
        <v>55</v>
      </c>
      <c r="N233" s="4" t="s">
        <v>41</v>
      </c>
      <c r="O233" s="4" t="s">
        <v>194</v>
      </c>
      <c r="P233" s="4" t="s">
        <v>42</v>
      </c>
      <c r="Q233" s="50" t="s">
        <v>43</v>
      </c>
      <c r="R233" s="50"/>
      <c r="S233" s="50">
        <v>0</v>
      </c>
      <c r="T233" s="4" t="s">
        <v>43</v>
      </c>
      <c r="U233" s="4" t="s">
        <v>43</v>
      </c>
      <c r="AD233" s="91">
        <f t="shared" si="4"/>
        <v>0</v>
      </c>
    </row>
    <row r="234" spans="3:30" hidden="1" x14ac:dyDescent="0.25">
      <c r="C234" s="87" t="s">
        <v>719</v>
      </c>
      <c r="D234" s="4" t="s">
        <v>720</v>
      </c>
      <c r="E234" s="4" t="s">
        <v>721</v>
      </c>
      <c r="F234" s="4">
        <v>5</v>
      </c>
      <c r="G234" s="4" t="s">
        <v>376</v>
      </c>
      <c r="H234" s="4" t="s">
        <v>81</v>
      </c>
      <c r="I234" s="4" t="s">
        <v>421</v>
      </c>
      <c r="J234" s="4" t="s">
        <v>84</v>
      </c>
      <c r="K234" s="4" t="s">
        <v>440</v>
      </c>
      <c r="L234" s="4" t="s">
        <v>722</v>
      </c>
      <c r="M234" s="4" t="s">
        <v>55</v>
      </c>
      <c r="N234" s="4" t="s">
        <v>653</v>
      </c>
      <c r="O234" s="4" t="s">
        <v>719</v>
      </c>
      <c r="P234" s="4" t="s">
        <v>42</v>
      </c>
      <c r="Q234" s="50" t="s">
        <v>43</v>
      </c>
      <c r="R234" s="50"/>
      <c r="S234" s="50" t="s">
        <v>702</v>
      </c>
      <c r="T234" s="4" t="s">
        <v>43</v>
      </c>
      <c r="U234" s="4" t="s">
        <v>43</v>
      </c>
      <c r="W234" s="48">
        <v>1</v>
      </c>
      <c r="X234" s="48">
        <v>1</v>
      </c>
      <c r="Y234" s="48">
        <v>3</v>
      </c>
      <c r="AD234" s="91">
        <f t="shared" si="4"/>
        <v>5</v>
      </c>
    </row>
    <row r="235" spans="3:30" hidden="1" x14ac:dyDescent="0.25">
      <c r="C235" s="87" t="s">
        <v>197</v>
      </c>
      <c r="D235" s="4" t="s">
        <v>198</v>
      </c>
      <c r="E235" s="4" t="s">
        <v>198</v>
      </c>
      <c r="F235" s="4" t="s">
        <v>36</v>
      </c>
      <c r="G235" s="4" t="s">
        <v>37</v>
      </c>
      <c r="H235" s="4" t="s">
        <v>46</v>
      </c>
      <c r="I235" s="4"/>
      <c r="J235" s="4" t="s">
        <v>63</v>
      </c>
      <c r="K235" s="4"/>
      <c r="L235" s="4" t="s">
        <v>138</v>
      </c>
      <c r="M235" s="4" t="s">
        <v>40</v>
      </c>
      <c r="N235" s="4" t="s">
        <v>41</v>
      </c>
      <c r="O235" s="4" t="s">
        <v>197</v>
      </c>
      <c r="P235" s="4" t="s">
        <v>42</v>
      </c>
      <c r="Q235" s="50" t="s">
        <v>43</v>
      </c>
      <c r="R235" s="50"/>
      <c r="S235" s="50">
        <v>0</v>
      </c>
      <c r="T235" s="4" t="s">
        <v>43</v>
      </c>
      <c r="U235" s="4" t="s">
        <v>43</v>
      </c>
      <c r="AD235" s="91">
        <f t="shared" si="4"/>
        <v>0</v>
      </c>
    </row>
    <row r="236" spans="3:30" hidden="1" x14ac:dyDescent="0.25">
      <c r="C236" s="87" t="s">
        <v>199</v>
      </c>
      <c r="D236" s="4" t="s">
        <v>200</v>
      </c>
      <c r="E236" s="4" t="s">
        <v>201</v>
      </c>
      <c r="F236" s="4" t="s">
        <v>36</v>
      </c>
      <c r="G236" s="4" t="s">
        <v>37</v>
      </c>
      <c r="H236" s="4" t="s">
        <v>202</v>
      </c>
      <c r="I236" s="4"/>
      <c r="J236" s="4">
        <v>0</v>
      </c>
      <c r="K236" s="4"/>
      <c r="L236" s="4" t="s">
        <v>59</v>
      </c>
      <c r="M236" s="4" t="s">
        <v>40</v>
      </c>
      <c r="N236" s="4" t="s">
        <v>41</v>
      </c>
      <c r="O236" s="4" t="s">
        <v>199</v>
      </c>
      <c r="P236" s="4" t="s">
        <v>42</v>
      </c>
      <c r="Q236" s="50" t="s">
        <v>43</v>
      </c>
      <c r="R236" s="50"/>
      <c r="S236" s="50">
        <v>0</v>
      </c>
      <c r="T236" s="4" t="s">
        <v>43</v>
      </c>
      <c r="U236" s="4" t="s">
        <v>43</v>
      </c>
      <c r="AD236" s="91">
        <f t="shared" si="4"/>
        <v>0</v>
      </c>
    </row>
    <row r="237" spans="3:30" hidden="1" x14ac:dyDescent="0.25">
      <c r="C237" s="87" t="s">
        <v>723</v>
      </c>
      <c r="D237" s="4" t="s">
        <v>724</v>
      </c>
      <c r="E237" s="4" t="s">
        <v>725</v>
      </c>
      <c r="F237" s="4">
        <v>5</v>
      </c>
      <c r="G237" s="4" t="s">
        <v>376</v>
      </c>
      <c r="H237" s="4" t="s">
        <v>46</v>
      </c>
      <c r="I237" s="4" t="s">
        <v>421</v>
      </c>
      <c r="J237" s="4" t="s">
        <v>84</v>
      </c>
      <c r="K237" s="4" t="s">
        <v>440</v>
      </c>
      <c r="L237" s="4" t="s">
        <v>54</v>
      </c>
      <c r="M237" s="4" t="s">
        <v>55</v>
      </c>
      <c r="N237" s="4" t="s">
        <v>653</v>
      </c>
      <c r="O237" s="4" t="s">
        <v>723</v>
      </c>
      <c r="P237" s="4" t="s">
        <v>42</v>
      </c>
      <c r="Q237" s="50" t="s">
        <v>43</v>
      </c>
      <c r="R237" s="50"/>
      <c r="S237" s="50" t="s">
        <v>702</v>
      </c>
      <c r="T237" s="4" t="s">
        <v>43</v>
      </c>
      <c r="U237" s="4" t="s">
        <v>43</v>
      </c>
      <c r="W237" s="48">
        <v>1</v>
      </c>
      <c r="X237" s="48">
        <v>1</v>
      </c>
      <c r="Y237" s="48">
        <v>3</v>
      </c>
      <c r="AD237" s="91">
        <f t="shared" si="4"/>
        <v>5</v>
      </c>
    </row>
    <row r="238" spans="3:30" hidden="1" x14ac:dyDescent="0.25">
      <c r="C238" s="87" t="s">
        <v>819</v>
      </c>
      <c r="D238" s="4" t="s">
        <v>820</v>
      </c>
      <c r="E238" s="4" t="s">
        <v>820</v>
      </c>
      <c r="F238" s="4">
        <v>6</v>
      </c>
      <c r="G238" s="4" t="s">
        <v>376</v>
      </c>
      <c r="H238" s="4" t="s">
        <v>46</v>
      </c>
      <c r="I238" s="4" t="s">
        <v>421</v>
      </c>
      <c r="J238" s="4" t="s">
        <v>146</v>
      </c>
      <c r="K238" s="4" t="s">
        <v>43</v>
      </c>
      <c r="L238" s="4" t="s">
        <v>59</v>
      </c>
      <c r="M238" s="4" t="s">
        <v>40</v>
      </c>
      <c r="N238" s="4" t="s">
        <v>653</v>
      </c>
      <c r="O238" s="4" t="s">
        <v>819</v>
      </c>
      <c r="P238" s="4" t="s">
        <v>42</v>
      </c>
      <c r="Q238" s="50" t="s">
        <v>43</v>
      </c>
      <c r="R238" s="50"/>
      <c r="S238" s="50" t="s">
        <v>799</v>
      </c>
      <c r="T238" s="4" t="s">
        <v>43</v>
      </c>
      <c r="U238" s="4" t="s">
        <v>43</v>
      </c>
      <c r="W238" s="48">
        <v>1</v>
      </c>
      <c r="X238" s="48">
        <v>1</v>
      </c>
      <c r="Y238" s="48">
        <v>4</v>
      </c>
      <c r="AD238" s="91">
        <f t="shared" si="4"/>
        <v>6</v>
      </c>
    </row>
    <row r="239" spans="3:30" hidden="1" x14ac:dyDescent="0.25">
      <c r="C239" s="87" t="s">
        <v>821</v>
      </c>
      <c r="D239" s="4" t="s">
        <v>822</v>
      </c>
      <c r="E239" s="4" t="s">
        <v>822</v>
      </c>
      <c r="F239" s="47">
        <v>5.5600000000000005</v>
      </c>
      <c r="G239" s="4" t="s">
        <v>376</v>
      </c>
      <c r="H239" s="4" t="s">
        <v>46</v>
      </c>
      <c r="I239" s="4" t="s">
        <v>421</v>
      </c>
      <c r="J239" s="4" t="s">
        <v>146</v>
      </c>
      <c r="K239" s="4" t="s">
        <v>43</v>
      </c>
      <c r="L239" s="4" t="s">
        <v>59</v>
      </c>
      <c r="M239" s="4" t="s">
        <v>40</v>
      </c>
      <c r="N239" s="4" t="s">
        <v>653</v>
      </c>
      <c r="O239" s="4" t="s">
        <v>821</v>
      </c>
      <c r="P239" s="4" t="s">
        <v>42</v>
      </c>
      <c r="Q239" s="50" t="s">
        <v>43</v>
      </c>
      <c r="R239" s="50"/>
      <c r="S239" s="50" t="s">
        <v>799</v>
      </c>
      <c r="T239" s="4" t="s">
        <v>43</v>
      </c>
      <c r="U239" s="4" t="s">
        <v>43</v>
      </c>
      <c r="W239" s="48">
        <v>1</v>
      </c>
      <c r="X239" s="48">
        <v>1</v>
      </c>
      <c r="Y239" s="48">
        <v>3</v>
      </c>
      <c r="AA239" s="94">
        <v>1</v>
      </c>
      <c r="AD239" s="94">
        <f t="shared" si="4"/>
        <v>5.5681818181818183</v>
      </c>
    </row>
    <row r="240" spans="3:30" hidden="1" x14ac:dyDescent="0.25">
      <c r="C240" s="87" t="s">
        <v>203</v>
      </c>
      <c r="D240" s="4" t="s">
        <v>204</v>
      </c>
      <c r="E240" s="4" t="s">
        <v>204</v>
      </c>
      <c r="F240" s="4" t="s">
        <v>36</v>
      </c>
      <c r="G240" s="4" t="s">
        <v>37</v>
      </c>
      <c r="H240" s="4" t="s">
        <v>46</v>
      </c>
      <c r="I240" s="4"/>
      <c r="J240" s="4">
        <v>0</v>
      </c>
      <c r="K240" s="4"/>
      <c r="L240" s="4" t="s">
        <v>205</v>
      </c>
      <c r="M240" s="4" t="s">
        <v>40</v>
      </c>
      <c r="N240" s="4" t="s">
        <v>41</v>
      </c>
      <c r="O240" s="4" t="s">
        <v>203</v>
      </c>
      <c r="P240" s="4" t="s">
        <v>42</v>
      </c>
      <c r="Q240" s="50" t="s">
        <v>43</v>
      </c>
      <c r="R240" s="50"/>
      <c r="S240" s="50">
        <v>0</v>
      </c>
      <c r="T240" s="4" t="s">
        <v>43</v>
      </c>
      <c r="U240" s="4" t="s">
        <v>43</v>
      </c>
      <c r="AD240" s="91">
        <f t="shared" si="4"/>
        <v>0</v>
      </c>
    </row>
    <row r="241" spans="3:30" hidden="1" x14ac:dyDescent="0.25">
      <c r="C241" s="87" t="s">
        <v>206</v>
      </c>
      <c r="D241" s="4" t="s">
        <v>207</v>
      </c>
      <c r="E241" s="4" t="s">
        <v>207</v>
      </c>
      <c r="F241" s="4" t="s">
        <v>36</v>
      </c>
      <c r="G241" s="4" t="s">
        <v>37</v>
      </c>
      <c r="H241" s="4" t="s">
        <v>46</v>
      </c>
      <c r="I241" s="4"/>
      <c r="J241" s="4" t="s">
        <v>58</v>
      </c>
      <c r="K241" s="4"/>
      <c r="L241" s="4" t="s">
        <v>64</v>
      </c>
      <c r="M241" s="4" t="s">
        <v>40</v>
      </c>
      <c r="N241" s="4" t="s">
        <v>41</v>
      </c>
      <c r="O241" s="4" t="s">
        <v>206</v>
      </c>
      <c r="P241" s="4" t="s">
        <v>42</v>
      </c>
      <c r="Q241" s="50" t="s">
        <v>43</v>
      </c>
      <c r="R241" s="50"/>
      <c r="S241" s="50">
        <v>0</v>
      </c>
      <c r="T241" s="4" t="s">
        <v>43</v>
      </c>
      <c r="U241" s="4" t="s">
        <v>43</v>
      </c>
      <c r="AD241" s="91">
        <f t="shared" si="4"/>
        <v>0</v>
      </c>
    </row>
    <row r="242" spans="3:30" hidden="1" x14ac:dyDescent="0.25">
      <c r="C242" s="87" t="s">
        <v>758</v>
      </c>
      <c r="D242" s="4" t="s">
        <v>759</v>
      </c>
      <c r="E242" s="4" t="s">
        <v>760</v>
      </c>
      <c r="F242" s="4">
        <v>5</v>
      </c>
      <c r="G242" s="4" t="s">
        <v>376</v>
      </c>
      <c r="H242" s="4" t="s">
        <v>81</v>
      </c>
      <c r="I242" s="4" t="s">
        <v>421</v>
      </c>
      <c r="J242" s="4" t="s">
        <v>84</v>
      </c>
      <c r="K242" s="4" t="s">
        <v>440</v>
      </c>
      <c r="L242" s="4" t="s">
        <v>54</v>
      </c>
      <c r="M242" s="4" t="s">
        <v>55</v>
      </c>
      <c r="N242" s="4" t="s">
        <v>653</v>
      </c>
      <c r="O242" s="4" t="s">
        <v>758</v>
      </c>
      <c r="P242" s="4" t="s">
        <v>42</v>
      </c>
      <c r="Q242" s="50" t="s">
        <v>43</v>
      </c>
      <c r="R242" s="50"/>
      <c r="S242" s="50" t="s">
        <v>741</v>
      </c>
      <c r="T242" s="4" t="s">
        <v>43</v>
      </c>
      <c r="U242" s="4" t="s">
        <v>43</v>
      </c>
      <c r="W242" s="48">
        <v>1</v>
      </c>
      <c r="X242" s="48">
        <v>1</v>
      </c>
      <c r="Y242" s="48">
        <v>3</v>
      </c>
      <c r="AD242" s="91">
        <f t="shared" si="4"/>
        <v>5</v>
      </c>
    </row>
    <row r="243" spans="3:30" hidden="1" x14ac:dyDescent="0.25">
      <c r="C243" s="87" t="s">
        <v>208</v>
      </c>
      <c r="D243" s="4" t="s">
        <v>209</v>
      </c>
      <c r="E243" s="4" t="s">
        <v>209</v>
      </c>
      <c r="F243" s="4" t="s">
        <v>36</v>
      </c>
      <c r="G243" s="4" t="s">
        <v>37</v>
      </c>
      <c r="H243" s="4" t="s">
        <v>81</v>
      </c>
      <c r="I243" s="4"/>
      <c r="J243" s="4">
        <v>0</v>
      </c>
      <c r="K243" s="4"/>
      <c r="L243" s="4" t="s">
        <v>78</v>
      </c>
      <c r="M243" s="4" t="s">
        <v>40</v>
      </c>
      <c r="N243" s="4" t="s">
        <v>41</v>
      </c>
      <c r="O243" s="4" t="s">
        <v>208</v>
      </c>
      <c r="P243" s="4" t="s">
        <v>42</v>
      </c>
      <c r="Q243" s="50" t="s">
        <v>43</v>
      </c>
      <c r="R243" s="50"/>
      <c r="S243" s="50">
        <v>0</v>
      </c>
      <c r="T243" s="4" t="s">
        <v>43</v>
      </c>
      <c r="U243" s="4" t="s">
        <v>43</v>
      </c>
      <c r="AD243" s="91">
        <f t="shared" si="4"/>
        <v>0</v>
      </c>
    </row>
    <row r="244" spans="3:30" hidden="1" x14ac:dyDescent="0.25">
      <c r="C244" s="87" t="s">
        <v>628</v>
      </c>
      <c r="D244" s="4" t="s">
        <v>629</v>
      </c>
      <c r="E244" s="4" t="s">
        <v>630</v>
      </c>
      <c r="F244" s="93">
        <v>5.6</v>
      </c>
      <c r="G244" s="4" t="s">
        <v>376</v>
      </c>
      <c r="H244" s="4" t="s">
        <v>46</v>
      </c>
      <c r="I244" s="4" t="s">
        <v>421</v>
      </c>
      <c r="J244" s="4" t="s">
        <v>50</v>
      </c>
      <c r="K244" s="4" t="s">
        <v>43</v>
      </c>
      <c r="L244" s="4" t="s">
        <v>64</v>
      </c>
      <c r="M244" s="4" t="s">
        <v>40</v>
      </c>
      <c r="N244" s="4" t="s">
        <v>422</v>
      </c>
      <c r="O244" s="4" t="s">
        <v>628</v>
      </c>
      <c r="P244" s="4" t="s">
        <v>42</v>
      </c>
      <c r="Q244" s="50" t="s">
        <v>43</v>
      </c>
      <c r="R244" s="50"/>
      <c r="S244" s="50" t="s">
        <v>597</v>
      </c>
      <c r="T244" s="4" t="s">
        <v>43</v>
      </c>
      <c r="U244" s="4" t="s">
        <v>43</v>
      </c>
      <c r="W244" s="48">
        <v>1</v>
      </c>
      <c r="X244" s="48">
        <v>1</v>
      </c>
      <c r="AA244" s="48">
        <v>4</v>
      </c>
      <c r="AC244" s="48">
        <v>4</v>
      </c>
      <c r="AD244" s="91">
        <f t="shared" si="4"/>
        <v>5.6363636363636367</v>
      </c>
    </row>
    <row r="245" spans="3:30" hidden="1" x14ac:dyDescent="0.25">
      <c r="C245" s="87" t="s">
        <v>210</v>
      </c>
      <c r="D245" s="4" t="s">
        <v>211</v>
      </c>
      <c r="E245" s="4" t="s">
        <v>212</v>
      </c>
      <c r="F245" s="4" t="s">
        <v>36</v>
      </c>
      <c r="G245" s="4" t="s">
        <v>37</v>
      </c>
      <c r="H245" s="4" t="s">
        <v>46</v>
      </c>
      <c r="I245" s="4"/>
      <c r="J245" s="4">
        <v>0</v>
      </c>
      <c r="K245" s="4"/>
      <c r="L245" s="4" t="s">
        <v>59</v>
      </c>
      <c r="M245" s="4" t="s">
        <v>40</v>
      </c>
      <c r="N245" s="4" t="s">
        <v>41</v>
      </c>
      <c r="O245" s="4" t="s">
        <v>210</v>
      </c>
      <c r="P245" s="4" t="s">
        <v>42</v>
      </c>
      <c r="Q245" s="50" t="s">
        <v>43</v>
      </c>
      <c r="R245" s="50"/>
      <c r="S245" s="50">
        <v>0</v>
      </c>
      <c r="T245" s="4" t="s">
        <v>43</v>
      </c>
      <c r="U245" s="4" t="s">
        <v>43</v>
      </c>
      <c r="AD245" s="91">
        <f t="shared" si="4"/>
        <v>0</v>
      </c>
    </row>
    <row r="246" spans="3:30" hidden="1" x14ac:dyDescent="0.25">
      <c r="C246" s="87" t="s">
        <v>213</v>
      </c>
      <c r="D246" s="4" t="s">
        <v>214</v>
      </c>
      <c r="E246" s="4" t="s">
        <v>214</v>
      </c>
      <c r="F246" s="4" t="s">
        <v>36</v>
      </c>
      <c r="G246" s="4" t="s">
        <v>37</v>
      </c>
      <c r="H246" s="4" t="s">
        <v>202</v>
      </c>
      <c r="I246" s="4"/>
      <c r="J246" s="4">
        <v>0</v>
      </c>
      <c r="K246" s="4"/>
      <c r="L246" s="4" t="s">
        <v>59</v>
      </c>
      <c r="M246" s="4" t="s">
        <v>40</v>
      </c>
      <c r="N246" s="4" t="s">
        <v>41</v>
      </c>
      <c r="O246" s="4" t="s">
        <v>213</v>
      </c>
      <c r="P246" s="4" t="s">
        <v>42</v>
      </c>
      <c r="Q246" s="50" t="s">
        <v>43</v>
      </c>
      <c r="R246" s="50"/>
      <c r="S246" s="50">
        <v>0</v>
      </c>
      <c r="T246" s="4" t="s">
        <v>43</v>
      </c>
      <c r="U246" s="4" t="s">
        <v>43</v>
      </c>
      <c r="AD246" s="91">
        <f t="shared" si="4"/>
        <v>0</v>
      </c>
    </row>
    <row r="247" spans="3:30" hidden="1" x14ac:dyDescent="0.25">
      <c r="C247" s="87" t="s">
        <v>215</v>
      </c>
      <c r="D247" s="4" t="s">
        <v>216</v>
      </c>
      <c r="E247" s="4" t="s">
        <v>216</v>
      </c>
      <c r="F247" s="4" t="s">
        <v>36</v>
      </c>
      <c r="G247" s="4" t="s">
        <v>37</v>
      </c>
      <c r="H247" s="4" t="s">
        <v>81</v>
      </c>
      <c r="I247" s="4"/>
      <c r="J247" s="4" t="s">
        <v>67</v>
      </c>
      <c r="K247" s="4"/>
      <c r="L247" s="4" t="s">
        <v>138</v>
      </c>
      <c r="M247" s="4" t="s">
        <v>40</v>
      </c>
      <c r="N247" s="4" t="s">
        <v>41</v>
      </c>
      <c r="O247" s="4" t="s">
        <v>215</v>
      </c>
      <c r="P247" s="4" t="s">
        <v>42</v>
      </c>
      <c r="Q247" s="50" t="s">
        <v>43</v>
      </c>
      <c r="R247" s="50"/>
      <c r="S247" s="50">
        <v>0</v>
      </c>
      <c r="T247" s="4" t="s">
        <v>43</v>
      </c>
      <c r="U247" s="4" t="s">
        <v>43</v>
      </c>
      <c r="AD247" s="91">
        <f t="shared" si="4"/>
        <v>0</v>
      </c>
    </row>
    <row r="248" spans="3:30" hidden="1" x14ac:dyDescent="0.25">
      <c r="C248" s="87" t="s">
        <v>548</v>
      </c>
      <c r="D248" s="4" t="s">
        <v>549</v>
      </c>
      <c r="E248" s="4" t="s">
        <v>550</v>
      </c>
      <c r="F248" s="4">
        <v>5</v>
      </c>
      <c r="G248" s="4" t="s">
        <v>376</v>
      </c>
      <c r="H248" s="4" t="s">
        <v>81</v>
      </c>
      <c r="I248" s="4" t="s">
        <v>377</v>
      </c>
      <c r="J248" s="4" t="s">
        <v>100</v>
      </c>
      <c r="K248" s="4" t="s">
        <v>43</v>
      </c>
      <c r="L248" s="4" t="s">
        <v>138</v>
      </c>
      <c r="M248" s="4" t="s">
        <v>40</v>
      </c>
      <c r="N248" s="4" t="s">
        <v>514</v>
      </c>
      <c r="O248" s="4" t="s">
        <v>548</v>
      </c>
      <c r="P248" s="4" t="s">
        <v>42</v>
      </c>
      <c r="Q248" s="50" t="s">
        <v>43</v>
      </c>
      <c r="R248" s="50"/>
      <c r="S248" s="50" t="s">
        <v>515</v>
      </c>
      <c r="T248" s="4" t="s">
        <v>43</v>
      </c>
      <c r="U248" s="4" t="s">
        <v>43</v>
      </c>
      <c r="W248" s="48">
        <v>1</v>
      </c>
      <c r="X248" s="48">
        <v>1</v>
      </c>
      <c r="Y248" s="48">
        <v>3</v>
      </c>
      <c r="AD248" s="91">
        <f t="shared" si="4"/>
        <v>5</v>
      </c>
    </row>
    <row r="249" spans="3:30" hidden="1" x14ac:dyDescent="0.25">
      <c r="C249" s="87" t="s">
        <v>726</v>
      </c>
      <c r="D249" s="4" t="s">
        <v>727</v>
      </c>
      <c r="E249" s="4" t="s">
        <v>727</v>
      </c>
      <c r="F249" s="4">
        <v>5</v>
      </c>
      <c r="G249" s="4" t="s">
        <v>37</v>
      </c>
      <c r="H249" s="4" t="s">
        <v>81</v>
      </c>
      <c r="I249" s="4" t="s">
        <v>421</v>
      </c>
      <c r="J249" s="4" t="s">
        <v>84</v>
      </c>
      <c r="K249" s="4"/>
      <c r="L249" s="4" t="s">
        <v>54</v>
      </c>
      <c r="M249" s="4" t="s">
        <v>55</v>
      </c>
      <c r="N249" s="4" t="s">
        <v>41</v>
      </c>
      <c r="O249" s="4" t="s">
        <v>726</v>
      </c>
      <c r="P249" s="4" t="s">
        <v>42</v>
      </c>
      <c r="Q249" s="50" t="s">
        <v>43</v>
      </c>
      <c r="R249" s="50"/>
      <c r="S249" s="50" t="s">
        <v>702</v>
      </c>
      <c r="T249" s="4" t="s">
        <v>43</v>
      </c>
      <c r="U249" s="4" t="s">
        <v>43</v>
      </c>
      <c r="W249" s="48">
        <v>1</v>
      </c>
      <c r="X249" s="48">
        <v>1</v>
      </c>
      <c r="Y249" s="48">
        <v>3</v>
      </c>
      <c r="AD249" s="91">
        <f t="shared" si="4"/>
        <v>5</v>
      </c>
    </row>
    <row r="250" spans="3:30" hidden="1" x14ac:dyDescent="0.25">
      <c r="C250" s="87" t="s">
        <v>217</v>
      </c>
      <c r="D250" s="4" t="s">
        <v>218</v>
      </c>
      <c r="E250" s="4"/>
      <c r="F250" s="4" t="s">
        <v>36</v>
      </c>
      <c r="G250" s="4" t="s">
        <v>37</v>
      </c>
      <c r="H250" s="4" t="s">
        <v>81</v>
      </c>
      <c r="I250" s="4"/>
      <c r="J250" s="4">
        <v>0</v>
      </c>
      <c r="K250" s="4"/>
      <c r="L250" s="4" t="s">
        <v>59</v>
      </c>
      <c r="M250" s="4" t="s">
        <v>40</v>
      </c>
      <c r="N250" s="4" t="s">
        <v>41</v>
      </c>
      <c r="O250" s="4" t="s">
        <v>217</v>
      </c>
      <c r="P250" s="4" t="s">
        <v>42</v>
      </c>
      <c r="Q250" s="50" t="s">
        <v>43</v>
      </c>
      <c r="R250" s="50"/>
      <c r="S250" s="50">
        <v>0</v>
      </c>
      <c r="T250" s="4" t="s">
        <v>43</v>
      </c>
      <c r="U250" s="4" t="s">
        <v>43</v>
      </c>
      <c r="AD250" s="91">
        <f t="shared" si="4"/>
        <v>0</v>
      </c>
    </row>
    <row r="251" spans="3:30" hidden="1" x14ac:dyDescent="0.25">
      <c r="C251" s="87" t="s">
        <v>551</v>
      </c>
      <c r="D251" s="4" t="s">
        <v>552</v>
      </c>
      <c r="E251" s="4" t="s">
        <v>552</v>
      </c>
      <c r="F251" s="4">
        <v>5</v>
      </c>
      <c r="G251" s="4" t="s">
        <v>37</v>
      </c>
      <c r="H251" s="4" t="s">
        <v>46</v>
      </c>
      <c r="I251" s="4" t="s">
        <v>377</v>
      </c>
      <c r="J251" s="4" t="s">
        <v>100</v>
      </c>
      <c r="K251" s="4"/>
      <c r="L251" s="4" t="s">
        <v>138</v>
      </c>
      <c r="M251" s="4" t="s">
        <v>40</v>
      </c>
      <c r="N251" s="4" t="s">
        <v>41</v>
      </c>
      <c r="O251" s="4" t="s">
        <v>551</v>
      </c>
      <c r="P251" s="4" t="s">
        <v>42</v>
      </c>
      <c r="Q251" s="50" t="s">
        <v>43</v>
      </c>
      <c r="R251" s="50"/>
      <c r="S251" s="50" t="s">
        <v>515</v>
      </c>
      <c r="T251" s="4" t="s">
        <v>43</v>
      </c>
      <c r="U251" s="4" t="s">
        <v>43</v>
      </c>
      <c r="W251" s="48">
        <v>1</v>
      </c>
      <c r="X251" s="48">
        <v>2</v>
      </c>
      <c r="Y251" s="48">
        <v>2</v>
      </c>
      <c r="AD251" s="91">
        <f t="shared" si="4"/>
        <v>5</v>
      </c>
    </row>
    <row r="252" spans="3:30" hidden="1" x14ac:dyDescent="0.25">
      <c r="C252" s="87" t="s">
        <v>219</v>
      </c>
      <c r="D252" s="4" t="s">
        <v>220</v>
      </c>
      <c r="E252" s="4" t="s">
        <v>220</v>
      </c>
      <c r="F252" s="4" t="s">
        <v>36</v>
      </c>
      <c r="G252" s="4" t="s">
        <v>37</v>
      </c>
      <c r="H252" s="4" t="s">
        <v>38</v>
      </c>
      <c r="I252" s="4"/>
      <c r="J252" s="4" t="s">
        <v>100</v>
      </c>
      <c r="K252" s="4"/>
      <c r="L252" s="4" t="s">
        <v>59</v>
      </c>
      <c r="M252" s="4" t="s">
        <v>40</v>
      </c>
      <c r="N252" s="4" t="s">
        <v>41</v>
      </c>
      <c r="O252" s="4" t="s">
        <v>219</v>
      </c>
      <c r="P252" s="4" t="s">
        <v>42</v>
      </c>
      <c r="Q252" s="50" t="s">
        <v>43</v>
      </c>
      <c r="R252" s="50"/>
      <c r="S252" s="50">
        <v>0</v>
      </c>
      <c r="T252" s="4" t="s">
        <v>43</v>
      </c>
      <c r="U252" s="4" t="s">
        <v>43</v>
      </c>
      <c r="AD252" s="91">
        <f t="shared" si="4"/>
        <v>0</v>
      </c>
    </row>
    <row r="253" spans="3:30" hidden="1" x14ac:dyDescent="0.25">
      <c r="C253" s="87" t="s">
        <v>221</v>
      </c>
      <c r="D253" s="4" t="s">
        <v>222</v>
      </c>
      <c r="E253" s="4" t="s">
        <v>223</v>
      </c>
      <c r="F253" s="4" t="s">
        <v>36</v>
      </c>
      <c r="G253" s="4" t="s">
        <v>37</v>
      </c>
      <c r="H253" s="4" t="s">
        <v>38</v>
      </c>
      <c r="I253" s="4"/>
      <c r="J253" s="4">
        <v>0</v>
      </c>
      <c r="K253" s="4"/>
      <c r="L253" s="4" t="s">
        <v>47</v>
      </c>
      <c r="M253" s="4" t="s">
        <v>40</v>
      </c>
      <c r="N253" s="4" t="s">
        <v>41</v>
      </c>
      <c r="O253" s="4" t="s">
        <v>221</v>
      </c>
      <c r="P253" s="4" t="s">
        <v>42</v>
      </c>
      <c r="Q253" s="50" t="s">
        <v>43</v>
      </c>
      <c r="R253" s="50"/>
      <c r="S253" s="50">
        <v>0</v>
      </c>
      <c r="T253" s="4" t="s">
        <v>43</v>
      </c>
      <c r="U253" s="4" t="s">
        <v>43</v>
      </c>
      <c r="AD253" s="91">
        <f t="shared" si="4"/>
        <v>0</v>
      </c>
    </row>
    <row r="254" spans="3:30" hidden="1" x14ac:dyDescent="0.25">
      <c r="C254" s="87" t="s">
        <v>224</v>
      </c>
      <c r="D254" s="4" t="s">
        <v>225</v>
      </c>
      <c r="E254" s="4" t="s">
        <v>226</v>
      </c>
      <c r="F254" s="4" t="s">
        <v>36</v>
      </c>
      <c r="G254" s="4" t="s">
        <v>37</v>
      </c>
      <c r="H254" s="4" t="s">
        <v>38</v>
      </c>
      <c r="I254" s="4"/>
      <c r="J254" s="4">
        <v>0</v>
      </c>
      <c r="K254" s="4"/>
      <c r="L254" s="4" t="s">
        <v>59</v>
      </c>
      <c r="M254" s="4" t="s">
        <v>40</v>
      </c>
      <c r="N254" s="4" t="s">
        <v>41</v>
      </c>
      <c r="O254" s="4" t="s">
        <v>224</v>
      </c>
      <c r="P254" s="4" t="s">
        <v>42</v>
      </c>
      <c r="Q254" s="50" t="s">
        <v>43</v>
      </c>
      <c r="R254" s="50"/>
      <c r="S254" s="50">
        <v>0</v>
      </c>
      <c r="T254" s="4" t="s">
        <v>43</v>
      </c>
      <c r="U254" s="4" t="s">
        <v>43</v>
      </c>
      <c r="AD254" s="91">
        <f t="shared" si="4"/>
        <v>0</v>
      </c>
    </row>
    <row r="255" spans="3:30" hidden="1" x14ac:dyDescent="0.25">
      <c r="C255" s="87" t="s">
        <v>502</v>
      </c>
      <c r="D255" s="4" t="s">
        <v>503</v>
      </c>
      <c r="E255" s="4" t="s">
        <v>504</v>
      </c>
      <c r="F255" s="4">
        <v>5</v>
      </c>
      <c r="G255" s="4" t="s">
        <v>376</v>
      </c>
      <c r="H255" s="4" t="s">
        <v>46</v>
      </c>
      <c r="I255" s="4" t="s">
        <v>377</v>
      </c>
      <c r="J255" s="4" t="s">
        <v>466</v>
      </c>
      <c r="K255" s="4" t="s">
        <v>43</v>
      </c>
      <c r="L255" s="4" t="s">
        <v>51</v>
      </c>
      <c r="M255" s="4" t="s">
        <v>40</v>
      </c>
      <c r="N255" s="4" t="s">
        <v>378</v>
      </c>
      <c r="O255" s="4" t="s">
        <v>502</v>
      </c>
      <c r="P255" s="4" t="s">
        <v>42</v>
      </c>
      <c r="Q255" s="50" t="s">
        <v>43</v>
      </c>
      <c r="R255" s="50"/>
      <c r="S255" s="50" t="s">
        <v>467</v>
      </c>
      <c r="T255" s="4" t="s">
        <v>43</v>
      </c>
      <c r="U255" s="4" t="s">
        <v>43</v>
      </c>
      <c r="W255" s="48">
        <v>1</v>
      </c>
      <c r="X255" s="48">
        <v>2</v>
      </c>
      <c r="Y255" s="48">
        <v>2</v>
      </c>
      <c r="AD255" s="91">
        <f t="shared" si="4"/>
        <v>5</v>
      </c>
    </row>
    <row r="256" spans="3:30" hidden="1" x14ac:dyDescent="0.25">
      <c r="C256" s="87" t="s">
        <v>227</v>
      </c>
      <c r="D256" s="4" t="s">
        <v>228</v>
      </c>
      <c r="E256" s="4" t="s">
        <v>229</v>
      </c>
      <c r="F256" s="4" t="s">
        <v>36</v>
      </c>
      <c r="G256" s="4" t="s">
        <v>37</v>
      </c>
      <c r="H256" s="4" t="s">
        <v>38</v>
      </c>
      <c r="I256" s="4"/>
      <c r="J256" s="4">
        <v>0</v>
      </c>
      <c r="K256" s="4"/>
      <c r="L256" s="4" t="s">
        <v>54</v>
      </c>
      <c r="M256" s="4" t="s">
        <v>55</v>
      </c>
      <c r="N256" s="4" t="s">
        <v>41</v>
      </c>
      <c r="O256" s="4" t="s">
        <v>227</v>
      </c>
      <c r="P256" s="4" t="s">
        <v>42</v>
      </c>
      <c r="Q256" s="50" t="s">
        <v>43</v>
      </c>
      <c r="R256" s="50"/>
      <c r="S256" s="50">
        <v>0</v>
      </c>
      <c r="T256" s="4" t="s">
        <v>43</v>
      </c>
      <c r="U256" s="4" t="s">
        <v>43</v>
      </c>
      <c r="AD256" s="91">
        <f t="shared" si="4"/>
        <v>0</v>
      </c>
    </row>
    <row r="257" spans="3:30" hidden="1" x14ac:dyDescent="0.25">
      <c r="C257" s="87" t="s">
        <v>728</v>
      </c>
      <c r="D257" s="4" t="s">
        <v>729</v>
      </c>
      <c r="E257" s="4" t="s">
        <v>730</v>
      </c>
      <c r="F257" s="4">
        <v>5</v>
      </c>
      <c r="G257" s="4" t="s">
        <v>376</v>
      </c>
      <c r="H257" s="4" t="s">
        <v>46</v>
      </c>
      <c r="I257" s="4" t="s">
        <v>421</v>
      </c>
      <c r="J257" s="4" t="s">
        <v>84</v>
      </c>
      <c r="K257" s="4" t="s">
        <v>440</v>
      </c>
      <c r="L257" s="4" t="s">
        <v>722</v>
      </c>
      <c r="M257" s="4" t="s">
        <v>55</v>
      </c>
      <c r="N257" s="4" t="s">
        <v>653</v>
      </c>
      <c r="O257" s="4" t="s">
        <v>728</v>
      </c>
      <c r="P257" s="4" t="s">
        <v>42</v>
      </c>
      <c r="Q257" s="50" t="s">
        <v>43</v>
      </c>
      <c r="R257" s="50"/>
      <c r="S257" s="50" t="s">
        <v>702</v>
      </c>
      <c r="T257" s="4" t="s">
        <v>43</v>
      </c>
      <c r="U257" s="4" t="s">
        <v>43</v>
      </c>
      <c r="W257" s="48">
        <v>1</v>
      </c>
      <c r="X257" s="48">
        <v>2</v>
      </c>
      <c r="Y257" s="48">
        <v>2</v>
      </c>
      <c r="AD257" s="91">
        <f t="shared" si="4"/>
        <v>5</v>
      </c>
    </row>
    <row r="258" spans="3:30" hidden="1" x14ac:dyDescent="0.25">
      <c r="C258" s="87" t="s">
        <v>230</v>
      </c>
      <c r="D258" s="4" t="s">
        <v>231</v>
      </c>
      <c r="E258" s="4" t="s">
        <v>232</v>
      </c>
      <c r="F258" s="4" t="s">
        <v>36</v>
      </c>
      <c r="G258" s="4" t="s">
        <v>37</v>
      </c>
      <c r="H258" s="4" t="s">
        <v>38</v>
      </c>
      <c r="I258" s="4"/>
      <c r="J258" s="4" t="s">
        <v>84</v>
      </c>
      <c r="K258" s="4"/>
      <c r="L258" s="4" t="s">
        <v>54</v>
      </c>
      <c r="M258" s="4" t="s">
        <v>55</v>
      </c>
      <c r="N258" s="4" t="s">
        <v>41</v>
      </c>
      <c r="O258" s="4" t="s">
        <v>230</v>
      </c>
      <c r="P258" s="4" t="s">
        <v>42</v>
      </c>
      <c r="Q258" s="50" t="s">
        <v>43</v>
      </c>
      <c r="R258" s="50"/>
      <c r="S258" s="50">
        <v>0</v>
      </c>
      <c r="T258" s="4" t="s">
        <v>43</v>
      </c>
      <c r="U258" s="4" t="s">
        <v>43</v>
      </c>
      <c r="AD258" s="91">
        <f t="shared" si="4"/>
        <v>0</v>
      </c>
    </row>
    <row r="259" spans="3:30" hidden="1" x14ac:dyDescent="0.25">
      <c r="C259" s="87" t="s">
        <v>233</v>
      </c>
      <c r="D259" s="4" t="s">
        <v>234</v>
      </c>
      <c r="E259" s="4" t="s">
        <v>235</v>
      </c>
      <c r="F259" s="4" t="s">
        <v>36</v>
      </c>
      <c r="G259" s="4" t="s">
        <v>37</v>
      </c>
      <c r="H259" s="4" t="s">
        <v>38</v>
      </c>
      <c r="I259" s="4"/>
      <c r="J259" s="4" t="s">
        <v>84</v>
      </c>
      <c r="K259" s="4"/>
      <c r="L259" s="4" t="s">
        <v>54</v>
      </c>
      <c r="M259" s="4" t="s">
        <v>55</v>
      </c>
      <c r="N259" s="4" t="s">
        <v>41</v>
      </c>
      <c r="O259" s="4" t="s">
        <v>233</v>
      </c>
      <c r="P259" s="4" t="s">
        <v>42</v>
      </c>
      <c r="Q259" s="50" t="s">
        <v>43</v>
      </c>
      <c r="R259" s="50"/>
      <c r="S259" s="50">
        <v>0</v>
      </c>
      <c r="T259" s="4" t="s">
        <v>43</v>
      </c>
      <c r="U259" s="4" t="s">
        <v>43</v>
      </c>
      <c r="AD259" s="91">
        <f t="shared" si="4"/>
        <v>0</v>
      </c>
    </row>
    <row r="260" spans="3:30" hidden="1" x14ac:dyDescent="0.25">
      <c r="C260" s="87" t="s">
        <v>236</v>
      </c>
      <c r="D260" s="4" t="s">
        <v>237</v>
      </c>
      <c r="E260" s="4" t="s">
        <v>237</v>
      </c>
      <c r="F260" s="4" t="s">
        <v>36</v>
      </c>
      <c r="G260" s="4" t="s">
        <v>37</v>
      </c>
      <c r="H260" s="4" t="s">
        <v>38</v>
      </c>
      <c r="I260" s="4"/>
      <c r="J260" s="4">
        <v>0</v>
      </c>
      <c r="K260" s="4"/>
      <c r="L260" s="4" t="s">
        <v>59</v>
      </c>
      <c r="M260" s="4" t="s">
        <v>40</v>
      </c>
      <c r="N260" s="4" t="s">
        <v>41</v>
      </c>
      <c r="O260" s="4" t="s">
        <v>236</v>
      </c>
      <c r="P260" s="4" t="s">
        <v>42</v>
      </c>
      <c r="Q260" s="50" t="s">
        <v>43</v>
      </c>
      <c r="R260" s="50"/>
      <c r="S260" s="50">
        <v>0</v>
      </c>
      <c r="T260" s="4" t="s">
        <v>43</v>
      </c>
      <c r="U260" s="4" t="s">
        <v>43</v>
      </c>
      <c r="AD260" s="91">
        <f t="shared" si="4"/>
        <v>0</v>
      </c>
    </row>
    <row r="261" spans="3:30" hidden="1" x14ac:dyDescent="0.25">
      <c r="C261" s="87" t="s">
        <v>238</v>
      </c>
      <c r="D261" s="4" t="s">
        <v>239</v>
      </c>
      <c r="E261" s="4" t="s">
        <v>240</v>
      </c>
      <c r="F261" s="4" t="s">
        <v>36</v>
      </c>
      <c r="G261" s="4" t="s">
        <v>37</v>
      </c>
      <c r="H261" s="4" t="s">
        <v>38</v>
      </c>
      <c r="I261" s="4"/>
      <c r="J261" s="4" t="s">
        <v>146</v>
      </c>
      <c r="K261" s="4"/>
      <c r="L261" s="4" t="s">
        <v>59</v>
      </c>
      <c r="M261" s="4" t="s">
        <v>40</v>
      </c>
      <c r="N261" s="4" t="s">
        <v>41</v>
      </c>
      <c r="O261" s="4" t="s">
        <v>238</v>
      </c>
      <c r="P261" s="4" t="s">
        <v>42</v>
      </c>
      <c r="Q261" s="50" t="s">
        <v>43</v>
      </c>
      <c r="R261" s="50"/>
      <c r="S261" s="50">
        <v>0</v>
      </c>
      <c r="T261" s="4" t="s">
        <v>43</v>
      </c>
      <c r="U261" s="4" t="s">
        <v>43</v>
      </c>
      <c r="AD261" s="91">
        <f t="shared" si="4"/>
        <v>0</v>
      </c>
    </row>
    <row r="262" spans="3:30" hidden="1" x14ac:dyDescent="0.25">
      <c r="C262" s="87" t="s">
        <v>962</v>
      </c>
      <c r="D262" s="4" t="s">
        <v>963</v>
      </c>
      <c r="E262" s="4" t="s">
        <v>964</v>
      </c>
      <c r="F262" s="4">
        <v>5</v>
      </c>
      <c r="G262" s="4" t="s">
        <v>376</v>
      </c>
      <c r="H262" s="4" t="s">
        <v>46</v>
      </c>
      <c r="I262" s="4" t="s">
        <v>377</v>
      </c>
      <c r="J262" s="4" t="s">
        <v>160</v>
      </c>
      <c r="K262" s="4" t="s">
        <v>43</v>
      </c>
      <c r="L262" s="4" t="s">
        <v>371</v>
      </c>
      <c r="M262" s="4" t="s">
        <v>40</v>
      </c>
      <c r="N262" s="4" t="s">
        <v>378</v>
      </c>
      <c r="O262" s="4" t="s">
        <v>962</v>
      </c>
      <c r="P262" s="4" t="s">
        <v>42</v>
      </c>
      <c r="Q262" s="50" t="s">
        <v>43</v>
      </c>
      <c r="R262" s="50"/>
      <c r="S262" s="50" t="s">
        <v>931</v>
      </c>
      <c r="T262" s="4" t="s">
        <v>43</v>
      </c>
      <c r="U262" s="4" t="s">
        <v>43</v>
      </c>
      <c r="W262" s="48">
        <v>1</v>
      </c>
      <c r="X262" s="48">
        <v>2</v>
      </c>
      <c r="Y262" s="48">
        <v>2</v>
      </c>
      <c r="AD262" s="91">
        <f t="shared" si="4"/>
        <v>5</v>
      </c>
    </row>
    <row r="263" spans="3:30" hidden="1" x14ac:dyDescent="0.25">
      <c r="C263" s="87" t="s">
        <v>687</v>
      </c>
      <c r="D263" s="4" t="s">
        <v>688</v>
      </c>
      <c r="E263" s="4" t="s">
        <v>689</v>
      </c>
      <c r="F263" s="4">
        <v>6</v>
      </c>
      <c r="G263" s="4" t="s">
        <v>376</v>
      </c>
      <c r="H263" s="4" t="s">
        <v>46</v>
      </c>
      <c r="I263" s="4" t="s">
        <v>377</v>
      </c>
      <c r="J263" s="4" t="s">
        <v>248</v>
      </c>
      <c r="K263" s="4" t="s">
        <v>43</v>
      </c>
      <c r="L263" s="4" t="s">
        <v>51</v>
      </c>
      <c r="M263" s="4" t="s">
        <v>40</v>
      </c>
      <c r="N263" s="4" t="s">
        <v>653</v>
      </c>
      <c r="O263" s="4" t="s">
        <v>687</v>
      </c>
      <c r="P263" s="4" t="s">
        <v>42</v>
      </c>
      <c r="Q263" s="50" t="s">
        <v>43</v>
      </c>
      <c r="R263" s="50"/>
      <c r="S263" s="50" t="s">
        <v>51</v>
      </c>
      <c r="T263" s="4" t="s">
        <v>43</v>
      </c>
      <c r="U263" s="4" t="s">
        <v>43</v>
      </c>
      <c r="W263" s="48">
        <v>1</v>
      </c>
      <c r="X263" s="48">
        <v>2</v>
      </c>
      <c r="Y263" s="48">
        <v>3</v>
      </c>
      <c r="AD263" s="91">
        <f t="shared" si="4"/>
        <v>6</v>
      </c>
    </row>
    <row r="264" spans="3:30" hidden="1" x14ac:dyDescent="0.25">
      <c r="C264" s="87" t="s">
        <v>241</v>
      </c>
      <c r="D264" s="4" t="s">
        <v>242</v>
      </c>
      <c r="E264" s="4" t="s">
        <v>243</v>
      </c>
      <c r="F264" s="4" t="s">
        <v>36</v>
      </c>
      <c r="G264" s="4" t="s">
        <v>37</v>
      </c>
      <c r="H264" s="4" t="s">
        <v>38</v>
      </c>
      <c r="I264" s="4"/>
      <c r="J264" s="4" t="s">
        <v>132</v>
      </c>
      <c r="K264" s="4"/>
      <c r="L264" s="4" t="s">
        <v>64</v>
      </c>
      <c r="M264" s="4" t="s">
        <v>40</v>
      </c>
      <c r="N264" s="4" t="s">
        <v>41</v>
      </c>
      <c r="O264" s="4" t="s">
        <v>241</v>
      </c>
      <c r="P264" s="4" t="s">
        <v>42</v>
      </c>
      <c r="Q264" s="50" t="s">
        <v>43</v>
      </c>
      <c r="R264" s="50"/>
      <c r="S264" s="50">
        <v>0</v>
      </c>
      <c r="T264" s="4" t="s">
        <v>43</v>
      </c>
      <c r="U264" s="4" t="s">
        <v>43</v>
      </c>
      <c r="AD264" s="91">
        <f t="shared" si="4"/>
        <v>0</v>
      </c>
    </row>
    <row r="265" spans="3:30" hidden="1" x14ac:dyDescent="0.25">
      <c r="C265" s="87" t="s">
        <v>244</v>
      </c>
      <c r="D265" s="4" t="s">
        <v>245</v>
      </c>
      <c r="E265" s="4" t="s">
        <v>245</v>
      </c>
      <c r="F265" s="4" t="s">
        <v>36</v>
      </c>
      <c r="G265" s="4" t="s">
        <v>37</v>
      </c>
      <c r="H265" s="4" t="s">
        <v>81</v>
      </c>
      <c r="I265" s="4"/>
      <c r="J265" s="4">
        <v>0</v>
      </c>
      <c r="K265" s="4"/>
      <c r="L265" s="4" t="s">
        <v>133</v>
      </c>
      <c r="M265" s="4" t="s">
        <v>40</v>
      </c>
      <c r="N265" s="4" t="s">
        <v>41</v>
      </c>
      <c r="O265" s="4" t="s">
        <v>244</v>
      </c>
      <c r="P265" s="4" t="s">
        <v>42</v>
      </c>
      <c r="Q265" s="50" t="s">
        <v>43</v>
      </c>
      <c r="R265" s="50"/>
      <c r="S265" s="50">
        <v>0</v>
      </c>
      <c r="T265" s="4" t="s">
        <v>43</v>
      </c>
      <c r="U265" s="4" t="s">
        <v>43</v>
      </c>
      <c r="AD265" s="91">
        <f t="shared" ref="AD265:AD328" si="5">SUMPRODUCT($W$6:$AC$6,W265:AC265)</f>
        <v>0</v>
      </c>
    </row>
    <row r="266" spans="3:30" hidden="1" x14ac:dyDescent="0.25">
      <c r="C266" s="87" t="s">
        <v>246</v>
      </c>
      <c r="D266" s="4" t="s">
        <v>247</v>
      </c>
      <c r="E266" s="4" t="s">
        <v>247</v>
      </c>
      <c r="F266" s="4" t="s">
        <v>36</v>
      </c>
      <c r="G266" s="4" t="s">
        <v>37</v>
      </c>
      <c r="H266" s="4" t="s">
        <v>38</v>
      </c>
      <c r="I266" s="4"/>
      <c r="J266" s="4" t="s">
        <v>248</v>
      </c>
      <c r="K266" s="4"/>
      <c r="L266" s="4" t="s">
        <v>138</v>
      </c>
      <c r="M266" s="4" t="s">
        <v>40</v>
      </c>
      <c r="N266" s="4" t="s">
        <v>41</v>
      </c>
      <c r="O266" s="4" t="s">
        <v>246</v>
      </c>
      <c r="P266" s="4" t="s">
        <v>42</v>
      </c>
      <c r="Q266" s="50" t="s">
        <v>43</v>
      </c>
      <c r="R266" s="50"/>
      <c r="S266" s="50">
        <v>0</v>
      </c>
      <c r="T266" s="4" t="s">
        <v>43</v>
      </c>
      <c r="U266" s="4" t="s">
        <v>43</v>
      </c>
      <c r="AD266" s="91">
        <f t="shared" si="5"/>
        <v>0</v>
      </c>
    </row>
    <row r="267" spans="3:30" hidden="1" x14ac:dyDescent="0.25">
      <c r="C267" s="87" t="s">
        <v>249</v>
      </c>
      <c r="D267" s="4" t="s">
        <v>250</v>
      </c>
      <c r="E267" s="4" t="s">
        <v>250</v>
      </c>
      <c r="F267" s="4" t="s">
        <v>36</v>
      </c>
      <c r="G267" s="4" t="s">
        <v>37</v>
      </c>
      <c r="H267" s="4" t="s">
        <v>38</v>
      </c>
      <c r="I267" s="4"/>
      <c r="J267" s="4" t="s">
        <v>94</v>
      </c>
      <c r="K267" s="4"/>
      <c r="L267" s="4" t="s">
        <v>138</v>
      </c>
      <c r="M267" s="4" t="s">
        <v>40</v>
      </c>
      <c r="N267" s="4" t="s">
        <v>41</v>
      </c>
      <c r="O267" s="4" t="s">
        <v>249</v>
      </c>
      <c r="P267" s="4" t="s">
        <v>42</v>
      </c>
      <c r="Q267" s="50" t="s">
        <v>43</v>
      </c>
      <c r="R267" s="50"/>
      <c r="S267" s="50">
        <v>0</v>
      </c>
      <c r="T267" s="4" t="s">
        <v>43</v>
      </c>
      <c r="U267" s="4" t="s">
        <v>43</v>
      </c>
      <c r="AD267" s="91">
        <f t="shared" si="5"/>
        <v>0</v>
      </c>
    </row>
    <row r="268" spans="3:30" hidden="1" x14ac:dyDescent="0.25">
      <c r="C268" s="87" t="s">
        <v>251</v>
      </c>
      <c r="D268" s="4" t="s">
        <v>252</v>
      </c>
      <c r="E268" s="4" t="s">
        <v>253</v>
      </c>
      <c r="F268" s="4" t="s">
        <v>36</v>
      </c>
      <c r="G268" s="4" t="s">
        <v>37</v>
      </c>
      <c r="H268" s="4" t="s">
        <v>38</v>
      </c>
      <c r="I268" s="4"/>
      <c r="J268" s="4">
        <v>0</v>
      </c>
      <c r="K268" s="4"/>
      <c r="L268" s="4" t="s">
        <v>64</v>
      </c>
      <c r="M268" s="4" t="s">
        <v>40</v>
      </c>
      <c r="N268" s="4" t="s">
        <v>41</v>
      </c>
      <c r="O268" s="4" t="s">
        <v>251</v>
      </c>
      <c r="P268" s="4" t="s">
        <v>42</v>
      </c>
      <c r="Q268" s="50" t="s">
        <v>43</v>
      </c>
      <c r="R268" s="50"/>
      <c r="S268" s="50">
        <v>0</v>
      </c>
      <c r="T268" s="4" t="s">
        <v>43</v>
      </c>
      <c r="U268" s="4" t="s">
        <v>43</v>
      </c>
      <c r="AD268" s="91">
        <f t="shared" si="5"/>
        <v>0</v>
      </c>
    </row>
    <row r="269" spans="3:30" hidden="1" x14ac:dyDescent="0.25">
      <c r="C269" s="87" t="s">
        <v>254</v>
      </c>
      <c r="D269" s="4" t="s">
        <v>255</v>
      </c>
      <c r="E269" s="4" t="s">
        <v>255</v>
      </c>
      <c r="F269" s="4" t="s">
        <v>36</v>
      </c>
      <c r="G269" s="4" t="s">
        <v>37</v>
      </c>
      <c r="H269" s="4" t="s">
        <v>38</v>
      </c>
      <c r="I269" s="4"/>
      <c r="J269" s="4">
        <v>0</v>
      </c>
      <c r="K269" s="4"/>
      <c r="L269" s="4" t="s">
        <v>51</v>
      </c>
      <c r="M269" s="4" t="s">
        <v>40</v>
      </c>
      <c r="N269" s="4" t="s">
        <v>41</v>
      </c>
      <c r="O269" s="4" t="s">
        <v>254</v>
      </c>
      <c r="P269" s="4" t="s">
        <v>42</v>
      </c>
      <c r="Q269" s="50" t="s">
        <v>43</v>
      </c>
      <c r="R269" s="50"/>
      <c r="S269" s="50">
        <v>0</v>
      </c>
      <c r="T269" s="4" t="s">
        <v>43</v>
      </c>
      <c r="U269" s="4" t="s">
        <v>43</v>
      </c>
      <c r="AD269" s="91">
        <f t="shared" si="5"/>
        <v>0</v>
      </c>
    </row>
    <row r="270" spans="3:30" hidden="1" x14ac:dyDescent="0.25">
      <c r="C270" s="87" t="s">
        <v>590</v>
      </c>
      <c r="D270" s="4" t="s">
        <v>591</v>
      </c>
      <c r="E270" s="4" t="s">
        <v>591</v>
      </c>
      <c r="F270" s="4">
        <v>5</v>
      </c>
      <c r="G270" s="4" t="s">
        <v>376</v>
      </c>
      <c r="H270" s="4" t="s">
        <v>46</v>
      </c>
      <c r="I270" s="4" t="s">
        <v>377</v>
      </c>
      <c r="J270" s="4" t="s">
        <v>331</v>
      </c>
      <c r="K270" s="4" t="s">
        <v>43</v>
      </c>
      <c r="L270" s="4" t="s">
        <v>138</v>
      </c>
      <c r="M270" s="4" t="s">
        <v>40</v>
      </c>
      <c r="N270" s="4" t="s">
        <v>422</v>
      </c>
      <c r="O270" s="4" t="s">
        <v>590</v>
      </c>
      <c r="P270" s="4" t="s">
        <v>42</v>
      </c>
      <c r="Q270" s="50" t="s">
        <v>43</v>
      </c>
      <c r="R270" s="50"/>
      <c r="S270" s="50" t="s">
        <v>557</v>
      </c>
      <c r="T270" s="4" t="s">
        <v>43</v>
      </c>
      <c r="U270" s="4" t="s">
        <v>43</v>
      </c>
      <c r="W270" s="48">
        <v>1</v>
      </c>
      <c r="X270" s="48">
        <v>1</v>
      </c>
      <c r="Y270" s="48">
        <v>3</v>
      </c>
      <c r="AD270" s="91">
        <f t="shared" si="5"/>
        <v>5</v>
      </c>
    </row>
    <row r="271" spans="3:30" hidden="1" x14ac:dyDescent="0.25">
      <c r="C271" s="87" t="s">
        <v>447</v>
      </c>
      <c r="D271" s="4" t="s">
        <v>448</v>
      </c>
      <c r="E271" s="4" t="s">
        <v>449</v>
      </c>
      <c r="F271" s="4">
        <v>6</v>
      </c>
      <c r="G271" s="4" t="s">
        <v>376</v>
      </c>
      <c r="H271" s="4" t="s">
        <v>46</v>
      </c>
      <c r="I271" s="4" t="s">
        <v>421</v>
      </c>
      <c r="J271" s="4" t="s">
        <v>94</v>
      </c>
      <c r="K271" s="4" t="s">
        <v>43</v>
      </c>
      <c r="L271" s="4" t="s">
        <v>64</v>
      </c>
      <c r="M271" s="4" t="s">
        <v>40</v>
      </c>
      <c r="N271" s="4" t="s">
        <v>422</v>
      </c>
      <c r="O271" s="4" t="s">
        <v>447</v>
      </c>
      <c r="P271" s="4" t="s">
        <v>42</v>
      </c>
      <c r="Q271" s="50" t="s">
        <v>43</v>
      </c>
      <c r="R271" s="50"/>
      <c r="S271" s="50" t="s">
        <v>423</v>
      </c>
      <c r="T271" s="4" t="s">
        <v>43</v>
      </c>
      <c r="U271" s="4" t="s">
        <v>43</v>
      </c>
      <c r="W271" s="48">
        <v>1</v>
      </c>
      <c r="X271" s="48">
        <v>2</v>
      </c>
      <c r="Y271" s="48">
        <v>3</v>
      </c>
      <c r="AD271" s="91">
        <f t="shared" si="5"/>
        <v>6</v>
      </c>
    </row>
    <row r="272" spans="3:30" hidden="1" x14ac:dyDescent="0.25">
      <c r="C272" s="87" t="s">
        <v>256</v>
      </c>
      <c r="D272" s="4" t="s">
        <v>257</v>
      </c>
      <c r="E272" s="4" t="s">
        <v>257</v>
      </c>
      <c r="F272" s="4" t="s">
        <v>36</v>
      </c>
      <c r="G272" s="4" t="s">
        <v>37</v>
      </c>
      <c r="H272" s="4" t="s">
        <v>38</v>
      </c>
      <c r="I272" s="4"/>
      <c r="J272" s="4">
        <v>0</v>
      </c>
      <c r="K272" s="4"/>
      <c r="L272" s="4" t="s">
        <v>138</v>
      </c>
      <c r="M272" s="4" t="s">
        <v>40</v>
      </c>
      <c r="N272" s="4" t="s">
        <v>41</v>
      </c>
      <c r="O272" s="4" t="s">
        <v>256</v>
      </c>
      <c r="P272" s="4" t="s">
        <v>42</v>
      </c>
      <c r="Q272" s="50" t="s">
        <v>43</v>
      </c>
      <c r="R272" s="50"/>
      <c r="S272" s="50">
        <v>0</v>
      </c>
      <c r="T272" s="4" t="s">
        <v>43</v>
      </c>
      <c r="U272" s="4" t="s">
        <v>43</v>
      </c>
      <c r="AD272" s="91">
        <f t="shared" si="5"/>
        <v>0</v>
      </c>
    </row>
    <row r="273" spans="3:30" hidden="1" x14ac:dyDescent="0.25">
      <c r="C273" s="87" t="s">
        <v>450</v>
      </c>
      <c r="D273" s="4" t="s">
        <v>451</v>
      </c>
      <c r="E273" s="4" t="s">
        <v>452</v>
      </c>
      <c r="F273" s="4">
        <v>5</v>
      </c>
      <c r="G273" s="4" t="s">
        <v>376</v>
      </c>
      <c r="H273" s="4" t="s">
        <v>46</v>
      </c>
      <c r="I273" s="4" t="s">
        <v>421</v>
      </c>
      <c r="J273" s="4" t="s">
        <v>94</v>
      </c>
      <c r="K273" s="4" t="s">
        <v>43</v>
      </c>
      <c r="L273" s="4" t="s">
        <v>64</v>
      </c>
      <c r="M273" s="4" t="s">
        <v>40</v>
      </c>
      <c r="N273" s="4" t="s">
        <v>422</v>
      </c>
      <c r="O273" s="4" t="s">
        <v>450</v>
      </c>
      <c r="P273" s="4" t="s">
        <v>42</v>
      </c>
      <c r="Q273" s="50" t="s">
        <v>43</v>
      </c>
      <c r="R273" s="50"/>
      <c r="S273" s="50" t="s">
        <v>423</v>
      </c>
      <c r="T273" s="4" t="s">
        <v>43</v>
      </c>
      <c r="U273" s="4" t="s">
        <v>43</v>
      </c>
      <c r="W273" s="48">
        <v>1</v>
      </c>
      <c r="X273" s="48">
        <v>2</v>
      </c>
      <c r="Y273" s="48">
        <v>2</v>
      </c>
      <c r="AD273" s="91">
        <f t="shared" si="5"/>
        <v>5</v>
      </c>
    </row>
    <row r="274" spans="3:30" hidden="1" x14ac:dyDescent="0.25">
      <c r="C274" s="87" t="s">
        <v>965</v>
      </c>
      <c r="D274" s="4" t="s">
        <v>966</v>
      </c>
      <c r="E274" s="4" t="s">
        <v>967</v>
      </c>
      <c r="F274" s="4">
        <v>5</v>
      </c>
      <c r="G274" s="4" t="s">
        <v>376</v>
      </c>
      <c r="H274" s="4" t="s">
        <v>46</v>
      </c>
      <c r="I274" s="4" t="s">
        <v>377</v>
      </c>
      <c r="J274" s="4" t="s">
        <v>160</v>
      </c>
      <c r="K274" s="4" t="s">
        <v>43</v>
      </c>
      <c r="L274" s="4" t="s">
        <v>353</v>
      </c>
      <c r="M274" s="4" t="s">
        <v>40</v>
      </c>
      <c r="N274" s="4" t="s">
        <v>378</v>
      </c>
      <c r="O274" s="4" t="s">
        <v>965</v>
      </c>
      <c r="P274" s="4" t="s">
        <v>42</v>
      </c>
      <c r="Q274" s="50" t="s">
        <v>43</v>
      </c>
      <c r="R274" s="50"/>
      <c r="S274" s="50" t="s">
        <v>931</v>
      </c>
      <c r="T274" s="4" t="s">
        <v>43</v>
      </c>
      <c r="U274" s="4" t="s">
        <v>43</v>
      </c>
      <c r="W274" s="48">
        <v>1</v>
      </c>
      <c r="X274" s="48">
        <v>2</v>
      </c>
      <c r="Y274" s="48">
        <v>2</v>
      </c>
      <c r="AD274" s="91">
        <f t="shared" si="5"/>
        <v>5</v>
      </c>
    </row>
    <row r="275" spans="3:30" hidden="1" x14ac:dyDescent="0.25">
      <c r="C275" s="87" t="s">
        <v>258</v>
      </c>
      <c r="D275" s="4" t="s">
        <v>259</v>
      </c>
      <c r="E275" s="4" t="s">
        <v>260</v>
      </c>
      <c r="F275" s="4" t="s">
        <v>36</v>
      </c>
      <c r="G275" s="4" t="s">
        <v>37</v>
      </c>
      <c r="H275" s="4" t="s">
        <v>38</v>
      </c>
      <c r="I275" s="4"/>
      <c r="J275" s="4" t="s">
        <v>50</v>
      </c>
      <c r="K275" s="4"/>
      <c r="L275" s="4" t="s">
        <v>51</v>
      </c>
      <c r="M275" s="4" t="s">
        <v>40</v>
      </c>
      <c r="N275" s="4" t="s">
        <v>41</v>
      </c>
      <c r="O275" s="4" t="s">
        <v>258</v>
      </c>
      <c r="P275" s="4" t="s">
        <v>42</v>
      </c>
      <c r="Q275" s="50" t="s">
        <v>43</v>
      </c>
      <c r="R275" s="50"/>
      <c r="S275" s="50">
        <v>0</v>
      </c>
      <c r="T275" s="4" t="s">
        <v>43</v>
      </c>
      <c r="U275" s="4" t="s">
        <v>43</v>
      </c>
      <c r="AD275" s="91">
        <f t="shared" si="5"/>
        <v>0</v>
      </c>
    </row>
    <row r="276" spans="3:30" hidden="1" x14ac:dyDescent="0.25">
      <c r="C276" s="87" t="s">
        <v>261</v>
      </c>
      <c r="D276" s="4" t="s">
        <v>262</v>
      </c>
      <c r="E276" s="4" t="s">
        <v>263</v>
      </c>
      <c r="F276" s="4" t="s">
        <v>36</v>
      </c>
      <c r="G276" s="4" t="s">
        <v>37</v>
      </c>
      <c r="H276" s="4" t="s">
        <v>38</v>
      </c>
      <c r="I276" s="4"/>
      <c r="J276" s="4" t="s">
        <v>58</v>
      </c>
      <c r="K276" s="4"/>
      <c r="L276" s="4" t="s">
        <v>138</v>
      </c>
      <c r="M276" s="4" t="s">
        <v>40</v>
      </c>
      <c r="N276" s="4" t="s">
        <v>41</v>
      </c>
      <c r="O276" s="4" t="s">
        <v>261</v>
      </c>
      <c r="P276" s="4" t="s">
        <v>42</v>
      </c>
      <c r="Q276" s="50" t="s">
        <v>43</v>
      </c>
      <c r="R276" s="50"/>
      <c r="S276" s="50">
        <v>0</v>
      </c>
      <c r="T276" s="4" t="s">
        <v>43</v>
      </c>
      <c r="U276" s="4" t="s">
        <v>43</v>
      </c>
      <c r="AD276" s="91">
        <f t="shared" si="5"/>
        <v>0</v>
      </c>
    </row>
    <row r="277" spans="3:30" x14ac:dyDescent="0.25">
      <c r="C277" s="87" t="s">
        <v>791</v>
      </c>
      <c r="D277" s="4" t="s">
        <v>792</v>
      </c>
      <c r="E277" s="4" t="s">
        <v>793</v>
      </c>
      <c r="F277" s="4">
        <v>3.36</v>
      </c>
      <c r="G277" s="4" t="s">
        <v>376</v>
      </c>
      <c r="H277" s="4" t="s">
        <v>46</v>
      </c>
      <c r="I277" s="4" t="s">
        <v>421</v>
      </c>
      <c r="J277" s="4" t="s">
        <v>89</v>
      </c>
      <c r="K277" s="4" t="s">
        <v>43</v>
      </c>
      <c r="L277" s="4" t="s">
        <v>109</v>
      </c>
      <c r="M277" s="4" t="s">
        <v>91</v>
      </c>
      <c r="N277" s="4" t="s">
        <v>378</v>
      </c>
      <c r="O277" s="4" t="s">
        <v>791</v>
      </c>
      <c r="P277" s="4" t="s">
        <v>42</v>
      </c>
      <c r="Q277" s="50" t="s">
        <v>43</v>
      </c>
      <c r="R277" s="50"/>
      <c r="S277" s="50" t="s">
        <v>772</v>
      </c>
      <c r="T277" s="4" t="s">
        <v>43</v>
      </c>
      <c r="U277" s="4" t="s">
        <v>43</v>
      </c>
      <c r="W277" s="48">
        <v>1</v>
      </c>
      <c r="X277" s="48">
        <v>1</v>
      </c>
      <c r="Z277" s="48">
        <v>1</v>
      </c>
      <c r="AC277" s="48">
        <v>2</v>
      </c>
      <c r="AD277" s="91">
        <f t="shared" si="5"/>
        <v>3.3636363636363633</v>
      </c>
    </row>
    <row r="278" spans="3:30" hidden="1" x14ac:dyDescent="0.25">
      <c r="C278" s="87" t="s">
        <v>264</v>
      </c>
      <c r="D278" s="4" t="s">
        <v>265</v>
      </c>
      <c r="E278" s="4" t="s">
        <v>266</v>
      </c>
      <c r="F278" s="4" t="s">
        <v>36</v>
      </c>
      <c r="G278" s="4" t="s">
        <v>37</v>
      </c>
      <c r="H278" s="4" t="s">
        <v>38</v>
      </c>
      <c r="I278" s="4"/>
      <c r="J278" s="4">
        <v>0</v>
      </c>
      <c r="K278" s="4"/>
      <c r="L278" s="4" t="s">
        <v>51</v>
      </c>
      <c r="M278" s="4" t="s">
        <v>40</v>
      </c>
      <c r="N278" s="4" t="s">
        <v>41</v>
      </c>
      <c r="O278" s="4" t="s">
        <v>264</v>
      </c>
      <c r="P278" s="4" t="s">
        <v>42</v>
      </c>
      <c r="Q278" s="50" t="s">
        <v>43</v>
      </c>
      <c r="R278" s="50"/>
      <c r="S278" s="50">
        <v>0</v>
      </c>
      <c r="T278" s="4" t="s">
        <v>43</v>
      </c>
      <c r="U278" s="4" t="s">
        <v>43</v>
      </c>
      <c r="AD278" s="91">
        <f t="shared" si="5"/>
        <v>0</v>
      </c>
    </row>
    <row r="279" spans="3:30" hidden="1" x14ac:dyDescent="0.25">
      <c r="C279" s="87" t="s">
        <v>267</v>
      </c>
      <c r="D279" s="4" t="s">
        <v>268</v>
      </c>
      <c r="E279" s="4" t="s">
        <v>269</v>
      </c>
      <c r="F279" s="4" t="s">
        <v>36</v>
      </c>
      <c r="G279" s="4" t="s">
        <v>37</v>
      </c>
      <c r="H279" s="4" t="s">
        <v>38</v>
      </c>
      <c r="I279" s="4"/>
      <c r="J279" s="4">
        <v>0</v>
      </c>
      <c r="K279" s="4"/>
      <c r="L279" s="4" t="s">
        <v>51</v>
      </c>
      <c r="M279" s="4" t="s">
        <v>40</v>
      </c>
      <c r="N279" s="4" t="s">
        <v>41</v>
      </c>
      <c r="O279" s="4" t="s">
        <v>267</v>
      </c>
      <c r="P279" s="4" t="s">
        <v>42</v>
      </c>
      <c r="Q279" s="50" t="s">
        <v>43</v>
      </c>
      <c r="R279" s="50"/>
      <c r="S279" s="50">
        <v>0</v>
      </c>
      <c r="T279" s="4" t="s">
        <v>43</v>
      </c>
      <c r="U279" s="4" t="s">
        <v>43</v>
      </c>
      <c r="AD279" s="91">
        <f t="shared" si="5"/>
        <v>0</v>
      </c>
    </row>
    <row r="280" spans="3:30" hidden="1" x14ac:dyDescent="0.25">
      <c r="C280" s="87" t="s">
        <v>270</v>
      </c>
      <c r="D280" s="4" t="s">
        <v>271</v>
      </c>
      <c r="E280" s="4" t="s">
        <v>271</v>
      </c>
      <c r="F280" s="4" t="s">
        <v>36</v>
      </c>
      <c r="G280" s="4" t="s">
        <v>37</v>
      </c>
      <c r="H280" s="4" t="s">
        <v>38</v>
      </c>
      <c r="I280" s="4"/>
      <c r="J280" s="4" t="s">
        <v>100</v>
      </c>
      <c r="K280" s="4"/>
      <c r="L280" s="4" t="s">
        <v>59</v>
      </c>
      <c r="M280" s="4" t="s">
        <v>40</v>
      </c>
      <c r="N280" s="4" t="s">
        <v>41</v>
      </c>
      <c r="O280" s="4" t="s">
        <v>270</v>
      </c>
      <c r="P280" s="4" t="s">
        <v>42</v>
      </c>
      <c r="Q280" s="50" t="s">
        <v>43</v>
      </c>
      <c r="R280" s="50"/>
      <c r="S280" s="50">
        <v>0</v>
      </c>
      <c r="T280" s="4" t="s">
        <v>43</v>
      </c>
      <c r="U280" s="4" t="s">
        <v>43</v>
      </c>
      <c r="AD280" s="91">
        <f t="shared" si="5"/>
        <v>0</v>
      </c>
    </row>
    <row r="281" spans="3:30" hidden="1" x14ac:dyDescent="0.25">
      <c r="C281" s="87" t="s">
        <v>631</v>
      </c>
      <c r="D281" s="4" t="s">
        <v>632</v>
      </c>
      <c r="E281" s="4" t="s">
        <v>633</v>
      </c>
      <c r="F281" s="93">
        <v>5.6</v>
      </c>
      <c r="G281" s="4" t="s">
        <v>376</v>
      </c>
      <c r="H281" s="4" t="s">
        <v>46</v>
      </c>
      <c r="I281" s="4" t="s">
        <v>421</v>
      </c>
      <c r="J281" s="4" t="s">
        <v>50</v>
      </c>
      <c r="K281" s="4" t="s">
        <v>43</v>
      </c>
      <c r="L281" s="4" t="s">
        <v>51</v>
      </c>
      <c r="M281" s="4" t="s">
        <v>40</v>
      </c>
      <c r="N281" s="4" t="s">
        <v>422</v>
      </c>
      <c r="O281" s="4" t="s">
        <v>631</v>
      </c>
      <c r="P281" s="4" t="s">
        <v>42</v>
      </c>
      <c r="Q281" s="50" t="s">
        <v>43</v>
      </c>
      <c r="R281" s="50"/>
      <c r="S281" s="50" t="s">
        <v>597</v>
      </c>
      <c r="T281" s="4" t="s">
        <v>43</v>
      </c>
      <c r="U281" s="4" t="s">
        <v>43</v>
      </c>
      <c r="W281" s="48">
        <v>1</v>
      </c>
      <c r="X281" s="48">
        <v>1</v>
      </c>
      <c r="AA281" s="48">
        <v>4</v>
      </c>
      <c r="AC281" s="48">
        <v>4</v>
      </c>
      <c r="AD281" s="91">
        <f t="shared" si="5"/>
        <v>5.6363636363636367</v>
      </c>
    </row>
    <row r="282" spans="3:30" hidden="1" x14ac:dyDescent="0.25">
      <c r="C282" s="87" t="s">
        <v>272</v>
      </c>
      <c r="D282" s="4" t="s">
        <v>273</v>
      </c>
      <c r="E282" s="4" t="s">
        <v>274</v>
      </c>
      <c r="F282" s="4" t="s">
        <v>36</v>
      </c>
      <c r="G282" s="4" t="s">
        <v>37</v>
      </c>
      <c r="H282" s="4" t="s">
        <v>38</v>
      </c>
      <c r="I282" s="4"/>
      <c r="J282" s="4" t="s">
        <v>73</v>
      </c>
      <c r="K282" s="4"/>
      <c r="L282" s="4" t="s">
        <v>275</v>
      </c>
      <c r="M282" s="4" t="s">
        <v>40</v>
      </c>
      <c r="N282" s="4" t="s">
        <v>41</v>
      </c>
      <c r="O282" s="4" t="s">
        <v>272</v>
      </c>
      <c r="P282" s="4" t="s">
        <v>42</v>
      </c>
      <c r="Q282" s="50" t="s">
        <v>43</v>
      </c>
      <c r="R282" s="50"/>
      <c r="S282" s="50">
        <v>0</v>
      </c>
      <c r="T282" s="4" t="s">
        <v>43</v>
      </c>
      <c r="U282" s="4" t="s">
        <v>43</v>
      </c>
      <c r="AD282" s="91">
        <f t="shared" si="5"/>
        <v>0</v>
      </c>
    </row>
    <row r="283" spans="3:30" hidden="1" x14ac:dyDescent="0.25">
      <c r="C283" s="87" t="s">
        <v>690</v>
      </c>
      <c r="D283" s="4" t="s">
        <v>691</v>
      </c>
      <c r="E283" s="4" t="s">
        <v>692</v>
      </c>
      <c r="F283" s="4">
        <v>5</v>
      </c>
      <c r="G283" s="4" t="s">
        <v>376</v>
      </c>
      <c r="H283" s="4" t="s">
        <v>46</v>
      </c>
      <c r="I283" s="4" t="s">
        <v>377</v>
      </c>
      <c r="J283" s="4" t="s">
        <v>248</v>
      </c>
      <c r="K283" s="4" t="s">
        <v>43</v>
      </c>
      <c r="L283" s="4" t="s">
        <v>51</v>
      </c>
      <c r="M283" s="4" t="s">
        <v>40</v>
      </c>
      <c r="N283" s="4" t="s">
        <v>653</v>
      </c>
      <c r="O283" s="4" t="s">
        <v>690</v>
      </c>
      <c r="P283" s="4" t="s">
        <v>42</v>
      </c>
      <c r="Q283" s="50" t="s">
        <v>43</v>
      </c>
      <c r="R283" s="50"/>
      <c r="S283" s="50" t="s">
        <v>51</v>
      </c>
      <c r="T283" s="4" t="s">
        <v>43</v>
      </c>
      <c r="U283" s="4" t="s">
        <v>43</v>
      </c>
      <c r="W283" s="48">
        <v>1</v>
      </c>
      <c r="X283" s="48">
        <v>2</v>
      </c>
      <c r="Y283" s="48">
        <v>2</v>
      </c>
      <c r="AD283" s="91">
        <f t="shared" si="5"/>
        <v>5</v>
      </c>
    </row>
    <row r="284" spans="3:30" hidden="1" x14ac:dyDescent="0.25">
      <c r="C284" s="87" t="s">
        <v>276</v>
      </c>
      <c r="D284" s="4" t="s">
        <v>277</v>
      </c>
      <c r="E284" s="4" t="s">
        <v>278</v>
      </c>
      <c r="F284" s="4" t="s">
        <v>36</v>
      </c>
      <c r="G284" s="4" t="s">
        <v>37</v>
      </c>
      <c r="H284" s="4" t="s">
        <v>38</v>
      </c>
      <c r="I284" s="4"/>
      <c r="J284" s="4" t="s">
        <v>84</v>
      </c>
      <c r="K284" s="4"/>
      <c r="L284" s="4" t="s">
        <v>279</v>
      </c>
      <c r="M284" s="4" t="s">
        <v>55</v>
      </c>
      <c r="N284" s="4" t="s">
        <v>41</v>
      </c>
      <c r="O284" s="4" t="s">
        <v>276</v>
      </c>
      <c r="P284" s="4" t="s">
        <v>42</v>
      </c>
      <c r="Q284" s="50" t="s">
        <v>43</v>
      </c>
      <c r="R284" s="50"/>
      <c r="S284" s="50">
        <v>0</v>
      </c>
      <c r="T284" s="4" t="s">
        <v>43</v>
      </c>
      <c r="U284" s="4" t="s">
        <v>43</v>
      </c>
      <c r="AD284" s="91">
        <f t="shared" si="5"/>
        <v>0</v>
      </c>
    </row>
    <row r="285" spans="3:30" hidden="1" x14ac:dyDescent="0.25">
      <c r="C285" s="87" t="s">
        <v>731</v>
      </c>
      <c r="D285" s="4" t="s">
        <v>732</v>
      </c>
      <c r="E285" s="4" t="s">
        <v>54</v>
      </c>
      <c r="F285" s="4">
        <v>5</v>
      </c>
      <c r="G285" s="4" t="s">
        <v>376</v>
      </c>
      <c r="H285" s="4" t="s">
        <v>46</v>
      </c>
      <c r="I285" s="4" t="s">
        <v>421</v>
      </c>
      <c r="J285" s="4" t="s">
        <v>84</v>
      </c>
      <c r="K285" s="4" t="s">
        <v>440</v>
      </c>
      <c r="L285" s="4" t="s">
        <v>54</v>
      </c>
      <c r="M285" s="4" t="s">
        <v>55</v>
      </c>
      <c r="N285" s="4" t="s">
        <v>653</v>
      </c>
      <c r="O285" s="4" t="s">
        <v>731</v>
      </c>
      <c r="P285" s="4" t="s">
        <v>42</v>
      </c>
      <c r="Q285" s="50" t="s">
        <v>43</v>
      </c>
      <c r="R285" s="50"/>
      <c r="S285" s="50" t="s">
        <v>702</v>
      </c>
      <c r="T285" s="4" t="s">
        <v>43</v>
      </c>
      <c r="U285" s="4" t="s">
        <v>43</v>
      </c>
      <c r="W285" s="48">
        <v>1</v>
      </c>
      <c r="X285" s="48">
        <v>1</v>
      </c>
      <c r="Y285" s="48">
        <v>3</v>
      </c>
      <c r="AD285" s="91">
        <f t="shared" si="5"/>
        <v>5</v>
      </c>
    </row>
    <row r="286" spans="3:30" hidden="1" x14ac:dyDescent="0.25">
      <c r="C286" s="87" t="s">
        <v>453</v>
      </c>
      <c r="D286" s="4" t="s">
        <v>454</v>
      </c>
      <c r="E286" s="4" t="s">
        <v>454</v>
      </c>
      <c r="F286" s="4">
        <v>5</v>
      </c>
      <c r="G286" s="4" t="s">
        <v>376</v>
      </c>
      <c r="H286" s="4" t="s">
        <v>46</v>
      </c>
      <c r="I286" s="4" t="s">
        <v>421</v>
      </c>
      <c r="J286" s="4" t="s">
        <v>94</v>
      </c>
      <c r="K286" s="4" t="s">
        <v>43</v>
      </c>
      <c r="L286" s="4" t="s">
        <v>64</v>
      </c>
      <c r="M286" s="4" t="s">
        <v>40</v>
      </c>
      <c r="N286" s="4" t="s">
        <v>422</v>
      </c>
      <c r="O286" s="4" t="s">
        <v>453</v>
      </c>
      <c r="P286" s="4" t="s">
        <v>42</v>
      </c>
      <c r="Q286" s="50" t="s">
        <v>43</v>
      </c>
      <c r="R286" s="50"/>
      <c r="S286" s="50" t="s">
        <v>423</v>
      </c>
      <c r="T286" s="4" t="s">
        <v>43</v>
      </c>
      <c r="U286" s="4" t="s">
        <v>43</v>
      </c>
      <c r="W286" s="48">
        <v>1</v>
      </c>
      <c r="X286" s="48">
        <v>1</v>
      </c>
      <c r="Y286" s="48">
        <v>3</v>
      </c>
      <c r="AD286" s="91">
        <f t="shared" si="5"/>
        <v>5</v>
      </c>
    </row>
    <row r="287" spans="3:30" hidden="1" x14ac:dyDescent="0.25">
      <c r="C287" s="87" t="s">
        <v>280</v>
      </c>
      <c r="D287" s="4" t="s">
        <v>281</v>
      </c>
      <c r="E287" s="4" t="s">
        <v>281</v>
      </c>
      <c r="F287" s="4" t="s">
        <v>36</v>
      </c>
      <c r="G287" s="4" t="s">
        <v>37</v>
      </c>
      <c r="H287" s="4" t="s">
        <v>38</v>
      </c>
      <c r="I287" s="4"/>
      <c r="J287" s="4" t="s">
        <v>132</v>
      </c>
      <c r="K287" s="4"/>
      <c r="L287" s="4" t="s">
        <v>64</v>
      </c>
      <c r="M287" s="4" t="s">
        <v>40</v>
      </c>
      <c r="N287" s="4" t="s">
        <v>41</v>
      </c>
      <c r="O287" s="4" t="s">
        <v>280</v>
      </c>
      <c r="P287" s="4" t="s">
        <v>42</v>
      </c>
      <c r="Q287" s="50" t="s">
        <v>43</v>
      </c>
      <c r="R287" s="50"/>
      <c r="S287" s="50">
        <v>0</v>
      </c>
      <c r="T287" s="4" t="s">
        <v>43</v>
      </c>
      <c r="U287" s="4" t="s">
        <v>43</v>
      </c>
      <c r="AD287" s="91">
        <f t="shared" si="5"/>
        <v>0</v>
      </c>
    </row>
    <row r="288" spans="3:30" hidden="1" x14ac:dyDescent="0.25">
      <c r="C288" s="87" t="s">
        <v>282</v>
      </c>
      <c r="D288" s="4" t="s">
        <v>283</v>
      </c>
      <c r="E288" s="4" t="s">
        <v>284</v>
      </c>
      <c r="F288" s="4" t="s">
        <v>36</v>
      </c>
      <c r="G288" s="4" t="s">
        <v>37</v>
      </c>
      <c r="H288" s="4" t="s">
        <v>38</v>
      </c>
      <c r="I288" s="4"/>
      <c r="J288" s="4">
        <v>0</v>
      </c>
      <c r="K288" s="4"/>
      <c r="L288" s="4" t="s">
        <v>279</v>
      </c>
      <c r="M288" s="4" t="s">
        <v>55</v>
      </c>
      <c r="N288" s="4" t="s">
        <v>41</v>
      </c>
      <c r="O288" s="4" t="s">
        <v>282</v>
      </c>
      <c r="P288" s="4" t="s">
        <v>42</v>
      </c>
      <c r="Q288" s="50" t="s">
        <v>43</v>
      </c>
      <c r="R288" s="50"/>
      <c r="S288" s="50">
        <v>0</v>
      </c>
      <c r="T288" s="4" t="s">
        <v>43</v>
      </c>
      <c r="U288" s="4" t="s">
        <v>43</v>
      </c>
      <c r="AD288" s="91">
        <f t="shared" si="5"/>
        <v>0</v>
      </c>
    </row>
    <row r="289" spans="3:30" hidden="1" x14ac:dyDescent="0.25">
      <c r="C289" s="87" t="s">
        <v>455</v>
      </c>
      <c r="D289" s="4" t="s">
        <v>456</v>
      </c>
      <c r="E289" s="4" t="s">
        <v>456</v>
      </c>
      <c r="F289" s="4">
        <v>5</v>
      </c>
      <c r="G289" s="4" t="s">
        <v>376</v>
      </c>
      <c r="H289" s="4" t="s">
        <v>46</v>
      </c>
      <c r="I289" s="4" t="s">
        <v>421</v>
      </c>
      <c r="J289" s="4" t="s">
        <v>94</v>
      </c>
      <c r="K289" s="4" t="s">
        <v>43</v>
      </c>
      <c r="L289" s="4" t="s">
        <v>64</v>
      </c>
      <c r="M289" s="4" t="s">
        <v>40</v>
      </c>
      <c r="N289" s="4" t="s">
        <v>422</v>
      </c>
      <c r="O289" s="4" t="s">
        <v>455</v>
      </c>
      <c r="P289" s="4" t="s">
        <v>42</v>
      </c>
      <c r="Q289" s="50" t="s">
        <v>43</v>
      </c>
      <c r="R289" s="50"/>
      <c r="S289" s="50" t="s">
        <v>423</v>
      </c>
      <c r="T289" s="4" t="s">
        <v>43</v>
      </c>
      <c r="U289" s="4" t="s">
        <v>43</v>
      </c>
      <c r="W289" s="48">
        <v>1</v>
      </c>
      <c r="X289" s="48">
        <v>1</v>
      </c>
      <c r="Y289" s="48">
        <v>3</v>
      </c>
      <c r="AD289" s="91">
        <f t="shared" si="5"/>
        <v>5</v>
      </c>
    </row>
    <row r="290" spans="3:30" hidden="1" x14ac:dyDescent="0.25">
      <c r="C290" s="87" t="s">
        <v>285</v>
      </c>
      <c r="D290" s="4" t="s">
        <v>286</v>
      </c>
      <c r="E290" s="4" t="s">
        <v>287</v>
      </c>
      <c r="F290" s="4" t="s">
        <v>36</v>
      </c>
      <c r="G290" s="4" t="s">
        <v>37</v>
      </c>
      <c r="H290" s="4" t="s">
        <v>38</v>
      </c>
      <c r="I290" s="4"/>
      <c r="J290" s="4">
        <v>0</v>
      </c>
      <c r="K290" s="4"/>
      <c r="L290" s="4" t="s">
        <v>51</v>
      </c>
      <c r="M290" s="4" t="s">
        <v>40</v>
      </c>
      <c r="N290" s="4" t="s">
        <v>41</v>
      </c>
      <c r="O290" s="4" t="s">
        <v>285</v>
      </c>
      <c r="P290" s="4" t="s">
        <v>42</v>
      </c>
      <c r="Q290" s="50" t="s">
        <v>43</v>
      </c>
      <c r="R290" s="50"/>
      <c r="S290" s="50">
        <v>0</v>
      </c>
      <c r="T290" s="4" t="s">
        <v>43</v>
      </c>
      <c r="U290" s="4" t="s">
        <v>43</v>
      </c>
      <c r="AD290" s="91">
        <f t="shared" si="5"/>
        <v>0</v>
      </c>
    </row>
    <row r="291" spans="3:30" hidden="1" x14ac:dyDescent="0.25">
      <c r="C291" s="87" t="s">
        <v>288</v>
      </c>
      <c r="D291" s="4" t="s">
        <v>289</v>
      </c>
      <c r="E291" s="4" t="s">
        <v>290</v>
      </c>
      <c r="F291" s="4" t="s">
        <v>36</v>
      </c>
      <c r="G291" s="4" t="s">
        <v>37</v>
      </c>
      <c r="H291" s="4" t="s">
        <v>38</v>
      </c>
      <c r="I291" s="4"/>
      <c r="J291" s="4">
        <v>0</v>
      </c>
      <c r="K291" s="4"/>
      <c r="L291" s="4" t="s">
        <v>59</v>
      </c>
      <c r="M291" s="4" t="s">
        <v>40</v>
      </c>
      <c r="N291" s="4" t="s">
        <v>41</v>
      </c>
      <c r="O291" s="4" t="s">
        <v>288</v>
      </c>
      <c r="P291" s="4" t="s">
        <v>42</v>
      </c>
      <c r="Q291" s="50" t="s">
        <v>43</v>
      </c>
      <c r="R291" s="50"/>
      <c r="S291" s="50">
        <v>0</v>
      </c>
      <c r="T291" s="4" t="s">
        <v>43</v>
      </c>
      <c r="U291" s="4" t="s">
        <v>43</v>
      </c>
      <c r="AD291" s="91">
        <f t="shared" si="5"/>
        <v>0</v>
      </c>
    </row>
    <row r="292" spans="3:30" hidden="1" x14ac:dyDescent="0.25">
      <c r="C292" s="87" t="s">
        <v>291</v>
      </c>
      <c r="D292" s="4" t="s">
        <v>292</v>
      </c>
      <c r="E292" s="4" t="s">
        <v>292</v>
      </c>
      <c r="F292" s="4" t="s">
        <v>36</v>
      </c>
      <c r="G292" s="4" t="s">
        <v>37</v>
      </c>
      <c r="H292" s="4" t="s">
        <v>38</v>
      </c>
      <c r="I292" s="4"/>
      <c r="J292" s="4" t="s">
        <v>94</v>
      </c>
      <c r="K292" s="4"/>
      <c r="L292" s="4" t="s">
        <v>51</v>
      </c>
      <c r="M292" s="4" t="s">
        <v>40</v>
      </c>
      <c r="N292" s="4" t="s">
        <v>41</v>
      </c>
      <c r="O292" s="4" t="s">
        <v>291</v>
      </c>
      <c r="P292" s="4" t="s">
        <v>42</v>
      </c>
      <c r="Q292" s="50" t="s">
        <v>43</v>
      </c>
      <c r="R292" s="50"/>
      <c r="S292" s="50">
        <v>0</v>
      </c>
      <c r="T292" s="4" t="s">
        <v>43</v>
      </c>
      <c r="U292" s="4" t="s">
        <v>43</v>
      </c>
      <c r="AD292" s="91">
        <f t="shared" si="5"/>
        <v>0</v>
      </c>
    </row>
    <row r="293" spans="3:30" hidden="1" x14ac:dyDescent="0.25">
      <c r="C293" s="87" t="s">
        <v>293</v>
      </c>
      <c r="D293" s="4" t="s">
        <v>294</v>
      </c>
      <c r="E293" s="4" t="s">
        <v>294</v>
      </c>
      <c r="F293" s="4" t="s">
        <v>36</v>
      </c>
      <c r="G293" s="4" t="s">
        <v>37</v>
      </c>
      <c r="H293" s="4" t="s">
        <v>38</v>
      </c>
      <c r="I293" s="4"/>
      <c r="J293" s="4" t="s">
        <v>73</v>
      </c>
      <c r="K293" s="4"/>
      <c r="L293" s="4" t="s">
        <v>64</v>
      </c>
      <c r="M293" s="4" t="s">
        <v>40</v>
      </c>
      <c r="N293" s="4" t="s">
        <v>41</v>
      </c>
      <c r="O293" s="4" t="s">
        <v>293</v>
      </c>
      <c r="P293" s="4" t="s">
        <v>42</v>
      </c>
      <c r="Q293" s="50" t="s">
        <v>43</v>
      </c>
      <c r="R293" s="50"/>
      <c r="S293" s="50">
        <v>0</v>
      </c>
      <c r="T293" s="4" t="s">
        <v>43</v>
      </c>
      <c r="U293" s="4" t="s">
        <v>43</v>
      </c>
      <c r="AD293" s="91">
        <f t="shared" si="5"/>
        <v>0</v>
      </c>
    </row>
    <row r="294" spans="3:30" hidden="1" x14ac:dyDescent="0.25">
      <c r="C294" s="87" t="s">
        <v>295</v>
      </c>
      <c r="D294" s="4" t="s">
        <v>296</v>
      </c>
      <c r="E294" s="4" t="s">
        <v>297</v>
      </c>
      <c r="F294" s="4" t="s">
        <v>36</v>
      </c>
      <c r="G294" s="4" t="s">
        <v>37</v>
      </c>
      <c r="H294" s="4" t="s">
        <v>38</v>
      </c>
      <c r="I294" s="4"/>
      <c r="J294" s="4" t="s">
        <v>94</v>
      </c>
      <c r="K294" s="4"/>
      <c r="L294" s="4" t="s">
        <v>64</v>
      </c>
      <c r="M294" s="4" t="s">
        <v>40</v>
      </c>
      <c r="N294" s="4" t="s">
        <v>41</v>
      </c>
      <c r="O294" s="4" t="s">
        <v>295</v>
      </c>
      <c r="P294" s="4" t="s">
        <v>42</v>
      </c>
      <c r="Q294" s="50" t="s">
        <v>43</v>
      </c>
      <c r="R294" s="50"/>
      <c r="S294" s="50">
        <v>0</v>
      </c>
      <c r="T294" s="4" t="s">
        <v>43</v>
      </c>
      <c r="U294" s="4" t="s">
        <v>43</v>
      </c>
      <c r="AD294" s="91">
        <f t="shared" si="5"/>
        <v>0</v>
      </c>
    </row>
    <row r="295" spans="3:30" hidden="1" x14ac:dyDescent="0.25">
      <c r="C295" s="87" t="s">
        <v>298</v>
      </c>
      <c r="D295" s="4" t="s">
        <v>299</v>
      </c>
      <c r="E295" s="4" t="s">
        <v>300</v>
      </c>
      <c r="F295" s="4" t="s">
        <v>36</v>
      </c>
      <c r="G295" s="4" t="s">
        <v>37</v>
      </c>
      <c r="H295" s="4" t="s">
        <v>38</v>
      </c>
      <c r="I295" s="4"/>
      <c r="J295" s="4" t="s">
        <v>58</v>
      </c>
      <c r="K295" s="4"/>
      <c r="L295" s="4" t="s">
        <v>59</v>
      </c>
      <c r="M295" s="4" t="s">
        <v>40</v>
      </c>
      <c r="N295" s="4" t="s">
        <v>41</v>
      </c>
      <c r="O295" s="4" t="s">
        <v>298</v>
      </c>
      <c r="P295" s="4" t="s">
        <v>42</v>
      </c>
      <c r="Q295" s="50" t="s">
        <v>43</v>
      </c>
      <c r="R295" s="50"/>
      <c r="S295" s="50">
        <v>0</v>
      </c>
      <c r="T295" s="4" t="s">
        <v>43</v>
      </c>
      <c r="U295" s="4" t="s">
        <v>43</v>
      </c>
      <c r="AD295" s="91">
        <f t="shared" si="5"/>
        <v>0</v>
      </c>
    </row>
    <row r="296" spans="3:30" hidden="1" x14ac:dyDescent="0.25">
      <c r="C296" s="87" t="s">
        <v>794</v>
      </c>
      <c r="D296" s="4" t="s">
        <v>795</v>
      </c>
      <c r="E296" s="4" t="s">
        <v>795</v>
      </c>
      <c r="F296" s="4">
        <v>0</v>
      </c>
      <c r="G296" s="4" t="s">
        <v>37</v>
      </c>
      <c r="H296" s="4" t="s">
        <v>46</v>
      </c>
      <c r="I296" s="4" t="s">
        <v>421</v>
      </c>
      <c r="J296" s="4" t="s">
        <v>89</v>
      </c>
      <c r="K296" s="4"/>
      <c r="L296" s="4" t="s">
        <v>109</v>
      </c>
      <c r="M296" s="4" t="s">
        <v>91</v>
      </c>
      <c r="N296" s="4" t="s">
        <v>41</v>
      </c>
      <c r="O296" s="4" t="s">
        <v>794</v>
      </c>
      <c r="P296" s="4" t="s">
        <v>42</v>
      </c>
      <c r="Q296" s="50" t="s">
        <v>43</v>
      </c>
      <c r="R296" s="50"/>
      <c r="S296" s="50" t="s">
        <v>772</v>
      </c>
      <c r="T296" s="4" t="s">
        <v>43</v>
      </c>
      <c r="U296" s="4" t="s">
        <v>43</v>
      </c>
      <c r="AD296" s="91">
        <f t="shared" si="5"/>
        <v>0</v>
      </c>
    </row>
    <row r="297" spans="3:30" hidden="1" x14ac:dyDescent="0.25">
      <c r="C297" s="87" t="s">
        <v>634</v>
      </c>
      <c r="D297" s="4" t="s">
        <v>635</v>
      </c>
      <c r="E297" s="4" t="s">
        <v>635</v>
      </c>
      <c r="F297" s="93">
        <v>6</v>
      </c>
      <c r="G297" s="4" t="s">
        <v>376</v>
      </c>
      <c r="H297" s="4" t="s">
        <v>46</v>
      </c>
      <c r="I297" s="4" t="s">
        <v>421</v>
      </c>
      <c r="J297" s="4" t="s">
        <v>50</v>
      </c>
      <c r="K297" s="4" t="s">
        <v>43</v>
      </c>
      <c r="L297" s="4" t="s">
        <v>59</v>
      </c>
      <c r="M297" s="4" t="s">
        <v>40</v>
      </c>
      <c r="N297" s="4" t="s">
        <v>422</v>
      </c>
      <c r="O297" s="4" t="s">
        <v>634</v>
      </c>
      <c r="P297" s="4" t="s">
        <v>42</v>
      </c>
      <c r="Q297" s="50" t="s">
        <v>43</v>
      </c>
      <c r="R297" s="50"/>
      <c r="S297" s="50" t="s">
        <v>597</v>
      </c>
      <c r="T297" s="4" t="s">
        <v>43</v>
      </c>
      <c r="U297" s="4" t="s">
        <v>43</v>
      </c>
      <c r="W297" s="48">
        <v>1</v>
      </c>
      <c r="X297" s="48">
        <v>1</v>
      </c>
      <c r="Y297" s="48">
        <v>4</v>
      </c>
      <c r="AD297" s="91">
        <f t="shared" si="5"/>
        <v>6</v>
      </c>
    </row>
    <row r="298" spans="3:30" hidden="1" x14ac:dyDescent="0.25">
      <c r="C298" s="87" t="s">
        <v>733</v>
      </c>
      <c r="D298" s="4" t="s">
        <v>734</v>
      </c>
      <c r="E298" s="4" t="s">
        <v>735</v>
      </c>
      <c r="F298" s="4">
        <v>5</v>
      </c>
      <c r="G298" s="4" t="s">
        <v>376</v>
      </c>
      <c r="H298" s="4" t="s">
        <v>46</v>
      </c>
      <c r="I298" s="4" t="s">
        <v>421</v>
      </c>
      <c r="J298" s="4" t="s">
        <v>84</v>
      </c>
      <c r="K298" s="4" t="s">
        <v>440</v>
      </c>
      <c r="L298" s="4" t="s">
        <v>54</v>
      </c>
      <c r="M298" s="4" t="s">
        <v>55</v>
      </c>
      <c r="N298" s="4" t="s">
        <v>653</v>
      </c>
      <c r="O298" s="4" t="s">
        <v>733</v>
      </c>
      <c r="P298" s="4" t="s">
        <v>42</v>
      </c>
      <c r="Q298" s="50" t="s">
        <v>43</v>
      </c>
      <c r="R298" s="50"/>
      <c r="S298" s="50" t="s">
        <v>702</v>
      </c>
      <c r="T298" s="4" t="s">
        <v>43</v>
      </c>
      <c r="U298" s="4" t="s">
        <v>43</v>
      </c>
      <c r="W298" s="48">
        <v>1</v>
      </c>
      <c r="X298" s="48">
        <v>2</v>
      </c>
      <c r="Y298" s="48">
        <v>2</v>
      </c>
      <c r="AD298" s="91">
        <f t="shared" si="5"/>
        <v>5</v>
      </c>
    </row>
    <row r="299" spans="3:30" hidden="1" x14ac:dyDescent="0.25">
      <c r="C299" s="87" t="s">
        <v>301</v>
      </c>
      <c r="D299" s="4" t="s">
        <v>302</v>
      </c>
      <c r="E299" s="4" t="s">
        <v>303</v>
      </c>
      <c r="F299" s="4" t="s">
        <v>36</v>
      </c>
      <c r="G299" s="4" t="s">
        <v>37</v>
      </c>
      <c r="H299" s="4" t="s">
        <v>38</v>
      </c>
      <c r="I299" s="4"/>
      <c r="J299" s="4" t="s">
        <v>132</v>
      </c>
      <c r="K299" s="4"/>
      <c r="L299" s="4" t="s">
        <v>133</v>
      </c>
      <c r="M299" s="4" t="s">
        <v>40</v>
      </c>
      <c r="N299" s="4" t="s">
        <v>41</v>
      </c>
      <c r="O299" s="4" t="s">
        <v>301</v>
      </c>
      <c r="P299" s="4" t="s">
        <v>42</v>
      </c>
      <c r="Q299" s="50" t="s">
        <v>43</v>
      </c>
      <c r="R299" s="50"/>
      <c r="S299" s="50">
        <v>0</v>
      </c>
      <c r="T299" s="4" t="s">
        <v>43</v>
      </c>
      <c r="U299" s="4" t="s">
        <v>43</v>
      </c>
      <c r="AD299" s="91">
        <f t="shared" si="5"/>
        <v>0</v>
      </c>
    </row>
    <row r="300" spans="3:30" hidden="1" x14ac:dyDescent="0.25">
      <c r="C300" s="87" t="s">
        <v>505</v>
      </c>
      <c r="D300" s="4" t="s">
        <v>506</v>
      </c>
      <c r="E300" s="4" t="s">
        <v>506</v>
      </c>
      <c r="F300" s="4">
        <v>5</v>
      </c>
      <c r="G300" s="4" t="s">
        <v>376</v>
      </c>
      <c r="H300" s="4" t="s">
        <v>46</v>
      </c>
      <c r="I300" s="4" t="s">
        <v>377</v>
      </c>
      <c r="J300" s="4" t="s">
        <v>466</v>
      </c>
      <c r="K300" s="4" t="s">
        <v>43</v>
      </c>
      <c r="L300" s="4" t="s">
        <v>51</v>
      </c>
      <c r="M300" s="4" t="s">
        <v>40</v>
      </c>
      <c r="N300" s="4" t="s">
        <v>378</v>
      </c>
      <c r="O300" s="4" t="s">
        <v>505</v>
      </c>
      <c r="P300" s="4" t="s">
        <v>42</v>
      </c>
      <c r="Q300" s="50" t="s">
        <v>43</v>
      </c>
      <c r="R300" s="50"/>
      <c r="S300" s="50" t="s">
        <v>467</v>
      </c>
      <c r="T300" s="4" t="s">
        <v>43</v>
      </c>
      <c r="U300" s="4" t="s">
        <v>43</v>
      </c>
      <c r="W300" s="48">
        <v>1</v>
      </c>
      <c r="X300" s="48">
        <v>1</v>
      </c>
      <c r="Y300" s="48">
        <v>3</v>
      </c>
      <c r="AD300" s="91">
        <f t="shared" si="5"/>
        <v>5</v>
      </c>
    </row>
    <row r="301" spans="3:30" hidden="1" x14ac:dyDescent="0.25">
      <c r="C301" s="87" t="s">
        <v>304</v>
      </c>
      <c r="D301" s="4" t="s">
        <v>305</v>
      </c>
      <c r="E301" s="4" t="s">
        <v>305</v>
      </c>
      <c r="F301" s="4" t="s">
        <v>36</v>
      </c>
      <c r="G301" s="4" t="s">
        <v>37</v>
      </c>
      <c r="H301" s="4" t="s">
        <v>81</v>
      </c>
      <c r="I301" s="4"/>
      <c r="J301" s="4" t="s">
        <v>132</v>
      </c>
      <c r="K301" s="4"/>
      <c r="L301" s="4" t="s">
        <v>51</v>
      </c>
      <c r="M301" s="4" t="s">
        <v>40</v>
      </c>
      <c r="N301" s="4" t="s">
        <v>41</v>
      </c>
      <c r="O301" s="4" t="s">
        <v>304</v>
      </c>
      <c r="P301" s="4" t="s">
        <v>42</v>
      </c>
      <c r="Q301" s="50" t="s">
        <v>43</v>
      </c>
      <c r="R301" s="50"/>
      <c r="S301" s="50">
        <v>0</v>
      </c>
      <c r="T301" s="4" t="s">
        <v>43</v>
      </c>
      <c r="U301" s="4" t="s">
        <v>43</v>
      </c>
      <c r="AD301" s="91">
        <f t="shared" si="5"/>
        <v>0</v>
      </c>
    </row>
    <row r="302" spans="3:30" hidden="1" x14ac:dyDescent="0.25">
      <c r="C302" s="87" t="s">
        <v>306</v>
      </c>
      <c r="D302" s="4" t="s">
        <v>307</v>
      </c>
      <c r="E302" s="4" t="s">
        <v>307</v>
      </c>
      <c r="F302" s="4" t="s">
        <v>36</v>
      </c>
      <c r="G302" s="4" t="s">
        <v>37</v>
      </c>
      <c r="H302" s="4" t="s">
        <v>46</v>
      </c>
      <c r="I302" s="4"/>
      <c r="J302" s="4">
        <v>0</v>
      </c>
      <c r="K302" s="4"/>
      <c r="L302" s="4" t="s">
        <v>138</v>
      </c>
      <c r="M302" s="4" t="s">
        <v>40</v>
      </c>
      <c r="N302" s="4" t="s">
        <v>41</v>
      </c>
      <c r="O302" s="4" t="s">
        <v>306</v>
      </c>
      <c r="P302" s="4" t="s">
        <v>42</v>
      </c>
      <c r="Q302" s="50" t="s">
        <v>43</v>
      </c>
      <c r="R302" s="50"/>
      <c r="S302" s="50">
        <v>0</v>
      </c>
      <c r="T302" s="4" t="s">
        <v>43</v>
      </c>
      <c r="U302" s="4" t="s">
        <v>43</v>
      </c>
      <c r="AD302" s="91">
        <f t="shared" si="5"/>
        <v>0</v>
      </c>
    </row>
    <row r="303" spans="3:30" hidden="1" x14ac:dyDescent="0.25">
      <c r="C303" s="87" t="s">
        <v>308</v>
      </c>
      <c r="D303" s="4" t="s">
        <v>309</v>
      </c>
      <c r="E303" s="4" t="s">
        <v>309</v>
      </c>
      <c r="F303" s="4" t="s">
        <v>36</v>
      </c>
      <c r="G303" s="4" t="s">
        <v>37</v>
      </c>
      <c r="H303" s="4" t="s">
        <v>46</v>
      </c>
      <c r="I303" s="4"/>
      <c r="J303" s="4">
        <v>0</v>
      </c>
      <c r="K303" s="4"/>
      <c r="L303" s="4" t="s">
        <v>279</v>
      </c>
      <c r="M303" s="4" t="s">
        <v>55</v>
      </c>
      <c r="N303" s="4" t="s">
        <v>41</v>
      </c>
      <c r="O303" s="4" t="s">
        <v>308</v>
      </c>
      <c r="P303" s="4" t="s">
        <v>42</v>
      </c>
      <c r="Q303" s="50" t="s">
        <v>43</v>
      </c>
      <c r="R303" s="50"/>
      <c r="S303" s="50">
        <v>0</v>
      </c>
      <c r="T303" s="4" t="s">
        <v>43</v>
      </c>
      <c r="U303" s="4" t="s">
        <v>43</v>
      </c>
      <c r="AD303" s="91">
        <f t="shared" si="5"/>
        <v>0</v>
      </c>
    </row>
    <row r="304" spans="3:30" hidden="1" x14ac:dyDescent="0.25">
      <c r="C304" s="87" t="s">
        <v>310</v>
      </c>
      <c r="D304" s="4" t="s">
        <v>311</v>
      </c>
      <c r="E304" s="4" t="s">
        <v>312</v>
      </c>
      <c r="F304" s="4" t="s">
        <v>36</v>
      </c>
      <c r="G304" s="4" t="s">
        <v>37</v>
      </c>
      <c r="H304" s="4" t="s">
        <v>81</v>
      </c>
      <c r="I304" s="4"/>
      <c r="J304" s="4" t="s">
        <v>160</v>
      </c>
      <c r="K304" s="4"/>
      <c r="L304" s="4" t="s">
        <v>64</v>
      </c>
      <c r="M304" s="4" t="s">
        <v>40</v>
      </c>
      <c r="N304" s="4" t="s">
        <v>41</v>
      </c>
      <c r="O304" s="4" t="s">
        <v>310</v>
      </c>
      <c r="P304" s="4" t="s">
        <v>42</v>
      </c>
      <c r="Q304" s="50" t="s">
        <v>43</v>
      </c>
      <c r="R304" s="50"/>
      <c r="S304" s="50">
        <v>0</v>
      </c>
      <c r="T304" s="4" t="s">
        <v>43</v>
      </c>
      <c r="U304" s="4" t="s">
        <v>43</v>
      </c>
      <c r="AD304" s="91">
        <f t="shared" si="5"/>
        <v>0</v>
      </c>
    </row>
    <row r="305" spans="3:30" hidden="1" x14ac:dyDescent="0.25">
      <c r="C305" s="87" t="s">
        <v>968</v>
      </c>
      <c r="D305" s="4" t="s">
        <v>969</v>
      </c>
      <c r="E305" s="4" t="s">
        <v>969</v>
      </c>
      <c r="F305" s="4">
        <v>5</v>
      </c>
      <c r="G305" s="4" t="s">
        <v>376</v>
      </c>
      <c r="H305" s="4" t="s">
        <v>46</v>
      </c>
      <c r="I305" s="4" t="s">
        <v>377</v>
      </c>
      <c r="J305" s="4" t="s">
        <v>160</v>
      </c>
      <c r="K305" s="4" t="s">
        <v>43</v>
      </c>
      <c r="L305" s="4" t="s">
        <v>39</v>
      </c>
      <c r="M305" s="4" t="s">
        <v>40</v>
      </c>
      <c r="N305" s="4" t="s">
        <v>378</v>
      </c>
      <c r="O305" s="4" t="s">
        <v>968</v>
      </c>
      <c r="P305" s="4" t="s">
        <v>42</v>
      </c>
      <c r="Q305" s="50" t="s">
        <v>43</v>
      </c>
      <c r="R305" s="50"/>
      <c r="S305" s="50" t="s">
        <v>931</v>
      </c>
      <c r="T305" s="4" t="s">
        <v>43</v>
      </c>
      <c r="U305" s="4" t="s">
        <v>43</v>
      </c>
      <c r="W305" s="48">
        <v>1</v>
      </c>
      <c r="X305" s="48">
        <v>1</v>
      </c>
      <c r="Y305" s="48">
        <v>3</v>
      </c>
      <c r="AD305" s="91">
        <f t="shared" si="5"/>
        <v>5</v>
      </c>
    </row>
    <row r="306" spans="3:30" hidden="1" x14ac:dyDescent="0.25">
      <c r="C306" s="87" t="s">
        <v>313</v>
      </c>
      <c r="D306" s="4" t="s">
        <v>314</v>
      </c>
      <c r="E306" s="4" t="s">
        <v>314</v>
      </c>
      <c r="F306" s="4" t="s">
        <v>36</v>
      </c>
      <c r="G306" s="4" t="s">
        <v>37</v>
      </c>
      <c r="H306" s="4" t="s">
        <v>81</v>
      </c>
      <c r="I306" s="4"/>
      <c r="J306" s="4">
        <v>0</v>
      </c>
      <c r="K306" s="4"/>
      <c r="L306" s="4" t="s">
        <v>315</v>
      </c>
      <c r="M306" s="4" t="s">
        <v>40</v>
      </c>
      <c r="N306" s="4" t="s">
        <v>41</v>
      </c>
      <c r="O306" s="4" t="s">
        <v>313</v>
      </c>
      <c r="P306" s="4" t="s">
        <v>42</v>
      </c>
      <c r="Q306" s="50" t="s">
        <v>43</v>
      </c>
      <c r="R306" s="50"/>
      <c r="S306" s="50">
        <v>0</v>
      </c>
      <c r="T306" s="4" t="s">
        <v>43</v>
      </c>
      <c r="U306" s="4" t="s">
        <v>43</v>
      </c>
      <c r="AD306" s="91">
        <f t="shared" si="5"/>
        <v>0</v>
      </c>
    </row>
    <row r="307" spans="3:30" hidden="1" x14ac:dyDescent="0.25">
      <c r="C307" s="87" t="s">
        <v>823</v>
      </c>
      <c r="D307" s="4" t="s">
        <v>824</v>
      </c>
      <c r="E307" s="4" t="s">
        <v>824</v>
      </c>
      <c r="F307" s="4">
        <v>5</v>
      </c>
      <c r="G307" s="4" t="s">
        <v>376</v>
      </c>
      <c r="H307" s="4" t="s">
        <v>46</v>
      </c>
      <c r="I307" s="4" t="s">
        <v>421</v>
      </c>
      <c r="J307" s="4" t="s">
        <v>146</v>
      </c>
      <c r="K307" s="4" t="s">
        <v>43</v>
      </c>
      <c r="L307" s="4" t="s">
        <v>59</v>
      </c>
      <c r="M307" s="4" t="s">
        <v>40</v>
      </c>
      <c r="N307" s="4" t="s">
        <v>653</v>
      </c>
      <c r="O307" s="4" t="s">
        <v>823</v>
      </c>
      <c r="P307" s="4" t="s">
        <v>42</v>
      </c>
      <c r="Q307" s="50" t="s">
        <v>43</v>
      </c>
      <c r="R307" s="50"/>
      <c r="S307" s="50" t="s">
        <v>799</v>
      </c>
      <c r="T307" s="4" t="s">
        <v>43</v>
      </c>
      <c r="U307" s="4" t="s">
        <v>43</v>
      </c>
      <c r="W307" s="48">
        <v>1</v>
      </c>
      <c r="X307" s="48">
        <v>1</v>
      </c>
      <c r="Y307" s="48">
        <v>3</v>
      </c>
      <c r="AD307" s="91">
        <f t="shared" si="5"/>
        <v>5</v>
      </c>
    </row>
    <row r="308" spans="3:30" hidden="1" x14ac:dyDescent="0.25">
      <c r="C308" s="87" t="s">
        <v>316</v>
      </c>
      <c r="D308" s="4" t="s">
        <v>317</v>
      </c>
      <c r="E308" s="4" t="s">
        <v>318</v>
      </c>
      <c r="F308" s="4" t="s">
        <v>36</v>
      </c>
      <c r="G308" s="4" t="s">
        <v>37</v>
      </c>
      <c r="H308" s="4" t="s">
        <v>81</v>
      </c>
      <c r="I308" s="4"/>
      <c r="J308" s="4" t="s">
        <v>67</v>
      </c>
      <c r="K308" s="4"/>
      <c r="L308" s="4" t="s">
        <v>59</v>
      </c>
      <c r="M308" s="4" t="s">
        <v>40</v>
      </c>
      <c r="N308" s="4" t="s">
        <v>41</v>
      </c>
      <c r="O308" s="4" t="s">
        <v>316</v>
      </c>
      <c r="P308" s="4" t="s">
        <v>42</v>
      </c>
      <c r="Q308" s="50" t="s">
        <v>43</v>
      </c>
      <c r="R308" s="50"/>
      <c r="S308" s="50">
        <v>0</v>
      </c>
      <c r="T308" s="4" t="s">
        <v>43</v>
      </c>
      <c r="U308" s="4" t="s">
        <v>43</v>
      </c>
      <c r="AD308" s="91">
        <f t="shared" si="5"/>
        <v>0</v>
      </c>
    </row>
    <row r="309" spans="3:30" hidden="1" x14ac:dyDescent="0.25">
      <c r="C309" s="87" t="s">
        <v>319</v>
      </c>
      <c r="D309" s="4" t="s">
        <v>320</v>
      </c>
      <c r="E309" s="4" t="s">
        <v>320</v>
      </c>
      <c r="F309" s="4" t="s">
        <v>36</v>
      </c>
      <c r="G309" s="4" t="s">
        <v>37</v>
      </c>
      <c r="H309" s="4" t="s">
        <v>46</v>
      </c>
      <c r="I309" s="4"/>
      <c r="J309" s="4">
        <v>0</v>
      </c>
      <c r="K309" s="4"/>
      <c r="L309" s="4" t="s">
        <v>97</v>
      </c>
      <c r="M309" s="4" t="s">
        <v>40</v>
      </c>
      <c r="N309" s="4" t="s">
        <v>41</v>
      </c>
      <c r="O309" s="4" t="s">
        <v>319</v>
      </c>
      <c r="P309" s="4" t="s">
        <v>42</v>
      </c>
      <c r="Q309" s="50" t="s">
        <v>43</v>
      </c>
      <c r="R309" s="50"/>
      <c r="S309" s="50">
        <v>0</v>
      </c>
      <c r="T309" s="4" t="s">
        <v>43</v>
      </c>
      <c r="U309" s="4" t="s">
        <v>43</v>
      </c>
      <c r="AD309" s="91">
        <f t="shared" si="5"/>
        <v>0</v>
      </c>
    </row>
    <row r="310" spans="3:30" hidden="1" x14ac:dyDescent="0.25">
      <c r="C310" s="87" t="s">
        <v>321</v>
      </c>
      <c r="D310" s="4" t="s">
        <v>322</v>
      </c>
      <c r="E310" s="4" t="s">
        <v>322</v>
      </c>
      <c r="F310" s="4" t="s">
        <v>36</v>
      </c>
      <c r="G310" s="4" t="s">
        <v>37</v>
      </c>
      <c r="H310" s="4" t="s">
        <v>81</v>
      </c>
      <c r="I310" s="4"/>
      <c r="J310" s="4" t="s">
        <v>50</v>
      </c>
      <c r="K310" s="4"/>
      <c r="L310" s="4" t="s">
        <v>51</v>
      </c>
      <c r="M310" s="4" t="s">
        <v>40</v>
      </c>
      <c r="N310" s="4" t="s">
        <v>41</v>
      </c>
      <c r="O310" s="4" t="s">
        <v>321</v>
      </c>
      <c r="P310" s="4" t="s">
        <v>42</v>
      </c>
      <c r="Q310" s="50" t="s">
        <v>43</v>
      </c>
      <c r="R310" s="50"/>
      <c r="S310" s="50">
        <v>0</v>
      </c>
      <c r="T310" s="4" t="s">
        <v>43</v>
      </c>
      <c r="U310" s="4" t="s">
        <v>43</v>
      </c>
      <c r="AD310" s="91">
        <f t="shared" si="5"/>
        <v>0</v>
      </c>
    </row>
    <row r="311" spans="3:30" hidden="1" x14ac:dyDescent="0.25">
      <c r="C311" s="87" t="s">
        <v>457</v>
      </c>
      <c r="D311" s="4" t="s">
        <v>458</v>
      </c>
      <c r="E311" s="4" t="s">
        <v>458</v>
      </c>
      <c r="F311" s="4">
        <v>5</v>
      </c>
      <c r="G311" s="4" t="s">
        <v>376</v>
      </c>
      <c r="H311" s="4" t="s">
        <v>81</v>
      </c>
      <c r="I311" s="4" t="s">
        <v>421</v>
      </c>
      <c r="J311" s="4" t="s">
        <v>94</v>
      </c>
      <c r="K311" s="4" t="s">
        <v>43</v>
      </c>
      <c r="L311" s="4" t="s">
        <v>205</v>
      </c>
      <c r="M311" s="4" t="s">
        <v>40</v>
      </c>
      <c r="N311" s="4" t="s">
        <v>422</v>
      </c>
      <c r="O311" s="4" t="s">
        <v>457</v>
      </c>
      <c r="P311" s="4" t="s">
        <v>42</v>
      </c>
      <c r="Q311" s="50" t="s">
        <v>43</v>
      </c>
      <c r="R311" s="50"/>
      <c r="S311" s="50" t="s">
        <v>423</v>
      </c>
      <c r="T311" s="4" t="s">
        <v>43</v>
      </c>
      <c r="U311" s="4" t="s">
        <v>43</v>
      </c>
      <c r="W311" s="48">
        <v>1</v>
      </c>
      <c r="X311" s="48">
        <v>1</v>
      </c>
      <c r="Y311" s="48">
        <v>3</v>
      </c>
      <c r="AD311" s="91">
        <f t="shared" si="5"/>
        <v>5</v>
      </c>
    </row>
    <row r="312" spans="3:30" hidden="1" x14ac:dyDescent="0.25">
      <c r="C312" s="87" t="s">
        <v>323</v>
      </c>
      <c r="D312" s="4" t="s">
        <v>324</v>
      </c>
      <c r="E312" s="4" t="s">
        <v>324</v>
      </c>
      <c r="F312" s="4" t="s">
        <v>36</v>
      </c>
      <c r="G312" s="4" t="s">
        <v>37</v>
      </c>
      <c r="H312" s="4" t="s">
        <v>46</v>
      </c>
      <c r="I312" s="4"/>
      <c r="J312" s="4" t="s">
        <v>58</v>
      </c>
      <c r="K312" s="4"/>
      <c r="L312" s="4" t="s">
        <v>138</v>
      </c>
      <c r="M312" s="4" t="s">
        <v>40</v>
      </c>
      <c r="N312" s="4" t="s">
        <v>41</v>
      </c>
      <c r="O312" s="4" t="s">
        <v>323</v>
      </c>
      <c r="P312" s="4" t="s">
        <v>42</v>
      </c>
      <c r="Q312" s="50" t="s">
        <v>43</v>
      </c>
      <c r="R312" s="50"/>
      <c r="S312" s="50">
        <v>0</v>
      </c>
      <c r="T312" s="4" t="s">
        <v>43</v>
      </c>
      <c r="U312" s="4" t="s">
        <v>43</v>
      </c>
      <c r="AD312" s="91">
        <f t="shared" si="5"/>
        <v>0</v>
      </c>
    </row>
    <row r="313" spans="3:30" hidden="1" x14ac:dyDescent="0.25">
      <c r="C313" s="87" t="s">
        <v>325</v>
      </c>
      <c r="D313" s="4" t="s">
        <v>326</v>
      </c>
      <c r="E313" s="4" t="s">
        <v>326</v>
      </c>
      <c r="F313" s="4" t="s">
        <v>36</v>
      </c>
      <c r="G313" s="4" t="s">
        <v>37</v>
      </c>
      <c r="H313" s="4" t="s">
        <v>46</v>
      </c>
      <c r="I313" s="4"/>
      <c r="J313" s="4" t="s">
        <v>67</v>
      </c>
      <c r="K313" s="4"/>
      <c r="L313" s="4" t="s">
        <v>59</v>
      </c>
      <c r="M313" s="4" t="s">
        <v>40</v>
      </c>
      <c r="N313" s="4" t="s">
        <v>41</v>
      </c>
      <c r="O313" s="4" t="s">
        <v>325</v>
      </c>
      <c r="P313" s="4" t="s">
        <v>42</v>
      </c>
      <c r="Q313" s="50" t="s">
        <v>43</v>
      </c>
      <c r="R313" s="50"/>
      <c r="S313" s="50">
        <v>0</v>
      </c>
      <c r="T313" s="4" t="s">
        <v>43</v>
      </c>
      <c r="U313" s="4" t="s">
        <v>43</v>
      </c>
      <c r="AD313" s="91">
        <f t="shared" si="5"/>
        <v>0</v>
      </c>
    </row>
    <row r="314" spans="3:30" hidden="1" x14ac:dyDescent="0.25">
      <c r="C314" s="87" t="s">
        <v>459</v>
      </c>
      <c r="D314" s="4" t="s">
        <v>460</v>
      </c>
      <c r="E314" s="4" t="s">
        <v>460</v>
      </c>
      <c r="F314" s="4">
        <v>5</v>
      </c>
      <c r="G314" s="4" t="s">
        <v>376</v>
      </c>
      <c r="H314" s="4" t="s">
        <v>46</v>
      </c>
      <c r="I314" s="4" t="s">
        <v>421</v>
      </c>
      <c r="J314" s="4" t="s">
        <v>94</v>
      </c>
      <c r="K314" s="4" t="s">
        <v>43</v>
      </c>
      <c r="L314" s="4" t="s">
        <v>64</v>
      </c>
      <c r="M314" s="4" t="s">
        <v>40</v>
      </c>
      <c r="N314" s="4" t="s">
        <v>422</v>
      </c>
      <c r="O314" s="4" t="s">
        <v>459</v>
      </c>
      <c r="P314" s="4" t="s">
        <v>42</v>
      </c>
      <c r="Q314" s="50" t="s">
        <v>43</v>
      </c>
      <c r="R314" s="50"/>
      <c r="S314" s="50" t="s">
        <v>423</v>
      </c>
      <c r="T314" s="4" t="s">
        <v>43</v>
      </c>
      <c r="U314" s="4" t="s">
        <v>43</v>
      </c>
      <c r="W314" s="48">
        <v>1</v>
      </c>
      <c r="X314" s="48">
        <v>1</v>
      </c>
      <c r="Y314" s="48">
        <v>3</v>
      </c>
      <c r="AD314" s="91">
        <f t="shared" si="5"/>
        <v>5</v>
      </c>
    </row>
    <row r="315" spans="3:30" hidden="1" x14ac:dyDescent="0.25">
      <c r="C315" s="87" t="s">
        <v>919</v>
      </c>
      <c r="D315" s="4" t="s">
        <v>920</v>
      </c>
      <c r="E315" s="4" t="s">
        <v>920</v>
      </c>
      <c r="F315" s="4">
        <v>5</v>
      </c>
      <c r="G315" s="4" t="s">
        <v>376</v>
      </c>
      <c r="H315" s="4" t="s">
        <v>81</v>
      </c>
      <c r="I315" s="4" t="s">
        <v>421</v>
      </c>
      <c r="J315" s="4" t="s">
        <v>73</v>
      </c>
      <c r="K315" s="4" t="s">
        <v>43</v>
      </c>
      <c r="L315" s="4" t="s">
        <v>315</v>
      </c>
      <c r="M315" s="4" t="s">
        <v>40</v>
      </c>
      <c r="N315" s="4" t="s">
        <v>514</v>
      </c>
      <c r="O315" s="4" t="s">
        <v>919</v>
      </c>
      <c r="P315" s="4" t="s">
        <v>42</v>
      </c>
      <c r="Q315" s="50" t="s">
        <v>43</v>
      </c>
      <c r="R315" s="50"/>
      <c r="S315" s="50" t="s">
        <v>886</v>
      </c>
      <c r="T315" s="4" t="s">
        <v>43</v>
      </c>
      <c r="U315" s="4" t="s">
        <v>43</v>
      </c>
      <c r="W315" s="48">
        <v>1</v>
      </c>
      <c r="X315" s="48">
        <v>1</v>
      </c>
      <c r="Y315" s="48">
        <v>3</v>
      </c>
      <c r="AD315" s="91">
        <f t="shared" si="5"/>
        <v>5</v>
      </c>
    </row>
    <row r="316" spans="3:30" hidden="1" x14ac:dyDescent="0.25">
      <c r="C316" s="87" t="s">
        <v>636</v>
      </c>
      <c r="D316" s="4" t="s">
        <v>637</v>
      </c>
      <c r="E316" s="4" t="s">
        <v>638</v>
      </c>
      <c r="F316" s="93">
        <v>6</v>
      </c>
      <c r="G316" s="4" t="s">
        <v>376</v>
      </c>
      <c r="H316" s="4" t="s">
        <v>46</v>
      </c>
      <c r="I316" s="4" t="s">
        <v>421</v>
      </c>
      <c r="J316" s="4" t="s">
        <v>50</v>
      </c>
      <c r="K316" s="4" t="s">
        <v>43</v>
      </c>
      <c r="L316" s="4" t="s">
        <v>315</v>
      </c>
      <c r="M316" s="4" t="s">
        <v>40</v>
      </c>
      <c r="N316" s="4" t="s">
        <v>422</v>
      </c>
      <c r="O316" s="4" t="s">
        <v>636</v>
      </c>
      <c r="P316" s="4" t="s">
        <v>42</v>
      </c>
      <c r="Q316" s="50" t="s">
        <v>43</v>
      </c>
      <c r="R316" s="50"/>
      <c r="S316" s="50" t="s">
        <v>597</v>
      </c>
      <c r="T316" s="4" t="s">
        <v>43</v>
      </c>
      <c r="U316" s="4" t="s">
        <v>43</v>
      </c>
      <c r="W316" s="48">
        <v>1</v>
      </c>
      <c r="X316" s="48">
        <v>2</v>
      </c>
      <c r="Y316" s="48">
        <v>3</v>
      </c>
      <c r="AD316" s="91">
        <f t="shared" si="5"/>
        <v>6</v>
      </c>
    </row>
    <row r="317" spans="3:30" hidden="1" x14ac:dyDescent="0.25">
      <c r="C317" s="87" t="s">
        <v>461</v>
      </c>
      <c r="D317" s="4" t="s">
        <v>462</v>
      </c>
      <c r="E317" s="4" t="s">
        <v>462</v>
      </c>
      <c r="F317" s="4">
        <v>5</v>
      </c>
      <c r="G317" s="4" t="s">
        <v>376</v>
      </c>
      <c r="H317" s="4" t="s">
        <v>46</v>
      </c>
      <c r="I317" s="4" t="s">
        <v>421</v>
      </c>
      <c r="J317" s="4" t="s">
        <v>94</v>
      </c>
      <c r="K317" s="4" t="s">
        <v>43</v>
      </c>
      <c r="L317" s="4" t="s">
        <v>64</v>
      </c>
      <c r="M317" s="4" t="s">
        <v>40</v>
      </c>
      <c r="N317" s="4" t="s">
        <v>422</v>
      </c>
      <c r="O317" s="4" t="s">
        <v>461</v>
      </c>
      <c r="P317" s="4" t="s">
        <v>42</v>
      </c>
      <c r="Q317" s="50" t="s">
        <v>43</v>
      </c>
      <c r="R317" s="50"/>
      <c r="S317" s="50" t="s">
        <v>423</v>
      </c>
      <c r="T317" s="4" t="s">
        <v>43</v>
      </c>
      <c r="U317" s="4" t="s">
        <v>43</v>
      </c>
      <c r="W317" s="48">
        <v>1</v>
      </c>
      <c r="X317" s="48">
        <v>1</v>
      </c>
      <c r="Y317" s="48">
        <v>3</v>
      </c>
      <c r="AD317" s="91">
        <f t="shared" si="5"/>
        <v>5</v>
      </c>
    </row>
    <row r="318" spans="3:30" hidden="1" x14ac:dyDescent="0.25">
      <c r="C318" s="87" t="s">
        <v>639</v>
      </c>
      <c r="D318" s="4" t="s">
        <v>640</v>
      </c>
      <c r="E318" s="4" t="s">
        <v>641</v>
      </c>
      <c r="F318" s="4">
        <v>5</v>
      </c>
      <c r="G318" s="4" t="s">
        <v>376</v>
      </c>
      <c r="H318" s="4" t="s">
        <v>81</v>
      </c>
      <c r="I318" s="4" t="s">
        <v>421</v>
      </c>
      <c r="J318" s="4" t="s">
        <v>50</v>
      </c>
      <c r="K318" s="4" t="s">
        <v>43</v>
      </c>
      <c r="L318" s="4" t="s">
        <v>64</v>
      </c>
      <c r="M318" s="4" t="s">
        <v>40</v>
      </c>
      <c r="N318" s="4" t="s">
        <v>422</v>
      </c>
      <c r="O318" s="4" t="s">
        <v>639</v>
      </c>
      <c r="P318" s="4" t="s">
        <v>42</v>
      </c>
      <c r="Q318" s="50" t="s">
        <v>43</v>
      </c>
      <c r="R318" s="50"/>
      <c r="S318" s="50" t="s">
        <v>597</v>
      </c>
      <c r="T318" s="4" t="s">
        <v>43</v>
      </c>
      <c r="U318" s="4" t="s">
        <v>43</v>
      </c>
      <c r="W318" s="48">
        <v>1</v>
      </c>
      <c r="X318" s="48">
        <v>1</v>
      </c>
      <c r="Y318" s="48">
        <v>3</v>
      </c>
      <c r="AD318" s="91">
        <f t="shared" si="5"/>
        <v>5</v>
      </c>
    </row>
    <row r="319" spans="3:30" hidden="1" x14ac:dyDescent="0.25">
      <c r="C319" s="87" t="s">
        <v>327</v>
      </c>
      <c r="D319" s="4" t="s">
        <v>328</v>
      </c>
      <c r="E319" s="4" t="s">
        <v>328</v>
      </c>
      <c r="F319" s="4" t="s">
        <v>36</v>
      </c>
      <c r="G319" s="4" t="s">
        <v>37</v>
      </c>
      <c r="H319" s="4" t="s">
        <v>81</v>
      </c>
      <c r="I319" s="4"/>
      <c r="J319" s="4" t="s">
        <v>63</v>
      </c>
      <c r="K319" s="4"/>
      <c r="L319" s="4" t="s">
        <v>138</v>
      </c>
      <c r="M319" s="4" t="s">
        <v>40</v>
      </c>
      <c r="N319" s="4" t="s">
        <v>41</v>
      </c>
      <c r="O319" s="4" t="s">
        <v>327</v>
      </c>
      <c r="P319" s="4" t="s">
        <v>42</v>
      </c>
      <c r="Q319" s="50" t="s">
        <v>43</v>
      </c>
      <c r="R319" s="50"/>
      <c r="S319" s="50">
        <v>0</v>
      </c>
      <c r="T319" s="4" t="s">
        <v>43</v>
      </c>
      <c r="U319" s="4" t="s">
        <v>43</v>
      </c>
      <c r="AD319" s="91">
        <f t="shared" si="5"/>
        <v>0</v>
      </c>
    </row>
    <row r="320" spans="3:30" hidden="1" x14ac:dyDescent="0.25">
      <c r="C320" s="87" t="s">
        <v>329</v>
      </c>
      <c r="D320" s="4" t="s">
        <v>330</v>
      </c>
      <c r="E320" s="4" t="s">
        <v>330</v>
      </c>
      <c r="F320" s="4" t="s">
        <v>36</v>
      </c>
      <c r="G320" s="4" t="s">
        <v>37</v>
      </c>
      <c r="H320" s="4" t="s">
        <v>46</v>
      </c>
      <c r="I320" s="4"/>
      <c r="J320" s="4" t="s">
        <v>331</v>
      </c>
      <c r="K320" s="4"/>
      <c r="L320" s="4" t="s">
        <v>138</v>
      </c>
      <c r="M320" s="4" t="s">
        <v>40</v>
      </c>
      <c r="N320" s="4" t="s">
        <v>41</v>
      </c>
      <c r="O320" s="4" t="s">
        <v>329</v>
      </c>
      <c r="P320" s="4" t="s">
        <v>42</v>
      </c>
      <c r="Q320" s="50" t="s">
        <v>43</v>
      </c>
      <c r="R320" s="50"/>
      <c r="S320" s="50">
        <v>0</v>
      </c>
      <c r="T320" s="4" t="s">
        <v>43</v>
      </c>
      <c r="U320" s="4" t="s">
        <v>43</v>
      </c>
      <c r="AD320" s="91">
        <f t="shared" si="5"/>
        <v>0</v>
      </c>
    </row>
    <row r="321" spans="3:30" hidden="1" x14ac:dyDescent="0.25">
      <c r="C321" s="87" t="s">
        <v>332</v>
      </c>
      <c r="D321" s="4" t="s">
        <v>333</v>
      </c>
      <c r="E321" s="4" t="s">
        <v>333</v>
      </c>
      <c r="F321" s="4" t="s">
        <v>36</v>
      </c>
      <c r="G321" s="4" t="s">
        <v>37</v>
      </c>
      <c r="H321" s="4" t="s">
        <v>81</v>
      </c>
      <c r="I321" s="4"/>
      <c r="J321" s="4">
        <v>0</v>
      </c>
      <c r="K321" s="4"/>
      <c r="L321" s="4" t="s">
        <v>59</v>
      </c>
      <c r="M321" s="4" t="s">
        <v>40</v>
      </c>
      <c r="N321" s="4" t="s">
        <v>41</v>
      </c>
      <c r="O321" s="4" t="s">
        <v>332</v>
      </c>
      <c r="P321" s="4" t="s">
        <v>42</v>
      </c>
      <c r="Q321" s="50" t="s">
        <v>43</v>
      </c>
      <c r="R321" s="50"/>
      <c r="S321" s="50">
        <v>0</v>
      </c>
      <c r="T321" s="4" t="s">
        <v>43</v>
      </c>
      <c r="U321" s="4" t="s">
        <v>43</v>
      </c>
      <c r="AD321" s="91">
        <f t="shared" si="5"/>
        <v>0</v>
      </c>
    </row>
    <row r="322" spans="3:30" hidden="1" x14ac:dyDescent="0.25">
      <c r="C322" s="87" t="s">
        <v>334</v>
      </c>
      <c r="D322" s="4" t="s">
        <v>335</v>
      </c>
      <c r="E322" s="4" t="s">
        <v>336</v>
      </c>
      <c r="F322" s="4" t="s">
        <v>36</v>
      </c>
      <c r="G322" s="4" t="s">
        <v>37</v>
      </c>
      <c r="H322" s="4" t="s">
        <v>46</v>
      </c>
      <c r="I322" s="4"/>
      <c r="J322" s="4">
        <v>0</v>
      </c>
      <c r="K322" s="4"/>
      <c r="L322" s="4" t="s">
        <v>47</v>
      </c>
      <c r="M322" s="4" t="s">
        <v>40</v>
      </c>
      <c r="N322" s="4" t="s">
        <v>41</v>
      </c>
      <c r="O322" s="4" t="s">
        <v>334</v>
      </c>
      <c r="P322" s="4" t="s">
        <v>42</v>
      </c>
      <c r="Q322" s="50" t="s">
        <v>43</v>
      </c>
      <c r="R322" s="50"/>
      <c r="S322" s="50">
        <v>0</v>
      </c>
      <c r="T322" s="4" t="s">
        <v>43</v>
      </c>
      <c r="U322" s="4" t="s">
        <v>43</v>
      </c>
      <c r="AD322" s="91">
        <f t="shared" si="5"/>
        <v>0</v>
      </c>
    </row>
    <row r="323" spans="3:30" hidden="1" x14ac:dyDescent="0.25">
      <c r="C323" s="87" t="s">
        <v>507</v>
      </c>
      <c r="D323" s="4" t="s">
        <v>508</v>
      </c>
      <c r="E323" s="4" t="s">
        <v>508</v>
      </c>
      <c r="F323" s="4">
        <v>5</v>
      </c>
      <c r="G323" s="4" t="s">
        <v>376</v>
      </c>
      <c r="H323" s="4" t="s">
        <v>46</v>
      </c>
      <c r="I323" s="4" t="s">
        <v>377</v>
      </c>
      <c r="J323" s="4" t="s">
        <v>466</v>
      </c>
      <c r="K323" s="4" t="s">
        <v>43</v>
      </c>
      <c r="L323" s="4" t="s">
        <v>51</v>
      </c>
      <c r="M323" s="4" t="s">
        <v>40</v>
      </c>
      <c r="N323" s="4" t="s">
        <v>378</v>
      </c>
      <c r="O323" s="4" t="s">
        <v>507</v>
      </c>
      <c r="P323" s="4" t="s">
        <v>42</v>
      </c>
      <c r="Q323" s="50" t="s">
        <v>43</v>
      </c>
      <c r="R323" s="50"/>
      <c r="S323" s="50" t="s">
        <v>467</v>
      </c>
      <c r="T323" s="4" t="s">
        <v>43</v>
      </c>
      <c r="U323" s="4" t="s">
        <v>43</v>
      </c>
      <c r="W323" s="48">
        <v>1</v>
      </c>
      <c r="X323" s="48">
        <v>1</v>
      </c>
      <c r="Y323" s="48">
        <v>3</v>
      </c>
      <c r="AD323" s="91">
        <f t="shared" si="5"/>
        <v>5</v>
      </c>
    </row>
    <row r="324" spans="3:30" hidden="1" x14ac:dyDescent="0.25">
      <c r="C324" s="87" t="s">
        <v>417</v>
      </c>
      <c r="D324" s="4" t="s">
        <v>418</v>
      </c>
      <c r="E324" s="4" t="s">
        <v>418</v>
      </c>
      <c r="F324" s="4">
        <v>5</v>
      </c>
      <c r="G324" s="4" t="s">
        <v>376</v>
      </c>
      <c r="H324" s="4" t="s">
        <v>46</v>
      </c>
      <c r="I324" s="4" t="s">
        <v>377</v>
      </c>
      <c r="J324" s="4" t="s">
        <v>63</v>
      </c>
      <c r="K324" s="4" t="s">
        <v>43</v>
      </c>
      <c r="L324" s="4" t="s">
        <v>138</v>
      </c>
      <c r="M324" s="4" t="s">
        <v>40</v>
      </c>
      <c r="N324" s="4" t="s">
        <v>378</v>
      </c>
      <c r="O324" s="4" t="s">
        <v>417</v>
      </c>
      <c r="P324" s="4" t="s">
        <v>42</v>
      </c>
      <c r="Q324" s="50" t="s">
        <v>43</v>
      </c>
      <c r="R324" s="50"/>
      <c r="S324" s="50" t="s">
        <v>380</v>
      </c>
      <c r="T324" s="4" t="s">
        <v>43</v>
      </c>
      <c r="U324" s="4" t="s">
        <v>43</v>
      </c>
      <c r="W324" s="48">
        <v>1</v>
      </c>
      <c r="X324" s="48">
        <v>1</v>
      </c>
      <c r="Y324" s="48">
        <v>3</v>
      </c>
      <c r="AD324" s="91">
        <f t="shared" si="5"/>
        <v>5</v>
      </c>
    </row>
    <row r="325" spans="3:30" hidden="1" x14ac:dyDescent="0.25">
      <c r="C325" s="87" t="s">
        <v>337</v>
      </c>
      <c r="D325" s="4" t="s">
        <v>338</v>
      </c>
      <c r="E325" s="4" t="s">
        <v>338</v>
      </c>
      <c r="F325" s="4" t="s">
        <v>36</v>
      </c>
      <c r="G325" s="4" t="s">
        <v>37</v>
      </c>
      <c r="H325" s="4" t="s">
        <v>81</v>
      </c>
      <c r="I325" s="4"/>
      <c r="J325" s="4" t="s">
        <v>89</v>
      </c>
      <c r="K325" s="4"/>
      <c r="L325" s="4" t="s">
        <v>109</v>
      </c>
      <c r="M325" s="4" t="s">
        <v>91</v>
      </c>
      <c r="N325" s="4" t="s">
        <v>41</v>
      </c>
      <c r="O325" s="4" t="s">
        <v>337</v>
      </c>
      <c r="P325" s="4" t="s">
        <v>42</v>
      </c>
      <c r="Q325" s="50" t="s">
        <v>43</v>
      </c>
      <c r="R325" s="50"/>
      <c r="S325" s="50">
        <v>0</v>
      </c>
      <c r="T325" s="4" t="s">
        <v>43</v>
      </c>
      <c r="U325" s="4" t="s">
        <v>43</v>
      </c>
      <c r="AD325" s="91">
        <f t="shared" si="5"/>
        <v>0</v>
      </c>
    </row>
    <row r="326" spans="3:30" hidden="1" x14ac:dyDescent="0.25">
      <c r="C326" s="87" t="s">
        <v>339</v>
      </c>
      <c r="D326" s="4" t="s">
        <v>340</v>
      </c>
      <c r="E326" s="4" t="s">
        <v>341</v>
      </c>
      <c r="F326" s="4" t="s">
        <v>36</v>
      </c>
      <c r="G326" s="4" t="s">
        <v>37</v>
      </c>
      <c r="H326" s="4" t="s">
        <v>46</v>
      </c>
      <c r="I326" s="4"/>
      <c r="J326" s="4">
        <v>0</v>
      </c>
      <c r="K326" s="4"/>
      <c r="L326" s="4" t="s">
        <v>47</v>
      </c>
      <c r="M326" s="4" t="s">
        <v>40</v>
      </c>
      <c r="N326" s="4" t="s">
        <v>41</v>
      </c>
      <c r="O326" s="4" t="s">
        <v>339</v>
      </c>
      <c r="P326" s="4" t="s">
        <v>42</v>
      </c>
      <c r="Q326" s="50" t="s">
        <v>43</v>
      </c>
      <c r="R326" s="50"/>
      <c r="S326" s="50">
        <v>0</v>
      </c>
      <c r="T326" s="4" t="s">
        <v>43</v>
      </c>
      <c r="U326" s="4" t="s">
        <v>43</v>
      </c>
      <c r="AD326" s="91">
        <f t="shared" si="5"/>
        <v>0</v>
      </c>
    </row>
    <row r="327" spans="3:30" hidden="1" x14ac:dyDescent="0.25">
      <c r="C327" s="87" t="s">
        <v>825</v>
      </c>
      <c r="D327" s="4" t="s">
        <v>826</v>
      </c>
      <c r="E327" s="4" t="s">
        <v>827</v>
      </c>
      <c r="F327" s="4">
        <v>5</v>
      </c>
      <c r="G327" s="4" t="s">
        <v>376</v>
      </c>
      <c r="H327" s="4" t="s">
        <v>81</v>
      </c>
      <c r="I327" s="4" t="s">
        <v>421</v>
      </c>
      <c r="J327" s="4" t="s">
        <v>146</v>
      </c>
      <c r="K327" s="4" t="s">
        <v>43</v>
      </c>
      <c r="L327" s="4" t="s">
        <v>59</v>
      </c>
      <c r="M327" s="4" t="s">
        <v>40</v>
      </c>
      <c r="N327" s="4" t="s">
        <v>653</v>
      </c>
      <c r="O327" s="4" t="s">
        <v>825</v>
      </c>
      <c r="P327" s="4" t="s">
        <v>42</v>
      </c>
      <c r="Q327" s="50" t="s">
        <v>43</v>
      </c>
      <c r="R327" s="50"/>
      <c r="S327" s="50" t="s">
        <v>799</v>
      </c>
      <c r="T327" s="4" t="s">
        <v>43</v>
      </c>
      <c r="U327" s="4" t="s">
        <v>43</v>
      </c>
      <c r="W327" s="48">
        <v>1</v>
      </c>
      <c r="X327" s="48">
        <v>1</v>
      </c>
      <c r="Y327" s="48">
        <v>3</v>
      </c>
      <c r="AD327" s="91">
        <f t="shared" si="5"/>
        <v>5</v>
      </c>
    </row>
    <row r="328" spans="3:30" x14ac:dyDescent="0.25">
      <c r="C328" s="87" t="s">
        <v>828</v>
      </c>
      <c r="D328" s="4" t="s">
        <v>829</v>
      </c>
      <c r="E328" s="4" t="s">
        <v>829</v>
      </c>
      <c r="F328" s="93">
        <v>5.68</v>
      </c>
      <c r="G328" s="4" t="s">
        <v>376</v>
      </c>
      <c r="H328" s="4" t="s">
        <v>46</v>
      </c>
      <c r="I328" s="4" t="s">
        <v>421</v>
      </c>
      <c r="J328" s="4" t="s">
        <v>146</v>
      </c>
      <c r="K328" s="4" t="s">
        <v>43</v>
      </c>
      <c r="L328" s="4" t="s">
        <v>59</v>
      </c>
      <c r="M328" s="4" t="s">
        <v>40</v>
      </c>
      <c r="N328" s="4" t="s">
        <v>653</v>
      </c>
      <c r="O328" s="4" t="s">
        <v>828</v>
      </c>
      <c r="P328" s="4" t="s">
        <v>42</v>
      </c>
      <c r="Q328" s="50" t="s">
        <v>43</v>
      </c>
      <c r="R328" s="50"/>
      <c r="S328" s="50" t="s">
        <v>799</v>
      </c>
      <c r="T328" s="4" t="s">
        <v>43</v>
      </c>
      <c r="U328" s="4" t="s">
        <v>43</v>
      </c>
      <c r="W328" s="48">
        <v>1</v>
      </c>
      <c r="X328" s="48">
        <v>2</v>
      </c>
      <c r="Y328" s="48">
        <v>2</v>
      </c>
      <c r="Z328" s="48">
        <v>1</v>
      </c>
      <c r="AD328" s="91">
        <f t="shared" si="5"/>
        <v>5.6818181818181817</v>
      </c>
    </row>
    <row r="329" spans="3:30" hidden="1" x14ac:dyDescent="0.25">
      <c r="C329" s="87" t="s">
        <v>342</v>
      </c>
      <c r="D329" s="4" t="s">
        <v>343</v>
      </c>
      <c r="E329" s="4" t="s">
        <v>343</v>
      </c>
      <c r="F329" s="4" t="s">
        <v>36</v>
      </c>
      <c r="G329" s="4" t="s">
        <v>37</v>
      </c>
      <c r="H329" s="4" t="s">
        <v>81</v>
      </c>
      <c r="I329" s="4"/>
      <c r="J329" s="4" t="s">
        <v>132</v>
      </c>
      <c r="K329" s="4"/>
      <c r="L329" s="4" t="s">
        <v>51</v>
      </c>
      <c r="M329" s="4" t="s">
        <v>40</v>
      </c>
      <c r="N329" s="4" t="s">
        <v>41</v>
      </c>
      <c r="O329" s="4" t="s">
        <v>342</v>
      </c>
      <c r="P329" s="4" t="s">
        <v>42</v>
      </c>
      <c r="Q329" s="50" t="s">
        <v>43</v>
      </c>
      <c r="R329" s="50"/>
      <c r="S329" s="50">
        <v>0</v>
      </c>
      <c r="T329" s="4" t="s">
        <v>43</v>
      </c>
      <c r="U329" s="4" t="s">
        <v>43</v>
      </c>
      <c r="AD329" s="91">
        <f t="shared" ref="AD329:AD368" si="6">SUMPRODUCT($W$6:$AC$6,W329:AC329)</f>
        <v>0</v>
      </c>
    </row>
    <row r="330" spans="3:30" hidden="1" x14ac:dyDescent="0.25">
      <c r="C330" s="87" t="s">
        <v>830</v>
      </c>
      <c r="D330" s="4" t="s">
        <v>831</v>
      </c>
      <c r="E330" s="4" t="s">
        <v>832</v>
      </c>
      <c r="F330" s="4">
        <v>5</v>
      </c>
      <c r="G330" s="4" t="s">
        <v>376</v>
      </c>
      <c r="H330" s="4" t="s">
        <v>46</v>
      </c>
      <c r="I330" s="4" t="s">
        <v>421</v>
      </c>
      <c r="J330" s="4" t="s">
        <v>146</v>
      </c>
      <c r="K330" s="4" t="s">
        <v>43</v>
      </c>
      <c r="L330" s="4" t="s">
        <v>59</v>
      </c>
      <c r="M330" s="4" t="s">
        <v>40</v>
      </c>
      <c r="N330" s="4" t="s">
        <v>653</v>
      </c>
      <c r="O330" s="4" t="s">
        <v>830</v>
      </c>
      <c r="P330" s="4" t="s">
        <v>42</v>
      </c>
      <c r="Q330" s="50" t="s">
        <v>43</v>
      </c>
      <c r="R330" s="50"/>
      <c r="S330" s="50" t="s">
        <v>799</v>
      </c>
      <c r="T330" s="4" t="s">
        <v>43</v>
      </c>
      <c r="U330" s="4" t="s">
        <v>43</v>
      </c>
      <c r="W330" s="48">
        <v>1</v>
      </c>
      <c r="X330" s="48">
        <v>1</v>
      </c>
      <c r="Y330" s="48">
        <v>3</v>
      </c>
      <c r="AD330" s="91">
        <f t="shared" si="6"/>
        <v>5</v>
      </c>
    </row>
    <row r="331" spans="3:30" hidden="1" x14ac:dyDescent="0.25">
      <c r="C331" s="87" t="s">
        <v>921</v>
      </c>
      <c r="D331" s="4" t="s">
        <v>922</v>
      </c>
      <c r="E331" s="4" t="s">
        <v>911</v>
      </c>
      <c r="F331" s="4">
        <v>5</v>
      </c>
      <c r="G331" s="4" t="s">
        <v>376</v>
      </c>
      <c r="H331" s="4" t="s">
        <v>81</v>
      </c>
      <c r="I331" s="4" t="s">
        <v>421</v>
      </c>
      <c r="J331" s="4" t="s">
        <v>73</v>
      </c>
      <c r="K331" s="4" t="s">
        <v>43</v>
      </c>
      <c r="L331" s="4" t="s">
        <v>911</v>
      </c>
      <c r="M331" s="4" t="s">
        <v>40</v>
      </c>
      <c r="N331" s="4" t="s">
        <v>514</v>
      </c>
      <c r="O331" s="4" t="s">
        <v>921</v>
      </c>
      <c r="P331" s="4" t="s">
        <v>42</v>
      </c>
      <c r="Q331" s="50" t="s">
        <v>43</v>
      </c>
      <c r="R331" s="50"/>
      <c r="S331" s="50" t="s">
        <v>886</v>
      </c>
      <c r="T331" s="4" t="s">
        <v>43</v>
      </c>
      <c r="U331" s="4" t="s">
        <v>43</v>
      </c>
      <c r="W331" s="48">
        <v>1</v>
      </c>
      <c r="X331" s="48">
        <v>1</v>
      </c>
      <c r="Y331" s="48">
        <v>3</v>
      </c>
      <c r="AD331" s="91">
        <f t="shared" si="6"/>
        <v>5</v>
      </c>
    </row>
    <row r="332" spans="3:30" hidden="1" x14ac:dyDescent="0.25">
      <c r="C332" s="87" t="s">
        <v>970</v>
      </c>
      <c r="D332" s="4" t="s">
        <v>971</v>
      </c>
      <c r="E332" s="4" t="s">
        <v>972</v>
      </c>
      <c r="F332" s="4">
        <v>5</v>
      </c>
      <c r="G332" s="4" t="s">
        <v>376</v>
      </c>
      <c r="H332" s="4" t="s">
        <v>81</v>
      </c>
      <c r="I332" s="4" t="s">
        <v>377</v>
      </c>
      <c r="J332" s="4" t="s">
        <v>160</v>
      </c>
      <c r="K332" s="4" t="s">
        <v>43</v>
      </c>
      <c r="L332" s="4" t="s">
        <v>353</v>
      </c>
      <c r="M332" s="4" t="s">
        <v>40</v>
      </c>
      <c r="N332" s="4" t="s">
        <v>378</v>
      </c>
      <c r="O332" s="4" t="s">
        <v>970</v>
      </c>
      <c r="P332" s="4" t="s">
        <v>42</v>
      </c>
      <c r="Q332" s="50" t="s">
        <v>43</v>
      </c>
      <c r="R332" s="50"/>
      <c r="S332" s="50" t="s">
        <v>931</v>
      </c>
      <c r="T332" s="4" t="s">
        <v>43</v>
      </c>
      <c r="U332" s="4" t="s">
        <v>43</v>
      </c>
      <c r="W332" s="48">
        <v>1</v>
      </c>
      <c r="X332" s="48">
        <v>1</v>
      </c>
      <c r="Y332" s="48">
        <v>3</v>
      </c>
      <c r="AD332" s="91">
        <f t="shared" si="6"/>
        <v>5</v>
      </c>
    </row>
    <row r="333" spans="3:30" hidden="1" x14ac:dyDescent="0.25">
      <c r="C333" s="87" t="s">
        <v>344</v>
      </c>
      <c r="D333" s="4" t="s">
        <v>345</v>
      </c>
      <c r="E333" s="4" t="s">
        <v>345</v>
      </c>
      <c r="F333" s="4" t="s">
        <v>36</v>
      </c>
      <c r="G333" s="4" t="s">
        <v>37</v>
      </c>
      <c r="H333" s="4" t="s">
        <v>88</v>
      </c>
      <c r="I333" s="4"/>
      <c r="J333" s="4">
        <v>0</v>
      </c>
      <c r="K333" s="4"/>
      <c r="L333" s="4" t="s">
        <v>346</v>
      </c>
      <c r="M333" s="4" t="s">
        <v>40</v>
      </c>
      <c r="N333" s="4" t="s">
        <v>41</v>
      </c>
      <c r="O333" s="4" t="s">
        <v>344</v>
      </c>
      <c r="P333" s="4" t="s">
        <v>42</v>
      </c>
      <c r="Q333" s="50" t="s">
        <v>43</v>
      </c>
      <c r="R333" s="50"/>
      <c r="S333" s="50">
        <v>0</v>
      </c>
      <c r="T333" s="4" t="s">
        <v>43</v>
      </c>
      <c r="U333" s="4" t="s">
        <v>43</v>
      </c>
      <c r="AD333" s="91">
        <f t="shared" si="6"/>
        <v>0</v>
      </c>
    </row>
    <row r="334" spans="3:30" hidden="1" x14ac:dyDescent="0.25">
      <c r="C334" s="87" t="s">
        <v>879</v>
      </c>
      <c r="D334" s="4" t="s">
        <v>880</v>
      </c>
      <c r="E334" s="4" t="s">
        <v>880</v>
      </c>
      <c r="F334" s="4">
        <v>3.92</v>
      </c>
      <c r="G334" s="4" t="s">
        <v>376</v>
      </c>
      <c r="H334" s="4" t="s">
        <v>46</v>
      </c>
      <c r="I334" s="4" t="s">
        <v>377</v>
      </c>
      <c r="J334" s="4" t="s">
        <v>132</v>
      </c>
      <c r="K334" s="4" t="s">
        <v>43</v>
      </c>
      <c r="L334" s="4" t="s">
        <v>138</v>
      </c>
      <c r="M334" s="4" t="s">
        <v>40</v>
      </c>
      <c r="N334" s="4" t="s">
        <v>514</v>
      </c>
      <c r="O334" s="4" t="s">
        <v>879</v>
      </c>
      <c r="P334" s="4" t="s">
        <v>42</v>
      </c>
      <c r="Q334" s="50" t="s">
        <v>43</v>
      </c>
      <c r="R334" s="50"/>
      <c r="S334" s="50" t="s">
        <v>847</v>
      </c>
      <c r="T334" s="4" t="s">
        <v>43</v>
      </c>
      <c r="U334" s="4" t="s">
        <v>43</v>
      </c>
      <c r="W334" s="48">
        <v>1</v>
      </c>
      <c r="X334" s="48">
        <v>1</v>
      </c>
      <c r="Z334" s="48">
        <v>3</v>
      </c>
      <c r="AD334" s="91">
        <f t="shared" si="6"/>
        <v>4.045454545454545</v>
      </c>
    </row>
    <row r="335" spans="3:30" hidden="1" x14ac:dyDescent="0.25">
      <c r="C335" s="87" t="s">
        <v>553</v>
      </c>
      <c r="D335" s="4" t="s">
        <v>554</v>
      </c>
      <c r="E335" s="4" t="s">
        <v>554</v>
      </c>
      <c r="F335" s="4">
        <v>5</v>
      </c>
      <c r="G335" s="4" t="s">
        <v>376</v>
      </c>
      <c r="H335" s="4" t="s">
        <v>46</v>
      </c>
      <c r="I335" s="4" t="s">
        <v>377</v>
      </c>
      <c r="J335" s="4" t="s">
        <v>100</v>
      </c>
      <c r="K335" s="4" t="s">
        <v>43</v>
      </c>
      <c r="L335" s="4" t="s">
        <v>138</v>
      </c>
      <c r="M335" s="4" t="s">
        <v>40</v>
      </c>
      <c r="N335" s="4" t="s">
        <v>514</v>
      </c>
      <c r="O335" s="4" t="s">
        <v>553</v>
      </c>
      <c r="P335" s="4" t="s">
        <v>42</v>
      </c>
      <c r="Q335" s="50" t="s">
        <v>43</v>
      </c>
      <c r="R335" s="50"/>
      <c r="S335" s="50" t="s">
        <v>515</v>
      </c>
      <c r="T335" s="4" t="s">
        <v>43</v>
      </c>
      <c r="U335" s="4" t="s">
        <v>43</v>
      </c>
      <c r="W335" s="48">
        <v>1</v>
      </c>
      <c r="X335" s="48">
        <v>1</v>
      </c>
      <c r="Y335" s="48">
        <v>3</v>
      </c>
      <c r="AD335" s="91">
        <f t="shared" si="6"/>
        <v>5</v>
      </c>
    </row>
    <row r="336" spans="3:30" hidden="1" x14ac:dyDescent="0.25">
      <c r="C336" s="87" t="s">
        <v>923</v>
      </c>
      <c r="D336" s="4" t="s">
        <v>924</v>
      </c>
      <c r="E336" s="4" t="s">
        <v>924</v>
      </c>
      <c r="F336" s="4">
        <v>5</v>
      </c>
      <c r="G336" s="4" t="s">
        <v>376</v>
      </c>
      <c r="H336" s="4" t="s">
        <v>46</v>
      </c>
      <c r="I336" s="4" t="s">
        <v>421</v>
      </c>
      <c r="J336" s="4" t="s">
        <v>73</v>
      </c>
      <c r="K336" s="4" t="s">
        <v>43</v>
      </c>
      <c r="L336" s="4" t="s">
        <v>133</v>
      </c>
      <c r="M336" s="4" t="s">
        <v>40</v>
      </c>
      <c r="N336" s="4" t="s">
        <v>514</v>
      </c>
      <c r="O336" s="4" t="s">
        <v>923</v>
      </c>
      <c r="P336" s="4" t="s">
        <v>42</v>
      </c>
      <c r="Q336" s="50" t="s">
        <v>43</v>
      </c>
      <c r="R336" s="50"/>
      <c r="S336" s="50" t="s">
        <v>886</v>
      </c>
      <c r="T336" s="4" t="s">
        <v>43</v>
      </c>
      <c r="U336" s="4" t="s">
        <v>43</v>
      </c>
      <c r="W336" s="48">
        <v>1</v>
      </c>
      <c r="X336" s="48">
        <v>1</v>
      </c>
      <c r="Y336" s="48">
        <v>3</v>
      </c>
      <c r="AD336" s="91">
        <f t="shared" si="6"/>
        <v>5</v>
      </c>
    </row>
    <row r="337" spans="3:30" hidden="1" x14ac:dyDescent="0.25">
      <c r="C337" s="87" t="s">
        <v>761</v>
      </c>
      <c r="D337" s="4" t="s">
        <v>762</v>
      </c>
      <c r="E337" s="4" t="s">
        <v>762</v>
      </c>
      <c r="F337" s="4">
        <v>5</v>
      </c>
      <c r="G337" s="4" t="s">
        <v>376</v>
      </c>
      <c r="H337" s="4" t="s">
        <v>46</v>
      </c>
      <c r="I337" s="4" t="s">
        <v>421</v>
      </c>
      <c r="J337" s="4" t="s">
        <v>84</v>
      </c>
      <c r="K337" s="4" t="s">
        <v>440</v>
      </c>
      <c r="L337" s="4" t="s">
        <v>54</v>
      </c>
      <c r="M337" s="4" t="s">
        <v>55</v>
      </c>
      <c r="N337" s="4" t="s">
        <v>653</v>
      </c>
      <c r="O337" s="4" t="s">
        <v>761</v>
      </c>
      <c r="P337" s="4" t="s">
        <v>42</v>
      </c>
      <c r="Q337" s="50" t="s">
        <v>43</v>
      </c>
      <c r="R337" s="50"/>
      <c r="S337" s="50" t="s">
        <v>741</v>
      </c>
      <c r="T337" s="4" t="s">
        <v>43</v>
      </c>
      <c r="U337" s="4" t="s">
        <v>43</v>
      </c>
      <c r="W337" s="48">
        <v>1</v>
      </c>
      <c r="X337" s="48">
        <v>1</v>
      </c>
      <c r="Y337" s="48">
        <v>3</v>
      </c>
      <c r="AD337" s="91">
        <f t="shared" si="6"/>
        <v>5</v>
      </c>
    </row>
    <row r="338" spans="3:30" hidden="1" x14ac:dyDescent="0.25">
      <c r="C338" s="87" t="s">
        <v>509</v>
      </c>
      <c r="D338" s="4" t="s">
        <v>510</v>
      </c>
      <c r="E338" s="4" t="s">
        <v>510</v>
      </c>
      <c r="F338" s="4">
        <v>5</v>
      </c>
      <c r="G338" s="4" t="s">
        <v>376</v>
      </c>
      <c r="H338" s="4" t="s">
        <v>46</v>
      </c>
      <c r="I338" s="4" t="s">
        <v>377</v>
      </c>
      <c r="J338" s="4" t="s">
        <v>466</v>
      </c>
      <c r="K338" s="4" t="s">
        <v>43</v>
      </c>
      <c r="L338" s="4" t="s">
        <v>51</v>
      </c>
      <c r="M338" s="4" t="s">
        <v>40</v>
      </c>
      <c r="N338" s="4" t="s">
        <v>378</v>
      </c>
      <c r="O338" s="4" t="s">
        <v>509</v>
      </c>
      <c r="P338" s="4" t="s">
        <v>42</v>
      </c>
      <c r="Q338" s="50" t="s">
        <v>43</v>
      </c>
      <c r="R338" s="50"/>
      <c r="S338" s="50" t="s">
        <v>467</v>
      </c>
      <c r="T338" s="4" t="s">
        <v>43</v>
      </c>
      <c r="U338" s="4" t="s">
        <v>43</v>
      </c>
      <c r="W338" s="48">
        <v>1</v>
      </c>
      <c r="X338" s="48">
        <v>1</v>
      </c>
      <c r="Y338" s="48">
        <v>3</v>
      </c>
      <c r="AD338" s="91">
        <f t="shared" si="6"/>
        <v>5</v>
      </c>
    </row>
    <row r="339" spans="3:30" hidden="1" x14ac:dyDescent="0.25">
      <c r="C339" s="87" t="s">
        <v>347</v>
      </c>
      <c r="D339" s="4" t="s">
        <v>348</v>
      </c>
      <c r="E339" s="4" t="s">
        <v>348</v>
      </c>
      <c r="F339" s="4" t="s">
        <v>36</v>
      </c>
      <c r="G339" s="4" t="s">
        <v>37</v>
      </c>
      <c r="H339" s="4" t="s">
        <v>81</v>
      </c>
      <c r="I339" s="4"/>
      <c r="J339" s="4" t="s">
        <v>58</v>
      </c>
      <c r="K339" s="4"/>
      <c r="L339" s="4" t="s">
        <v>59</v>
      </c>
      <c r="M339" s="4" t="s">
        <v>40</v>
      </c>
      <c r="N339" s="4" t="s">
        <v>41</v>
      </c>
      <c r="O339" s="4" t="s">
        <v>347</v>
      </c>
      <c r="P339" s="4" t="s">
        <v>42</v>
      </c>
      <c r="Q339" s="50" t="s">
        <v>43</v>
      </c>
      <c r="R339" s="50"/>
      <c r="S339" s="50">
        <v>0</v>
      </c>
      <c r="T339" s="4" t="s">
        <v>43</v>
      </c>
      <c r="U339" s="4" t="s">
        <v>43</v>
      </c>
      <c r="AD339" s="91">
        <f t="shared" si="6"/>
        <v>0</v>
      </c>
    </row>
    <row r="340" spans="3:30" hidden="1" x14ac:dyDescent="0.25">
      <c r="C340" s="87" t="s">
        <v>973</v>
      </c>
      <c r="D340" s="4" t="s">
        <v>974</v>
      </c>
      <c r="E340" s="4" t="s">
        <v>974</v>
      </c>
      <c r="F340" s="4">
        <v>5</v>
      </c>
      <c r="G340" s="4" t="s">
        <v>376</v>
      </c>
      <c r="H340" s="4" t="s">
        <v>46</v>
      </c>
      <c r="I340" s="4" t="s">
        <v>377</v>
      </c>
      <c r="J340" s="4" t="s">
        <v>160</v>
      </c>
      <c r="K340" s="4" t="s">
        <v>43</v>
      </c>
      <c r="L340" s="4" t="s">
        <v>39</v>
      </c>
      <c r="M340" s="4" t="s">
        <v>40</v>
      </c>
      <c r="N340" s="4" t="s">
        <v>378</v>
      </c>
      <c r="O340" s="4" t="s">
        <v>973</v>
      </c>
      <c r="P340" s="4" t="s">
        <v>42</v>
      </c>
      <c r="Q340" s="50" t="s">
        <v>43</v>
      </c>
      <c r="R340" s="50"/>
      <c r="S340" s="50" t="s">
        <v>931</v>
      </c>
      <c r="T340" s="4" t="s">
        <v>43</v>
      </c>
      <c r="U340" s="4" t="s">
        <v>43</v>
      </c>
      <c r="W340" s="48">
        <v>1</v>
      </c>
      <c r="X340" s="48">
        <v>1</v>
      </c>
      <c r="Y340" s="48">
        <v>3</v>
      </c>
      <c r="AD340" s="91">
        <f t="shared" si="6"/>
        <v>5</v>
      </c>
    </row>
    <row r="341" spans="3:30" hidden="1" x14ac:dyDescent="0.25">
      <c r="C341" s="87" t="s">
        <v>349</v>
      </c>
      <c r="D341" s="4" t="s">
        <v>350</v>
      </c>
      <c r="E341" s="4" t="s">
        <v>350</v>
      </c>
      <c r="F341" s="4" t="s">
        <v>36</v>
      </c>
      <c r="G341" s="4" t="s">
        <v>37</v>
      </c>
      <c r="H341" s="4" t="s">
        <v>46</v>
      </c>
      <c r="I341" s="4"/>
      <c r="J341" s="4">
        <v>0</v>
      </c>
      <c r="K341" s="4"/>
      <c r="L341" s="4" t="s">
        <v>138</v>
      </c>
      <c r="M341" s="4" t="s">
        <v>40</v>
      </c>
      <c r="N341" s="4" t="s">
        <v>41</v>
      </c>
      <c r="O341" s="4" t="s">
        <v>349</v>
      </c>
      <c r="P341" s="4" t="s">
        <v>42</v>
      </c>
      <c r="Q341" s="50" t="s">
        <v>43</v>
      </c>
      <c r="R341" s="50"/>
      <c r="S341" s="50">
        <v>0</v>
      </c>
      <c r="T341" s="4" t="s">
        <v>43</v>
      </c>
      <c r="U341" s="4" t="s">
        <v>43</v>
      </c>
      <c r="AD341" s="91">
        <f t="shared" si="6"/>
        <v>0</v>
      </c>
    </row>
    <row r="342" spans="3:30" hidden="1" x14ac:dyDescent="0.25">
      <c r="C342" s="87" t="s">
        <v>351</v>
      </c>
      <c r="D342" s="4" t="s">
        <v>352</v>
      </c>
      <c r="E342" s="4" t="s">
        <v>352</v>
      </c>
      <c r="F342" s="4" t="s">
        <v>36</v>
      </c>
      <c r="G342" s="4" t="s">
        <v>37</v>
      </c>
      <c r="H342" s="4" t="s">
        <v>46</v>
      </c>
      <c r="I342" s="4"/>
      <c r="J342" s="4" t="s">
        <v>331</v>
      </c>
      <c r="K342" s="4"/>
      <c r="L342" s="4" t="s">
        <v>353</v>
      </c>
      <c r="M342" s="4" t="s">
        <v>40</v>
      </c>
      <c r="N342" s="4" t="s">
        <v>41</v>
      </c>
      <c r="O342" s="4" t="s">
        <v>351</v>
      </c>
      <c r="P342" s="4" t="s">
        <v>42</v>
      </c>
      <c r="Q342" s="50" t="s">
        <v>43</v>
      </c>
      <c r="R342" s="50"/>
      <c r="S342" s="50">
        <v>0</v>
      </c>
      <c r="T342" s="4" t="s">
        <v>43</v>
      </c>
      <c r="U342" s="4" t="s">
        <v>43</v>
      </c>
      <c r="AD342" s="91">
        <f t="shared" si="6"/>
        <v>0</v>
      </c>
    </row>
    <row r="343" spans="3:30" hidden="1" x14ac:dyDescent="0.25">
      <c r="C343" s="87" t="s">
        <v>833</v>
      </c>
      <c r="D343" s="4" t="s">
        <v>834</v>
      </c>
      <c r="E343" s="4" t="s">
        <v>835</v>
      </c>
      <c r="F343" s="47">
        <v>5.5600000000000005</v>
      </c>
      <c r="G343" s="4" t="s">
        <v>376</v>
      </c>
      <c r="H343" s="4" t="s">
        <v>46</v>
      </c>
      <c r="I343" s="4" t="s">
        <v>421</v>
      </c>
      <c r="J343" s="4" t="s">
        <v>146</v>
      </c>
      <c r="K343" s="4" t="s">
        <v>43</v>
      </c>
      <c r="L343" s="4" t="s">
        <v>59</v>
      </c>
      <c r="M343" s="4" t="s">
        <v>40</v>
      </c>
      <c r="N343" s="4" t="s">
        <v>653</v>
      </c>
      <c r="O343" s="4" t="s">
        <v>833</v>
      </c>
      <c r="P343" s="4" t="s">
        <v>42</v>
      </c>
      <c r="Q343" s="50" t="s">
        <v>43</v>
      </c>
      <c r="R343" s="50"/>
      <c r="S343" s="50" t="s">
        <v>799</v>
      </c>
      <c r="T343" s="4" t="s">
        <v>43</v>
      </c>
      <c r="U343" s="4" t="s">
        <v>43</v>
      </c>
      <c r="W343" s="48">
        <v>1</v>
      </c>
      <c r="X343" s="48">
        <v>1</v>
      </c>
      <c r="Y343" s="48">
        <v>3</v>
      </c>
      <c r="AA343" s="94">
        <v>1</v>
      </c>
      <c r="AD343" s="94">
        <f t="shared" si="6"/>
        <v>5.5681818181818183</v>
      </c>
    </row>
    <row r="344" spans="3:30" hidden="1" x14ac:dyDescent="0.25">
      <c r="C344" s="87" t="s">
        <v>354</v>
      </c>
      <c r="D344" s="4" t="s">
        <v>355</v>
      </c>
      <c r="E344" s="4" t="s">
        <v>355</v>
      </c>
      <c r="F344" s="4" t="s">
        <v>36</v>
      </c>
      <c r="G344" s="4" t="s">
        <v>37</v>
      </c>
      <c r="H344" s="4" t="s">
        <v>46</v>
      </c>
      <c r="I344" s="4"/>
      <c r="J344" s="4" t="s">
        <v>67</v>
      </c>
      <c r="K344" s="4"/>
      <c r="L344" s="4" t="s">
        <v>59</v>
      </c>
      <c r="M344" s="4" t="s">
        <v>40</v>
      </c>
      <c r="N344" s="4" t="s">
        <v>41</v>
      </c>
      <c r="O344" s="4" t="s">
        <v>354</v>
      </c>
      <c r="P344" s="4" t="s">
        <v>42</v>
      </c>
      <c r="Q344" s="50" t="s">
        <v>43</v>
      </c>
      <c r="R344" s="50"/>
      <c r="S344" s="50">
        <v>0</v>
      </c>
      <c r="T344" s="4" t="s">
        <v>43</v>
      </c>
      <c r="U344" s="4" t="s">
        <v>43</v>
      </c>
      <c r="AD344" s="91">
        <f t="shared" si="6"/>
        <v>0</v>
      </c>
    </row>
    <row r="345" spans="3:30" hidden="1" x14ac:dyDescent="0.25">
      <c r="C345" s="87" t="s">
        <v>693</v>
      </c>
      <c r="D345" s="4" t="s">
        <v>694</v>
      </c>
      <c r="E345" s="4" t="s">
        <v>694</v>
      </c>
      <c r="F345" s="4">
        <v>5</v>
      </c>
      <c r="G345" s="4" t="s">
        <v>376</v>
      </c>
      <c r="H345" s="4" t="s">
        <v>46</v>
      </c>
      <c r="I345" s="4" t="s">
        <v>377</v>
      </c>
      <c r="J345" s="4" t="s">
        <v>248</v>
      </c>
      <c r="K345" s="4" t="s">
        <v>43</v>
      </c>
      <c r="L345" s="4" t="s">
        <v>51</v>
      </c>
      <c r="M345" s="4" t="s">
        <v>40</v>
      </c>
      <c r="N345" s="4" t="s">
        <v>653</v>
      </c>
      <c r="O345" s="4" t="s">
        <v>693</v>
      </c>
      <c r="P345" s="4" t="s">
        <v>42</v>
      </c>
      <c r="Q345" s="50" t="s">
        <v>43</v>
      </c>
      <c r="R345" s="50"/>
      <c r="S345" s="50" t="s">
        <v>51</v>
      </c>
      <c r="T345" s="4" t="s">
        <v>43</v>
      </c>
      <c r="U345" s="4" t="s">
        <v>43</v>
      </c>
      <c r="W345" s="48">
        <v>1</v>
      </c>
      <c r="X345" s="48">
        <v>1</v>
      </c>
      <c r="Y345" s="48">
        <v>3</v>
      </c>
      <c r="AD345" s="91">
        <f t="shared" si="6"/>
        <v>5</v>
      </c>
    </row>
    <row r="346" spans="3:30" hidden="1" x14ac:dyDescent="0.25">
      <c r="C346" s="87" t="s">
        <v>356</v>
      </c>
      <c r="D346" s="4" t="s">
        <v>357</v>
      </c>
      <c r="E346" s="4" t="s">
        <v>357</v>
      </c>
      <c r="F346" s="4" t="s">
        <v>36</v>
      </c>
      <c r="G346" s="4" t="s">
        <v>37</v>
      </c>
      <c r="H346" s="4" t="s">
        <v>81</v>
      </c>
      <c r="I346" s="4"/>
      <c r="J346" s="4" t="s">
        <v>89</v>
      </c>
      <c r="K346" s="4"/>
      <c r="L346" s="4" t="s">
        <v>109</v>
      </c>
      <c r="M346" s="4" t="s">
        <v>91</v>
      </c>
      <c r="N346" s="4" t="s">
        <v>41</v>
      </c>
      <c r="O346" s="4" t="s">
        <v>356</v>
      </c>
      <c r="P346" s="4" t="s">
        <v>42</v>
      </c>
      <c r="Q346" s="50" t="s">
        <v>43</v>
      </c>
      <c r="R346" s="50"/>
      <c r="S346" s="50">
        <v>0</v>
      </c>
      <c r="T346" s="4" t="s">
        <v>43</v>
      </c>
      <c r="U346" s="4" t="s">
        <v>43</v>
      </c>
      <c r="AD346" s="91">
        <f t="shared" si="6"/>
        <v>0</v>
      </c>
    </row>
    <row r="347" spans="3:30" hidden="1" x14ac:dyDescent="0.25">
      <c r="C347" s="87" t="s">
        <v>925</v>
      </c>
      <c r="D347" s="4" t="s">
        <v>926</v>
      </c>
      <c r="E347" s="4" t="s">
        <v>927</v>
      </c>
      <c r="F347" s="4">
        <v>5</v>
      </c>
      <c r="G347" s="4" t="s">
        <v>376</v>
      </c>
      <c r="H347" s="4" t="s">
        <v>81</v>
      </c>
      <c r="I347" s="4" t="s">
        <v>421</v>
      </c>
      <c r="J347" s="4" t="s">
        <v>73</v>
      </c>
      <c r="K347" s="4" t="s">
        <v>43</v>
      </c>
      <c r="L347" s="4" t="s">
        <v>928</v>
      </c>
      <c r="M347" s="4" t="s">
        <v>40</v>
      </c>
      <c r="N347" s="4" t="s">
        <v>514</v>
      </c>
      <c r="O347" s="4" t="s">
        <v>925</v>
      </c>
      <c r="P347" s="4" t="s">
        <v>42</v>
      </c>
      <c r="Q347" s="50" t="s">
        <v>43</v>
      </c>
      <c r="R347" s="50"/>
      <c r="S347" s="50" t="s">
        <v>886</v>
      </c>
      <c r="T347" s="4" t="s">
        <v>43</v>
      </c>
      <c r="U347" s="4" t="s">
        <v>43</v>
      </c>
      <c r="W347" s="48">
        <v>1</v>
      </c>
      <c r="X347" s="48">
        <v>1</v>
      </c>
      <c r="Y347" s="48">
        <v>3</v>
      </c>
      <c r="AD347" s="91">
        <f t="shared" si="6"/>
        <v>5</v>
      </c>
    </row>
    <row r="348" spans="3:30" hidden="1" x14ac:dyDescent="0.25">
      <c r="C348" s="87" t="s">
        <v>358</v>
      </c>
      <c r="D348" s="4" t="s">
        <v>359</v>
      </c>
      <c r="E348" s="4" t="s">
        <v>359</v>
      </c>
      <c r="F348" s="4" t="s">
        <v>36</v>
      </c>
      <c r="G348" s="4" t="s">
        <v>37</v>
      </c>
      <c r="H348" s="4" t="s">
        <v>81</v>
      </c>
      <c r="I348" s="4"/>
      <c r="J348" s="4" t="s">
        <v>248</v>
      </c>
      <c r="K348" s="4"/>
      <c r="L348" s="4" t="s">
        <v>138</v>
      </c>
      <c r="M348" s="4" t="s">
        <v>40</v>
      </c>
      <c r="N348" s="4" t="s">
        <v>41</v>
      </c>
      <c r="O348" s="4" t="s">
        <v>358</v>
      </c>
      <c r="P348" s="4" t="s">
        <v>42</v>
      </c>
      <c r="Q348" s="50" t="s">
        <v>43</v>
      </c>
      <c r="R348" s="50"/>
      <c r="S348" s="50">
        <v>0</v>
      </c>
      <c r="T348" s="4" t="s">
        <v>43</v>
      </c>
      <c r="U348" s="4" t="s">
        <v>43</v>
      </c>
      <c r="AD348" s="91">
        <f t="shared" si="6"/>
        <v>0</v>
      </c>
    </row>
    <row r="349" spans="3:30" hidden="1" x14ac:dyDescent="0.25">
      <c r="C349" s="87" t="s">
        <v>695</v>
      </c>
      <c r="D349" s="4" t="s">
        <v>696</v>
      </c>
      <c r="E349" s="4" t="s">
        <v>696</v>
      </c>
      <c r="F349" s="4">
        <v>5</v>
      </c>
      <c r="G349" s="4" t="s">
        <v>376</v>
      </c>
      <c r="H349" s="4" t="s">
        <v>46</v>
      </c>
      <c r="I349" s="4" t="s">
        <v>377</v>
      </c>
      <c r="J349" s="4" t="s">
        <v>248</v>
      </c>
      <c r="K349" s="4" t="s">
        <v>43</v>
      </c>
      <c r="L349" s="4" t="s">
        <v>51</v>
      </c>
      <c r="M349" s="4" t="s">
        <v>40</v>
      </c>
      <c r="N349" s="4" t="s">
        <v>653</v>
      </c>
      <c r="O349" s="4" t="s">
        <v>695</v>
      </c>
      <c r="P349" s="4" t="s">
        <v>42</v>
      </c>
      <c r="Q349" s="50" t="s">
        <v>43</v>
      </c>
      <c r="R349" s="50"/>
      <c r="S349" s="50" t="s">
        <v>51</v>
      </c>
      <c r="T349" s="4" t="s">
        <v>43</v>
      </c>
      <c r="U349" s="4" t="s">
        <v>43</v>
      </c>
      <c r="W349" s="48">
        <v>1</v>
      </c>
      <c r="X349" s="48">
        <v>1</v>
      </c>
      <c r="Y349" s="48">
        <v>3</v>
      </c>
      <c r="AD349" s="91">
        <f t="shared" si="6"/>
        <v>5</v>
      </c>
    </row>
    <row r="350" spans="3:30" hidden="1" x14ac:dyDescent="0.25">
      <c r="C350" s="87" t="s">
        <v>360</v>
      </c>
      <c r="D350" s="4" t="s">
        <v>361</v>
      </c>
      <c r="E350" s="4" t="s">
        <v>361</v>
      </c>
      <c r="F350" s="4" t="s">
        <v>36</v>
      </c>
      <c r="G350" s="4" t="s">
        <v>37</v>
      </c>
      <c r="H350" s="4" t="s">
        <v>46</v>
      </c>
      <c r="I350" s="4"/>
      <c r="J350" s="4" t="s">
        <v>67</v>
      </c>
      <c r="K350" s="4"/>
      <c r="L350" s="4" t="s">
        <v>59</v>
      </c>
      <c r="M350" s="4" t="s">
        <v>40</v>
      </c>
      <c r="N350" s="4" t="s">
        <v>41</v>
      </c>
      <c r="O350" s="4" t="s">
        <v>360</v>
      </c>
      <c r="P350" s="4" t="s">
        <v>42</v>
      </c>
      <c r="Q350" s="50" t="s">
        <v>43</v>
      </c>
      <c r="R350" s="50"/>
      <c r="S350" s="50">
        <v>0</v>
      </c>
      <c r="T350" s="4" t="s">
        <v>43</v>
      </c>
      <c r="U350" s="4" t="s">
        <v>43</v>
      </c>
      <c r="AD350" s="91">
        <f t="shared" si="6"/>
        <v>0</v>
      </c>
    </row>
    <row r="351" spans="3:30" hidden="1" x14ac:dyDescent="0.25">
      <c r="C351" s="87" t="s">
        <v>362</v>
      </c>
      <c r="D351" s="4" t="s">
        <v>363</v>
      </c>
      <c r="E351" s="4" t="s">
        <v>363</v>
      </c>
      <c r="F351" s="4" t="s">
        <v>36</v>
      </c>
      <c r="G351" s="4" t="s">
        <v>37</v>
      </c>
      <c r="H351" s="4" t="s">
        <v>81</v>
      </c>
      <c r="I351" s="4"/>
      <c r="J351" s="4" t="s">
        <v>73</v>
      </c>
      <c r="K351" s="4"/>
      <c r="L351" s="4" t="s">
        <v>364</v>
      </c>
      <c r="M351" s="4" t="s">
        <v>40</v>
      </c>
      <c r="N351" s="4" t="s">
        <v>41</v>
      </c>
      <c r="O351" s="4" t="s">
        <v>362</v>
      </c>
      <c r="P351" s="4" t="s">
        <v>42</v>
      </c>
      <c r="Q351" s="50" t="s">
        <v>43</v>
      </c>
      <c r="R351" s="50"/>
      <c r="S351" s="50">
        <v>0</v>
      </c>
      <c r="T351" s="4" t="s">
        <v>43</v>
      </c>
      <c r="U351" s="4" t="s">
        <v>43</v>
      </c>
      <c r="AD351" s="91">
        <f t="shared" si="6"/>
        <v>0</v>
      </c>
    </row>
    <row r="352" spans="3:30" hidden="1" x14ac:dyDescent="0.25">
      <c r="C352" s="87" t="s">
        <v>592</v>
      </c>
      <c r="D352" s="4" t="s">
        <v>593</v>
      </c>
      <c r="E352" s="4" t="s">
        <v>593</v>
      </c>
      <c r="F352" s="4">
        <v>5</v>
      </c>
      <c r="G352" s="4" t="s">
        <v>376</v>
      </c>
      <c r="H352" s="4" t="s">
        <v>81</v>
      </c>
      <c r="I352" s="4" t="s">
        <v>377</v>
      </c>
      <c r="J352" s="4" t="s">
        <v>331</v>
      </c>
      <c r="K352" s="4" t="s">
        <v>43</v>
      </c>
      <c r="L352" s="4" t="s">
        <v>138</v>
      </c>
      <c r="M352" s="4" t="s">
        <v>40</v>
      </c>
      <c r="N352" s="4" t="s">
        <v>422</v>
      </c>
      <c r="O352" s="4" t="s">
        <v>592</v>
      </c>
      <c r="P352" s="4" t="s">
        <v>42</v>
      </c>
      <c r="Q352" s="50" t="s">
        <v>43</v>
      </c>
      <c r="R352" s="50"/>
      <c r="S352" s="50" t="s">
        <v>557</v>
      </c>
      <c r="T352" s="4" t="s">
        <v>43</v>
      </c>
      <c r="U352" s="4" t="s">
        <v>43</v>
      </c>
      <c r="W352" s="48">
        <v>1</v>
      </c>
      <c r="X352" s="48">
        <v>1</v>
      </c>
      <c r="Y352" s="48">
        <v>3</v>
      </c>
      <c r="AD352" s="91">
        <f t="shared" si="6"/>
        <v>5</v>
      </c>
    </row>
    <row r="353" spans="3:30" hidden="1" x14ac:dyDescent="0.25">
      <c r="C353" s="87" t="s">
        <v>365</v>
      </c>
      <c r="D353" s="4" t="s">
        <v>366</v>
      </c>
      <c r="E353" s="4" t="s">
        <v>367</v>
      </c>
      <c r="F353" s="4" t="s">
        <v>36</v>
      </c>
      <c r="G353" s="4" t="s">
        <v>37</v>
      </c>
      <c r="H353" s="4" t="s">
        <v>81</v>
      </c>
      <c r="I353" s="4"/>
      <c r="J353" s="4" t="s">
        <v>146</v>
      </c>
      <c r="K353" s="4"/>
      <c r="L353" s="4" t="s">
        <v>59</v>
      </c>
      <c r="M353" s="4" t="s">
        <v>40</v>
      </c>
      <c r="N353" s="4" t="s">
        <v>41</v>
      </c>
      <c r="O353" s="4" t="s">
        <v>365</v>
      </c>
      <c r="P353" s="4" t="s">
        <v>42</v>
      </c>
      <c r="Q353" s="50" t="s">
        <v>43</v>
      </c>
      <c r="R353" s="50"/>
      <c r="S353" s="50">
        <v>0</v>
      </c>
      <c r="T353" s="4" t="s">
        <v>43</v>
      </c>
      <c r="U353" s="4" t="s">
        <v>43</v>
      </c>
      <c r="AD353" s="91">
        <f t="shared" si="6"/>
        <v>0</v>
      </c>
    </row>
    <row r="354" spans="3:30" hidden="1" x14ac:dyDescent="0.25">
      <c r="C354" s="87" t="s">
        <v>763</v>
      </c>
      <c r="D354" s="4" t="s">
        <v>764</v>
      </c>
      <c r="E354" s="4" t="s">
        <v>765</v>
      </c>
      <c r="F354" s="4">
        <v>5</v>
      </c>
      <c r="G354" s="4" t="s">
        <v>376</v>
      </c>
      <c r="H354" s="4" t="s">
        <v>81</v>
      </c>
      <c r="I354" s="4" t="s">
        <v>421</v>
      </c>
      <c r="J354" s="4" t="s">
        <v>84</v>
      </c>
      <c r="K354" s="4" t="s">
        <v>440</v>
      </c>
      <c r="L354" s="4" t="s">
        <v>279</v>
      </c>
      <c r="M354" s="4" t="s">
        <v>55</v>
      </c>
      <c r="N354" s="4" t="s">
        <v>653</v>
      </c>
      <c r="O354" s="4" t="s">
        <v>763</v>
      </c>
      <c r="P354" s="4" t="s">
        <v>42</v>
      </c>
      <c r="Q354" s="50" t="s">
        <v>43</v>
      </c>
      <c r="R354" s="50"/>
      <c r="S354" s="50" t="s">
        <v>741</v>
      </c>
      <c r="T354" s="4" t="s">
        <v>43</v>
      </c>
      <c r="U354" s="4" t="s">
        <v>43</v>
      </c>
      <c r="W354" s="48">
        <v>1</v>
      </c>
      <c r="X354" s="48">
        <v>1</v>
      </c>
      <c r="Y354" s="48">
        <v>3</v>
      </c>
      <c r="AD354" s="91">
        <f t="shared" si="6"/>
        <v>5</v>
      </c>
    </row>
    <row r="355" spans="3:30" hidden="1" x14ac:dyDescent="0.25">
      <c r="C355" s="87" t="s">
        <v>836</v>
      </c>
      <c r="D355" s="4" t="s">
        <v>837</v>
      </c>
      <c r="E355" s="4" t="s">
        <v>838</v>
      </c>
      <c r="F355" s="4">
        <v>5</v>
      </c>
      <c r="G355" s="4" t="s">
        <v>376</v>
      </c>
      <c r="H355" s="4" t="s">
        <v>81</v>
      </c>
      <c r="I355" s="4" t="s">
        <v>421</v>
      </c>
      <c r="J355" s="4" t="s">
        <v>146</v>
      </c>
      <c r="K355" s="4" t="s">
        <v>43</v>
      </c>
      <c r="L355" s="4" t="s">
        <v>59</v>
      </c>
      <c r="M355" s="4" t="s">
        <v>40</v>
      </c>
      <c r="N355" s="4" t="s">
        <v>653</v>
      </c>
      <c r="O355" s="4" t="s">
        <v>836</v>
      </c>
      <c r="P355" s="4" t="s">
        <v>42</v>
      </c>
      <c r="Q355" s="50" t="s">
        <v>43</v>
      </c>
      <c r="R355" s="50"/>
      <c r="S355" s="50" t="s">
        <v>799</v>
      </c>
      <c r="T355" s="4" t="s">
        <v>43</v>
      </c>
      <c r="U355" s="4" t="s">
        <v>43</v>
      </c>
      <c r="W355" s="48">
        <v>1</v>
      </c>
      <c r="X355" s="48">
        <v>1</v>
      </c>
      <c r="Y355" s="48">
        <v>3</v>
      </c>
      <c r="AD355" s="91">
        <f t="shared" si="6"/>
        <v>5</v>
      </c>
    </row>
    <row r="356" spans="3:30" hidden="1" x14ac:dyDescent="0.25">
      <c r="C356" s="87" t="s">
        <v>975</v>
      </c>
      <c r="D356" s="4" t="s">
        <v>976</v>
      </c>
      <c r="E356" s="4" t="s">
        <v>976</v>
      </c>
      <c r="F356" s="4">
        <v>2.1</v>
      </c>
      <c r="G356" s="4" t="s">
        <v>376</v>
      </c>
      <c r="H356" s="4" t="s">
        <v>46</v>
      </c>
      <c r="I356" s="4" t="s">
        <v>377</v>
      </c>
      <c r="J356" s="4" t="s">
        <v>160</v>
      </c>
      <c r="K356" s="4" t="s">
        <v>43</v>
      </c>
      <c r="L356" s="4" t="s">
        <v>39</v>
      </c>
      <c r="M356" s="4" t="s">
        <v>40</v>
      </c>
      <c r="N356" s="4" t="s">
        <v>378</v>
      </c>
      <c r="O356" s="4" t="s">
        <v>975</v>
      </c>
      <c r="P356" s="4" t="s">
        <v>42</v>
      </c>
      <c r="Q356" s="50" t="s">
        <v>43</v>
      </c>
      <c r="R356" s="50"/>
      <c r="S356" s="50" t="s">
        <v>931</v>
      </c>
      <c r="T356" s="4" t="s">
        <v>43</v>
      </c>
      <c r="U356" s="4" t="s">
        <v>43</v>
      </c>
      <c r="V356" s="3"/>
      <c r="W356" s="48">
        <v>1</v>
      </c>
      <c r="AA356" s="48">
        <v>2</v>
      </c>
      <c r="AD356" s="91">
        <f t="shared" si="6"/>
        <v>2.1363636363636367</v>
      </c>
    </row>
    <row r="357" spans="3:30" hidden="1" x14ac:dyDescent="0.25">
      <c r="C357" s="87" t="s">
        <v>766</v>
      </c>
      <c r="D357" s="4" t="s">
        <v>767</v>
      </c>
      <c r="E357" s="4" t="s">
        <v>768</v>
      </c>
      <c r="F357" s="4">
        <v>4.4800000000000004</v>
      </c>
      <c r="G357" s="4" t="s">
        <v>376</v>
      </c>
      <c r="H357" s="4" t="s">
        <v>81</v>
      </c>
      <c r="I357" s="4" t="s">
        <v>421</v>
      </c>
      <c r="J357" s="4" t="s">
        <v>84</v>
      </c>
      <c r="K357" s="4" t="s">
        <v>440</v>
      </c>
      <c r="L357" s="4" t="s">
        <v>54</v>
      </c>
      <c r="M357" s="4" t="s">
        <v>55</v>
      </c>
      <c r="N357" s="4" t="s">
        <v>653</v>
      </c>
      <c r="O357" s="4" t="s">
        <v>766</v>
      </c>
      <c r="P357" s="4" t="s">
        <v>42</v>
      </c>
      <c r="Q357" s="50" t="s">
        <v>43</v>
      </c>
      <c r="R357" s="50"/>
      <c r="S357" s="50" t="s">
        <v>741</v>
      </c>
      <c r="T357" s="82" t="s">
        <v>440</v>
      </c>
      <c r="U357" s="4" t="s">
        <v>43</v>
      </c>
      <c r="W357" s="48">
        <v>1</v>
      </c>
      <c r="X357" s="48">
        <v>1</v>
      </c>
      <c r="AA357" s="48">
        <v>2</v>
      </c>
      <c r="AC357" s="48">
        <v>4</v>
      </c>
      <c r="AD357" s="91">
        <f t="shared" si="6"/>
        <v>4.5</v>
      </c>
    </row>
    <row r="358" spans="3:30" hidden="1" x14ac:dyDescent="0.25">
      <c r="C358" s="87" t="s">
        <v>368</v>
      </c>
      <c r="D358" s="4" t="s">
        <v>369</v>
      </c>
      <c r="E358" s="4" t="s">
        <v>370</v>
      </c>
      <c r="F358" s="4" t="s">
        <v>36</v>
      </c>
      <c r="G358" s="4" t="s">
        <v>37</v>
      </c>
      <c r="H358" s="4" t="s">
        <v>88</v>
      </c>
      <c r="I358" s="4"/>
      <c r="J358" s="4" t="s">
        <v>160</v>
      </c>
      <c r="K358" s="4"/>
      <c r="L358" s="4" t="s">
        <v>371</v>
      </c>
      <c r="M358" s="4" t="s">
        <v>40</v>
      </c>
      <c r="N358" s="4" t="s">
        <v>41</v>
      </c>
      <c r="O358" s="4" t="s">
        <v>368</v>
      </c>
      <c r="P358" s="4" t="s">
        <v>42</v>
      </c>
      <c r="Q358" s="50" t="s">
        <v>43</v>
      </c>
      <c r="R358" s="50"/>
      <c r="S358" s="50">
        <v>0</v>
      </c>
      <c r="T358" s="4" t="s">
        <v>43</v>
      </c>
      <c r="U358" s="4" t="s">
        <v>43</v>
      </c>
      <c r="AD358" s="91">
        <f t="shared" si="6"/>
        <v>0</v>
      </c>
    </row>
    <row r="359" spans="3:30" hidden="1" x14ac:dyDescent="0.25">
      <c r="C359" s="87" t="s">
        <v>736</v>
      </c>
      <c r="D359" s="4" t="s">
        <v>737</v>
      </c>
      <c r="E359" s="4" t="s">
        <v>738</v>
      </c>
      <c r="F359" s="4">
        <v>6</v>
      </c>
      <c r="G359" s="4" t="s">
        <v>376</v>
      </c>
      <c r="H359" s="4" t="s">
        <v>81</v>
      </c>
      <c r="I359" s="4" t="s">
        <v>421</v>
      </c>
      <c r="J359" s="4" t="s">
        <v>84</v>
      </c>
      <c r="K359" s="4" t="s">
        <v>440</v>
      </c>
      <c r="L359" s="4" t="s">
        <v>722</v>
      </c>
      <c r="M359" s="4" t="s">
        <v>55</v>
      </c>
      <c r="N359" s="4" t="s">
        <v>653</v>
      </c>
      <c r="O359" s="4" t="s">
        <v>736</v>
      </c>
      <c r="P359" s="4">
        <v>0</v>
      </c>
      <c r="Q359" s="50" t="s">
        <v>43</v>
      </c>
      <c r="R359" s="50"/>
      <c r="S359" s="50" t="s">
        <v>702</v>
      </c>
      <c r="T359" s="82" t="s">
        <v>440</v>
      </c>
      <c r="U359" s="4" t="s">
        <v>43</v>
      </c>
      <c r="W359" s="48">
        <v>1</v>
      </c>
      <c r="X359" s="48">
        <v>2</v>
      </c>
      <c r="Y359" s="48">
        <v>3</v>
      </c>
      <c r="AD359" s="91">
        <f t="shared" si="6"/>
        <v>6</v>
      </c>
    </row>
    <row r="360" spans="3:30" hidden="1" x14ac:dyDescent="0.25">
      <c r="C360" s="87" t="s">
        <v>642</v>
      </c>
      <c r="D360" s="4" t="s">
        <v>643</v>
      </c>
      <c r="E360" s="4" t="s">
        <v>643</v>
      </c>
      <c r="F360" s="93">
        <v>6.16</v>
      </c>
      <c r="G360" s="4" t="s">
        <v>376</v>
      </c>
      <c r="H360" s="4" t="s">
        <v>46</v>
      </c>
      <c r="I360" s="4" t="s">
        <v>421</v>
      </c>
      <c r="J360" s="4" t="s">
        <v>50</v>
      </c>
      <c r="K360" s="4" t="s">
        <v>43</v>
      </c>
      <c r="L360" s="4" t="s">
        <v>51</v>
      </c>
      <c r="M360" s="4" t="s">
        <v>40</v>
      </c>
      <c r="N360" s="4" t="s">
        <v>422</v>
      </c>
      <c r="O360" s="4" t="s">
        <v>642</v>
      </c>
      <c r="P360" s="4" t="s">
        <v>42</v>
      </c>
      <c r="Q360" s="50" t="s">
        <v>43</v>
      </c>
      <c r="R360" s="50"/>
      <c r="S360" s="50" t="s">
        <v>597</v>
      </c>
      <c r="T360" s="4" t="s">
        <v>43</v>
      </c>
      <c r="U360" s="4" t="s">
        <v>43</v>
      </c>
      <c r="W360" s="48">
        <v>1</v>
      </c>
      <c r="X360" s="48">
        <v>1</v>
      </c>
      <c r="AA360" s="48">
        <v>5</v>
      </c>
      <c r="AC360" s="48">
        <v>4</v>
      </c>
      <c r="AD360" s="91">
        <f t="shared" si="6"/>
        <v>6.204545454545455</v>
      </c>
    </row>
    <row r="361" spans="3:30" hidden="1" x14ac:dyDescent="0.25">
      <c r="C361" s="87" t="s">
        <v>644</v>
      </c>
      <c r="D361" s="4" t="s">
        <v>645</v>
      </c>
      <c r="E361" s="4" t="s">
        <v>645</v>
      </c>
      <c r="F361" s="93">
        <v>6.16</v>
      </c>
      <c r="G361" s="4" t="s">
        <v>376</v>
      </c>
      <c r="H361" s="4" t="s">
        <v>81</v>
      </c>
      <c r="I361" s="4" t="s">
        <v>421</v>
      </c>
      <c r="J361" s="4" t="s">
        <v>50</v>
      </c>
      <c r="K361" s="4" t="s">
        <v>43</v>
      </c>
      <c r="L361" s="4" t="s">
        <v>51</v>
      </c>
      <c r="M361" s="4" t="s">
        <v>40</v>
      </c>
      <c r="N361" s="4" t="s">
        <v>422</v>
      </c>
      <c r="O361" s="4" t="s">
        <v>644</v>
      </c>
      <c r="P361" s="4" t="s">
        <v>42</v>
      </c>
      <c r="Q361" s="50" t="s">
        <v>43</v>
      </c>
      <c r="R361" s="50"/>
      <c r="S361" s="50" t="s">
        <v>597</v>
      </c>
      <c r="T361" s="4" t="s">
        <v>43</v>
      </c>
      <c r="U361" s="4" t="s">
        <v>32</v>
      </c>
      <c r="W361" s="48">
        <v>1</v>
      </c>
      <c r="X361" s="48">
        <v>1</v>
      </c>
      <c r="AA361" s="48">
        <v>5</v>
      </c>
      <c r="AC361" s="48">
        <v>4</v>
      </c>
      <c r="AD361" s="91">
        <f t="shared" si="6"/>
        <v>6.204545454545455</v>
      </c>
    </row>
    <row r="362" spans="3:30" hidden="1" x14ac:dyDescent="0.25">
      <c r="C362" s="87" t="s">
        <v>372</v>
      </c>
      <c r="D362" s="4" t="s">
        <v>372</v>
      </c>
      <c r="E362" s="4" t="s">
        <v>372</v>
      </c>
      <c r="F362" s="4"/>
      <c r="G362" s="4" t="s">
        <v>372</v>
      </c>
      <c r="H362" s="4" t="s">
        <v>372</v>
      </c>
      <c r="I362" s="4"/>
      <c r="J362" s="4" t="s">
        <v>372</v>
      </c>
      <c r="K362" s="4"/>
      <c r="L362" s="4" t="s">
        <v>372</v>
      </c>
      <c r="M362" s="4" t="s">
        <v>372</v>
      </c>
      <c r="N362" s="4" t="s">
        <v>372</v>
      </c>
      <c r="O362" s="4" t="s">
        <v>372</v>
      </c>
      <c r="P362" s="4" t="s">
        <v>372</v>
      </c>
      <c r="Q362" s="4" t="s">
        <v>372</v>
      </c>
      <c r="R362" s="50"/>
      <c r="S362" s="50" t="s">
        <v>372</v>
      </c>
      <c r="T362" s="4" t="s">
        <v>43</v>
      </c>
      <c r="U362" s="4" t="s">
        <v>43</v>
      </c>
      <c r="AD362" s="91">
        <f t="shared" si="6"/>
        <v>0</v>
      </c>
    </row>
    <row r="363" spans="3:30" hidden="1" x14ac:dyDescent="0.25">
      <c r="C363" s="87" t="s">
        <v>839</v>
      </c>
      <c r="D363" s="4" t="s">
        <v>840</v>
      </c>
      <c r="E363" s="4" t="s">
        <v>840</v>
      </c>
      <c r="F363" s="93">
        <v>5.6</v>
      </c>
      <c r="G363" s="4" t="s">
        <v>376</v>
      </c>
      <c r="H363" s="4" t="s">
        <v>81</v>
      </c>
      <c r="I363" s="4" t="s">
        <v>421</v>
      </c>
      <c r="J363" s="4" t="s">
        <v>146</v>
      </c>
      <c r="K363" s="4" t="s">
        <v>43</v>
      </c>
      <c r="L363" s="4" t="s">
        <v>59</v>
      </c>
      <c r="M363" s="4" t="s">
        <v>40</v>
      </c>
      <c r="N363" s="4" t="s">
        <v>653</v>
      </c>
      <c r="O363" s="4" t="s">
        <v>839</v>
      </c>
      <c r="P363" s="4" t="s">
        <v>42</v>
      </c>
      <c r="Q363" s="4"/>
      <c r="R363" s="50"/>
      <c r="S363" s="50" t="s">
        <v>799</v>
      </c>
      <c r="T363" s="4" t="s">
        <v>43</v>
      </c>
      <c r="U363" s="4" t="s">
        <v>43</v>
      </c>
      <c r="W363" s="48">
        <v>1</v>
      </c>
      <c r="X363" s="48">
        <v>1</v>
      </c>
      <c r="AA363" s="48">
        <v>4</v>
      </c>
      <c r="AC363" s="48">
        <v>4</v>
      </c>
      <c r="AD363" s="91">
        <f t="shared" si="6"/>
        <v>5.6363636363636367</v>
      </c>
    </row>
    <row r="364" spans="3:30" hidden="1" x14ac:dyDescent="0.25">
      <c r="C364" s="87" t="s">
        <v>697</v>
      </c>
      <c r="D364" s="4" t="s">
        <v>698</v>
      </c>
      <c r="E364" s="4" t="s">
        <v>698</v>
      </c>
      <c r="F364" s="93">
        <v>5.6</v>
      </c>
      <c r="G364" s="4" t="s">
        <v>376</v>
      </c>
      <c r="H364" s="4" t="s">
        <v>81</v>
      </c>
      <c r="I364" s="4" t="s">
        <v>377</v>
      </c>
      <c r="J364" s="4" t="s">
        <v>248</v>
      </c>
      <c r="K364" s="4" t="s">
        <v>43</v>
      </c>
      <c r="L364" s="4" t="s">
        <v>51</v>
      </c>
      <c r="M364" s="4" t="s">
        <v>40</v>
      </c>
      <c r="N364" s="4" t="s">
        <v>653</v>
      </c>
      <c r="O364" s="4" t="s">
        <v>697</v>
      </c>
      <c r="P364" s="4" t="s">
        <v>42</v>
      </c>
      <c r="Q364" s="50" t="s">
        <v>43</v>
      </c>
      <c r="R364" s="50"/>
      <c r="S364" s="50" t="s">
        <v>51</v>
      </c>
      <c r="T364" s="82" t="s">
        <v>440</v>
      </c>
      <c r="U364" s="4" t="s">
        <v>32</v>
      </c>
      <c r="W364" s="48">
        <v>1</v>
      </c>
      <c r="X364" s="48">
        <v>1</v>
      </c>
      <c r="AA364" s="48">
        <v>4</v>
      </c>
      <c r="AC364" s="48">
        <v>4</v>
      </c>
      <c r="AD364" s="91">
        <f t="shared" si="6"/>
        <v>5.6363636363636367</v>
      </c>
    </row>
    <row r="365" spans="3:30" hidden="1" x14ac:dyDescent="0.25">
      <c r="C365" s="87" t="s">
        <v>646</v>
      </c>
      <c r="D365" s="4" t="s">
        <v>647</v>
      </c>
      <c r="E365" s="4" t="s">
        <v>647</v>
      </c>
      <c r="F365" s="93">
        <v>7</v>
      </c>
      <c r="G365" s="4" t="s">
        <v>376</v>
      </c>
      <c r="H365" s="4" t="s">
        <v>46</v>
      </c>
      <c r="I365" s="4" t="s">
        <v>421</v>
      </c>
      <c r="J365" s="4" t="s">
        <v>50</v>
      </c>
      <c r="K365" s="4" t="s">
        <v>43</v>
      </c>
      <c r="L365" s="4" t="s">
        <v>59</v>
      </c>
      <c r="M365" s="4" t="s">
        <v>40</v>
      </c>
      <c r="N365" s="4" t="s">
        <v>422</v>
      </c>
      <c r="O365" s="4" t="s">
        <v>646</v>
      </c>
      <c r="P365" s="4" t="s">
        <v>42</v>
      </c>
      <c r="Q365" s="50" t="s">
        <v>43</v>
      </c>
      <c r="R365" s="50"/>
      <c r="S365" s="50" t="s">
        <v>597</v>
      </c>
      <c r="T365" s="4" t="s">
        <v>43</v>
      </c>
      <c r="U365" s="4" t="s">
        <v>43</v>
      </c>
      <c r="W365" s="48">
        <v>1</v>
      </c>
      <c r="X365" s="48">
        <v>1</v>
      </c>
      <c r="Y365" s="48">
        <v>5</v>
      </c>
      <c r="AD365" s="91">
        <f t="shared" si="6"/>
        <v>7</v>
      </c>
    </row>
    <row r="366" spans="3:30" hidden="1" x14ac:dyDescent="0.25">
      <c r="C366" s="87" t="s">
        <v>841</v>
      </c>
      <c r="D366" s="4" t="s">
        <v>842</v>
      </c>
      <c r="E366" s="4" t="s">
        <v>843</v>
      </c>
      <c r="F366" s="93">
        <v>5.6</v>
      </c>
      <c r="G366" s="4" t="s">
        <v>376</v>
      </c>
      <c r="H366" s="4" t="s">
        <v>38</v>
      </c>
      <c r="I366" s="4" t="s">
        <v>421</v>
      </c>
      <c r="J366" s="4" t="s">
        <v>146</v>
      </c>
      <c r="K366" s="4" t="s">
        <v>43</v>
      </c>
      <c r="L366" s="4" t="s">
        <v>59</v>
      </c>
      <c r="M366" s="4" t="s">
        <v>40</v>
      </c>
      <c r="N366" s="4" t="s">
        <v>653</v>
      </c>
      <c r="O366" s="4" t="s">
        <v>841</v>
      </c>
      <c r="P366" s="4" t="s">
        <v>42</v>
      </c>
      <c r="Q366" s="50"/>
      <c r="R366" s="50"/>
      <c r="S366" s="50" t="s">
        <v>799</v>
      </c>
      <c r="T366" s="4" t="s">
        <v>43</v>
      </c>
      <c r="U366" s="4" t="s">
        <v>43</v>
      </c>
      <c r="W366" s="48">
        <v>1</v>
      </c>
      <c r="X366" s="48">
        <v>1</v>
      </c>
      <c r="AA366" s="48">
        <v>4</v>
      </c>
      <c r="AC366" s="48">
        <v>4</v>
      </c>
      <c r="AD366" s="91">
        <f t="shared" si="6"/>
        <v>5.6363636363636367</v>
      </c>
    </row>
    <row r="367" spans="3:30" hidden="1" x14ac:dyDescent="0.25">
      <c r="C367" s="87" t="s">
        <v>881</v>
      </c>
      <c r="D367" s="4" t="s">
        <v>882</v>
      </c>
      <c r="E367" s="4" t="s">
        <v>882</v>
      </c>
      <c r="F367" s="93">
        <v>5.6</v>
      </c>
      <c r="G367" s="4" t="s">
        <v>376</v>
      </c>
      <c r="H367" s="4"/>
      <c r="I367" s="4" t="s">
        <v>377</v>
      </c>
      <c r="J367" s="4" t="s">
        <v>132</v>
      </c>
      <c r="K367" s="4"/>
      <c r="L367" s="4"/>
      <c r="M367" s="4"/>
      <c r="N367" s="4" t="s">
        <v>514</v>
      </c>
      <c r="O367" s="4" t="s">
        <v>881</v>
      </c>
      <c r="P367" s="4"/>
      <c r="Q367" s="50"/>
      <c r="R367" s="50"/>
      <c r="S367" s="50" t="s">
        <v>847</v>
      </c>
      <c r="T367" s="4"/>
      <c r="U367" s="4"/>
      <c r="W367" s="48">
        <v>1</v>
      </c>
      <c r="X367" s="48">
        <v>1</v>
      </c>
      <c r="AA367" s="48">
        <v>4</v>
      </c>
      <c r="AC367" s="48">
        <v>4</v>
      </c>
      <c r="AD367" s="91">
        <f t="shared" si="6"/>
        <v>5.6363636363636367</v>
      </c>
    </row>
    <row r="368" spans="3:30" hidden="1" x14ac:dyDescent="0.25">
      <c r="C368" s="87" t="s">
        <v>648</v>
      </c>
      <c r="D368" s="4" t="s">
        <v>649</v>
      </c>
      <c r="E368" s="4" t="s">
        <v>650</v>
      </c>
      <c r="F368" s="93">
        <v>7.45</v>
      </c>
      <c r="G368" s="4" t="s">
        <v>376</v>
      </c>
      <c r="H368" s="4" t="s">
        <v>46</v>
      </c>
      <c r="I368" s="4" t="s">
        <v>421</v>
      </c>
      <c r="J368" s="4" t="s">
        <v>50</v>
      </c>
      <c r="K368" s="4" t="s">
        <v>43</v>
      </c>
      <c r="L368" s="4" t="s">
        <v>64</v>
      </c>
      <c r="M368" s="4" t="s">
        <v>40</v>
      </c>
      <c r="N368" s="4" t="s">
        <v>422</v>
      </c>
      <c r="O368" s="4" t="s">
        <v>648</v>
      </c>
      <c r="P368" s="4" t="s">
        <v>42</v>
      </c>
      <c r="Q368" s="50" t="s">
        <v>43</v>
      </c>
      <c r="R368" s="50"/>
      <c r="S368" s="50" t="s">
        <v>597</v>
      </c>
      <c r="T368" s="4" t="s">
        <v>43</v>
      </c>
      <c r="U368" s="4" t="s">
        <v>43</v>
      </c>
      <c r="W368" s="48">
        <v>1</v>
      </c>
      <c r="X368" s="48">
        <v>2</v>
      </c>
      <c r="Y368" s="48">
        <v>4</v>
      </c>
      <c r="AB368" s="48">
        <v>1</v>
      </c>
      <c r="AD368" s="91">
        <f t="shared" si="6"/>
        <v>7.4545454545454541</v>
      </c>
    </row>
    <row r="369" spans="3:30" ht="18" hidden="1" x14ac:dyDescent="0.25">
      <c r="F369" s="49">
        <v>1351.12</v>
      </c>
      <c r="AD369" s="91"/>
    </row>
    <row r="371" spans="3:30" x14ac:dyDescent="0.25">
      <c r="F371" s="48">
        <v>5700000</v>
      </c>
    </row>
    <row r="372" spans="3:30" x14ac:dyDescent="0.25">
      <c r="F372" s="48">
        <f>900000*3</f>
        <v>2700000</v>
      </c>
    </row>
    <row r="373" spans="3:30" x14ac:dyDescent="0.25">
      <c r="F373" s="48">
        <f>F371+F372</f>
        <v>8400000</v>
      </c>
    </row>
    <row r="375" spans="3:30" x14ac:dyDescent="0.25">
      <c r="F375" s="48">
        <v>1400000</v>
      </c>
    </row>
    <row r="376" spans="3:30" x14ac:dyDescent="0.25">
      <c r="F376" s="48">
        <f>F372-F375</f>
        <v>1300000</v>
      </c>
    </row>
    <row r="377" spans="3:30" ht="13" x14ac:dyDescent="0.25">
      <c r="E377" s="74" t="s">
        <v>8</v>
      </c>
      <c r="F377" s="74" t="s">
        <v>0</v>
      </c>
    </row>
    <row r="378" spans="3:30" x14ac:dyDescent="0.25">
      <c r="E378" s="4">
        <v>1</v>
      </c>
      <c r="F378" s="4" t="s">
        <v>1</v>
      </c>
    </row>
    <row r="379" spans="3:30" x14ac:dyDescent="0.25">
      <c r="E379" s="4">
        <v>1</v>
      </c>
      <c r="F379" s="4" t="s">
        <v>977</v>
      </c>
    </row>
    <row r="380" spans="3:30" x14ac:dyDescent="0.25">
      <c r="E380" s="4">
        <f>0.68*2</f>
        <v>1.36</v>
      </c>
      <c r="F380" s="4" t="s">
        <v>978</v>
      </c>
    </row>
    <row r="381" spans="3:30" x14ac:dyDescent="0.25">
      <c r="E381" s="4">
        <v>0.56000000000000005</v>
      </c>
      <c r="F381" s="4" t="s">
        <v>979</v>
      </c>
    </row>
    <row r="382" spans="3:30" x14ac:dyDescent="0.25">
      <c r="C382" s="4" t="s">
        <v>426</v>
      </c>
      <c r="E382" s="4">
        <f>0.34*3</f>
        <v>1.02</v>
      </c>
      <c r="F382" s="4" t="s">
        <v>980</v>
      </c>
    </row>
    <row r="383" spans="3:30" ht="13" x14ac:dyDescent="0.25">
      <c r="C383" s="4" t="s">
        <v>685</v>
      </c>
      <c r="E383" s="79">
        <f>SUM(E378:E382)</f>
        <v>4.9400000000000004</v>
      </c>
    </row>
    <row r="384" spans="3:30" x14ac:dyDescent="0.25">
      <c r="C384" s="4" t="s">
        <v>437</v>
      </c>
    </row>
    <row r="385" spans="3:9" x14ac:dyDescent="0.25">
      <c r="C385" s="4" t="s">
        <v>592</v>
      </c>
    </row>
    <row r="386" spans="3:9" x14ac:dyDescent="0.25">
      <c r="E386" s="80"/>
      <c r="F386" s="80"/>
    </row>
    <row r="389" spans="3:9" x14ac:dyDescent="0.25">
      <c r="D389" s="98"/>
      <c r="I389" s="98"/>
    </row>
    <row r="390" spans="3:9" x14ac:dyDescent="0.25">
      <c r="D390" s="98"/>
      <c r="I390" s="98"/>
    </row>
    <row r="391" spans="3:9" x14ac:dyDescent="0.25">
      <c r="G391" s="48" t="s">
        <v>981</v>
      </c>
      <c r="H391" s="48">
        <v>7</v>
      </c>
      <c r="I391" s="98"/>
    </row>
    <row r="392" spans="3:9" x14ac:dyDescent="0.25">
      <c r="I392" s="98"/>
    </row>
    <row r="404" spans="6:9" x14ac:dyDescent="0.25">
      <c r="F404" s="80"/>
      <c r="I404" s="52"/>
    </row>
    <row r="413" spans="6:9" ht="13" x14ac:dyDescent="0.25">
      <c r="H413" s="81"/>
    </row>
  </sheetData>
  <autoFilter ref="C7:AC369" xr:uid="{004631D6-EE80-4BF5-A328-757CC1FF6E71}">
    <filterColumn colId="23">
      <filters>
        <filter val="1"/>
      </filters>
    </filterColumn>
  </autoFilter>
  <mergeCells count="3">
    <mergeCell ref="D389:D390"/>
    <mergeCell ref="I389:I390"/>
    <mergeCell ref="I391:I392"/>
  </mergeCells>
  <conditionalFormatting sqref="C8:C368">
    <cfRule type="duplicateValues" dxfId="40" priority="1"/>
    <cfRule type="duplicateValues" dxfId="39" priority="2"/>
    <cfRule type="duplicateValues" dxfId="38" priority="4"/>
  </conditionalFormatting>
  <conditionalFormatting sqref="O367:O368">
    <cfRule type="duplicateValues" dxfId="37" priority="3"/>
  </conditionalFormatting>
  <pageMargins left="0.7" right="0.7" top="0.75" bottom="0.75" header="0.3" footer="0.3"/>
  <pageSetup paperSize="9" orientation="portrait" r:id="rId1"/>
  <headerFooter>
    <oddFooter>&amp;C_x000D_&amp;1#&amp;"Calibri"&amp;10&amp;K000000 OXXO | Uso Interno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1E710-D17B-43FC-AA57-DD931CCE60C5}">
  <dimension ref="A1:B17"/>
  <sheetViews>
    <sheetView workbookViewId="0">
      <selection sqref="A1:B17"/>
    </sheetView>
  </sheetViews>
  <sheetFormatPr baseColWidth="10" defaultColWidth="11.453125" defaultRowHeight="12.5" x14ac:dyDescent="0.25"/>
  <sheetData>
    <row r="1" spans="1:2" ht="13" x14ac:dyDescent="0.25">
      <c r="A1" s="1" t="s">
        <v>15</v>
      </c>
      <c r="B1" s="1" t="s">
        <v>16</v>
      </c>
    </row>
    <row r="2" spans="1:2" x14ac:dyDescent="0.25">
      <c r="A2" s="87" t="s">
        <v>929</v>
      </c>
      <c r="B2" s="4" t="s">
        <v>930</v>
      </c>
    </row>
    <row r="3" spans="1:2" x14ac:dyDescent="0.25">
      <c r="A3" s="87" t="s">
        <v>651</v>
      </c>
      <c r="B3" s="4" t="s">
        <v>652</v>
      </c>
    </row>
    <row r="4" spans="1:2" x14ac:dyDescent="0.25">
      <c r="A4" s="87" t="s">
        <v>373</v>
      </c>
      <c r="B4" s="4" t="s">
        <v>374</v>
      </c>
    </row>
    <row r="5" spans="1:2" x14ac:dyDescent="0.25">
      <c r="A5" s="87" t="s">
        <v>699</v>
      </c>
      <c r="B5" s="4" t="s">
        <v>700</v>
      </c>
    </row>
    <row r="6" spans="1:2" x14ac:dyDescent="0.25">
      <c r="A6" s="87" t="s">
        <v>739</v>
      </c>
      <c r="B6" s="4" t="s">
        <v>740</v>
      </c>
    </row>
    <row r="7" spans="1:2" x14ac:dyDescent="0.25">
      <c r="A7" s="87" t="s">
        <v>381</v>
      </c>
      <c r="B7" s="4" t="s">
        <v>382</v>
      </c>
    </row>
    <row r="8" spans="1:2" x14ac:dyDescent="0.25">
      <c r="A8" s="87" t="s">
        <v>511</v>
      </c>
      <c r="B8" s="4" t="s">
        <v>512</v>
      </c>
    </row>
    <row r="9" spans="1:2" x14ac:dyDescent="0.25">
      <c r="A9" s="87" t="s">
        <v>516</v>
      </c>
      <c r="B9" s="4" t="s">
        <v>517</v>
      </c>
    </row>
    <row r="10" spans="1:2" x14ac:dyDescent="0.25">
      <c r="A10" s="87" t="s">
        <v>796</v>
      </c>
      <c r="B10" s="4" t="s">
        <v>797</v>
      </c>
    </row>
    <row r="11" spans="1:2" x14ac:dyDescent="0.25">
      <c r="A11" s="87" t="s">
        <v>463</v>
      </c>
      <c r="B11" s="4" t="s">
        <v>464</v>
      </c>
    </row>
    <row r="12" spans="1:2" x14ac:dyDescent="0.25">
      <c r="A12" s="87" t="s">
        <v>940</v>
      </c>
      <c r="B12" s="4" t="s">
        <v>941</v>
      </c>
    </row>
    <row r="13" spans="1:2" x14ac:dyDescent="0.25">
      <c r="A13" s="87" t="s">
        <v>745</v>
      </c>
      <c r="B13" s="4" t="s">
        <v>746</v>
      </c>
    </row>
    <row r="14" spans="1:2" x14ac:dyDescent="0.25">
      <c r="A14" s="87" t="s">
        <v>709</v>
      </c>
      <c r="B14" s="4" t="s">
        <v>710</v>
      </c>
    </row>
    <row r="15" spans="1:2" x14ac:dyDescent="0.25">
      <c r="A15" s="87" t="s">
        <v>861</v>
      </c>
      <c r="B15" s="4" t="s">
        <v>983</v>
      </c>
    </row>
    <row r="16" spans="1:2" x14ac:dyDescent="0.25">
      <c r="A16" s="87" t="s">
        <v>537</v>
      </c>
      <c r="B16" s="4" t="s">
        <v>538</v>
      </c>
    </row>
    <row r="17" spans="1:2" x14ac:dyDescent="0.25">
      <c r="A17" s="87" t="s">
        <v>752</v>
      </c>
      <c r="B17" s="4" t="s">
        <v>753</v>
      </c>
    </row>
  </sheetData>
  <conditionalFormatting sqref="A2:A17">
    <cfRule type="duplicateValues" dxfId="36" priority="1"/>
    <cfRule type="duplicateValues" dxfId="35" priority="2"/>
    <cfRule type="duplicateValues" dxfId="34" priority="3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96667-13F2-42E2-AD31-60D05F12EA6F}">
  <dimension ref="B3:K364"/>
  <sheetViews>
    <sheetView zoomScale="70" zoomScaleNormal="70" workbookViewId="0">
      <selection activeCell="D4" sqref="D4"/>
    </sheetView>
  </sheetViews>
  <sheetFormatPr baseColWidth="10" defaultColWidth="10.81640625" defaultRowHeight="12.5" x14ac:dyDescent="0.25"/>
  <cols>
    <col min="1" max="1" width="10.81640625" style="16"/>
    <col min="2" max="2" width="16.54296875" style="16" bestFit="1" customWidth="1"/>
    <col min="3" max="3" width="33.453125" style="16" bestFit="1" customWidth="1"/>
    <col min="4" max="4" width="8.453125" style="16" bestFit="1" customWidth="1"/>
    <col min="5" max="11" width="19.453125" style="16" customWidth="1"/>
    <col min="12" max="16384" width="10.81640625" style="16"/>
  </cols>
  <sheetData>
    <row r="3" spans="2:11" ht="14" x14ac:dyDescent="0.25">
      <c r="B3" s="23" t="s">
        <v>15</v>
      </c>
      <c r="C3" s="23" t="s">
        <v>16</v>
      </c>
      <c r="D3" s="23" t="s">
        <v>18</v>
      </c>
      <c r="E3" s="83" t="s">
        <v>1</v>
      </c>
      <c r="F3" s="84" t="s">
        <v>2</v>
      </c>
      <c r="G3" s="84" t="s">
        <v>3</v>
      </c>
      <c r="H3" s="84" t="s">
        <v>4</v>
      </c>
      <c r="I3" s="84" t="s">
        <v>5</v>
      </c>
      <c r="J3" s="84" t="s">
        <v>6</v>
      </c>
      <c r="K3" s="85" t="s">
        <v>7</v>
      </c>
    </row>
    <row r="4" spans="2:11" x14ac:dyDescent="0.25">
      <c r="B4" s="25" t="s">
        <v>929</v>
      </c>
      <c r="C4" s="25" t="s">
        <v>930</v>
      </c>
      <c r="D4" s="25">
        <v>11.68</v>
      </c>
      <c r="E4" s="16" t="e">
        <f>HLOOKUP(D4,'COMPOSICION FTE'!$C$3:$AL$11,2,0)</f>
        <v>#N/A</v>
      </c>
    </row>
    <row r="5" spans="2:11" x14ac:dyDescent="0.25">
      <c r="B5" s="25" t="s">
        <v>651</v>
      </c>
      <c r="C5" s="25" t="s">
        <v>652</v>
      </c>
      <c r="D5" s="25">
        <v>12</v>
      </c>
    </row>
    <row r="6" spans="2:11" x14ac:dyDescent="0.25">
      <c r="B6" s="25" t="s">
        <v>373</v>
      </c>
      <c r="C6" s="25" t="s">
        <v>374</v>
      </c>
      <c r="D6" s="25">
        <v>11.68</v>
      </c>
    </row>
    <row r="7" spans="2:11" x14ac:dyDescent="0.25">
      <c r="B7" s="25" t="s">
        <v>699</v>
      </c>
      <c r="C7" s="25" t="s">
        <v>700</v>
      </c>
      <c r="D7" s="25">
        <v>10</v>
      </c>
    </row>
    <row r="8" spans="2:11" x14ac:dyDescent="0.25">
      <c r="B8" s="25" t="s">
        <v>739</v>
      </c>
      <c r="C8" s="25" t="s">
        <v>740</v>
      </c>
      <c r="D8" s="25">
        <v>9</v>
      </c>
    </row>
    <row r="9" spans="2:11" x14ac:dyDescent="0.25">
      <c r="B9" s="25" t="s">
        <v>381</v>
      </c>
      <c r="C9" s="25" t="s">
        <v>382</v>
      </c>
      <c r="D9" s="25">
        <v>8.4499999999999993</v>
      </c>
    </row>
    <row r="10" spans="2:11" x14ac:dyDescent="0.25">
      <c r="B10" s="25" t="s">
        <v>511</v>
      </c>
      <c r="C10" s="25" t="s">
        <v>512</v>
      </c>
      <c r="D10" s="25">
        <v>10.58</v>
      </c>
    </row>
    <row r="11" spans="2:11" x14ac:dyDescent="0.25">
      <c r="B11" s="25" t="s">
        <v>516</v>
      </c>
      <c r="C11" s="25" t="s">
        <v>517</v>
      </c>
      <c r="D11" s="25">
        <v>10.24</v>
      </c>
    </row>
    <row r="12" spans="2:11" x14ac:dyDescent="0.25">
      <c r="B12" s="25" t="s">
        <v>796</v>
      </c>
      <c r="C12" s="25" t="s">
        <v>797</v>
      </c>
      <c r="D12" s="25">
        <v>8.68</v>
      </c>
    </row>
    <row r="13" spans="2:11" x14ac:dyDescent="0.25">
      <c r="B13" s="25" t="s">
        <v>463</v>
      </c>
      <c r="C13" s="25" t="s">
        <v>464</v>
      </c>
      <c r="D13" s="25">
        <v>8.9</v>
      </c>
    </row>
    <row r="14" spans="2:11" x14ac:dyDescent="0.25">
      <c r="B14" s="25" t="s">
        <v>383</v>
      </c>
      <c r="C14" s="25" t="s">
        <v>384</v>
      </c>
      <c r="D14" s="25">
        <v>8</v>
      </c>
    </row>
    <row r="15" spans="2:11" x14ac:dyDescent="0.25">
      <c r="B15" s="25" t="s">
        <v>646</v>
      </c>
      <c r="C15" s="25" t="s">
        <v>647</v>
      </c>
      <c r="D15" s="25">
        <v>7</v>
      </c>
    </row>
    <row r="16" spans="2:11" x14ac:dyDescent="0.25">
      <c r="B16" s="25" t="s">
        <v>648</v>
      </c>
      <c r="C16" s="25" t="s">
        <v>649</v>
      </c>
      <c r="D16" s="25">
        <v>7.45</v>
      </c>
    </row>
    <row r="17" spans="2:4" x14ac:dyDescent="0.25">
      <c r="B17" s="25" t="s">
        <v>642</v>
      </c>
      <c r="C17" s="25" t="s">
        <v>643</v>
      </c>
      <c r="D17" s="25">
        <v>6.16</v>
      </c>
    </row>
    <row r="18" spans="2:4" x14ac:dyDescent="0.25">
      <c r="B18" s="25" t="s">
        <v>468</v>
      </c>
      <c r="C18" s="25" t="s">
        <v>469</v>
      </c>
      <c r="D18" s="25">
        <v>8.4499999999999993</v>
      </c>
    </row>
    <row r="19" spans="2:4" x14ac:dyDescent="0.25">
      <c r="B19" s="25" t="s">
        <v>932</v>
      </c>
      <c r="C19" s="25" t="s">
        <v>933</v>
      </c>
      <c r="D19" s="25">
        <v>7</v>
      </c>
    </row>
    <row r="20" spans="2:4" x14ac:dyDescent="0.25">
      <c r="B20" s="25" t="s">
        <v>390</v>
      </c>
      <c r="C20" s="25" t="s">
        <v>391</v>
      </c>
      <c r="D20" s="25">
        <v>7</v>
      </c>
    </row>
    <row r="21" spans="2:4" x14ac:dyDescent="0.25">
      <c r="B21" s="25" t="s">
        <v>883</v>
      </c>
      <c r="C21" s="25" t="s">
        <v>884</v>
      </c>
      <c r="D21" s="25">
        <v>5.79</v>
      </c>
    </row>
    <row r="22" spans="2:4" x14ac:dyDescent="0.25">
      <c r="B22" s="25" t="s">
        <v>387</v>
      </c>
      <c r="C22" s="25" t="s">
        <v>388</v>
      </c>
      <c r="D22" s="25">
        <v>6.68</v>
      </c>
    </row>
    <row r="23" spans="2:4" x14ac:dyDescent="0.25">
      <c r="B23" s="25" t="s">
        <v>519</v>
      </c>
      <c r="C23" s="25" t="s">
        <v>520</v>
      </c>
      <c r="D23" s="25">
        <v>7</v>
      </c>
    </row>
    <row r="24" spans="2:4" x14ac:dyDescent="0.25">
      <c r="B24" s="25" t="s">
        <v>887</v>
      </c>
      <c r="C24" s="25" t="s">
        <v>275</v>
      </c>
      <c r="D24" s="25">
        <v>8.68</v>
      </c>
    </row>
    <row r="25" spans="2:4" x14ac:dyDescent="0.25">
      <c r="B25" s="25" t="s">
        <v>654</v>
      </c>
      <c r="C25" s="25" t="s">
        <v>655</v>
      </c>
      <c r="D25" s="25">
        <v>7</v>
      </c>
    </row>
    <row r="26" spans="2:4" x14ac:dyDescent="0.25">
      <c r="B26" s="25" t="s">
        <v>800</v>
      </c>
      <c r="C26" s="25" t="s">
        <v>801</v>
      </c>
      <c r="D26" s="25">
        <v>7</v>
      </c>
    </row>
    <row r="27" spans="2:4" x14ac:dyDescent="0.25">
      <c r="B27" s="25" t="s">
        <v>385</v>
      </c>
      <c r="C27" s="25" t="s">
        <v>386</v>
      </c>
      <c r="D27" s="25">
        <v>7</v>
      </c>
    </row>
    <row r="28" spans="2:4" x14ac:dyDescent="0.25">
      <c r="B28" s="25" t="s">
        <v>934</v>
      </c>
      <c r="C28" s="25" t="s">
        <v>935</v>
      </c>
      <c r="D28" s="25">
        <v>7</v>
      </c>
    </row>
    <row r="29" spans="2:4" x14ac:dyDescent="0.25">
      <c r="B29" s="25" t="s">
        <v>573</v>
      </c>
      <c r="C29" s="25" t="s">
        <v>574</v>
      </c>
      <c r="D29" s="25">
        <v>7</v>
      </c>
    </row>
    <row r="30" spans="2:4" x14ac:dyDescent="0.25">
      <c r="B30" s="25" t="s">
        <v>804</v>
      </c>
      <c r="C30" s="25" t="s">
        <v>805</v>
      </c>
      <c r="D30" s="25">
        <v>7</v>
      </c>
    </row>
    <row r="31" spans="2:4" x14ac:dyDescent="0.25">
      <c r="B31" s="25" t="s">
        <v>618</v>
      </c>
      <c r="C31" s="25" t="s">
        <v>619</v>
      </c>
      <c r="D31" s="25">
        <v>6.68</v>
      </c>
    </row>
    <row r="32" spans="2:4" x14ac:dyDescent="0.25">
      <c r="B32" s="25" t="s">
        <v>419</v>
      </c>
      <c r="C32" s="25" t="s">
        <v>420</v>
      </c>
      <c r="D32" s="25">
        <v>6</v>
      </c>
    </row>
    <row r="33" spans="2:4" x14ac:dyDescent="0.25">
      <c r="B33" s="25" t="s">
        <v>521</v>
      </c>
      <c r="C33" s="25" t="s">
        <v>522</v>
      </c>
      <c r="D33" s="25">
        <v>6</v>
      </c>
    </row>
    <row r="34" spans="2:4" x14ac:dyDescent="0.25">
      <c r="B34" s="25" t="s">
        <v>844</v>
      </c>
      <c r="C34" s="25" t="s">
        <v>845</v>
      </c>
      <c r="D34" s="25">
        <v>6</v>
      </c>
    </row>
    <row r="35" spans="2:4" x14ac:dyDescent="0.25">
      <c r="B35" s="25" t="s">
        <v>889</v>
      </c>
      <c r="C35" s="25" t="s">
        <v>890</v>
      </c>
      <c r="D35" s="25">
        <v>6</v>
      </c>
    </row>
    <row r="36" spans="2:4" x14ac:dyDescent="0.25">
      <c r="B36" s="25" t="s">
        <v>392</v>
      </c>
      <c r="C36" s="25" t="s">
        <v>393</v>
      </c>
      <c r="D36" s="25">
        <v>5</v>
      </c>
    </row>
    <row r="37" spans="2:4" x14ac:dyDescent="0.25">
      <c r="B37" s="25" t="s">
        <v>703</v>
      </c>
      <c r="C37" s="25" t="s">
        <v>704</v>
      </c>
      <c r="D37" s="25">
        <v>5</v>
      </c>
    </row>
    <row r="38" spans="2:4" x14ac:dyDescent="0.25">
      <c r="B38" s="25" t="s">
        <v>34</v>
      </c>
      <c r="C38" s="25" t="s">
        <v>35</v>
      </c>
      <c r="D38" s="25" t="s">
        <v>36</v>
      </c>
    </row>
    <row r="39" spans="2:4" x14ac:dyDescent="0.25">
      <c r="B39" s="25" t="s">
        <v>424</v>
      </c>
      <c r="C39" s="25" t="s">
        <v>425</v>
      </c>
      <c r="D39" s="25">
        <v>6</v>
      </c>
    </row>
    <row r="40" spans="2:4" x14ac:dyDescent="0.25">
      <c r="B40" s="25" t="s">
        <v>471</v>
      </c>
      <c r="C40" s="25" t="s">
        <v>472</v>
      </c>
      <c r="D40" s="25">
        <v>5</v>
      </c>
    </row>
    <row r="41" spans="2:4" x14ac:dyDescent="0.25">
      <c r="B41" s="25" t="s">
        <v>742</v>
      </c>
      <c r="C41" s="25" t="s">
        <v>743</v>
      </c>
      <c r="D41" s="25">
        <v>6</v>
      </c>
    </row>
    <row r="42" spans="2:4" x14ac:dyDescent="0.25">
      <c r="B42" s="25" t="s">
        <v>707</v>
      </c>
      <c r="C42" s="25" t="s">
        <v>706</v>
      </c>
      <c r="D42" s="25">
        <v>5</v>
      </c>
    </row>
    <row r="43" spans="2:4" x14ac:dyDescent="0.25">
      <c r="B43" s="25" t="s">
        <v>394</v>
      </c>
      <c r="C43" s="25" t="s">
        <v>395</v>
      </c>
      <c r="D43" s="25">
        <v>6</v>
      </c>
    </row>
    <row r="44" spans="2:4" x14ac:dyDescent="0.25">
      <c r="B44" s="25" t="s">
        <v>396</v>
      </c>
      <c r="C44" s="25" t="s">
        <v>397</v>
      </c>
      <c r="D44" s="25">
        <v>6</v>
      </c>
    </row>
    <row r="45" spans="2:4" x14ac:dyDescent="0.25">
      <c r="B45" s="25" t="s">
        <v>848</v>
      </c>
      <c r="C45" s="25" t="s">
        <v>849</v>
      </c>
      <c r="D45" s="25">
        <v>8.34</v>
      </c>
    </row>
    <row r="46" spans="2:4" x14ac:dyDescent="0.25">
      <c r="B46" s="25" t="s">
        <v>936</v>
      </c>
      <c r="C46" s="25" t="s">
        <v>937</v>
      </c>
      <c r="D46" s="25">
        <v>5.56</v>
      </c>
    </row>
    <row r="47" spans="2:4" x14ac:dyDescent="0.25">
      <c r="B47" s="25" t="s">
        <v>939</v>
      </c>
      <c r="C47" s="25" t="s">
        <v>39</v>
      </c>
      <c r="D47" s="25">
        <v>10.130000000000001</v>
      </c>
    </row>
    <row r="48" spans="2:4" x14ac:dyDescent="0.25">
      <c r="B48" s="25" t="s">
        <v>44</v>
      </c>
      <c r="C48" s="25" t="s">
        <v>45</v>
      </c>
      <c r="D48" s="25" t="s">
        <v>36</v>
      </c>
    </row>
    <row r="49" spans="2:4" x14ac:dyDescent="0.25">
      <c r="B49" s="25" t="s">
        <v>940</v>
      </c>
      <c r="C49" s="25" t="s">
        <v>941</v>
      </c>
      <c r="D49" s="25">
        <v>10</v>
      </c>
    </row>
    <row r="50" spans="2:4" x14ac:dyDescent="0.25">
      <c r="B50" s="25" t="s">
        <v>850</v>
      </c>
      <c r="C50" s="25" t="s">
        <v>851</v>
      </c>
      <c r="D50" s="25">
        <v>6</v>
      </c>
    </row>
    <row r="51" spans="2:4" x14ac:dyDescent="0.25">
      <c r="B51" s="25" t="s">
        <v>474</v>
      </c>
      <c r="C51" s="25" t="s">
        <v>475</v>
      </c>
      <c r="D51" s="25">
        <v>6</v>
      </c>
    </row>
    <row r="52" spans="2:4" x14ac:dyDescent="0.25">
      <c r="B52" s="25" t="s">
        <v>555</v>
      </c>
      <c r="C52" s="25" t="s">
        <v>556</v>
      </c>
      <c r="D52" s="25">
        <v>5</v>
      </c>
    </row>
    <row r="53" spans="2:4" x14ac:dyDescent="0.25">
      <c r="B53" s="25" t="s">
        <v>745</v>
      </c>
      <c r="C53" s="25" t="s">
        <v>746</v>
      </c>
      <c r="D53" s="25">
        <v>9</v>
      </c>
    </row>
    <row r="54" spans="2:4" x14ac:dyDescent="0.25">
      <c r="B54" s="25" t="s">
        <v>656</v>
      </c>
      <c r="C54" s="25" t="s">
        <v>657</v>
      </c>
      <c r="D54" s="25">
        <v>5</v>
      </c>
    </row>
    <row r="55" spans="2:4" x14ac:dyDescent="0.25">
      <c r="B55" s="25" t="s">
        <v>523</v>
      </c>
      <c r="C55" s="25" t="s">
        <v>524</v>
      </c>
      <c r="D55" s="25">
        <v>6</v>
      </c>
    </row>
    <row r="56" spans="2:4" x14ac:dyDescent="0.25">
      <c r="B56" s="25" t="s">
        <v>476</v>
      </c>
      <c r="C56" s="25" t="s">
        <v>477</v>
      </c>
      <c r="D56" s="25">
        <v>5</v>
      </c>
    </row>
    <row r="57" spans="2:4" x14ac:dyDescent="0.25">
      <c r="B57" s="25" t="s">
        <v>659</v>
      </c>
      <c r="C57" s="25" t="s">
        <v>660</v>
      </c>
      <c r="D57" s="25">
        <v>6</v>
      </c>
    </row>
    <row r="58" spans="2:4" x14ac:dyDescent="0.25">
      <c r="B58" s="25" t="s">
        <v>644</v>
      </c>
      <c r="C58" s="25" t="s">
        <v>645</v>
      </c>
      <c r="D58" s="25">
        <v>6.16</v>
      </c>
    </row>
    <row r="59" spans="2:4" x14ac:dyDescent="0.25">
      <c r="B59" s="25" t="s">
        <v>398</v>
      </c>
      <c r="C59" s="25" t="s">
        <v>399</v>
      </c>
      <c r="D59" s="25">
        <v>5</v>
      </c>
    </row>
    <row r="60" spans="2:4" x14ac:dyDescent="0.25">
      <c r="B60" s="25" t="s">
        <v>634</v>
      </c>
      <c r="C60" s="25" t="s">
        <v>635</v>
      </c>
      <c r="D60" s="25">
        <v>6</v>
      </c>
    </row>
    <row r="61" spans="2:4" x14ac:dyDescent="0.25">
      <c r="B61" s="25" t="s">
        <v>558</v>
      </c>
      <c r="C61" s="25" t="s">
        <v>559</v>
      </c>
      <c r="D61" s="25">
        <v>6</v>
      </c>
    </row>
    <row r="62" spans="2:4" x14ac:dyDescent="0.25">
      <c r="B62" s="25" t="s">
        <v>561</v>
      </c>
      <c r="C62" s="25" t="s">
        <v>562</v>
      </c>
      <c r="D62" s="25">
        <v>6</v>
      </c>
    </row>
    <row r="63" spans="2:4" x14ac:dyDescent="0.25">
      <c r="B63" s="25" t="s">
        <v>478</v>
      </c>
      <c r="C63" s="25" t="s">
        <v>479</v>
      </c>
      <c r="D63" s="25">
        <v>5</v>
      </c>
    </row>
    <row r="64" spans="2:4" x14ac:dyDescent="0.25">
      <c r="B64" s="25" t="s">
        <v>852</v>
      </c>
      <c r="C64" s="25" t="s">
        <v>853</v>
      </c>
      <c r="D64" s="25">
        <v>5</v>
      </c>
    </row>
    <row r="65" spans="2:4" x14ac:dyDescent="0.25">
      <c r="B65" s="25" t="s">
        <v>426</v>
      </c>
      <c r="C65" s="25" t="s">
        <v>427</v>
      </c>
      <c r="D65" s="25">
        <v>5</v>
      </c>
    </row>
    <row r="66" spans="2:4" x14ac:dyDescent="0.25">
      <c r="B66" s="25" t="s">
        <v>769</v>
      </c>
      <c r="C66" s="25" t="s">
        <v>770</v>
      </c>
      <c r="D66" s="25">
        <v>5.04</v>
      </c>
    </row>
    <row r="67" spans="2:4" x14ac:dyDescent="0.25">
      <c r="B67" s="25" t="s">
        <v>942</v>
      </c>
      <c r="C67" s="25" t="s">
        <v>943</v>
      </c>
      <c r="D67" s="25">
        <v>5.6</v>
      </c>
    </row>
    <row r="68" spans="2:4" x14ac:dyDescent="0.25">
      <c r="B68" s="25" t="s">
        <v>525</v>
      </c>
      <c r="C68" s="25" t="s">
        <v>526</v>
      </c>
      <c r="D68" s="25">
        <v>6.58</v>
      </c>
    </row>
    <row r="69" spans="2:4" x14ac:dyDescent="0.25">
      <c r="B69" s="25" t="s">
        <v>48</v>
      </c>
      <c r="C69" s="25" t="s">
        <v>49</v>
      </c>
      <c r="D69" s="25" t="s">
        <v>36</v>
      </c>
    </row>
    <row r="70" spans="2:4" x14ac:dyDescent="0.25">
      <c r="B70" s="25" t="s">
        <v>52</v>
      </c>
      <c r="C70" s="25" t="s">
        <v>53</v>
      </c>
      <c r="D70" s="25" t="s">
        <v>36</v>
      </c>
    </row>
    <row r="71" spans="2:4" x14ac:dyDescent="0.25">
      <c r="B71" s="25" t="s">
        <v>528</v>
      </c>
      <c r="C71" s="25" t="s">
        <v>529</v>
      </c>
      <c r="D71" s="25">
        <v>6.28</v>
      </c>
    </row>
    <row r="72" spans="2:4" x14ac:dyDescent="0.25">
      <c r="B72" s="25" t="s">
        <v>854</v>
      </c>
      <c r="C72" s="25" t="s">
        <v>982</v>
      </c>
      <c r="D72" s="25">
        <v>6.45</v>
      </c>
    </row>
    <row r="73" spans="2:4" x14ac:dyDescent="0.25">
      <c r="B73" s="25" t="s">
        <v>531</v>
      </c>
      <c r="C73" s="25" t="s">
        <v>532</v>
      </c>
      <c r="D73" s="25">
        <v>5.45</v>
      </c>
    </row>
    <row r="74" spans="2:4" x14ac:dyDescent="0.25">
      <c r="B74" s="25" t="s">
        <v>945</v>
      </c>
      <c r="C74" s="25" t="s">
        <v>946</v>
      </c>
      <c r="D74" s="25">
        <v>6.45</v>
      </c>
    </row>
    <row r="75" spans="2:4" x14ac:dyDescent="0.25">
      <c r="B75" s="25" t="s">
        <v>773</v>
      </c>
      <c r="C75" s="25" t="s">
        <v>774</v>
      </c>
      <c r="D75" s="25">
        <v>5.04</v>
      </c>
    </row>
    <row r="76" spans="2:4" x14ac:dyDescent="0.25">
      <c r="B76" s="25" t="s">
        <v>662</v>
      </c>
      <c r="C76" s="25" t="s">
        <v>663</v>
      </c>
      <c r="D76" s="25">
        <v>5.6</v>
      </c>
    </row>
    <row r="77" spans="2:4" x14ac:dyDescent="0.25">
      <c r="B77" s="25" t="s">
        <v>56</v>
      </c>
      <c r="C77" s="25" t="s">
        <v>57</v>
      </c>
      <c r="D77" s="25" t="s">
        <v>36</v>
      </c>
    </row>
    <row r="78" spans="2:4" x14ac:dyDescent="0.25">
      <c r="B78" s="25" t="s">
        <v>534</v>
      </c>
      <c r="C78" s="25" t="s">
        <v>535</v>
      </c>
      <c r="D78" s="25">
        <v>5.45</v>
      </c>
    </row>
    <row r="79" spans="2:4" x14ac:dyDescent="0.25">
      <c r="B79" s="25" t="s">
        <v>636</v>
      </c>
      <c r="C79" s="25" t="s">
        <v>637</v>
      </c>
      <c r="D79" s="25">
        <v>6</v>
      </c>
    </row>
    <row r="80" spans="2:4" x14ac:dyDescent="0.25">
      <c r="B80" s="25" t="s">
        <v>857</v>
      </c>
      <c r="C80" s="25" t="s">
        <v>858</v>
      </c>
      <c r="D80" s="37">
        <v>5.9</v>
      </c>
    </row>
    <row r="81" spans="2:4" x14ac:dyDescent="0.25">
      <c r="B81" s="25" t="s">
        <v>747</v>
      </c>
      <c r="C81" s="25" t="s">
        <v>748</v>
      </c>
      <c r="D81" s="25">
        <v>6.9</v>
      </c>
    </row>
    <row r="82" spans="2:4" x14ac:dyDescent="0.25">
      <c r="B82" s="25" t="s">
        <v>564</v>
      </c>
      <c r="C82" s="25" t="s">
        <v>565</v>
      </c>
      <c r="D82" s="25">
        <v>5.9</v>
      </c>
    </row>
    <row r="83" spans="2:4" x14ac:dyDescent="0.25">
      <c r="B83" s="25" t="s">
        <v>709</v>
      </c>
      <c r="C83" s="25" t="s">
        <v>710</v>
      </c>
      <c r="D83" s="25">
        <v>8</v>
      </c>
    </row>
    <row r="84" spans="2:4" x14ac:dyDescent="0.25">
      <c r="B84" s="25" t="s">
        <v>60</v>
      </c>
      <c r="C84" s="25" t="s">
        <v>61</v>
      </c>
      <c r="D84" s="25" t="s">
        <v>36</v>
      </c>
    </row>
    <row r="85" spans="2:4" x14ac:dyDescent="0.25">
      <c r="B85" s="25" t="s">
        <v>861</v>
      </c>
      <c r="C85" s="25" t="s">
        <v>983</v>
      </c>
      <c r="D85" s="25">
        <v>7.9</v>
      </c>
    </row>
    <row r="86" spans="2:4" x14ac:dyDescent="0.25">
      <c r="B86" s="25" t="s">
        <v>616</v>
      </c>
      <c r="C86" s="25" t="s">
        <v>617</v>
      </c>
      <c r="D86" s="25">
        <v>5.45</v>
      </c>
    </row>
    <row r="87" spans="2:4" x14ac:dyDescent="0.25">
      <c r="B87" s="25" t="s">
        <v>891</v>
      </c>
      <c r="C87" s="25" t="s">
        <v>892</v>
      </c>
      <c r="D87" s="25">
        <v>5</v>
      </c>
    </row>
    <row r="88" spans="2:4" x14ac:dyDescent="0.25">
      <c r="B88" s="25" t="s">
        <v>65</v>
      </c>
      <c r="C88" s="25" t="s">
        <v>66</v>
      </c>
      <c r="D88" s="25" t="s">
        <v>36</v>
      </c>
    </row>
    <row r="89" spans="2:4" x14ac:dyDescent="0.25">
      <c r="B89" s="25" t="s">
        <v>777</v>
      </c>
      <c r="C89" s="25" t="s">
        <v>778</v>
      </c>
      <c r="D89" s="25">
        <v>6</v>
      </c>
    </row>
    <row r="90" spans="2:4" x14ac:dyDescent="0.25">
      <c r="B90" s="25" t="s">
        <v>480</v>
      </c>
      <c r="C90" s="25" t="s">
        <v>481</v>
      </c>
      <c r="D90" s="25">
        <v>5</v>
      </c>
    </row>
    <row r="91" spans="2:4" x14ac:dyDescent="0.25">
      <c r="B91" s="25" t="s">
        <v>807</v>
      </c>
      <c r="C91" s="25" t="s">
        <v>808</v>
      </c>
      <c r="D91" s="25">
        <v>7</v>
      </c>
    </row>
    <row r="92" spans="2:4" x14ac:dyDescent="0.25">
      <c r="B92" s="25" t="s">
        <v>400</v>
      </c>
      <c r="C92" s="25" t="s">
        <v>401</v>
      </c>
      <c r="D92" s="25">
        <v>5.45</v>
      </c>
    </row>
    <row r="93" spans="2:4" x14ac:dyDescent="0.25">
      <c r="B93" s="25" t="s">
        <v>402</v>
      </c>
      <c r="C93" s="25" t="s">
        <v>403</v>
      </c>
      <c r="D93" s="25">
        <v>5.45</v>
      </c>
    </row>
    <row r="94" spans="2:4" x14ac:dyDescent="0.25">
      <c r="B94" s="25" t="s">
        <v>665</v>
      </c>
      <c r="C94" s="25" t="s">
        <v>666</v>
      </c>
      <c r="D94" s="25">
        <v>6</v>
      </c>
    </row>
    <row r="95" spans="2:4" x14ac:dyDescent="0.25">
      <c r="B95" s="25" t="s">
        <v>404</v>
      </c>
      <c r="C95" s="25" t="s">
        <v>405</v>
      </c>
      <c r="D95" s="25">
        <v>5</v>
      </c>
    </row>
    <row r="96" spans="2:4" x14ac:dyDescent="0.25">
      <c r="B96" s="25" t="s">
        <v>948</v>
      </c>
      <c r="C96" s="25" t="s">
        <v>949</v>
      </c>
      <c r="D96" s="25">
        <v>5.45</v>
      </c>
    </row>
    <row r="97" spans="2:4" x14ac:dyDescent="0.25">
      <c r="B97" s="25" t="s">
        <v>667</v>
      </c>
      <c r="C97" s="25" t="s">
        <v>668</v>
      </c>
      <c r="D97" s="25">
        <v>6</v>
      </c>
    </row>
    <row r="98" spans="2:4" x14ac:dyDescent="0.25">
      <c r="B98" s="25" t="s">
        <v>669</v>
      </c>
      <c r="C98" s="25" t="s">
        <v>670</v>
      </c>
      <c r="D98" s="25">
        <v>5.45</v>
      </c>
    </row>
    <row r="99" spans="2:4" x14ac:dyDescent="0.25">
      <c r="B99" s="25" t="s">
        <v>894</v>
      </c>
      <c r="C99" s="25" t="s">
        <v>895</v>
      </c>
      <c r="D99" s="25">
        <v>5</v>
      </c>
    </row>
    <row r="100" spans="2:4" x14ac:dyDescent="0.25">
      <c r="B100" s="25" t="s">
        <v>537</v>
      </c>
      <c r="C100" s="25" t="s">
        <v>538</v>
      </c>
      <c r="D100" s="25">
        <v>6.13</v>
      </c>
    </row>
    <row r="101" spans="2:4" x14ac:dyDescent="0.25">
      <c r="B101" s="25" t="s">
        <v>863</v>
      </c>
      <c r="C101" s="25" t="s">
        <v>864</v>
      </c>
      <c r="D101" s="25">
        <v>5</v>
      </c>
    </row>
    <row r="102" spans="2:4" x14ac:dyDescent="0.25">
      <c r="B102" s="25" t="s">
        <v>896</v>
      </c>
      <c r="C102" s="25" t="s">
        <v>897</v>
      </c>
      <c r="D102" s="25">
        <v>5</v>
      </c>
    </row>
    <row r="103" spans="2:4" x14ac:dyDescent="0.25">
      <c r="B103" s="25" t="s">
        <v>898</v>
      </c>
      <c r="C103" s="25" t="s">
        <v>899</v>
      </c>
      <c r="D103" s="25">
        <v>5.45</v>
      </c>
    </row>
    <row r="104" spans="2:4" x14ac:dyDescent="0.25">
      <c r="B104" s="25" t="s">
        <v>950</v>
      </c>
      <c r="C104" s="25" t="s">
        <v>951</v>
      </c>
      <c r="D104" s="25">
        <v>5.45</v>
      </c>
    </row>
    <row r="105" spans="2:4" x14ac:dyDescent="0.25">
      <c r="B105" s="25" t="s">
        <v>406</v>
      </c>
      <c r="C105" s="25" t="s">
        <v>407</v>
      </c>
      <c r="D105" s="25">
        <v>5.45</v>
      </c>
    </row>
    <row r="106" spans="2:4" x14ac:dyDescent="0.25">
      <c r="B106" s="25" t="s">
        <v>429</v>
      </c>
      <c r="C106" s="25" t="s">
        <v>430</v>
      </c>
      <c r="D106" s="25">
        <v>6</v>
      </c>
    </row>
    <row r="107" spans="2:4" x14ac:dyDescent="0.25">
      <c r="B107" s="25" t="s">
        <v>483</v>
      </c>
      <c r="C107" s="25" t="s">
        <v>484</v>
      </c>
      <c r="D107" s="25">
        <v>5</v>
      </c>
    </row>
    <row r="108" spans="2:4" x14ac:dyDescent="0.25">
      <c r="B108" s="25" t="s">
        <v>539</v>
      </c>
      <c r="C108" s="25" t="s">
        <v>540</v>
      </c>
      <c r="D108" s="25">
        <v>6.13</v>
      </c>
    </row>
    <row r="109" spans="2:4" x14ac:dyDescent="0.25">
      <c r="B109" s="25" t="s">
        <v>432</v>
      </c>
      <c r="C109" s="25" t="s">
        <v>433</v>
      </c>
      <c r="D109" s="25">
        <v>5.45</v>
      </c>
    </row>
    <row r="110" spans="2:4" x14ac:dyDescent="0.25">
      <c r="B110" s="25" t="s">
        <v>671</v>
      </c>
      <c r="C110" s="25" t="s">
        <v>672</v>
      </c>
      <c r="D110" s="25">
        <v>5</v>
      </c>
    </row>
    <row r="111" spans="2:4" x14ac:dyDescent="0.25">
      <c r="B111" s="25" t="s">
        <v>567</v>
      </c>
      <c r="C111" s="25" t="s">
        <v>568</v>
      </c>
      <c r="D111" s="25">
        <v>5</v>
      </c>
    </row>
    <row r="112" spans="2:4" x14ac:dyDescent="0.25">
      <c r="B112" s="25" t="s">
        <v>435</v>
      </c>
      <c r="C112" s="25" t="s">
        <v>436</v>
      </c>
      <c r="D112" s="25">
        <v>5</v>
      </c>
    </row>
    <row r="113" spans="2:4" x14ac:dyDescent="0.25">
      <c r="B113" s="25" t="s">
        <v>865</v>
      </c>
      <c r="C113" s="25" t="s">
        <v>866</v>
      </c>
      <c r="D113" s="25">
        <v>6</v>
      </c>
    </row>
    <row r="114" spans="2:4" x14ac:dyDescent="0.25">
      <c r="B114" s="25" t="s">
        <v>486</v>
      </c>
      <c r="C114" s="25" t="s">
        <v>487</v>
      </c>
      <c r="D114" s="25">
        <v>5</v>
      </c>
    </row>
    <row r="115" spans="2:4" x14ac:dyDescent="0.25">
      <c r="B115" s="25" t="s">
        <v>673</v>
      </c>
      <c r="C115" s="25" t="s">
        <v>674</v>
      </c>
      <c r="D115" s="25">
        <v>5.45</v>
      </c>
    </row>
    <row r="116" spans="2:4" x14ac:dyDescent="0.25">
      <c r="B116" s="25" t="s">
        <v>569</v>
      </c>
      <c r="C116" s="25" t="s">
        <v>570</v>
      </c>
      <c r="D116" s="25">
        <v>5.45</v>
      </c>
    </row>
    <row r="117" spans="2:4" x14ac:dyDescent="0.25">
      <c r="B117" s="25" t="s">
        <v>750</v>
      </c>
      <c r="C117" s="25" t="s">
        <v>751</v>
      </c>
      <c r="D117" s="25">
        <v>5</v>
      </c>
    </row>
    <row r="118" spans="2:4" x14ac:dyDescent="0.25">
      <c r="B118" s="25" t="s">
        <v>488</v>
      </c>
      <c r="C118" s="25" t="s">
        <v>489</v>
      </c>
      <c r="D118" s="25">
        <v>5</v>
      </c>
    </row>
    <row r="119" spans="2:4" x14ac:dyDescent="0.25">
      <c r="B119" s="25" t="s">
        <v>952</v>
      </c>
      <c r="C119" s="25" t="s">
        <v>953</v>
      </c>
      <c r="D119" s="25">
        <v>5.45</v>
      </c>
    </row>
    <row r="120" spans="2:4" x14ac:dyDescent="0.25">
      <c r="B120" s="25" t="s">
        <v>675</v>
      </c>
      <c r="C120" s="25" t="s">
        <v>676</v>
      </c>
      <c r="D120" s="25">
        <v>5</v>
      </c>
    </row>
    <row r="121" spans="2:4" x14ac:dyDescent="0.25">
      <c r="B121" s="25" t="s">
        <v>780</v>
      </c>
      <c r="C121" s="25" t="s">
        <v>781</v>
      </c>
      <c r="D121" s="25">
        <v>5.45</v>
      </c>
    </row>
    <row r="122" spans="2:4" x14ac:dyDescent="0.25">
      <c r="B122" s="25" t="s">
        <v>628</v>
      </c>
      <c r="C122" s="25" t="s">
        <v>629</v>
      </c>
      <c r="D122" s="25">
        <v>5.6</v>
      </c>
    </row>
    <row r="123" spans="2:4" x14ac:dyDescent="0.25">
      <c r="B123" s="25" t="s">
        <v>408</v>
      </c>
      <c r="C123" s="25" t="s">
        <v>409</v>
      </c>
      <c r="D123" s="25">
        <v>5</v>
      </c>
    </row>
    <row r="124" spans="2:4" x14ac:dyDescent="0.25">
      <c r="B124" s="25" t="s">
        <v>677</v>
      </c>
      <c r="C124" s="25" t="s">
        <v>678</v>
      </c>
      <c r="D124" s="25">
        <v>5</v>
      </c>
    </row>
    <row r="125" spans="2:4" x14ac:dyDescent="0.25">
      <c r="B125" s="25" t="s">
        <v>571</v>
      </c>
      <c r="C125" s="25" t="s">
        <v>572</v>
      </c>
      <c r="D125" s="25">
        <v>6</v>
      </c>
    </row>
    <row r="126" spans="2:4" x14ac:dyDescent="0.25">
      <c r="B126" s="25" t="s">
        <v>752</v>
      </c>
      <c r="C126" s="25" t="s">
        <v>753</v>
      </c>
      <c r="D126" s="25">
        <v>8</v>
      </c>
    </row>
    <row r="127" spans="2:4" x14ac:dyDescent="0.25">
      <c r="B127" s="25" t="s">
        <v>680</v>
      </c>
      <c r="C127" s="25" t="s">
        <v>681</v>
      </c>
      <c r="D127" s="25">
        <v>5</v>
      </c>
    </row>
    <row r="128" spans="2:4" x14ac:dyDescent="0.25">
      <c r="B128" s="25" t="s">
        <v>954</v>
      </c>
      <c r="C128" s="25" t="s">
        <v>955</v>
      </c>
      <c r="D128" s="25">
        <v>5</v>
      </c>
    </row>
    <row r="129" spans="2:4" x14ac:dyDescent="0.25">
      <c r="B129" s="25" t="s">
        <v>68</v>
      </c>
      <c r="C129" s="25" t="s">
        <v>69</v>
      </c>
      <c r="D129" s="25" t="s">
        <v>36</v>
      </c>
    </row>
    <row r="130" spans="2:4" x14ac:dyDescent="0.25">
      <c r="B130" s="25" t="s">
        <v>867</v>
      </c>
      <c r="C130" s="25" t="s">
        <v>868</v>
      </c>
      <c r="D130" s="25">
        <v>5.04</v>
      </c>
    </row>
    <row r="131" spans="2:4" x14ac:dyDescent="0.25">
      <c r="B131" s="25" t="s">
        <v>71</v>
      </c>
      <c r="C131" s="25" t="s">
        <v>72</v>
      </c>
      <c r="D131" s="25">
        <v>0</v>
      </c>
    </row>
    <row r="132" spans="2:4" x14ac:dyDescent="0.25">
      <c r="B132" s="25" t="s">
        <v>802</v>
      </c>
      <c r="C132" s="25" t="s">
        <v>803</v>
      </c>
      <c r="D132" s="25">
        <v>7</v>
      </c>
    </row>
    <row r="133" spans="2:4" x14ac:dyDescent="0.25">
      <c r="B133" s="25" t="s">
        <v>957</v>
      </c>
      <c r="C133" s="25" t="s">
        <v>958</v>
      </c>
      <c r="D133" s="25">
        <v>5.45</v>
      </c>
    </row>
    <row r="134" spans="2:4" x14ac:dyDescent="0.25">
      <c r="B134" s="25" t="s">
        <v>75</v>
      </c>
      <c r="C134" s="25" t="s">
        <v>76</v>
      </c>
      <c r="D134" s="25" t="s">
        <v>36</v>
      </c>
    </row>
    <row r="135" spans="2:4" x14ac:dyDescent="0.25">
      <c r="B135" s="25" t="s">
        <v>491</v>
      </c>
      <c r="C135" s="25" t="s">
        <v>492</v>
      </c>
      <c r="D135" s="25">
        <v>5</v>
      </c>
    </row>
    <row r="136" spans="2:4" x14ac:dyDescent="0.25">
      <c r="B136" s="25" t="s">
        <v>494</v>
      </c>
      <c r="C136" s="25" t="s">
        <v>495</v>
      </c>
      <c r="D136" s="25">
        <v>5.04</v>
      </c>
    </row>
    <row r="137" spans="2:4" x14ac:dyDescent="0.25">
      <c r="B137" s="25" t="s">
        <v>542</v>
      </c>
      <c r="C137" s="25" t="s">
        <v>543</v>
      </c>
      <c r="D137" s="25">
        <v>6</v>
      </c>
    </row>
    <row r="138" spans="2:4" x14ac:dyDescent="0.25">
      <c r="B138" s="25" t="s">
        <v>544</v>
      </c>
      <c r="C138" s="25" t="s">
        <v>545</v>
      </c>
      <c r="D138" s="25">
        <v>5</v>
      </c>
    </row>
    <row r="139" spans="2:4" x14ac:dyDescent="0.25">
      <c r="B139" s="25" t="s">
        <v>810</v>
      </c>
      <c r="C139" s="25" t="s">
        <v>811</v>
      </c>
      <c r="D139" s="25">
        <v>5</v>
      </c>
    </row>
    <row r="140" spans="2:4" x14ac:dyDescent="0.25">
      <c r="B140" s="25" t="s">
        <v>79</v>
      </c>
      <c r="C140" s="25" t="s">
        <v>80</v>
      </c>
      <c r="D140" s="25" t="s">
        <v>36</v>
      </c>
    </row>
    <row r="141" spans="2:4" x14ac:dyDescent="0.25">
      <c r="B141" s="25" t="s">
        <v>870</v>
      </c>
      <c r="C141" s="25" t="s">
        <v>871</v>
      </c>
      <c r="D141" s="25">
        <v>5</v>
      </c>
    </row>
    <row r="142" spans="2:4" x14ac:dyDescent="0.25">
      <c r="B142" s="25">
        <v>50096</v>
      </c>
      <c r="C142" s="25" t="s">
        <v>683</v>
      </c>
      <c r="D142" s="25">
        <v>5</v>
      </c>
    </row>
    <row r="143" spans="2:4" x14ac:dyDescent="0.25">
      <c r="B143" s="25">
        <v>50724</v>
      </c>
      <c r="C143" s="25" t="s">
        <v>900</v>
      </c>
      <c r="D143" s="25">
        <v>5</v>
      </c>
    </row>
    <row r="144" spans="2:4" x14ac:dyDescent="0.25">
      <c r="B144" s="25">
        <v>50863</v>
      </c>
      <c r="C144" s="25" t="s">
        <v>901</v>
      </c>
      <c r="D144" s="25">
        <v>5</v>
      </c>
    </row>
    <row r="145" spans="2:4" x14ac:dyDescent="0.25">
      <c r="B145" s="25" t="s">
        <v>82</v>
      </c>
      <c r="C145" s="25" t="s">
        <v>83</v>
      </c>
      <c r="D145" s="25" t="s">
        <v>36</v>
      </c>
    </row>
    <row r="146" spans="2:4" x14ac:dyDescent="0.25">
      <c r="B146" s="25" t="s">
        <v>86</v>
      </c>
      <c r="C146" s="25" t="s">
        <v>87</v>
      </c>
      <c r="D146" s="25" t="s">
        <v>36</v>
      </c>
    </row>
    <row r="147" spans="2:4" x14ac:dyDescent="0.25">
      <c r="B147" s="25" t="s">
        <v>576</v>
      </c>
      <c r="C147" s="25" t="s">
        <v>577</v>
      </c>
      <c r="D147" s="25">
        <v>5</v>
      </c>
    </row>
    <row r="148" spans="2:4" x14ac:dyDescent="0.25">
      <c r="B148" s="25" t="s">
        <v>92</v>
      </c>
      <c r="C148" s="25" t="s">
        <v>93</v>
      </c>
      <c r="D148" s="25" t="s">
        <v>36</v>
      </c>
    </row>
    <row r="149" spans="2:4" x14ac:dyDescent="0.25">
      <c r="B149" s="25" t="s">
        <v>782</v>
      </c>
      <c r="C149" s="25" t="s">
        <v>783</v>
      </c>
      <c r="D149" s="25">
        <v>5</v>
      </c>
    </row>
    <row r="150" spans="2:4" x14ac:dyDescent="0.25">
      <c r="B150" s="25" t="s">
        <v>95</v>
      </c>
      <c r="C150" s="25" t="s">
        <v>96</v>
      </c>
      <c r="D150" s="25" t="s">
        <v>36</v>
      </c>
    </row>
    <row r="151" spans="2:4" x14ac:dyDescent="0.25">
      <c r="B151" s="25" t="s">
        <v>98</v>
      </c>
      <c r="C151" s="25" t="s">
        <v>99</v>
      </c>
      <c r="D151" s="25" t="s">
        <v>36</v>
      </c>
    </row>
    <row r="152" spans="2:4" x14ac:dyDescent="0.25">
      <c r="B152" s="25" t="s">
        <v>712</v>
      </c>
      <c r="C152" s="25" t="s">
        <v>713</v>
      </c>
      <c r="D152" s="25">
        <v>5</v>
      </c>
    </row>
    <row r="153" spans="2:4" x14ac:dyDescent="0.25">
      <c r="B153" s="25" t="s">
        <v>101</v>
      </c>
      <c r="C153" s="25" t="s">
        <v>102</v>
      </c>
      <c r="D153" s="25" t="s">
        <v>36</v>
      </c>
    </row>
    <row r="154" spans="2:4" x14ac:dyDescent="0.25">
      <c r="B154" s="25" t="s">
        <v>105</v>
      </c>
      <c r="C154" s="25" t="s">
        <v>106</v>
      </c>
      <c r="D154" s="25" t="s">
        <v>36</v>
      </c>
    </row>
    <row r="155" spans="2:4" x14ac:dyDescent="0.25">
      <c r="B155" s="25" t="s">
        <v>903</v>
      </c>
      <c r="C155" s="25" t="s">
        <v>904</v>
      </c>
      <c r="D155" s="25">
        <v>5</v>
      </c>
    </row>
    <row r="156" spans="2:4" x14ac:dyDescent="0.25">
      <c r="B156" s="25" t="s">
        <v>107</v>
      </c>
      <c r="C156" s="25" t="s">
        <v>108</v>
      </c>
      <c r="D156" s="25" t="s">
        <v>36</v>
      </c>
    </row>
    <row r="157" spans="2:4" x14ac:dyDescent="0.25">
      <c r="B157" s="25" t="s">
        <v>110</v>
      </c>
      <c r="C157" s="25" t="s">
        <v>111</v>
      </c>
      <c r="D157" s="25" t="s">
        <v>36</v>
      </c>
    </row>
    <row r="158" spans="2:4" x14ac:dyDescent="0.25">
      <c r="B158" s="25" t="s">
        <v>112</v>
      </c>
      <c r="C158" s="25" t="s">
        <v>113</v>
      </c>
      <c r="D158" s="25" t="s">
        <v>36</v>
      </c>
    </row>
    <row r="159" spans="2:4" x14ac:dyDescent="0.25">
      <c r="B159" s="25" t="s">
        <v>905</v>
      </c>
      <c r="C159" s="25" t="s">
        <v>906</v>
      </c>
      <c r="D159" s="25">
        <v>5</v>
      </c>
    </row>
    <row r="160" spans="2:4" x14ac:dyDescent="0.25">
      <c r="B160" s="25" t="s">
        <v>685</v>
      </c>
      <c r="C160" s="25" t="s">
        <v>686</v>
      </c>
      <c r="D160" s="25">
        <v>5</v>
      </c>
    </row>
    <row r="161" spans="2:4" x14ac:dyDescent="0.25">
      <c r="B161" s="25" t="s">
        <v>960</v>
      </c>
      <c r="C161" s="25" t="s">
        <v>961</v>
      </c>
      <c r="D161" s="25">
        <v>5</v>
      </c>
    </row>
    <row r="162" spans="2:4" x14ac:dyDescent="0.25">
      <c r="B162" s="25" t="s">
        <v>754</v>
      </c>
      <c r="C162" s="25" t="s">
        <v>755</v>
      </c>
      <c r="D162" s="25">
        <v>5</v>
      </c>
    </row>
    <row r="163" spans="2:4" x14ac:dyDescent="0.25">
      <c r="B163" s="25" t="s">
        <v>872</v>
      </c>
      <c r="C163" s="25" t="s">
        <v>873</v>
      </c>
      <c r="D163" s="25">
        <v>3.93</v>
      </c>
    </row>
    <row r="164" spans="2:4" x14ac:dyDescent="0.25">
      <c r="B164" s="25" t="s">
        <v>117</v>
      </c>
      <c r="C164" s="25" t="s">
        <v>118</v>
      </c>
      <c r="D164" s="25" t="s">
        <v>36</v>
      </c>
    </row>
    <row r="165" spans="2:4" x14ac:dyDescent="0.25">
      <c r="B165" s="25" t="s">
        <v>594</v>
      </c>
      <c r="C165" s="25" t="s">
        <v>595</v>
      </c>
      <c r="D165" s="25">
        <v>5</v>
      </c>
    </row>
    <row r="166" spans="2:4" x14ac:dyDescent="0.25">
      <c r="B166" s="25" t="s">
        <v>119</v>
      </c>
      <c r="C166" s="25" t="s">
        <v>120</v>
      </c>
      <c r="D166" s="25" t="s">
        <v>36</v>
      </c>
    </row>
    <row r="167" spans="2:4" x14ac:dyDescent="0.25">
      <c r="B167" s="25" t="s">
        <v>121</v>
      </c>
      <c r="C167" s="25" t="s">
        <v>122</v>
      </c>
      <c r="D167" s="25" t="s">
        <v>36</v>
      </c>
    </row>
    <row r="168" spans="2:4" x14ac:dyDescent="0.25">
      <c r="B168" s="25" t="s">
        <v>124</v>
      </c>
      <c r="C168" s="25" t="s">
        <v>125</v>
      </c>
      <c r="D168" s="25" t="s">
        <v>36</v>
      </c>
    </row>
    <row r="169" spans="2:4" x14ac:dyDescent="0.25">
      <c r="B169" s="25" t="s">
        <v>126</v>
      </c>
      <c r="C169" s="25" t="s">
        <v>127</v>
      </c>
      <c r="D169" s="25" t="s">
        <v>36</v>
      </c>
    </row>
    <row r="170" spans="2:4" x14ac:dyDescent="0.25">
      <c r="B170" s="25" t="s">
        <v>546</v>
      </c>
      <c r="C170" s="25" t="s">
        <v>547</v>
      </c>
      <c r="D170" s="25">
        <v>5</v>
      </c>
    </row>
    <row r="171" spans="2:4" x14ac:dyDescent="0.25">
      <c r="B171" s="25" t="s">
        <v>130</v>
      </c>
      <c r="C171" s="25" t="s">
        <v>131</v>
      </c>
      <c r="D171" s="25" t="s">
        <v>36</v>
      </c>
    </row>
    <row r="172" spans="2:4" x14ac:dyDescent="0.25">
      <c r="B172" s="25" t="s">
        <v>134</v>
      </c>
      <c r="C172" s="25" t="s">
        <v>135</v>
      </c>
      <c r="D172" s="25" t="s">
        <v>36</v>
      </c>
    </row>
    <row r="173" spans="2:4" x14ac:dyDescent="0.25">
      <c r="B173" s="25" t="s">
        <v>136</v>
      </c>
      <c r="C173" s="25" t="s">
        <v>137</v>
      </c>
      <c r="D173" s="25" t="s">
        <v>36</v>
      </c>
    </row>
    <row r="174" spans="2:4" x14ac:dyDescent="0.25">
      <c r="B174" s="25" t="s">
        <v>139</v>
      </c>
      <c r="C174" s="25" t="s">
        <v>140</v>
      </c>
      <c r="D174" s="25" t="s">
        <v>36</v>
      </c>
    </row>
    <row r="175" spans="2:4" x14ac:dyDescent="0.25">
      <c r="B175" s="25" t="s">
        <v>411</v>
      </c>
      <c r="C175" s="25" t="s">
        <v>412</v>
      </c>
      <c r="D175" s="25">
        <v>5</v>
      </c>
    </row>
    <row r="176" spans="2:4" x14ac:dyDescent="0.25">
      <c r="B176" s="25" t="s">
        <v>578</v>
      </c>
      <c r="C176" s="25" t="s">
        <v>579</v>
      </c>
      <c r="D176" s="25">
        <v>5</v>
      </c>
    </row>
    <row r="177" spans="2:4" x14ac:dyDescent="0.25">
      <c r="B177" s="25" t="s">
        <v>908</v>
      </c>
      <c r="C177" s="25" t="s">
        <v>909</v>
      </c>
      <c r="D177" s="25">
        <v>5</v>
      </c>
    </row>
    <row r="178" spans="2:4" x14ac:dyDescent="0.25">
      <c r="B178" s="25" t="s">
        <v>413</v>
      </c>
      <c r="C178" s="25" t="s">
        <v>414</v>
      </c>
      <c r="D178" s="25">
        <v>5</v>
      </c>
    </row>
    <row r="179" spans="2:4" x14ac:dyDescent="0.25">
      <c r="B179" s="25" t="s">
        <v>580</v>
      </c>
      <c r="C179" s="25" t="s">
        <v>581</v>
      </c>
      <c r="D179" s="25">
        <v>5</v>
      </c>
    </row>
    <row r="180" spans="2:4" x14ac:dyDescent="0.25">
      <c r="B180" s="25" t="s">
        <v>756</v>
      </c>
      <c r="C180" s="25" t="s">
        <v>757</v>
      </c>
      <c r="D180" s="25">
        <v>5</v>
      </c>
    </row>
    <row r="181" spans="2:4" x14ac:dyDescent="0.25">
      <c r="B181" s="25" t="s">
        <v>812</v>
      </c>
      <c r="C181" s="25" t="s">
        <v>813</v>
      </c>
      <c r="D181" s="25">
        <v>5</v>
      </c>
    </row>
    <row r="182" spans="2:4" x14ac:dyDescent="0.25">
      <c r="B182" s="25" t="s">
        <v>141</v>
      </c>
      <c r="C182" s="25" t="s">
        <v>142</v>
      </c>
      <c r="D182" s="25" t="s">
        <v>36</v>
      </c>
    </row>
    <row r="183" spans="2:4" x14ac:dyDescent="0.25">
      <c r="B183" s="25" t="s">
        <v>437</v>
      </c>
      <c r="C183" s="25" t="s">
        <v>438</v>
      </c>
      <c r="D183" s="25">
        <v>5</v>
      </c>
    </row>
    <row r="184" spans="2:4" x14ac:dyDescent="0.25">
      <c r="B184" s="25" t="s">
        <v>497</v>
      </c>
      <c r="C184" s="25" t="s">
        <v>498</v>
      </c>
      <c r="D184" s="25">
        <v>5</v>
      </c>
    </row>
    <row r="185" spans="2:4" x14ac:dyDescent="0.25">
      <c r="B185" s="25" t="s">
        <v>144</v>
      </c>
      <c r="C185" s="25" t="s">
        <v>145</v>
      </c>
      <c r="D185" s="25" t="s">
        <v>36</v>
      </c>
    </row>
    <row r="186" spans="2:4" x14ac:dyDescent="0.25">
      <c r="B186" s="25" t="s">
        <v>784</v>
      </c>
      <c r="C186" s="25" t="s">
        <v>785</v>
      </c>
      <c r="D186" s="25">
        <v>5.45</v>
      </c>
    </row>
    <row r="187" spans="2:4" x14ac:dyDescent="0.25">
      <c r="B187" s="25" t="s">
        <v>147</v>
      </c>
      <c r="C187" s="25" t="s">
        <v>148</v>
      </c>
      <c r="D187" s="25" t="s">
        <v>36</v>
      </c>
    </row>
    <row r="188" spans="2:4" x14ac:dyDescent="0.25">
      <c r="B188" s="25" t="s">
        <v>149</v>
      </c>
      <c r="C188" s="25" t="s">
        <v>150</v>
      </c>
      <c r="D188" s="25" t="s">
        <v>36</v>
      </c>
    </row>
    <row r="189" spans="2:4" x14ac:dyDescent="0.25">
      <c r="B189" s="25" t="s">
        <v>151</v>
      </c>
      <c r="C189" s="25" t="s">
        <v>152</v>
      </c>
      <c r="D189" s="25" t="s">
        <v>36</v>
      </c>
    </row>
    <row r="190" spans="2:4" x14ac:dyDescent="0.25">
      <c r="B190" s="25" t="s">
        <v>786</v>
      </c>
      <c r="C190" s="25" t="s">
        <v>787</v>
      </c>
      <c r="D190" s="25">
        <v>5</v>
      </c>
    </row>
    <row r="191" spans="2:4" x14ac:dyDescent="0.25">
      <c r="B191" s="25" t="s">
        <v>582</v>
      </c>
      <c r="C191" s="25" t="s">
        <v>583</v>
      </c>
      <c r="D191" s="25">
        <v>5</v>
      </c>
    </row>
    <row r="192" spans="2:4" x14ac:dyDescent="0.25">
      <c r="B192" s="25" t="s">
        <v>714</v>
      </c>
      <c r="C192" s="25" t="s">
        <v>715</v>
      </c>
      <c r="D192" s="25">
        <v>5</v>
      </c>
    </row>
    <row r="193" spans="2:4" x14ac:dyDescent="0.25">
      <c r="B193" s="25" t="s">
        <v>153</v>
      </c>
      <c r="C193" s="25" t="s">
        <v>154</v>
      </c>
      <c r="D193" s="25" t="s">
        <v>36</v>
      </c>
    </row>
    <row r="194" spans="2:4" x14ac:dyDescent="0.25">
      <c r="B194" s="25" t="s">
        <v>912</v>
      </c>
      <c r="C194" s="25" t="s">
        <v>913</v>
      </c>
      <c r="D194" s="25">
        <v>5</v>
      </c>
    </row>
    <row r="195" spans="2:4" x14ac:dyDescent="0.25">
      <c r="B195" s="25" t="s">
        <v>500</v>
      </c>
      <c r="C195" s="25" t="s">
        <v>501</v>
      </c>
      <c r="D195" s="25">
        <v>5</v>
      </c>
    </row>
    <row r="196" spans="2:4" x14ac:dyDescent="0.25">
      <c r="B196" s="25" t="s">
        <v>441</v>
      </c>
      <c r="C196" s="25" t="s">
        <v>442</v>
      </c>
      <c r="D196" s="25">
        <v>5</v>
      </c>
    </row>
    <row r="197" spans="2:4" x14ac:dyDescent="0.25">
      <c r="B197" s="25" t="s">
        <v>156</v>
      </c>
      <c r="C197" s="25" t="s">
        <v>157</v>
      </c>
      <c r="D197" s="25" t="s">
        <v>36</v>
      </c>
    </row>
    <row r="198" spans="2:4" x14ac:dyDescent="0.25">
      <c r="B198" s="25" t="s">
        <v>875</v>
      </c>
      <c r="C198" s="25" t="s">
        <v>876</v>
      </c>
      <c r="D198" s="25">
        <v>3.93</v>
      </c>
    </row>
    <row r="199" spans="2:4" x14ac:dyDescent="0.25">
      <c r="B199" s="25" t="s">
        <v>158</v>
      </c>
      <c r="C199" s="25" t="s">
        <v>159</v>
      </c>
      <c r="D199" s="25" t="s">
        <v>36</v>
      </c>
    </row>
    <row r="200" spans="2:4" x14ac:dyDescent="0.25">
      <c r="B200" s="25" t="s">
        <v>814</v>
      </c>
      <c r="C200" s="25" t="s">
        <v>815</v>
      </c>
      <c r="D200" s="25">
        <v>5</v>
      </c>
    </row>
    <row r="201" spans="2:4" x14ac:dyDescent="0.25">
      <c r="B201" s="25" t="s">
        <v>598</v>
      </c>
      <c r="C201" s="25" t="s">
        <v>599</v>
      </c>
      <c r="D201" s="25">
        <v>5</v>
      </c>
    </row>
    <row r="202" spans="2:4" x14ac:dyDescent="0.25">
      <c r="B202" s="25" t="s">
        <v>162</v>
      </c>
      <c r="C202" s="25" t="s">
        <v>163</v>
      </c>
      <c r="D202" s="25" t="s">
        <v>36</v>
      </c>
    </row>
    <row r="203" spans="2:4" x14ac:dyDescent="0.25">
      <c r="B203" s="25" t="s">
        <v>716</v>
      </c>
      <c r="C203" s="25" t="s">
        <v>717</v>
      </c>
      <c r="D203" s="25">
        <v>5</v>
      </c>
    </row>
    <row r="204" spans="2:4" x14ac:dyDescent="0.25">
      <c r="B204" s="25" t="s">
        <v>788</v>
      </c>
      <c r="C204" s="25" t="s">
        <v>789</v>
      </c>
      <c r="D204" s="25">
        <v>5</v>
      </c>
    </row>
    <row r="205" spans="2:4" x14ac:dyDescent="0.25">
      <c r="B205" s="25" t="s">
        <v>443</v>
      </c>
      <c r="C205" s="25" t="s">
        <v>444</v>
      </c>
      <c r="D205" s="25">
        <v>5</v>
      </c>
    </row>
    <row r="206" spans="2:4" x14ac:dyDescent="0.25">
      <c r="B206" s="25" t="s">
        <v>415</v>
      </c>
      <c r="C206" s="25" t="s">
        <v>416</v>
      </c>
      <c r="D206" s="25">
        <v>5</v>
      </c>
    </row>
    <row r="207" spans="2:4" x14ac:dyDescent="0.25">
      <c r="B207" s="25" t="s">
        <v>915</v>
      </c>
      <c r="C207" s="25" t="s">
        <v>916</v>
      </c>
      <c r="D207" s="25">
        <v>5</v>
      </c>
    </row>
    <row r="208" spans="2:4" x14ac:dyDescent="0.25">
      <c r="B208" s="25" t="s">
        <v>164</v>
      </c>
      <c r="C208" s="25" t="s">
        <v>165</v>
      </c>
      <c r="D208" s="25" t="s">
        <v>36</v>
      </c>
    </row>
    <row r="209" spans="2:4" x14ac:dyDescent="0.25">
      <c r="B209" s="25" t="s">
        <v>166</v>
      </c>
      <c r="C209" s="25" t="s">
        <v>167</v>
      </c>
      <c r="D209" s="25" t="s">
        <v>36</v>
      </c>
    </row>
    <row r="210" spans="2:4" x14ac:dyDescent="0.25">
      <c r="B210" s="25" t="s">
        <v>168</v>
      </c>
      <c r="C210" s="25" t="s">
        <v>169</v>
      </c>
      <c r="D210" s="25" t="s">
        <v>36</v>
      </c>
    </row>
    <row r="211" spans="2:4" x14ac:dyDescent="0.25">
      <c r="B211" s="25" t="s">
        <v>171</v>
      </c>
      <c r="C211" s="25" t="s">
        <v>172</v>
      </c>
      <c r="D211" s="25" t="s">
        <v>36</v>
      </c>
    </row>
    <row r="212" spans="2:4" x14ac:dyDescent="0.25">
      <c r="B212" s="25" t="s">
        <v>173</v>
      </c>
      <c r="C212" s="25" t="s">
        <v>174</v>
      </c>
      <c r="D212" s="25" t="s">
        <v>36</v>
      </c>
    </row>
    <row r="213" spans="2:4" x14ac:dyDescent="0.25">
      <c r="B213" s="25" t="s">
        <v>584</v>
      </c>
      <c r="C213" s="25" t="s">
        <v>585</v>
      </c>
      <c r="D213" s="25">
        <v>5</v>
      </c>
    </row>
    <row r="214" spans="2:4" x14ac:dyDescent="0.25">
      <c r="B214" s="25" t="s">
        <v>917</v>
      </c>
      <c r="C214" s="25" t="s">
        <v>918</v>
      </c>
      <c r="D214" s="25">
        <v>5</v>
      </c>
    </row>
    <row r="215" spans="2:4" x14ac:dyDescent="0.25">
      <c r="B215" s="25" t="s">
        <v>877</v>
      </c>
      <c r="C215" s="25" t="s">
        <v>878</v>
      </c>
      <c r="D215" s="25">
        <v>5</v>
      </c>
    </row>
    <row r="216" spans="2:4" x14ac:dyDescent="0.25">
      <c r="B216" s="25" t="s">
        <v>586</v>
      </c>
      <c r="C216" s="25" t="s">
        <v>587</v>
      </c>
      <c r="D216" s="25">
        <v>5</v>
      </c>
    </row>
    <row r="217" spans="2:4" x14ac:dyDescent="0.25">
      <c r="B217" s="25" t="s">
        <v>175</v>
      </c>
      <c r="C217" s="25" t="s">
        <v>176</v>
      </c>
      <c r="D217" s="25" t="s">
        <v>36</v>
      </c>
    </row>
    <row r="218" spans="2:4" x14ac:dyDescent="0.25">
      <c r="B218" s="25" t="s">
        <v>177</v>
      </c>
      <c r="C218" s="25" t="s">
        <v>178</v>
      </c>
      <c r="D218" s="25" t="s">
        <v>36</v>
      </c>
    </row>
    <row r="219" spans="2:4" x14ac:dyDescent="0.25">
      <c r="B219" s="25" t="s">
        <v>180</v>
      </c>
      <c r="C219" s="25" t="s">
        <v>181</v>
      </c>
      <c r="D219" s="25" t="s">
        <v>36</v>
      </c>
    </row>
    <row r="220" spans="2:4" x14ac:dyDescent="0.25">
      <c r="B220" s="25" t="s">
        <v>588</v>
      </c>
      <c r="C220" s="25" t="s">
        <v>589</v>
      </c>
      <c r="D220" s="25">
        <v>5</v>
      </c>
    </row>
    <row r="221" spans="2:4" x14ac:dyDescent="0.25">
      <c r="B221" s="25" t="s">
        <v>183</v>
      </c>
      <c r="C221" s="25" t="s">
        <v>184</v>
      </c>
      <c r="D221" s="25" t="s">
        <v>36</v>
      </c>
    </row>
    <row r="222" spans="2:4" x14ac:dyDescent="0.25">
      <c r="B222" s="25" t="s">
        <v>185</v>
      </c>
      <c r="C222" s="25" t="s">
        <v>186</v>
      </c>
      <c r="D222" s="25" t="s">
        <v>36</v>
      </c>
    </row>
    <row r="223" spans="2:4" x14ac:dyDescent="0.25">
      <c r="B223" s="25" t="s">
        <v>445</v>
      </c>
      <c r="C223" s="25" t="s">
        <v>446</v>
      </c>
      <c r="D223" s="25">
        <v>5</v>
      </c>
    </row>
    <row r="224" spans="2:4" x14ac:dyDescent="0.25">
      <c r="B224" s="25" t="s">
        <v>817</v>
      </c>
      <c r="C224" s="25" t="s">
        <v>818</v>
      </c>
      <c r="D224" s="25">
        <v>5</v>
      </c>
    </row>
    <row r="225" spans="2:4" x14ac:dyDescent="0.25">
      <c r="B225" s="25" t="s">
        <v>187</v>
      </c>
      <c r="C225" s="25" t="s">
        <v>188</v>
      </c>
      <c r="D225" s="25" t="s">
        <v>36</v>
      </c>
    </row>
    <row r="226" spans="2:4" x14ac:dyDescent="0.25">
      <c r="B226" s="25" t="s">
        <v>189</v>
      </c>
      <c r="C226" s="25" t="s">
        <v>190</v>
      </c>
      <c r="D226" s="25" t="s">
        <v>36</v>
      </c>
    </row>
    <row r="227" spans="2:4" x14ac:dyDescent="0.25">
      <c r="B227" s="25" t="s">
        <v>602</v>
      </c>
      <c r="C227" s="25" t="s">
        <v>603</v>
      </c>
      <c r="D227" s="25">
        <v>5</v>
      </c>
    </row>
    <row r="228" spans="2:4" x14ac:dyDescent="0.25">
      <c r="B228" s="25" t="s">
        <v>191</v>
      </c>
      <c r="C228" s="25" t="s">
        <v>192</v>
      </c>
      <c r="D228" s="25" t="s">
        <v>36</v>
      </c>
    </row>
    <row r="229" spans="2:4" x14ac:dyDescent="0.25">
      <c r="B229" s="25" t="s">
        <v>194</v>
      </c>
      <c r="C229" s="25" t="s">
        <v>195</v>
      </c>
      <c r="D229" s="25" t="s">
        <v>36</v>
      </c>
    </row>
    <row r="230" spans="2:4" x14ac:dyDescent="0.25">
      <c r="B230" s="25" t="s">
        <v>719</v>
      </c>
      <c r="C230" s="25" t="s">
        <v>720</v>
      </c>
      <c r="D230" s="25">
        <v>5</v>
      </c>
    </row>
    <row r="231" spans="2:4" x14ac:dyDescent="0.25">
      <c r="B231" s="25" t="s">
        <v>197</v>
      </c>
      <c r="C231" s="25" t="s">
        <v>198</v>
      </c>
      <c r="D231" s="25" t="s">
        <v>36</v>
      </c>
    </row>
    <row r="232" spans="2:4" x14ac:dyDescent="0.25">
      <c r="B232" s="25" t="s">
        <v>199</v>
      </c>
      <c r="C232" s="25" t="s">
        <v>200</v>
      </c>
      <c r="D232" s="25" t="s">
        <v>36</v>
      </c>
    </row>
    <row r="233" spans="2:4" x14ac:dyDescent="0.25">
      <c r="B233" s="25" t="s">
        <v>723</v>
      </c>
      <c r="C233" s="25" t="s">
        <v>724</v>
      </c>
      <c r="D233" s="25">
        <v>5</v>
      </c>
    </row>
    <row r="234" spans="2:4" x14ac:dyDescent="0.25">
      <c r="B234" s="25" t="s">
        <v>819</v>
      </c>
      <c r="C234" s="25" t="s">
        <v>820</v>
      </c>
      <c r="D234" s="25">
        <v>6</v>
      </c>
    </row>
    <row r="235" spans="2:4" x14ac:dyDescent="0.25">
      <c r="B235" s="25" t="s">
        <v>821</v>
      </c>
      <c r="C235" s="25" t="s">
        <v>822</v>
      </c>
      <c r="D235" s="25">
        <v>5.5600000000000005</v>
      </c>
    </row>
    <row r="236" spans="2:4" x14ac:dyDescent="0.25">
      <c r="B236" s="25" t="s">
        <v>203</v>
      </c>
      <c r="C236" s="25" t="s">
        <v>204</v>
      </c>
      <c r="D236" s="25" t="s">
        <v>36</v>
      </c>
    </row>
    <row r="237" spans="2:4" x14ac:dyDescent="0.25">
      <c r="B237" s="25" t="s">
        <v>206</v>
      </c>
      <c r="C237" s="25" t="s">
        <v>207</v>
      </c>
      <c r="D237" s="25" t="s">
        <v>36</v>
      </c>
    </row>
    <row r="238" spans="2:4" x14ac:dyDescent="0.25">
      <c r="B238" s="25" t="s">
        <v>758</v>
      </c>
      <c r="C238" s="25" t="s">
        <v>759</v>
      </c>
      <c r="D238" s="25">
        <v>5</v>
      </c>
    </row>
    <row r="239" spans="2:4" x14ac:dyDescent="0.25">
      <c r="B239" s="25" t="s">
        <v>208</v>
      </c>
      <c r="C239" s="25" t="s">
        <v>209</v>
      </c>
      <c r="D239" s="25" t="s">
        <v>36</v>
      </c>
    </row>
    <row r="240" spans="2:4" x14ac:dyDescent="0.25">
      <c r="B240" s="25" t="s">
        <v>606</v>
      </c>
      <c r="C240" s="25" t="s">
        <v>607</v>
      </c>
      <c r="D240" s="25">
        <v>5</v>
      </c>
    </row>
    <row r="241" spans="2:4" x14ac:dyDescent="0.25">
      <c r="B241" s="25" t="s">
        <v>210</v>
      </c>
      <c r="C241" s="25" t="s">
        <v>211</v>
      </c>
      <c r="D241" s="25" t="s">
        <v>36</v>
      </c>
    </row>
    <row r="242" spans="2:4" x14ac:dyDescent="0.25">
      <c r="B242" s="25" t="s">
        <v>213</v>
      </c>
      <c r="C242" s="25" t="s">
        <v>214</v>
      </c>
      <c r="D242" s="25" t="s">
        <v>36</v>
      </c>
    </row>
    <row r="243" spans="2:4" x14ac:dyDescent="0.25">
      <c r="B243" s="25" t="s">
        <v>215</v>
      </c>
      <c r="C243" s="25" t="s">
        <v>216</v>
      </c>
      <c r="D243" s="25" t="s">
        <v>36</v>
      </c>
    </row>
    <row r="244" spans="2:4" x14ac:dyDescent="0.25">
      <c r="B244" s="25" t="s">
        <v>548</v>
      </c>
      <c r="C244" s="25" t="s">
        <v>549</v>
      </c>
      <c r="D244" s="25">
        <v>5</v>
      </c>
    </row>
    <row r="245" spans="2:4" x14ac:dyDescent="0.25">
      <c r="B245" s="25" t="s">
        <v>726</v>
      </c>
      <c r="C245" s="25" t="s">
        <v>727</v>
      </c>
      <c r="D245" s="25">
        <v>5</v>
      </c>
    </row>
    <row r="246" spans="2:4" x14ac:dyDescent="0.25">
      <c r="B246" s="25" t="s">
        <v>217</v>
      </c>
      <c r="C246" s="25" t="s">
        <v>218</v>
      </c>
      <c r="D246" s="25" t="s">
        <v>36</v>
      </c>
    </row>
    <row r="247" spans="2:4" x14ac:dyDescent="0.25">
      <c r="B247" s="25" t="s">
        <v>551</v>
      </c>
      <c r="C247" s="25" t="s">
        <v>552</v>
      </c>
      <c r="D247" s="25">
        <v>5</v>
      </c>
    </row>
    <row r="248" spans="2:4" x14ac:dyDescent="0.25">
      <c r="B248" s="25" t="s">
        <v>219</v>
      </c>
      <c r="C248" s="25" t="s">
        <v>220</v>
      </c>
      <c r="D248" s="25" t="s">
        <v>36</v>
      </c>
    </row>
    <row r="249" spans="2:4" x14ac:dyDescent="0.25">
      <c r="B249" s="25" t="s">
        <v>221</v>
      </c>
      <c r="C249" s="25" t="s">
        <v>222</v>
      </c>
      <c r="D249" s="25" t="s">
        <v>36</v>
      </c>
    </row>
    <row r="250" spans="2:4" x14ac:dyDescent="0.25">
      <c r="B250" s="25" t="s">
        <v>224</v>
      </c>
      <c r="C250" s="25" t="s">
        <v>225</v>
      </c>
      <c r="D250" s="25" t="s">
        <v>36</v>
      </c>
    </row>
    <row r="251" spans="2:4" x14ac:dyDescent="0.25">
      <c r="B251" s="25" t="s">
        <v>502</v>
      </c>
      <c r="C251" s="25" t="s">
        <v>503</v>
      </c>
      <c r="D251" s="25">
        <v>5</v>
      </c>
    </row>
    <row r="252" spans="2:4" x14ac:dyDescent="0.25">
      <c r="B252" s="25" t="s">
        <v>227</v>
      </c>
      <c r="C252" s="25" t="s">
        <v>228</v>
      </c>
      <c r="D252" s="25" t="s">
        <v>36</v>
      </c>
    </row>
    <row r="253" spans="2:4" x14ac:dyDescent="0.25">
      <c r="B253" s="25" t="s">
        <v>728</v>
      </c>
      <c r="C253" s="25" t="s">
        <v>729</v>
      </c>
      <c r="D253" s="25">
        <v>5</v>
      </c>
    </row>
    <row r="254" spans="2:4" x14ac:dyDescent="0.25">
      <c r="B254" s="25" t="s">
        <v>230</v>
      </c>
      <c r="C254" s="25" t="s">
        <v>231</v>
      </c>
      <c r="D254" s="25" t="s">
        <v>36</v>
      </c>
    </row>
    <row r="255" spans="2:4" x14ac:dyDescent="0.25">
      <c r="B255" s="25" t="s">
        <v>233</v>
      </c>
      <c r="C255" s="25" t="s">
        <v>234</v>
      </c>
      <c r="D255" s="25" t="s">
        <v>36</v>
      </c>
    </row>
    <row r="256" spans="2:4" x14ac:dyDescent="0.25">
      <c r="B256" s="25" t="s">
        <v>236</v>
      </c>
      <c r="C256" s="25" t="s">
        <v>237</v>
      </c>
      <c r="D256" s="25" t="s">
        <v>36</v>
      </c>
    </row>
    <row r="257" spans="2:4" x14ac:dyDescent="0.25">
      <c r="B257" s="25" t="s">
        <v>238</v>
      </c>
      <c r="C257" s="25" t="s">
        <v>239</v>
      </c>
      <c r="D257" s="25" t="s">
        <v>36</v>
      </c>
    </row>
    <row r="258" spans="2:4" x14ac:dyDescent="0.25">
      <c r="B258" s="25" t="s">
        <v>962</v>
      </c>
      <c r="C258" s="25" t="s">
        <v>963</v>
      </c>
      <c r="D258" s="25">
        <v>5</v>
      </c>
    </row>
    <row r="259" spans="2:4" x14ac:dyDescent="0.25">
      <c r="B259" s="25" t="s">
        <v>687</v>
      </c>
      <c r="C259" s="25" t="s">
        <v>688</v>
      </c>
      <c r="D259" s="25">
        <v>6</v>
      </c>
    </row>
    <row r="260" spans="2:4" x14ac:dyDescent="0.25">
      <c r="B260" s="25" t="s">
        <v>241</v>
      </c>
      <c r="C260" s="25" t="s">
        <v>242</v>
      </c>
      <c r="D260" s="25" t="s">
        <v>36</v>
      </c>
    </row>
    <row r="261" spans="2:4" x14ac:dyDescent="0.25">
      <c r="B261" s="25" t="s">
        <v>244</v>
      </c>
      <c r="C261" s="25" t="s">
        <v>245</v>
      </c>
      <c r="D261" s="25" t="s">
        <v>36</v>
      </c>
    </row>
    <row r="262" spans="2:4" x14ac:dyDescent="0.25">
      <c r="B262" s="25" t="s">
        <v>246</v>
      </c>
      <c r="C262" s="25" t="s">
        <v>247</v>
      </c>
      <c r="D262" s="25" t="s">
        <v>36</v>
      </c>
    </row>
    <row r="263" spans="2:4" x14ac:dyDescent="0.25">
      <c r="B263" s="25" t="s">
        <v>249</v>
      </c>
      <c r="C263" s="25" t="s">
        <v>250</v>
      </c>
      <c r="D263" s="25" t="s">
        <v>36</v>
      </c>
    </row>
    <row r="264" spans="2:4" x14ac:dyDescent="0.25">
      <c r="B264" s="25" t="s">
        <v>251</v>
      </c>
      <c r="C264" s="25" t="s">
        <v>252</v>
      </c>
      <c r="D264" s="25" t="s">
        <v>36</v>
      </c>
    </row>
    <row r="265" spans="2:4" x14ac:dyDescent="0.25">
      <c r="B265" s="25" t="s">
        <v>254</v>
      </c>
      <c r="C265" s="25" t="s">
        <v>255</v>
      </c>
      <c r="D265" s="25" t="s">
        <v>36</v>
      </c>
    </row>
    <row r="266" spans="2:4" x14ac:dyDescent="0.25">
      <c r="B266" s="25" t="s">
        <v>590</v>
      </c>
      <c r="C266" s="25" t="s">
        <v>591</v>
      </c>
      <c r="D266" s="25">
        <v>5</v>
      </c>
    </row>
    <row r="267" spans="2:4" x14ac:dyDescent="0.25">
      <c r="B267" s="25" t="s">
        <v>447</v>
      </c>
      <c r="C267" s="25" t="s">
        <v>448</v>
      </c>
      <c r="D267" s="25">
        <v>6</v>
      </c>
    </row>
    <row r="268" spans="2:4" x14ac:dyDescent="0.25">
      <c r="B268" s="25" t="s">
        <v>256</v>
      </c>
      <c r="C268" s="25" t="s">
        <v>257</v>
      </c>
      <c r="D268" s="25" t="s">
        <v>36</v>
      </c>
    </row>
    <row r="269" spans="2:4" x14ac:dyDescent="0.25">
      <c r="B269" s="25" t="s">
        <v>450</v>
      </c>
      <c r="C269" s="25" t="s">
        <v>451</v>
      </c>
      <c r="D269" s="25">
        <v>5</v>
      </c>
    </row>
    <row r="270" spans="2:4" x14ac:dyDescent="0.25">
      <c r="B270" s="25" t="s">
        <v>965</v>
      </c>
      <c r="C270" s="25" t="s">
        <v>966</v>
      </c>
      <c r="D270" s="25">
        <v>5</v>
      </c>
    </row>
    <row r="271" spans="2:4" x14ac:dyDescent="0.25">
      <c r="B271" s="25" t="s">
        <v>258</v>
      </c>
      <c r="C271" s="25" t="s">
        <v>259</v>
      </c>
      <c r="D271" s="25" t="s">
        <v>36</v>
      </c>
    </row>
    <row r="272" spans="2:4" x14ac:dyDescent="0.25">
      <c r="B272" s="25" t="s">
        <v>261</v>
      </c>
      <c r="C272" s="25" t="s">
        <v>262</v>
      </c>
      <c r="D272" s="25" t="s">
        <v>36</v>
      </c>
    </row>
    <row r="273" spans="2:4" x14ac:dyDescent="0.25">
      <c r="B273" s="25" t="s">
        <v>791</v>
      </c>
      <c r="C273" s="25" t="s">
        <v>792</v>
      </c>
      <c r="D273" s="25">
        <v>3.36</v>
      </c>
    </row>
    <row r="274" spans="2:4" x14ac:dyDescent="0.25">
      <c r="B274" s="25" t="s">
        <v>264</v>
      </c>
      <c r="C274" s="25" t="s">
        <v>265</v>
      </c>
      <c r="D274" s="25" t="s">
        <v>36</v>
      </c>
    </row>
    <row r="275" spans="2:4" x14ac:dyDescent="0.25">
      <c r="B275" s="25" t="s">
        <v>267</v>
      </c>
      <c r="C275" s="25" t="s">
        <v>268</v>
      </c>
      <c r="D275" s="25" t="s">
        <v>36</v>
      </c>
    </row>
    <row r="276" spans="2:4" x14ac:dyDescent="0.25">
      <c r="B276" s="25" t="s">
        <v>270</v>
      </c>
      <c r="C276" s="25" t="s">
        <v>271</v>
      </c>
      <c r="D276" s="25" t="s">
        <v>36</v>
      </c>
    </row>
    <row r="277" spans="2:4" x14ac:dyDescent="0.25">
      <c r="B277" s="25" t="s">
        <v>631</v>
      </c>
      <c r="C277" s="25" t="s">
        <v>632</v>
      </c>
      <c r="D277" s="86">
        <v>5.6</v>
      </c>
    </row>
    <row r="278" spans="2:4" x14ac:dyDescent="0.25">
      <c r="B278" s="25" t="s">
        <v>272</v>
      </c>
      <c r="C278" s="25" t="s">
        <v>273</v>
      </c>
      <c r="D278" s="25" t="s">
        <v>36</v>
      </c>
    </row>
    <row r="279" spans="2:4" x14ac:dyDescent="0.25">
      <c r="B279" s="25" t="s">
        <v>690</v>
      </c>
      <c r="C279" s="25" t="s">
        <v>691</v>
      </c>
      <c r="D279" s="25">
        <v>5</v>
      </c>
    </row>
    <row r="280" spans="2:4" x14ac:dyDescent="0.25">
      <c r="B280" s="25" t="s">
        <v>276</v>
      </c>
      <c r="C280" s="25" t="s">
        <v>277</v>
      </c>
      <c r="D280" s="25" t="s">
        <v>36</v>
      </c>
    </row>
    <row r="281" spans="2:4" x14ac:dyDescent="0.25">
      <c r="B281" s="25" t="s">
        <v>731</v>
      </c>
      <c r="C281" s="25" t="s">
        <v>732</v>
      </c>
      <c r="D281" s="25">
        <v>5</v>
      </c>
    </row>
    <row r="282" spans="2:4" x14ac:dyDescent="0.25">
      <c r="B282" s="25" t="s">
        <v>453</v>
      </c>
      <c r="C282" s="25" t="s">
        <v>454</v>
      </c>
      <c r="D282" s="25">
        <v>5</v>
      </c>
    </row>
    <row r="283" spans="2:4" x14ac:dyDescent="0.25">
      <c r="B283" s="25" t="s">
        <v>280</v>
      </c>
      <c r="C283" s="25" t="s">
        <v>281</v>
      </c>
      <c r="D283" s="25" t="s">
        <v>36</v>
      </c>
    </row>
    <row r="284" spans="2:4" x14ac:dyDescent="0.25">
      <c r="B284" s="25" t="s">
        <v>282</v>
      </c>
      <c r="C284" s="25" t="s">
        <v>283</v>
      </c>
      <c r="D284" s="25" t="s">
        <v>36</v>
      </c>
    </row>
    <row r="285" spans="2:4" x14ac:dyDescent="0.25">
      <c r="B285" s="25" t="s">
        <v>455</v>
      </c>
      <c r="C285" s="25" t="s">
        <v>456</v>
      </c>
      <c r="D285" s="25">
        <v>5</v>
      </c>
    </row>
    <row r="286" spans="2:4" x14ac:dyDescent="0.25">
      <c r="B286" s="25" t="s">
        <v>285</v>
      </c>
      <c r="C286" s="25" t="s">
        <v>286</v>
      </c>
      <c r="D286" s="25" t="s">
        <v>36</v>
      </c>
    </row>
    <row r="287" spans="2:4" x14ac:dyDescent="0.25">
      <c r="B287" s="25" t="s">
        <v>288</v>
      </c>
      <c r="C287" s="25" t="s">
        <v>289</v>
      </c>
      <c r="D287" s="25" t="s">
        <v>36</v>
      </c>
    </row>
    <row r="288" spans="2:4" x14ac:dyDescent="0.25">
      <c r="B288" s="25" t="s">
        <v>291</v>
      </c>
      <c r="C288" s="25" t="s">
        <v>292</v>
      </c>
      <c r="D288" s="25" t="s">
        <v>36</v>
      </c>
    </row>
    <row r="289" spans="2:4" x14ac:dyDescent="0.25">
      <c r="B289" s="25" t="s">
        <v>293</v>
      </c>
      <c r="C289" s="25" t="s">
        <v>294</v>
      </c>
      <c r="D289" s="25" t="s">
        <v>36</v>
      </c>
    </row>
    <row r="290" spans="2:4" x14ac:dyDescent="0.25">
      <c r="B290" s="25" t="s">
        <v>295</v>
      </c>
      <c r="C290" s="25" t="s">
        <v>296</v>
      </c>
      <c r="D290" s="25" t="s">
        <v>36</v>
      </c>
    </row>
    <row r="291" spans="2:4" x14ac:dyDescent="0.25">
      <c r="B291" s="25" t="s">
        <v>298</v>
      </c>
      <c r="C291" s="25" t="s">
        <v>299</v>
      </c>
      <c r="D291" s="25" t="s">
        <v>36</v>
      </c>
    </row>
    <row r="292" spans="2:4" x14ac:dyDescent="0.25">
      <c r="B292" s="25" t="s">
        <v>794</v>
      </c>
      <c r="C292" s="25" t="s">
        <v>795</v>
      </c>
      <c r="D292" s="25">
        <v>0</v>
      </c>
    </row>
    <row r="293" spans="2:4" x14ac:dyDescent="0.25">
      <c r="B293" s="25" t="s">
        <v>620</v>
      </c>
      <c r="C293" s="25" t="s">
        <v>621</v>
      </c>
      <c r="D293" s="25">
        <v>5.04</v>
      </c>
    </row>
    <row r="294" spans="2:4" x14ac:dyDescent="0.25">
      <c r="B294" s="25" t="s">
        <v>733</v>
      </c>
      <c r="C294" s="25" t="s">
        <v>734</v>
      </c>
      <c r="D294" s="25">
        <v>5</v>
      </c>
    </row>
    <row r="295" spans="2:4" x14ac:dyDescent="0.25">
      <c r="B295" s="25" t="s">
        <v>301</v>
      </c>
      <c r="C295" s="25" t="s">
        <v>302</v>
      </c>
      <c r="D295" s="25" t="s">
        <v>36</v>
      </c>
    </row>
    <row r="296" spans="2:4" x14ac:dyDescent="0.25">
      <c r="B296" s="25" t="s">
        <v>505</v>
      </c>
      <c r="C296" s="25" t="s">
        <v>506</v>
      </c>
      <c r="D296" s="25">
        <v>5</v>
      </c>
    </row>
    <row r="297" spans="2:4" x14ac:dyDescent="0.25">
      <c r="B297" s="25" t="s">
        <v>304</v>
      </c>
      <c r="C297" s="25" t="s">
        <v>305</v>
      </c>
      <c r="D297" s="25" t="s">
        <v>36</v>
      </c>
    </row>
    <row r="298" spans="2:4" x14ac:dyDescent="0.25">
      <c r="B298" s="25" t="s">
        <v>306</v>
      </c>
      <c r="C298" s="25" t="s">
        <v>307</v>
      </c>
      <c r="D298" s="25" t="s">
        <v>36</v>
      </c>
    </row>
    <row r="299" spans="2:4" x14ac:dyDescent="0.25">
      <c r="B299" s="25" t="s">
        <v>308</v>
      </c>
      <c r="C299" s="25" t="s">
        <v>309</v>
      </c>
      <c r="D299" s="25" t="s">
        <v>36</v>
      </c>
    </row>
    <row r="300" spans="2:4" x14ac:dyDescent="0.25">
      <c r="B300" s="25" t="s">
        <v>310</v>
      </c>
      <c r="C300" s="25" t="s">
        <v>311</v>
      </c>
      <c r="D300" s="25" t="s">
        <v>36</v>
      </c>
    </row>
    <row r="301" spans="2:4" x14ac:dyDescent="0.25">
      <c r="B301" s="25" t="s">
        <v>968</v>
      </c>
      <c r="C301" s="25" t="s">
        <v>969</v>
      </c>
      <c r="D301" s="25">
        <v>5</v>
      </c>
    </row>
    <row r="302" spans="2:4" x14ac:dyDescent="0.25">
      <c r="B302" s="25" t="s">
        <v>313</v>
      </c>
      <c r="C302" s="25" t="s">
        <v>314</v>
      </c>
      <c r="D302" s="25" t="s">
        <v>36</v>
      </c>
    </row>
    <row r="303" spans="2:4" x14ac:dyDescent="0.25">
      <c r="B303" s="25" t="s">
        <v>823</v>
      </c>
      <c r="C303" s="25" t="s">
        <v>824</v>
      </c>
      <c r="D303" s="25">
        <v>5</v>
      </c>
    </row>
    <row r="304" spans="2:4" x14ac:dyDescent="0.25">
      <c r="B304" s="25" t="s">
        <v>316</v>
      </c>
      <c r="C304" s="25" t="s">
        <v>317</v>
      </c>
      <c r="D304" s="25" t="s">
        <v>36</v>
      </c>
    </row>
    <row r="305" spans="2:4" x14ac:dyDescent="0.25">
      <c r="B305" s="25" t="s">
        <v>319</v>
      </c>
      <c r="C305" s="25" t="s">
        <v>320</v>
      </c>
      <c r="D305" s="25" t="s">
        <v>36</v>
      </c>
    </row>
    <row r="306" spans="2:4" x14ac:dyDescent="0.25">
      <c r="B306" s="25" t="s">
        <v>321</v>
      </c>
      <c r="C306" s="25" t="s">
        <v>322</v>
      </c>
      <c r="D306" s="25" t="s">
        <v>36</v>
      </c>
    </row>
    <row r="307" spans="2:4" x14ac:dyDescent="0.25">
      <c r="B307" s="25" t="s">
        <v>457</v>
      </c>
      <c r="C307" s="25" t="s">
        <v>458</v>
      </c>
      <c r="D307" s="25">
        <v>5</v>
      </c>
    </row>
    <row r="308" spans="2:4" x14ac:dyDescent="0.25">
      <c r="B308" s="25" t="s">
        <v>323</v>
      </c>
      <c r="C308" s="25" t="s">
        <v>324</v>
      </c>
      <c r="D308" s="25" t="s">
        <v>36</v>
      </c>
    </row>
    <row r="309" spans="2:4" x14ac:dyDescent="0.25">
      <c r="B309" s="25" t="s">
        <v>325</v>
      </c>
      <c r="C309" s="25" t="s">
        <v>326</v>
      </c>
      <c r="D309" s="25" t="s">
        <v>36</v>
      </c>
    </row>
    <row r="310" spans="2:4" x14ac:dyDescent="0.25">
      <c r="B310" s="25" t="s">
        <v>459</v>
      </c>
      <c r="C310" s="25" t="s">
        <v>460</v>
      </c>
      <c r="D310" s="25">
        <v>5</v>
      </c>
    </row>
    <row r="311" spans="2:4" x14ac:dyDescent="0.25">
      <c r="B311" s="25" t="s">
        <v>919</v>
      </c>
      <c r="C311" s="25" t="s">
        <v>920</v>
      </c>
      <c r="D311" s="25">
        <v>5</v>
      </c>
    </row>
    <row r="312" spans="2:4" x14ac:dyDescent="0.25">
      <c r="B312" s="25" t="s">
        <v>610</v>
      </c>
      <c r="C312" s="25" t="s">
        <v>611</v>
      </c>
      <c r="D312" s="25">
        <v>5</v>
      </c>
    </row>
    <row r="313" spans="2:4" x14ac:dyDescent="0.25">
      <c r="B313" s="25" t="s">
        <v>461</v>
      </c>
      <c r="C313" s="25" t="s">
        <v>462</v>
      </c>
      <c r="D313" s="25">
        <v>5</v>
      </c>
    </row>
    <row r="314" spans="2:4" x14ac:dyDescent="0.25">
      <c r="B314" s="25" t="s">
        <v>639</v>
      </c>
      <c r="C314" s="25" t="s">
        <v>640</v>
      </c>
      <c r="D314" s="25">
        <v>5</v>
      </c>
    </row>
    <row r="315" spans="2:4" x14ac:dyDescent="0.25">
      <c r="B315" s="25" t="s">
        <v>327</v>
      </c>
      <c r="C315" s="25" t="s">
        <v>328</v>
      </c>
      <c r="D315" s="25" t="s">
        <v>36</v>
      </c>
    </row>
    <row r="316" spans="2:4" x14ac:dyDescent="0.25">
      <c r="B316" s="25" t="s">
        <v>329</v>
      </c>
      <c r="C316" s="25" t="s">
        <v>330</v>
      </c>
      <c r="D316" s="25" t="s">
        <v>36</v>
      </c>
    </row>
    <row r="317" spans="2:4" x14ac:dyDescent="0.25">
      <c r="B317" s="25" t="s">
        <v>332</v>
      </c>
      <c r="C317" s="25" t="s">
        <v>333</v>
      </c>
      <c r="D317" s="25" t="s">
        <v>36</v>
      </c>
    </row>
    <row r="318" spans="2:4" x14ac:dyDescent="0.25">
      <c r="B318" s="25" t="s">
        <v>334</v>
      </c>
      <c r="C318" s="25" t="s">
        <v>335</v>
      </c>
      <c r="D318" s="25" t="s">
        <v>36</v>
      </c>
    </row>
    <row r="319" spans="2:4" x14ac:dyDescent="0.25">
      <c r="B319" s="25" t="s">
        <v>507</v>
      </c>
      <c r="C319" s="25" t="s">
        <v>508</v>
      </c>
      <c r="D319" s="25">
        <v>5</v>
      </c>
    </row>
    <row r="320" spans="2:4" x14ac:dyDescent="0.25">
      <c r="B320" s="25" t="s">
        <v>417</v>
      </c>
      <c r="C320" s="25" t="s">
        <v>418</v>
      </c>
      <c r="D320" s="25">
        <v>5</v>
      </c>
    </row>
    <row r="321" spans="2:4" x14ac:dyDescent="0.25">
      <c r="B321" s="25" t="s">
        <v>337</v>
      </c>
      <c r="C321" s="25" t="s">
        <v>338</v>
      </c>
      <c r="D321" s="25" t="s">
        <v>36</v>
      </c>
    </row>
    <row r="322" spans="2:4" x14ac:dyDescent="0.25">
      <c r="B322" s="25" t="s">
        <v>339</v>
      </c>
      <c r="C322" s="25" t="s">
        <v>340</v>
      </c>
      <c r="D322" s="25" t="s">
        <v>36</v>
      </c>
    </row>
    <row r="323" spans="2:4" x14ac:dyDescent="0.25">
      <c r="B323" s="25" t="s">
        <v>825</v>
      </c>
      <c r="C323" s="25" t="s">
        <v>826</v>
      </c>
      <c r="D323" s="25">
        <v>5</v>
      </c>
    </row>
    <row r="324" spans="2:4" x14ac:dyDescent="0.25">
      <c r="B324" s="25" t="s">
        <v>828</v>
      </c>
      <c r="C324" s="25" t="s">
        <v>829</v>
      </c>
      <c r="D324" s="25">
        <v>5.68</v>
      </c>
    </row>
    <row r="325" spans="2:4" x14ac:dyDescent="0.25">
      <c r="B325" s="25" t="s">
        <v>342</v>
      </c>
      <c r="C325" s="25" t="s">
        <v>343</v>
      </c>
      <c r="D325" s="25" t="s">
        <v>36</v>
      </c>
    </row>
    <row r="326" spans="2:4" x14ac:dyDescent="0.25">
      <c r="B326" s="25" t="s">
        <v>830</v>
      </c>
      <c r="C326" s="25" t="s">
        <v>831</v>
      </c>
      <c r="D326" s="25">
        <v>5</v>
      </c>
    </row>
    <row r="327" spans="2:4" x14ac:dyDescent="0.25">
      <c r="B327" s="25" t="s">
        <v>921</v>
      </c>
      <c r="C327" s="25" t="s">
        <v>922</v>
      </c>
      <c r="D327" s="25">
        <v>5</v>
      </c>
    </row>
    <row r="328" spans="2:4" x14ac:dyDescent="0.25">
      <c r="B328" s="25" t="s">
        <v>970</v>
      </c>
      <c r="C328" s="25" t="s">
        <v>971</v>
      </c>
      <c r="D328" s="25">
        <v>5</v>
      </c>
    </row>
    <row r="329" spans="2:4" x14ac:dyDescent="0.25">
      <c r="B329" s="25" t="s">
        <v>344</v>
      </c>
      <c r="C329" s="25" t="s">
        <v>345</v>
      </c>
      <c r="D329" s="25" t="s">
        <v>36</v>
      </c>
    </row>
    <row r="330" spans="2:4" x14ac:dyDescent="0.25">
      <c r="B330" s="25" t="s">
        <v>879</v>
      </c>
      <c r="C330" s="25" t="s">
        <v>880</v>
      </c>
      <c r="D330" s="25">
        <v>3.92</v>
      </c>
    </row>
    <row r="331" spans="2:4" x14ac:dyDescent="0.25">
      <c r="B331" s="25" t="s">
        <v>553</v>
      </c>
      <c r="C331" s="25" t="s">
        <v>554</v>
      </c>
      <c r="D331" s="25">
        <v>5</v>
      </c>
    </row>
    <row r="332" spans="2:4" x14ac:dyDescent="0.25">
      <c r="B332" s="25" t="s">
        <v>923</v>
      </c>
      <c r="C332" s="25" t="s">
        <v>924</v>
      </c>
      <c r="D332" s="25">
        <v>5</v>
      </c>
    </row>
    <row r="333" spans="2:4" x14ac:dyDescent="0.25">
      <c r="B333" s="25" t="s">
        <v>761</v>
      </c>
      <c r="C333" s="25" t="s">
        <v>762</v>
      </c>
      <c r="D333" s="25">
        <v>5</v>
      </c>
    </row>
    <row r="334" spans="2:4" x14ac:dyDescent="0.25">
      <c r="B334" s="25" t="s">
        <v>509</v>
      </c>
      <c r="C334" s="25" t="s">
        <v>510</v>
      </c>
      <c r="D334" s="25">
        <v>5</v>
      </c>
    </row>
    <row r="335" spans="2:4" x14ac:dyDescent="0.25">
      <c r="B335" s="25" t="s">
        <v>347</v>
      </c>
      <c r="C335" s="25" t="s">
        <v>348</v>
      </c>
      <c r="D335" s="25" t="s">
        <v>36</v>
      </c>
    </row>
    <row r="336" spans="2:4" x14ac:dyDescent="0.25">
      <c r="B336" s="25" t="s">
        <v>973</v>
      </c>
      <c r="C336" s="25" t="s">
        <v>974</v>
      </c>
      <c r="D336" s="25">
        <v>5</v>
      </c>
    </row>
    <row r="337" spans="2:4" x14ac:dyDescent="0.25">
      <c r="B337" s="25" t="s">
        <v>349</v>
      </c>
      <c r="C337" s="25" t="s">
        <v>350</v>
      </c>
      <c r="D337" s="25" t="s">
        <v>36</v>
      </c>
    </row>
    <row r="338" spans="2:4" x14ac:dyDescent="0.25">
      <c r="B338" s="25" t="s">
        <v>351</v>
      </c>
      <c r="C338" s="25" t="s">
        <v>352</v>
      </c>
      <c r="D338" s="25" t="s">
        <v>36</v>
      </c>
    </row>
    <row r="339" spans="2:4" x14ac:dyDescent="0.25">
      <c r="B339" s="25" t="s">
        <v>833</v>
      </c>
      <c r="C339" s="25" t="s">
        <v>834</v>
      </c>
      <c r="D339" s="25">
        <v>5.5600000000000005</v>
      </c>
    </row>
    <row r="340" spans="2:4" x14ac:dyDescent="0.25">
      <c r="B340" s="25" t="s">
        <v>354</v>
      </c>
      <c r="C340" s="25" t="s">
        <v>355</v>
      </c>
      <c r="D340" s="25" t="s">
        <v>36</v>
      </c>
    </row>
    <row r="341" spans="2:4" x14ac:dyDescent="0.25">
      <c r="B341" s="25" t="s">
        <v>693</v>
      </c>
      <c r="C341" s="25" t="s">
        <v>694</v>
      </c>
      <c r="D341" s="25">
        <v>5</v>
      </c>
    </row>
    <row r="342" spans="2:4" x14ac:dyDescent="0.25">
      <c r="B342" s="25" t="s">
        <v>356</v>
      </c>
      <c r="C342" s="25" t="s">
        <v>357</v>
      </c>
      <c r="D342" s="25" t="s">
        <v>36</v>
      </c>
    </row>
    <row r="343" spans="2:4" x14ac:dyDescent="0.25">
      <c r="B343" s="25" t="s">
        <v>925</v>
      </c>
      <c r="C343" s="25" t="s">
        <v>926</v>
      </c>
      <c r="D343" s="25">
        <v>5</v>
      </c>
    </row>
    <row r="344" spans="2:4" x14ac:dyDescent="0.25">
      <c r="B344" s="25" t="s">
        <v>358</v>
      </c>
      <c r="C344" s="25" t="s">
        <v>359</v>
      </c>
      <c r="D344" s="25" t="s">
        <v>36</v>
      </c>
    </row>
    <row r="345" spans="2:4" x14ac:dyDescent="0.25">
      <c r="B345" s="25" t="s">
        <v>695</v>
      </c>
      <c r="C345" s="25" t="s">
        <v>696</v>
      </c>
      <c r="D345" s="25">
        <v>5</v>
      </c>
    </row>
    <row r="346" spans="2:4" x14ac:dyDescent="0.25">
      <c r="B346" s="25" t="s">
        <v>360</v>
      </c>
      <c r="C346" s="25" t="s">
        <v>361</v>
      </c>
      <c r="D346" s="25" t="s">
        <v>36</v>
      </c>
    </row>
    <row r="347" spans="2:4" x14ac:dyDescent="0.25">
      <c r="B347" s="25" t="s">
        <v>362</v>
      </c>
      <c r="C347" s="25" t="s">
        <v>363</v>
      </c>
      <c r="D347" s="25" t="s">
        <v>36</v>
      </c>
    </row>
    <row r="348" spans="2:4" x14ac:dyDescent="0.25">
      <c r="B348" s="25" t="s">
        <v>592</v>
      </c>
      <c r="C348" s="25" t="s">
        <v>593</v>
      </c>
      <c r="D348" s="25">
        <v>5</v>
      </c>
    </row>
    <row r="349" spans="2:4" x14ac:dyDescent="0.25">
      <c r="B349" s="25" t="s">
        <v>365</v>
      </c>
      <c r="C349" s="25" t="s">
        <v>366</v>
      </c>
      <c r="D349" s="25" t="s">
        <v>36</v>
      </c>
    </row>
    <row r="350" spans="2:4" x14ac:dyDescent="0.25">
      <c r="B350" s="25" t="s">
        <v>763</v>
      </c>
      <c r="C350" s="25" t="s">
        <v>764</v>
      </c>
      <c r="D350" s="25">
        <v>5</v>
      </c>
    </row>
    <row r="351" spans="2:4" x14ac:dyDescent="0.25">
      <c r="B351" s="25" t="s">
        <v>836</v>
      </c>
      <c r="C351" s="25" t="s">
        <v>837</v>
      </c>
      <c r="D351" s="25">
        <v>5</v>
      </c>
    </row>
    <row r="352" spans="2:4" x14ac:dyDescent="0.25">
      <c r="B352" s="25" t="s">
        <v>975</v>
      </c>
      <c r="C352" s="25" t="s">
        <v>976</v>
      </c>
      <c r="D352" s="25">
        <v>2.1</v>
      </c>
    </row>
    <row r="353" spans="2:4" x14ac:dyDescent="0.25">
      <c r="B353" s="25" t="s">
        <v>766</v>
      </c>
      <c r="C353" s="25" t="s">
        <v>767</v>
      </c>
      <c r="D353" s="25">
        <v>4.4800000000000004</v>
      </c>
    </row>
    <row r="354" spans="2:4" x14ac:dyDescent="0.25">
      <c r="B354" s="25" t="s">
        <v>368</v>
      </c>
      <c r="C354" s="25" t="s">
        <v>369</v>
      </c>
      <c r="D354" s="25" t="s">
        <v>36</v>
      </c>
    </row>
    <row r="355" spans="2:4" x14ac:dyDescent="0.25">
      <c r="B355" s="25" t="s">
        <v>736</v>
      </c>
      <c r="C355" s="25" t="s">
        <v>737</v>
      </c>
      <c r="D355" s="25">
        <v>6</v>
      </c>
    </row>
    <row r="356" spans="2:4" x14ac:dyDescent="0.25">
      <c r="B356" s="25" t="s">
        <v>612</v>
      </c>
      <c r="C356" s="25" t="s">
        <v>613</v>
      </c>
      <c r="D356" s="25">
        <v>5</v>
      </c>
    </row>
    <row r="357" spans="2:4" x14ac:dyDescent="0.25">
      <c r="B357" s="25" t="s">
        <v>614</v>
      </c>
      <c r="C357" s="25" t="s">
        <v>615</v>
      </c>
      <c r="D357" s="25">
        <v>5</v>
      </c>
    </row>
    <row r="358" spans="2:4" x14ac:dyDescent="0.25">
      <c r="B358" s="25" t="s">
        <v>372</v>
      </c>
      <c r="C358" s="25" t="s">
        <v>372</v>
      </c>
      <c r="D358" s="25"/>
    </row>
    <row r="359" spans="2:4" x14ac:dyDescent="0.25">
      <c r="B359" s="25" t="s">
        <v>839</v>
      </c>
      <c r="C359" s="25" t="s">
        <v>840</v>
      </c>
      <c r="D359" s="25">
        <v>5.6</v>
      </c>
    </row>
    <row r="360" spans="2:4" x14ac:dyDescent="0.25">
      <c r="B360" s="25" t="s">
        <v>697</v>
      </c>
      <c r="C360" s="25" t="s">
        <v>698</v>
      </c>
      <c r="D360" s="25">
        <v>5.6</v>
      </c>
    </row>
    <row r="361" spans="2:4" x14ac:dyDescent="0.25">
      <c r="B361" s="25" t="s">
        <v>623</v>
      </c>
      <c r="C361" s="25" t="s">
        <v>624</v>
      </c>
      <c r="D361" s="25">
        <v>5.04</v>
      </c>
    </row>
    <row r="362" spans="2:4" x14ac:dyDescent="0.25">
      <c r="B362" s="25" t="s">
        <v>841</v>
      </c>
      <c r="C362" s="25" t="s">
        <v>842</v>
      </c>
      <c r="D362" s="25">
        <v>5.6</v>
      </c>
    </row>
    <row r="363" spans="2:4" x14ac:dyDescent="0.25">
      <c r="B363" s="25" t="s">
        <v>881</v>
      </c>
      <c r="C363" s="25" t="s">
        <v>882</v>
      </c>
      <c r="D363" s="25">
        <v>5.6</v>
      </c>
    </row>
    <row r="364" spans="2:4" x14ac:dyDescent="0.25">
      <c r="B364" s="25" t="s">
        <v>626</v>
      </c>
      <c r="C364" s="25" t="s">
        <v>627</v>
      </c>
      <c r="D364" s="25"/>
    </row>
  </sheetData>
  <conditionalFormatting sqref="B4:B364">
    <cfRule type="duplicateValues" dxfId="33" priority="1"/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BA54A-5A36-4799-A965-30DD605A9729}">
  <sheetPr filterMode="1"/>
  <dimension ref="C1:V413"/>
  <sheetViews>
    <sheetView topLeftCell="A2" zoomScaleNormal="100" workbookViewId="0">
      <selection activeCell="G372" sqref="G372"/>
    </sheetView>
  </sheetViews>
  <sheetFormatPr baseColWidth="10" defaultColWidth="10.81640625" defaultRowHeight="12.5" x14ac:dyDescent="0.25"/>
  <cols>
    <col min="1" max="1" width="6.453125" style="48" customWidth="1"/>
    <col min="2" max="2" width="5.26953125" style="48" customWidth="1"/>
    <col min="3" max="3" width="17.26953125" style="48" bestFit="1" customWidth="1"/>
    <col min="4" max="4" width="40.54296875" style="48" customWidth="1"/>
    <col min="5" max="5" width="42.54296875" style="48" customWidth="1"/>
    <col min="6" max="6" width="23" style="48" customWidth="1"/>
    <col min="7" max="8" width="23.54296875" style="48" customWidth="1"/>
    <col min="9" max="9" width="30" style="48" customWidth="1"/>
    <col min="10" max="10" width="39.81640625" style="48" customWidth="1"/>
    <col min="11" max="11" width="24.81640625" style="48" customWidth="1"/>
    <col min="12" max="14" width="31.453125" style="48" customWidth="1"/>
    <col min="15" max="15" width="10.81640625" style="48" customWidth="1"/>
    <col min="16" max="16" width="33.81640625" style="48" customWidth="1"/>
    <col min="17" max="17" width="23" style="48" customWidth="1"/>
    <col min="18" max="18" width="25.453125" style="48" customWidth="1"/>
    <col min="19" max="19" width="34.54296875" style="48" customWidth="1"/>
    <col min="20" max="20" width="16" style="48" customWidth="1"/>
    <col min="21" max="21" width="22.26953125" style="48" customWidth="1"/>
    <col min="22" max="22" width="95.81640625" style="48" bestFit="1" customWidth="1"/>
    <col min="23" max="16384" width="10.81640625" style="48"/>
  </cols>
  <sheetData>
    <row r="1" spans="3:22" x14ac:dyDescent="0.25">
      <c r="C1" s="53"/>
      <c r="D1" s="48">
        <v>1</v>
      </c>
      <c r="E1" s="48" t="s">
        <v>11</v>
      </c>
      <c r="F1" s="48">
        <v>1</v>
      </c>
      <c r="G1" s="48">
        <f>F1*D1</f>
        <v>1</v>
      </c>
    </row>
    <row r="2" spans="3:22" x14ac:dyDescent="0.25">
      <c r="D2" s="48">
        <v>1</v>
      </c>
      <c r="E2" s="48" t="s">
        <v>12</v>
      </c>
      <c r="F2" s="48">
        <v>1</v>
      </c>
      <c r="G2" s="48">
        <f t="shared" ref="G2:G4" si="0">F2*D2</f>
        <v>1</v>
      </c>
    </row>
    <row r="3" spans="3:22" x14ac:dyDescent="0.25">
      <c r="D3" s="48">
        <v>4</v>
      </c>
      <c r="E3" s="48" t="s">
        <v>13</v>
      </c>
      <c r="F3" s="54">
        <v>0.56000000000000005</v>
      </c>
      <c r="G3" s="48">
        <f t="shared" si="0"/>
        <v>2.2400000000000002</v>
      </c>
    </row>
    <row r="4" spans="3:22" x14ac:dyDescent="0.25">
      <c r="D4" s="48">
        <v>4</v>
      </c>
      <c r="E4" s="48" t="s">
        <v>14</v>
      </c>
      <c r="F4" s="54">
        <v>0.34</v>
      </c>
      <c r="G4" s="48">
        <f t="shared" si="0"/>
        <v>1.36</v>
      </c>
    </row>
    <row r="5" spans="3:22" x14ac:dyDescent="0.25">
      <c r="D5" s="54"/>
      <c r="E5" s="55"/>
      <c r="G5" s="48">
        <f>SUM(G1:G4)</f>
        <v>5.6000000000000005</v>
      </c>
    </row>
    <row r="6" spans="3:22" s="78" customFormat="1" ht="29.5" x14ac:dyDescent="0.25">
      <c r="C6" s="78">
        <v>1</v>
      </c>
      <c r="D6" s="78">
        <f>C6+1</f>
        <v>2</v>
      </c>
      <c r="E6" s="78">
        <f t="shared" ref="E6:T6" si="1">D6+1</f>
        <v>3</v>
      </c>
      <c r="F6" s="78">
        <f t="shared" si="1"/>
        <v>4</v>
      </c>
      <c r="G6" s="78">
        <v>5</v>
      </c>
      <c r="H6" s="78">
        <f>G6+1</f>
        <v>6</v>
      </c>
      <c r="I6" s="78">
        <f t="shared" si="1"/>
        <v>7</v>
      </c>
      <c r="J6" s="78">
        <f t="shared" si="1"/>
        <v>8</v>
      </c>
      <c r="K6" s="78">
        <f t="shared" si="1"/>
        <v>9</v>
      </c>
      <c r="L6" s="78">
        <f t="shared" si="1"/>
        <v>10</v>
      </c>
      <c r="M6" s="78">
        <f t="shared" si="1"/>
        <v>11</v>
      </c>
      <c r="N6" s="78">
        <f t="shared" si="1"/>
        <v>12</v>
      </c>
      <c r="O6" s="78">
        <f t="shared" si="1"/>
        <v>13</v>
      </c>
      <c r="P6" s="78">
        <f t="shared" si="1"/>
        <v>14</v>
      </c>
      <c r="Q6" s="78">
        <f>P6+1</f>
        <v>15</v>
      </c>
      <c r="R6" s="78">
        <f t="shared" si="1"/>
        <v>16</v>
      </c>
      <c r="S6" s="78">
        <f t="shared" si="1"/>
        <v>17</v>
      </c>
      <c r="T6" s="78">
        <f t="shared" si="1"/>
        <v>18</v>
      </c>
      <c r="U6" s="78">
        <v>20</v>
      </c>
    </row>
    <row r="7" spans="3:22" ht="13" x14ac:dyDescent="0.25">
      <c r="C7" s="1" t="s">
        <v>15</v>
      </c>
      <c r="D7" s="1" t="s">
        <v>16</v>
      </c>
      <c r="E7" s="1" t="s">
        <v>17</v>
      </c>
      <c r="F7" s="1" t="s">
        <v>18</v>
      </c>
      <c r="G7" s="1" t="s">
        <v>19</v>
      </c>
      <c r="H7" s="1" t="s">
        <v>20</v>
      </c>
      <c r="I7" s="1" t="s">
        <v>21</v>
      </c>
      <c r="J7" s="1" t="s">
        <v>22</v>
      </c>
      <c r="K7" s="73" t="s">
        <v>23</v>
      </c>
      <c r="L7" s="1" t="s">
        <v>24</v>
      </c>
      <c r="M7" s="1" t="s">
        <v>25</v>
      </c>
      <c r="N7" s="1" t="s">
        <v>26</v>
      </c>
      <c r="O7" s="1" t="s">
        <v>15</v>
      </c>
      <c r="P7" s="1" t="s">
        <v>27</v>
      </c>
      <c r="Q7" s="1" t="s">
        <v>28</v>
      </c>
      <c r="R7" s="1" t="s">
        <v>29</v>
      </c>
      <c r="S7" s="1" t="s">
        <v>30</v>
      </c>
      <c r="T7" s="1" t="s">
        <v>31</v>
      </c>
      <c r="U7" s="1" t="s">
        <v>32</v>
      </c>
      <c r="V7" s="76" t="s">
        <v>33</v>
      </c>
    </row>
    <row r="8" spans="3:22" hidden="1" x14ac:dyDescent="0.25">
      <c r="C8" s="4" t="s">
        <v>929</v>
      </c>
      <c r="D8" s="4" t="s">
        <v>930</v>
      </c>
      <c r="E8" s="4" t="s">
        <v>930</v>
      </c>
      <c r="F8" s="4">
        <v>11.68</v>
      </c>
      <c r="G8" s="4" t="s">
        <v>376</v>
      </c>
      <c r="H8" s="4" t="s">
        <v>46</v>
      </c>
      <c r="I8" s="4"/>
      <c r="J8" s="4" t="s">
        <v>160</v>
      </c>
      <c r="K8" s="4" t="s">
        <v>43</v>
      </c>
      <c r="L8" s="4" t="s">
        <v>353</v>
      </c>
      <c r="M8" s="4" t="s">
        <v>40</v>
      </c>
      <c r="N8" s="4" t="s">
        <v>378</v>
      </c>
      <c r="O8" s="4" t="s">
        <v>929</v>
      </c>
      <c r="P8" s="4" t="s">
        <v>379</v>
      </c>
      <c r="Q8" s="50" t="s">
        <v>43</v>
      </c>
      <c r="R8" s="50"/>
      <c r="S8" s="50" t="s">
        <v>931</v>
      </c>
      <c r="T8" s="4" t="s">
        <v>43</v>
      </c>
      <c r="U8" s="4" t="s">
        <v>43</v>
      </c>
    </row>
    <row r="9" spans="3:22" hidden="1" x14ac:dyDescent="0.25">
      <c r="C9" s="4" t="s">
        <v>651</v>
      </c>
      <c r="D9" s="4" t="s">
        <v>652</v>
      </c>
      <c r="E9" s="4" t="s">
        <v>652</v>
      </c>
      <c r="F9" s="4">
        <v>12</v>
      </c>
      <c r="G9" s="4" t="s">
        <v>376</v>
      </c>
      <c r="H9" s="4" t="s">
        <v>46</v>
      </c>
      <c r="I9" s="4"/>
      <c r="J9" s="4" t="s">
        <v>248</v>
      </c>
      <c r="K9" s="4" t="s">
        <v>43</v>
      </c>
      <c r="L9" s="4" t="s">
        <v>51</v>
      </c>
      <c r="M9" s="4" t="s">
        <v>40</v>
      </c>
      <c r="N9" s="4" t="s">
        <v>984</v>
      </c>
      <c r="O9" s="4" t="s">
        <v>651</v>
      </c>
      <c r="P9" s="4" t="s">
        <v>379</v>
      </c>
      <c r="Q9" s="50" t="s">
        <v>43</v>
      </c>
      <c r="R9" s="50"/>
      <c r="S9" s="50" t="s">
        <v>51</v>
      </c>
      <c r="T9" s="4" t="s">
        <v>43</v>
      </c>
      <c r="U9" s="4" t="s">
        <v>43</v>
      </c>
    </row>
    <row r="10" spans="3:22" hidden="1" x14ac:dyDescent="0.25">
      <c r="C10" s="4" t="s">
        <v>373</v>
      </c>
      <c r="D10" s="4" t="s">
        <v>374</v>
      </c>
      <c r="E10" s="4" t="s">
        <v>375</v>
      </c>
      <c r="F10" s="4">
        <v>11.68</v>
      </c>
      <c r="G10" s="4" t="s">
        <v>376</v>
      </c>
      <c r="H10" s="4" t="s">
        <v>46</v>
      </c>
      <c r="I10" s="4"/>
      <c r="J10" s="4" t="s">
        <v>63</v>
      </c>
      <c r="K10" s="4" t="s">
        <v>43</v>
      </c>
      <c r="L10" s="4" t="s">
        <v>138</v>
      </c>
      <c r="M10" s="4" t="s">
        <v>40</v>
      </c>
      <c r="N10" s="4" t="s">
        <v>378</v>
      </c>
      <c r="O10" s="4" t="s">
        <v>373</v>
      </c>
      <c r="P10" s="4" t="s">
        <v>379</v>
      </c>
      <c r="Q10" s="50" t="s">
        <v>43</v>
      </c>
      <c r="R10" s="50"/>
      <c r="S10" s="50" t="s">
        <v>380</v>
      </c>
      <c r="T10" s="4" t="s">
        <v>43</v>
      </c>
      <c r="U10" s="4" t="s">
        <v>43</v>
      </c>
    </row>
    <row r="11" spans="3:22" hidden="1" x14ac:dyDescent="0.25">
      <c r="C11" s="4" t="s">
        <v>699</v>
      </c>
      <c r="D11" s="4" t="s">
        <v>985</v>
      </c>
      <c r="E11" s="4" t="s">
        <v>701</v>
      </c>
      <c r="F11" s="4">
        <v>10</v>
      </c>
      <c r="G11" s="4" t="s">
        <v>376</v>
      </c>
      <c r="H11" s="4" t="s">
        <v>46</v>
      </c>
      <c r="I11" s="4"/>
      <c r="J11" s="4" t="s">
        <v>84</v>
      </c>
      <c r="K11" s="4" t="s">
        <v>440</v>
      </c>
      <c r="L11" s="4" t="s">
        <v>54</v>
      </c>
      <c r="M11" s="4" t="s">
        <v>55</v>
      </c>
      <c r="N11" s="4" t="s">
        <v>984</v>
      </c>
      <c r="O11" s="4" t="s">
        <v>699</v>
      </c>
      <c r="P11" s="4" t="s">
        <v>379</v>
      </c>
      <c r="Q11" s="50" t="s">
        <v>43</v>
      </c>
      <c r="R11" s="50"/>
      <c r="S11" s="50" t="s">
        <v>702</v>
      </c>
      <c r="T11" s="4" t="s">
        <v>43</v>
      </c>
      <c r="U11" s="4" t="s">
        <v>43</v>
      </c>
    </row>
    <row r="12" spans="3:22" hidden="1" x14ac:dyDescent="0.25">
      <c r="C12" s="4" t="s">
        <v>739</v>
      </c>
      <c r="D12" s="4" t="s">
        <v>740</v>
      </c>
      <c r="E12" s="4" t="s">
        <v>740</v>
      </c>
      <c r="F12" s="4">
        <v>9</v>
      </c>
      <c r="G12" s="4" t="s">
        <v>376</v>
      </c>
      <c r="H12" s="4" t="s">
        <v>46</v>
      </c>
      <c r="I12" s="4"/>
      <c r="J12" s="4" t="s">
        <v>84</v>
      </c>
      <c r="K12" s="4" t="s">
        <v>440</v>
      </c>
      <c r="L12" s="4" t="s">
        <v>54</v>
      </c>
      <c r="M12" s="4" t="s">
        <v>55</v>
      </c>
      <c r="N12" s="4" t="s">
        <v>984</v>
      </c>
      <c r="O12" s="4" t="s">
        <v>739</v>
      </c>
      <c r="P12" s="4" t="s">
        <v>379</v>
      </c>
      <c r="Q12" s="50" t="s">
        <v>43</v>
      </c>
      <c r="R12" s="50"/>
      <c r="S12" s="50" t="s">
        <v>741</v>
      </c>
      <c r="T12" s="4" t="s">
        <v>43</v>
      </c>
      <c r="U12" s="4" t="s">
        <v>43</v>
      </c>
    </row>
    <row r="13" spans="3:22" hidden="1" x14ac:dyDescent="0.25">
      <c r="C13" s="4" t="s">
        <v>381</v>
      </c>
      <c r="D13" s="4" t="s">
        <v>382</v>
      </c>
      <c r="E13" s="4" t="s">
        <v>382</v>
      </c>
      <c r="F13" s="4">
        <v>8.4499999999999993</v>
      </c>
      <c r="G13" s="4" t="s">
        <v>376</v>
      </c>
      <c r="H13" s="4" t="s">
        <v>46</v>
      </c>
      <c r="I13" s="4"/>
      <c r="J13" s="4" t="s">
        <v>63</v>
      </c>
      <c r="K13" s="4" t="s">
        <v>43</v>
      </c>
      <c r="L13" s="4" t="s">
        <v>138</v>
      </c>
      <c r="M13" s="4" t="s">
        <v>40</v>
      </c>
      <c r="N13" s="4" t="s">
        <v>378</v>
      </c>
      <c r="O13" s="4" t="s">
        <v>381</v>
      </c>
      <c r="P13" s="4" t="s">
        <v>379</v>
      </c>
      <c r="Q13" s="50" t="s">
        <v>43</v>
      </c>
      <c r="R13" s="50"/>
      <c r="S13" s="50" t="s">
        <v>380</v>
      </c>
      <c r="T13" s="4" t="s">
        <v>43</v>
      </c>
      <c r="U13" s="4" t="s">
        <v>43</v>
      </c>
    </row>
    <row r="14" spans="3:22" hidden="1" x14ac:dyDescent="0.25">
      <c r="C14" s="4" t="s">
        <v>511</v>
      </c>
      <c r="D14" s="4" t="s">
        <v>512</v>
      </c>
      <c r="E14" s="4" t="s">
        <v>513</v>
      </c>
      <c r="F14" s="4">
        <f>10.58</f>
        <v>10.58</v>
      </c>
      <c r="G14" s="4" t="s">
        <v>376</v>
      </c>
      <c r="H14" s="4" t="s">
        <v>46</v>
      </c>
      <c r="I14" s="4"/>
      <c r="J14" s="4" t="s">
        <v>100</v>
      </c>
      <c r="K14" s="4" t="s">
        <v>43</v>
      </c>
      <c r="L14" s="4" t="s">
        <v>138</v>
      </c>
      <c r="M14" s="4" t="s">
        <v>40</v>
      </c>
      <c r="N14" s="4" t="s">
        <v>514</v>
      </c>
      <c r="O14" s="4" t="s">
        <v>511</v>
      </c>
      <c r="P14" s="4" t="s">
        <v>379</v>
      </c>
      <c r="Q14" s="50" t="s">
        <v>43</v>
      </c>
      <c r="R14" s="50"/>
      <c r="S14" s="50" t="s">
        <v>515</v>
      </c>
      <c r="T14" s="4" t="s">
        <v>43</v>
      </c>
      <c r="U14" s="4" t="s">
        <v>43</v>
      </c>
    </row>
    <row r="15" spans="3:22" hidden="1" x14ac:dyDescent="0.25">
      <c r="C15" s="4" t="s">
        <v>516</v>
      </c>
      <c r="D15" s="4" t="s">
        <v>517</v>
      </c>
      <c r="E15" s="4" t="s">
        <v>518</v>
      </c>
      <c r="F15" s="4">
        <f>11.68-1-1+0.56</f>
        <v>10.24</v>
      </c>
      <c r="G15" s="4" t="s">
        <v>376</v>
      </c>
      <c r="H15" s="4" t="s">
        <v>46</v>
      </c>
      <c r="I15" s="4"/>
      <c r="J15" s="4" t="s">
        <v>100</v>
      </c>
      <c r="K15" s="4" t="s">
        <v>43</v>
      </c>
      <c r="L15" s="4" t="s">
        <v>205</v>
      </c>
      <c r="M15" s="4" t="s">
        <v>40</v>
      </c>
      <c r="N15" s="4" t="s">
        <v>514</v>
      </c>
      <c r="O15" s="4" t="s">
        <v>516</v>
      </c>
      <c r="P15" s="4" t="s">
        <v>379</v>
      </c>
      <c r="Q15" s="50" t="s">
        <v>43</v>
      </c>
      <c r="R15" s="50"/>
      <c r="S15" s="50" t="s">
        <v>515</v>
      </c>
      <c r="T15" s="4" t="s">
        <v>43</v>
      </c>
      <c r="U15" s="4" t="s">
        <v>43</v>
      </c>
    </row>
    <row r="16" spans="3:22" hidden="1" x14ac:dyDescent="0.25">
      <c r="C16" s="4" t="s">
        <v>796</v>
      </c>
      <c r="D16" s="4" t="s">
        <v>797</v>
      </c>
      <c r="E16" s="4" t="s">
        <v>797</v>
      </c>
      <c r="F16" s="4">
        <v>8.68</v>
      </c>
      <c r="G16" s="4" t="s">
        <v>376</v>
      </c>
      <c r="H16" s="4" t="s">
        <v>81</v>
      </c>
      <c r="I16" s="4"/>
      <c r="J16" s="4" t="s">
        <v>146</v>
      </c>
      <c r="K16" s="4" t="s">
        <v>43</v>
      </c>
      <c r="L16" s="4" t="s">
        <v>59</v>
      </c>
      <c r="M16" s="4" t="s">
        <v>40</v>
      </c>
      <c r="N16" s="4" t="s">
        <v>984</v>
      </c>
      <c r="O16" s="4" t="s">
        <v>796</v>
      </c>
      <c r="P16" s="4" t="s">
        <v>379</v>
      </c>
      <c r="Q16" s="50" t="s">
        <v>43</v>
      </c>
      <c r="R16" s="50"/>
      <c r="S16" s="50" t="s">
        <v>799</v>
      </c>
      <c r="T16" s="4" t="s">
        <v>43</v>
      </c>
      <c r="U16" s="4" t="s">
        <v>43</v>
      </c>
    </row>
    <row r="17" spans="3:22" hidden="1" x14ac:dyDescent="0.25">
      <c r="C17" s="4" t="s">
        <v>463</v>
      </c>
      <c r="D17" s="4" t="s">
        <v>464</v>
      </c>
      <c r="E17" s="4" t="s">
        <v>465</v>
      </c>
      <c r="F17" s="4">
        <v>8.9</v>
      </c>
      <c r="G17" s="4" t="s">
        <v>376</v>
      </c>
      <c r="H17" s="4" t="s">
        <v>46</v>
      </c>
      <c r="I17" s="4"/>
      <c r="J17" s="4" t="s">
        <v>466</v>
      </c>
      <c r="K17" s="4" t="s">
        <v>43</v>
      </c>
      <c r="L17" s="4" t="s">
        <v>51</v>
      </c>
      <c r="M17" s="4" t="s">
        <v>40</v>
      </c>
      <c r="N17" s="4" t="s">
        <v>378</v>
      </c>
      <c r="O17" s="4" t="s">
        <v>463</v>
      </c>
      <c r="P17" s="4" t="s">
        <v>379</v>
      </c>
      <c r="Q17" s="50" t="s">
        <v>43</v>
      </c>
      <c r="R17" s="50"/>
      <c r="S17" s="50" t="s">
        <v>467</v>
      </c>
      <c r="T17" s="4" t="s">
        <v>43</v>
      </c>
      <c r="U17" s="4" t="s">
        <v>43</v>
      </c>
    </row>
    <row r="18" spans="3:22" hidden="1" x14ac:dyDescent="0.25">
      <c r="C18" s="4" t="s">
        <v>383</v>
      </c>
      <c r="D18" s="4" t="s">
        <v>384</v>
      </c>
      <c r="E18" s="4" t="s">
        <v>384</v>
      </c>
      <c r="F18" s="4">
        <v>8</v>
      </c>
      <c r="G18" s="4" t="s">
        <v>376</v>
      </c>
      <c r="H18" s="4" t="s">
        <v>46</v>
      </c>
      <c r="I18" s="4"/>
      <c r="J18" s="4" t="s">
        <v>63</v>
      </c>
      <c r="K18" s="4" t="s">
        <v>43</v>
      </c>
      <c r="L18" s="4" t="s">
        <v>138</v>
      </c>
      <c r="M18" s="4" t="s">
        <v>40</v>
      </c>
      <c r="N18" s="4" t="s">
        <v>378</v>
      </c>
      <c r="O18" s="4" t="s">
        <v>383</v>
      </c>
      <c r="P18" s="4" t="s">
        <v>42</v>
      </c>
      <c r="Q18" s="50" t="s">
        <v>43</v>
      </c>
      <c r="R18" s="50"/>
      <c r="S18" s="50" t="s">
        <v>380</v>
      </c>
      <c r="T18" s="4" t="s">
        <v>43</v>
      </c>
      <c r="U18" s="4" t="s">
        <v>43</v>
      </c>
    </row>
    <row r="19" spans="3:22" hidden="1" x14ac:dyDescent="0.25">
      <c r="C19" s="4" t="s">
        <v>646</v>
      </c>
      <c r="D19" s="4" t="s">
        <v>647</v>
      </c>
      <c r="E19" s="4" t="s">
        <v>647</v>
      </c>
      <c r="F19" s="4">
        <v>7</v>
      </c>
      <c r="G19" s="4" t="s">
        <v>376</v>
      </c>
      <c r="H19" s="4" t="s">
        <v>46</v>
      </c>
      <c r="I19" s="4"/>
      <c r="J19" s="4" t="s">
        <v>50</v>
      </c>
      <c r="K19" s="4" t="s">
        <v>43</v>
      </c>
      <c r="L19" s="4" t="s">
        <v>59</v>
      </c>
      <c r="M19" s="4" t="s">
        <v>40</v>
      </c>
      <c r="N19" s="4" t="s">
        <v>422</v>
      </c>
      <c r="O19" s="4" t="s">
        <v>646</v>
      </c>
      <c r="P19" s="4" t="s">
        <v>42</v>
      </c>
      <c r="Q19" s="50" t="s">
        <v>43</v>
      </c>
      <c r="R19" s="50"/>
      <c r="S19" s="50" t="s">
        <v>597</v>
      </c>
      <c r="T19" s="4" t="s">
        <v>43</v>
      </c>
      <c r="U19" s="4" t="s">
        <v>43</v>
      </c>
    </row>
    <row r="20" spans="3:22" hidden="1" x14ac:dyDescent="0.25">
      <c r="C20" s="4" t="s">
        <v>648</v>
      </c>
      <c r="D20" s="4" t="s">
        <v>649</v>
      </c>
      <c r="E20" s="4" t="s">
        <v>650</v>
      </c>
      <c r="F20" s="4">
        <v>7.45</v>
      </c>
      <c r="G20" s="4" t="s">
        <v>376</v>
      </c>
      <c r="H20" s="4" t="s">
        <v>46</v>
      </c>
      <c r="I20" s="4"/>
      <c r="J20" s="4" t="s">
        <v>50</v>
      </c>
      <c r="K20" s="4" t="s">
        <v>43</v>
      </c>
      <c r="L20" s="4" t="s">
        <v>64</v>
      </c>
      <c r="M20" s="4" t="s">
        <v>40</v>
      </c>
      <c r="N20" s="4" t="s">
        <v>422</v>
      </c>
      <c r="O20" s="4" t="s">
        <v>648</v>
      </c>
      <c r="P20" s="4" t="s">
        <v>42</v>
      </c>
      <c r="Q20" s="50" t="s">
        <v>43</v>
      </c>
      <c r="R20" s="50"/>
      <c r="S20" s="50" t="s">
        <v>597</v>
      </c>
      <c r="T20" s="4" t="s">
        <v>43</v>
      </c>
      <c r="U20" s="4" t="s">
        <v>43</v>
      </c>
    </row>
    <row r="21" spans="3:22" hidden="1" x14ac:dyDescent="0.25">
      <c r="C21" s="4" t="s">
        <v>642</v>
      </c>
      <c r="D21" s="4" t="s">
        <v>643</v>
      </c>
      <c r="E21" s="4" t="s">
        <v>643</v>
      </c>
      <c r="F21" s="4">
        <v>6.16</v>
      </c>
      <c r="G21" s="4" t="s">
        <v>376</v>
      </c>
      <c r="H21" s="4" t="s">
        <v>46</v>
      </c>
      <c r="I21" s="4"/>
      <c r="J21" s="4" t="s">
        <v>50</v>
      </c>
      <c r="K21" s="4" t="s">
        <v>43</v>
      </c>
      <c r="L21" s="4" t="s">
        <v>51</v>
      </c>
      <c r="M21" s="4" t="s">
        <v>40</v>
      </c>
      <c r="N21" s="4" t="s">
        <v>422</v>
      </c>
      <c r="O21" s="4" t="s">
        <v>642</v>
      </c>
      <c r="P21" s="4" t="s">
        <v>42</v>
      </c>
      <c r="Q21" s="50" t="s">
        <v>43</v>
      </c>
      <c r="R21" s="50"/>
      <c r="S21" s="50" t="s">
        <v>597</v>
      </c>
      <c r="T21" s="4" t="s">
        <v>43</v>
      </c>
      <c r="U21" s="4" t="s">
        <v>43</v>
      </c>
    </row>
    <row r="22" spans="3:22" hidden="1" x14ac:dyDescent="0.25">
      <c r="C22" s="4" t="s">
        <v>468</v>
      </c>
      <c r="D22" s="4" t="s">
        <v>469</v>
      </c>
      <c r="E22" s="4" t="s">
        <v>470</v>
      </c>
      <c r="F22" s="4">
        <v>8.4499999999999993</v>
      </c>
      <c r="G22" s="4" t="s">
        <v>376</v>
      </c>
      <c r="H22" s="4" t="s">
        <v>46</v>
      </c>
      <c r="I22" s="4"/>
      <c r="J22" s="4" t="s">
        <v>466</v>
      </c>
      <c r="K22" s="4" t="s">
        <v>43</v>
      </c>
      <c r="L22" s="4" t="s">
        <v>51</v>
      </c>
      <c r="M22" s="4" t="s">
        <v>40</v>
      </c>
      <c r="N22" s="4" t="s">
        <v>378</v>
      </c>
      <c r="O22" s="4" t="s">
        <v>468</v>
      </c>
      <c r="P22" s="4" t="s">
        <v>42</v>
      </c>
      <c r="Q22" s="50" t="s">
        <v>43</v>
      </c>
      <c r="R22" s="50"/>
      <c r="S22" s="50" t="s">
        <v>467</v>
      </c>
      <c r="T22" s="4" t="s">
        <v>43</v>
      </c>
      <c r="U22" s="4" t="s">
        <v>43</v>
      </c>
    </row>
    <row r="23" spans="3:22" hidden="1" x14ac:dyDescent="0.25">
      <c r="C23" s="4" t="s">
        <v>932</v>
      </c>
      <c r="D23" s="4" t="s">
        <v>933</v>
      </c>
      <c r="E23" s="4" t="s">
        <v>933</v>
      </c>
      <c r="F23" s="4">
        <v>7</v>
      </c>
      <c r="G23" s="4" t="s">
        <v>376</v>
      </c>
      <c r="H23" s="4" t="s">
        <v>46</v>
      </c>
      <c r="I23" s="4"/>
      <c r="J23" s="4" t="s">
        <v>160</v>
      </c>
      <c r="K23" s="4" t="s">
        <v>43</v>
      </c>
      <c r="L23" s="4" t="s">
        <v>353</v>
      </c>
      <c r="M23" s="4" t="s">
        <v>40</v>
      </c>
      <c r="N23" s="4" t="s">
        <v>378</v>
      </c>
      <c r="O23" s="4" t="s">
        <v>932</v>
      </c>
      <c r="P23" s="4" t="s">
        <v>42</v>
      </c>
      <c r="Q23" s="50" t="s">
        <v>43</v>
      </c>
      <c r="R23" s="50"/>
      <c r="S23" s="50" t="s">
        <v>931</v>
      </c>
      <c r="T23" s="4" t="s">
        <v>43</v>
      </c>
      <c r="U23" s="4" t="s">
        <v>43</v>
      </c>
    </row>
    <row r="24" spans="3:22" hidden="1" x14ac:dyDescent="0.25">
      <c r="C24" s="4" t="s">
        <v>390</v>
      </c>
      <c r="D24" s="4" t="s">
        <v>391</v>
      </c>
      <c r="E24" s="4" t="s">
        <v>391</v>
      </c>
      <c r="F24" s="4">
        <v>7</v>
      </c>
      <c r="G24" s="4" t="s">
        <v>376</v>
      </c>
      <c r="H24" s="4" t="s">
        <v>46</v>
      </c>
      <c r="I24" s="4"/>
      <c r="J24" s="4" t="s">
        <v>63</v>
      </c>
      <c r="K24" s="4" t="s">
        <v>43</v>
      </c>
      <c r="L24" s="4" t="s">
        <v>138</v>
      </c>
      <c r="M24" s="4" t="s">
        <v>40</v>
      </c>
      <c r="N24" s="4" t="s">
        <v>378</v>
      </c>
      <c r="O24" s="4" t="s">
        <v>390</v>
      </c>
      <c r="P24" s="4" t="s">
        <v>42</v>
      </c>
      <c r="Q24" s="50" t="s">
        <v>43</v>
      </c>
      <c r="R24" s="50"/>
      <c r="S24" s="50" t="s">
        <v>380</v>
      </c>
      <c r="T24" s="4" t="s">
        <v>43</v>
      </c>
      <c r="U24" s="4" t="s">
        <v>43</v>
      </c>
    </row>
    <row r="25" spans="3:22" hidden="1" x14ac:dyDescent="0.25">
      <c r="C25" s="4" t="s">
        <v>883</v>
      </c>
      <c r="D25" s="4" t="s">
        <v>884</v>
      </c>
      <c r="E25" s="4" t="s">
        <v>986</v>
      </c>
      <c r="F25" s="4">
        <f>5.45+0.34</f>
        <v>5.79</v>
      </c>
      <c r="G25" s="4" t="s">
        <v>376</v>
      </c>
      <c r="H25" s="4" t="s">
        <v>46</v>
      </c>
      <c r="I25" s="4"/>
      <c r="J25" s="4" t="s">
        <v>73</v>
      </c>
      <c r="K25" s="4" t="s">
        <v>43</v>
      </c>
      <c r="L25" s="4" t="s">
        <v>315</v>
      </c>
      <c r="M25" s="4" t="s">
        <v>40</v>
      </c>
      <c r="N25" s="4" t="s">
        <v>514</v>
      </c>
      <c r="O25" s="4" t="s">
        <v>883</v>
      </c>
      <c r="P25" s="4" t="s">
        <v>42</v>
      </c>
      <c r="Q25" s="50" t="s">
        <v>43</v>
      </c>
      <c r="R25" s="50"/>
      <c r="S25" s="50" t="s">
        <v>886</v>
      </c>
      <c r="T25" s="4" t="s">
        <v>43</v>
      </c>
      <c r="U25" s="4" t="s">
        <v>43</v>
      </c>
      <c r="V25" s="2"/>
    </row>
    <row r="26" spans="3:22" hidden="1" x14ac:dyDescent="0.25">
      <c r="C26" s="4" t="s">
        <v>387</v>
      </c>
      <c r="D26" s="4" t="s">
        <v>388</v>
      </c>
      <c r="E26" s="4" t="s">
        <v>389</v>
      </c>
      <c r="F26" s="4">
        <v>6.68</v>
      </c>
      <c r="G26" s="4" t="s">
        <v>987</v>
      </c>
      <c r="H26" s="4" t="s">
        <v>46</v>
      </c>
      <c r="I26" s="4"/>
      <c r="J26" s="4" t="s">
        <v>63</v>
      </c>
      <c r="K26" s="4" t="s">
        <v>43</v>
      </c>
      <c r="L26" s="4" t="s">
        <v>138</v>
      </c>
      <c r="M26" s="4" t="s">
        <v>40</v>
      </c>
      <c r="N26" s="4" t="s">
        <v>378</v>
      </c>
      <c r="O26" s="4" t="s">
        <v>387</v>
      </c>
      <c r="P26" s="4" t="s">
        <v>42</v>
      </c>
      <c r="Q26" s="50" t="s">
        <v>43</v>
      </c>
      <c r="R26" s="50"/>
      <c r="S26" s="50" t="s">
        <v>380</v>
      </c>
      <c r="T26" s="4" t="s">
        <v>43</v>
      </c>
      <c r="U26" s="4" t="s">
        <v>43</v>
      </c>
    </row>
    <row r="27" spans="3:22" hidden="1" x14ac:dyDescent="0.25">
      <c r="C27" s="4" t="s">
        <v>519</v>
      </c>
      <c r="D27" s="4" t="s">
        <v>520</v>
      </c>
      <c r="E27" s="4" t="s">
        <v>520</v>
      </c>
      <c r="F27" s="4">
        <v>7</v>
      </c>
      <c r="G27" s="4" t="s">
        <v>376</v>
      </c>
      <c r="H27" s="4" t="s">
        <v>46</v>
      </c>
      <c r="I27" s="4"/>
      <c r="J27" s="4" t="s">
        <v>100</v>
      </c>
      <c r="K27" s="4" t="s">
        <v>43</v>
      </c>
      <c r="L27" s="4" t="s">
        <v>138</v>
      </c>
      <c r="M27" s="4" t="s">
        <v>40</v>
      </c>
      <c r="N27" s="4" t="s">
        <v>514</v>
      </c>
      <c r="O27" s="4" t="s">
        <v>519</v>
      </c>
      <c r="P27" s="4" t="s">
        <v>42</v>
      </c>
      <c r="Q27" s="50" t="s">
        <v>43</v>
      </c>
      <c r="R27" s="50"/>
      <c r="S27" s="50" t="s">
        <v>515</v>
      </c>
      <c r="T27" s="4" t="s">
        <v>43</v>
      </c>
      <c r="U27" s="4" t="s">
        <v>43</v>
      </c>
    </row>
    <row r="28" spans="3:22" hidden="1" x14ac:dyDescent="0.25">
      <c r="C28" s="4" t="s">
        <v>887</v>
      </c>
      <c r="D28" s="4" t="s">
        <v>275</v>
      </c>
      <c r="E28" s="4" t="s">
        <v>888</v>
      </c>
      <c r="F28" s="4">
        <v>8.68</v>
      </c>
      <c r="G28" s="4" t="s">
        <v>376</v>
      </c>
      <c r="H28" s="4" t="s">
        <v>46</v>
      </c>
      <c r="I28" s="4"/>
      <c r="J28" s="4" t="s">
        <v>73</v>
      </c>
      <c r="K28" s="4" t="s">
        <v>43</v>
      </c>
      <c r="L28" s="4" t="s">
        <v>275</v>
      </c>
      <c r="M28" s="4" t="s">
        <v>40</v>
      </c>
      <c r="N28" s="4" t="s">
        <v>514</v>
      </c>
      <c r="O28" s="4" t="s">
        <v>887</v>
      </c>
      <c r="P28" s="4" t="s">
        <v>42</v>
      </c>
      <c r="Q28" s="50" t="s">
        <v>43</v>
      </c>
      <c r="R28" s="50"/>
      <c r="S28" s="50" t="s">
        <v>886</v>
      </c>
      <c r="T28" s="4" t="s">
        <v>43</v>
      </c>
      <c r="U28" s="4" t="s">
        <v>43</v>
      </c>
    </row>
    <row r="29" spans="3:22" hidden="1" x14ac:dyDescent="0.25">
      <c r="C29" s="4" t="s">
        <v>654</v>
      </c>
      <c r="D29" s="4" t="s">
        <v>655</v>
      </c>
      <c r="E29" s="4" t="s">
        <v>655</v>
      </c>
      <c r="F29" s="4">
        <v>7</v>
      </c>
      <c r="G29" s="4" t="s">
        <v>376</v>
      </c>
      <c r="H29" s="4" t="s">
        <v>46</v>
      </c>
      <c r="I29" s="4"/>
      <c r="J29" s="4" t="s">
        <v>248</v>
      </c>
      <c r="K29" s="4" t="s">
        <v>43</v>
      </c>
      <c r="L29" s="4" t="s">
        <v>51</v>
      </c>
      <c r="M29" s="4" t="s">
        <v>40</v>
      </c>
      <c r="N29" s="4" t="s">
        <v>984</v>
      </c>
      <c r="O29" s="4" t="s">
        <v>654</v>
      </c>
      <c r="P29" s="4" t="s">
        <v>42</v>
      </c>
      <c r="Q29" s="50" t="s">
        <v>43</v>
      </c>
      <c r="R29" s="50"/>
      <c r="S29" s="50" t="s">
        <v>51</v>
      </c>
      <c r="T29" s="4" t="s">
        <v>43</v>
      </c>
      <c r="U29" s="4" t="s">
        <v>43</v>
      </c>
    </row>
    <row r="30" spans="3:22" hidden="1" x14ac:dyDescent="0.25">
      <c r="C30" s="4" t="s">
        <v>800</v>
      </c>
      <c r="D30" s="4" t="s">
        <v>801</v>
      </c>
      <c r="E30" s="4" t="s">
        <v>801</v>
      </c>
      <c r="F30" s="4">
        <v>7</v>
      </c>
      <c r="G30" s="4" t="s">
        <v>376</v>
      </c>
      <c r="H30" s="4" t="s">
        <v>46</v>
      </c>
      <c r="I30" s="4"/>
      <c r="J30" s="4" t="s">
        <v>146</v>
      </c>
      <c r="K30" s="4" t="s">
        <v>440</v>
      </c>
      <c r="L30" s="4" t="s">
        <v>59</v>
      </c>
      <c r="M30" s="4" t="s">
        <v>40</v>
      </c>
      <c r="N30" s="4" t="s">
        <v>984</v>
      </c>
      <c r="O30" s="4" t="s">
        <v>800</v>
      </c>
      <c r="P30" s="4" t="s">
        <v>42</v>
      </c>
      <c r="Q30" s="50" t="s">
        <v>43</v>
      </c>
      <c r="R30" s="50"/>
      <c r="S30" s="50" t="s">
        <v>799</v>
      </c>
      <c r="T30" s="4" t="s">
        <v>43</v>
      </c>
      <c r="U30" s="4" t="s">
        <v>43</v>
      </c>
    </row>
    <row r="31" spans="3:22" hidden="1" x14ac:dyDescent="0.25">
      <c r="C31" s="4" t="s">
        <v>385</v>
      </c>
      <c r="D31" s="4" t="s">
        <v>386</v>
      </c>
      <c r="E31" s="4" t="s">
        <v>386</v>
      </c>
      <c r="F31" s="4">
        <v>7</v>
      </c>
      <c r="G31" s="4" t="s">
        <v>376</v>
      </c>
      <c r="H31" s="4" t="s">
        <v>46</v>
      </c>
      <c r="I31" s="4"/>
      <c r="J31" s="4" t="s">
        <v>63</v>
      </c>
      <c r="K31" s="4" t="s">
        <v>43</v>
      </c>
      <c r="L31" s="4" t="s">
        <v>138</v>
      </c>
      <c r="M31" s="4" t="s">
        <v>40</v>
      </c>
      <c r="N31" s="4" t="s">
        <v>378</v>
      </c>
      <c r="O31" s="4" t="s">
        <v>385</v>
      </c>
      <c r="P31" s="4" t="s">
        <v>42</v>
      </c>
      <c r="Q31" s="50" t="s">
        <v>43</v>
      </c>
      <c r="R31" s="50"/>
      <c r="S31" s="50" t="s">
        <v>380</v>
      </c>
      <c r="T31" s="4" t="s">
        <v>43</v>
      </c>
      <c r="U31" s="4" t="s">
        <v>43</v>
      </c>
    </row>
    <row r="32" spans="3:22" hidden="1" x14ac:dyDescent="0.25">
      <c r="C32" s="4" t="s">
        <v>934</v>
      </c>
      <c r="D32" s="4" t="s">
        <v>935</v>
      </c>
      <c r="E32" s="4" t="s">
        <v>935</v>
      </c>
      <c r="F32" s="4">
        <v>7</v>
      </c>
      <c r="G32" s="4" t="s">
        <v>376</v>
      </c>
      <c r="H32" s="4" t="s">
        <v>46</v>
      </c>
      <c r="I32" s="4"/>
      <c r="J32" s="4" t="s">
        <v>160</v>
      </c>
      <c r="K32" s="4" t="s">
        <v>43</v>
      </c>
      <c r="L32" s="4" t="s">
        <v>353</v>
      </c>
      <c r="M32" s="4" t="s">
        <v>40</v>
      </c>
      <c r="N32" s="4" t="s">
        <v>378</v>
      </c>
      <c r="O32" s="4" t="s">
        <v>934</v>
      </c>
      <c r="P32" s="4" t="s">
        <v>42</v>
      </c>
      <c r="Q32" s="50" t="s">
        <v>43</v>
      </c>
      <c r="R32" s="50"/>
      <c r="S32" s="50" t="s">
        <v>931</v>
      </c>
      <c r="T32" s="4" t="s">
        <v>43</v>
      </c>
      <c r="U32" s="4" t="s">
        <v>43</v>
      </c>
    </row>
    <row r="33" spans="3:21" hidden="1" x14ac:dyDescent="0.25">
      <c r="C33" s="4" t="s">
        <v>573</v>
      </c>
      <c r="D33" s="4" t="s">
        <v>574</v>
      </c>
      <c r="E33" s="4" t="s">
        <v>575</v>
      </c>
      <c r="F33" s="4">
        <v>7</v>
      </c>
      <c r="G33" s="4" t="s">
        <v>376</v>
      </c>
      <c r="H33" s="4" t="s">
        <v>46</v>
      </c>
      <c r="I33" s="4"/>
      <c r="J33" s="4" t="s">
        <v>331</v>
      </c>
      <c r="K33" s="4" t="s">
        <v>43</v>
      </c>
      <c r="L33" s="4" t="s">
        <v>138</v>
      </c>
      <c r="M33" s="4" t="s">
        <v>40</v>
      </c>
      <c r="N33" s="4" t="s">
        <v>422</v>
      </c>
      <c r="O33" s="4" t="s">
        <v>573</v>
      </c>
      <c r="P33" s="4" t="s">
        <v>42</v>
      </c>
      <c r="Q33" s="50" t="s">
        <v>43</v>
      </c>
      <c r="R33" s="50"/>
      <c r="S33" s="50" t="s">
        <v>557</v>
      </c>
      <c r="T33" s="4" t="s">
        <v>43</v>
      </c>
      <c r="U33" s="4" t="s">
        <v>43</v>
      </c>
    </row>
    <row r="34" spans="3:21" hidden="1" x14ac:dyDescent="0.25">
      <c r="C34" s="4" t="s">
        <v>804</v>
      </c>
      <c r="D34" s="4" t="s">
        <v>805</v>
      </c>
      <c r="E34" s="4" t="s">
        <v>806</v>
      </c>
      <c r="F34" s="4">
        <v>7</v>
      </c>
      <c r="G34" s="4" t="s">
        <v>376</v>
      </c>
      <c r="H34" s="4" t="s">
        <v>46</v>
      </c>
      <c r="I34" s="4"/>
      <c r="J34" s="4" t="s">
        <v>146</v>
      </c>
      <c r="K34" s="4" t="s">
        <v>43</v>
      </c>
      <c r="L34" s="4" t="s">
        <v>59</v>
      </c>
      <c r="M34" s="4" t="s">
        <v>40</v>
      </c>
      <c r="N34" s="4" t="s">
        <v>984</v>
      </c>
      <c r="O34" s="4" t="s">
        <v>804</v>
      </c>
      <c r="P34" s="4" t="s">
        <v>42</v>
      </c>
      <c r="Q34" s="50" t="s">
        <v>43</v>
      </c>
      <c r="R34" s="50"/>
      <c r="S34" s="50" t="s">
        <v>799</v>
      </c>
      <c r="T34" s="4" t="s">
        <v>43</v>
      </c>
      <c r="U34" s="4" t="s">
        <v>32</v>
      </c>
    </row>
    <row r="35" spans="3:21" hidden="1" x14ac:dyDescent="0.25">
      <c r="C35" s="4" t="s">
        <v>618</v>
      </c>
      <c r="D35" s="4" t="s">
        <v>619</v>
      </c>
      <c r="E35" s="4" t="s">
        <v>619</v>
      </c>
      <c r="F35" s="4">
        <v>6.68</v>
      </c>
      <c r="G35" s="4" t="s">
        <v>987</v>
      </c>
      <c r="H35" s="4" t="s">
        <v>46</v>
      </c>
      <c r="I35" s="4"/>
      <c r="J35" s="4" t="s">
        <v>50</v>
      </c>
      <c r="K35" s="4"/>
      <c r="L35" s="4" t="s">
        <v>59</v>
      </c>
      <c r="M35" s="4" t="s">
        <v>40</v>
      </c>
      <c r="N35" s="4" t="s">
        <v>422</v>
      </c>
      <c r="O35" s="4" t="s">
        <v>618</v>
      </c>
      <c r="P35" s="4" t="s">
        <v>42</v>
      </c>
      <c r="Q35" s="50" t="s">
        <v>43</v>
      </c>
      <c r="R35" s="50"/>
      <c r="S35" s="50" t="s">
        <v>597</v>
      </c>
      <c r="T35" s="4" t="s">
        <v>43</v>
      </c>
      <c r="U35" s="4" t="s">
        <v>43</v>
      </c>
    </row>
    <row r="36" spans="3:21" hidden="1" x14ac:dyDescent="0.25">
      <c r="C36" s="4" t="s">
        <v>419</v>
      </c>
      <c r="D36" s="4" t="s">
        <v>420</v>
      </c>
      <c r="E36" s="4" t="s">
        <v>64</v>
      </c>
      <c r="F36" s="4">
        <v>6</v>
      </c>
      <c r="G36" s="4" t="s">
        <v>376</v>
      </c>
      <c r="H36" s="4" t="s">
        <v>46</v>
      </c>
      <c r="I36" s="4"/>
      <c r="J36" s="4" t="s">
        <v>94</v>
      </c>
      <c r="K36" s="4" t="s">
        <v>43</v>
      </c>
      <c r="L36" s="4" t="s">
        <v>64</v>
      </c>
      <c r="M36" s="4" t="s">
        <v>40</v>
      </c>
      <c r="N36" s="4" t="s">
        <v>422</v>
      </c>
      <c r="O36" s="4" t="s">
        <v>419</v>
      </c>
      <c r="P36" s="4" t="s">
        <v>42</v>
      </c>
      <c r="Q36" s="50" t="s">
        <v>43</v>
      </c>
      <c r="R36" s="50"/>
      <c r="S36" s="50" t="s">
        <v>423</v>
      </c>
      <c r="T36" s="4" t="s">
        <v>43</v>
      </c>
      <c r="U36" s="4" t="s">
        <v>43</v>
      </c>
    </row>
    <row r="37" spans="3:21" hidden="1" x14ac:dyDescent="0.25">
      <c r="C37" s="4" t="s">
        <v>521</v>
      </c>
      <c r="D37" s="4" t="s">
        <v>522</v>
      </c>
      <c r="E37" s="4" t="s">
        <v>522</v>
      </c>
      <c r="F37" s="4">
        <v>6</v>
      </c>
      <c r="G37" s="4" t="s">
        <v>376</v>
      </c>
      <c r="H37" s="4" t="s">
        <v>46</v>
      </c>
      <c r="I37" s="4"/>
      <c r="J37" s="4" t="s">
        <v>100</v>
      </c>
      <c r="K37" s="4" t="s">
        <v>43</v>
      </c>
      <c r="L37" s="4" t="s">
        <v>138</v>
      </c>
      <c r="M37" s="4" t="s">
        <v>40</v>
      </c>
      <c r="N37" s="4" t="s">
        <v>514</v>
      </c>
      <c r="O37" s="4" t="s">
        <v>521</v>
      </c>
      <c r="P37" s="4" t="s">
        <v>42</v>
      </c>
      <c r="Q37" s="50" t="s">
        <v>43</v>
      </c>
      <c r="R37" s="50"/>
      <c r="S37" s="50" t="s">
        <v>515</v>
      </c>
      <c r="T37" s="4" t="s">
        <v>43</v>
      </c>
      <c r="U37" s="4" t="s">
        <v>43</v>
      </c>
    </row>
    <row r="38" spans="3:21" hidden="1" x14ac:dyDescent="0.25">
      <c r="C38" s="4" t="s">
        <v>844</v>
      </c>
      <c r="D38" s="4" t="s">
        <v>845</v>
      </c>
      <c r="E38" s="4" t="s">
        <v>846</v>
      </c>
      <c r="F38" s="4">
        <v>6</v>
      </c>
      <c r="G38" s="4" t="s">
        <v>376</v>
      </c>
      <c r="H38" s="4" t="s">
        <v>46</v>
      </c>
      <c r="I38" s="4"/>
      <c r="J38" s="4" t="s">
        <v>132</v>
      </c>
      <c r="K38" s="4" t="s">
        <v>43</v>
      </c>
      <c r="L38" s="4" t="s">
        <v>138</v>
      </c>
      <c r="M38" s="4" t="s">
        <v>40</v>
      </c>
      <c r="N38" s="4" t="s">
        <v>514</v>
      </c>
      <c r="O38" s="4" t="s">
        <v>844</v>
      </c>
      <c r="P38" s="4" t="s">
        <v>42</v>
      </c>
      <c r="Q38" s="50" t="s">
        <v>43</v>
      </c>
      <c r="R38" s="50"/>
      <c r="S38" s="50" t="s">
        <v>847</v>
      </c>
      <c r="T38" s="4" t="s">
        <v>43</v>
      </c>
      <c r="U38" s="4" t="s">
        <v>43</v>
      </c>
    </row>
    <row r="39" spans="3:21" hidden="1" x14ac:dyDescent="0.25">
      <c r="C39" s="4" t="s">
        <v>889</v>
      </c>
      <c r="D39" s="4" t="s">
        <v>890</v>
      </c>
      <c r="E39" s="4" t="s">
        <v>890</v>
      </c>
      <c r="F39" s="4">
        <v>6</v>
      </c>
      <c r="G39" s="4" t="s">
        <v>376</v>
      </c>
      <c r="H39" s="4" t="s">
        <v>46</v>
      </c>
      <c r="I39" s="4"/>
      <c r="J39" s="4" t="s">
        <v>73</v>
      </c>
      <c r="K39" s="4" t="s">
        <v>43</v>
      </c>
      <c r="L39" s="4" t="s">
        <v>97</v>
      </c>
      <c r="M39" s="4" t="s">
        <v>40</v>
      </c>
      <c r="N39" s="4" t="s">
        <v>514</v>
      </c>
      <c r="O39" s="4" t="s">
        <v>889</v>
      </c>
      <c r="P39" s="4" t="s">
        <v>42</v>
      </c>
      <c r="Q39" s="50" t="s">
        <v>43</v>
      </c>
      <c r="R39" s="50"/>
      <c r="S39" s="50" t="s">
        <v>886</v>
      </c>
      <c r="T39" s="4" t="s">
        <v>43</v>
      </c>
      <c r="U39" s="4" t="s">
        <v>43</v>
      </c>
    </row>
    <row r="40" spans="3:21" hidden="1" x14ac:dyDescent="0.25">
      <c r="C40" s="4" t="s">
        <v>392</v>
      </c>
      <c r="D40" s="4" t="s">
        <v>393</v>
      </c>
      <c r="E40" s="4" t="s">
        <v>393</v>
      </c>
      <c r="F40" s="4">
        <v>5</v>
      </c>
      <c r="G40" s="4" t="s">
        <v>376</v>
      </c>
      <c r="H40" s="4" t="s">
        <v>46</v>
      </c>
      <c r="I40" s="4"/>
      <c r="J40" s="4" t="s">
        <v>63</v>
      </c>
      <c r="K40" s="4" t="s">
        <v>43</v>
      </c>
      <c r="L40" s="4" t="s">
        <v>138</v>
      </c>
      <c r="M40" s="4" t="s">
        <v>40</v>
      </c>
      <c r="N40" s="4" t="s">
        <v>378</v>
      </c>
      <c r="O40" s="4" t="s">
        <v>392</v>
      </c>
      <c r="P40" s="4" t="s">
        <v>42</v>
      </c>
      <c r="Q40" s="50" t="s">
        <v>43</v>
      </c>
      <c r="R40" s="50"/>
      <c r="S40" s="50" t="s">
        <v>380</v>
      </c>
      <c r="T40" s="4" t="s">
        <v>43</v>
      </c>
      <c r="U40" s="4" t="s">
        <v>43</v>
      </c>
    </row>
    <row r="41" spans="3:21" hidden="1" x14ac:dyDescent="0.25">
      <c r="C41" s="4" t="s">
        <v>703</v>
      </c>
      <c r="D41" s="4" t="s">
        <v>704</v>
      </c>
      <c r="E41" s="4" t="s">
        <v>705</v>
      </c>
      <c r="F41" s="4">
        <v>5</v>
      </c>
      <c r="G41" s="4" t="s">
        <v>376</v>
      </c>
      <c r="H41" s="4" t="s">
        <v>46</v>
      </c>
      <c r="I41" s="4"/>
      <c r="J41" s="4" t="s">
        <v>84</v>
      </c>
      <c r="K41" s="4" t="s">
        <v>440</v>
      </c>
      <c r="L41" s="4" t="s">
        <v>706</v>
      </c>
      <c r="M41" s="4" t="s">
        <v>55</v>
      </c>
      <c r="N41" s="4" t="s">
        <v>984</v>
      </c>
      <c r="O41" s="4" t="s">
        <v>703</v>
      </c>
      <c r="P41" s="4" t="s">
        <v>42</v>
      </c>
      <c r="Q41" s="50" t="s">
        <v>43</v>
      </c>
      <c r="R41" s="50"/>
      <c r="S41" s="50" t="s">
        <v>702</v>
      </c>
      <c r="T41" s="4" t="s">
        <v>43</v>
      </c>
      <c r="U41" s="4" t="s">
        <v>43</v>
      </c>
    </row>
    <row r="42" spans="3:21" hidden="1" x14ac:dyDescent="0.25">
      <c r="C42" s="4" t="s">
        <v>34</v>
      </c>
      <c r="D42" s="4" t="s">
        <v>35</v>
      </c>
      <c r="E42" s="4" t="s">
        <v>35</v>
      </c>
      <c r="F42" s="4" t="s">
        <v>36</v>
      </c>
      <c r="G42" s="4" t="s">
        <v>37</v>
      </c>
      <c r="H42" s="4" t="s">
        <v>38</v>
      </c>
      <c r="I42" s="4"/>
      <c r="J42" s="4">
        <v>0</v>
      </c>
      <c r="K42" s="4"/>
      <c r="L42" s="4" t="s">
        <v>39</v>
      </c>
      <c r="M42" s="4" t="s">
        <v>40</v>
      </c>
      <c r="N42" s="4">
        <v>0</v>
      </c>
      <c r="O42" s="4" t="s">
        <v>34</v>
      </c>
      <c r="P42" s="4" t="s">
        <v>42</v>
      </c>
      <c r="Q42" s="50" t="s">
        <v>43</v>
      </c>
      <c r="R42" s="50"/>
      <c r="S42" s="50">
        <v>0</v>
      </c>
      <c r="T42" s="4" t="s">
        <v>43</v>
      </c>
      <c r="U42" s="4" t="s">
        <v>43</v>
      </c>
    </row>
    <row r="43" spans="3:21" hidden="1" x14ac:dyDescent="0.25">
      <c r="C43" s="4" t="s">
        <v>424</v>
      </c>
      <c r="D43" s="4" t="s">
        <v>425</v>
      </c>
      <c r="E43" s="4" t="s">
        <v>988</v>
      </c>
      <c r="F43" s="4">
        <v>6</v>
      </c>
      <c r="G43" s="4" t="s">
        <v>37</v>
      </c>
      <c r="H43" s="4" t="s">
        <v>46</v>
      </c>
      <c r="I43" s="4"/>
      <c r="J43" s="4" t="s">
        <v>94</v>
      </c>
      <c r="K43" s="4"/>
      <c r="L43" s="4" t="s">
        <v>64</v>
      </c>
      <c r="M43" s="4" t="s">
        <v>40</v>
      </c>
      <c r="N43" s="4" t="s">
        <v>422</v>
      </c>
      <c r="O43" s="4" t="s">
        <v>424</v>
      </c>
      <c r="P43" s="4" t="s">
        <v>42</v>
      </c>
      <c r="Q43" s="50" t="s">
        <v>43</v>
      </c>
      <c r="R43" s="50"/>
      <c r="S43" s="50" t="s">
        <v>423</v>
      </c>
      <c r="T43" s="4" t="s">
        <v>43</v>
      </c>
      <c r="U43" s="4" t="s">
        <v>43</v>
      </c>
    </row>
    <row r="44" spans="3:21" hidden="1" x14ac:dyDescent="0.25">
      <c r="C44" s="4" t="s">
        <v>471</v>
      </c>
      <c r="D44" s="4" t="s">
        <v>472</v>
      </c>
      <c r="E44" s="4" t="s">
        <v>473</v>
      </c>
      <c r="F44" s="4">
        <v>5</v>
      </c>
      <c r="G44" s="4" t="s">
        <v>376</v>
      </c>
      <c r="H44" s="4" t="s">
        <v>46</v>
      </c>
      <c r="I44" s="4"/>
      <c r="J44" s="4" t="s">
        <v>466</v>
      </c>
      <c r="K44" s="4" t="s">
        <v>43</v>
      </c>
      <c r="L44" s="4" t="s">
        <v>51</v>
      </c>
      <c r="M44" s="4" t="s">
        <v>40</v>
      </c>
      <c r="N44" s="4" t="s">
        <v>378</v>
      </c>
      <c r="O44" s="4" t="s">
        <v>471</v>
      </c>
      <c r="P44" s="4" t="s">
        <v>42</v>
      </c>
      <c r="Q44" s="50" t="s">
        <v>43</v>
      </c>
      <c r="R44" s="50"/>
      <c r="S44" s="50" t="s">
        <v>467</v>
      </c>
      <c r="T44" s="4" t="s">
        <v>43</v>
      </c>
      <c r="U44" s="4" t="s">
        <v>43</v>
      </c>
    </row>
    <row r="45" spans="3:21" hidden="1" x14ac:dyDescent="0.25">
      <c r="C45" s="4" t="s">
        <v>742</v>
      </c>
      <c r="D45" s="4" t="s">
        <v>744</v>
      </c>
      <c r="E45" s="51" t="s">
        <v>989</v>
      </c>
      <c r="F45" s="4">
        <v>6</v>
      </c>
      <c r="G45" s="4" t="s">
        <v>376</v>
      </c>
      <c r="H45" s="4" t="s">
        <v>46</v>
      </c>
      <c r="I45" s="4"/>
      <c r="J45" s="4" t="s">
        <v>84</v>
      </c>
      <c r="K45" s="4" t="s">
        <v>440</v>
      </c>
      <c r="L45" s="4" t="s">
        <v>54</v>
      </c>
      <c r="M45" s="4" t="s">
        <v>55</v>
      </c>
      <c r="N45" s="4" t="s">
        <v>984</v>
      </c>
      <c r="O45" s="4" t="s">
        <v>742</v>
      </c>
      <c r="P45" s="4" t="s">
        <v>42</v>
      </c>
      <c r="Q45" s="50" t="s">
        <v>43</v>
      </c>
      <c r="R45" s="50"/>
      <c r="S45" s="50" t="s">
        <v>741</v>
      </c>
      <c r="T45" s="4" t="s">
        <v>43</v>
      </c>
      <c r="U45" s="4" t="s">
        <v>43</v>
      </c>
    </row>
    <row r="46" spans="3:21" hidden="1" x14ac:dyDescent="0.25">
      <c r="C46" s="4" t="s">
        <v>707</v>
      </c>
      <c r="D46" s="4" t="s">
        <v>706</v>
      </c>
      <c r="E46" s="4" t="s">
        <v>708</v>
      </c>
      <c r="F46" s="4">
        <v>5</v>
      </c>
      <c r="G46" s="4" t="s">
        <v>376</v>
      </c>
      <c r="H46" s="4" t="s">
        <v>46</v>
      </c>
      <c r="I46" s="4"/>
      <c r="J46" s="4" t="s">
        <v>84</v>
      </c>
      <c r="K46" s="4" t="s">
        <v>440</v>
      </c>
      <c r="L46" s="4" t="s">
        <v>706</v>
      </c>
      <c r="M46" s="4" t="s">
        <v>55</v>
      </c>
      <c r="N46" s="4" t="s">
        <v>984</v>
      </c>
      <c r="O46" s="4" t="s">
        <v>707</v>
      </c>
      <c r="P46" s="4" t="s">
        <v>42</v>
      </c>
      <c r="Q46" s="50" t="s">
        <v>43</v>
      </c>
      <c r="R46" s="50"/>
      <c r="S46" s="50" t="s">
        <v>702</v>
      </c>
      <c r="T46" s="4" t="s">
        <v>43</v>
      </c>
      <c r="U46" s="4" t="s">
        <v>43</v>
      </c>
    </row>
    <row r="47" spans="3:21" hidden="1" x14ac:dyDescent="0.25">
      <c r="C47" s="4" t="s">
        <v>394</v>
      </c>
      <c r="D47" s="4" t="s">
        <v>395</v>
      </c>
      <c r="E47" s="4" t="s">
        <v>395</v>
      </c>
      <c r="F47" s="4">
        <v>6</v>
      </c>
      <c r="G47" s="4" t="s">
        <v>376</v>
      </c>
      <c r="H47" s="4" t="s">
        <v>46</v>
      </c>
      <c r="I47" s="4"/>
      <c r="J47" s="4" t="s">
        <v>63</v>
      </c>
      <c r="K47" s="4" t="s">
        <v>43</v>
      </c>
      <c r="L47" s="4" t="s">
        <v>138</v>
      </c>
      <c r="M47" s="4" t="s">
        <v>40</v>
      </c>
      <c r="N47" s="4" t="s">
        <v>378</v>
      </c>
      <c r="O47" s="4" t="s">
        <v>394</v>
      </c>
      <c r="P47" s="4" t="s">
        <v>42</v>
      </c>
      <c r="Q47" s="50" t="s">
        <v>43</v>
      </c>
      <c r="R47" s="50"/>
      <c r="S47" s="50" t="s">
        <v>380</v>
      </c>
      <c r="T47" s="4" t="s">
        <v>43</v>
      </c>
      <c r="U47" s="4" t="s">
        <v>43</v>
      </c>
    </row>
    <row r="48" spans="3:21" hidden="1" x14ac:dyDescent="0.25">
      <c r="C48" s="4" t="s">
        <v>396</v>
      </c>
      <c r="D48" s="4" t="s">
        <v>397</v>
      </c>
      <c r="E48" s="4" t="s">
        <v>397</v>
      </c>
      <c r="F48" s="4">
        <v>6</v>
      </c>
      <c r="G48" s="4" t="s">
        <v>376</v>
      </c>
      <c r="H48" s="4" t="s">
        <v>46</v>
      </c>
      <c r="I48" s="4"/>
      <c r="J48" s="4" t="s">
        <v>63</v>
      </c>
      <c r="K48" s="4" t="s">
        <v>43</v>
      </c>
      <c r="L48" s="4" t="s">
        <v>138</v>
      </c>
      <c r="M48" s="4" t="s">
        <v>40</v>
      </c>
      <c r="N48" s="4" t="s">
        <v>378</v>
      </c>
      <c r="O48" s="4" t="s">
        <v>396</v>
      </c>
      <c r="P48" s="4" t="s">
        <v>42</v>
      </c>
      <c r="Q48" s="50" t="s">
        <v>43</v>
      </c>
      <c r="R48" s="50"/>
      <c r="S48" s="50" t="s">
        <v>380</v>
      </c>
      <c r="T48" s="4" t="s">
        <v>43</v>
      </c>
      <c r="U48" s="4" t="s">
        <v>43</v>
      </c>
    </row>
    <row r="49" spans="3:21" hidden="1" x14ac:dyDescent="0.25">
      <c r="C49" s="4" t="s">
        <v>848</v>
      </c>
      <c r="D49" s="4" t="s">
        <v>849</v>
      </c>
      <c r="E49" s="4" t="s">
        <v>849</v>
      </c>
      <c r="F49" s="4">
        <v>8.34</v>
      </c>
      <c r="G49" s="4" t="s">
        <v>376</v>
      </c>
      <c r="H49" s="4" t="s">
        <v>46</v>
      </c>
      <c r="I49" s="4"/>
      <c r="J49" s="4" t="s">
        <v>132</v>
      </c>
      <c r="K49" s="4" t="s">
        <v>43</v>
      </c>
      <c r="L49" s="4" t="s">
        <v>138</v>
      </c>
      <c r="M49" s="4" t="s">
        <v>40</v>
      </c>
      <c r="N49" s="4" t="s">
        <v>514</v>
      </c>
      <c r="O49" s="4" t="s">
        <v>848</v>
      </c>
      <c r="P49" s="4" t="s">
        <v>42</v>
      </c>
      <c r="Q49" s="50" t="s">
        <v>43</v>
      </c>
      <c r="R49" s="50"/>
      <c r="S49" s="50" t="s">
        <v>847</v>
      </c>
      <c r="T49" s="4" t="s">
        <v>43</v>
      </c>
      <c r="U49" s="4" t="s">
        <v>43</v>
      </c>
    </row>
    <row r="50" spans="3:21" hidden="1" x14ac:dyDescent="0.25">
      <c r="C50" s="4" t="s">
        <v>936</v>
      </c>
      <c r="D50" s="4" t="s">
        <v>937</v>
      </c>
      <c r="E50" s="4" t="s">
        <v>938</v>
      </c>
      <c r="F50" s="4">
        <v>5.56</v>
      </c>
      <c r="G50" s="4" t="s">
        <v>376</v>
      </c>
      <c r="H50" s="4" t="s">
        <v>46</v>
      </c>
      <c r="I50" s="4"/>
      <c r="J50" s="4" t="s">
        <v>160</v>
      </c>
      <c r="K50" s="4" t="s">
        <v>43</v>
      </c>
      <c r="L50" s="4" t="s">
        <v>138</v>
      </c>
      <c r="M50" s="4" t="s">
        <v>40</v>
      </c>
      <c r="N50" s="4" t="s">
        <v>378</v>
      </c>
      <c r="O50" s="4" t="s">
        <v>936</v>
      </c>
      <c r="P50" s="4" t="s">
        <v>42</v>
      </c>
      <c r="Q50" s="72" t="s">
        <v>43</v>
      </c>
      <c r="R50" s="72"/>
      <c r="S50" s="72" t="s">
        <v>931</v>
      </c>
      <c r="T50" s="4" t="s">
        <v>43</v>
      </c>
      <c r="U50" s="4" t="s">
        <v>43</v>
      </c>
    </row>
    <row r="51" spans="3:21" hidden="1" x14ac:dyDescent="0.25">
      <c r="C51" s="4" t="s">
        <v>939</v>
      </c>
      <c r="D51" s="4" t="s">
        <v>39</v>
      </c>
      <c r="E51" s="4" t="s">
        <v>39</v>
      </c>
      <c r="F51" s="4">
        <v>10.130000000000001</v>
      </c>
      <c r="G51" s="4" t="s">
        <v>376</v>
      </c>
      <c r="H51" s="4" t="s">
        <v>46</v>
      </c>
      <c r="I51" s="4"/>
      <c r="J51" s="4" t="s">
        <v>160</v>
      </c>
      <c r="K51" s="4" t="s">
        <v>43</v>
      </c>
      <c r="L51" s="4" t="s">
        <v>39</v>
      </c>
      <c r="M51" s="4" t="s">
        <v>40</v>
      </c>
      <c r="N51" s="4" t="s">
        <v>378</v>
      </c>
      <c r="O51" s="4" t="s">
        <v>939</v>
      </c>
      <c r="P51" s="4" t="s">
        <v>42</v>
      </c>
      <c r="Q51" s="72" t="s">
        <v>43</v>
      </c>
      <c r="R51" s="72"/>
      <c r="S51" s="72" t="s">
        <v>931</v>
      </c>
      <c r="T51" s="4" t="s">
        <v>43</v>
      </c>
      <c r="U51" s="4" t="s">
        <v>43</v>
      </c>
    </row>
    <row r="52" spans="3:21" hidden="1" x14ac:dyDescent="0.25">
      <c r="C52" s="4" t="s">
        <v>44</v>
      </c>
      <c r="D52" s="4" t="s">
        <v>45</v>
      </c>
      <c r="E52" s="4" t="s">
        <v>45</v>
      </c>
      <c r="F52" s="4" t="s">
        <v>36</v>
      </c>
      <c r="G52" s="4" t="s">
        <v>37</v>
      </c>
      <c r="H52" s="4" t="s">
        <v>46</v>
      </c>
      <c r="I52" s="4"/>
      <c r="J52" s="4">
        <v>0</v>
      </c>
      <c r="K52" s="4"/>
      <c r="L52" s="4" t="s">
        <v>47</v>
      </c>
      <c r="M52" s="4" t="s">
        <v>40</v>
      </c>
      <c r="N52" s="4">
        <v>0</v>
      </c>
      <c r="O52" s="4" t="s">
        <v>44</v>
      </c>
      <c r="P52" s="4" t="s">
        <v>42</v>
      </c>
      <c r="Q52" s="50" t="s">
        <v>43</v>
      </c>
      <c r="R52" s="50"/>
      <c r="S52" s="50">
        <v>0</v>
      </c>
      <c r="T52" s="4" t="s">
        <v>43</v>
      </c>
      <c r="U52" s="4" t="s">
        <v>43</v>
      </c>
    </row>
    <row r="53" spans="3:21" hidden="1" x14ac:dyDescent="0.25">
      <c r="C53" s="4" t="s">
        <v>940</v>
      </c>
      <c r="D53" s="4" t="s">
        <v>941</v>
      </c>
      <c r="E53" s="4" t="s">
        <v>941</v>
      </c>
      <c r="F53" s="4">
        <v>10</v>
      </c>
      <c r="G53" s="4" t="s">
        <v>376</v>
      </c>
      <c r="H53" s="4" t="s">
        <v>46</v>
      </c>
      <c r="I53" s="4"/>
      <c r="J53" s="4" t="s">
        <v>160</v>
      </c>
      <c r="K53" s="4" t="s">
        <v>43</v>
      </c>
      <c r="L53" s="4" t="s">
        <v>371</v>
      </c>
      <c r="M53" s="4" t="s">
        <v>40</v>
      </c>
      <c r="N53" s="4" t="s">
        <v>378</v>
      </c>
      <c r="O53" s="4" t="s">
        <v>940</v>
      </c>
      <c r="P53" s="4" t="s">
        <v>379</v>
      </c>
      <c r="Q53" s="72" t="s">
        <v>43</v>
      </c>
      <c r="R53" s="72"/>
      <c r="S53" s="72" t="s">
        <v>931</v>
      </c>
      <c r="T53" s="4" t="s">
        <v>43</v>
      </c>
      <c r="U53" s="4" t="s">
        <v>43</v>
      </c>
    </row>
    <row r="54" spans="3:21" hidden="1" x14ac:dyDescent="0.25">
      <c r="C54" s="4" t="s">
        <v>850</v>
      </c>
      <c r="D54" s="4" t="s">
        <v>851</v>
      </c>
      <c r="E54" s="4" t="s">
        <v>851</v>
      </c>
      <c r="F54" s="4">
        <v>6</v>
      </c>
      <c r="G54" s="4" t="s">
        <v>376</v>
      </c>
      <c r="H54" s="4" t="s">
        <v>46</v>
      </c>
      <c r="I54" s="4"/>
      <c r="J54" s="4" t="s">
        <v>132</v>
      </c>
      <c r="K54" s="4" t="s">
        <v>43</v>
      </c>
      <c r="L54" s="4" t="s">
        <v>138</v>
      </c>
      <c r="M54" s="4" t="s">
        <v>40</v>
      </c>
      <c r="N54" s="4" t="s">
        <v>514</v>
      </c>
      <c r="O54" s="4" t="s">
        <v>850</v>
      </c>
      <c r="P54" s="4" t="s">
        <v>42</v>
      </c>
      <c r="Q54" s="50" t="s">
        <v>43</v>
      </c>
      <c r="R54" s="50"/>
      <c r="S54" s="50" t="s">
        <v>847</v>
      </c>
      <c r="T54" s="4" t="s">
        <v>43</v>
      </c>
      <c r="U54" s="4" t="s">
        <v>43</v>
      </c>
    </row>
    <row r="55" spans="3:21" hidden="1" x14ac:dyDescent="0.25">
      <c r="C55" s="4" t="s">
        <v>474</v>
      </c>
      <c r="D55" s="4" t="s">
        <v>475</v>
      </c>
      <c r="E55" s="4" t="s">
        <v>475</v>
      </c>
      <c r="F55" s="4">
        <v>6</v>
      </c>
      <c r="G55" s="4" t="s">
        <v>376</v>
      </c>
      <c r="H55" s="4" t="s">
        <v>46</v>
      </c>
      <c r="I55" s="4"/>
      <c r="J55" s="4" t="s">
        <v>466</v>
      </c>
      <c r="K55" s="4" t="s">
        <v>43</v>
      </c>
      <c r="L55" s="4" t="s">
        <v>51</v>
      </c>
      <c r="M55" s="4" t="s">
        <v>40</v>
      </c>
      <c r="N55" s="4" t="s">
        <v>378</v>
      </c>
      <c r="O55" s="4" t="s">
        <v>474</v>
      </c>
      <c r="P55" s="4" t="s">
        <v>42</v>
      </c>
      <c r="Q55" s="50" t="s">
        <v>43</v>
      </c>
      <c r="R55" s="50"/>
      <c r="S55" s="50" t="s">
        <v>467</v>
      </c>
      <c r="T55" s="4" t="s">
        <v>43</v>
      </c>
      <c r="U55" s="4" t="s">
        <v>43</v>
      </c>
    </row>
    <row r="56" spans="3:21" hidden="1" x14ac:dyDescent="0.25">
      <c r="C56" s="4" t="s">
        <v>555</v>
      </c>
      <c r="D56" s="4" t="s">
        <v>556</v>
      </c>
      <c r="E56" s="4" t="s">
        <v>556</v>
      </c>
      <c r="F56" s="4">
        <v>5</v>
      </c>
      <c r="G56" s="4" t="s">
        <v>376</v>
      </c>
      <c r="H56" s="4" t="s">
        <v>46</v>
      </c>
      <c r="I56" s="4"/>
      <c r="J56" s="4" t="s">
        <v>331</v>
      </c>
      <c r="K56" s="4" t="s">
        <v>43</v>
      </c>
      <c r="L56" s="4" t="s">
        <v>138</v>
      </c>
      <c r="M56" s="4" t="s">
        <v>40</v>
      </c>
      <c r="N56" s="4" t="s">
        <v>422</v>
      </c>
      <c r="O56" s="4" t="s">
        <v>555</v>
      </c>
      <c r="P56" s="4" t="s">
        <v>42</v>
      </c>
      <c r="Q56" s="50" t="s">
        <v>43</v>
      </c>
      <c r="R56" s="50"/>
      <c r="S56" s="50" t="s">
        <v>557</v>
      </c>
      <c r="T56" s="4" t="s">
        <v>43</v>
      </c>
      <c r="U56" s="4" t="s">
        <v>43</v>
      </c>
    </row>
    <row r="57" spans="3:21" hidden="1" x14ac:dyDescent="0.25">
      <c r="C57" s="4" t="s">
        <v>745</v>
      </c>
      <c r="D57" s="4" t="s">
        <v>746</v>
      </c>
      <c r="E57" s="4" t="s">
        <v>746</v>
      </c>
      <c r="F57" s="4">
        <v>9</v>
      </c>
      <c r="G57" s="4" t="s">
        <v>376</v>
      </c>
      <c r="H57" s="4" t="s">
        <v>46</v>
      </c>
      <c r="I57" s="4"/>
      <c r="J57" s="4" t="s">
        <v>84</v>
      </c>
      <c r="K57" s="4" t="s">
        <v>440</v>
      </c>
      <c r="L57" s="4" t="s">
        <v>279</v>
      </c>
      <c r="M57" s="4" t="s">
        <v>55</v>
      </c>
      <c r="N57" s="4" t="s">
        <v>984</v>
      </c>
      <c r="O57" s="4" t="s">
        <v>745</v>
      </c>
      <c r="P57" s="4" t="s">
        <v>379</v>
      </c>
      <c r="Q57" s="50" t="s">
        <v>43</v>
      </c>
      <c r="R57" s="50"/>
      <c r="S57" s="50" t="s">
        <v>741</v>
      </c>
      <c r="T57" s="4" t="s">
        <v>43</v>
      </c>
      <c r="U57" s="4" t="s">
        <v>43</v>
      </c>
    </row>
    <row r="58" spans="3:21" hidden="1" x14ac:dyDescent="0.25">
      <c r="C58" s="4" t="s">
        <v>656</v>
      </c>
      <c r="D58" s="4" t="s">
        <v>657</v>
      </c>
      <c r="E58" s="4" t="s">
        <v>658</v>
      </c>
      <c r="F58" s="4">
        <v>5</v>
      </c>
      <c r="G58" s="4" t="s">
        <v>376</v>
      </c>
      <c r="H58" s="4" t="s">
        <v>46</v>
      </c>
      <c r="I58" s="4"/>
      <c r="J58" s="4" t="s">
        <v>248</v>
      </c>
      <c r="K58" s="4" t="s">
        <v>43</v>
      </c>
      <c r="L58" s="4" t="s">
        <v>51</v>
      </c>
      <c r="M58" s="4" t="s">
        <v>40</v>
      </c>
      <c r="N58" s="4" t="s">
        <v>984</v>
      </c>
      <c r="O58" s="4" t="s">
        <v>656</v>
      </c>
      <c r="P58" s="4" t="s">
        <v>42</v>
      </c>
      <c r="Q58" s="50" t="s">
        <v>43</v>
      </c>
      <c r="R58" s="50"/>
      <c r="S58" s="50" t="s">
        <v>51</v>
      </c>
      <c r="T58" s="4" t="s">
        <v>43</v>
      </c>
      <c r="U58" s="4" t="s">
        <v>43</v>
      </c>
    </row>
    <row r="59" spans="3:21" hidden="1" x14ac:dyDescent="0.25">
      <c r="C59" s="4" t="s">
        <v>523</v>
      </c>
      <c r="D59" s="4" t="s">
        <v>524</v>
      </c>
      <c r="E59" s="4" t="s">
        <v>524</v>
      </c>
      <c r="F59" s="4">
        <v>6</v>
      </c>
      <c r="G59" s="4" t="s">
        <v>376</v>
      </c>
      <c r="H59" s="4" t="s">
        <v>46</v>
      </c>
      <c r="I59" s="4"/>
      <c r="J59" s="4" t="s">
        <v>100</v>
      </c>
      <c r="K59" s="4" t="s">
        <v>43</v>
      </c>
      <c r="L59" s="4" t="s">
        <v>138</v>
      </c>
      <c r="M59" s="4" t="s">
        <v>40</v>
      </c>
      <c r="N59" s="4" t="s">
        <v>514</v>
      </c>
      <c r="O59" s="4" t="s">
        <v>523</v>
      </c>
      <c r="P59" s="4" t="s">
        <v>42</v>
      </c>
      <c r="Q59" s="50" t="s">
        <v>43</v>
      </c>
      <c r="R59" s="50"/>
      <c r="S59" s="50" t="s">
        <v>515</v>
      </c>
      <c r="T59" s="4" t="s">
        <v>43</v>
      </c>
      <c r="U59" s="4" t="s">
        <v>43</v>
      </c>
    </row>
    <row r="60" spans="3:21" hidden="1" x14ac:dyDescent="0.25">
      <c r="C60" s="4" t="s">
        <v>476</v>
      </c>
      <c r="D60" s="4" t="s">
        <v>477</v>
      </c>
      <c r="E60" s="4" t="s">
        <v>477</v>
      </c>
      <c r="F60" s="4">
        <v>5</v>
      </c>
      <c r="G60" s="4" t="s">
        <v>376</v>
      </c>
      <c r="H60" s="4" t="s">
        <v>46</v>
      </c>
      <c r="I60" s="4"/>
      <c r="J60" s="4" t="s">
        <v>466</v>
      </c>
      <c r="K60" s="4" t="s">
        <v>43</v>
      </c>
      <c r="L60" s="4" t="s">
        <v>51</v>
      </c>
      <c r="M60" s="4" t="s">
        <v>40</v>
      </c>
      <c r="N60" s="4" t="s">
        <v>378</v>
      </c>
      <c r="O60" s="4" t="s">
        <v>476</v>
      </c>
      <c r="P60" s="4" t="s">
        <v>42</v>
      </c>
      <c r="Q60" s="50" t="s">
        <v>43</v>
      </c>
      <c r="R60" s="50"/>
      <c r="S60" s="50" t="s">
        <v>467</v>
      </c>
      <c r="T60" s="4" t="s">
        <v>43</v>
      </c>
      <c r="U60" s="4" t="s">
        <v>43</v>
      </c>
    </row>
    <row r="61" spans="3:21" hidden="1" x14ac:dyDescent="0.25">
      <c r="C61" s="4" t="s">
        <v>659</v>
      </c>
      <c r="D61" s="4" t="s">
        <v>660</v>
      </c>
      <c r="E61" s="4" t="s">
        <v>661</v>
      </c>
      <c r="F61" s="4">
        <v>6</v>
      </c>
      <c r="G61" s="4" t="s">
        <v>376</v>
      </c>
      <c r="H61" s="4" t="s">
        <v>46</v>
      </c>
      <c r="I61" s="4"/>
      <c r="J61" s="4" t="s">
        <v>248</v>
      </c>
      <c r="K61" s="4" t="s">
        <v>43</v>
      </c>
      <c r="L61" s="4" t="s">
        <v>51</v>
      </c>
      <c r="M61" s="4" t="s">
        <v>40</v>
      </c>
      <c r="N61" s="4" t="s">
        <v>984</v>
      </c>
      <c r="O61" s="4" t="s">
        <v>659</v>
      </c>
      <c r="P61" s="4" t="s">
        <v>42</v>
      </c>
      <c r="Q61" s="50" t="s">
        <v>43</v>
      </c>
      <c r="R61" s="50"/>
      <c r="S61" s="50" t="s">
        <v>51</v>
      </c>
      <c r="T61" s="4" t="s">
        <v>43</v>
      </c>
      <c r="U61" s="4" t="s">
        <v>43</v>
      </c>
    </row>
    <row r="62" spans="3:21" hidden="1" x14ac:dyDescent="0.25">
      <c r="C62" s="4" t="s">
        <v>644</v>
      </c>
      <c r="D62" s="4" t="s">
        <v>645</v>
      </c>
      <c r="E62" s="4" t="s">
        <v>645</v>
      </c>
      <c r="F62" s="4">
        <v>6.16</v>
      </c>
      <c r="G62" s="4" t="s">
        <v>376</v>
      </c>
      <c r="H62" s="4" t="s">
        <v>81</v>
      </c>
      <c r="I62" s="4"/>
      <c r="J62" s="4" t="s">
        <v>50</v>
      </c>
      <c r="K62" s="4" t="s">
        <v>43</v>
      </c>
      <c r="L62" s="4" t="s">
        <v>51</v>
      </c>
      <c r="M62" s="4" t="s">
        <v>40</v>
      </c>
      <c r="N62" s="4" t="s">
        <v>422</v>
      </c>
      <c r="O62" s="4" t="s">
        <v>644</v>
      </c>
      <c r="P62" s="4" t="s">
        <v>42</v>
      </c>
      <c r="Q62" s="50" t="s">
        <v>43</v>
      </c>
      <c r="R62" s="50"/>
      <c r="S62" s="50" t="s">
        <v>597</v>
      </c>
      <c r="T62" s="4" t="s">
        <v>43</v>
      </c>
      <c r="U62" s="4" t="s">
        <v>32</v>
      </c>
    </row>
    <row r="63" spans="3:21" hidden="1" x14ac:dyDescent="0.25">
      <c r="C63" s="4" t="s">
        <v>398</v>
      </c>
      <c r="D63" s="4" t="s">
        <v>399</v>
      </c>
      <c r="E63" s="4" t="s">
        <v>399</v>
      </c>
      <c r="F63" s="4">
        <v>5</v>
      </c>
      <c r="G63" s="4" t="s">
        <v>376</v>
      </c>
      <c r="H63" s="4" t="s">
        <v>46</v>
      </c>
      <c r="I63" s="4"/>
      <c r="J63" s="4" t="s">
        <v>63</v>
      </c>
      <c r="K63" s="4" t="s">
        <v>43</v>
      </c>
      <c r="L63" s="4" t="s">
        <v>138</v>
      </c>
      <c r="M63" s="4" t="s">
        <v>40</v>
      </c>
      <c r="N63" s="4" t="s">
        <v>378</v>
      </c>
      <c r="O63" s="4" t="s">
        <v>398</v>
      </c>
      <c r="P63" s="4" t="s">
        <v>42</v>
      </c>
      <c r="Q63" s="50" t="s">
        <v>43</v>
      </c>
      <c r="R63" s="50"/>
      <c r="S63" s="50" t="s">
        <v>380</v>
      </c>
      <c r="T63" s="4" t="s">
        <v>43</v>
      </c>
      <c r="U63" s="4" t="s">
        <v>43</v>
      </c>
    </row>
    <row r="64" spans="3:21" hidden="1" x14ac:dyDescent="0.25">
      <c r="C64" s="4" t="s">
        <v>634</v>
      </c>
      <c r="D64" s="4" t="s">
        <v>635</v>
      </c>
      <c r="E64" s="4" t="s">
        <v>635</v>
      </c>
      <c r="F64" s="4">
        <v>6</v>
      </c>
      <c r="G64" s="4" t="s">
        <v>376</v>
      </c>
      <c r="H64" s="4" t="s">
        <v>46</v>
      </c>
      <c r="I64" s="4"/>
      <c r="J64" s="4" t="s">
        <v>50</v>
      </c>
      <c r="K64" s="4" t="s">
        <v>43</v>
      </c>
      <c r="L64" s="4" t="s">
        <v>59</v>
      </c>
      <c r="M64" s="4" t="s">
        <v>40</v>
      </c>
      <c r="N64" s="4" t="s">
        <v>422</v>
      </c>
      <c r="O64" s="4" t="s">
        <v>634</v>
      </c>
      <c r="P64" s="4" t="s">
        <v>42</v>
      </c>
      <c r="Q64" s="50" t="s">
        <v>43</v>
      </c>
      <c r="R64" s="50"/>
      <c r="S64" s="50" t="s">
        <v>597</v>
      </c>
      <c r="T64" s="4" t="s">
        <v>43</v>
      </c>
      <c r="U64" s="4" t="s">
        <v>43</v>
      </c>
    </row>
    <row r="65" spans="3:22" hidden="1" x14ac:dyDescent="0.25">
      <c r="C65" s="4" t="s">
        <v>558</v>
      </c>
      <c r="D65" s="4" t="s">
        <v>559</v>
      </c>
      <c r="E65" s="4" t="s">
        <v>560</v>
      </c>
      <c r="F65" s="4">
        <v>6</v>
      </c>
      <c r="G65" s="4" t="s">
        <v>376</v>
      </c>
      <c r="H65" s="4" t="s">
        <v>46</v>
      </c>
      <c r="I65" s="4"/>
      <c r="J65" s="4" t="s">
        <v>331</v>
      </c>
      <c r="K65" s="4" t="s">
        <v>43</v>
      </c>
      <c r="L65" s="4" t="s">
        <v>138</v>
      </c>
      <c r="M65" s="4" t="s">
        <v>40</v>
      </c>
      <c r="N65" s="4" t="s">
        <v>422</v>
      </c>
      <c r="O65" s="4" t="s">
        <v>558</v>
      </c>
      <c r="P65" s="4" t="s">
        <v>42</v>
      </c>
      <c r="Q65" s="50" t="s">
        <v>43</v>
      </c>
      <c r="R65" s="50"/>
      <c r="S65" s="50" t="s">
        <v>557</v>
      </c>
      <c r="T65" s="4" t="s">
        <v>43</v>
      </c>
      <c r="U65" s="4" t="s">
        <v>43</v>
      </c>
    </row>
    <row r="66" spans="3:22" hidden="1" x14ac:dyDescent="0.25">
      <c r="C66" s="4" t="s">
        <v>561</v>
      </c>
      <c r="D66" s="4" t="s">
        <v>562</v>
      </c>
      <c r="E66" s="4" t="s">
        <v>563</v>
      </c>
      <c r="F66" s="4">
        <v>6</v>
      </c>
      <c r="G66" s="4" t="s">
        <v>376</v>
      </c>
      <c r="H66" s="4" t="s">
        <v>46</v>
      </c>
      <c r="I66" s="4"/>
      <c r="J66" s="4" t="s">
        <v>331</v>
      </c>
      <c r="K66" s="4" t="s">
        <v>43</v>
      </c>
      <c r="L66" s="4" t="s">
        <v>138</v>
      </c>
      <c r="M66" s="4" t="s">
        <v>40</v>
      </c>
      <c r="N66" s="4" t="s">
        <v>422</v>
      </c>
      <c r="O66" s="4" t="s">
        <v>561</v>
      </c>
      <c r="P66" s="4" t="s">
        <v>42</v>
      </c>
      <c r="Q66" s="50" t="s">
        <v>43</v>
      </c>
      <c r="R66" s="50"/>
      <c r="S66" s="50" t="s">
        <v>557</v>
      </c>
      <c r="T66" s="4" t="s">
        <v>43</v>
      </c>
      <c r="U66" s="4" t="s">
        <v>43</v>
      </c>
    </row>
    <row r="67" spans="3:22" hidden="1" x14ac:dyDescent="0.25">
      <c r="C67" s="4" t="s">
        <v>478</v>
      </c>
      <c r="D67" s="4" t="s">
        <v>479</v>
      </c>
      <c r="E67" s="4" t="s">
        <v>479</v>
      </c>
      <c r="F67" s="4">
        <v>5</v>
      </c>
      <c r="G67" s="4" t="s">
        <v>376</v>
      </c>
      <c r="H67" s="4" t="s">
        <v>46</v>
      </c>
      <c r="I67" s="4"/>
      <c r="J67" s="4" t="s">
        <v>466</v>
      </c>
      <c r="K67" s="4" t="s">
        <v>43</v>
      </c>
      <c r="L67" s="4" t="s">
        <v>51</v>
      </c>
      <c r="M67" s="4" t="s">
        <v>40</v>
      </c>
      <c r="N67" s="4" t="s">
        <v>378</v>
      </c>
      <c r="O67" s="4" t="s">
        <v>478</v>
      </c>
      <c r="P67" s="4" t="s">
        <v>42</v>
      </c>
      <c r="Q67" s="50" t="s">
        <v>43</v>
      </c>
      <c r="R67" s="50"/>
      <c r="S67" s="50" t="s">
        <v>467</v>
      </c>
      <c r="T67" s="4" t="s">
        <v>43</v>
      </c>
      <c r="U67" s="4" t="s">
        <v>43</v>
      </c>
    </row>
    <row r="68" spans="3:22" hidden="1" x14ac:dyDescent="0.25">
      <c r="C68" s="4" t="s">
        <v>852</v>
      </c>
      <c r="D68" s="4" t="s">
        <v>853</v>
      </c>
      <c r="E68" s="4" t="s">
        <v>853</v>
      </c>
      <c r="F68" s="4">
        <v>5</v>
      </c>
      <c r="G68" s="4" t="s">
        <v>376</v>
      </c>
      <c r="H68" s="4" t="s">
        <v>46</v>
      </c>
      <c r="I68" s="4"/>
      <c r="J68" s="4" t="s">
        <v>132</v>
      </c>
      <c r="K68" s="4" t="s">
        <v>43</v>
      </c>
      <c r="L68" s="4" t="s">
        <v>138</v>
      </c>
      <c r="M68" s="4" t="s">
        <v>40</v>
      </c>
      <c r="N68" s="4" t="s">
        <v>514</v>
      </c>
      <c r="O68" s="4" t="s">
        <v>852</v>
      </c>
      <c r="P68" s="4" t="s">
        <v>42</v>
      </c>
      <c r="Q68" s="50" t="s">
        <v>43</v>
      </c>
      <c r="R68" s="50"/>
      <c r="S68" s="50" t="s">
        <v>847</v>
      </c>
      <c r="T68" s="4" t="s">
        <v>43</v>
      </c>
      <c r="U68" s="4" t="s">
        <v>43</v>
      </c>
    </row>
    <row r="69" spans="3:22" hidden="1" x14ac:dyDescent="0.25">
      <c r="C69" s="4" t="s">
        <v>426</v>
      </c>
      <c r="D69" s="4" t="s">
        <v>427</v>
      </c>
      <c r="E69" s="4" t="s">
        <v>428</v>
      </c>
      <c r="F69" s="4">
        <v>5</v>
      </c>
      <c r="G69" s="4" t="s">
        <v>376</v>
      </c>
      <c r="H69" s="4" t="s">
        <v>46</v>
      </c>
      <c r="I69" s="4"/>
      <c r="J69" s="4" t="s">
        <v>94</v>
      </c>
      <c r="K69" s="4" t="s">
        <v>43</v>
      </c>
      <c r="L69" s="4" t="s">
        <v>64</v>
      </c>
      <c r="M69" s="4" t="s">
        <v>40</v>
      </c>
      <c r="N69" s="4" t="s">
        <v>422</v>
      </c>
      <c r="O69" s="4" t="s">
        <v>426</v>
      </c>
      <c r="P69" s="4" t="s">
        <v>42</v>
      </c>
      <c r="Q69" s="50" t="s">
        <v>43</v>
      </c>
      <c r="R69" s="50"/>
      <c r="S69" s="50" t="s">
        <v>423</v>
      </c>
      <c r="T69" s="4" t="s">
        <v>43</v>
      </c>
      <c r="U69" s="4" t="s">
        <v>43</v>
      </c>
    </row>
    <row r="70" spans="3:22" hidden="1" x14ac:dyDescent="0.25">
      <c r="C70" s="4" t="s">
        <v>769</v>
      </c>
      <c r="D70" s="4" t="s">
        <v>771</v>
      </c>
      <c r="E70" s="4" t="s">
        <v>771</v>
      </c>
      <c r="F70" s="4">
        <v>5.04</v>
      </c>
      <c r="G70" s="4" t="s">
        <v>376</v>
      </c>
      <c r="H70" s="4" t="s">
        <v>46</v>
      </c>
      <c r="I70" s="4"/>
      <c r="J70" s="4" t="s">
        <v>89</v>
      </c>
      <c r="K70" s="4"/>
      <c r="L70" s="4" t="s">
        <v>109</v>
      </c>
      <c r="M70" s="4" t="s">
        <v>91</v>
      </c>
      <c r="N70" s="4" t="s">
        <v>378</v>
      </c>
      <c r="O70" s="4" t="s">
        <v>769</v>
      </c>
      <c r="P70" s="4" t="s">
        <v>42</v>
      </c>
      <c r="Q70" s="50" t="s">
        <v>43</v>
      </c>
      <c r="R70" s="50"/>
      <c r="S70" s="50" t="s">
        <v>772</v>
      </c>
      <c r="T70" s="4" t="s">
        <v>43</v>
      </c>
      <c r="U70" s="4" t="s">
        <v>43</v>
      </c>
    </row>
    <row r="71" spans="3:22" hidden="1" x14ac:dyDescent="0.25">
      <c r="C71" s="4" t="s">
        <v>942</v>
      </c>
      <c r="D71" s="4" t="s">
        <v>944</v>
      </c>
      <c r="E71" s="4" t="s">
        <v>944</v>
      </c>
      <c r="F71" s="4">
        <f>5.04+0.56</f>
        <v>5.6</v>
      </c>
      <c r="G71" s="4" t="s">
        <v>376</v>
      </c>
      <c r="H71" s="4" t="s">
        <v>46</v>
      </c>
      <c r="I71" s="4"/>
      <c r="J71" s="4" t="s">
        <v>160</v>
      </c>
      <c r="K71" s="4" t="s">
        <v>43</v>
      </c>
      <c r="L71" s="4" t="s">
        <v>371</v>
      </c>
      <c r="M71" s="4" t="s">
        <v>40</v>
      </c>
      <c r="N71" s="4" t="s">
        <v>378</v>
      </c>
      <c r="O71" s="4" t="s">
        <v>942</v>
      </c>
      <c r="P71" s="4" t="s">
        <v>42</v>
      </c>
      <c r="Q71" s="72" t="s">
        <v>43</v>
      </c>
      <c r="R71" s="72"/>
      <c r="S71" s="72" t="s">
        <v>931</v>
      </c>
      <c r="T71" s="4" t="s">
        <v>43</v>
      </c>
      <c r="U71" s="4" t="s">
        <v>43</v>
      </c>
    </row>
    <row r="72" spans="3:22" x14ac:dyDescent="0.25">
      <c r="C72" s="4" t="s">
        <v>525</v>
      </c>
      <c r="D72" s="4" t="s">
        <v>526</v>
      </c>
      <c r="E72" s="4" t="s">
        <v>527</v>
      </c>
      <c r="F72" s="4">
        <f>5.9+0.68</f>
        <v>6.58</v>
      </c>
      <c r="G72" s="4" t="s">
        <v>376</v>
      </c>
      <c r="H72" s="4" t="s">
        <v>46</v>
      </c>
      <c r="I72" s="4"/>
      <c r="J72" s="4" t="s">
        <v>100</v>
      </c>
      <c r="K72" s="4" t="s">
        <v>43</v>
      </c>
      <c r="L72" s="4" t="s">
        <v>138</v>
      </c>
      <c r="M72" s="4" t="s">
        <v>40</v>
      </c>
      <c r="N72" s="4" t="s">
        <v>514</v>
      </c>
      <c r="O72" s="4" t="s">
        <v>525</v>
      </c>
      <c r="P72" s="4" t="s">
        <v>42</v>
      </c>
      <c r="Q72" s="50" t="s">
        <v>43</v>
      </c>
      <c r="R72" s="50"/>
      <c r="S72" s="50" t="s">
        <v>515</v>
      </c>
      <c r="T72" s="4" t="s">
        <v>43</v>
      </c>
      <c r="U72" s="4" t="s">
        <v>43</v>
      </c>
    </row>
    <row r="73" spans="3:22" hidden="1" x14ac:dyDescent="0.25">
      <c r="C73" s="4" t="s">
        <v>48</v>
      </c>
      <c r="D73" s="4" t="s">
        <v>49</v>
      </c>
      <c r="E73" s="4" t="s">
        <v>49</v>
      </c>
      <c r="F73" s="4" t="s">
        <v>36</v>
      </c>
      <c r="G73" s="4" t="s">
        <v>37</v>
      </c>
      <c r="H73" s="4" t="s">
        <v>38</v>
      </c>
      <c r="I73" s="4"/>
      <c r="J73" s="4" t="s">
        <v>50</v>
      </c>
      <c r="K73" s="4"/>
      <c r="L73" s="4" t="s">
        <v>51</v>
      </c>
      <c r="M73" s="4" t="s">
        <v>40</v>
      </c>
      <c r="N73" s="4" t="s">
        <v>422</v>
      </c>
      <c r="O73" s="4" t="s">
        <v>48</v>
      </c>
      <c r="P73" s="4" t="s">
        <v>42</v>
      </c>
      <c r="Q73" s="50" t="s">
        <v>43</v>
      </c>
      <c r="R73" s="50"/>
      <c r="S73" s="50">
        <v>0</v>
      </c>
      <c r="T73" s="4" t="s">
        <v>43</v>
      </c>
      <c r="U73" s="4" t="s">
        <v>43</v>
      </c>
    </row>
    <row r="74" spans="3:22" hidden="1" x14ac:dyDescent="0.25">
      <c r="C74" s="4" t="s">
        <v>52</v>
      </c>
      <c r="D74" s="4" t="s">
        <v>53</v>
      </c>
      <c r="E74" s="4" t="s">
        <v>53</v>
      </c>
      <c r="F74" s="4" t="s">
        <v>36</v>
      </c>
      <c r="G74" s="4" t="s">
        <v>37</v>
      </c>
      <c r="H74" s="4" t="s">
        <v>38</v>
      </c>
      <c r="I74" s="4"/>
      <c r="J74" s="4">
        <v>0</v>
      </c>
      <c r="K74" s="4"/>
      <c r="L74" s="4" t="s">
        <v>54</v>
      </c>
      <c r="M74" s="4" t="s">
        <v>55</v>
      </c>
      <c r="N74" s="4">
        <v>0</v>
      </c>
      <c r="O74" s="4" t="s">
        <v>52</v>
      </c>
      <c r="P74" s="4" t="s">
        <v>42</v>
      </c>
      <c r="Q74" s="50" t="s">
        <v>43</v>
      </c>
      <c r="R74" s="50"/>
      <c r="S74" s="50">
        <v>0</v>
      </c>
      <c r="T74" s="4" t="s">
        <v>43</v>
      </c>
      <c r="U74" s="4" t="s">
        <v>43</v>
      </c>
    </row>
    <row r="75" spans="3:22" hidden="1" x14ac:dyDescent="0.25">
      <c r="C75" s="4" t="s">
        <v>528</v>
      </c>
      <c r="D75" s="4" t="s">
        <v>530</v>
      </c>
      <c r="E75" s="4" t="s">
        <v>530</v>
      </c>
      <c r="F75" s="4">
        <v>6.28</v>
      </c>
      <c r="G75" s="4" t="s">
        <v>376</v>
      </c>
      <c r="H75" s="4" t="s">
        <v>46</v>
      </c>
      <c r="I75" s="4"/>
      <c r="J75" s="4" t="s">
        <v>100</v>
      </c>
      <c r="K75" s="4" t="s">
        <v>43</v>
      </c>
      <c r="L75" s="4" t="s">
        <v>64</v>
      </c>
      <c r="M75" s="4" t="s">
        <v>40</v>
      </c>
      <c r="N75" s="4" t="s">
        <v>514</v>
      </c>
      <c r="O75" s="4" t="s">
        <v>528</v>
      </c>
      <c r="P75" s="4" t="s">
        <v>42</v>
      </c>
      <c r="Q75" s="50" t="s">
        <v>43</v>
      </c>
      <c r="R75" s="50"/>
      <c r="S75" s="50" t="s">
        <v>515</v>
      </c>
      <c r="T75" s="4" t="s">
        <v>43</v>
      </c>
      <c r="U75" s="4" t="s">
        <v>43</v>
      </c>
    </row>
    <row r="76" spans="3:22" hidden="1" x14ac:dyDescent="0.25">
      <c r="C76" s="4" t="s">
        <v>854</v>
      </c>
      <c r="D76" s="4" t="s">
        <v>982</v>
      </c>
      <c r="E76" s="4" t="s">
        <v>990</v>
      </c>
      <c r="F76" s="4">
        <v>6.45</v>
      </c>
      <c r="G76" s="4" t="s">
        <v>376</v>
      </c>
      <c r="H76" s="4" t="s">
        <v>46</v>
      </c>
      <c r="I76" s="4"/>
      <c r="J76" s="4" t="s">
        <v>132</v>
      </c>
      <c r="K76" s="4" t="s">
        <v>43</v>
      </c>
      <c r="L76" s="4" t="s">
        <v>856</v>
      </c>
      <c r="M76" s="4" t="s">
        <v>40</v>
      </c>
      <c r="N76" s="4" t="s">
        <v>514</v>
      </c>
      <c r="O76" s="4" t="s">
        <v>854</v>
      </c>
      <c r="P76" s="4" t="s">
        <v>42</v>
      </c>
      <c r="Q76" s="50" t="s">
        <v>43</v>
      </c>
      <c r="R76" s="50"/>
      <c r="S76" s="50" t="s">
        <v>847</v>
      </c>
      <c r="T76" s="4" t="s">
        <v>43</v>
      </c>
      <c r="U76" s="4" t="s">
        <v>43</v>
      </c>
    </row>
    <row r="77" spans="3:22" hidden="1" x14ac:dyDescent="0.25">
      <c r="C77" s="4" t="s">
        <v>531</v>
      </c>
      <c r="D77" s="4" t="s">
        <v>533</v>
      </c>
      <c r="E77" s="4" t="s">
        <v>991</v>
      </c>
      <c r="F77" s="4">
        <v>5.45</v>
      </c>
      <c r="G77" s="4" t="s">
        <v>376</v>
      </c>
      <c r="H77" s="4" t="s">
        <v>46</v>
      </c>
      <c r="I77" s="4"/>
      <c r="J77" s="4" t="s">
        <v>100</v>
      </c>
      <c r="K77" s="4" t="s">
        <v>43</v>
      </c>
      <c r="L77" s="4" t="s">
        <v>138</v>
      </c>
      <c r="M77" s="4" t="s">
        <v>40</v>
      </c>
      <c r="N77" s="4" t="s">
        <v>514</v>
      </c>
      <c r="O77" s="4" t="s">
        <v>531</v>
      </c>
      <c r="P77" s="4" t="s">
        <v>42</v>
      </c>
      <c r="Q77" s="50" t="s">
        <v>43</v>
      </c>
      <c r="R77" s="50"/>
      <c r="S77" s="50" t="s">
        <v>515</v>
      </c>
      <c r="T77" s="4" t="s">
        <v>43</v>
      </c>
      <c r="U77" s="4" t="s">
        <v>32</v>
      </c>
    </row>
    <row r="78" spans="3:22" hidden="1" x14ac:dyDescent="0.25">
      <c r="C78" s="4" t="s">
        <v>945</v>
      </c>
      <c r="D78" s="4" t="s">
        <v>946</v>
      </c>
      <c r="E78" s="4" t="s">
        <v>947</v>
      </c>
      <c r="F78" s="4">
        <v>6.45</v>
      </c>
      <c r="G78" s="4" t="s">
        <v>376</v>
      </c>
      <c r="H78" s="4" t="s">
        <v>46</v>
      </c>
      <c r="I78" s="4"/>
      <c r="J78" s="4" t="s">
        <v>160</v>
      </c>
      <c r="K78" s="4" t="s">
        <v>43</v>
      </c>
      <c r="L78" s="4" t="s">
        <v>371</v>
      </c>
      <c r="M78" s="4" t="s">
        <v>40</v>
      </c>
      <c r="N78" s="4" t="s">
        <v>378</v>
      </c>
      <c r="O78" s="4" t="s">
        <v>945</v>
      </c>
      <c r="P78" s="4" t="s">
        <v>42</v>
      </c>
      <c r="Q78" s="50" t="s">
        <v>43</v>
      </c>
      <c r="R78" s="50"/>
      <c r="S78" s="50" t="s">
        <v>931</v>
      </c>
      <c r="T78" s="4" t="s">
        <v>43</v>
      </c>
      <c r="U78" s="4" t="s">
        <v>43</v>
      </c>
      <c r="V78" s="3"/>
    </row>
    <row r="79" spans="3:22" hidden="1" x14ac:dyDescent="0.25">
      <c r="C79" s="4" t="s">
        <v>773</v>
      </c>
      <c r="D79" s="4" t="s">
        <v>775</v>
      </c>
      <c r="E79" s="4" t="s">
        <v>775</v>
      </c>
      <c r="F79" s="4">
        <v>5.04</v>
      </c>
      <c r="G79" s="4" t="s">
        <v>376</v>
      </c>
      <c r="H79" s="4" t="s">
        <v>46</v>
      </c>
      <c r="I79" s="4"/>
      <c r="J79" s="4" t="s">
        <v>89</v>
      </c>
      <c r="K79" s="4" t="s">
        <v>43</v>
      </c>
      <c r="L79" s="4" t="s">
        <v>776</v>
      </c>
      <c r="M79" s="4" t="s">
        <v>91</v>
      </c>
      <c r="N79" s="4" t="s">
        <v>378</v>
      </c>
      <c r="O79" s="4" t="s">
        <v>773</v>
      </c>
      <c r="P79" s="4" t="s">
        <v>42</v>
      </c>
      <c r="Q79" s="50" t="s">
        <v>43</v>
      </c>
      <c r="R79" s="50"/>
      <c r="S79" s="50" t="s">
        <v>772</v>
      </c>
      <c r="T79" s="4" t="s">
        <v>43</v>
      </c>
      <c r="U79" s="4" t="s">
        <v>43</v>
      </c>
    </row>
    <row r="80" spans="3:22" hidden="1" x14ac:dyDescent="0.25">
      <c r="C80" s="4" t="s">
        <v>662</v>
      </c>
      <c r="D80" s="4" t="s">
        <v>664</v>
      </c>
      <c r="E80" s="4" t="s">
        <v>992</v>
      </c>
      <c r="F80" s="4">
        <v>5.6</v>
      </c>
      <c r="G80" s="4" t="s">
        <v>376</v>
      </c>
      <c r="H80" s="4" t="s">
        <v>46</v>
      </c>
      <c r="I80" s="4"/>
      <c r="J80" s="4" t="s">
        <v>248</v>
      </c>
      <c r="K80" s="4" t="s">
        <v>43</v>
      </c>
      <c r="L80" s="4" t="s">
        <v>51</v>
      </c>
      <c r="M80" s="4" t="s">
        <v>40</v>
      </c>
      <c r="N80" s="4" t="s">
        <v>984</v>
      </c>
      <c r="O80" s="4" t="s">
        <v>662</v>
      </c>
      <c r="P80" s="4" t="s">
        <v>42</v>
      </c>
      <c r="Q80" s="50" t="s">
        <v>43</v>
      </c>
      <c r="R80" s="50"/>
      <c r="S80" s="50" t="s">
        <v>51</v>
      </c>
      <c r="T80" s="4" t="s">
        <v>43</v>
      </c>
      <c r="U80" s="4" t="s">
        <v>43</v>
      </c>
    </row>
    <row r="81" spans="3:22" hidden="1" x14ac:dyDescent="0.25">
      <c r="C81" s="4" t="s">
        <v>56</v>
      </c>
      <c r="D81" s="4" t="s">
        <v>57</v>
      </c>
      <c r="E81" s="4" t="s">
        <v>57</v>
      </c>
      <c r="F81" s="4" t="s">
        <v>36</v>
      </c>
      <c r="G81" s="4" t="s">
        <v>37</v>
      </c>
      <c r="H81" s="4" t="s">
        <v>38</v>
      </c>
      <c r="I81" s="4"/>
      <c r="J81" s="4" t="s">
        <v>58</v>
      </c>
      <c r="K81" s="4"/>
      <c r="L81" s="4" t="s">
        <v>59</v>
      </c>
      <c r="M81" s="4" t="s">
        <v>40</v>
      </c>
      <c r="N81" s="4" t="s">
        <v>378</v>
      </c>
      <c r="O81" s="4" t="s">
        <v>56</v>
      </c>
      <c r="P81" s="4" t="s">
        <v>42</v>
      </c>
      <c r="Q81" s="50" t="s">
        <v>43</v>
      </c>
      <c r="R81" s="50"/>
      <c r="S81" s="50">
        <v>0</v>
      </c>
      <c r="T81" s="4" t="s">
        <v>43</v>
      </c>
      <c r="U81" s="4" t="s">
        <v>43</v>
      </c>
    </row>
    <row r="82" spans="3:22" hidden="1" x14ac:dyDescent="0.25">
      <c r="C82" s="4" t="s">
        <v>534</v>
      </c>
      <c r="D82" s="4" t="s">
        <v>535</v>
      </c>
      <c r="E82" s="4" t="s">
        <v>536</v>
      </c>
      <c r="F82" s="4">
        <v>5.45</v>
      </c>
      <c r="G82" s="4" t="s">
        <v>376</v>
      </c>
      <c r="H82" s="4" t="s">
        <v>46</v>
      </c>
      <c r="I82" s="4"/>
      <c r="J82" s="4" t="s">
        <v>100</v>
      </c>
      <c r="K82" s="4" t="s">
        <v>43</v>
      </c>
      <c r="L82" s="4" t="s">
        <v>138</v>
      </c>
      <c r="M82" s="4" t="s">
        <v>40</v>
      </c>
      <c r="N82" s="4" t="s">
        <v>514</v>
      </c>
      <c r="O82" s="4" t="s">
        <v>534</v>
      </c>
      <c r="P82" s="4" t="s">
        <v>42</v>
      </c>
      <c r="Q82" s="50" t="s">
        <v>43</v>
      </c>
      <c r="R82" s="50"/>
      <c r="S82" s="50" t="s">
        <v>515</v>
      </c>
      <c r="T82" s="4" t="s">
        <v>43</v>
      </c>
      <c r="U82" s="4" t="s">
        <v>43</v>
      </c>
    </row>
    <row r="83" spans="3:22" hidden="1" x14ac:dyDescent="0.25">
      <c r="C83" s="4" t="s">
        <v>636</v>
      </c>
      <c r="D83" s="4" t="s">
        <v>637</v>
      </c>
      <c r="E83" s="4" t="s">
        <v>638</v>
      </c>
      <c r="F83" s="4">
        <v>6</v>
      </c>
      <c r="G83" s="4" t="s">
        <v>376</v>
      </c>
      <c r="H83" s="4" t="s">
        <v>46</v>
      </c>
      <c r="I83" s="4"/>
      <c r="J83" s="4" t="s">
        <v>50</v>
      </c>
      <c r="K83" s="4" t="s">
        <v>43</v>
      </c>
      <c r="L83" s="4" t="s">
        <v>315</v>
      </c>
      <c r="M83" s="4" t="s">
        <v>40</v>
      </c>
      <c r="N83" s="4" t="s">
        <v>422</v>
      </c>
      <c r="O83" s="4" t="s">
        <v>636</v>
      </c>
      <c r="P83" s="4" t="s">
        <v>42</v>
      </c>
      <c r="Q83" s="50" t="s">
        <v>43</v>
      </c>
      <c r="R83" s="50"/>
      <c r="S83" s="50" t="s">
        <v>597</v>
      </c>
      <c r="T83" s="4" t="s">
        <v>43</v>
      </c>
      <c r="U83" s="4" t="s">
        <v>43</v>
      </c>
    </row>
    <row r="84" spans="3:22" hidden="1" x14ac:dyDescent="0.25">
      <c r="C84" s="4" t="s">
        <v>857</v>
      </c>
      <c r="D84" s="4" t="s">
        <v>859</v>
      </c>
      <c r="E84" s="4" t="s">
        <v>993</v>
      </c>
      <c r="F84" s="44">
        <v>5.9</v>
      </c>
      <c r="G84" s="4" t="s">
        <v>376</v>
      </c>
      <c r="H84" s="4" t="s">
        <v>46</v>
      </c>
      <c r="I84" s="4"/>
      <c r="J84" s="4" t="s">
        <v>132</v>
      </c>
      <c r="K84" s="4" t="s">
        <v>43</v>
      </c>
      <c r="L84" s="4" t="s">
        <v>138</v>
      </c>
      <c r="M84" s="4" t="s">
        <v>40</v>
      </c>
      <c r="N84" s="4" t="s">
        <v>514</v>
      </c>
      <c r="O84" s="4" t="s">
        <v>857</v>
      </c>
      <c r="P84" s="4" t="s">
        <v>42</v>
      </c>
      <c r="Q84" s="50" t="s">
        <v>43</v>
      </c>
      <c r="R84" s="50"/>
      <c r="S84" s="50" t="s">
        <v>847</v>
      </c>
      <c r="T84" s="4" t="s">
        <v>43</v>
      </c>
      <c r="U84" s="4" t="s">
        <v>43</v>
      </c>
      <c r="V84" s="48" t="s">
        <v>860</v>
      </c>
    </row>
    <row r="85" spans="3:22" hidden="1" x14ac:dyDescent="0.25">
      <c r="C85" s="4" t="s">
        <v>747</v>
      </c>
      <c r="D85" s="4" t="s">
        <v>994</v>
      </c>
      <c r="E85" s="4" t="s">
        <v>749</v>
      </c>
      <c r="F85" s="4">
        <v>6.9</v>
      </c>
      <c r="G85" s="4" t="s">
        <v>376</v>
      </c>
      <c r="H85" s="4" t="s">
        <v>46</v>
      </c>
      <c r="I85" s="4"/>
      <c r="J85" s="4" t="s">
        <v>84</v>
      </c>
      <c r="K85" s="4" t="s">
        <v>440</v>
      </c>
      <c r="L85" s="4" t="s">
        <v>54</v>
      </c>
      <c r="M85" s="4" t="s">
        <v>55</v>
      </c>
      <c r="N85" s="4" t="s">
        <v>984</v>
      </c>
      <c r="O85" s="4" t="s">
        <v>747</v>
      </c>
      <c r="P85" s="4" t="s">
        <v>42</v>
      </c>
      <c r="Q85" s="50" t="s">
        <v>43</v>
      </c>
      <c r="R85" s="50"/>
      <c r="S85" s="50" t="s">
        <v>741</v>
      </c>
      <c r="T85" s="4" t="s">
        <v>43</v>
      </c>
      <c r="U85" s="4" t="s">
        <v>43</v>
      </c>
    </row>
    <row r="86" spans="3:22" hidden="1" x14ac:dyDescent="0.25">
      <c r="C86" s="4" t="s">
        <v>564</v>
      </c>
      <c r="D86" s="4" t="s">
        <v>565</v>
      </c>
      <c r="E86" s="4" t="s">
        <v>566</v>
      </c>
      <c r="F86" s="4">
        <v>5.9</v>
      </c>
      <c r="G86" s="4" t="s">
        <v>376</v>
      </c>
      <c r="H86" s="4" t="s">
        <v>46</v>
      </c>
      <c r="I86" s="4"/>
      <c r="J86" s="4" t="s">
        <v>331</v>
      </c>
      <c r="K86" s="4"/>
      <c r="L86" s="4" t="s">
        <v>138</v>
      </c>
      <c r="M86" s="4" t="s">
        <v>40</v>
      </c>
      <c r="N86" s="4" t="s">
        <v>422</v>
      </c>
      <c r="O86" s="4" t="s">
        <v>564</v>
      </c>
      <c r="P86" s="4" t="s">
        <v>42</v>
      </c>
      <c r="Q86" s="50" t="s">
        <v>43</v>
      </c>
      <c r="R86" s="50"/>
      <c r="S86" s="50" t="s">
        <v>557</v>
      </c>
      <c r="T86" s="4" t="s">
        <v>43</v>
      </c>
      <c r="U86" s="4" t="s">
        <v>43</v>
      </c>
    </row>
    <row r="87" spans="3:22" hidden="1" x14ac:dyDescent="0.25">
      <c r="C87" s="4" t="s">
        <v>709</v>
      </c>
      <c r="D87" s="4" t="s">
        <v>710</v>
      </c>
      <c r="E87" s="4" t="s">
        <v>711</v>
      </c>
      <c r="F87" s="4">
        <v>8</v>
      </c>
      <c r="G87" s="4" t="s">
        <v>376</v>
      </c>
      <c r="H87" s="4" t="s">
        <v>46</v>
      </c>
      <c r="I87" s="4"/>
      <c r="J87" s="4" t="s">
        <v>84</v>
      </c>
      <c r="K87" s="4" t="s">
        <v>440</v>
      </c>
      <c r="L87" s="4" t="s">
        <v>54</v>
      </c>
      <c r="M87" s="4" t="s">
        <v>55</v>
      </c>
      <c r="N87" s="4" t="s">
        <v>984</v>
      </c>
      <c r="O87" s="4" t="s">
        <v>709</v>
      </c>
      <c r="P87" s="4" t="s">
        <v>379</v>
      </c>
      <c r="Q87" s="50" t="s">
        <v>43</v>
      </c>
      <c r="R87" s="50"/>
      <c r="S87" s="50" t="s">
        <v>702</v>
      </c>
      <c r="T87" s="4" t="s">
        <v>43</v>
      </c>
      <c r="U87" s="4" t="s">
        <v>43</v>
      </c>
    </row>
    <row r="88" spans="3:22" hidden="1" x14ac:dyDescent="0.25">
      <c r="C88" s="4" t="s">
        <v>60</v>
      </c>
      <c r="D88" s="4" t="s">
        <v>61</v>
      </c>
      <c r="E88" s="4" t="s">
        <v>62</v>
      </c>
      <c r="F88" s="4" t="s">
        <v>36</v>
      </c>
      <c r="G88" s="4" t="s">
        <v>37</v>
      </c>
      <c r="H88" s="4" t="s">
        <v>38</v>
      </c>
      <c r="I88" s="4"/>
      <c r="J88" s="4" t="s">
        <v>63</v>
      </c>
      <c r="K88" s="4"/>
      <c r="L88" s="4" t="s">
        <v>64</v>
      </c>
      <c r="M88" s="4" t="s">
        <v>40</v>
      </c>
      <c r="N88" s="4" t="s">
        <v>378</v>
      </c>
      <c r="O88" s="4" t="s">
        <v>60</v>
      </c>
      <c r="P88" s="4" t="s">
        <v>42</v>
      </c>
      <c r="Q88" s="50" t="s">
        <v>43</v>
      </c>
      <c r="R88" s="50"/>
      <c r="S88" s="50">
        <v>0</v>
      </c>
      <c r="T88" s="4" t="s">
        <v>43</v>
      </c>
      <c r="U88" s="4" t="s">
        <v>43</v>
      </c>
    </row>
    <row r="89" spans="3:22" hidden="1" x14ac:dyDescent="0.25">
      <c r="C89" s="4" t="s">
        <v>861</v>
      </c>
      <c r="D89" s="4" t="s">
        <v>983</v>
      </c>
      <c r="E89" s="4" t="s">
        <v>995</v>
      </c>
      <c r="F89" s="4">
        <v>7.9</v>
      </c>
      <c r="G89" s="4" t="s">
        <v>376</v>
      </c>
      <c r="H89" s="4" t="s">
        <v>46</v>
      </c>
      <c r="I89" s="4"/>
      <c r="J89" s="4" t="s">
        <v>132</v>
      </c>
      <c r="K89" s="4" t="s">
        <v>43</v>
      </c>
      <c r="L89" s="4" t="s">
        <v>856</v>
      </c>
      <c r="M89" s="4" t="s">
        <v>40</v>
      </c>
      <c r="N89" s="4" t="s">
        <v>514</v>
      </c>
      <c r="O89" s="4" t="s">
        <v>861</v>
      </c>
      <c r="P89" s="4" t="s">
        <v>379</v>
      </c>
      <c r="Q89" s="50" t="s">
        <v>43</v>
      </c>
      <c r="R89" s="50"/>
      <c r="S89" s="50" t="s">
        <v>847</v>
      </c>
      <c r="T89" s="4" t="s">
        <v>43</v>
      </c>
      <c r="U89" s="4" t="s">
        <v>43</v>
      </c>
    </row>
    <row r="90" spans="3:22" hidden="1" x14ac:dyDescent="0.25">
      <c r="C90" s="4" t="s">
        <v>616</v>
      </c>
      <c r="D90" s="4" t="s">
        <v>617</v>
      </c>
      <c r="E90" s="4" t="s">
        <v>617</v>
      </c>
      <c r="F90" s="4">
        <v>5.45</v>
      </c>
      <c r="G90" s="4" t="s">
        <v>376</v>
      </c>
      <c r="H90" s="4" t="s">
        <v>46</v>
      </c>
      <c r="I90" s="4"/>
      <c r="J90" s="4" t="s">
        <v>50</v>
      </c>
      <c r="K90" s="4" t="s">
        <v>43</v>
      </c>
      <c r="L90" s="4" t="s">
        <v>138</v>
      </c>
      <c r="M90" s="4" t="s">
        <v>40</v>
      </c>
      <c r="N90" s="4" t="s">
        <v>422</v>
      </c>
      <c r="O90" s="4" t="s">
        <v>616</v>
      </c>
      <c r="P90" s="4" t="s">
        <v>42</v>
      </c>
      <c r="Q90" s="50" t="s">
        <v>43</v>
      </c>
      <c r="R90" s="50"/>
      <c r="S90" s="50" t="s">
        <v>597</v>
      </c>
      <c r="T90" s="4" t="s">
        <v>43</v>
      </c>
      <c r="U90" s="4" t="s">
        <v>43</v>
      </c>
    </row>
    <row r="91" spans="3:22" hidden="1" x14ac:dyDescent="0.25">
      <c r="C91" s="4" t="s">
        <v>891</v>
      </c>
      <c r="D91" s="4" t="s">
        <v>892</v>
      </c>
      <c r="E91" s="4" t="s">
        <v>893</v>
      </c>
      <c r="F91" s="4">
        <v>5</v>
      </c>
      <c r="G91" s="4" t="s">
        <v>376</v>
      </c>
      <c r="H91" s="4" t="s">
        <v>46</v>
      </c>
      <c r="I91" s="4"/>
      <c r="J91" s="4" t="s">
        <v>73</v>
      </c>
      <c r="K91" s="4" t="s">
        <v>43</v>
      </c>
      <c r="L91" s="4" t="s">
        <v>47</v>
      </c>
      <c r="M91" s="4" t="s">
        <v>40</v>
      </c>
      <c r="N91" s="4" t="s">
        <v>514</v>
      </c>
      <c r="O91" s="4" t="s">
        <v>891</v>
      </c>
      <c r="P91" s="4" t="s">
        <v>42</v>
      </c>
      <c r="Q91" s="50" t="s">
        <v>43</v>
      </c>
      <c r="R91" s="50"/>
      <c r="S91" s="50" t="s">
        <v>886</v>
      </c>
      <c r="T91" s="4" t="s">
        <v>43</v>
      </c>
      <c r="U91" s="4" t="s">
        <v>43</v>
      </c>
    </row>
    <row r="92" spans="3:22" hidden="1" x14ac:dyDescent="0.25">
      <c r="C92" s="4" t="s">
        <v>65</v>
      </c>
      <c r="D92" s="4" t="s">
        <v>66</v>
      </c>
      <c r="E92" s="4" t="s">
        <v>66</v>
      </c>
      <c r="F92" s="4" t="s">
        <v>36</v>
      </c>
      <c r="G92" s="4" t="s">
        <v>37</v>
      </c>
      <c r="H92" s="4" t="s">
        <v>38</v>
      </c>
      <c r="I92" s="4"/>
      <c r="J92" s="4" t="s">
        <v>67</v>
      </c>
      <c r="K92" s="4"/>
      <c r="L92" s="4" t="s">
        <v>59</v>
      </c>
      <c r="M92" s="4" t="s">
        <v>40</v>
      </c>
      <c r="N92" s="4">
        <v>0</v>
      </c>
      <c r="O92" s="4" t="s">
        <v>65</v>
      </c>
      <c r="P92" s="4" t="s">
        <v>42</v>
      </c>
      <c r="Q92" s="50" t="s">
        <v>43</v>
      </c>
      <c r="R92" s="50"/>
      <c r="S92" s="50">
        <v>0</v>
      </c>
      <c r="T92" s="4" t="s">
        <v>43</v>
      </c>
      <c r="U92" s="4" t="s">
        <v>43</v>
      </c>
    </row>
    <row r="93" spans="3:22" hidden="1" x14ac:dyDescent="0.25">
      <c r="C93" s="4" t="s">
        <v>777</v>
      </c>
      <c r="D93" s="4" t="s">
        <v>779</v>
      </c>
      <c r="E93" s="4" t="s">
        <v>779</v>
      </c>
      <c r="F93" s="4">
        <v>6</v>
      </c>
      <c r="G93" s="4" t="s">
        <v>376</v>
      </c>
      <c r="H93" s="4" t="s">
        <v>46</v>
      </c>
      <c r="I93" s="4"/>
      <c r="J93" s="4" t="s">
        <v>89</v>
      </c>
      <c r="K93" s="4"/>
      <c r="L93" s="4" t="s">
        <v>90</v>
      </c>
      <c r="M93" s="4" t="s">
        <v>91</v>
      </c>
      <c r="N93" s="4" t="s">
        <v>378</v>
      </c>
      <c r="O93" s="4" t="s">
        <v>777</v>
      </c>
      <c r="P93" s="4" t="s">
        <v>42</v>
      </c>
      <c r="Q93" s="50" t="s">
        <v>43</v>
      </c>
      <c r="R93" s="50"/>
      <c r="S93" s="50" t="s">
        <v>772</v>
      </c>
      <c r="T93" s="4" t="s">
        <v>43</v>
      </c>
      <c r="U93" s="4" t="s">
        <v>43</v>
      </c>
      <c r="V93" s="2"/>
    </row>
    <row r="94" spans="3:22" hidden="1" x14ac:dyDescent="0.25">
      <c r="C94" s="4" t="s">
        <v>480</v>
      </c>
      <c r="D94" s="4" t="s">
        <v>481</v>
      </c>
      <c r="E94" s="4" t="s">
        <v>482</v>
      </c>
      <c r="F94" s="4">
        <v>5</v>
      </c>
      <c r="G94" s="4" t="s">
        <v>376</v>
      </c>
      <c r="H94" s="4" t="s">
        <v>46</v>
      </c>
      <c r="I94" s="4"/>
      <c r="J94" s="4" t="s">
        <v>466</v>
      </c>
      <c r="K94" s="4" t="s">
        <v>43</v>
      </c>
      <c r="L94" s="4" t="s">
        <v>51</v>
      </c>
      <c r="M94" s="4" t="s">
        <v>40</v>
      </c>
      <c r="N94" s="4" t="s">
        <v>378</v>
      </c>
      <c r="O94" s="4" t="s">
        <v>480</v>
      </c>
      <c r="P94" s="4" t="s">
        <v>42</v>
      </c>
      <c r="Q94" s="50" t="s">
        <v>43</v>
      </c>
      <c r="R94" s="50"/>
      <c r="S94" s="50" t="s">
        <v>467</v>
      </c>
      <c r="T94" s="4" t="s">
        <v>43</v>
      </c>
      <c r="U94" s="4" t="s">
        <v>43</v>
      </c>
    </row>
    <row r="95" spans="3:22" hidden="1" x14ac:dyDescent="0.25">
      <c r="C95" s="4" t="s">
        <v>807</v>
      </c>
      <c r="D95" s="4" t="s">
        <v>808</v>
      </c>
      <c r="E95" s="4" t="s">
        <v>809</v>
      </c>
      <c r="F95" s="4">
        <v>7</v>
      </c>
      <c r="G95" s="4" t="s">
        <v>376</v>
      </c>
      <c r="H95" s="4" t="s">
        <v>46</v>
      </c>
      <c r="I95" s="4"/>
      <c r="J95" s="4" t="s">
        <v>146</v>
      </c>
      <c r="K95" s="4" t="s">
        <v>440</v>
      </c>
      <c r="L95" s="4" t="s">
        <v>59</v>
      </c>
      <c r="M95" s="4" t="s">
        <v>40</v>
      </c>
      <c r="N95" s="4" t="s">
        <v>984</v>
      </c>
      <c r="O95" s="4" t="s">
        <v>807</v>
      </c>
      <c r="P95" s="4" t="s">
        <v>42</v>
      </c>
      <c r="Q95" s="50" t="s">
        <v>43</v>
      </c>
      <c r="R95" s="50"/>
      <c r="S95" s="50" t="s">
        <v>799</v>
      </c>
      <c r="T95" s="4" t="s">
        <v>43</v>
      </c>
      <c r="U95" s="4" t="s">
        <v>43</v>
      </c>
    </row>
    <row r="96" spans="3:22" hidden="1" x14ac:dyDescent="0.25">
      <c r="C96" s="4" t="s">
        <v>400</v>
      </c>
      <c r="D96" s="4" t="s">
        <v>401</v>
      </c>
      <c r="E96" s="4" t="s">
        <v>401</v>
      </c>
      <c r="F96" s="4">
        <v>5.45</v>
      </c>
      <c r="G96" s="4" t="s">
        <v>376</v>
      </c>
      <c r="H96" s="4" t="s">
        <v>46</v>
      </c>
      <c r="I96" s="4"/>
      <c r="J96" s="4" t="s">
        <v>63</v>
      </c>
      <c r="K96" s="4" t="s">
        <v>43</v>
      </c>
      <c r="L96" s="4" t="s">
        <v>138</v>
      </c>
      <c r="M96" s="4" t="s">
        <v>40</v>
      </c>
      <c r="N96" s="4" t="s">
        <v>378</v>
      </c>
      <c r="O96" s="4" t="s">
        <v>400</v>
      </c>
      <c r="P96" s="4" t="s">
        <v>42</v>
      </c>
      <c r="Q96" s="50" t="s">
        <v>43</v>
      </c>
      <c r="R96" s="50"/>
      <c r="S96" s="50" t="s">
        <v>380</v>
      </c>
      <c r="T96" s="4" t="s">
        <v>43</v>
      </c>
      <c r="U96" s="4" t="s">
        <v>43</v>
      </c>
    </row>
    <row r="97" spans="3:21" hidden="1" x14ac:dyDescent="0.25">
      <c r="C97" s="4" t="s">
        <v>402</v>
      </c>
      <c r="D97" s="4" t="s">
        <v>403</v>
      </c>
      <c r="E97" s="4" t="s">
        <v>403</v>
      </c>
      <c r="F97" s="4">
        <v>5.45</v>
      </c>
      <c r="G97" s="4" t="s">
        <v>376</v>
      </c>
      <c r="H97" s="4" t="s">
        <v>46</v>
      </c>
      <c r="I97" s="4"/>
      <c r="J97" s="4" t="s">
        <v>63</v>
      </c>
      <c r="K97" s="4" t="s">
        <v>43</v>
      </c>
      <c r="L97" s="4" t="s">
        <v>138</v>
      </c>
      <c r="M97" s="4" t="s">
        <v>40</v>
      </c>
      <c r="N97" s="4" t="s">
        <v>378</v>
      </c>
      <c r="O97" s="4" t="s">
        <v>402</v>
      </c>
      <c r="P97" s="4" t="s">
        <v>42</v>
      </c>
      <c r="Q97" s="50" t="s">
        <v>43</v>
      </c>
      <c r="R97" s="50"/>
      <c r="S97" s="50" t="s">
        <v>380</v>
      </c>
      <c r="T97" s="4" t="s">
        <v>43</v>
      </c>
      <c r="U97" s="4" t="s">
        <v>43</v>
      </c>
    </row>
    <row r="98" spans="3:21" hidden="1" x14ac:dyDescent="0.25">
      <c r="C98" s="4" t="s">
        <v>665</v>
      </c>
      <c r="D98" s="4" t="s">
        <v>666</v>
      </c>
      <c r="E98" s="4" t="s">
        <v>666</v>
      </c>
      <c r="F98" s="4">
        <v>6</v>
      </c>
      <c r="G98" s="4" t="s">
        <v>376</v>
      </c>
      <c r="H98" s="4" t="s">
        <v>46</v>
      </c>
      <c r="I98" s="4"/>
      <c r="J98" s="4" t="s">
        <v>248</v>
      </c>
      <c r="K98" s="4" t="s">
        <v>43</v>
      </c>
      <c r="L98" s="4" t="s">
        <v>51</v>
      </c>
      <c r="M98" s="4" t="s">
        <v>40</v>
      </c>
      <c r="N98" s="4" t="s">
        <v>984</v>
      </c>
      <c r="O98" s="4" t="s">
        <v>665</v>
      </c>
      <c r="P98" s="4" t="s">
        <v>42</v>
      </c>
      <c r="Q98" s="50" t="s">
        <v>43</v>
      </c>
      <c r="R98" s="50"/>
      <c r="S98" s="50" t="s">
        <v>51</v>
      </c>
      <c r="T98" s="4" t="s">
        <v>43</v>
      </c>
      <c r="U98" s="4" t="s">
        <v>43</v>
      </c>
    </row>
    <row r="99" spans="3:21" hidden="1" x14ac:dyDescent="0.25">
      <c r="C99" s="4" t="s">
        <v>404</v>
      </c>
      <c r="D99" s="4" t="s">
        <v>405</v>
      </c>
      <c r="E99" s="4" t="s">
        <v>405</v>
      </c>
      <c r="F99" s="4">
        <v>5</v>
      </c>
      <c r="G99" s="4" t="s">
        <v>376</v>
      </c>
      <c r="H99" s="4" t="s">
        <v>46</v>
      </c>
      <c r="I99" s="4"/>
      <c r="J99" s="4" t="s">
        <v>63</v>
      </c>
      <c r="K99" s="4" t="s">
        <v>43</v>
      </c>
      <c r="L99" s="4" t="s">
        <v>138</v>
      </c>
      <c r="M99" s="4" t="s">
        <v>40</v>
      </c>
      <c r="N99" s="4" t="s">
        <v>378</v>
      </c>
      <c r="O99" s="4" t="s">
        <v>404</v>
      </c>
      <c r="P99" s="4" t="s">
        <v>42</v>
      </c>
      <c r="Q99" s="50" t="s">
        <v>43</v>
      </c>
      <c r="R99" s="50"/>
      <c r="S99" s="50" t="s">
        <v>380</v>
      </c>
      <c r="T99" s="4" t="s">
        <v>43</v>
      </c>
      <c r="U99" s="4" t="s">
        <v>43</v>
      </c>
    </row>
    <row r="100" spans="3:21" hidden="1" x14ac:dyDescent="0.25">
      <c r="C100" s="4" t="s">
        <v>948</v>
      </c>
      <c r="D100" s="4" t="s">
        <v>949</v>
      </c>
      <c r="E100" s="4" t="s">
        <v>949</v>
      </c>
      <c r="F100" s="4">
        <v>5.45</v>
      </c>
      <c r="G100" s="4" t="s">
        <v>376</v>
      </c>
      <c r="H100" s="4" t="s">
        <v>46</v>
      </c>
      <c r="I100" s="4"/>
      <c r="J100" s="4" t="s">
        <v>160</v>
      </c>
      <c r="K100" s="4" t="s">
        <v>43</v>
      </c>
      <c r="L100" s="4" t="s">
        <v>353</v>
      </c>
      <c r="M100" s="4" t="s">
        <v>40</v>
      </c>
      <c r="N100" s="4" t="s">
        <v>378</v>
      </c>
      <c r="O100" s="4" t="s">
        <v>948</v>
      </c>
      <c r="P100" s="50" t="s">
        <v>42</v>
      </c>
      <c r="Q100" s="50" t="s">
        <v>43</v>
      </c>
      <c r="R100" s="50"/>
      <c r="S100" s="4" t="s">
        <v>931</v>
      </c>
      <c r="T100" s="48" t="s">
        <v>43</v>
      </c>
      <c r="U100" s="4" t="s">
        <v>43</v>
      </c>
    </row>
    <row r="101" spans="3:21" hidden="1" x14ac:dyDescent="0.25">
      <c r="C101" s="4" t="s">
        <v>667</v>
      </c>
      <c r="D101" s="4" t="s">
        <v>668</v>
      </c>
      <c r="E101" s="4" t="s">
        <v>668</v>
      </c>
      <c r="F101" s="4">
        <v>6</v>
      </c>
      <c r="G101" s="4" t="s">
        <v>376</v>
      </c>
      <c r="H101" s="4" t="s">
        <v>46</v>
      </c>
      <c r="I101" s="4"/>
      <c r="J101" s="4" t="s">
        <v>248</v>
      </c>
      <c r="K101" s="4" t="s">
        <v>43</v>
      </c>
      <c r="L101" s="4" t="s">
        <v>51</v>
      </c>
      <c r="M101" s="4" t="s">
        <v>40</v>
      </c>
      <c r="N101" s="4" t="s">
        <v>984</v>
      </c>
      <c r="O101" s="4" t="s">
        <v>667</v>
      </c>
      <c r="P101" s="4" t="s">
        <v>42</v>
      </c>
      <c r="Q101" s="50" t="s">
        <v>43</v>
      </c>
      <c r="R101" s="50"/>
      <c r="S101" s="50" t="s">
        <v>51</v>
      </c>
      <c r="T101" s="4" t="s">
        <v>43</v>
      </c>
      <c r="U101" s="4" t="s">
        <v>43</v>
      </c>
    </row>
    <row r="102" spans="3:21" hidden="1" x14ac:dyDescent="0.25">
      <c r="C102" s="4" t="s">
        <v>669</v>
      </c>
      <c r="D102" s="4" t="s">
        <v>670</v>
      </c>
      <c r="E102" s="4" t="s">
        <v>670</v>
      </c>
      <c r="F102" s="4">
        <v>5.45</v>
      </c>
      <c r="G102" s="4" t="s">
        <v>376</v>
      </c>
      <c r="H102" s="4" t="s">
        <v>46</v>
      </c>
      <c r="I102" s="4"/>
      <c r="J102" s="4" t="s">
        <v>248</v>
      </c>
      <c r="K102" s="4" t="s">
        <v>43</v>
      </c>
      <c r="L102" s="4" t="s">
        <v>51</v>
      </c>
      <c r="M102" s="4" t="s">
        <v>40</v>
      </c>
      <c r="N102" s="4" t="s">
        <v>984</v>
      </c>
      <c r="O102" s="4" t="s">
        <v>669</v>
      </c>
      <c r="P102" s="4" t="s">
        <v>42</v>
      </c>
      <c r="Q102" s="50" t="s">
        <v>43</v>
      </c>
      <c r="R102" s="50"/>
      <c r="S102" s="50" t="s">
        <v>51</v>
      </c>
      <c r="T102" s="4" t="s">
        <v>43</v>
      </c>
      <c r="U102" s="4" t="s">
        <v>43</v>
      </c>
    </row>
    <row r="103" spans="3:21" hidden="1" x14ac:dyDescent="0.25">
      <c r="C103" s="4" t="s">
        <v>894</v>
      </c>
      <c r="D103" s="4" t="s">
        <v>895</v>
      </c>
      <c r="E103" s="4" t="s">
        <v>895</v>
      </c>
      <c r="F103" s="4">
        <v>5</v>
      </c>
      <c r="G103" s="4" t="s">
        <v>376</v>
      </c>
      <c r="H103" s="4" t="s">
        <v>46</v>
      </c>
      <c r="I103" s="4"/>
      <c r="J103" s="4" t="s">
        <v>73</v>
      </c>
      <c r="K103" s="4" t="s">
        <v>43</v>
      </c>
      <c r="L103" s="4" t="s">
        <v>609</v>
      </c>
      <c r="M103" s="4" t="s">
        <v>40</v>
      </c>
      <c r="N103" s="4" t="s">
        <v>514</v>
      </c>
      <c r="O103" s="4" t="s">
        <v>894</v>
      </c>
      <c r="P103" s="4" t="s">
        <v>42</v>
      </c>
      <c r="Q103" s="50" t="s">
        <v>43</v>
      </c>
      <c r="R103" s="50"/>
      <c r="S103" s="50" t="s">
        <v>886</v>
      </c>
      <c r="T103" s="4" t="s">
        <v>43</v>
      </c>
      <c r="U103" s="4" t="s">
        <v>43</v>
      </c>
    </row>
    <row r="104" spans="3:21" hidden="1" x14ac:dyDescent="0.25">
      <c r="C104" s="4" t="s">
        <v>537</v>
      </c>
      <c r="D104" s="4" t="s">
        <v>538</v>
      </c>
      <c r="E104" s="4" t="s">
        <v>538</v>
      </c>
      <c r="F104" s="4">
        <v>6.13</v>
      </c>
      <c r="G104" s="4" t="s">
        <v>376</v>
      </c>
      <c r="H104" s="4" t="s">
        <v>46</v>
      </c>
      <c r="I104" s="4"/>
      <c r="J104" s="4" t="s">
        <v>100</v>
      </c>
      <c r="K104" s="4" t="s">
        <v>43</v>
      </c>
      <c r="L104" s="4" t="s">
        <v>64</v>
      </c>
      <c r="M104" s="4" t="s">
        <v>40</v>
      </c>
      <c r="N104" s="4" t="s">
        <v>514</v>
      </c>
      <c r="O104" s="4" t="s">
        <v>537</v>
      </c>
      <c r="P104" s="4" t="s">
        <v>379</v>
      </c>
      <c r="Q104" s="50" t="s">
        <v>43</v>
      </c>
      <c r="R104" s="50"/>
      <c r="S104" s="50" t="s">
        <v>515</v>
      </c>
      <c r="T104" s="4" t="s">
        <v>43</v>
      </c>
      <c r="U104" s="4" t="s">
        <v>43</v>
      </c>
    </row>
    <row r="105" spans="3:21" hidden="1" x14ac:dyDescent="0.25">
      <c r="C105" s="4" t="s">
        <v>863</v>
      </c>
      <c r="D105" s="4" t="s">
        <v>864</v>
      </c>
      <c r="E105" s="4" t="s">
        <v>864</v>
      </c>
      <c r="F105" s="4">
        <v>5</v>
      </c>
      <c r="G105" s="4" t="s">
        <v>376</v>
      </c>
      <c r="H105" s="4" t="s">
        <v>46</v>
      </c>
      <c r="I105" s="4"/>
      <c r="J105" s="4" t="s">
        <v>132</v>
      </c>
      <c r="K105" s="4" t="s">
        <v>43</v>
      </c>
      <c r="L105" s="4" t="s">
        <v>138</v>
      </c>
      <c r="M105" s="4" t="s">
        <v>40</v>
      </c>
      <c r="N105" s="4" t="s">
        <v>514</v>
      </c>
      <c r="O105" s="4" t="s">
        <v>863</v>
      </c>
      <c r="P105" s="4" t="s">
        <v>42</v>
      </c>
      <c r="Q105" s="50" t="s">
        <v>43</v>
      </c>
      <c r="R105" s="50"/>
      <c r="S105" s="50" t="s">
        <v>847</v>
      </c>
      <c r="T105" s="4" t="s">
        <v>43</v>
      </c>
      <c r="U105" s="4" t="s">
        <v>43</v>
      </c>
    </row>
    <row r="106" spans="3:21" hidden="1" x14ac:dyDescent="0.25">
      <c r="C106" s="4" t="s">
        <v>896</v>
      </c>
      <c r="D106" s="4" t="s">
        <v>897</v>
      </c>
      <c r="E106" s="4" t="s">
        <v>897</v>
      </c>
      <c r="F106" s="4">
        <v>5</v>
      </c>
      <c r="G106" s="4" t="s">
        <v>376</v>
      </c>
      <c r="H106" s="4" t="s">
        <v>46</v>
      </c>
      <c r="I106" s="4"/>
      <c r="J106" s="4" t="s">
        <v>73</v>
      </c>
      <c r="K106" s="4" t="s">
        <v>43</v>
      </c>
      <c r="L106" s="4" t="s">
        <v>133</v>
      </c>
      <c r="M106" s="4" t="s">
        <v>40</v>
      </c>
      <c r="N106" s="4" t="s">
        <v>514</v>
      </c>
      <c r="O106" s="4" t="s">
        <v>896</v>
      </c>
      <c r="P106" s="4" t="s">
        <v>42</v>
      </c>
      <c r="Q106" s="50" t="s">
        <v>43</v>
      </c>
      <c r="R106" s="50"/>
      <c r="S106" s="50" t="s">
        <v>886</v>
      </c>
      <c r="T106" s="4" t="s">
        <v>43</v>
      </c>
      <c r="U106" s="4" t="s">
        <v>43</v>
      </c>
    </row>
    <row r="107" spans="3:21" hidden="1" x14ac:dyDescent="0.25">
      <c r="C107" s="4" t="s">
        <v>898</v>
      </c>
      <c r="D107" s="4" t="s">
        <v>899</v>
      </c>
      <c r="E107" s="4" t="s">
        <v>899</v>
      </c>
      <c r="F107" s="4">
        <v>5.45</v>
      </c>
      <c r="G107" s="4" t="s">
        <v>376</v>
      </c>
      <c r="H107" s="4" t="s">
        <v>46</v>
      </c>
      <c r="I107" s="4"/>
      <c r="J107" s="4" t="s">
        <v>73</v>
      </c>
      <c r="K107" s="4" t="s">
        <v>43</v>
      </c>
      <c r="L107" s="4" t="s">
        <v>315</v>
      </c>
      <c r="M107" s="4" t="s">
        <v>40</v>
      </c>
      <c r="N107" s="4" t="s">
        <v>514</v>
      </c>
      <c r="O107" s="4" t="s">
        <v>898</v>
      </c>
      <c r="P107" s="4" t="s">
        <v>42</v>
      </c>
      <c r="Q107" s="50" t="s">
        <v>43</v>
      </c>
      <c r="R107" s="50"/>
      <c r="S107" s="50" t="s">
        <v>886</v>
      </c>
      <c r="T107" s="4" t="s">
        <v>43</v>
      </c>
      <c r="U107" s="4" t="s">
        <v>43</v>
      </c>
    </row>
    <row r="108" spans="3:21" hidden="1" x14ac:dyDescent="0.25">
      <c r="C108" s="4" t="s">
        <v>950</v>
      </c>
      <c r="D108" s="4" t="s">
        <v>951</v>
      </c>
      <c r="E108" s="4" t="s">
        <v>951</v>
      </c>
      <c r="F108" s="4">
        <v>5.45</v>
      </c>
      <c r="G108" s="4" t="s">
        <v>376</v>
      </c>
      <c r="H108" s="4" t="s">
        <v>46</v>
      </c>
      <c r="I108" s="4"/>
      <c r="J108" s="4" t="s">
        <v>160</v>
      </c>
      <c r="K108" s="4" t="s">
        <v>43</v>
      </c>
      <c r="L108" s="4" t="s">
        <v>353</v>
      </c>
      <c r="M108" s="4" t="s">
        <v>40</v>
      </c>
      <c r="N108" s="4" t="s">
        <v>378</v>
      </c>
      <c r="O108" s="4" t="s">
        <v>950</v>
      </c>
      <c r="P108" s="4" t="s">
        <v>42</v>
      </c>
      <c r="Q108" s="50" t="s">
        <v>43</v>
      </c>
      <c r="R108" s="50"/>
      <c r="S108" s="50" t="s">
        <v>931</v>
      </c>
      <c r="T108" s="4" t="s">
        <v>43</v>
      </c>
      <c r="U108" s="4" t="s">
        <v>43</v>
      </c>
    </row>
    <row r="109" spans="3:21" hidden="1" x14ac:dyDescent="0.25">
      <c r="C109" s="4" t="s">
        <v>406</v>
      </c>
      <c r="D109" s="4" t="s">
        <v>407</v>
      </c>
      <c r="E109" s="4" t="s">
        <v>407</v>
      </c>
      <c r="F109" s="4">
        <v>5.45</v>
      </c>
      <c r="G109" s="4" t="s">
        <v>376</v>
      </c>
      <c r="H109" s="4" t="s">
        <v>46</v>
      </c>
      <c r="I109" s="4"/>
      <c r="J109" s="4" t="s">
        <v>63</v>
      </c>
      <c r="K109" s="4" t="s">
        <v>43</v>
      </c>
      <c r="L109" s="4" t="s">
        <v>138</v>
      </c>
      <c r="M109" s="4" t="s">
        <v>40</v>
      </c>
      <c r="N109" s="4" t="s">
        <v>378</v>
      </c>
      <c r="O109" s="4" t="s">
        <v>406</v>
      </c>
      <c r="P109" s="4" t="s">
        <v>42</v>
      </c>
      <c r="Q109" s="50" t="s">
        <v>43</v>
      </c>
      <c r="R109" s="50"/>
      <c r="S109" s="50" t="s">
        <v>380</v>
      </c>
      <c r="T109" s="4" t="s">
        <v>43</v>
      </c>
      <c r="U109" s="4" t="s">
        <v>43</v>
      </c>
    </row>
    <row r="110" spans="3:21" hidden="1" x14ac:dyDescent="0.25">
      <c r="C110" s="4" t="s">
        <v>429</v>
      </c>
      <c r="D110" s="4" t="s">
        <v>430</v>
      </c>
      <c r="E110" s="4" t="s">
        <v>431</v>
      </c>
      <c r="F110" s="4">
        <v>6</v>
      </c>
      <c r="G110" s="4" t="s">
        <v>376</v>
      </c>
      <c r="H110" s="4" t="s">
        <v>46</v>
      </c>
      <c r="I110" s="4"/>
      <c r="J110" s="4" t="s">
        <v>94</v>
      </c>
      <c r="K110" s="4" t="s">
        <v>43</v>
      </c>
      <c r="L110" s="4" t="s">
        <v>64</v>
      </c>
      <c r="M110" s="4" t="s">
        <v>40</v>
      </c>
      <c r="N110" s="4" t="s">
        <v>422</v>
      </c>
      <c r="O110" s="4" t="s">
        <v>429</v>
      </c>
      <c r="P110" s="4" t="s">
        <v>42</v>
      </c>
      <c r="Q110" s="50" t="s">
        <v>43</v>
      </c>
      <c r="R110" s="50"/>
      <c r="S110" s="50" t="s">
        <v>423</v>
      </c>
      <c r="T110" s="4" t="s">
        <v>43</v>
      </c>
      <c r="U110" s="4" t="s">
        <v>43</v>
      </c>
    </row>
    <row r="111" spans="3:21" hidden="1" x14ac:dyDescent="0.25">
      <c r="C111" s="4" t="s">
        <v>483</v>
      </c>
      <c r="D111" s="4" t="s">
        <v>484</v>
      </c>
      <c r="E111" s="4" t="s">
        <v>485</v>
      </c>
      <c r="F111" s="4">
        <v>5</v>
      </c>
      <c r="G111" s="4" t="s">
        <v>376</v>
      </c>
      <c r="H111" s="4" t="s">
        <v>46</v>
      </c>
      <c r="I111" s="4"/>
      <c r="J111" s="4" t="s">
        <v>466</v>
      </c>
      <c r="K111" s="4" t="s">
        <v>43</v>
      </c>
      <c r="L111" s="4" t="s">
        <v>51</v>
      </c>
      <c r="M111" s="4" t="s">
        <v>40</v>
      </c>
      <c r="N111" s="4" t="s">
        <v>378</v>
      </c>
      <c r="O111" s="4" t="s">
        <v>483</v>
      </c>
      <c r="P111" s="4" t="s">
        <v>42</v>
      </c>
      <c r="Q111" s="50" t="s">
        <v>43</v>
      </c>
      <c r="R111" s="50"/>
      <c r="S111" s="50" t="s">
        <v>467</v>
      </c>
      <c r="T111" s="4" t="s">
        <v>43</v>
      </c>
      <c r="U111" s="4" t="s">
        <v>43</v>
      </c>
    </row>
    <row r="112" spans="3:21" hidden="1" x14ac:dyDescent="0.25">
      <c r="C112" s="4" t="s">
        <v>539</v>
      </c>
      <c r="D112" s="4" t="s">
        <v>540</v>
      </c>
      <c r="E112" s="4" t="s">
        <v>541</v>
      </c>
      <c r="F112" s="4">
        <v>6.13</v>
      </c>
      <c r="G112" s="4" t="s">
        <v>987</v>
      </c>
      <c r="H112" s="4" t="s">
        <v>46</v>
      </c>
      <c r="I112" s="4"/>
      <c r="J112" s="4" t="s">
        <v>100</v>
      </c>
      <c r="K112" s="4" t="s">
        <v>43</v>
      </c>
      <c r="L112" s="4" t="s">
        <v>51</v>
      </c>
      <c r="M112" s="4" t="s">
        <v>40</v>
      </c>
      <c r="N112" s="4" t="s">
        <v>514</v>
      </c>
      <c r="O112" s="4" t="s">
        <v>539</v>
      </c>
      <c r="P112" s="4" t="s">
        <v>42</v>
      </c>
      <c r="Q112" s="50" t="s">
        <v>43</v>
      </c>
      <c r="R112" s="50"/>
      <c r="S112" s="50" t="s">
        <v>515</v>
      </c>
      <c r="T112" s="4" t="s">
        <v>43</v>
      </c>
      <c r="U112" s="4" t="s">
        <v>43</v>
      </c>
    </row>
    <row r="113" spans="3:21" hidden="1" x14ac:dyDescent="0.25">
      <c r="C113" s="4" t="s">
        <v>432</v>
      </c>
      <c r="D113" s="4" t="s">
        <v>433</v>
      </c>
      <c r="E113" s="4" t="s">
        <v>434</v>
      </c>
      <c r="F113" s="4">
        <v>5.45</v>
      </c>
      <c r="G113" s="4" t="s">
        <v>376</v>
      </c>
      <c r="H113" s="4" t="s">
        <v>46</v>
      </c>
      <c r="I113" s="4"/>
      <c r="J113" s="4" t="s">
        <v>94</v>
      </c>
      <c r="K113" s="4" t="s">
        <v>43</v>
      </c>
      <c r="L113" s="4" t="s">
        <v>205</v>
      </c>
      <c r="M113" s="4" t="s">
        <v>40</v>
      </c>
      <c r="N113" s="4" t="s">
        <v>422</v>
      </c>
      <c r="O113" s="4" t="s">
        <v>432</v>
      </c>
      <c r="P113" s="4" t="s">
        <v>42</v>
      </c>
      <c r="Q113" s="50" t="s">
        <v>43</v>
      </c>
      <c r="R113" s="50"/>
      <c r="S113" s="50" t="s">
        <v>423</v>
      </c>
      <c r="T113" s="4" t="s">
        <v>43</v>
      </c>
      <c r="U113" s="4" t="s">
        <v>43</v>
      </c>
    </row>
    <row r="114" spans="3:21" hidden="1" x14ac:dyDescent="0.25">
      <c r="C114" s="4" t="s">
        <v>671</v>
      </c>
      <c r="D114" s="4" t="s">
        <v>672</v>
      </c>
      <c r="E114" s="4" t="s">
        <v>672</v>
      </c>
      <c r="F114" s="4">
        <v>5</v>
      </c>
      <c r="G114" s="4" t="s">
        <v>376</v>
      </c>
      <c r="H114" s="4" t="s">
        <v>46</v>
      </c>
      <c r="I114" s="4"/>
      <c r="J114" s="4" t="s">
        <v>248</v>
      </c>
      <c r="K114" s="4" t="s">
        <v>43</v>
      </c>
      <c r="L114" s="4" t="s">
        <v>51</v>
      </c>
      <c r="M114" s="4" t="s">
        <v>40</v>
      </c>
      <c r="N114" s="4" t="s">
        <v>984</v>
      </c>
      <c r="O114" s="4" t="s">
        <v>671</v>
      </c>
      <c r="P114" s="4" t="s">
        <v>42</v>
      </c>
      <c r="Q114" s="50" t="s">
        <v>43</v>
      </c>
      <c r="R114" s="50"/>
      <c r="S114" s="50" t="s">
        <v>51</v>
      </c>
      <c r="T114" s="4" t="s">
        <v>43</v>
      </c>
      <c r="U114" s="4" t="s">
        <v>43</v>
      </c>
    </row>
    <row r="115" spans="3:21" hidden="1" x14ac:dyDescent="0.25">
      <c r="C115" s="4" t="s">
        <v>567</v>
      </c>
      <c r="D115" s="4" t="s">
        <v>568</v>
      </c>
      <c r="E115" s="4" t="s">
        <v>568</v>
      </c>
      <c r="F115" s="4">
        <v>5</v>
      </c>
      <c r="G115" s="4" t="s">
        <v>376</v>
      </c>
      <c r="H115" s="4" t="s">
        <v>46</v>
      </c>
      <c r="I115" s="4"/>
      <c r="J115" s="4" t="s">
        <v>331</v>
      </c>
      <c r="K115" s="4" t="s">
        <v>43</v>
      </c>
      <c r="L115" s="4" t="s">
        <v>138</v>
      </c>
      <c r="M115" s="4" t="s">
        <v>40</v>
      </c>
      <c r="N115" s="4" t="s">
        <v>422</v>
      </c>
      <c r="O115" s="4" t="s">
        <v>567</v>
      </c>
      <c r="P115" s="4" t="s">
        <v>42</v>
      </c>
      <c r="Q115" s="50" t="s">
        <v>43</v>
      </c>
      <c r="R115" s="50"/>
      <c r="S115" s="50" t="s">
        <v>557</v>
      </c>
      <c r="T115" s="4" t="s">
        <v>43</v>
      </c>
      <c r="U115" s="4" t="s">
        <v>43</v>
      </c>
    </row>
    <row r="116" spans="3:21" hidden="1" x14ac:dyDescent="0.25">
      <c r="C116" s="4" t="s">
        <v>435</v>
      </c>
      <c r="D116" s="4" t="s">
        <v>436</v>
      </c>
      <c r="E116" s="4" t="s">
        <v>436</v>
      </c>
      <c r="F116" s="4">
        <v>5</v>
      </c>
      <c r="G116" s="4" t="s">
        <v>376</v>
      </c>
      <c r="H116" s="4" t="s">
        <v>46</v>
      </c>
      <c r="I116" s="4"/>
      <c r="J116" s="4" t="s">
        <v>94</v>
      </c>
      <c r="K116" s="4" t="s">
        <v>43</v>
      </c>
      <c r="L116" s="4" t="s">
        <v>64</v>
      </c>
      <c r="M116" s="4" t="s">
        <v>40</v>
      </c>
      <c r="N116" s="4" t="s">
        <v>422</v>
      </c>
      <c r="O116" s="4" t="s">
        <v>435</v>
      </c>
      <c r="P116" s="4" t="s">
        <v>42</v>
      </c>
      <c r="Q116" s="50" t="s">
        <v>43</v>
      </c>
      <c r="R116" s="50"/>
      <c r="S116" s="50" t="s">
        <v>423</v>
      </c>
      <c r="T116" s="4" t="s">
        <v>43</v>
      </c>
      <c r="U116" s="4" t="s">
        <v>43</v>
      </c>
    </row>
    <row r="117" spans="3:21" hidden="1" x14ac:dyDescent="0.25">
      <c r="C117" s="4" t="s">
        <v>865</v>
      </c>
      <c r="D117" s="4" t="s">
        <v>866</v>
      </c>
      <c r="E117" s="4" t="s">
        <v>866</v>
      </c>
      <c r="F117" s="4">
        <v>6</v>
      </c>
      <c r="G117" s="4" t="s">
        <v>376</v>
      </c>
      <c r="H117" s="4" t="s">
        <v>46</v>
      </c>
      <c r="I117" s="4"/>
      <c r="J117" s="4" t="s">
        <v>132</v>
      </c>
      <c r="K117" s="4" t="s">
        <v>43</v>
      </c>
      <c r="L117" s="4" t="s">
        <v>856</v>
      </c>
      <c r="M117" s="4" t="s">
        <v>40</v>
      </c>
      <c r="N117" s="4" t="s">
        <v>514</v>
      </c>
      <c r="O117" s="4" t="s">
        <v>865</v>
      </c>
      <c r="P117" s="4" t="s">
        <v>42</v>
      </c>
      <c r="Q117" s="50" t="s">
        <v>43</v>
      </c>
      <c r="R117" s="50"/>
      <c r="S117" s="50" t="s">
        <v>847</v>
      </c>
      <c r="T117" s="4" t="s">
        <v>43</v>
      </c>
      <c r="U117" s="4" t="s">
        <v>43</v>
      </c>
    </row>
    <row r="118" spans="3:21" hidden="1" x14ac:dyDescent="0.25">
      <c r="C118" s="4" t="s">
        <v>486</v>
      </c>
      <c r="D118" s="4" t="s">
        <v>487</v>
      </c>
      <c r="E118" s="4" t="s">
        <v>487</v>
      </c>
      <c r="F118" s="4">
        <v>5</v>
      </c>
      <c r="G118" s="4" t="s">
        <v>376</v>
      </c>
      <c r="H118" s="4" t="s">
        <v>46</v>
      </c>
      <c r="I118" s="4"/>
      <c r="J118" s="4" t="s">
        <v>466</v>
      </c>
      <c r="K118" s="4" t="s">
        <v>43</v>
      </c>
      <c r="L118" s="4" t="s">
        <v>51</v>
      </c>
      <c r="M118" s="4" t="s">
        <v>40</v>
      </c>
      <c r="N118" s="4" t="s">
        <v>378</v>
      </c>
      <c r="O118" s="4" t="s">
        <v>486</v>
      </c>
      <c r="P118" s="4" t="s">
        <v>42</v>
      </c>
      <c r="Q118" s="50" t="s">
        <v>43</v>
      </c>
      <c r="R118" s="50"/>
      <c r="S118" s="50" t="s">
        <v>467</v>
      </c>
      <c r="T118" s="4" t="s">
        <v>43</v>
      </c>
      <c r="U118" s="4" t="s">
        <v>43</v>
      </c>
    </row>
    <row r="119" spans="3:21" hidden="1" x14ac:dyDescent="0.25">
      <c r="C119" s="4" t="s">
        <v>673</v>
      </c>
      <c r="D119" s="4" t="s">
        <v>674</v>
      </c>
      <c r="E119" s="4" t="s">
        <v>674</v>
      </c>
      <c r="F119" s="4">
        <v>5.45</v>
      </c>
      <c r="G119" s="4" t="s">
        <v>376</v>
      </c>
      <c r="H119" s="4" t="s">
        <v>46</v>
      </c>
      <c r="I119" s="4"/>
      <c r="J119" s="4" t="s">
        <v>248</v>
      </c>
      <c r="K119" s="4" t="s">
        <v>43</v>
      </c>
      <c r="L119" s="4" t="s">
        <v>51</v>
      </c>
      <c r="M119" s="4" t="s">
        <v>40</v>
      </c>
      <c r="N119" s="4" t="s">
        <v>984</v>
      </c>
      <c r="O119" s="4" t="s">
        <v>673</v>
      </c>
      <c r="P119" s="4" t="s">
        <v>42</v>
      </c>
      <c r="Q119" s="50" t="s">
        <v>43</v>
      </c>
      <c r="R119" s="50"/>
      <c r="S119" s="50" t="s">
        <v>51</v>
      </c>
      <c r="T119" s="4" t="s">
        <v>43</v>
      </c>
      <c r="U119" s="4" t="s">
        <v>43</v>
      </c>
    </row>
    <row r="120" spans="3:21" hidden="1" x14ac:dyDescent="0.25">
      <c r="C120" s="4" t="s">
        <v>569</v>
      </c>
      <c r="D120" s="4" t="s">
        <v>570</v>
      </c>
      <c r="E120" s="4" t="s">
        <v>570</v>
      </c>
      <c r="F120" s="4">
        <v>5.45</v>
      </c>
      <c r="G120" s="4" t="s">
        <v>376</v>
      </c>
      <c r="H120" s="4" t="s">
        <v>46</v>
      </c>
      <c r="I120" s="4"/>
      <c r="J120" s="4" t="s">
        <v>331</v>
      </c>
      <c r="K120" s="4" t="s">
        <v>43</v>
      </c>
      <c r="L120" s="4" t="s">
        <v>138</v>
      </c>
      <c r="M120" s="4" t="s">
        <v>40</v>
      </c>
      <c r="N120" s="4" t="s">
        <v>422</v>
      </c>
      <c r="O120" s="4" t="s">
        <v>569</v>
      </c>
      <c r="P120" s="4" t="s">
        <v>42</v>
      </c>
      <c r="Q120" s="50" t="s">
        <v>43</v>
      </c>
      <c r="R120" s="50"/>
      <c r="S120" s="50" t="s">
        <v>557</v>
      </c>
      <c r="T120" s="4" t="s">
        <v>43</v>
      </c>
      <c r="U120" s="4" t="s">
        <v>43</v>
      </c>
    </row>
    <row r="121" spans="3:21" hidden="1" x14ac:dyDescent="0.25">
      <c r="C121" s="4" t="s">
        <v>750</v>
      </c>
      <c r="D121" s="4" t="s">
        <v>751</v>
      </c>
      <c r="E121" s="4" t="s">
        <v>751</v>
      </c>
      <c r="F121" s="4">
        <v>5</v>
      </c>
      <c r="G121" s="4" t="s">
        <v>376</v>
      </c>
      <c r="H121" s="4" t="s">
        <v>46</v>
      </c>
      <c r="I121" s="4"/>
      <c r="J121" s="4" t="s">
        <v>84</v>
      </c>
      <c r="K121" s="4" t="s">
        <v>440</v>
      </c>
      <c r="L121" s="4" t="s">
        <v>54</v>
      </c>
      <c r="M121" s="4" t="s">
        <v>55</v>
      </c>
      <c r="N121" s="4" t="s">
        <v>984</v>
      </c>
      <c r="O121" s="4" t="s">
        <v>750</v>
      </c>
      <c r="P121" s="4" t="s">
        <v>42</v>
      </c>
      <c r="Q121" s="50" t="s">
        <v>43</v>
      </c>
      <c r="R121" s="50"/>
      <c r="S121" s="50" t="s">
        <v>741</v>
      </c>
      <c r="T121" s="4" t="s">
        <v>43</v>
      </c>
      <c r="U121" s="4" t="s">
        <v>43</v>
      </c>
    </row>
    <row r="122" spans="3:21" hidden="1" x14ac:dyDescent="0.25">
      <c r="C122" s="4" t="s">
        <v>488</v>
      </c>
      <c r="D122" s="4" t="s">
        <v>489</v>
      </c>
      <c r="E122" s="4" t="s">
        <v>490</v>
      </c>
      <c r="F122" s="4">
        <v>5</v>
      </c>
      <c r="G122" s="4" t="s">
        <v>376</v>
      </c>
      <c r="H122" s="4" t="s">
        <v>46</v>
      </c>
      <c r="I122" s="4"/>
      <c r="J122" s="4" t="s">
        <v>466</v>
      </c>
      <c r="K122" s="4" t="s">
        <v>43</v>
      </c>
      <c r="L122" s="4" t="s">
        <v>51</v>
      </c>
      <c r="M122" s="4" t="s">
        <v>40</v>
      </c>
      <c r="N122" s="4" t="s">
        <v>378</v>
      </c>
      <c r="O122" s="4" t="s">
        <v>488</v>
      </c>
      <c r="P122" s="4" t="s">
        <v>42</v>
      </c>
      <c r="Q122" s="50" t="s">
        <v>43</v>
      </c>
      <c r="R122" s="50"/>
      <c r="S122" s="50" t="s">
        <v>467</v>
      </c>
      <c r="T122" s="4" t="s">
        <v>43</v>
      </c>
      <c r="U122" s="4" t="s">
        <v>43</v>
      </c>
    </row>
    <row r="123" spans="3:21" hidden="1" x14ac:dyDescent="0.25">
      <c r="C123" s="4" t="s">
        <v>952</v>
      </c>
      <c r="D123" s="4" t="s">
        <v>953</v>
      </c>
      <c r="E123" s="4" t="s">
        <v>953</v>
      </c>
      <c r="F123" s="4">
        <v>5.45</v>
      </c>
      <c r="G123" s="4" t="s">
        <v>376</v>
      </c>
      <c r="H123" s="4" t="s">
        <v>46</v>
      </c>
      <c r="I123" s="4"/>
      <c r="J123" s="4" t="s">
        <v>160</v>
      </c>
      <c r="K123" s="4" t="s">
        <v>43</v>
      </c>
      <c r="L123" s="4" t="s">
        <v>371</v>
      </c>
      <c r="M123" s="4" t="s">
        <v>40</v>
      </c>
      <c r="N123" s="4" t="s">
        <v>378</v>
      </c>
      <c r="O123" s="4" t="s">
        <v>952</v>
      </c>
      <c r="P123" s="4" t="s">
        <v>42</v>
      </c>
      <c r="Q123" s="50" t="s">
        <v>43</v>
      </c>
      <c r="R123" s="50"/>
      <c r="S123" s="50" t="s">
        <v>931</v>
      </c>
      <c r="T123" s="4" t="s">
        <v>43</v>
      </c>
      <c r="U123" s="4" t="s">
        <v>43</v>
      </c>
    </row>
    <row r="124" spans="3:21" hidden="1" x14ac:dyDescent="0.25">
      <c r="C124" s="4" t="s">
        <v>675</v>
      </c>
      <c r="D124" s="4" t="s">
        <v>676</v>
      </c>
      <c r="E124" s="4" t="s">
        <v>676</v>
      </c>
      <c r="F124" s="4">
        <v>5</v>
      </c>
      <c r="G124" s="4" t="s">
        <v>376</v>
      </c>
      <c r="H124" s="4" t="s">
        <v>81</v>
      </c>
      <c r="I124" s="4"/>
      <c r="J124" s="4" t="s">
        <v>248</v>
      </c>
      <c r="K124" s="4" t="s">
        <v>43</v>
      </c>
      <c r="L124" s="4" t="s">
        <v>51</v>
      </c>
      <c r="M124" s="4" t="s">
        <v>40</v>
      </c>
      <c r="N124" s="4" t="s">
        <v>984</v>
      </c>
      <c r="O124" s="4" t="s">
        <v>675</v>
      </c>
      <c r="P124" s="4" t="s">
        <v>42</v>
      </c>
      <c r="Q124" s="50" t="s">
        <v>43</v>
      </c>
      <c r="R124" s="50"/>
      <c r="S124" s="50" t="s">
        <v>51</v>
      </c>
      <c r="T124" s="4" t="s">
        <v>43</v>
      </c>
      <c r="U124" s="4" t="s">
        <v>43</v>
      </c>
    </row>
    <row r="125" spans="3:21" hidden="1" x14ac:dyDescent="0.25">
      <c r="C125" s="4" t="s">
        <v>780</v>
      </c>
      <c r="D125" s="4" t="s">
        <v>781</v>
      </c>
      <c r="E125" s="4" t="s">
        <v>781</v>
      </c>
      <c r="F125" s="4">
        <v>5.45</v>
      </c>
      <c r="G125" s="4" t="s">
        <v>376</v>
      </c>
      <c r="H125" s="4" t="s">
        <v>46</v>
      </c>
      <c r="I125" s="4"/>
      <c r="J125" s="4" t="s">
        <v>89</v>
      </c>
      <c r="K125" s="4" t="s">
        <v>43</v>
      </c>
      <c r="L125" s="4" t="s">
        <v>109</v>
      </c>
      <c r="M125" s="4" t="s">
        <v>91</v>
      </c>
      <c r="N125" s="4" t="s">
        <v>378</v>
      </c>
      <c r="O125" s="4" t="s">
        <v>780</v>
      </c>
      <c r="P125" s="4" t="s">
        <v>42</v>
      </c>
      <c r="Q125" s="50" t="s">
        <v>43</v>
      </c>
      <c r="R125" s="50"/>
      <c r="S125" s="50" t="s">
        <v>772</v>
      </c>
      <c r="T125" s="4" t="s">
        <v>43</v>
      </c>
      <c r="U125" s="4" t="s">
        <v>43</v>
      </c>
    </row>
    <row r="126" spans="3:21" hidden="1" x14ac:dyDescent="0.25">
      <c r="C126" s="4" t="s">
        <v>628</v>
      </c>
      <c r="D126" s="4" t="s">
        <v>996</v>
      </c>
      <c r="E126" s="4" t="s">
        <v>630</v>
      </c>
      <c r="F126" s="4">
        <v>5.6</v>
      </c>
      <c r="G126" s="4" t="s">
        <v>376</v>
      </c>
      <c r="H126" s="4" t="s">
        <v>46</v>
      </c>
      <c r="I126" s="4"/>
      <c r="J126" s="4" t="s">
        <v>50</v>
      </c>
      <c r="K126" s="4" t="s">
        <v>43</v>
      </c>
      <c r="L126" s="4" t="s">
        <v>64</v>
      </c>
      <c r="M126" s="4" t="s">
        <v>40</v>
      </c>
      <c r="N126" s="4" t="s">
        <v>422</v>
      </c>
      <c r="O126" s="4" t="s">
        <v>628</v>
      </c>
      <c r="P126" s="4" t="s">
        <v>42</v>
      </c>
      <c r="Q126" s="50" t="s">
        <v>43</v>
      </c>
      <c r="R126" s="50"/>
      <c r="S126" s="50" t="s">
        <v>597</v>
      </c>
      <c r="T126" s="4" t="s">
        <v>43</v>
      </c>
      <c r="U126" s="4" t="s">
        <v>43</v>
      </c>
    </row>
    <row r="127" spans="3:21" hidden="1" x14ac:dyDescent="0.25">
      <c r="C127" s="4" t="s">
        <v>408</v>
      </c>
      <c r="D127" s="4" t="s">
        <v>409</v>
      </c>
      <c r="E127" s="4" t="s">
        <v>410</v>
      </c>
      <c r="F127" s="4">
        <v>5</v>
      </c>
      <c r="G127" s="4" t="s">
        <v>376</v>
      </c>
      <c r="H127" s="4" t="s">
        <v>46</v>
      </c>
      <c r="I127" s="4"/>
      <c r="J127" s="4" t="s">
        <v>63</v>
      </c>
      <c r="K127" s="4" t="s">
        <v>43</v>
      </c>
      <c r="L127" s="4" t="s">
        <v>138</v>
      </c>
      <c r="M127" s="4" t="s">
        <v>40</v>
      </c>
      <c r="N127" s="4" t="s">
        <v>378</v>
      </c>
      <c r="O127" s="4" t="s">
        <v>408</v>
      </c>
      <c r="P127" s="4" t="s">
        <v>42</v>
      </c>
      <c r="Q127" s="50" t="s">
        <v>43</v>
      </c>
      <c r="R127" s="50"/>
      <c r="S127" s="50" t="s">
        <v>380</v>
      </c>
      <c r="T127" s="4" t="s">
        <v>43</v>
      </c>
      <c r="U127" s="4" t="s">
        <v>43</v>
      </c>
    </row>
    <row r="128" spans="3:21" hidden="1" x14ac:dyDescent="0.25">
      <c r="C128" s="4" t="s">
        <v>677</v>
      </c>
      <c r="D128" s="4" t="s">
        <v>678</v>
      </c>
      <c r="E128" s="4" t="s">
        <v>679</v>
      </c>
      <c r="F128" s="4">
        <v>5</v>
      </c>
      <c r="G128" s="4" t="s">
        <v>376</v>
      </c>
      <c r="H128" s="4" t="s">
        <v>46</v>
      </c>
      <c r="I128" s="4"/>
      <c r="J128" s="4" t="s">
        <v>248</v>
      </c>
      <c r="K128" s="4" t="s">
        <v>43</v>
      </c>
      <c r="L128" s="4" t="s">
        <v>51</v>
      </c>
      <c r="M128" s="4" t="s">
        <v>40</v>
      </c>
      <c r="N128" s="4" t="s">
        <v>984</v>
      </c>
      <c r="O128" s="4" t="s">
        <v>677</v>
      </c>
      <c r="P128" s="4" t="s">
        <v>42</v>
      </c>
      <c r="Q128" s="50" t="s">
        <v>43</v>
      </c>
      <c r="R128" s="50"/>
      <c r="S128" s="50" t="s">
        <v>51</v>
      </c>
      <c r="T128" s="4" t="s">
        <v>43</v>
      </c>
      <c r="U128" s="4" t="s">
        <v>43</v>
      </c>
    </row>
    <row r="129" spans="3:21" hidden="1" x14ac:dyDescent="0.25">
      <c r="C129" s="4" t="s">
        <v>571</v>
      </c>
      <c r="D129" s="4" t="s">
        <v>572</v>
      </c>
      <c r="E129" s="4" t="s">
        <v>572</v>
      </c>
      <c r="F129" s="4">
        <v>6</v>
      </c>
      <c r="G129" s="4" t="s">
        <v>376</v>
      </c>
      <c r="H129" s="4" t="s">
        <v>46</v>
      </c>
      <c r="I129" s="4"/>
      <c r="J129" s="4" t="s">
        <v>331</v>
      </c>
      <c r="K129" s="4" t="s">
        <v>43</v>
      </c>
      <c r="L129" s="4" t="s">
        <v>138</v>
      </c>
      <c r="M129" s="4" t="s">
        <v>40</v>
      </c>
      <c r="N129" s="4" t="s">
        <v>422</v>
      </c>
      <c r="O129" s="4" t="s">
        <v>571</v>
      </c>
      <c r="P129" s="4" t="s">
        <v>42</v>
      </c>
      <c r="Q129" s="50" t="s">
        <v>43</v>
      </c>
      <c r="R129" s="50"/>
      <c r="S129" s="50" t="s">
        <v>557</v>
      </c>
      <c r="T129" s="4" t="s">
        <v>43</v>
      </c>
      <c r="U129" s="4" t="s">
        <v>43</v>
      </c>
    </row>
    <row r="130" spans="3:21" hidden="1" x14ac:dyDescent="0.25">
      <c r="C130" s="4" t="s">
        <v>752</v>
      </c>
      <c r="D130" s="4" t="s">
        <v>753</v>
      </c>
      <c r="E130" s="4" t="s">
        <v>753</v>
      </c>
      <c r="F130" s="4">
        <v>8</v>
      </c>
      <c r="G130" s="4" t="s">
        <v>376</v>
      </c>
      <c r="H130" s="4" t="s">
        <v>46</v>
      </c>
      <c r="I130" s="4"/>
      <c r="J130" s="4" t="s">
        <v>84</v>
      </c>
      <c r="K130" s="4" t="s">
        <v>440</v>
      </c>
      <c r="L130" s="4" t="s">
        <v>54</v>
      </c>
      <c r="M130" s="4" t="s">
        <v>55</v>
      </c>
      <c r="N130" s="4" t="s">
        <v>984</v>
      </c>
      <c r="O130" s="4" t="s">
        <v>752</v>
      </c>
      <c r="P130" s="4" t="s">
        <v>379</v>
      </c>
      <c r="Q130" s="50" t="s">
        <v>43</v>
      </c>
      <c r="R130" s="50"/>
      <c r="S130" s="50" t="s">
        <v>741</v>
      </c>
      <c r="T130" s="4" t="s">
        <v>43</v>
      </c>
      <c r="U130" s="4" t="s">
        <v>43</v>
      </c>
    </row>
    <row r="131" spans="3:21" hidden="1" x14ac:dyDescent="0.25">
      <c r="C131" s="4" t="s">
        <v>680</v>
      </c>
      <c r="D131" s="4" t="s">
        <v>681</v>
      </c>
      <c r="E131" s="4" t="s">
        <v>682</v>
      </c>
      <c r="F131" s="4">
        <v>5</v>
      </c>
      <c r="G131" s="4" t="s">
        <v>376</v>
      </c>
      <c r="H131" s="4" t="s">
        <v>46</v>
      </c>
      <c r="I131" s="4"/>
      <c r="J131" s="4" t="s">
        <v>248</v>
      </c>
      <c r="K131" s="4" t="s">
        <v>43</v>
      </c>
      <c r="L131" s="4" t="s">
        <v>51</v>
      </c>
      <c r="M131" s="4" t="s">
        <v>40</v>
      </c>
      <c r="N131" s="4" t="s">
        <v>984</v>
      </c>
      <c r="O131" s="4" t="s">
        <v>680</v>
      </c>
      <c r="P131" s="4" t="s">
        <v>42</v>
      </c>
      <c r="Q131" s="50" t="s">
        <v>43</v>
      </c>
      <c r="R131" s="50"/>
      <c r="S131" s="50" t="s">
        <v>51</v>
      </c>
      <c r="T131" s="4" t="s">
        <v>43</v>
      </c>
      <c r="U131" s="4" t="s">
        <v>43</v>
      </c>
    </row>
    <row r="132" spans="3:21" hidden="1" x14ac:dyDescent="0.25">
      <c r="C132" s="4" t="s">
        <v>954</v>
      </c>
      <c r="D132" s="4" t="s">
        <v>955</v>
      </c>
      <c r="E132" s="4" t="s">
        <v>956</v>
      </c>
      <c r="F132" s="4">
        <v>5</v>
      </c>
      <c r="G132" s="4" t="s">
        <v>376</v>
      </c>
      <c r="H132" s="4" t="s">
        <v>46</v>
      </c>
      <c r="I132" s="4"/>
      <c r="J132" s="4" t="s">
        <v>160</v>
      </c>
      <c r="K132" s="4" t="s">
        <v>43</v>
      </c>
      <c r="L132" s="4" t="s">
        <v>353</v>
      </c>
      <c r="M132" s="4" t="s">
        <v>40</v>
      </c>
      <c r="N132" s="4" t="s">
        <v>378</v>
      </c>
      <c r="O132" s="4" t="s">
        <v>954</v>
      </c>
      <c r="P132" s="4" t="s">
        <v>42</v>
      </c>
      <c r="Q132" s="50" t="s">
        <v>43</v>
      </c>
      <c r="R132" s="50"/>
      <c r="S132" s="50" t="s">
        <v>931</v>
      </c>
      <c r="T132" s="4" t="s">
        <v>43</v>
      </c>
      <c r="U132" s="4" t="s">
        <v>43</v>
      </c>
    </row>
    <row r="133" spans="3:21" hidden="1" x14ac:dyDescent="0.25">
      <c r="C133" s="4" t="s">
        <v>68</v>
      </c>
      <c r="D133" s="4" t="s">
        <v>69</v>
      </c>
      <c r="E133" s="4" t="s">
        <v>70</v>
      </c>
      <c r="F133" s="4" t="s">
        <v>36</v>
      </c>
      <c r="G133" s="4" t="s">
        <v>37</v>
      </c>
      <c r="H133" s="4" t="s">
        <v>38</v>
      </c>
      <c r="I133" s="4"/>
      <c r="J133" s="4" t="s">
        <v>58</v>
      </c>
      <c r="K133" s="4"/>
      <c r="L133" s="4" t="s">
        <v>64</v>
      </c>
      <c r="M133" s="4" t="s">
        <v>40</v>
      </c>
      <c r="N133" s="4" t="s">
        <v>378</v>
      </c>
      <c r="O133" s="4" t="s">
        <v>68</v>
      </c>
      <c r="P133" s="4" t="s">
        <v>42</v>
      </c>
      <c r="Q133" s="50" t="s">
        <v>43</v>
      </c>
      <c r="R133" s="50"/>
      <c r="S133" s="50">
        <v>0</v>
      </c>
      <c r="T133" s="4" t="s">
        <v>43</v>
      </c>
      <c r="U133" s="4" t="s">
        <v>43</v>
      </c>
    </row>
    <row r="134" spans="3:21" hidden="1" x14ac:dyDescent="0.25">
      <c r="C134" s="4" t="s">
        <v>867</v>
      </c>
      <c r="D134" s="4" t="s">
        <v>997</v>
      </c>
      <c r="E134" s="4" t="s">
        <v>869</v>
      </c>
      <c r="F134" s="4">
        <v>5.04</v>
      </c>
      <c r="G134" s="4" t="s">
        <v>376</v>
      </c>
      <c r="H134" s="4" t="s">
        <v>46</v>
      </c>
      <c r="I134" s="4"/>
      <c r="J134" s="4" t="s">
        <v>132</v>
      </c>
      <c r="K134" s="4" t="s">
        <v>43</v>
      </c>
      <c r="L134" s="4" t="s">
        <v>856</v>
      </c>
      <c r="M134" s="4" t="s">
        <v>40</v>
      </c>
      <c r="N134" s="4" t="s">
        <v>514</v>
      </c>
      <c r="O134" s="4" t="s">
        <v>867</v>
      </c>
      <c r="P134" s="4" t="s">
        <v>42</v>
      </c>
      <c r="Q134" s="50" t="s">
        <v>43</v>
      </c>
      <c r="R134" s="50"/>
      <c r="S134" s="50" t="s">
        <v>847</v>
      </c>
      <c r="T134" s="4" t="s">
        <v>43</v>
      </c>
      <c r="U134" s="4" t="s">
        <v>32</v>
      </c>
    </row>
    <row r="135" spans="3:21" hidden="1" x14ac:dyDescent="0.25">
      <c r="C135" s="4" t="s">
        <v>71</v>
      </c>
      <c r="D135" s="4" t="s">
        <v>72</v>
      </c>
      <c r="E135" s="4" t="s">
        <v>72</v>
      </c>
      <c r="F135" s="4">
        <v>0</v>
      </c>
      <c r="G135" s="4" t="s">
        <v>37</v>
      </c>
      <c r="H135" s="4" t="s">
        <v>46</v>
      </c>
      <c r="I135" s="4"/>
      <c r="J135" s="4" t="s">
        <v>73</v>
      </c>
      <c r="K135" s="4"/>
      <c r="L135" s="4" t="s">
        <v>74</v>
      </c>
      <c r="M135" s="4" t="s">
        <v>40</v>
      </c>
      <c r="N135" s="4" t="s">
        <v>514</v>
      </c>
      <c r="O135" s="4" t="s">
        <v>71</v>
      </c>
      <c r="P135" s="4" t="s">
        <v>42</v>
      </c>
      <c r="Q135" s="50" t="s">
        <v>43</v>
      </c>
      <c r="R135" s="50"/>
      <c r="S135" s="50">
        <v>0</v>
      </c>
      <c r="T135" s="4" t="s">
        <v>43</v>
      </c>
      <c r="U135" s="4" t="s">
        <v>43</v>
      </c>
    </row>
    <row r="136" spans="3:21" hidden="1" x14ac:dyDescent="0.25">
      <c r="C136" s="4" t="s">
        <v>802</v>
      </c>
      <c r="D136" s="4" t="s">
        <v>803</v>
      </c>
      <c r="E136" s="4" t="s">
        <v>803</v>
      </c>
      <c r="F136" s="4">
        <v>7</v>
      </c>
      <c r="G136" s="4" t="s">
        <v>376</v>
      </c>
      <c r="H136" s="4" t="s">
        <v>46</v>
      </c>
      <c r="I136" s="4"/>
      <c r="J136" s="4" t="s">
        <v>146</v>
      </c>
      <c r="K136" s="4" t="s">
        <v>43</v>
      </c>
      <c r="L136" s="4" t="s">
        <v>59</v>
      </c>
      <c r="M136" s="4" t="s">
        <v>40</v>
      </c>
      <c r="N136" s="4" t="s">
        <v>984</v>
      </c>
      <c r="O136" s="4" t="s">
        <v>802</v>
      </c>
      <c r="P136" s="4" t="s">
        <v>42</v>
      </c>
      <c r="Q136" s="50" t="s">
        <v>43</v>
      </c>
      <c r="R136" s="50"/>
      <c r="S136" s="50" t="s">
        <v>799</v>
      </c>
      <c r="T136" s="4" t="s">
        <v>43</v>
      </c>
      <c r="U136" s="4" t="s">
        <v>43</v>
      </c>
    </row>
    <row r="137" spans="3:21" hidden="1" x14ac:dyDescent="0.25">
      <c r="C137" s="4" t="s">
        <v>957</v>
      </c>
      <c r="D137" s="4" t="s">
        <v>959</v>
      </c>
      <c r="E137" s="4" t="s">
        <v>998</v>
      </c>
      <c r="F137" s="4">
        <v>5.45</v>
      </c>
      <c r="G137" s="4" t="s">
        <v>376</v>
      </c>
      <c r="H137" s="4" t="s">
        <v>46</v>
      </c>
      <c r="I137" s="4"/>
      <c r="J137" s="4" t="s">
        <v>160</v>
      </c>
      <c r="K137" s="4" t="s">
        <v>43</v>
      </c>
      <c r="L137" s="4" t="s">
        <v>39</v>
      </c>
      <c r="M137" s="4" t="s">
        <v>40</v>
      </c>
      <c r="N137" s="4" t="s">
        <v>378</v>
      </c>
      <c r="O137" s="4" t="s">
        <v>957</v>
      </c>
      <c r="P137" s="4" t="s">
        <v>42</v>
      </c>
      <c r="Q137" s="50" t="s">
        <v>43</v>
      </c>
      <c r="R137" s="50"/>
      <c r="S137" s="50" t="s">
        <v>931</v>
      </c>
      <c r="T137" s="4" t="s">
        <v>43</v>
      </c>
      <c r="U137" s="4" t="s">
        <v>43</v>
      </c>
    </row>
    <row r="138" spans="3:21" hidden="1" x14ac:dyDescent="0.25">
      <c r="C138" s="4" t="s">
        <v>75</v>
      </c>
      <c r="D138" s="4" t="s">
        <v>76</v>
      </c>
      <c r="E138" s="4" t="s">
        <v>77</v>
      </c>
      <c r="F138" s="4" t="s">
        <v>36</v>
      </c>
      <c r="G138" s="4" t="s">
        <v>37</v>
      </c>
      <c r="H138" s="4" t="s">
        <v>38</v>
      </c>
      <c r="I138" s="4"/>
      <c r="J138" s="4">
        <v>0</v>
      </c>
      <c r="K138" s="4"/>
      <c r="L138" s="4" t="s">
        <v>78</v>
      </c>
      <c r="M138" s="4" t="s">
        <v>40</v>
      </c>
      <c r="N138" s="4">
        <v>0</v>
      </c>
      <c r="O138" s="4" t="s">
        <v>75</v>
      </c>
      <c r="P138" s="4" t="s">
        <v>42</v>
      </c>
      <c r="Q138" s="50" t="s">
        <v>43</v>
      </c>
      <c r="R138" s="50"/>
      <c r="S138" s="50">
        <v>0</v>
      </c>
      <c r="T138" s="4" t="s">
        <v>43</v>
      </c>
      <c r="U138" s="4" t="s">
        <v>43</v>
      </c>
    </row>
    <row r="139" spans="3:21" hidden="1" x14ac:dyDescent="0.25">
      <c r="C139" s="4" t="s">
        <v>491</v>
      </c>
      <c r="D139" s="4" t="s">
        <v>493</v>
      </c>
      <c r="E139" s="4" t="s">
        <v>493</v>
      </c>
      <c r="F139" s="4">
        <v>5</v>
      </c>
      <c r="G139" s="4" t="s">
        <v>376</v>
      </c>
      <c r="H139" s="4" t="s">
        <v>46</v>
      </c>
      <c r="I139" s="4"/>
      <c r="J139" s="4" t="s">
        <v>466</v>
      </c>
      <c r="K139" s="4" t="s">
        <v>43</v>
      </c>
      <c r="L139" s="4" t="s">
        <v>51</v>
      </c>
      <c r="M139" s="4" t="s">
        <v>40</v>
      </c>
      <c r="N139" s="4" t="s">
        <v>378</v>
      </c>
      <c r="O139" s="4" t="s">
        <v>491</v>
      </c>
      <c r="P139" s="4" t="s">
        <v>42</v>
      </c>
      <c r="Q139" s="50" t="s">
        <v>43</v>
      </c>
      <c r="R139" s="50"/>
      <c r="S139" s="50" t="s">
        <v>467</v>
      </c>
      <c r="T139" s="4" t="s">
        <v>43</v>
      </c>
      <c r="U139" s="4" t="s">
        <v>43</v>
      </c>
    </row>
    <row r="140" spans="3:21" hidden="1" x14ac:dyDescent="0.25">
      <c r="C140" s="4" t="s">
        <v>494</v>
      </c>
      <c r="D140" s="4" t="s">
        <v>495</v>
      </c>
      <c r="E140" s="4" t="s">
        <v>496</v>
      </c>
      <c r="F140" s="4">
        <v>5.04</v>
      </c>
      <c r="G140" s="4" t="s">
        <v>376</v>
      </c>
      <c r="H140" s="4" t="s">
        <v>46</v>
      </c>
      <c r="I140" s="4"/>
      <c r="J140" s="4" t="s">
        <v>466</v>
      </c>
      <c r="K140" s="4" t="s">
        <v>43</v>
      </c>
      <c r="L140" s="4" t="s">
        <v>51</v>
      </c>
      <c r="M140" s="4" t="s">
        <v>40</v>
      </c>
      <c r="N140" s="4" t="s">
        <v>378</v>
      </c>
      <c r="O140" s="4" t="s">
        <v>494</v>
      </c>
      <c r="P140" s="4" t="s">
        <v>42</v>
      </c>
      <c r="Q140" s="50" t="s">
        <v>43</v>
      </c>
      <c r="R140" s="50"/>
      <c r="S140" s="50" t="s">
        <v>467</v>
      </c>
      <c r="T140" s="4" t="s">
        <v>43</v>
      </c>
      <c r="U140" s="4" t="s">
        <v>32</v>
      </c>
    </row>
    <row r="141" spans="3:21" hidden="1" x14ac:dyDescent="0.25">
      <c r="C141" s="4" t="s">
        <v>542</v>
      </c>
      <c r="D141" s="4" t="s">
        <v>543</v>
      </c>
      <c r="E141" s="4" t="s">
        <v>543</v>
      </c>
      <c r="F141" s="4">
        <v>6</v>
      </c>
      <c r="G141" s="4" t="s">
        <v>376</v>
      </c>
      <c r="H141" s="4" t="s">
        <v>46</v>
      </c>
      <c r="I141" s="4"/>
      <c r="J141" s="4" t="s">
        <v>100</v>
      </c>
      <c r="K141" s="4" t="s">
        <v>43</v>
      </c>
      <c r="L141" s="4" t="s">
        <v>138</v>
      </c>
      <c r="M141" s="4" t="s">
        <v>40</v>
      </c>
      <c r="N141" s="4" t="s">
        <v>514</v>
      </c>
      <c r="O141" s="4" t="s">
        <v>542</v>
      </c>
      <c r="P141" s="4" t="s">
        <v>42</v>
      </c>
      <c r="Q141" s="50" t="s">
        <v>43</v>
      </c>
      <c r="R141" s="50"/>
      <c r="S141" s="50" t="s">
        <v>515</v>
      </c>
      <c r="T141" s="4" t="s">
        <v>43</v>
      </c>
      <c r="U141" s="4" t="s">
        <v>43</v>
      </c>
    </row>
    <row r="142" spans="3:21" hidden="1" x14ac:dyDescent="0.25">
      <c r="C142" s="4" t="s">
        <v>544</v>
      </c>
      <c r="D142" s="4" t="s">
        <v>545</v>
      </c>
      <c r="E142" s="4" t="s">
        <v>545</v>
      </c>
      <c r="F142" s="4">
        <v>5</v>
      </c>
      <c r="G142" s="4" t="s">
        <v>376</v>
      </c>
      <c r="H142" s="4" t="s">
        <v>46</v>
      </c>
      <c r="I142" s="4"/>
      <c r="J142" s="4" t="s">
        <v>100</v>
      </c>
      <c r="K142" s="4" t="s">
        <v>43</v>
      </c>
      <c r="L142" s="4" t="s">
        <v>138</v>
      </c>
      <c r="M142" s="4" t="s">
        <v>40</v>
      </c>
      <c r="N142" s="4" t="s">
        <v>514</v>
      </c>
      <c r="O142" s="4" t="s">
        <v>544</v>
      </c>
      <c r="P142" s="4" t="s">
        <v>42</v>
      </c>
      <c r="Q142" s="50" t="s">
        <v>43</v>
      </c>
      <c r="R142" s="50"/>
      <c r="S142" s="50" t="s">
        <v>515</v>
      </c>
      <c r="T142" s="4" t="s">
        <v>43</v>
      </c>
      <c r="U142" s="4" t="s">
        <v>43</v>
      </c>
    </row>
    <row r="143" spans="3:21" hidden="1" x14ac:dyDescent="0.25">
      <c r="C143" s="4" t="s">
        <v>810</v>
      </c>
      <c r="D143" s="4" t="s">
        <v>811</v>
      </c>
      <c r="E143" s="4" t="s">
        <v>811</v>
      </c>
      <c r="F143" s="4">
        <v>5</v>
      </c>
      <c r="G143" s="4" t="s">
        <v>376</v>
      </c>
      <c r="H143" s="4" t="s">
        <v>46</v>
      </c>
      <c r="I143" s="4"/>
      <c r="J143" s="4" t="s">
        <v>146</v>
      </c>
      <c r="K143" s="4" t="s">
        <v>43</v>
      </c>
      <c r="L143" s="4" t="s">
        <v>59</v>
      </c>
      <c r="M143" s="4" t="s">
        <v>40</v>
      </c>
      <c r="N143" s="4" t="s">
        <v>984</v>
      </c>
      <c r="O143" s="4" t="s">
        <v>810</v>
      </c>
      <c r="P143" s="4" t="s">
        <v>42</v>
      </c>
      <c r="Q143" s="50" t="s">
        <v>43</v>
      </c>
      <c r="R143" s="50"/>
      <c r="S143" s="50" t="s">
        <v>799</v>
      </c>
      <c r="T143" s="4" t="s">
        <v>43</v>
      </c>
      <c r="U143" s="4" t="s">
        <v>43</v>
      </c>
    </row>
    <row r="144" spans="3:21" hidden="1" x14ac:dyDescent="0.25">
      <c r="C144" s="4" t="s">
        <v>79</v>
      </c>
      <c r="D144" s="4" t="s">
        <v>80</v>
      </c>
      <c r="E144" s="4" t="s">
        <v>80</v>
      </c>
      <c r="F144" s="4" t="s">
        <v>36</v>
      </c>
      <c r="G144" s="4" t="s">
        <v>37</v>
      </c>
      <c r="H144" s="4" t="s">
        <v>81</v>
      </c>
      <c r="I144" s="4"/>
      <c r="J144" s="4">
        <v>0</v>
      </c>
      <c r="K144" s="4"/>
      <c r="L144" s="4" t="s">
        <v>59</v>
      </c>
      <c r="M144" s="4" t="s">
        <v>40</v>
      </c>
      <c r="N144" s="4">
        <v>0</v>
      </c>
      <c r="O144" s="4" t="s">
        <v>79</v>
      </c>
      <c r="P144" s="4" t="s">
        <v>42</v>
      </c>
      <c r="Q144" s="50" t="s">
        <v>43</v>
      </c>
      <c r="R144" s="50"/>
      <c r="S144" s="50">
        <v>0</v>
      </c>
      <c r="T144" s="4" t="s">
        <v>43</v>
      </c>
      <c r="U144" s="4" t="s">
        <v>43</v>
      </c>
    </row>
    <row r="145" spans="3:21" hidden="1" x14ac:dyDescent="0.25">
      <c r="C145" s="4" t="s">
        <v>870</v>
      </c>
      <c r="D145" s="4" t="s">
        <v>871</v>
      </c>
      <c r="E145" s="4" t="s">
        <v>871</v>
      </c>
      <c r="F145" s="4">
        <v>5</v>
      </c>
      <c r="G145" s="4" t="s">
        <v>376</v>
      </c>
      <c r="H145" s="4" t="s">
        <v>46</v>
      </c>
      <c r="I145" s="4"/>
      <c r="J145" s="4" t="s">
        <v>132</v>
      </c>
      <c r="K145" s="4" t="s">
        <v>43</v>
      </c>
      <c r="L145" s="4" t="s">
        <v>856</v>
      </c>
      <c r="M145" s="4" t="s">
        <v>40</v>
      </c>
      <c r="N145" s="4" t="s">
        <v>514</v>
      </c>
      <c r="O145" s="4" t="s">
        <v>870</v>
      </c>
      <c r="P145" s="4" t="s">
        <v>42</v>
      </c>
      <c r="Q145" s="50" t="s">
        <v>43</v>
      </c>
      <c r="R145" s="50"/>
      <c r="S145" s="50" t="s">
        <v>847</v>
      </c>
      <c r="T145" s="4" t="s">
        <v>43</v>
      </c>
      <c r="U145" s="4" t="s">
        <v>43</v>
      </c>
    </row>
    <row r="146" spans="3:21" hidden="1" x14ac:dyDescent="0.25">
      <c r="C146" s="4">
        <v>50096</v>
      </c>
      <c r="D146" s="4" t="s">
        <v>683</v>
      </c>
      <c r="E146" s="4" t="s">
        <v>684</v>
      </c>
      <c r="F146" s="4">
        <v>5</v>
      </c>
      <c r="G146" s="4" t="s">
        <v>376</v>
      </c>
      <c r="H146" s="4" t="s">
        <v>81</v>
      </c>
      <c r="I146" s="4"/>
      <c r="J146" s="4" t="s">
        <v>248</v>
      </c>
      <c r="K146" s="4" t="s">
        <v>43</v>
      </c>
      <c r="L146" s="4" t="s">
        <v>51</v>
      </c>
      <c r="M146" s="4" t="s">
        <v>40</v>
      </c>
      <c r="N146" s="4" t="s">
        <v>984</v>
      </c>
      <c r="O146" s="4">
        <v>50096</v>
      </c>
      <c r="P146" s="4" t="s">
        <v>42</v>
      </c>
      <c r="Q146" s="50" t="s">
        <v>43</v>
      </c>
      <c r="R146" s="50"/>
      <c r="S146" s="50" t="s">
        <v>51</v>
      </c>
      <c r="T146" s="4" t="s">
        <v>43</v>
      </c>
      <c r="U146" s="4" t="s">
        <v>43</v>
      </c>
    </row>
    <row r="147" spans="3:21" hidden="1" x14ac:dyDescent="0.25">
      <c r="C147" s="4">
        <v>50724</v>
      </c>
      <c r="D147" s="4" t="s">
        <v>900</v>
      </c>
      <c r="E147" s="4" t="s">
        <v>900</v>
      </c>
      <c r="F147" s="4">
        <v>5</v>
      </c>
      <c r="G147" s="4" t="s">
        <v>376</v>
      </c>
      <c r="H147" s="4" t="s">
        <v>46</v>
      </c>
      <c r="I147" s="4"/>
      <c r="J147" s="4" t="s">
        <v>73</v>
      </c>
      <c r="K147" s="4" t="s">
        <v>43</v>
      </c>
      <c r="L147" s="4" t="s">
        <v>609</v>
      </c>
      <c r="M147" s="4" t="s">
        <v>40</v>
      </c>
      <c r="N147" s="4" t="s">
        <v>514</v>
      </c>
      <c r="O147" s="4">
        <v>50724</v>
      </c>
      <c r="P147" s="4" t="s">
        <v>42</v>
      </c>
      <c r="Q147" s="50" t="s">
        <v>43</v>
      </c>
      <c r="R147" s="50"/>
      <c r="S147" s="50" t="s">
        <v>886</v>
      </c>
      <c r="T147" s="4" t="s">
        <v>43</v>
      </c>
      <c r="U147" s="4" t="s">
        <v>43</v>
      </c>
    </row>
    <row r="148" spans="3:21" hidden="1" x14ac:dyDescent="0.25">
      <c r="C148" s="4">
        <v>50863</v>
      </c>
      <c r="D148" s="4" t="s">
        <v>901</v>
      </c>
      <c r="E148" s="4" t="s">
        <v>902</v>
      </c>
      <c r="F148" s="4">
        <v>5</v>
      </c>
      <c r="G148" s="4" t="s">
        <v>376</v>
      </c>
      <c r="H148" s="4" t="s">
        <v>81</v>
      </c>
      <c r="I148" s="4"/>
      <c r="J148" s="4" t="s">
        <v>73</v>
      </c>
      <c r="K148" s="4" t="s">
        <v>43</v>
      </c>
      <c r="L148" s="4" t="s">
        <v>364</v>
      </c>
      <c r="M148" s="4" t="s">
        <v>40</v>
      </c>
      <c r="N148" s="4" t="s">
        <v>514</v>
      </c>
      <c r="O148" s="4">
        <v>50863</v>
      </c>
      <c r="P148" s="4" t="s">
        <v>42</v>
      </c>
      <c r="Q148" s="50" t="s">
        <v>43</v>
      </c>
      <c r="R148" s="50"/>
      <c r="S148" s="50" t="s">
        <v>886</v>
      </c>
      <c r="T148" s="4" t="s">
        <v>43</v>
      </c>
      <c r="U148" s="4" t="s">
        <v>43</v>
      </c>
    </row>
    <row r="149" spans="3:21" hidden="1" x14ac:dyDescent="0.25">
      <c r="C149" s="4" t="s">
        <v>82</v>
      </c>
      <c r="D149" s="4" t="s">
        <v>83</v>
      </c>
      <c r="E149" s="4" t="s">
        <v>83</v>
      </c>
      <c r="F149" s="4" t="s">
        <v>36</v>
      </c>
      <c r="G149" s="4" t="s">
        <v>37</v>
      </c>
      <c r="H149" s="4" t="s">
        <v>81</v>
      </c>
      <c r="I149" s="4"/>
      <c r="J149" s="4" t="s">
        <v>84</v>
      </c>
      <c r="K149" s="4"/>
      <c r="L149" s="4" t="s">
        <v>85</v>
      </c>
      <c r="M149" s="4" t="s">
        <v>55</v>
      </c>
      <c r="N149" s="4" t="s">
        <v>984</v>
      </c>
      <c r="O149" s="4" t="s">
        <v>82</v>
      </c>
      <c r="P149" s="4" t="s">
        <v>42</v>
      </c>
      <c r="Q149" s="50" t="s">
        <v>43</v>
      </c>
      <c r="R149" s="50"/>
      <c r="S149" s="50">
        <v>0</v>
      </c>
      <c r="T149" s="4" t="s">
        <v>43</v>
      </c>
      <c r="U149" s="4" t="s">
        <v>43</v>
      </c>
    </row>
    <row r="150" spans="3:21" hidden="1" x14ac:dyDescent="0.25">
      <c r="C150" s="4" t="s">
        <v>86</v>
      </c>
      <c r="D150" s="4" t="s">
        <v>87</v>
      </c>
      <c r="E150" s="4" t="s">
        <v>87</v>
      </c>
      <c r="F150" s="4" t="s">
        <v>36</v>
      </c>
      <c r="G150" s="4" t="s">
        <v>37</v>
      </c>
      <c r="H150" s="4" t="s">
        <v>88</v>
      </c>
      <c r="I150" s="4"/>
      <c r="J150" s="4" t="s">
        <v>89</v>
      </c>
      <c r="K150" s="4"/>
      <c r="L150" s="4" t="s">
        <v>90</v>
      </c>
      <c r="M150" s="4" t="s">
        <v>91</v>
      </c>
      <c r="N150" s="4" t="s">
        <v>378</v>
      </c>
      <c r="O150" s="4" t="s">
        <v>86</v>
      </c>
      <c r="P150" s="4" t="s">
        <v>42</v>
      </c>
      <c r="Q150" s="50" t="s">
        <v>43</v>
      </c>
      <c r="R150" s="50"/>
      <c r="S150" s="50">
        <v>0</v>
      </c>
      <c r="T150" s="4" t="s">
        <v>43</v>
      </c>
      <c r="U150" s="4" t="s">
        <v>43</v>
      </c>
    </row>
    <row r="151" spans="3:21" hidden="1" x14ac:dyDescent="0.25">
      <c r="C151" s="4" t="s">
        <v>576</v>
      </c>
      <c r="D151" s="4" t="s">
        <v>577</v>
      </c>
      <c r="E151" s="4" t="s">
        <v>577</v>
      </c>
      <c r="F151" s="4">
        <v>5</v>
      </c>
      <c r="G151" s="4" t="s">
        <v>376</v>
      </c>
      <c r="H151" s="4" t="s">
        <v>46</v>
      </c>
      <c r="I151" s="4"/>
      <c r="J151" s="4" t="s">
        <v>331</v>
      </c>
      <c r="K151" s="4" t="s">
        <v>43</v>
      </c>
      <c r="L151" s="4" t="s">
        <v>138</v>
      </c>
      <c r="M151" s="4" t="s">
        <v>40</v>
      </c>
      <c r="N151" s="4" t="s">
        <v>422</v>
      </c>
      <c r="O151" s="4" t="s">
        <v>576</v>
      </c>
      <c r="P151" s="4" t="s">
        <v>42</v>
      </c>
      <c r="Q151" s="50" t="s">
        <v>43</v>
      </c>
      <c r="R151" s="50"/>
      <c r="S151" s="50" t="s">
        <v>557</v>
      </c>
      <c r="T151" s="4" t="s">
        <v>43</v>
      </c>
      <c r="U151" s="4" t="s">
        <v>43</v>
      </c>
    </row>
    <row r="152" spans="3:21" hidden="1" x14ac:dyDescent="0.25">
      <c r="C152" s="4" t="s">
        <v>92</v>
      </c>
      <c r="D152" s="4" t="s">
        <v>93</v>
      </c>
      <c r="E152" s="4" t="s">
        <v>93</v>
      </c>
      <c r="F152" s="4" t="s">
        <v>36</v>
      </c>
      <c r="G152" s="4" t="s">
        <v>37</v>
      </c>
      <c r="H152" s="4" t="s">
        <v>81</v>
      </c>
      <c r="I152" s="4"/>
      <c r="J152" s="4" t="s">
        <v>94</v>
      </c>
      <c r="K152" s="4"/>
      <c r="L152" s="4" t="s">
        <v>64</v>
      </c>
      <c r="M152" s="4" t="s">
        <v>40</v>
      </c>
      <c r="N152" s="4" t="s">
        <v>422</v>
      </c>
      <c r="O152" s="4" t="s">
        <v>92</v>
      </c>
      <c r="P152" s="4" t="s">
        <v>42</v>
      </c>
      <c r="Q152" s="50" t="s">
        <v>43</v>
      </c>
      <c r="R152" s="50"/>
      <c r="S152" s="50">
        <v>0</v>
      </c>
      <c r="T152" s="4" t="s">
        <v>43</v>
      </c>
      <c r="U152" s="4" t="s">
        <v>43</v>
      </c>
    </row>
    <row r="153" spans="3:21" hidden="1" x14ac:dyDescent="0.25">
      <c r="C153" s="4" t="s">
        <v>782</v>
      </c>
      <c r="D153" s="4" t="s">
        <v>783</v>
      </c>
      <c r="E153" s="4" t="s">
        <v>783</v>
      </c>
      <c r="F153" s="4">
        <v>5</v>
      </c>
      <c r="G153" s="4" t="s">
        <v>376</v>
      </c>
      <c r="H153" s="4" t="s">
        <v>81</v>
      </c>
      <c r="I153" s="4"/>
      <c r="J153" s="4" t="s">
        <v>89</v>
      </c>
      <c r="K153" s="4" t="s">
        <v>43</v>
      </c>
      <c r="L153" s="4" t="s">
        <v>103</v>
      </c>
      <c r="M153" s="4" t="s">
        <v>104</v>
      </c>
      <c r="N153" s="4" t="s">
        <v>378</v>
      </c>
      <c r="O153" s="4" t="s">
        <v>782</v>
      </c>
      <c r="P153" s="4" t="s">
        <v>42</v>
      </c>
      <c r="Q153" s="50" t="s">
        <v>43</v>
      </c>
      <c r="R153" s="50"/>
      <c r="S153" s="50" t="s">
        <v>772</v>
      </c>
      <c r="T153" s="4" t="s">
        <v>43</v>
      </c>
      <c r="U153" s="4" t="s">
        <v>43</v>
      </c>
    </row>
    <row r="154" spans="3:21" hidden="1" x14ac:dyDescent="0.25">
      <c r="C154" s="4" t="s">
        <v>95</v>
      </c>
      <c r="D154" s="4" t="s">
        <v>96</v>
      </c>
      <c r="E154" s="4" t="s">
        <v>96</v>
      </c>
      <c r="F154" s="4" t="s">
        <v>36</v>
      </c>
      <c r="G154" s="4" t="s">
        <v>37</v>
      </c>
      <c r="H154" s="4" t="s">
        <v>81</v>
      </c>
      <c r="I154" s="4"/>
      <c r="J154" s="4">
        <v>0</v>
      </c>
      <c r="K154" s="4"/>
      <c r="L154" s="4" t="s">
        <v>97</v>
      </c>
      <c r="M154" s="4" t="s">
        <v>40</v>
      </c>
      <c r="N154" s="4">
        <v>0</v>
      </c>
      <c r="O154" s="4" t="s">
        <v>95</v>
      </c>
      <c r="P154" s="4" t="s">
        <v>42</v>
      </c>
      <c r="Q154" s="50" t="s">
        <v>43</v>
      </c>
      <c r="R154" s="50"/>
      <c r="S154" s="50">
        <v>0</v>
      </c>
      <c r="T154" s="4" t="s">
        <v>43</v>
      </c>
      <c r="U154" s="4" t="s">
        <v>43</v>
      </c>
    </row>
    <row r="155" spans="3:21" hidden="1" x14ac:dyDescent="0.25">
      <c r="C155" s="4" t="s">
        <v>98</v>
      </c>
      <c r="D155" s="4" t="s">
        <v>99</v>
      </c>
      <c r="E155" s="4" t="s">
        <v>99</v>
      </c>
      <c r="F155" s="4" t="s">
        <v>36</v>
      </c>
      <c r="G155" s="4" t="s">
        <v>37</v>
      </c>
      <c r="H155" s="4" t="s">
        <v>81</v>
      </c>
      <c r="I155" s="4"/>
      <c r="J155" s="4" t="s">
        <v>100</v>
      </c>
      <c r="K155" s="4"/>
      <c r="L155" s="4" t="s">
        <v>59</v>
      </c>
      <c r="M155" s="4" t="s">
        <v>40</v>
      </c>
      <c r="N155" s="4" t="s">
        <v>514</v>
      </c>
      <c r="O155" s="4" t="s">
        <v>98</v>
      </c>
      <c r="P155" s="4" t="s">
        <v>42</v>
      </c>
      <c r="Q155" s="50" t="s">
        <v>43</v>
      </c>
      <c r="R155" s="50"/>
      <c r="S155" s="50">
        <v>0</v>
      </c>
      <c r="T155" s="4" t="s">
        <v>43</v>
      </c>
      <c r="U155" s="4" t="s">
        <v>43</v>
      </c>
    </row>
    <row r="156" spans="3:21" hidden="1" x14ac:dyDescent="0.25">
      <c r="C156" s="4" t="s">
        <v>712</v>
      </c>
      <c r="D156" s="4" t="s">
        <v>713</v>
      </c>
      <c r="E156" s="4" t="s">
        <v>713</v>
      </c>
      <c r="F156" s="4">
        <v>5</v>
      </c>
      <c r="G156" s="4" t="s">
        <v>376</v>
      </c>
      <c r="H156" s="4" t="s">
        <v>46</v>
      </c>
      <c r="I156" s="4"/>
      <c r="J156" s="4" t="s">
        <v>84</v>
      </c>
      <c r="K156" s="4" t="s">
        <v>440</v>
      </c>
      <c r="L156" s="4" t="s">
        <v>54</v>
      </c>
      <c r="M156" s="4" t="s">
        <v>55</v>
      </c>
      <c r="N156" s="4" t="s">
        <v>984</v>
      </c>
      <c r="O156" s="4" t="s">
        <v>712</v>
      </c>
      <c r="P156" s="4" t="s">
        <v>42</v>
      </c>
      <c r="Q156" s="50" t="s">
        <v>43</v>
      </c>
      <c r="R156" s="50"/>
      <c r="S156" s="50" t="s">
        <v>702</v>
      </c>
      <c r="T156" s="4" t="s">
        <v>43</v>
      </c>
      <c r="U156" s="4" t="s">
        <v>43</v>
      </c>
    </row>
    <row r="157" spans="3:21" hidden="1" x14ac:dyDescent="0.25">
      <c r="C157" s="4" t="s">
        <v>101</v>
      </c>
      <c r="D157" s="4" t="s">
        <v>102</v>
      </c>
      <c r="E157" s="4" t="s">
        <v>102</v>
      </c>
      <c r="F157" s="4" t="s">
        <v>36</v>
      </c>
      <c r="G157" s="4" t="s">
        <v>37</v>
      </c>
      <c r="H157" s="4" t="s">
        <v>81</v>
      </c>
      <c r="I157" s="4"/>
      <c r="J157" s="4" t="s">
        <v>73</v>
      </c>
      <c r="K157" s="4"/>
      <c r="L157" s="4" t="s">
        <v>103</v>
      </c>
      <c r="M157" s="4" t="s">
        <v>104</v>
      </c>
      <c r="N157" s="4" t="s">
        <v>514</v>
      </c>
      <c r="O157" s="4" t="s">
        <v>101</v>
      </c>
      <c r="P157" s="4" t="s">
        <v>42</v>
      </c>
      <c r="Q157" s="50" t="s">
        <v>43</v>
      </c>
      <c r="R157" s="50"/>
      <c r="S157" s="50">
        <v>0</v>
      </c>
      <c r="T157" s="4" t="s">
        <v>43</v>
      </c>
      <c r="U157" s="4" t="s">
        <v>43</v>
      </c>
    </row>
    <row r="158" spans="3:21" hidden="1" x14ac:dyDescent="0.25">
      <c r="C158" s="4" t="s">
        <v>105</v>
      </c>
      <c r="D158" s="4" t="s">
        <v>106</v>
      </c>
      <c r="E158" s="4" t="s">
        <v>106</v>
      </c>
      <c r="F158" s="4" t="s">
        <v>36</v>
      </c>
      <c r="G158" s="4" t="s">
        <v>37</v>
      </c>
      <c r="H158" s="4" t="s">
        <v>81</v>
      </c>
      <c r="I158" s="4"/>
      <c r="J158" s="4" t="s">
        <v>100</v>
      </c>
      <c r="K158" s="4"/>
      <c r="L158" s="4" t="s">
        <v>59</v>
      </c>
      <c r="M158" s="4" t="s">
        <v>40</v>
      </c>
      <c r="N158" s="4" t="s">
        <v>514</v>
      </c>
      <c r="O158" s="4" t="s">
        <v>105</v>
      </c>
      <c r="P158" s="4" t="s">
        <v>42</v>
      </c>
      <c r="Q158" s="50" t="s">
        <v>43</v>
      </c>
      <c r="R158" s="50"/>
      <c r="S158" s="50">
        <v>0</v>
      </c>
      <c r="T158" s="4" t="s">
        <v>43</v>
      </c>
      <c r="U158" s="4" t="s">
        <v>43</v>
      </c>
    </row>
    <row r="159" spans="3:21" hidden="1" x14ac:dyDescent="0.25">
      <c r="C159" s="4" t="s">
        <v>903</v>
      </c>
      <c r="D159" s="4" t="s">
        <v>904</v>
      </c>
      <c r="E159" s="4" t="s">
        <v>904</v>
      </c>
      <c r="F159" s="4">
        <v>5</v>
      </c>
      <c r="G159" s="4" t="s">
        <v>376</v>
      </c>
      <c r="H159" s="4" t="s">
        <v>46</v>
      </c>
      <c r="I159" s="4"/>
      <c r="J159" s="4" t="s">
        <v>73</v>
      </c>
      <c r="K159" s="4" t="s">
        <v>43</v>
      </c>
      <c r="L159" s="4" t="s">
        <v>47</v>
      </c>
      <c r="M159" s="4" t="s">
        <v>40</v>
      </c>
      <c r="N159" s="4" t="s">
        <v>514</v>
      </c>
      <c r="O159" s="4" t="s">
        <v>903</v>
      </c>
      <c r="P159" s="4" t="s">
        <v>42</v>
      </c>
      <c r="Q159" s="50" t="s">
        <v>43</v>
      </c>
      <c r="R159" s="50"/>
      <c r="S159" s="50" t="s">
        <v>886</v>
      </c>
      <c r="T159" s="4" t="s">
        <v>43</v>
      </c>
      <c r="U159" s="4" t="s">
        <v>43</v>
      </c>
    </row>
    <row r="160" spans="3:21" hidden="1" x14ac:dyDescent="0.25">
      <c r="C160" s="4" t="s">
        <v>107</v>
      </c>
      <c r="D160" s="4" t="s">
        <v>108</v>
      </c>
      <c r="E160" s="4" t="s">
        <v>108</v>
      </c>
      <c r="F160" s="4" t="s">
        <v>36</v>
      </c>
      <c r="G160" s="4" t="s">
        <v>37</v>
      </c>
      <c r="H160" s="4" t="s">
        <v>81</v>
      </c>
      <c r="I160" s="4"/>
      <c r="J160" s="4" t="s">
        <v>89</v>
      </c>
      <c r="K160" s="4"/>
      <c r="L160" s="4" t="s">
        <v>109</v>
      </c>
      <c r="M160" s="4" t="s">
        <v>91</v>
      </c>
      <c r="N160" s="4" t="s">
        <v>378</v>
      </c>
      <c r="O160" s="4" t="s">
        <v>107</v>
      </c>
      <c r="P160" s="4" t="s">
        <v>42</v>
      </c>
      <c r="Q160" s="50" t="s">
        <v>43</v>
      </c>
      <c r="R160" s="50"/>
      <c r="S160" s="50" t="s">
        <v>772</v>
      </c>
      <c r="T160" s="4" t="s">
        <v>43</v>
      </c>
      <c r="U160" s="4" t="s">
        <v>43</v>
      </c>
    </row>
    <row r="161" spans="3:21" hidden="1" x14ac:dyDescent="0.25">
      <c r="C161" s="4" t="s">
        <v>110</v>
      </c>
      <c r="D161" s="4" t="s">
        <v>111</v>
      </c>
      <c r="E161" s="4" t="s">
        <v>111</v>
      </c>
      <c r="F161" s="4" t="s">
        <v>36</v>
      </c>
      <c r="G161" s="4" t="s">
        <v>37</v>
      </c>
      <c r="H161" s="4" t="s">
        <v>81</v>
      </c>
      <c r="I161" s="4"/>
      <c r="J161" s="4" t="s">
        <v>58</v>
      </c>
      <c r="K161" s="4"/>
      <c r="L161" s="4" t="s">
        <v>59</v>
      </c>
      <c r="M161" s="4" t="s">
        <v>40</v>
      </c>
      <c r="N161" s="4" t="s">
        <v>378</v>
      </c>
      <c r="O161" s="4" t="s">
        <v>110</v>
      </c>
      <c r="P161" s="4" t="s">
        <v>42</v>
      </c>
      <c r="Q161" s="50" t="s">
        <v>43</v>
      </c>
      <c r="R161" s="50"/>
      <c r="S161" s="50">
        <v>0</v>
      </c>
      <c r="T161" s="4" t="s">
        <v>43</v>
      </c>
      <c r="U161" s="4" t="s">
        <v>43</v>
      </c>
    </row>
    <row r="162" spans="3:21" hidden="1" x14ac:dyDescent="0.25">
      <c r="C162" s="4" t="s">
        <v>112</v>
      </c>
      <c r="D162" s="4" t="s">
        <v>113</v>
      </c>
      <c r="E162" s="4" t="s">
        <v>114</v>
      </c>
      <c r="F162" s="4" t="s">
        <v>36</v>
      </c>
      <c r="G162" s="4" t="s">
        <v>37</v>
      </c>
      <c r="H162" s="4" t="s">
        <v>81</v>
      </c>
      <c r="I162" s="4"/>
      <c r="J162" s="4" t="s">
        <v>73</v>
      </c>
      <c r="K162" s="4"/>
      <c r="L162" s="4" t="s">
        <v>115</v>
      </c>
      <c r="M162" s="4" t="s">
        <v>116</v>
      </c>
      <c r="N162" s="4" t="s">
        <v>514</v>
      </c>
      <c r="O162" s="4" t="s">
        <v>112</v>
      </c>
      <c r="P162" s="4" t="s">
        <v>42</v>
      </c>
      <c r="Q162" s="50" t="s">
        <v>43</v>
      </c>
      <c r="R162" s="50"/>
      <c r="S162" s="50" t="s">
        <v>115</v>
      </c>
      <c r="T162" s="4" t="s">
        <v>43</v>
      </c>
      <c r="U162" s="4" t="s">
        <v>43</v>
      </c>
    </row>
    <row r="163" spans="3:21" hidden="1" x14ac:dyDescent="0.25">
      <c r="C163" s="4" t="s">
        <v>905</v>
      </c>
      <c r="D163" s="4" t="s">
        <v>906</v>
      </c>
      <c r="E163" s="4" t="s">
        <v>906</v>
      </c>
      <c r="F163" s="4">
        <v>5</v>
      </c>
      <c r="G163" s="4" t="s">
        <v>376</v>
      </c>
      <c r="H163" s="4" t="s">
        <v>81</v>
      </c>
      <c r="I163" s="4"/>
      <c r="J163" s="4" t="s">
        <v>73</v>
      </c>
      <c r="K163" s="4" t="s">
        <v>43</v>
      </c>
      <c r="L163" s="4" t="s">
        <v>907</v>
      </c>
      <c r="M163" s="4" t="s">
        <v>40</v>
      </c>
      <c r="N163" s="4" t="s">
        <v>514</v>
      </c>
      <c r="O163" s="4" t="s">
        <v>905</v>
      </c>
      <c r="P163" s="4" t="s">
        <v>42</v>
      </c>
      <c r="Q163" s="50" t="s">
        <v>43</v>
      </c>
      <c r="R163" s="50"/>
      <c r="S163" s="50" t="s">
        <v>886</v>
      </c>
      <c r="T163" s="4" t="s">
        <v>43</v>
      </c>
      <c r="U163" s="4" t="s">
        <v>43</v>
      </c>
    </row>
    <row r="164" spans="3:21" hidden="1" x14ac:dyDescent="0.25">
      <c r="C164" s="4" t="s">
        <v>685</v>
      </c>
      <c r="D164" s="4" t="s">
        <v>686</v>
      </c>
      <c r="E164" s="4" t="s">
        <v>686</v>
      </c>
      <c r="F164" s="4">
        <v>5</v>
      </c>
      <c r="G164" s="4" t="s">
        <v>376</v>
      </c>
      <c r="H164" s="4" t="s">
        <v>81</v>
      </c>
      <c r="I164" s="4"/>
      <c r="J164" s="4" t="s">
        <v>248</v>
      </c>
      <c r="K164" s="4" t="s">
        <v>43</v>
      </c>
      <c r="L164" s="4" t="s">
        <v>51</v>
      </c>
      <c r="M164" s="4" t="s">
        <v>40</v>
      </c>
      <c r="N164" s="4" t="s">
        <v>984</v>
      </c>
      <c r="O164" s="4" t="s">
        <v>685</v>
      </c>
      <c r="P164" s="4" t="s">
        <v>42</v>
      </c>
      <c r="Q164" s="50" t="s">
        <v>43</v>
      </c>
      <c r="R164" s="50"/>
      <c r="S164" s="50" t="s">
        <v>51</v>
      </c>
      <c r="T164" s="4" t="s">
        <v>43</v>
      </c>
      <c r="U164" s="4" t="s">
        <v>43</v>
      </c>
    </row>
    <row r="165" spans="3:21" hidden="1" x14ac:dyDescent="0.25">
      <c r="C165" s="4" t="s">
        <v>960</v>
      </c>
      <c r="D165" s="4" t="s">
        <v>961</v>
      </c>
      <c r="E165" s="4" t="s">
        <v>961</v>
      </c>
      <c r="F165" s="4">
        <v>5</v>
      </c>
      <c r="G165" s="4" t="s">
        <v>376</v>
      </c>
      <c r="H165" s="4" t="s">
        <v>81</v>
      </c>
      <c r="I165" s="4"/>
      <c r="J165" s="4" t="s">
        <v>160</v>
      </c>
      <c r="K165" s="4" t="s">
        <v>43</v>
      </c>
      <c r="L165" s="4" t="s">
        <v>353</v>
      </c>
      <c r="M165" s="4" t="s">
        <v>40</v>
      </c>
      <c r="N165" s="4" t="s">
        <v>378</v>
      </c>
      <c r="O165" s="4" t="s">
        <v>960</v>
      </c>
      <c r="P165" s="4" t="s">
        <v>42</v>
      </c>
      <c r="Q165" s="50" t="s">
        <v>43</v>
      </c>
      <c r="R165" s="50"/>
      <c r="S165" s="50" t="s">
        <v>931</v>
      </c>
      <c r="T165" s="4" t="s">
        <v>43</v>
      </c>
      <c r="U165" s="4" t="s">
        <v>43</v>
      </c>
    </row>
    <row r="166" spans="3:21" hidden="1" x14ac:dyDescent="0.25">
      <c r="C166" s="4" t="s">
        <v>754</v>
      </c>
      <c r="D166" s="4" t="s">
        <v>755</v>
      </c>
      <c r="E166" s="4" t="s">
        <v>755</v>
      </c>
      <c r="F166" s="4">
        <v>5</v>
      </c>
      <c r="G166" s="4" t="s">
        <v>376</v>
      </c>
      <c r="H166" s="4" t="s">
        <v>81</v>
      </c>
      <c r="I166" s="4"/>
      <c r="J166" s="4" t="s">
        <v>84</v>
      </c>
      <c r="K166" s="4" t="s">
        <v>440</v>
      </c>
      <c r="L166" s="4" t="s">
        <v>279</v>
      </c>
      <c r="M166" s="4" t="s">
        <v>55</v>
      </c>
      <c r="N166" s="4" t="s">
        <v>984</v>
      </c>
      <c r="O166" s="4" t="s">
        <v>754</v>
      </c>
      <c r="P166" s="4" t="s">
        <v>42</v>
      </c>
      <c r="Q166" s="50" t="s">
        <v>43</v>
      </c>
      <c r="R166" s="50"/>
      <c r="S166" s="50" t="s">
        <v>741</v>
      </c>
      <c r="T166" s="4" t="s">
        <v>43</v>
      </c>
      <c r="U166" s="4" t="s">
        <v>43</v>
      </c>
    </row>
    <row r="167" spans="3:21" hidden="1" x14ac:dyDescent="0.25">
      <c r="C167" s="4" t="s">
        <v>872</v>
      </c>
      <c r="D167" s="4" t="s">
        <v>873</v>
      </c>
      <c r="E167" s="4" t="s">
        <v>874</v>
      </c>
      <c r="F167" s="4">
        <v>3.93</v>
      </c>
      <c r="G167" s="4" t="s">
        <v>376</v>
      </c>
      <c r="H167" s="4" t="s">
        <v>81</v>
      </c>
      <c r="I167" s="4"/>
      <c r="J167" s="4" t="s">
        <v>132</v>
      </c>
      <c r="K167" s="4" t="s">
        <v>43</v>
      </c>
      <c r="L167" s="4" t="s">
        <v>138</v>
      </c>
      <c r="M167" s="4" t="s">
        <v>40</v>
      </c>
      <c r="N167" s="4" t="s">
        <v>514</v>
      </c>
      <c r="O167" s="4" t="s">
        <v>872</v>
      </c>
      <c r="P167" s="4" t="s">
        <v>42</v>
      </c>
      <c r="Q167" s="50" t="s">
        <v>43</v>
      </c>
      <c r="R167" s="50"/>
      <c r="S167" s="50" t="s">
        <v>847</v>
      </c>
      <c r="T167" s="4" t="s">
        <v>43</v>
      </c>
      <c r="U167" s="4" t="s">
        <v>32</v>
      </c>
    </row>
    <row r="168" spans="3:21" hidden="1" x14ac:dyDescent="0.25">
      <c r="C168" s="4" t="s">
        <v>117</v>
      </c>
      <c r="D168" s="4" t="s">
        <v>118</v>
      </c>
      <c r="E168" s="4" t="s">
        <v>118</v>
      </c>
      <c r="F168" s="4" t="s">
        <v>36</v>
      </c>
      <c r="G168" s="4" t="s">
        <v>37</v>
      </c>
      <c r="H168" s="4" t="s">
        <v>81</v>
      </c>
      <c r="I168" s="4"/>
      <c r="J168" s="4">
        <v>0</v>
      </c>
      <c r="K168" s="4"/>
      <c r="L168" s="4" t="s">
        <v>59</v>
      </c>
      <c r="M168" s="4" t="s">
        <v>40</v>
      </c>
      <c r="N168" s="4">
        <v>0</v>
      </c>
      <c r="O168" s="4" t="s">
        <v>117</v>
      </c>
      <c r="P168" s="4" t="s">
        <v>42</v>
      </c>
      <c r="Q168" s="50" t="s">
        <v>43</v>
      </c>
      <c r="R168" s="50"/>
      <c r="S168" s="50">
        <v>0</v>
      </c>
      <c r="T168" s="4" t="s">
        <v>43</v>
      </c>
      <c r="U168" s="4" t="s">
        <v>43</v>
      </c>
    </row>
    <row r="169" spans="3:21" hidden="1" x14ac:dyDescent="0.25">
      <c r="C169" s="4" t="s">
        <v>594</v>
      </c>
      <c r="D169" s="4" t="s">
        <v>595</v>
      </c>
      <c r="E169" s="4" t="s">
        <v>595</v>
      </c>
      <c r="F169" s="4">
        <v>5</v>
      </c>
      <c r="G169" s="4" t="s">
        <v>376</v>
      </c>
      <c r="H169" s="4" t="s">
        <v>81</v>
      </c>
      <c r="I169" s="4"/>
      <c r="J169" s="4" t="s">
        <v>50</v>
      </c>
      <c r="K169" s="4" t="s">
        <v>43</v>
      </c>
      <c r="L169" s="4" t="s">
        <v>596</v>
      </c>
      <c r="M169" s="4" t="s">
        <v>40</v>
      </c>
      <c r="N169" s="4" t="s">
        <v>422</v>
      </c>
      <c r="O169" s="4" t="s">
        <v>594</v>
      </c>
      <c r="P169" s="4" t="s">
        <v>42</v>
      </c>
      <c r="Q169" s="50" t="s">
        <v>43</v>
      </c>
      <c r="R169" s="50"/>
      <c r="S169" s="50" t="s">
        <v>597</v>
      </c>
      <c r="T169" s="82" t="s">
        <v>440</v>
      </c>
      <c r="U169" s="4" t="s">
        <v>43</v>
      </c>
    </row>
    <row r="170" spans="3:21" hidden="1" x14ac:dyDescent="0.25">
      <c r="C170" s="4" t="s">
        <v>119</v>
      </c>
      <c r="D170" s="4" t="s">
        <v>120</v>
      </c>
      <c r="E170" s="4" t="s">
        <v>120</v>
      </c>
      <c r="F170" s="4" t="s">
        <v>36</v>
      </c>
      <c r="G170" s="4" t="s">
        <v>37</v>
      </c>
      <c r="H170" s="4" t="s">
        <v>81</v>
      </c>
      <c r="I170" s="4"/>
      <c r="J170" s="4" t="s">
        <v>63</v>
      </c>
      <c r="K170" s="4"/>
      <c r="L170" s="4" t="s">
        <v>64</v>
      </c>
      <c r="M170" s="4" t="s">
        <v>40</v>
      </c>
      <c r="N170" s="4" t="s">
        <v>378</v>
      </c>
      <c r="O170" s="4" t="s">
        <v>119</v>
      </c>
      <c r="P170" s="4" t="s">
        <v>42</v>
      </c>
      <c r="Q170" s="50" t="s">
        <v>43</v>
      </c>
      <c r="R170" s="50"/>
      <c r="S170" s="50">
        <v>0</v>
      </c>
      <c r="T170" s="4" t="s">
        <v>43</v>
      </c>
      <c r="U170" s="4" t="s">
        <v>43</v>
      </c>
    </row>
    <row r="171" spans="3:21" hidden="1" x14ac:dyDescent="0.25">
      <c r="C171" s="4" t="s">
        <v>121</v>
      </c>
      <c r="D171" s="4" t="s">
        <v>122</v>
      </c>
      <c r="E171" s="4" t="s">
        <v>123</v>
      </c>
      <c r="F171" s="4" t="s">
        <v>36</v>
      </c>
      <c r="G171" s="4" t="s">
        <v>37</v>
      </c>
      <c r="H171" s="4" t="s">
        <v>81</v>
      </c>
      <c r="I171" s="4"/>
      <c r="J171" s="4" t="s">
        <v>73</v>
      </c>
      <c r="K171" s="4"/>
      <c r="L171" s="4" t="s">
        <v>122</v>
      </c>
      <c r="M171" s="4" t="s">
        <v>104</v>
      </c>
      <c r="N171" s="4" t="s">
        <v>514</v>
      </c>
      <c r="O171" s="4" t="s">
        <v>121</v>
      </c>
      <c r="P171" s="4" t="s">
        <v>42</v>
      </c>
      <c r="Q171" s="50" t="s">
        <v>43</v>
      </c>
      <c r="R171" s="50"/>
      <c r="S171" s="50">
        <v>0</v>
      </c>
      <c r="T171" s="4" t="s">
        <v>43</v>
      </c>
      <c r="U171" s="4" t="s">
        <v>43</v>
      </c>
    </row>
    <row r="172" spans="3:21" hidden="1" x14ac:dyDescent="0.25">
      <c r="C172" s="4" t="s">
        <v>124</v>
      </c>
      <c r="D172" s="4" t="s">
        <v>125</v>
      </c>
      <c r="E172" s="4" t="s">
        <v>125</v>
      </c>
      <c r="F172" s="4" t="s">
        <v>36</v>
      </c>
      <c r="G172" s="4" t="s">
        <v>37</v>
      </c>
      <c r="H172" s="4" t="s">
        <v>81</v>
      </c>
      <c r="I172" s="4"/>
      <c r="J172" s="4">
        <v>0</v>
      </c>
      <c r="K172" s="4"/>
      <c r="L172" s="4" t="s">
        <v>51</v>
      </c>
      <c r="M172" s="4" t="s">
        <v>40</v>
      </c>
      <c r="N172" s="4">
        <v>0</v>
      </c>
      <c r="O172" s="4" t="s">
        <v>124</v>
      </c>
      <c r="P172" s="4" t="s">
        <v>42</v>
      </c>
      <c r="Q172" s="50" t="s">
        <v>43</v>
      </c>
      <c r="R172" s="50"/>
      <c r="S172" s="50">
        <v>0</v>
      </c>
      <c r="T172" s="4" t="s">
        <v>43</v>
      </c>
      <c r="U172" s="4" t="s">
        <v>43</v>
      </c>
    </row>
    <row r="173" spans="3:21" hidden="1" x14ac:dyDescent="0.25">
      <c r="C173" s="4" t="s">
        <v>126</v>
      </c>
      <c r="D173" s="4" t="s">
        <v>127</v>
      </c>
      <c r="E173" s="4" t="s">
        <v>128</v>
      </c>
      <c r="F173" s="4" t="s">
        <v>36</v>
      </c>
      <c r="G173" s="4" t="s">
        <v>37</v>
      </c>
      <c r="H173" s="4" t="s">
        <v>81</v>
      </c>
      <c r="I173" s="4"/>
      <c r="J173" s="4" t="s">
        <v>73</v>
      </c>
      <c r="K173" s="4"/>
      <c r="L173" s="4" t="s">
        <v>129</v>
      </c>
      <c r="M173" s="4" t="s">
        <v>116</v>
      </c>
      <c r="N173" s="4" t="s">
        <v>514</v>
      </c>
      <c r="O173" s="4" t="s">
        <v>126</v>
      </c>
      <c r="P173" s="4" t="s">
        <v>42</v>
      </c>
      <c r="Q173" s="50" t="s">
        <v>43</v>
      </c>
      <c r="R173" s="50"/>
      <c r="S173" s="50">
        <v>0</v>
      </c>
      <c r="T173" s="4" t="s">
        <v>43</v>
      </c>
      <c r="U173" s="4" t="s">
        <v>43</v>
      </c>
    </row>
    <row r="174" spans="3:21" hidden="1" x14ac:dyDescent="0.25">
      <c r="C174" s="4" t="s">
        <v>546</v>
      </c>
      <c r="D174" s="4" t="s">
        <v>547</v>
      </c>
      <c r="E174" s="4" t="s">
        <v>547</v>
      </c>
      <c r="F174" s="4">
        <v>5</v>
      </c>
      <c r="G174" s="4" t="s">
        <v>376</v>
      </c>
      <c r="H174" s="4" t="s">
        <v>46</v>
      </c>
      <c r="I174" s="4"/>
      <c r="J174" s="4" t="s">
        <v>100</v>
      </c>
      <c r="K174" s="4" t="s">
        <v>43</v>
      </c>
      <c r="L174" s="4" t="s">
        <v>138</v>
      </c>
      <c r="M174" s="4" t="s">
        <v>40</v>
      </c>
      <c r="N174" s="4" t="s">
        <v>514</v>
      </c>
      <c r="O174" s="4" t="s">
        <v>546</v>
      </c>
      <c r="P174" s="4" t="s">
        <v>42</v>
      </c>
      <c r="Q174" s="50" t="s">
        <v>43</v>
      </c>
      <c r="R174" s="50"/>
      <c r="S174" s="50" t="s">
        <v>515</v>
      </c>
      <c r="T174" s="4" t="s">
        <v>43</v>
      </c>
      <c r="U174" s="4" t="s">
        <v>43</v>
      </c>
    </row>
    <row r="175" spans="3:21" hidden="1" x14ac:dyDescent="0.25">
      <c r="C175" s="4" t="s">
        <v>130</v>
      </c>
      <c r="D175" s="4" t="s">
        <v>131</v>
      </c>
      <c r="E175" s="4" t="s">
        <v>131</v>
      </c>
      <c r="F175" s="4" t="s">
        <v>36</v>
      </c>
      <c r="G175" s="4" t="s">
        <v>37</v>
      </c>
      <c r="H175" s="4" t="s">
        <v>81</v>
      </c>
      <c r="I175" s="4"/>
      <c r="J175" s="4" t="s">
        <v>132</v>
      </c>
      <c r="K175" s="4"/>
      <c r="L175" s="4" t="s">
        <v>133</v>
      </c>
      <c r="M175" s="4" t="s">
        <v>40</v>
      </c>
      <c r="N175" s="4" t="s">
        <v>514</v>
      </c>
      <c r="O175" s="4" t="s">
        <v>130</v>
      </c>
      <c r="P175" s="4" t="s">
        <v>42</v>
      </c>
      <c r="Q175" s="50" t="s">
        <v>43</v>
      </c>
      <c r="R175" s="50"/>
      <c r="S175" s="50">
        <v>0</v>
      </c>
      <c r="T175" s="4" t="s">
        <v>43</v>
      </c>
      <c r="U175" s="4" t="s">
        <v>43</v>
      </c>
    </row>
    <row r="176" spans="3:21" hidden="1" x14ac:dyDescent="0.25">
      <c r="C176" s="4" t="s">
        <v>134</v>
      </c>
      <c r="D176" s="4" t="s">
        <v>135</v>
      </c>
      <c r="E176" s="4" t="s">
        <v>135</v>
      </c>
      <c r="F176" s="4" t="s">
        <v>36</v>
      </c>
      <c r="G176" s="4" t="s">
        <v>37</v>
      </c>
      <c r="H176" s="4" t="s">
        <v>81</v>
      </c>
      <c r="I176" s="4"/>
      <c r="J176" s="4" t="s">
        <v>132</v>
      </c>
      <c r="K176" s="4"/>
      <c r="L176" s="4" t="s">
        <v>51</v>
      </c>
      <c r="M176" s="4" t="s">
        <v>40</v>
      </c>
      <c r="N176" s="4" t="s">
        <v>514</v>
      </c>
      <c r="O176" s="4" t="s">
        <v>134</v>
      </c>
      <c r="P176" s="4" t="s">
        <v>42</v>
      </c>
      <c r="Q176" s="50" t="s">
        <v>43</v>
      </c>
      <c r="R176" s="50"/>
      <c r="S176" s="50">
        <v>0</v>
      </c>
      <c r="T176" s="4" t="s">
        <v>43</v>
      </c>
      <c r="U176" s="4" t="s">
        <v>43</v>
      </c>
    </row>
    <row r="177" spans="3:21" hidden="1" x14ac:dyDescent="0.25">
      <c r="C177" s="4" t="s">
        <v>136</v>
      </c>
      <c r="D177" s="4" t="s">
        <v>137</v>
      </c>
      <c r="E177" s="4" t="s">
        <v>137</v>
      </c>
      <c r="F177" s="4" t="s">
        <v>36</v>
      </c>
      <c r="G177" s="4" t="s">
        <v>37</v>
      </c>
      <c r="H177" s="4" t="s">
        <v>88</v>
      </c>
      <c r="I177" s="4"/>
      <c r="J177" s="4" t="s">
        <v>58</v>
      </c>
      <c r="K177" s="4"/>
      <c r="L177" s="4" t="s">
        <v>138</v>
      </c>
      <c r="M177" s="4" t="s">
        <v>40</v>
      </c>
      <c r="N177" s="4" t="s">
        <v>378</v>
      </c>
      <c r="O177" s="4" t="s">
        <v>136</v>
      </c>
      <c r="P177" s="4" t="s">
        <v>42</v>
      </c>
      <c r="Q177" s="50" t="s">
        <v>43</v>
      </c>
      <c r="R177" s="50"/>
      <c r="S177" s="50">
        <v>0</v>
      </c>
      <c r="T177" s="4" t="s">
        <v>43</v>
      </c>
      <c r="U177" s="4" t="s">
        <v>43</v>
      </c>
    </row>
    <row r="178" spans="3:21" hidden="1" x14ac:dyDescent="0.25">
      <c r="C178" s="4" t="s">
        <v>139</v>
      </c>
      <c r="D178" s="4" t="s">
        <v>140</v>
      </c>
      <c r="E178" s="4" t="s">
        <v>140</v>
      </c>
      <c r="F178" s="4" t="s">
        <v>36</v>
      </c>
      <c r="G178" s="4" t="s">
        <v>37</v>
      </c>
      <c r="H178" s="4" t="s">
        <v>88</v>
      </c>
      <c r="I178" s="4"/>
      <c r="J178" s="4" t="s">
        <v>89</v>
      </c>
      <c r="K178" s="4"/>
      <c r="L178" s="4" t="s">
        <v>109</v>
      </c>
      <c r="M178" s="4" t="s">
        <v>91</v>
      </c>
      <c r="N178" s="4" t="s">
        <v>378</v>
      </c>
      <c r="O178" s="4" t="s">
        <v>139</v>
      </c>
      <c r="P178" s="4" t="s">
        <v>42</v>
      </c>
      <c r="Q178" s="50" t="s">
        <v>43</v>
      </c>
      <c r="R178" s="50"/>
      <c r="S178" s="50">
        <v>0</v>
      </c>
      <c r="T178" s="4" t="s">
        <v>43</v>
      </c>
      <c r="U178" s="4" t="s">
        <v>43</v>
      </c>
    </row>
    <row r="179" spans="3:21" hidden="1" x14ac:dyDescent="0.25">
      <c r="C179" s="4" t="s">
        <v>411</v>
      </c>
      <c r="D179" s="4" t="s">
        <v>412</v>
      </c>
      <c r="E179" s="4" t="s">
        <v>412</v>
      </c>
      <c r="F179" s="4">
        <v>5</v>
      </c>
      <c r="G179" s="4" t="s">
        <v>376</v>
      </c>
      <c r="H179" s="4" t="s">
        <v>46</v>
      </c>
      <c r="I179" s="4"/>
      <c r="J179" s="4" t="s">
        <v>63</v>
      </c>
      <c r="K179" s="4" t="s">
        <v>43</v>
      </c>
      <c r="L179" s="4" t="s">
        <v>138</v>
      </c>
      <c r="M179" s="4" t="s">
        <v>40</v>
      </c>
      <c r="N179" s="4" t="s">
        <v>378</v>
      </c>
      <c r="O179" s="4" t="s">
        <v>411</v>
      </c>
      <c r="P179" s="4" t="s">
        <v>42</v>
      </c>
      <c r="Q179" s="50" t="s">
        <v>43</v>
      </c>
      <c r="R179" s="50"/>
      <c r="S179" s="50" t="s">
        <v>380</v>
      </c>
      <c r="T179" s="4" t="s">
        <v>43</v>
      </c>
      <c r="U179" s="4" t="s">
        <v>43</v>
      </c>
    </row>
    <row r="180" spans="3:21" hidden="1" x14ac:dyDescent="0.25">
      <c r="C180" s="4" t="s">
        <v>578</v>
      </c>
      <c r="D180" s="4" t="s">
        <v>579</v>
      </c>
      <c r="E180" s="4" t="s">
        <v>579</v>
      </c>
      <c r="F180" s="4">
        <v>5</v>
      </c>
      <c r="G180" s="4" t="s">
        <v>376</v>
      </c>
      <c r="H180" s="4" t="s">
        <v>46</v>
      </c>
      <c r="I180" s="4"/>
      <c r="J180" s="4" t="s">
        <v>331</v>
      </c>
      <c r="K180" s="4" t="s">
        <v>43</v>
      </c>
      <c r="L180" s="4" t="s">
        <v>138</v>
      </c>
      <c r="M180" s="4" t="s">
        <v>40</v>
      </c>
      <c r="N180" s="4" t="s">
        <v>422</v>
      </c>
      <c r="O180" s="4" t="s">
        <v>578</v>
      </c>
      <c r="P180" s="4" t="s">
        <v>42</v>
      </c>
      <c r="Q180" s="50" t="s">
        <v>43</v>
      </c>
      <c r="R180" s="50"/>
      <c r="S180" s="50" t="s">
        <v>557</v>
      </c>
      <c r="T180" s="4" t="s">
        <v>43</v>
      </c>
      <c r="U180" s="4" t="s">
        <v>43</v>
      </c>
    </row>
    <row r="181" spans="3:21" hidden="1" x14ac:dyDescent="0.25">
      <c r="C181" s="4" t="s">
        <v>908</v>
      </c>
      <c r="D181" s="4" t="s">
        <v>909</v>
      </c>
      <c r="E181" s="4" t="s">
        <v>910</v>
      </c>
      <c r="F181" s="4">
        <v>5</v>
      </c>
      <c r="G181" s="4" t="s">
        <v>37</v>
      </c>
      <c r="H181" s="4" t="s">
        <v>81</v>
      </c>
      <c r="I181" s="4"/>
      <c r="J181" s="4" t="s">
        <v>73</v>
      </c>
      <c r="K181" s="4"/>
      <c r="L181" s="4" t="s">
        <v>911</v>
      </c>
      <c r="M181" s="4" t="s">
        <v>40</v>
      </c>
      <c r="N181" s="4" t="s">
        <v>514</v>
      </c>
      <c r="O181" s="4" t="s">
        <v>908</v>
      </c>
      <c r="P181" s="4" t="s">
        <v>42</v>
      </c>
      <c r="Q181" s="50" t="s">
        <v>43</v>
      </c>
      <c r="R181" s="50"/>
      <c r="S181" s="50" t="s">
        <v>886</v>
      </c>
      <c r="T181" s="4" t="s">
        <v>43</v>
      </c>
      <c r="U181" s="4" t="s">
        <v>43</v>
      </c>
    </row>
    <row r="182" spans="3:21" hidden="1" x14ac:dyDescent="0.25">
      <c r="C182" s="4" t="s">
        <v>413</v>
      </c>
      <c r="D182" s="4" t="s">
        <v>414</v>
      </c>
      <c r="E182" s="4" t="s">
        <v>414</v>
      </c>
      <c r="F182" s="4">
        <v>5</v>
      </c>
      <c r="G182" s="4" t="s">
        <v>376</v>
      </c>
      <c r="H182" s="4" t="s">
        <v>46</v>
      </c>
      <c r="I182" s="4"/>
      <c r="J182" s="4" t="s">
        <v>63</v>
      </c>
      <c r="K182" s="4" t="s">
        <v>43</v>
      </c>
      <c r="L182" s="4" t="s">
        <v>138</v>
      </c>
      <c r="M182" s="4" t="s">
        <v>40</v>
      </c>
      <c r="N182" s="4" t="s">
        <v>378</v>
      </c>
      <c r="O182" s="4" t="s">
        <v>413</v>
      </c>
      <c r="P182" s="4" t="s">
        <v>42</v>
      </c>
      <c r="Q182" s="50" t="s">
        <v>43</v>
      </c>
      <c r="R182" s="50"/>
      <c r="S182" s="50" t="s">
        <v>380</v>
      </c>
      <c r="T182" s="4" t="s">
        <v>43</v>
      </c>
      <c r="U182" s="4" t="s">
        <v>43</v>
      </c>
    </row>
    <row r="183" spans="3:21" hidden="1" x14ac:dyDescent="0.25">
      <c r="C183" s="4" t="s">
        <v>580</v>
      </c>
      <c r="D183" s="4" t="s">
        <v>581</v>
      </c>
      <c r="E183" s="4" t="s">
        <v>581</v>
      </c>
      <c r="F183" s="4">
        <v>5</v>
      </c>
      <c r="G183" s="4" t="s">
        <v>376</v>
      </c>
      <c r="H183" s="4" t="s">
        <v>46</v>
      </c>
      <c r="I183" s="4"/>
      <c r="J183" s="4" t="s">
        <v>331</v>
      </c>
      <c r="K183" s="4" t="s">
        <v>43</v>
      </c>
      <c r="L183" s="4" t="s">
        <v>138</v>
      </c>
      <c r="M183" s="4" t="s">
        <v>40</v>
      </c>
      <c r="N183" s="4" t="s">
        <v>422</v>
      </c>
      <c r="O183" s="4" t="s">
        <v>580</v>
      </c>
      <c r="P183" s="4" t="s">
        <v>42</v>
      </c>
      <c r="Q183" s="50" t="s">
        <v>43</v>
      </c>
      <c r="R183" s="50"/>
      <c r="S183" s="50" t="s">
        <v>557</v>
      </c>
      <c r="T183" s="4" t="s">
        <v>43</v>
      </c>
      <c r="U183" s="4" t="s">
        <v>43</v>
      </c>
    </row>
    <row r="184" spans="3:21" hidden="1" x14ac:dyDescent="0.25">
      <c r="C184" s="4" t="s">
        <v>756</v>
      </c>
      <c r="D184" s="4" t="s">
        <v>757</v>
      </c>
      <c r="E184" s="4" t="s">
        <v>757</v>
      </c>
      <c r="F184" s="4">
        <v>5</v>
      </c>
      <c r="G184" s="4" t="s">
        <v>376</v>
      </c>
      <c r="H184" s="4" t="s">
        <v>46</v>
      </c>
      <c r="I184" s="4"/>
      <c r="J184" s="4" t="s">
        <v>84</v>
      </c>
      <c r="K184" s="4" t="s">
        <v>440</v>
      </c>
      <c r="L184" s="4" t="s">
        <v>54</v>
      </c>
      <c r="M184" s="4" t="s">
        <v>55</v>
      </c>
      <c r="N184" s="4" t="s">
        <v>984</v>
      </c>
      <c r="O184" s="4" t="s">
        <v>756</v>
      </c>
      <c r="P184" s="4" t="s">
        <v>42</v>
      </c>
      <c r="Q184" s="50" t="s">
        <v>43</v>
      </c>
      <c r="R184" s="50"/>
      <c r="S184" s="50" t="s">
        <v>741</v>
      </c>
      <c r="T184" s="4" t="s">
        <v>43</v>
      </c>
      <c r="U184" s="4" t="s">
        <v>43</v>
      </c>
    </row>
    <row r="185" spans="3:21" hidden="1" x14ac:dyDescent="0.25">
      <c r="C185" s="4" t="s">
        <v>812</v>
      </c>
      <c r="D185" s="4" t="s">
        <v>813</v>
      </c>
      <c r="E185" s="4" t="s">
        <v>813</v>
      </c>
      <c r="F185" s="4">
        <v>5</v>
      </c>
      <c r="G185" s="4" t="s">
        <v>376</v>
      </c>
      <c r="H185" s="4" t="s">
        <v>46</v>
      </c>
      <c r="I185" s="4"/>
      <c r="J185" s="4" t="s">
        <v>146</v>
      </c>
      <c r="K185" s="4" t="s">
        <v>43</v>
      </c>
      <c r="L185" s="4" t="s">
        <v>59</v>
      </c>
      <c r="M185" s="4" t="s">
        <v>40</v>
      </c>
      <c r="N185" s="4" t="s">
        <v>984</v>
      </c>
      <c r="O185" s="4" t="s">
        <v>812</v>
      </c>
      <c r="P185" s="4" t="s">
        <v>42</v>
      </c>
      <c r="Q185" s="50" t="s">
        <v>43</v>
      </c>
      <c r="R185" s="50"/>
      <c r="S185" s="50" t="s">
        <v>799</v>
      </c>
      <c r="T185" s="4" t="s">
        <v>43</v>
      </c>
      <c r="U185" s="4" t="s">
        <v>43</v>
      </c>
    </row>
    <row r="186" spans="3:21" hidden="1" x14ac:dyDescent="0.25">
      <c r="C186" s="4" t="s">
        <v>141</v>
      </c>
      <c r="D186" s="4" t="s">
        <v>142</v>
      </c>
      <c r="E186" s="4" t="s">
        <v>142</v>
      </c>
      <c r="F186" s="4" t="s">
        <v>36</v>
      </c>
      <c r="G186" s="4" t="s">
        <v>37</v>
      </c>
      <c r="H186" s="4" t="s">
        <v>81</v>
      </c>
      <c r="I186" s="4"/>
      <c r="J186" s="4">
        <v>0</v>
      </c>
      <c r="K186" s="4"/>
      <c r="L186" s="4" t="s">
        <v>143</v>
      </c>
      <c r="M186" s="4" t="s">
        <v>40</v>
      </c>
      <c r="N186" s="4">
        <v>0</v>
      </c>
      <c r="O186" s="4" t="s">
        <v>141</v>
      </c>
      <c r="P186" s="4" t="s">
        <v>42</v>
      </c>
      <c r="Q186" s="50" t="s">
        <v>43</v>
      </c>
      <c r="R186" s="50"/>
      <c r="S186" s="50">
        <v>0</v>
      </c>
      <c r="T186" s="4" t="s">
        <v>43</v>
      </c>
      <c r="U186" s="4" t="s">
        <v>43</v>
      </c>
    </row>
    <row r="187" spans="3:21" hidden="1" x14ac:dyDescent="0.25">
      <c r="C187" s="4" t="s">
        <v>437</v>
      </c>
      <c r="D187" s="4" t="s">
        <v>438</v>
      </c>
      <c r="E187" s="4" t="s">
        <v>439</v>
      </c>
      <c r="F187" s="4">
        <v>5</v>
      </c>
      <c r="G187" s="4" t="s">
        <v>376</v>
      </c>
      <c r="H187" s="4" t="s">
        <v>81</v>
      </c>
      <c r="I187" s="4"/>
      <c r="J187" s="4" t="s">
        <v>94</v>
      </c>
      <c r="K187" s="4" t="s">
        <v>43</v>
      </c>
      <c r="L187" s="4" t="s">
        <v>64</v>
      </c>
      <c r="M187" s="4" t="s">
        <v>40</v>
      </c>
      <c r="N187" s="4" t="s">
        <v>422</v>
      </c>
      <c r="O187" s="4" t="s">
        <v>437</v>
      </c>
      <c r="P187" s="4" t="s">
        <v>42</v>
      </c>
      <c r="Q187" s="50" t="s">
        <v>43</v>
      </c>
      <c r="R187" s="50"/>
      <c r="S187" s="50" t="s">
        <v>423</v>
      </c>
      <c r="T187" s="82" t="s">
        <v>440</v>
      </c>
      <c r="U187" s="4" t="s">
        <v>43</v>
      </c>
    </row>
    <row r="188" spans="3:21" hidden="1" x14ac:dyDescent="0.25">
      <c r="C188" s="4" t="s">
        <v>497</v>
      </c>
      <c r="D188" s="4" t="s">
        <v>498</v>
      </c>
      <c r="E188" s="4" t="s">
        <v>499</v>
      </c>
      <c r="F188" s="4">
        <v>5</v>
      </c>
      <c r="G188" s="4" t="s">
        <v>376</v>
      </c>
      <c r="H188" s="4" t="s">
        <v>46</v>
      </c>
      <c r="I188" s="4"/>
      <c r="J188" s="4" t="s">
        <v>466</v>
      </c>
      <c r="K188" s="4" t="s">
        <v>43</v>
      </c>
      <c r="L188" s="4" t="s">
        <v>51</v>
      </c>
      <c r="M188" s="4" t="s">
        <v>40</v>
      </c>
      <c r="N188" s="4" t="s">
        <v>378</v>
      </c>
      <c r="O188" s="4" t="s">
        <v>497</v>
      </c>
      <c r="P188" s="4" t="s">
        <v>42</v>
      </c>
      <c r="Q188" s="50" t="s">
        <v>43</v>
      </c>
      <c r="R188" s="50"/>
      <c r="S188" s="50" t="s">
        <v>467</v>
      </c>
      <c r="T188" s="4" t="s">
        <v>43</v>
      </c>
      <c r="U188" s="4" t="s">
        <v>43</v>
      </c>
    </row>
    <row r="189" spans="3:21" hidden="1" x14ac:dyDescent="0.25">
      <c r="C189" s="4" t="s">
        <v>144</v>
      </c>
      <c r="D189" s="4" t="s">
        <v>145</v>
      </c>
      <c r="E189" s="4" t="s">
        <v>145</v>
      </c>
      <c r="F189" s="4" t="s">
        <v>36</v>
      </c>
      <c r="G189" s="4" t="s">
        <v>37</v>
      </c>
      <c r="H189" s="4" t="s">
        <v>46</v>
      </c>
      <c r="I189" s="4"/>
      <c r="J189" s="4" t="s">
        <v>146</v>
      </c>
      <c r="K189" s="4"/>
      <c r="L189" s="4" t="s">
        <v>138</v>
      </c>
      <c r="M189" s="4" t="s">
        <v>40</v>
      </c>
      <c r="N189" s="4" t="s">
        <v>984</v>
      </c>
      <c r="O189" s="4" t="s">
        <v>144</v>
      </c>
      <c r="P189" s="4" t="s">
        <v>42</v>
      </c>
      <c r="Q189" s="50" t="s">
        <v>43</v>
      </c>
      <c r="R189" s="50"/>
      <c r="S189" s="50">
        <v>0</v>
      </c>
      <c r="T189" s="4" t="s">
        <v>43</v>
      </c>
      <c r="U189" s="4" t="s">
        <v>43</v>
      </c>
    </row>
    <row r="190" spans="3:21" hidden="1" x14ac:dyDescent="0.25">
      <c r="C190" s="4" t="s">
        <v>784</v>
      </c>
      <c r="D190" s="4" t="s">
        <v>785</v>
      </c>
      <c r="E190" s="4" t="s">
        <v>785</v>
      </c>
      <c r="F190" s="4">
        <v>5.45</v>
      </c>
      <c r="G190" s="4" t="s">
        <v>376</v>
      </c>
      <c r="H190" s="4" t="s">
        <v>46</v>
      </c>
      <c r="I190" s="4"/>
      <c r="J190" s="4" t="s">
        <v>89</v>
      </c>
      <c r="K190" s="4" t="s">
        <v>43</v>
      </c>
      <c r="L190" s="4" t="s">
        <v>109</v>
      </c>
      <c r="M190" s="4" t="s">
        <v>91</v>
      </c>
      <c r="N190" s="4" t="s">
        <v>378</v>
      </c>
      <c r="O190" s="4" t="s">
        <v>784</v>
      </c>
      <c r="P190" s="4" t="s">
        <v>42</v>
      </c>
      <c r="Q190" s="50" t="s">
        <v>43</v>
      </c>
      <c r="R190" s="50"/>
      <c r="S190" s="50" t="s">
        <v>772</v>
      </c>
      <c r="T190" s="4" t="s">
        <v>43</v>
      </c>
      <c r="U190" s="4" t="s">
        <v>43</v>
      </c>
    </row>
    <row r="191" spans="3:21" hidden="1" x14ac:dyDescent="0.25">
      <c r="C191" s="4" t="s">
        <v>147</v>
      </c>
      <c r="D191" s="4" t="s">
        <v>148</v>
      </c>
      <c r="E191" s="4" t="s">
        <v>148</v>
      </c>
      <c r="F191" s="4" t="s">
        <v>36</v>
      </c>
      <c r="G191" s="4" t="s">
        <v>37</v>
      </c>
      <c r="H191" s="4" t="s">
        <v>46</v>
      </c>
      <c r="I191" s="4"/>
      <c r="J191" s="4" t="s">
        <v>50</v>
      </c>
      <c r="K191" s="4"/>
      <c r="L191" s="4" t="s">
        <v>51</v>
      </c>
      <c r="M191" s="4" t="s">
        <v>40</v>
      </c>
      <c r="N191" s="4" t="s">
        <v>422</v>
      </c>
      <c r="O191" s="4" t="s">
        <v>147</v>
      </c>
      <c r="P191" s="4" t="s">
        <v>42</v>
      </c>
      <c r="Q191" s="50" t="s">
        <v>43</v>
      </c>
      <c r="R191" s="50"/>
      <c r="S191" s="50">
        <v>0</v>
      </c>
      <c r="T191" s="4" t="s">
        <v>43</v>
      </c>
      <c r="U191" s="4" t="s">
        <v>43</v>
      </c>
    </row>
    <row r="192" spans="3:21" hidden="1" x14ac:dyDescent="0.25">
      <c r="C192" s="4" t="s">
        <v>149</v>
      </c>
      <c r="D192" s="4" t="s">
        <v>150</v>
      </c>
      <c r="E192" s="4" t="s">
        <v>150</v>
      </c>
      <c r="F192" s="4" t="s">
        <v>36</v>
      </c>
      <c r="G192" s="4" t="s">
        <v>37</v>
      </c>
      <c r="H192" s="4" t="s">
        <v>81</v>
      </c>
      <c r="I192" s="4"/>
      <c r="J192" s="4" t="s">
        <v>100</v>
      </c>
      <c r="K192" s="4"/>
      <c r="L192" s="4" t="s">
        <v>59</v>
      </c>
      <c r="M192" s="4" t="s">
        <v>40</v>
      </c>
      <c r="N192" s="4" t="s">
        <v>514</v>
      </c>
      <c r="O192" s="4" t="s">
        <v>149</v>
      </c>
      <c r="P192" s="4" t="s">
        <v>42</v>
      </c>
      <c r="Q192" s="50" t="s">
        <v>43</v>
      </c>
      <c r="R192" s="50"/>
      <c r="S192" s="50">
        <v>0</v>
      </c>
      <c r="T192" s="4" t="s">
        <v>43</v>
      </c>
      <c r="U192" s="4" t="s">
        <v>43</v>
      </c>
    </row>
    <row r="193" spans="3:21" hidden="1" x14ac:dyDescent="0.25">
      <c r="C193" s="4" t="s">
        <v>151</v>
      </c>
      <c r="D193" s="4" t="s">
        <v>152</v>
      </c>
      <c r="E193" s="4" t="s">
        <v>152</v>
      </c>
      <c r="F193" s="4" t="s">
        <v>36</v>
      </c>
      <c r="G193" s="4" t="s">
        <v>37</v>
      </c>
      <c r="H193" s="4" t="s">
        <v>88</v>
      </c>
      <c r="I193" s="4"/>
      <c r="J193" s="4" t="s">
        <v>132</v>
      </c>
      <c r="K193" s="4"/>
      <c r="L193" s="4" t="s">
        <v>133</v>
      </c>
      <c r="M193" s="4" t="s">
        <v>40</v>
      </c>
      <c r="N193" s="4" t="s">
        <v>514</v>
      </c>
      <c r="O193" s="4" t="s">
        <v>151</v>
      </c>
      <c r="P193" s="4" t="s">
        <v>42</v>
      </c>
      <c r="Q193" s="50" t="s">
        <v>43</v>
      </c>
      <c r="R193" s="50"/>
      <c r="S193" s="50">
        <v>0</v>
      </c>
      <c r="T193" s="4" t="s">
        <v>43</v>
      </c>
      <c r="U193" s="4" t="s">
        <v>43</v>
      </c>
    </row>
    <row r="194" spans="3:21" hidden="1" x14ac:dyDescent="0.25">
      <c r="C194" s="4" t="s">
        <v>786</v>
      </c>
      <c r="D194" s="4" t="s">
        <v>787</v>
      </c>
      <c r="E194" s="4" t="s">
        <v>787</v>
      </c>
      <c r="F194" s="4">
        <v>5</v>
      </c>
      <c r="G194" s="4" t="s">
        <v>376</v>
      </c>
      <c r="H194" s="4" t="s">
        <v>81</v>
      </c>
      <c r="I194" s="4"/>
      <c r="J194" s="4" t="s">
        <v>89</v>
      </c>
      <c r="K194" s="4" t="s">
        <v>43</v>
      </c>
      <c r="L194" s="4" t="s">
        <v>109</v>
      </c>
      <c r="M194" s="4" t="s">
        <v>91</v>
      </c>
      <c r="N194" s="4" t="s">
        <v>378</v>
      </c>
      <c r="O194" s="4" t="s">
        <v>786</v>
      </c>
      <c r="P194" s="4" t="s">
        <v>42</v>
      </c>
      <c r="Q194" s="50" t="s">
        <v>43</v>
      </c>
      <c r="R194" s="50"/>
      <c r="S194" s="50" t="s">
        <v>772</v>
      </c>
      <c r="T194" s="4" t="s">
        <v>43</v>
      </c>
      <c r="U194" s="4" t="s">
        <v>43</v>
      </c>
    </row>
    <row r="195" spans="3:21" hidden="1" x14ac:dyDescent="0.25">
      <c r="C195" s="4" t="s">
        <v>582</v>
      </c>
      <c r="D195" s="4" t="s">
        <v>583</v>
      </c>
      <c r="E195" s="4" t="s">
        <v>583</v>
      </c>
      <c r="F195" s="4">
        <v>5</v>
      </c>
      <c r="G195" s="4" t="s">
        <v>376</v>
      </c>
      <c r="H195" s="4" t="s">
        <v>46</v>
      </c>
      <c r="I195" s="4"/>
      <c r="J195" s="4" t="s">
        <v>331</v>
      </c>
      <c r="K195" s="4" t="s">
        <v>43</v>
      </c>
      <c r="L195" s="4" t="s">
        <v>138</v>
      </c>
      <c r="M195" s="4" t="s">
        <v>40</v>
      </c>
      <c r="N195" s="4" t="s">
        <v>422</v>
      </c>
      <c r="O195" s="4" t="s">
        <v>582</v>
      </c>
      <c r="P195" s="4" t="s">
        <v>42</v>
      </c>
      <c r="Q195" s="50" t="s">
        <v>43</v>
      </c>
      <c r="R195" s="50"/>
      <c r="S195" s="50" t="s">
        <v>557</v>
      </c>
      <c r="T195" s="4" t="s">
        <v>43</v>
      </c>
      <c r="U195" s="4" t="s">
        <v>43</v>
      </c>
    </row>
    <row r="196" spans="3:21" hidden="1" x14ac:dyDescent="0.25">
      <c r="C196" s="4" t="s">
        <v>714</v>
      </c>
      <c r="D196" s="4" t="s">
        <v>715</v>
      </c>
      <c r="E196" s="4" t="s">
        <v>715</v>
      </c>
      <c r="F196" s="4">
        <v>5</v>
      </c>
      <c r="G196" s="4" t="s">
        <v>376</v>
      </c>
      <c r="H196" s="4" t="s">
        <v>46</v>
      </c>
      <c r="I196" s="4"/>
      <c r="J196" s="4" t="s">
        <v>84</v>
      </c>
      <c r="K196" s="4" t="s">
        <v>440</v>
      </c>
      <c r="L196" s="4" t="s">
        <v>54</v>
      </c>
      <c r="M196" s="4" t="s">
        <v>55</v>
      </c>
      <c r="N196" s="4" t="s">
        <v>984</v>
      </c>
      <c r="O196" s="4" t="s">
        <v>714</v>
      </c>
      <c r="P196" s="4" t="s">
        <v>42</v>
      </c>
      <c r="Q196" s="50" t="s">
        <v>43</v>
      </c>
      <c r="R196" s="50"/>
      <c r="S196" s="50" t="s">
        <v>702</v>
      </c>
      <c r="T196" s="4" t="s">
        <v>43</v>
      </c>
      <c r="U196" s="4" t="s">
        <v>43</v>
      </c>
    </row>
    <row r="197" spans="3:21" hidden="1" x14ac:dyDescent="0.25">
      <c r="C197" s="4" t="s">
        <v>153</v>
      </c>
      <c r="D197" s="4" t="s">
        <v>154</v>
      </c>
      <c r="E197" s="4" t="s">
        <v>155</v>
      </c>
      <c r="F197" s="4" t="s">
        <v>36</v>
      </c>
      <c r="G197" s="4" t="s">
        <v>37</v>
      </c>
      <c r="H197" s="4" t="s">
        <v>81</v>
      </c>
      <c r="I197" s="4"/>
      <c r="J197" s="4" t="s">
        <v>84</v>
      </c>
      <c r="K197" s="4"/>
      <c r="L197" s="4" t="s">
        <v>54</v>
      </c>
      <c r="M197" s="4" t="s">
        <v>55</v>
      </c>
      <c r="N197" s="4" t="s">
        <v>984</v>
      </c>
      <c r="O197" s="4" t="s">
        <v>153</v>
      </c>
      <c r="P197" s="4" t="s">
        <v>42</v>
      </c>
      <c r="Q197" s="50" t="s">
        <v>43</v>
      </c>
      <c r="R197" s="50"/>
      <c r="S197" s="50">
        <v>0</v>
      </c>
      <c r="T197" s="4" t="s">
        <v>43</v>
      </c>
      <c r="U197" s="4" t="s">
        <v>43</v>
      </c>
    </row>
    <row r="198" spans="3:21" hidden="1" x14ac:dyDescent="0.25">
      <c r="C198" s="4" t="s">
        <v>912</v>
      </c>
      <c r="D198" s="4" t="s">
        <v>913</v>
      </c>
      <c r="E198" s="4" t="s">
        <v>913</v>
      </c>
      <c r="F198" s="4">
        <v>5</v>
      </c>
      <c r="G198" s="4" t="s">
        <v>376</v>
      </c>
      <c r="H198" s="4" t="s">
        <v>81</v>
      </c>
      <c r="I198" s="4"/>
      <c r="J198" s="4" t="s">
        <v>73</v>
      </c>
      <c r="K198" s="4" t="s">
        <v>43</v>
      </c>
      <c r="L198" s="4" t="s">
        <v>914</v>
      </c>
      <c r="M198" s="4" t="s">
        <v>40</v>
      </c>
      <c r="N198" s="4" t="s">
        <v>514</v>
      </c>
      <c r="O198" s="4" t="s">
        <v>912</v>
      </c>
      <c r="P198" s="4" t="s">
        <v>42</v>
      </c>
      <c r="Q198" s="50" t="s">
        <v>43</v>
      </c>
      <c r="R198" s="50"/>
      <c r="S198" s="50" t="s">
        <v>886</v>
      </c>
      <c r="T198" s="4" t="s">
        <v>43</v>
      </c>
      <c r="U198" s="4" t="s">
        <v>43</v>
      </c>
    </row>
    <row r="199" spans="3:21" hidden="1" x14ac:dyDescent="0.25">
      <c r="C199" s="4" t="s">
        <v>500</v>
      </c>
      <c r="D199" s="4" t="s">
        <v>501</v>
      </c>
      <c r="E199" s="4" t="s">
        <v>501</v>
      </c>
      <c r="F199" s="4">
        <v>5</v>
      </c>
      <c r="G199" s="4" t="s">
        <v>376</v>
      </c>
      <c r="H199" s="4" t="s">
        <v>46</v>
      </c>
      <c r="I199" s="4"/>
      <c r="J199" s="4" t="s">
        <v>466</v>
      </c>
      <c r="K199" s="4" t="s">
        <v>43</v>
      </c>
      <c r="L199" s="4" t="s">
        <v>51</v>
      </c>
      <c r="M199" s="4" t="s">
        <v>40</v>
      </c>
      <c r="N199" s="4" t="s">
        <v>378</v>
      </c>
      <c r="O199" s="4" t="s">
        <v>500</v>
      </c>
      <c r="P199" s="4" t="s">
        <v>42</v>
      </c>
      <c r="Q199" s="50" t="s">
        <v>43</v>
      </c>
      <c r="R199" s="50"/>
      <c r="S199" s="50" t="s">
        <v>467</v>
      </c>
      <c r="T199" s="4" t="s">
        <v>43</v>
      </c>
      <c r="U199" s="4" t="s">
        <v>43</v>
      </c>
    </row>
    <row r="200" spans="3:21" hidden="1" x14ac:dyDescent="0.25">
      <c r="C200" s="4" t="s">
        <v>441</v>
      </c>
      <c r="D200" s="4" t="s">
        <v>442</v>
      </c>
      <c r="E200" s="4" t="s">
        <v>442</v>
      </c>
      <c r="F200" s="4">
        <v>5</v>
      </c>
      <c r="G200" s="4" t="s">
        <v>376</v>
      </c>
      <c r="H200" s="4" t="s">
        <v>46</v>
      </c>
      <c r="I200" s="4"/>
      <c r="J200" s="4" t="s">
        <v>94</v>
      </c>
      <c r="K200" s="4" t="s">
        <v>43</v>
      </c>
      <c r="L200" s="4" t="s">
        <v>64</v>
      </c>
      <c r="M200" s="4" t="s">
        <v>40</v>
      </c>
      <c r="N200" s="4" t="s">
        <v>422</v>
      </c>
      <c r="O200" s="4" t="s">
        <v>441</v>
      </c>
      <c r="P200" s="4" t="s">
        <v>42</v>
      </c>
      <c r="Q200" s="50" t="s">
        <v>43</v>
      </c>
      <c r="R200" s="50"/>
      <c r="S200" s="50" t="s">
        <v>423</v>
      </c>
      <c r="T200" s="4" t="s">
        <v>43</v>
      </c>
      <c r="U200" s="4" t="s">
        <v>43</v>
      </c>
    </row>
    <row r="201" spans="3:21" hidden="1" x14ac:dyDescent="0.25">
      <c r="C201" s="4" t="s">
        <v>156</v>
      </c>
      <c r="D201" s="4" t="s">
        <v>157</v>
      </c>
      <c r="E201" s="4" t="s">
        <v>157</v>
      </c>
      <c r="F201" s="4" t="s">
        <v>36</v>
      </c>
      <c r="G201" s="4" t="s">
        <v>37</v>
      </c>
      <c r="H201" s="4" t="s">
        <v>46</v>
      </c>
      <c r="I201" s="4"/>
      <c r="J201" s="4">
        <v>0</v>
      </c>
      <c r="K201" s="4"/>
      <c r="L201" s="4" t="s">
        <v>51</v>
      </c>
      <c r="M201" s="4" t="s">
        <v>40</v>
      </c>
      <c r="N201" s="4">
        <v>0</v>
      </c>
      <c r="O201" s="4" t="s">
        <v>156</v>
      </c>
      <c r="P201" s="4" t="s">
        <v>42</v>
      </c>
      <c r="Q201" s="50" t="s">
        <v>43</v>
      </c>
      <c r="R201" s="50"/>
      <c r="S201" s="50">
        <v>0</v>
      </c>
      <c r="T201" s="4" t="s">
        <v>43</v>
      </c>
      <c r="U201" s="4" t="s">
        <v>43</v>
      </c>
    </row>
    <row r="202" spans="3:21" hidden="1" x14ac:dyDescent="0.25">
      <c r="C202" s="4" t="s">
        <v>875</v>
      </c>
      <c r="D202" s="4" t="s">
        <v>876</v>
      </c>
      <c r="E202" s="4" t="s">
        <v>876</v>
      </c>
      <c r="F202" s="4">
        <v>3.93</v>
      </c>
      <c r="G202" s="4" t="s">
        <v>376</v>
      </c>
      <c r="H202" s="4" t="s">
        <v>81</v>
      </c>
      <c r="I202" s="4"/>
      <c r="J202" s="4" t="s">
        <v>132</v>
      </c>
      <c r="K202" s="4" t="s">
        <v>43</v>
      </c>
      <c r="L202" s="4" t="s">
        <v>856</v>
      </c>
      <c r="M202" s="4" t="s">
        <v>40</v>
      </c>
      <c r="N202" s="4" t="s">
        <v>514</v>
      </c>
      <c r="O202" s="4" t="s">
        <v>875</v>
      </c>
      <c r="P202" s="4" t="s">
        <v>42</v>
      </c>
      <c r="Q202" s="50" t="s">
        <v>43</v>
      </c>
      <c r="R202" s="50"/>
      <c r="S202" s="50" t="s">
        <v>847</v>
      </c>
      <c r="T202" s="4" t="s">
        <v>43</v>
      </c>
      <c r="U202" s="4" t="s">
        <v>43</v>
      </c>
    </row>
    <row r="203" spans="3:21" hidden="1" x14ac:dyDescent="0.25">
      <c r="C203" s="4" t="s">
        <v>158</v>
      </c>
      <c r="D203" s="4" t="s">
        <v>159</v>
      </c>
      <c r="E203" s="4" t="s">
        <v>159</v>
      </c>
      <c r="F203" s="4" t="s">
        <v>36</v>
      </c>
      <c r="G203" s="4" t="s">
        <v>37</v>
      </c>
      <c r="H203" s="4" t="s">
        <v>81</v>
      </c>
      <c r="I203" s="4"/>
      <c r="J203" s="4" t="s">
        <v>160</v>
      </c>
      <c r="K203" s="4"/>
      <c r="L203" s="4" t="s">
        <v>161</v>
      </c>
      <c r="M203" s="4" t="s">
        <v>55</v>
      </c>
      <c r="N203" s="4" t="s">
        <v>378</v>
      </c>
      <c r="O203" s="4" t="s">
        <v>158</v>
      </c>
      <c r="P203" s="4" t="s">
        <v>42</v>
      </c>
      <c r="Q203" s="50" t="s">
        <v>43</v>
      </c>
      <c r="R203" s="50"/>
      <c r="S203" s="50">
        <v>0</v>
      </c>
      <c r="T203" s="4" t="s">
        <v>43</v>
      </c>
      <c r="U203" s="4" t="s">
        <v>43</v>
      </c>
    </row>
    <row r="204" spans="3:21" hidden="1" x14ac:dyDescent="0.25">
      <c r="C204" s="4" t="s">
        <v>814</v>
      </c>
      <c r="D204" s="4" t="s">
        <v>815</v>
      </c>
      <c r="E204" s="4" t="s">
        <v>816</v>
      </c>
      <c r="F204" s="4">
        <v>5</v>
      </c>
      <c r="G204" s="4" t="s">
        <v>376</v>
      </c>
      <c r="H204" s="4" t="s">
        <v>81</v>
      </c>
      <c r="I204" s="4"/>
      <c r="J204" s="4" t="s">
        <v>146</v>
      </c>
      <c r="K204" s="4" t="s">
        <v>43</v>
      </c>
      <c r="L204" s="4" t="s">
        <v>59</v>
      </c>
      <c r="M204" s="4" t="s">
        <v>40</v>
      </c>
      <c r="N204" s="4" t="s">
        <v>984</v>
      </c>
      <c r="O204" s="4" t="s">
        <v>814</v>
      </c>
      <c r="P204" s="4" t="s">
        <v>42</v>
      </c>
      <c r="Q204" s="50" t="s">
        <v>43</v>
      </c>
      <c r="R204" s="50"/>
      <c r="S204" s="50" t="s">
        <v>799</v>
      </c>
      <c r="T204" s="4" t="s">
        <v>43</v>
      </c>
      <c r="U204" s="4" t="s">
        <v>43</v>
      </c>
    </row>
    <row r="205" spans="3:21" hidden="1" x14ac:dyDescent="0.25">
      <c r="C205" s="4" t="s">
        <v>598</v>
      </c>
      <c r="D205" s="4" t="s">
        <v>599</v>
      </c>
      <c r="E205" s="4" t="s">
        <v>600</v>
      </c>
      <c r="F205" s="4">
        <v>5</v>
      </c>
      <c r="G205" s="4" t="s">
        <v>376</v>
      </c>
      <c r="H205" s="4" t="s">
        <v>81</v>
      </c>
      <c r="I205" s="4"/>
      <c r="J205" s="4" t="s">
        <v>50</v>
      </c>
      <c r="K205" s="4" t="s">
        <v>43</v>
      </c>
      <c r="L205" s="4" t="s">
        <v>601</v>
      </c>
      <c r="M205" s="4" t="s">
        <v>40</v>
      </c>
      <c r="N205" s="4" t="s">
        <v>422</v>
      </c>
      <c r="O205" s="4" t="s">
        <v>598</v>
      </c>
      <c r="P205" s="4" t="s">
        <v>42</v>
      </c>
      <c r="Q205" s="50" t="s">
        <v>43</v>
      </c>
      <c r="R205" s="50"/>
      <c r="S205" s="50" t="s">
        <v>597</v>
      </c>
      <c r="T205" s="82" t="s">
        <v>440</v>
      </c>
      <c r="U205" s="4" t="s">
        <v>43</v>
      </c>
    </row>
    <row r="206" spans="3:21" hidden="1" x14ac:dyDescent="0.25">
      <c r="C206" s="4" t="s">
        <v>162</v>
      </c>
      <c r="D206" s="4" t="s">
        <v>163</v>
      </c>
      <c r="E206" s="4" t="s">
        <v>163</v>
      </c>
      <c r="F206" s="4" t="s">
        <v>36</v>
      </c>
      <c r="G206" s="4" t="s">
        <v>37</v>
      </c>
      <c r="H206" s="4" t="s">
        <v>88</v>
      </c>
      <c r="I206" s="4"/>
      <c r="J206" s="4" t="s">
        <v>63</v>
      </c>
      <c r="K206" s="4"/>
      <c r="L206" s="4" t="s">
        <v>138</v>
      </c>
      <c r="M206" s="4" t="s">
        <v>40</v>
      </c>
      <c r="N206" s="4" t="s">
        <v>378</v>
      </c>
      <c r="O206" s="4" t="s">
        <v>162</v>
      </c>
      <c r="P206" s="4" t="s">
        <v>42</v>
      </c>
      <c r="Q206" s="50" t="s">
        <v>43</v>
      </c>
      <c r="R206" s="50"/>
      <c r="S206" s="50">
        <v>0</v>
      </c>
      <c r="T206" s="4" t="s">
        <v>43</v>
      </c>
      <c r="U206" s="4" t="s">
        <v>43</v>
      </c>
    </row>
    <row r="207" spans="3:21" hidden="1" x14ac:dyDescent="0.25">
      <c r="C207" s="4" t="s">
        <v>716</v>
      </c>
      <c r="D207" s="4" t="s">
        <v>717</v>
      </c>
      <c r="E207" s="4" t="s">
        <v>718</v>
      </c>
      <c r="F207" s="4">
        <v>5</v>
      </c>
      <c r="G207" s="4" t="s">
        <v>376</v>
      </c>
      <c r="H207" s="4" t="s">
        <v>46</v>
      </c>
      <c r="I207" s="4"/>
      <c r="J207" s="4" t="s">
        <v>84</v>
      </c>
      <c r="K207" s="4" t="s">
        <v>440</v>
      </c>
      <c r="L207" s="4" t="s">
        <v>54</v>
      </c>
      <c r="M207" s="4" t="s">
        <v>55</v>
      </c>
      <c r="N207" s="4" t="s">
        <v>984</v>
      </c>
      <c r="O207" s="4" t="s">
        <v>716</v>
      </c>
      <c r="P207" s="4" t="s">
        <v>42</v>
      </c>
      <c r="Q207" s="50" t="s">
        <v>43</v>
      </c>
      <c r="R207" s="50"/>
      <c r="S207" s="50" t="s">
        <v>702</v>
      </c>
      <c r="T207" s="4" t="s">
        <v>43</v>
      </c>
      <c r="U207" s="4" t="s">
        <v>43</v>
      </c>
    </row>
    <row r="208" spans="3:21" hidden="1" x14ac:dyDescent="0.25">
      <c r="C208" s="4" t="s">
        <v>788</v>
      </c>
      <c r="D208" s="4" t="s">
        <v>789</v>
      </c>
      <c r="E208" s="4" t="s">
        <v>790</v>
      </c>
      <c r="F208" s="4">
        <v>5</v>
      </c>
      <c r="G208" s="4" t="s">
        <v>376</v>
      </c>
      <c r="H208" s="4" t="s">
        <v>81</v>
      </c>
      <c r="I208" s="4"/>
      <c r="J208" s="4" t="s">
        <v>89</v>
      </c>
      <c r="K208" s="4" t="s">
        <v>43</v>
      </c>
      <c r="L208" s="4" t="s">
        <v>109</v>
      </c>
      <c r="M208" s="4" t="s">
        <v>91</v>
      </c>
      <c r="N208" s="4" t="s">
        <v>378</v>
      </c>
      <c r="O208" s="4" t="s">
        <v>788</v>
      </c>
      <c r="P208" s="4" t="s">
        <v>42</v>
      </c>
      <c r="Q208" s="50" t="s">
        <v>43</v>
      </c>
      <c r="R208" s="50"/>
      <c r="S208" s="50" t="s">
        <v>772</v>
      </c>
      <c r="T208" s="4" t="s">
        <v>43</v>
      </c>
      <c r="U208" s="4" t="s">
        <v>43</v>
      </c>
    </row>
    <row r="209" spans="3:21" hidden="1" x14ac:dyDescent="0.25">
      <c r="C209" s="4" t="s">
        <v>443</v>
      </c>
      <c r="D209" s="4" t="s">
        <v>444</v>
      </c>
      <c r="E209" s="4" t="s">
        <v>444</v>
      </c>
      <c r="F209" s="4">
        <v>5</v>
      </c>
      <c r="G209" s="4" t="s">
        <v>376</v>
      </c>
      <c r="H209" s="4" t="s">
        <v>81</v>
      </c>
      <c r="I209" s="4"/>
      <c r="J209" s="4" t="s">
        <v>94</v>
      </c>
      <c r="K209" s="4" t="s">
        <v>43</v>
      </c>
      <c r="L209" s="4" t="s">
        <v>64</v>
      </c>
      <c r="M209" s="4" t="s">
        <v>40</v>
      </c>
      <c r="N209" s="4" t="s">
        <v>422</v>
      </c>
      <c r="O209" s="4" t="s">
        <v>443</v>
      </c>
      <c r="P209" s="4" t="s">
        <v>42</v>
      </c>
      <c r="Q209" s="50" t="s">
        <v>43</v>
      </c>
      <c r="R209" s="50"/>
      <c r="S209" s="50" t="s">
        <v>423</v>
      </c>
      <c r="T209" s="4" t="s">
        <v>43</v>
      </c>
      <c r="U209" s="4" t="s">
        <v>43</v>
      </c>
    </row>
    <row r="210" spans="3:21" hidden="1" x14ac:dyDescent="0.25">
      <c r="C210" s="4" t="s">
        <v>415</v>
      </c>
      <c r="D210" s="4" t="s">
        <v>416</v>
      </c>
      <c r="E210" s="4" t="s">
        <v>416</v>
      </c>
      <c r="F210" s="4">
        <v>5</v>
      </c>
      <c r="G210" s="4" t="s">
        <v>376</v>
      </c>
      <c r="H210" s="4" t="s">
        <v>81</v>
      </c>
      <c r="I210" s="4"/>
      <c r="J210" s="4" t="s">
        <v>63</v>
      </c>
      <c r="K210" s="4" t="s">
        <v>43</v>
      </c>
      <c r="L210" s="4" t="s">
        <v>138</v>
      </c>
      <c r="M210" s="4" t="s">
        <v>40</v>
      </c>
      <c r="N210" s="4" t="s">
        <v>378</v>
      </c>
      <c r="O210" s="4" t="s">
        <v>415</v>
      </c>
      <c r="P210" s="4" t="s">
        <v>42</v>
      </c>
      <c r="Q210" s="50" t="s">
        <v>43</v>
      </c>
      <c r="R210" s="50"/>
      <c r="S210" s="50" t="s">
        <v>380</v>
      </c>
      <c r="T210" s="4" t="s">
        <v>43</v>
      </c>
      <c r="U210" s="4" t="s">
        <v>43</v>
      </c>
    </row>
    <row r="211" spans="3:21" hidden="1" x14ac:dyDescent="0.25">
      <c r="C211" s="4" t="s">
        <v>915</v>
      </c>
      <c r="D211" s="4" t="s">
        <v>916</v>
      </c>
      <c r="E211" s="4" t="s">
        <v>916</v>
      </c>
      <c r="F211" s="4">
        <v>5</v>
      </c>
      <c r="G211" s="4" t="s">
        <v>376</v>
      </c>
      <c r="H211" s="4" t="s">
        <v>81</v>
      </c>
      <c r="I211" s="4"/>
      <c r="J211" s="4" t="s">
        <v>73</v>
      </c>
      <c r="K211" s="4" t="s">
        <v>43</v>
      </c>
      <c r="L211" s="4" t="s">
        <v>133</v>
      </c>
      <c r="M211" s="4" t="s">
        <v>40</v>
      </c>
      <c r="N211" s="4" t="s">
        <v>514</v>
      </c>
      <c r="O211" s="4" t="s">
        <v>915</v>
      </c>
      <c r="P211" s="4" t="s">
        <v>42</v>
      </c>
      <c r="Q211" s="50" t="s">
        <v>43</v>
      </c>
      <c r="R211" s="50"/>
      <c r="S211" s="50" t="s">
        <v>886</v>
      </c>
      <c r="T211" s="4" t="s">
        <v>43</v>
      </c>
      <c r="U211" s="4" t="s">
        <v>43</v>
      </c>
    </row>
    <row r="212" spans="3:21" hidden="1" x14ac:dyDescent="0.25">
      <c r="C212" s="4" t="s">
        <v>164</v>
      </c>
      <c r="D212" s="4" t="s">
        <v>165</v>
      </c>
      <c r="E212" s="4" t="s">
        <v>165</v>
      </c>
      <c r="F212" s="4" t="s">
        <v>36</v>
      </c>
      <c r="G212" s="4" t="s">
        <v>37</v>
      </c>
      <c r="H212" s="4" t="s">
        <v>46</v>
      </c>
      <c r="I212" s="4"/>
      <c r="J212" s="4" t="s">
        <v>58</v>
      </c>
      <c r="K212" s="4"/>
      <c r="L212" s="4" t="s">
        <v>138</v>
      </c>
      <c r="M212" s="4" t="s">
        <v>40</v>
      </c>
      <c r="N212" s="4" t="s">
        <v>378</v>
      </c>
      <c r="O212" s="4" t="s">
        <v>164</v>
      </c>
      <c r="P212" s="4" t="s">
        <v>42</v>
      </c>
      <c r="Q212" s="50" t="s">
        <v>43</v>
      </c>
      <c r="R212" s="50"/>
      <c r="S212" s="50">
        <v>0</v>
      </c>
      <c r="T212" s="4" t="s">
        <v>43</v>
      </c>
      <c r="U212" s="4" t="s">
        <v>43</v>
      </c>
    </row>
    <row r="213" spans="3:21" hidden="1" x14ac:dyDescent="0.25">
      <c r="C213" s="4" t="s">
        <v>166</v>
      </c>
      <c r="D213" s="4" t="s">
        <v>167</v>
      </c>
      <c r="E213" s="4" t="s">
        <v>167</v>
      </c>
      <c r="F213" s="4" t="s">
        <v>36</v>
      </c>
      <c r="G213" s="4" t="s">
        <v>37</v>
      </c>
      <c r="H213" s="4" t="s">
        <v>81</v>
      </c>
      <c r="I213" s="4"/>
      <c r="J213" s="4" t="s">
        <v>58</v>
      </c>
      <c r="K213" s="4"/>
      <c r="L213" s="4" t="s">
        <v>59</v>
      </c>
      <c r="M213" s="4" t="s">
        <v>40</v>
      </c>
      <c r="N213" s="4" t="s">
        <v>378</v>
      </c>
      <c r="O213" s="4" t="s">
        <v>166</v>
      </c>
      <c r="P213" s="4" t="s">
        <v>42</v>
      </c>
      <c r="Q213" s="50" t="s">
        <v>43</v>
      </c>
      <c r="R213" s="50"/>
      <c r="S213" s="50">
        <v>0</v>
      </c>
      <c r="T213" s="4" t="s">
        <v>43</v>
      </c>
      <c r="U213" s="4" t="s">
        <v>43</v>
      </c>
    </row>
    <row r="214" spans="3:21" hidden="1" x14ac:dyDescent="0.25">
      <c r="C214" s="4" t="s">
        <v>168</v>
      </c>
      <c r="D214" s="4" t="s">
        <v>169</v>
      </c>
      <c r="E214" s="4" t="s">
        <v>170</v>
      </c>
      <c r="F214" s="4" t="s">
        <v>36</v>
      </c>
      <c r="G214" s="4" t="s">
        <v>37</v>
      </c>
      <c r="H214" s="4" t="s">
        <v>46</v>
      </c>
      <c r="I214" s="4"/>
      <c r="J214" s="4" t="s">
        <v>160</v>
      </c>
      <c r="K214" s="4"/>
      <c r="L214" s="4" t="s">
        <v>59</v>
      </c>
      <c r="M214" s="4" t="s">
        <v>40</v>
      </c>
      <c r="N214" s="4" t="s">
        <v>378</v>
      </c>
      <c r="O214" s="4" t="s">
        <v>168</v>
      </c>
      <c r="P214" s="4" t="s">
        <v>42</v>
      </c>
      <c r="Q214" s="50" t="s">
        <v>43</v>
      </c>
      <c r="R214" s="50"/>
      <c r="S214" s="50">
        <v>0</v>
      </c>
      <c r="T214" s="4" t="s">
        <v>43</v>
      </c>
      <c r="U214" s="4" t="s">
        <v>43</v>
      </c>
    </row>
    <row r="215" spans="3:21" hidden="1" x14ac:dyDescent="0.25">
      <c r="C215" s="4" t="s">
        <v>171</v>
      </c>
      <c r="D215" s="4" t="s">
        <v>172</v>
      </c>
      <c r="E215" s="4" t="s">
        <v>172</v>
      </c>
      <c r="F215" s="4" t="s">
        <v>36</v>
      </c>
      <c r="G215" s="4" t="s">
        <v>37</v>
      </c>
      <c r="H215" s="4" t="s">
        <v>81</v>
      </c>
      <c r="I215" s="4"/>
      <c r="J215" s="4" t="s">
        <v>89</v>
      </c>
      <c r="K215" s="4"/>
      <c r="L215" s="4" t="s">
        <v>109</v>
      </c>
      <c r="M215" s="4" t="s">
        <v>91</v>
      </c>
      <c r="N215" s="4" t="s">
        <v>378</v>
      </c>
      <c r="O215" s="4" t="s">
        <v>171</v>
      </c>
      <c r="P215" s="4" t="s">
        <v>42</v>
      </c>
      <c r="Q215" s="50" t="s">
        <v>43</v>
      </c>
      <c r="R215" s="50"/>
      <c r="S215" s="50" t="s">
        <v>772</v>
      </c>
      <c r="T215" s="4" t="s">
        <v>43</v>
      </c>
      <c r="U215" s="4" t="s">
        <v>43</v>
      </c>
    </row>
    <row r="216" spans="3:21" hidden="1" x14ac:dyDescent="0.25">
      <c r="C216" s="4" t="s">
        <v>173</v>
      </c>
      <c r="D216" s="4" t="s">
        <v>174</v>
      </c>
      <c r="E216" s="4" t="s">
        <v>174</v>
      </c>
      <c r="F216" s="4" t="s">
        <v>36</v>
      </c>
      <c r="G216" s="4" t="s">
        <v>37</v>
      </c>
      <c r="H216" s="4" t="s">
        <v>46</v>
      </c>
      <c r="I216" s="4"/>
      <c r="J216" s="4" t="s">
        <v>73</v>
      </c>
      <c r="K216" s="4"/>
      <c r="L216" s="4" t="s">
        <v>64</v>
      </c>
      <c r="M216" s="4" t="s">
        <v>40</v>
      </c>
      <c r="N216" s="4" t="s">
        <v>514</v>
      </c>
      <c r="O216" s="4" t="s">
        <v>173</v>
      </c>
      <c r="P216" s="4" t="s">
        <v>42</v>
      </c>
      <c r="Q216" s="50" t="s">
        <v>43</v>
      </c>
      <c r="R216" s="50"/>
      <c r="S216" s="50">
        <v>0</v>
      </c>
      <c r="T216" s="4" t="s">
        <v>43</v>
      </c>
      <c r="U216" s="4" t="s">
        <v>43</v>
      </c>
    </row>
    <row r="217" spans="3:21" hidden="1" x14ac:dyDescent="0.25">
      <c r="C217" s="4" t="s">
        <v>584</v>
      </c>
      <c r="D217" s="4" t="s">
        <v>585</v>
      </c>
      <c r="E217" s="4" t="s">
        <v>585</v>
      </c>
      <c r="F217" s="4">
        <v>5</v>
      </c>
      <c r="G217" s="4" t="s">
        <v>376</v>
      </c>
      <c r="H217" s="4" t="s">
        <v>46</v>
      </c>
      <c r="I217" s="4"/>
      <c r="J217" s="4" t="s">
        <v>331</v>
      </c>
      <c r="K217" s="4" t="s">
        <v>43</v>
      </c>
      <c r="L217" s="4" t="s">
        <v>138</v>
      </c>
      <c r="M217" s="4" t="s">
        <v>40</v>
      </c>
      <c r="N217" s="4" t="s">
        <v>422</v>
      </c>
      <c r="O217" s="4" t="s">
        <v>584</v>
      </c>
      <c r="P217" s="4" t="s">
        <v>42</v>
      </c>
      <c r="Q217" s="50" t="s">
        <v>43</v>
      </c>
      <c r="R217" s="50"/>
      <c r="S217" s="50" t="s">
        <v>557</v>
      </c>
      <c r="T217" s="4" t="s">
        <v>43</v>
      </c>
      <c r="U217" s="4" t="s">
        <v>43</v>
      </c>
    </row>
    <row r="218" spans="3:21" hidden="1" x14ac:dyDescent="0.25">
      <c r="C218" s="4" t="s">
        <v>917</v>
      </c>
      <c r="D218" s="4" t="s">
        <v>918</v>
      </c>
      <c r="E218" s="4" t="s">
        <v>918</v>
      </c>
      <c r="F218" s="4">
        <v>5</v>
      </c>
      <c r="G218" s="4" t="s">
        <v>376</v>
      </c>
      <c r="H218" s="4" t="s">
        <v>46</v>
      </c>
      <c r="I218" s="4"/>
      <c r="J218" s="4" t="s">
        <v>73</v>
      </c>
      <c r="K218" s="4" t="s">
        <v>43</v>
      </c>
      <c r="L218" s="4" t="s">
        <v>605</v>
      </c>
      <c r="M218" s="4" t="s">
        <v>40</v>
      </c>
      <c r="N218" s="4" t="s">
        <v>514</v>
      </c>
      <c r="O218" s="4" t="s">
        <v>917</v>
      </c>
      <c r="P218" s="4" t="s">
        <v>42</v>
      </c>
      <c r="Q218" s="50" t="s">
        <v>43</v>
      </c>
      <c r="R218" s="50"/>
      <c r="S218" s="50" t="s">
        <v>886</v>
      </c>
      <c r="T218" s="4" t="s">
        <v>43</v>
      </c>
      <c r="U218" s="4" t="s">
        <v>43</v>
      </c>
    </row>
    <row r="219" spans="3:21" hidden="1" x14ac:dyDescent="0.25">
      <c r="C219" s="4" t="s">
        <v>877</v>
      </c>
      <c r="D219" s="4" t="s">
        <v>878</v>
      </c>
      <c r="E219" s="4" t="s">
        <v>878</v>
      </c>
      <c r="F219" s="4">
        <v>5</v>
      </c>
      <c r="G219" s="4" t="s">
        <v>376</v>
      </c>
      <c r="H219" s="4" t="s">
        <v>81</v>
      </c>
      <c r="I219" s="4"/>
      <c r="J219" s="4" t="s">
        <v>132</v>
      </c>
      <c r="K219" s="4" t="s">
        <v>43</v>
      </c>
      <c r="L219" s="4" t="s">
        <v>856</v>
      </c>
      <c r="M219" s="4" t="s">
        <v>40</v>
      </c>
      <c r="N219" s="4" t="s">
        <v>514</v>
      </c>
      <c r="O219" s="4" t="s">
        <v>877</v>
      </c>
      <c r="P219" s="4" t="s">
        <v>42</v>
      </c>
      <c r="Q219" s="50" t="s">
        <v>43</v>
      </c>
      <c r="R219" s="50"/>
      <c r="S219" s="50" t="s">
        <v>847</v>
      </c>
      <c r="T219" s="4" t="s">
        <v>43</v>
      </c>
      <c r="U219" s="4" t="s">
        <v>43</v>
      </c>
    </row>
    <row r="220" spans="3:21" hidden="1" x14ac:dyDescent="0.25">
      <c r="C220" s="4" t="s">
        <v>586</v>
      </c>
      <c r="D220" s="4" t="s">
        <v>587</v>
      </c>
      <c r="E220" s="4" t="s">
        <v>587</v>
      </c>
      <c r="F220" s="4">
        <v>5</v>
      </c>
      <c r="G220" s="4" t="s">
        <v>376</v>
      </c>
      <c r="H220" s="4" t="s">
        <v>46</v>
      </c>
      <c r="I220" s="4"/>
      <c r="J220" s="4" t="s">
        <v>331</v>
      </c>
      <c r="K220" s="4" t="s">
        <v>43</v>
      </c>
      <c r="L220" s="4" t="s">
        <v>138</v>
      </c>
      <c r="M220" s="4" t="s">
        <v>40</v>
      </c>
      <c r="N220" s="4" t="s">
        <v>422</v>
      </c>
      <c r="O220" s="4" t="s">
        <v>586</v>
      </c>
      <c r="P220" s="4" t="s">
        <v>42</v>
      </c>
      <c r="Q220" s="50" t="s">
        <v>43</v>
      </c>
      <c r="R220" s="50"/>
      <c r="S220" s="50" t="s">
        <v>557</v>
      </c>
      <c r="T220" s="4" t="s">
        <v>43</v>
      </c>
      <c r="U220" s="4" t="s">
        <v>43</v>
      </c>
    </row>
    <row r="221" spans="3:21" hidden="1" x14ac:dyDescent="0.25">
      <c r="C221" s="4" t="s">
        <v>175</v>
      </c>
      <c r="D221" s="4" t="s">
        <v>176</v>
      </c>
      <c r="E221" s="4" t="s">
        <v>176</v>
      </c>
      <c r="F221" s="4" t="s">
        <v>36</v>
      </c>
      <c r="G221" s="4" t="s">
        <v>37</v>
      </c>
      <c r="H221" s="4" t="s">
        <v>46</v>
      </c>
      <c r="I221" s="4"/>
      <c r="J221" s="4" t="s">
        <v>132</v>
      </c>
      <c r="K221" s="4"/>
      <c r="L221" s="4" t="s">
        <v>64</v>
      </c>
      <c r="M221" s="4" t="s">
        <v>40</v>
      </c>
      <c r="N221" s="4" t="s">
        <v>514</v>
      </c>
      <c r="O221" s="4" t="s">
        <v>175</v>
      </c>
      <c r="P221" s="4" t="s">
        <v>42</v>
      </c>
      <c r="Q221" s="50" t="s">
        <v>43</v>
      </c>
      <c r="R221" s="50"/>
      <c r="S221" s="50">
        <v>0</v>
      </c>
      <c r="T221" s="4" t="s">
        <v>43</v>
      </c>
      <c r="U221" s="4" t="s">
        <v>43</v>
      </c>
    </row>
    <row r="222" spans="3:21" hidden="1" x14ac:dyDescent="0.25">
      <c r="C222" s="4" t="s">
        <v>177</v>
      </c>
      <c r="D222" s="4" t="s">
        <v>178</v>
      </c>
      <c r="E222" s="4" t="s">
        <v>178</v>
      </c>
      <c r="F222" s="4" t="s">
        <v>36</v>
      </c>
      <c r="G222" s="4" t="s">
        <v>37</v>
      </c>
      <c r="H222" s="4" t="s">
        <v>81</v>
      </c>
      <c r="I222" s="4"/>
      <c r="J222" s="4" t="s">
        <v>84</v>
      </c>
      <c r="K222" s="4"/>
      <c r="L222" s="4" t="s">
        <v>179</v>
      </c>
      <c r="M222" s="4" t="s">
        <v>55</v>
      </c>
      <c r="N222" s="4" t="s">
        <v>984</v>
      </c>
      <c r="O222" s="4" t="s">
        <v>177</v>
      </c>
      <c r="P222" s="4" t="s">
        <v>42</v>
      </c>
      <c r="Q222" s="50" t="s">
        <v>43</v>
      </c>
      <c r="R222" s="50"/>
      <c r="S222" s="50">
        <v>0</v>
      </c>
      <c r="T222" s="4" t="s">
        <v>43</v>
      </c>
      <c r="U222" s="4" t="s">
        <v>43</v>
      </c>
    </row>
    <row r="223" spans="3:21" hidden="1" x14ac:dyDescent="0.25">
      <c r="C223" s="4" t="s">
        <v>180</v>
      </c>
      <c r="D223" s="4" t="s">
        <v>181</v>
      </c>
      <c r="E223" s="4" t="s">
        <v>181</v>
      </c>
      <c r="F223" s="4" t="s">
        <v>36</v>
      </c>
      <c r="G223" s="4" t="s">
        <v>37</v>
      </c>
      <c r="H223" s="4" t="s">
        <v>81</v>
      </c>
      <c r="I223" s="4"/>
      <c r="J223" s="4" t="s">
        <v>84</v>
      </c>
      <c r="K223" s="4"/>
      <c r="L223" s="4" t="s">
        <v>182</v>
      </c>
      <c r="M223" s="4" t="s">
        <v>55</v>
      </c>
      <c r="N223" s="4" t="s">
        <v>984</v>
      </c>
      <c r="O223" s="4" t="s">
        <v>180</v>
      </c>
      <c r="P223" s="4" t="s">
        <v>42</v>
      </c>
      <c r="Q223" s="50" t="s">
        <v>43</v>
      </c>
      <c r="R223" s="50"/>
      <c r="S223" s="50">
        <v>0</v>
      </c>
      <c r="T223" s="4" t="s">
        <v>43</v>
      </c>
      <c r="U223" s="4" t="s">
        <v>43</v>
      </c>
    </row>
    <row r="224" spans="3:21" hidden="1" x14ac:dyDescent="0.25">
      <c r="C224" s="4" t="s">
        <v>588</v>
      </c>
      <c r="D224" s="4" t="s">
        <v>589</v>
      </c>
      <c r="E224" s="4" t="s">
        <v>589</v>
      </c>
      <c r="F224" s="4">
        <v>5</v>
      </c>
      <c r="G224" s="4" t="s">
        <v>376</v>
      </c>
      <c r="H224" s="4" t="s">
        <v>46</v>
      </c>
      <c r="I224" s="4"/>
      <c r="J224" s="4" t="s">
        <v>331</v>
      </c>
      <c r="K224" s="4" t="s">
        <v>43</v>
      </c>
      <c r="L224" s="4" t="s">
        <v>138</v>
      </c>
      <c r="M224" s="4" t="s">
        <v>40</v>
      </c>
      <c r="N224" s="4" t="s">
        <v>422</v>
      </c>
      <c r="O224" s="4" t="s">
        <v>588</v>
      </c>
      <c r="P224" s="4" t="s">
        <v>42</v>
      </c>
      <c r="Q224" s="50" t="s">
        <v>43</v>
      </c>
      <c r="R224" s="50"/>
      <c r="S224" s="50" t="s">
        <v>557</v>
      </c>
      <c r="T224" s="4" t="s">
        <v>43</v>
      </c>
      <c r="U224" s="4" t="s">
        <v>43</v>
      </c>
    </row>
    <row r="225" spans="3:21" hidden="1" x14ac:dyDescent="0.25">
      <c r="C225" s="4" t="s">
        <v>183</v>
      </c>
      <c r="D225" s="4" t="s">
        <v>184</v>
      </c>
      <c r="E225" s="4" t="s">
        <v>184</v>
      </c>
      <c r="F225" s="4" t="s">
        <v>36</v>
      </c>
      <c r="G225" s="4" t="s">
        <v>37</v>
      </c>
      <c r="H225" s="4" t="s">
        <v>81</v>
      </c>
      <c r="I225" s="4"/>
      <c r="J225" s="4">
        <v>0</v>
      </c>
      <c r="K225" s="4"/>
      <c r="L225" s="4" t="s">
        <v>64</v>
      </c>
      <c r="M225" s="4" t="s">
        <v>40</v>
      </c>
      <c r="N225" s="4">
        <v>0</v>
      </c>
      <c r="O225" s="4" t="s">
        <v>183</v>
      </c>
      <c r="P225" s="4" t="s">
        <v>42</v>
      </c>
      <c r="Q225" s="50" t="s">
        <v>43</v>
      </c>
      <c r="R225" s="50"/>
      <c r="S225" s="50">
        <v>0</v>
      </c>
      <c r="T225" s="4" t="s">
        <v>43</v>
      </c>
      <c r="U225" s="4" t="s">
        <v>43</v>
      </c>
    </row>
    <row r="226" spans="3:21" hidden="1" x14ac:dyDescent="0.25">
      <c r="C226" s="4" t="s">
        <v>185</v>
      </c>
      <c r="D226" s="4" t="s">
        <v>186</v>
      </c>
      <c r="E226" s="4" t="s">
        <v>186</v>
      </c>
      <c r="F226" s="4" t="s">
        <v>36</v>
      </c>
      <c r="G226" s="4" t="s">
        <v>37</v>
      </c>
      <c r="H226" s="4" t="s">
        <v>46</v>
      </c>
      <c r="I226" s="4"/>
      <c r="J226" s="4" t="s">
        <v>94</v>
      </c>
      <c r="K226" s="4"/>
      <c r="L226" s="4" t="s">
        <v>64</v>
      </c>
      <c r="M226" s="4" t="s">
        <v>40</v>
      </c>
      <c r="N226" s="4" t="s">
        <v>422</v>
      </c>
      <c r="O226" s="4" t="s">
        <v>185</v>
      </c>
      <c r="P226" s="4" t="s">
        <v>42</v>
      </c>
      <c r="Q226" s="50" t="s">
        <v>43</v>
      </c>
      <c r="R226" s="50"/>
      <c r="S226" s="50">
        <v>0</v>
      </c>
      <c r="T226" s="4" t="s">
        <v>43</v>
      </c>
      <c r="U226" s="4" t="s">
        <v>43</v>
      </c>
    </row>
    <row r="227" spans="3:21" hidden="1" x14ac:dyDescent="0.25">
      <c r="C227" s="4" t="s">
        <v>445</v>
      </c>
      <c r="D227" s="4" t="s">
        <v>446</v>
      </c>
      <c r="E227" s="4" t="s">
        <v>446</v>
      </c>
      <c r="F227" s="4">
        <v>5</v>
      </c>
      <c r="G227" s="4" t="s">
        <v>376</v>
      </c>
      <c r="H227" s="4" t="s">
        <v>46</v>
      </c>
      <c r="I227" s="4"/>
      <c r="J227" s="4" t="s">
        <v>94</v>
      </c>
      <c r="K227" s="4" t="s">
        <v>43</v>
      </c>
      <c r="L227" s="4" t="s">
        <v>64</v>
      </c>
      <c r="M227" s="4" t="s">
        <v>40</v>
      </c>
      <c r="N227" s="4" t="s">
        <v>422</v>
      </c>
      <c r="O227" s="4" t="s">
        <v>445</v>
      </c>
      <c r="P227" s="4" t="s">
        <v>42</v>
      </c>
      <c r="Q227" s="50" t="s">
        <v>43</v>
      </c>
      <c r="R227" s="50"/>
      <c r="S227" s="50" t="s">
        <v>423</v>
      </c>
      <c r="T227" s="4" t="s">
        <v>43</v>
      </c>
      <c r="U227" s="4" t="s">
        <v>43</v>
      </c>
    </row>
    <row r="228" spans="3:21" hidden="1" x14ac:dyDescent="0.25">
      <c r="C228" s="4" t="s">
        <v>817</v>
      </c>
      <c r="D228" s="4" t="s">
        <v>818</v>
      </c>
      <c r="E228" s="4" t="s">
        <v>818</v>
      </c>
      <c r="F228" s="4">
        <v>5</v>
      </c>
      <c r="G228" s="4" t="s">
        <v>376</v>
      </c>
      <c r="H228" s="4" t="s">
        <v>46</v>
      </c>
      <c r="I228" s="4"/>
      <c r="J228" s="4" t="s">
        <v>146</v>
      </c>
      <c r="K228" s="4" t="s">
        <v>43</v>
      </c>
      <c r="L228" s="4" t="s">
        <v>59</v>
      </c>
      <c r="M228" s="4" t="s">
        <v>40</v>
      </c>
      <c r="N228" s="4" t="s">
        <v>984</v>
      </c>
      <c r="O228" s="4" t="s">
        <v>817</v>
      </c>
      <c r="P228" s="4" t="s">
        <v>42</v>
      </c>
      <c r="Q228" s="50" t="s">
        <v>43</v>
      </c>
      <c r="R228" s="50"/>
      <c r="S228" s="50" t="s">
        <v>799</v>
      </c>
      <c r="T228" s="4" t="s">
        <v>43</v>
      </c>
      <c r="U228" s="4" t="s">
        <v>43</v>
      </c>
    </row>
    <row r="229" spans="3:21" hidden="1" x14ac:dyDescent="0.25">
      <c r="C229" s="4" t="s">
        <v>187</v>
      </c>
      <c r="D229" s="4" t="s">
        <v>188</v>
      </c>
      <c r="E229" s="4" t="s">
        <v>188</v>
      </c>
      <c r="F229" s="4" t="s">
        <v>36</v>
      </c>
      <c r="G229" s="4" t="s">
        <v>37</v>
      </c>
      <c r="H229" s="4" t="s">
        <v>81</v>
      </c>
      <c r="I229" s="4"/>
      <c r="J229" s="4" t="s">
        <v>160</v>
      </c>
      <c r="K229" s="4"/>
      <c r="L229" s="4" t="s">
        <v>64</v>
      </c>
      <c r="M229" s="4" t="s">
        <v>40</v>
      </c>
      <c r="N229" s="4" t="s">
        <v>378</v>
      </c>
      <c r="O229" s="4" t="s">
        <v>187</v>
      </c>
      <c r="P229" s="4" t="s">
        <v>42</v>
      </c>
      <c r="Q229" s="50" t="s">
        <v>43</v>
      </c>
      <c r="R229" s="50"/>
      <c r="S229" s="50">
        <v>0</v>
      </c>
      <c r="T229" s="4" t="s">
        <v>43</v>
      </c>
      <c r="U229" s="4" t="s">
        <v>43</v>
      </c>
    </row>
    <row r="230" spans="3:21" hidden="1" x14ac:dyDescent="0.25">
      <c r="C230" s="4" t="s">
        <v>189</v>
      </c>
      <c r="D230" s="4" t="s">
        <v>190</v>
      </c>
      <c r="E230" s="4" t="s">
        <v>190</v>
      </c>
      <c r="F230" s="4" t="s">
        <v>36</v>
      </c>
      <c r="G230" s="4" t="s">
        <v>37</v>
      </c>
      <c r="H230" s="4" t="s">
        <v>81</v>
      </c>
      <c r="I230" s="4"/>
      <c r="J230" s="4" t="s">
        <v>73</v>
      </c>
      <c r="K230" s="4"/>
      <c r="L230" s="4" t="s">
        <v>64</v>
      </c>
      <c r="M230" s="4" t="s">
        <v>40</v>
      </c>
      <c r="N230" s="4" t="s">
        <v>514</v>
      </c>
      <c r="O230" s="4" t="s">
        <v>189</v>
      </c>
      <c r="P230" s="4" t="s">
        <v>42</v>
      </c>
      <c r="Q230" s="50" t="s">
        <v>43</v>
      </c>
      <c r="R230" s="50"/>
      <c r="S230" s="50">
        <v>0</v>
      </c>
      <c r="T230" s="4" t="s">
        <v>43</v>
      </c>
      <c r="U230" s="4" t="s">
        <v>43</v>
      </c>
    </row>
    <row r="231" spans="3:21" hidden="1" x14ac:dyDescent="0.25">
      <c r="C231" s="4" t="s">
        <v>602</v>
      </c>
      <c r="D231" s="4" t="s">
        <v>603</v>
      </c>
      <c r="E231" s="4" t="s">
        <v>604</v>
      </c>
      <c r="F231" s="4">
        <v>5</v>
      </c>
      <c r="G231" s="4" t="s">
        <v>376</v>
      </c>
      <c r="H231" s="4" t="s">
        <v>81</v>
      </c>
      <c r="I231" s="4"/>
      <c r="J231" s="4" t="s">
        <v>50</v>
      </c>
      <c r="K231" s="4" t="s">
        <v>43</v>
      </c>
      <c r="L231" s="4" t="s">
        <v>605</v>
      </c>
      <c r="M231" s="4" t="s">
        <v>40</v>
      </c>
      <c r="N231" s="4" t="s">
        <v>422</v>
      </c>
      <c r="O231" s="4" t="s">
        <v>602</v>
      </c>
      <c r="P231" s="4" t="s">
        <v>42</v>
      </c>
      <c r="Q231" s="50" t="s">
        <v>43</v>
      </c>
      <c r="R231" s="50"/>
      <c r="S231" s="50" t="s">
        <v>597</v>
      </c>
      <c r="T231" s="82" t="s">
        <v>440</v>
      </c>
      <c r="U231" s="4" t="s">
        <v>43</v>
      </c>
    </row>
    <row r="232" spans="3:21" hidden="1" x14ac:dyDescent="0.25">
      <c r="C232" s="4" t="s">
        <v>191</v>
      </c>
      <c r="D232" s="4" t="s">
        <v>192</v>
      </c>
      <c r="E232" s="4" t="s">
        <v>193</v>
      </c>
      <c r="F232" s="4" t="s">
        <v>36</v>
      </c>
      <c r="G232" s="4" t="s">
        <v>37</v>
      </c>
      <c r="H232" s="4" t="s">
        <v>81</v>
      </c>
      <c r="I232" s="4"/>
      <c r="J232" s="4" t="s">
        <v>94</v>
      </c>
      <c r="K232" s="4"/>
      <c r="L232" s="4" t="s">
        <v>64</v>
      </c>
      <c r="M232" s="4" t="s">
        <v>40</v>
      </c>
      <c r="N232" s="4" t="s">
        <v>422</v>
      </c>
      <c r="O232" s="4" t="s">
        <v>191</v>
      </c>
      <c r="P232" s="4" t="s">
        <v>42</v>
      </c>
      <c r="Q232" s="50" t="s">
        <v>43</v>
      </c>
      <c r="R232" s="50"/>
      <c r="S232" s="50">
        <v>0</v>
      </c>
      <c r="T232" s="4" t="s">
        <v>43</v>
      </c>
      <c r="U232" s="4" t="s">
        <v>43</v>
      </c>
    </row>
    <row r="233" spans="3:21" hidden="1" x14ac:dyDescent="0.25">
      <c r="C233" s="4" t="s">
        <v>194</v>
      </c>
      <c r="D233" s="4" t="s">
        <v>195</v>
      </c>
      <c r="E233" s="4" t="s">
        <v>196</v>
      </c>
      <c r="F233" s="4" t="s">
        <v>36</v>
      </c>
      <c r="G233" s="4" t="s">
        <v>37</v>
      </c>
      <c r="H233" s="4" t="s">
        <v>88</v>
      </c>
      <c r="I233" s="4"/>
      <c r="J233" s="4" t="s">
        <v>84</v>
      </c>
      <c r="K233" s="4"/>
      <c r="L233" s="4" t="s">
        <v>85</v>
      </c>
      <c r="M233" s="4" t="s">
        <v>55</v>
      </c>
      <c r="N233" s="4" t="s">
        <v>984</v>
      </c>
      <c r="O233" s="4" t="s">
        <v>194</v>
      </c>
      <c r="P233" s="4" t="s">
        <v>42</v>
      </c>
      <c r="Q233" s="50" t="s">
        <v>43</v>
      </c>
      <c r="R233" s="50"/>
      <c r="S233" s="50">
        <v>0</v>
      </c>
      <c r="T233" s="4" t="s">
        <v>43</v>
      </c>
      <c r="U233" s="4" t="s">
        <v>43</v>
      </c>
    </row>
    <row r="234" spans="3:21" hidden="1" x14ac:dyDescent="0.25">
      <c r="C234" s="4" t="s">
        <v>719</v>
      </c>
      <c r="D234" s="4" t="s">
        <v>720</v>
      </c>
      <c r="E234" s="4" t="s">
        <v>721</v>
      </c>
      <c r="F234" s="4">
        <v>5</v>
      </c>
      <c r="G234" s="4" t="s">
        <v>376</v>
      </c>
      <c r="H234" s="4" t="s">
        <v>81</v>
      </c>
      <c r="I234" s="4"/>
      <c r="J234" s="4" t="s">
        <v>84</v>
      </c>
      <c r="K234" s="4" t="s">
        <v>440</v>
      </c>
      <c r="L234" s="4" t="s">
        <v>722</v>
      </c>
      <c r="M234" s="4" t="s">
        <v>55</v>
      </c>
      <c r="N234" s="4" t="s">
        <v>984</v>
      </c>
      <c r="O234" s="4" t="s">
        <v>719</v>
      </c>
      <c r="P234" s="4" t="s">
        <v>42</v>
      </c>
      <c r="Q234" s="50" t="s">
        <v>43</v>
      </c>
      <c r="R234" s="50"/>
      <c r="S234" s="50" t="s">
        <v>702</v>
      </c>
      <c r="T234" s="4" t="s">
        <v>43</v>
      </c>
      <c r="U234" s="4" t="s">
        <v>43</v>
      </c>
    </row>
    <row r="235" spans="3:21" hidden="1" x14ac:dyDescent="0.25">
      <c r="C235" s="4" t="s">
        <v>197</v>
      </c>
      <c r="D235" s="4" t="s">
        <v>198</v>
      </c>
      <c r="E235" s="4" t="s">
        <v>198</v>
      </c>
      <c r="F235" s="4" t="s">
        <v>36</v>
      </c>
      <c r="G235" s="4" t="s">
        <v>37</v>
      </c>
      <c r="H235" s="4" t="s">
        <v>46</v>
      </c>
      <c r="I235" s="4"/>
      <c r="J235" s="4" t="s">
        <v>63</v>
      </c>
      <c r="K235" s="4"/>
      <c r="L235" s="4" t="s">
        <v>138</v>
      </c>
      <c r="M235" s="4" t="s">
        <v>40</v>
      </c>
      <c r="N235" s="4" t="s">
        <v>378</v>
      </c>
      <c r="O235" s="4" t="s">
        <v>197</v>
      </c>
      <c r="P235" s="4" t="s">
        <v>42</v>
      </c>
      <c r="Q235" s="50" t="s">
        <v>43</v>
      </c>
      <c r="R235" s="50"/>
      <c r="S235" s="50">
        <v>0</v>
      </c>
      <c r="T235" s="4" t="s">
        <v>43</v>
      </c>
      <c r="U235" s="4" t="s">
        <v>43</v>
      </c>
    </row>
    <row r="236" spans="3:21" hidden="1" x14ac:dyDescent="0.25">
      <c r="C236" s="4" t="s">
        <v>199</v>
      </c>
      <c r="D236" s="4" t="s">
        <v>200</v>
      </c>
      <c r="E236" s="4" t="s">
        <v>201</v>
      </c>
      <c r="F236" s="4" t="s">
        <v>36</v>
      </c>
      <c r="G236" s="4" t="s">
        <v>37</v>
      </c>
      <c r="H236" s="4" t="s">
        <v>202</v>
      </c>
      <c r="I236" s="4"/>
      <c r="J236" s="4">
        <v>0</v>
      </c>
      <c r="K236" s="4"/>
      <c r="L236" s="4" t="s">
        <v>59</v>
      </c>
      <c r="M236" s="4" t="s">
        <v>40</v>
      </c>
      <c r="N236" s="4">
        <v>0</v>
      </c>
      <c r="O236" s="4" t="s">
        <v>199</v>
      </c>
      <c r="P236" s="4" t="s">
        <v>42</v>
      </c>
      <c r="Q236" s="50" t="s">
        <v>43</v>
      </c>
      <c r="R236" s="50"/>
      <c r="S236" s="50">
        <v>0</v>
      </c>
      <c r="T236" s="4" t="s">
        <v>43</v>
      </c>
      <c r="U236" s="4" t="s">
        <v>43</v>
      </c>
    </row>
    <row r="237" spans="3:21" hidden="1" x14ac:dyDescent="0.25">
      <c r="C237" s="4" t="s">
        <v>723</v>
      </c>
      <c r="D237" s="4" t="s">
        <v>724</v>
      </c>
      <c r="E237" s="4" t="s">
        <v>725</v>
      </c>
      <c r="F237" s="4">
        <v>5</v>
      </c>
      <c r="G237" s="4" t="s">
        <v>376</v>
      </c>
      <c r="H237" s="4" t="s">
        <v>46</v>
      </c>
      <c r="I237" s="4"/>
      <c r="J237" s="4" t="s">
        <v>84</v>
      </c>
      <c r="K237" s="4" t="s">
        <v>440</v>
      </c>
      <c r="L237" s="4" t="s">
        <v>54</v>
      </c>
      <c r="M237" s="4" t="s">
        <v>55</v>
      </c>
      <c r="N237" s="4" t="s">
        <v>984</v>
      </c>
      <c r="O237" s="4" t="s">
        <v>723</v>
      </c>
      <c r="P237" s="4" t="s">
        <v>42</v>
      </c>
      <c r="Q237" s="50" t="s">
        <v>43</v>
      </c>
      <c r="R237" s="50"/>
      <c r="S237" s="50" t="s">
        <v>702</v>
      </c>
      <c r="T237" s="4" t="s">
        <v>43</v>
      </c>
      <c r="U237" s="4" t="s">
        <v>43</v>
      </c>
    </row>
    <row r="238" spans="3:21" hidden="1" x14ac:dyDescent="0.25">
      <c r="C238" s="4" t="s">
        <v>819</v>
      </c>
      <c r="D238" s="4" t="s">
        <v>820</v>
      </c>
      <c r="E238" s="4" t="s">
        <v>820</v>
      </c>
      <c r="F238" s="4">
        <v>6</v>
      </c>
      <c r="G238" s="4" t="s">
        <v>376</v>
      </c>
      <c r="H238" s="4" t="s">
        <v>46</v>
      </c>
      <c r="I238" s="4"/>
      <c r="J238" s="4" t="s">
        <v>146</v>
      </c>
      <c r="K238" s="4" t="s">
        <v>43</v>
      </c>
      <c r="L238" s="4" t="s">
        <v>59</v>
      </c>
      <c r="M238" s="4" t="s">
        <v>40</v>
      </c>
      <c r="N238" s="4" t="s">
        <v>984</v>
      </c>
      <c r="O238" s="4" t="s">
        <v>819</v>
      </c>
      <c r="P238" s="4" t="s">
        <v>42</v>
      </c>
      <c r="Q238" s="50" t="s">
        <v>43</v>
      </c>
      <c r="R238" s="50"/>
      <c r="S238" s="50" t="s">
        <v>799</v>
      </c>
      <c r="T238" s="4" t="s">
        <v>43</v>
      </c>
      <c r="U238" s="4" t="s">
        <v>43</v>
      </c>
    </row>
    <row r="239" spans="3:21" hidden="1" x14ac:dyDescent="0.25">
      <c r="C239" s="4" t="s">
        <v>821</v>
      </c>
      <c r="D239" s="4" t="s">
        <v>822</v>
      </c>
      <c r="E239" s="4" t="s">
        <v>822</v>
      </c>
      <c r="F239" s="4">
        <f>5+0.56</f>
        <v>5.5600000000000005</v>
      </c>
      <c r="G239" s="4" t="s">
        <v>376</v>
      </c>
      <c r="H239" s="4" t="s">
        <v>46</v>
      </c>
      <c r="I239" s="4"/>
      <c r="J239" s="4" t="s">
        <v>146</v>
      </c>
      <c r="K239" s="4" t="s">
        <v>43</v>
      </c>
      <c r="L239" s="4" t="s">
        <v>59</v>
      </c>
      <c r="M239" s="4" t="s">
        <v>40</v>
      </c>
      <c r="N239" s="4" t="s">
        <v>984</v>
      </c>
      <c r="O239" s="4" t="s">
        <v>821</v>
      </c>
      <c r="P239" s="4" t="s">
        <v>42</v>
      </c>
      <c r="Q239" s="50" t="s">
        <v>43</v>
      </c>
      <c r="R239" s="50"/>
      <c r="S239" s="50" t="s">
        <v>799</v>
      </c>
      <c r="T239" s="4" t="s">
        <v>43</v>
      </c>
      <c r="U239" s="4" t="s">
        <v>43</v>
      </c>
    </row>
    <row r="240" spans="3:21" hidden="1" x14ac:dyDescent="0.25">
      <c r="C240" s="4" t="s">
        <v>203</v>
      </c>
      <c r="D240" s="4" t="s">
        <v>204</v>
      </c>
      <c r="E240" s="4" t="s">
        <v>204</v>
      </c>
      <c r="F240" s="4" t="s">
        <v>36</v>
      </c>
      <c r="G240" s="4" t="s">
        <v>37</v>
      </c>
      <c r="H240" s="4" t="s">
        <v>46</v>
      </c>
      <c r="I240" s="4"/>
      <c r="J240" s="4">
        <v>0</v>
      </c>
      <c r="K240" s="4"/>
      <c r="L240" s="4" t="s">
        <v>205</v>
      </c>
      <c r="M240" s="4" t="s">
        <v>40</v>
      </c>
      <c r="N240" s="4">
        <v>0</v>
      </c>
      <c r="O240" s="4" t="s">
        <v>203</v>
      </c>
      <c r="P240" s="4" t="s">
        <v>42</v>
      </c>
      <c r="Q240" s="50" t="s">
        <v>43</v>
      </c>
      <c r="R240" s="50"/>
      <c r="S240" s="50">
        <v>0</v>
      </c>
      <c r="T240" s="4" t="s">
        <v>43</v>
      </c>
      <c r="U240" s="4" t="s">
        <v>43</v>
      </c>
    </row>
    <row r="241" spans="3:21" hidden="1" x14ac:dyDescent="0.25">
      <c r="C241" s="4" t="s">
        <v>206</v>
      </c>
      <c r="D241" s="4" t="s">
        <v>207</v>
      </c>
      <c r="E241" s="4" t="s">
        <v>207</v>
      </c>
      <c r="F241" s="4" t="s">
        <v>36</v>
      </c>
      <c r="G241" s="4" t="s">
        <v>37</v>
      </c>
      <c r="H241" s="4" t="s">
        <v>46</v>
      </c>
      <c r="I241" s="4"/>
      <c r="J241" s="4" t="s">
        <v>58</v>
      </c>
      <c r="K241" s="4"/>
      <c r="L241" s="4" t="s">
        <v>64</v>
      </c>
      <c r="M241" s="4" t="s">
        <v>40</v>
      </c>
      <c r="N241" s="4" t="s">
        <v>378</v>
      </c>
      <c r="O241" s="4" t="s">
        <v>206</v>
      </c>
      <c r="P241" s="4" t="s">
        <v>42</v>
      </c>
      <c r="Q241" s="50" t="s">
        <v>43</v>
      </c>
      <c r="R241" s="50"/>
      <c r="S241" s="50">
        <v>0</v>
      </c>
      <c r="T241" s="4" t="s">
        <v>43</v>
      </c>
      <c r="U241" s="4" t="s">
        <v>43</v>
      </c>
    </row>
    <row r="242" spans="3:21" hidden="1" x14ac:dyDescent="0.25">
      <c r="C242" s="4" t="s">
        <v>758</v>
      </c>
      <c r="D242" s="4" t="s">
        <v>759</v>
      </c>
      <c r="E242" s="4" t="s">
        <v>760</v>
      </c>
      <c r="F242" s="4">
        <v>5</v>
      </c>
      <c r="G242" s="4" t="s">
        <v>376</v>
      </c>
      <c r="H242" s="4" t="s">
        <v>81</v>
      </c>
      <c r="I242" s="4"/>
      <c r="J242" s="4" t="s">
        <v>84</v>
      </c>
      <c r="K242" s="4" t="s">
        <v>440</v>
      </c>
      <c r="L242" s="4" t="s">
        <v>54</v>
      </c>
      <c r="M242" s="4" t="s">
        <v>55</v>
      </c>
      <c r="N242" s="4" t="s">
        <v>984</v>
      </c>
      <c r="O242" s="4" t="s">
        <v>758</v>
      </c>
      <c r="P242" s="4" t="s">
        <v>42</v>
      </c>
      <c r="Q242" s="50" t="s">
        <v>43</v>
      </c>
      <c r="R242" s="50"/>
      <c r="S242" s="50" t="s">
        <v>741</v>
      </c>
      <c r="T242" s="4" t="s">
        <v>43</v>
      </c>
      <c r="U242" s="4" t="s">
        <v>43</v>
      </c>
    </row>
    <row r="243" spans="3:21" hidden="1" x14ac:dyDescent="0.25">
      <c r="C243" s="4" t="s">
        <v>208</v>
      </c>
      <c r="D243" s="4" t="s">
        <v>209</v>
      </c>
      <c r="E243" s="4" t="s">
        <v>209</v>
      </c>
      <c r="F243" s="4" t="s">
        <v>36</v>
      </c>
      <c r="G243" s="4" t="s">
        <v>37</v>
      </c>
      <c r="H243" s="4" t="s">
        <v>81</v>
      </c>
      <c r="I243" s="4"/>
      <c r="J243" s="4">
        <v>0</v>
      </c>
      <c r="K243" s="4"/>
      <c r="L243" s="4" t="s">
        <v>78</v>
      </c>
      <c r="M243" s="4" t="s">
        <v>40</v>
      </c>
      <c r="N243" s="4">
        <v>0</v>
      </c>
      <c r="O243" s="4" t="s">
        <v>208</v>
      </c>
      <c r="P243" s="4" t="s">
        <v>42</v>
      </c>
      <c r="Q243" s="50" t="s">
        <v>43</v>
      </c>
      <c r="R243" s="50"/>
      <c r="S243" s="50">
        <v>0</v>
      </c>
      <c r="T243" s="4" t="s">
        <v>43</v>
      </c>
      <c r="U243" s="4" t="s">
        <v>43</v>
      </c>
    </row>
    <row r="244" spans="3:21" hidden="1" x14ac:dyDescent="0.25">
      <c r="C244" s="4" t="s">
        <v>606</v>
      </c>
      <c r="D244" s="4" t="s">
        <v>607</v>
      </c>
      <c r="E244" s="4" t="s">
        <v>608</v>
      </c>
      <c r="F244" s="4">
        <v>5</v>
      </c>
      <c r="G244" s="4" t="s">
        <v>376</v>
      </c>
      <c r="H244" s="4" t="s">
        <v>46</v>
      </c>
      <c r="I244" s="4"/>
      <c r="J244" s="4" t="s">
        <v>50</v>
      </c>
      <c r="K244" s="4" t="s">
        <v>43</v>
      </c>
      <c r="L244" s="4" t="s">
        <v>609</v>
      </c>
      <c r="M244" s="4" t="s">
        <v>40</v>
      </c>
      <c r="N244" s="4" t="s">
        <v>422</v>
      </c>
      <c r="O244" s="4" t="s">
        <v>606</v>
      </c>
      <c r="P244" s="4" t="s">
        <v>42</v>
      </c>
      <c r="Q244" s="50" t="s">
        <v>43</v>
      </c>
      <c r="R244" s="50"/>
      <c r="S244" s="50" t="s">
        <v>597</v>
      </c>
      <c r="T244" s="4" t="s">
        <v>43</v>
      </c>
      <c r="U244" s="4" t="s">
        <v>43</v>
      </c>
    </row>
    <row r="245" spans="3:21" hidden="1" x14ac:dyDescent="0.25">
      <c r="C245" s="4" t="s">
        <v>210</v>
      </c>
      <c r="D245" s="4" t="s">
        <v>211</v>
      </c>
      <c r="E245" s="4" t="s">
        <v>212</v>
      </c>
      <c r="F245" s="4" t="s">
        <v>36</v>
      </c>
      <c r="G245" s="4" t="s">
        <v>37</v>
      </c>
      <c r="H245" s="4" t="s">
        <v>46</v>
      </c>
      <c r="I245" s="4"/>
      <c r="J245" s="4">
        <v>0</v>
      </c>
      <c r="K245" s="4"/>
      <c r="L245" s="4" t="s">
        <v>59</v>
      </c>
      <c r="M245" s="4" t="s">
        <v>40</v>
      </c>
      <c r="N245" s="4">
        <v>0</v>
      </c>
      <c r="O245" s="4" t="s">
        <v>210</v>
      </c>
      <c r="P245" s="4" t="s">
        <v>42</v>
      </c>
      <c r="Q245" s="50" t="s">
        <v>43</v>
      </c>
      <c r="R245" s="50"/>
      <c r="S245" s="50">
        <v>0</v>
      </c>
      <c r="T245" s="4" t="s">
        <v>43</v>
      </c>
      <c r="U245" s="4" t="s">
        <v>43</v>
      </c>
    </row>
    <row r="246" spans="3:21" hidden="1" x14ac:dyDescent="0.25">
      <c r="C246" s="4" t="s">
        <v>213</v>
      </c>
      <c r="D246" s="4" t="s">
        <v>214</v>
      </c>
      <c r="E246" s="4" t="s">
        <v>214</v>
      </c>
      <c r="F246" s="4" t="s">
        <v>36</v>
      </c>
      <c r="G246" s="4" t="s">
        <v>37</v>
      </c>
      <c r="H246" s="4" t="s">
        <v>202</v>
      </c>
      <c r="I246" s="4"/>
      <c r="J246" s="4">
        <v>0</v>
      </c>
      <c r="K246" s="4"/>
      <c r="L246" s="4" t="s">
        <v>59</v>
      </c>
      <c r="M246" s="4" t="s">
        <v>40</v>
      </c>
      <c r="N246" s="4">
        <v>0</v>
      </c>
      <c r="O246" s="4" t="s">
        <v>213</v>
      </c>
      <c r="P246" s="4" t="s">
        <v>42</v>
      </c>
      <c r="Q246" s="50" t="s">
        <v>43</v>
      </c>
      <c r="R246" s="50"/>
      <c r="S246" s="50">
        <v>0</v>
      </c>
      <c r="T246" s="4" t="s">
        <v>43</v>
      </c>
      <c r="U246" s="4" t="s">
        <v>43</v>
      </c>
    </row>
    <row r="247" spans="3:21" hidden="1" x14ac:dyDescent="0.25">
      <c r="C247" s="4" t="s">
        <v>215</v>
      </c>
      <c r="D247" s="4" t="s">
        <v>216</v>
      </c>
      <c r="E247" s="4" t="s">
        <v>216</v>
      </c>
      <c r="F247" s="4" t="s">
        <v>36</v>
      </c>
      <c r="G247" s="4" t="s">
        <v>37</v>
      </c>
      <c r="H247" s="4" t="s">
        <v>81</v>
      </c>
      <c r="I247" s="4"/>
      <c r="J247" s="4" t="s">
        <v>67</v>
      </c>
      <c r="K247" s="4"/>
      <c r="L247" s="4" t="s">
        <v>138</v>
      </c>
      <c r="M247" s="4" t="s">
        <v>40</v>
      </c>
      <c r="N247" s="4">
        <v>0</v>
      </c>
      <c r="O247" s="4" t="s">
        <v>215</v>
      </c>
      <c r="P247" s="4" t="s">
        <v>42</v>
      </c>
      <c r="Q247" s="50" t="s">
        <v>43</v>
      </c>
      <c r="R247" s="50"/>
      <c r="S247" s="50">
        <v>0</v>
      </c>
      <c r="T247" s="4" t="s">
        <v>43</v>
      </c>
      <c r="U247" s="4" t="s">
        <v>43</v>
      </c>
    </row>
    <row r="248" spans="3:21" hidden="1" x14ac:dyDescent="0.25">
      <c r="C248" s="4" t="s">
        <v>548</v>
      </c>
      <c r="D248" s="4" t="s">
        <v>549</v>
      </c>
      <c r="E248" s="4" t="s">
        <v>550</v>
      </c>
      <c r="F248" s="4">
        <v>5</v>
      </c>
      <c r="G248" s="4" t="s">
        <v>376</v>
      </c>
      <c r="H248" s="4" t="s">
        <v>81</v>
      </c>
      <c r="I248" s="4"/>
      <c r="J248" s="4" t="s">
        <v>100</v>
      </c>
      <c r="K248" s="4" t="s">
        <v>43</v>
      </c>
      <c r="L248" s="4" t="s">
        <v>138</v>
      </c>
      <c r="M248" s="4" t="s">
        <v>40</v>
      </c>
      <c r="N248" s="4" t="s">
        <v>514</v>
      </c>
      <c r="O248" s="4" t="s">
        <v>548</v>
      </c>
      <c r="P248" s="4" t="s">
        <v>42</v>
      </c>
      <c r="Q248" s="50" t="s">
        <v>43</v>
      </c>
      <c r="R248" s="50"/>
      <c r="S248" s="50" t="s">
        <v>515</v>
      </c>
      <c r="T248" s="4" t="s">
        <v>43</v>
      </c>
      <c r="U248" s="4" t="s">
        <v>43</v>
      </c>
    </row>
    <row r="249" spans="3:21" hidden="1" x14ac:dyDescent="0.25">
      <c r="C249" s="4" t="s">
        <v>726</v>
      </c>
      <c r="D249" s="4" t="s">
        <v>727</v>
      </c>
      <c r="E249" s="4" t="s">
        <v>727</v>
      </c>
      <c r="F249" s="4">
        <v>5</v>
      </c>
      <c r="G249" s="4" t="s">
        <v>37</v>
      </c>
      <c r="H249" s="4" t="s">
        <v>81</v>
      </c>
      <c r="I249" s="4"/>
      <c r="J249" s="4" t="s">
        <v>84</v>
      </c>
      <c r="K249" s="4"/>
      <c r="L249" s="4" t="s">
        <v>54</v>
      </c>
      <c r="M249" s="4" t="s">
        <v>55</v>
      </c>
      <c r="N249" s="4" t="s">
        <v>984</v>
      </c>
      <c r="O249" s="4" t="s">
        <v>726</v>
      </c>
      <c r="P249" s="4" t="s">
        <v>42</v>
      </c>
      <c r="Q249" s="50" t="s">
        <v>43</v>
      </c>
      <c r="R249" s="50"/>
      <c r="S249" s="50" t="s">
        <v>702</v>
      </c>
      <c r="T249" s="4" t="s">
        <v>43</v>
      </c>
      <c r="U249" s="4" t="s">
        <v>43</v>
      </c>
    </row>
    <row r="250" spans="3:21" hidden="1" x14ac:dyDescent="0.25">
      <c r="C250" s="4" t="s">
        <v>217</v>
      </c>
      <c r="D250" s="4" t="s">
        <v>218</v>
      </c>
      <c r="E250" s="4"/>
      <c r="F250" s="4" t="s">
        <v>36</v>
      </c>
      <c r="G250" s="4" t="s">
        <v>37</v>
      </c>
      <c r="H250" s="4" t="s">
        <v>81</v>
      </c>
      <c r="I250" s="4"/>
      <c r="J250" s="4">
        <v>0</v>
      </c>
      <c r="K250" s="4"/>
      <c r="L250" s="4" t="s">
        <v>59</v>
      </c>
      <c r="M250" s="4" t="s">
        <v>40</v>
      </c>
      <c r="N250" s="4">
        <v>0</v>
      </c>
      <c r="O250" s="4" t="s">
        <v>217</v>
      </c>
      <c r="P250" s="4" t="s">
        <v>42</v>
      </c>
      <c r="Q250" s="50" t="s">
        <v>43</v>
      </c>
      <c r="R250" s="50"/>
      <c r="S250" s="50">
        <v>0</v>
      </c>
      <c r="T250" s="4" t="s">
        <v>43</v>
      </c>
      <c r="U250" s="4" t="s">
        <v>43</v>
      </c>
    </row>
    <row r="251" spans="3:21" hidden="1" x14ac:dyDescent="0.25">
      <c r="C251" s="4" t="s">
        <v>551</v>
      </c>
      <c r="D251" s="4" t="s">
        <v>552</v>
      </c>
      <c r="E251" s="4" t="s">
        <v>999</v>
      </c>
      <c r="F251" s="4">
        <v>5</v>
      </c>
      <c r="G251" s="4" t="s">
        <v>37</v>
      </c>
      <c r="H251" s="4" t="s">
        <v>46</v>
      </c>
      <c r="I251" s="4"/>
      <c r="J251" s="4" t="s">
        <v>100</v>
      </c>
      <c r="K251" s="4"/>
      <c r="L251" s="4" t="s">
        <v>138</v>
      </c>
      <c r="M251" s="4" t="s">
        <v>40</v>
      </c>
      <c r="N251" s="4" t="s">
        <v>514</v>
      </c>
      <c r="O251" s="4" t="s">
        <v>551</v>
      </c>
      <c r="P251" s="4" t="s">
        <v>42</v>
      </c>
      <c r="Q251" s="50" t="s">
        <v>43</v>
      </c>
      <c r="R251" s="50"/>
      <c r="S251" s="50" t="s">
        <v>515</v>
      </c>
      <c r="T251" s="4" t="s">
        <v>43</v>
      </c>
      <c r="U251" s="4" t="s">
        <v>43</v>
      </c>
    </row>
    <row r="252" spans="3:21" hidden="1" x14ac:dyDescent="0.25">
      <c r="C252" s="4" t="s">
        <v>219</v>
      </c>
      <c r="D252" s="4" t="s">
        <v>220</v>
      </c>
      <c r="E252" s="4" t="s">
        <v>220</v>
      </c>
      <c r="F252" s="4" t="s">
        <v>36</v>
      </c>
      <c r="G252" s="4" t="s">
        <v>37</v>
      </c>
      <c r="H252" s="4" t="s">
        <v>38</v>
      </c>
      <c r="I252" s="4"/>
      <c r="J252" s="4" t="s">
        <v>100</v>
      </c>
      <c r="K252" s="4"/>
      <c r="L252" s="4" t="s">
        <v>59</v>
      </c>
      <c r="M252" s="4" t="s">
        <v>40</v>
      </c>
      <c r="N252" s="4" t="s">
        <v>514</v>
      </c>
      <c r="O252" s="4" t="s">
        <v>219</v>
      </c>
      <c r="P252" s="4" t="s">
        <v>42</v>
      </c>
      <c r="Q252" s="50" t="s">
        <v>43</v>
      </c>
      <c r="R252" s="50"/>
      <c r="S252" s="50">
        <v>0</v>
      </c>
      <c r="T252" s="4" t="s">
        <v>43</v>
      </c>
      <c r="U252" s="4" t="s">
        <v>43</v>
      </c>
    </row>
    <row r="253" spans="3:21" hidden="1" x14ac:dyDescent="0.25">
      <c r="C253" s="4" t="s">
        <v>221</v>
      </c>
      <c r="D253" s="4" t="s">
        <v>222</v>
      </c>
      <c r="E253" s="4" t="s">
        <v>223</v>
      </c>
      <c r="F253" s="4" t="s">
        <v>36</v>
      </c>
      <c r="G253" s="4" t="s">
        <v>37</v>
      </c>
      <c r="H253" s="4" t="s">
        <v>38</v>
      </c>
      <c r="I253" s="4"/>
      <c r="J253" s="4">
        <v>0</v>
      </c>
      <c r="K253" s="4"/>
      <c r="L253" s="4" t="s">
        <v>47</v>
      </c>
      <c r="M253" s="4" t="s">
        <v>40</v>
      </c>
      <c r="N253" s="4">
        <v>0</v>
      </c>
      <c r="O253" s="4" t="s">
        <v>221</v>
      </c>
      <c r="P253" s="4" t="s">
        <v>42</v>
      </c>
      <c r="Q253" s="50" t="s">
        <v>43</v>
      </c>
      <c r="R253" s="50"/>
      <c r="S253" s="50">
        <v>0</v>
      </c>
      <c r="T253" s="4" t="s">
        <v>43</v>
      </c>
      <c r="U253" s="4" t="s">
        <v>43</v>
      </c>
    </row>
    <row r="254" spans="3:21" hidden="1" x14ac:dyDescent="0.25">
      <c r="C254" s="4" t="s">
        <v>224</v>
      </c>
      <c r="D254" s="4" t="s">
        <v>225</v>
      </c>
      <c r="E254" s="4" t="s">
        <v>226</v>
      </c>
      <c r="F254" s="4" t="s">
        <v>36</v>
      </c>
      <c r="G254" s="4" t="s">
        <v>37</v>
      </c>
      <c r="H254" s="4" t="s">
        <v>38</v>
      </c>
      <c r="I254" s="4"/>
      <c r="J254" s="4">
        <v>0</v>
      </c>
      <c r="K254" s="4"/>
      <c r="L254" s="4" t="s">
        <v>59</v>
      </c>
      <c r="M254" s="4" t="s">
        <v>40</v>
      </c>
      <c r="N254" s="4">
        <v>0</v>
      </c>
      <c r="O254" s="4" t="s">
        <v>224</v>
      </c>
      <c r="P254" s="4" t="s">
        <v>42</v>
      </c>
      <c r="Q254" s="50" t="s">
        <v>43</v>
      </c>
      <c r="R254" s="50"/>
      <c r="S254" s="50">
        <v>0</v>
      </c>
      <c r="T254" s="4" t="s">
        <v>43</v>
      </c>
      <c r="U254" s="4" t="s">
        <v>43</v>
      </c>
    </row>
    <row r="255" spans="3:21" hidden="1" x14ac:dyDescent="0.25">
      <c r="C255" s="4" t="s">
        <v>502</v>
      </c>
      <c r="D255" s="4" t="s">
        <v>503</v>
      </c>
      <c r="E255" s="4" t="s">
        <v>504</v>
      </c>
      <c r="F255" s="4">
        <v>5</v>
      </c>
      <c r="G255" s="4" t="s">
        <v>376</v>
      </c>
      <c r="H255" s="4" t="s">
        <v>46</v>
      </c>
      <c r="I255" s="4"/>
      <c r="J255" s="4" t="s">
        <v>466</v>
      </c>
      <c r="K255" s="4" t="s">
        <v>43</v>
      </c>
      <c r="L255" s="4" t="s">
        <v>51</v>
      </c>
      <c r="M255" s="4" t="s">
        <v>40</v>
      </c>
      <c r="N255" s="4" t="s">
        <v>378</v>
      </c>
      <c r="O255" s="4" t="s">
        <v>502</v>
      </c>
      <c r="P255" s="4" t="s">
        <v>42</v>
      </c>
      <c r="Q255" s="50" t="s">
        <v>43</v>
      </c>
      <c r="R255" s="50"/>
      <c r="S255" s="50" t="s">
        <v>467</v>
      </c>
      <c r="T255" s="4" t="s">
        <v>43</v>
      </c>
      <c r="U255" s="4" t="s">
        <v>43</v>
      </c>
    </row>
    <row r="256" spans="3:21" hidden="1" x14ac:dyDescent="0.25">
      <c r="C256" s="4" t="s">
        <v>227</v>
      </c>
      <c r="D256" s="4" t="s">
        <v>228</v>
      </c>
      <c r="E256" s="4" t="s">
        <v>229</v>
      </c>
      <c r="F256" s="4" t="s">
        <v>36</v>
      </c>
      <c r="G256" s="4" t="s">
        <v>37</v>
      </c>
      <c r="H256" s="4" t="s">
        <v>38</v>
      </c>
      <c r="I256" s="4"/>
      <c r="J256" s="4">
        <v>0</v>
      </c>
      <c r="K256" s="4"/>
      <c r="L256" s="4" t="s">
        <v>54</v>
      </c>
      <c r="M256" s="4" t="s">
        <v>55</v>
      </c>
      <c r="N256" s="4">
        <v>0</v>
      </c>
      <c r="O256" s="4" t="s">
        <v>227</v>
      </c>
      <c r="P256" s="4" t="s">
        <v>42</v>
      </c>
      <c r="Q256" s="50" t="s">
        <v>43</v>
      </c>
      <c r="R256" s="50"/>
      <c r="S256" s="50">
        <v>0</v>
      </c>
      <c r="T256" s="4" t="s">
        <v>43</v>
      </c>
      <c r="U256" s="4" t="s">
        <v>43</v>
      </c>
    </row>
    <row r="257" spans="3:21" hidden="1" x14ac:dyDescent="0.25">
      <c r="C257" s="4" t="s">
        <v>728</v>
      </c>
      <c r="D257" s="4" t="s">
        <v>729</v>
      </c>
      <c r="E257" s="4" t="s">
        <v>730</v>
      </c>
      <c r="F257" s="4">
        <v>5</v>
      </c>
      <c r="G257" s="4" t="s">
        <v>376</v>
      </c>
      <c r="H257" s="4" t="s">
        <v>46</v>
      </c>
      <c r="I257" s="4"/>
      <c r="J257" s="4" t="s">
        <v>84</v>
      </c>
      <c r="K257" s="4" t="s">
        <v>440</v>
      </c>
      <c r="L257" s="4" t="s">
        <v>722</v>
      </c>
      <c r="M257" s="4" t="s">
        <v>55</v>
      </c>
      <c r="N257" s="4" t="s">
        <v>984</v>
      </c>
      <c r="O257" s="4" t="s">
        <v>728</v>
      </c>
      <c r="P257" s="4" t="s">
        <v>42</v>
      </c>
      <c r="Q257" s="50" t="s">
        <v>43</v>
      </c>
      <c r="R257" s="50"/>
      <c r="S257" s="50" t="s">
        <v>702</v>
      </c>
      <c r="T257" s="4" t="s">
        <v>43</v>
      </c>
      <c r="U257" s="4" t="s">
        <v>43</v>
      </c>
    </row>
    <row r="258" spans="3:21" hidden="1" x14ac:dyDescent="0.25">
      <c r="C258" s="4" t="s">
        <v>230</v>
      </c>
      <c r="D258" s="4" t="s">
        <v>231</v>
      </c>
      <c r="E258" s="4" t="s">
        <v>232</v>
      </c>
      <c r="F258" s="4" t="s">
        <v>36</v>
      </c>
      <c r="G258" s="4" t="s">
        <v>37</v>
      </c>
      <c r="H258" s="4" t="s">
        <v>38</v>
      </c>
      <c r="I258" s="4"/>
      <c r="J258" s="4" t="s">
        <v>84</v>
      </c>
      <c r="K258" s="4"/>
      <c r="L258" s="4" t="s">
        <v>54</v>
      </c>
      <c r="M258" s="4" t="s">
        <v>55</v>
      </c>
      <c r="N258" s="4" t="s">
        <v>984</v>
      </c>
      <c r="O258" s="4" t="s">
        <v>230</v>
      </c>
      <c r="P258" s="4" t="s">
        <v>42</v>
      </c>
      <c r="Q258" s="50" t="s">
        <v>43</v>
      </c>
      <c r="R258" s="50"/>
      <c r="S258" s="50" t="s">
        <v>702</v>
      </c>
      <c r="T258" s="4" t="s">
        <v>43</v>
      </c>
      <c r="U258" s="4" t="s">
        <v>43</v>
      </c>
    </row>
    <row r="259" spans="3:21" hidden="1" x14ac:dyDescent="0.25">
      <c r="C259" s="4" t="s">
        <v>233</v>
      </c>
      <c r="D259" s="4" t="s">
        <v>234</v>
      </c>
      <c r="E259" s="4" t="s">
        <v>235</v>
      </c>
      <c r="F259" s="4" t="s">
        <v>36</v>
      </c>
      <c r="G259" s="4" t="s">
        <v>37</v>
      </c>
      <c r="H259" s="4" t="s">
        <v>38</v>
      </c>
      <c r="I259" s="4"/>
      <c r="J259" s="4" t="s">
        <v>84</v>
      </c>
      <c r="K259" s="4"/>
      <c r="L259" s="4" t="s">
        <v>54</v>
      </c>
      <c r="M259" s="4" t="s">
        <v>55</v>
      </c>
      <c r="N259" s="4" t="s">
        <v>984</v>
      </c>
      <c r="O259" s="4" t="s">
        <v>233</v>
      </c>
      <c r="P259" s="4" t="s">
        <v>42</v>
      </c>
      <c r="Q259" s="50" t="s">
        <v>43</v>
      </c>
      <c r="R259" s="50"/>
      <c r="S259" s="50">
        <v>0</v>
      </c>
      <c r="T259" s="4" t="s">
        <v>43</v>
      </c>
      <c r="U259" s="4" t="s">
        <v>43</v>
      </c>
    </row>
    <row r="260" spans="3:21" hidden="1" x14ac:dyDescent="0.25">
      <c r="C260" s="4" t="s">
        <v>236</v>
      </c>
      <c r="D260" s="4" t="s">
        <v>237</v>
      </c>
      <c r="E260" s="4" t="s">
        <v>237</v>
      </c>
      <c r="F260" s="4" t="s">
        <v>36</v>
      </c>
      <c r="G260" s="4" t="s">
        <v>37</v>
      </c>
      <c r="H260" s="4" t="s">
        <v>38</v>
      </c>
      <c r="I260" s="4"/>
      <c r="J260" s="4">
        <v>0</v>
      </c>
      <c r="K260" s="4"/>
      <c r="L260" s="4" t="s">
        <v>59</v>
      </c>
      <c r="M260" s="4" t="s">
        <v>40</v>
      </c>
      <c r="N260" s="4">
        <v>0</v>
      </c>
      <c r="O260" s="4" t="s">
        <v>236</v>
      </c>
      <c r="P260" s="4" t="s">
        <v>42</v>
      </c>
      <c r="Q260" s="50" t="s">
        <v>43</v>
      </c>
      <c r="R260" s="50"/>
      <c r="S260" s="50">
        <v>0</v>
      </c>
      <c r="T260" s="4" t="s">
        <v>43</v>
      </c>
      <c r="U260" s="4" t="s">
        <v>43</v>
      </c>
    </row>
    <row r="261" spans="3:21" hidden="1" x14ac:dyDescent="0.25">
      <c r="C261" s="4" t="s">
        <v>238</v>
      </c>
      <c r="D261" s="4" t="s">
        <v>239</v>
      </c>
      <c r="E261" s="4" t="s">
        <v>240</v>
      </c>
      <c r="F261" s="4" t="s">
        <v>36</v>
      </c>
      <c r="G261" s="4" t="s">
        <v>37</v>
      </c>
      <c r="H261" s="4" t="s">
        <v>38</v>
      </c>
      <c r="I261" s="4"/>
      <c r="J261" s="4" t="s">
        <v>146</v>
      </c>
      <c r="K261" s="4"/>
      <c r="L261" s="4" t="s">
        <v>59</v>
      </c>
      <c r="M261" s="4" t="s">
        <v>40</v>
      </c>
      <c r="N261" s="4" t="s">
        <v>984</v>
      </c>
      <c r="O261" s="4" t="s">
        <v>238</v>
      </c>
      <c r="P261" s="4" t="s">
        <v>42</v>
      </c>
      <c r="Q261" s="50" t="s">
        <v>43</v>
      </c>
      <c r="R261" s="50"/>
      <c r="S261" s="50">
        <v>0</v>
      </c>
      <c r="T261" s="4" t="s">
        <v>43</v>
      </c>
      <c r="U261" s="4" t="s">
        <v>43</v>
      </c>
    </row>
    <row r="262" spans="3:21" hidden="1" x14ac:dyDescent="0.25">
      <c r="C262" s="4" t="s">
        <v>962</v>
      </c>
      <c r="D262" s="4" t="s">
        <v>963</v>
      </c>
      <c r="E262" s="4" t="s">
        <v>964</v>
      </c>
      <c r="F262" s="4">
        <v>5</v>
      </c>
      <c r="G262" s="4" t="s">
        <v>376</v>
      </c>
      <c r="H262" s="4" t="s">
        <v>46</v>
      </c>
      <c r="I262" s="4"/>
      <c r="J262" s="4" t="s">
        <v>160</v>
      </c>
      <c r="K262" s="4" t="s">
        <v>43</v>
      </c>
      <c r="L262" s="4" t="s">
        <v>371</v>
      </c>
      <c r="M262" s="4" t="s">
        <v>40</v>
      </c>
      <c r="N262" s="4" t="s">
        <v>378</v>
      </c>
      <c r="O262" s="4" t="s">
        <v>962</v>
      </c>
      <c r="P262" s="4" t="s">
        <v>42</v>
      </c>
      <c r="Q262" s="50" t="s">
        <v>43</v>
      </c>
      <c r="R262" s="50"/>
      <c r="S262" s="50" t="s">
        <v>931</v>
      </c>
      <c r="T262" s="4" t="s">
        <v>43</v>
      </c>
      <c r="U262" s="4" t="s">
        <v>43</v>
      </c>
    </row>
    <row r="263" spans="3:21" hidden="1" x14ac:dyDescent="0.25">
      <c r="C263" s="4" t="s">
        <v>687</v>
      </c>
      <c r="D263" s="4" t="s">
        <v>688</v>
      </c>
      <c r="E263" s="4" t="s">
        <v>689</v>
      </c>
      <c r="F263" s="4">
        <v>6</v>
      </c>
      <c r="G263" s="4" t="s">
        <v>376</v>
      </c>
      <c r="H263" s="4" t="s">
        <v>46</v>
      </c>
      <c r="I263" s="4"/>
      <c r="J263" s="4" t="s">
        <v>248</v>
      </c>
      <c r="K263" s="4" t="s">
        <v>43</v>
      </c>
      <c r="L263" s="4" t="s">
        <v>51</v>
      </c>
      <c r="M263" s="4" t="s">
        <v>40</v>
      </c>
      <c r="N263" s="4" t="s">
        <v>984</v>
      </c>
      <c r="O263" s="4" t="s">
        <v>687</v>
      </c>
      <c r="P263" s="4" t="s">
        <v>42</v>
      </c>
      <c r="Q263" s="50" t="s">
        <v>43</v>
      </c>
      <c r="R263" s="50"/>
      <c r="S263" s="50" t="s">
        <v>51</v>
      </c>
      <c r="T263" s="4" t="s">
        <v>43</v>
      </c>
      <c r="U263" s="4" t="s">
        <v>43</v>
      </c>
    </row>
    <row r="264" spans="3:21" hidden="1" x14ac:dyDescent="0.25">
      <c r="C264" s="4" t="s">
        <v>241</v>
      </c>
      <c r="D264" s="4" t="s">
        <v>242</v>
      </c>
      <c r="E264" s="4" t="s">
        <v>243</v>
      </c>
      <c r="F264" s="4" t="s">
        <v>36</v>
      </c>
      <c r="G264" s="4" t="s">
        <v>37</v>
      </c>
      <c r="H264" s="4" t="s">
        <v>38</v>
      </c>
      <c r="I264" s="4"/>
      <c r="J264" s="4" t="s">
        <v>132</v>
      </c>
      <c r="K264" s="4"/>
      <c r="L264" s="4" t="s">
        <v>64</v>
      </c>
      <c r="M264" s="4" t="s">
        <v>40</v>
      </c>
      <c r="N264" s="4" t="s">
        <v>514</v>
      </c>
      <c r="O264" s="4" t="s">
        <v>241</v>
      </c>
      <c r="P264" s="4" t="s">
        <v>42</v>
      </c>
      <c r="Q264" s="50" t="s">
        <v>43</v>
      </c>
      <c r="R264" s="50"/>
      <c r="S264" s="50">
        <v>0</v>
      </c>
      <c r="T264" s="4" t="s">
        <v>43</v>
      </c>
      <c r="U264" s="4" t="s">
        <v>43</v>
      </c>
    </row>
    <row r="265" spans="3:21" hidden="1" x14ac:dyDescent="0.25">
      <c r="C265" s="4" t="s">
        <v>244</v>
      </c>
      <c r="D265" s="4" t="s">
        <v>245</v>
      </c>
      <c r="E265" s="4" t="s">
        <v>245</v>
      </c>
      <c r="F265" s="4" t="s">
        <v>36</v>
      </c>
      <c r="G265" s="4" t="s">
        <v>37</v>
      </c>
      <c r="H265" s="4" t="s">
        <v>81</v>
      </c>
      <c r="I265" s="4"/>
      <c r="J265" s="4">
        <v>0</v>
      </c>
      <c r="K265" s="4"/>
      <c r="L265" s="4" t="s">
        <v>133</v>
      </c>
      <c r="M265" s="4" t="s">
        <v>40</v>
      </c>
      <c r="N265" s="4">
        <v>0</v>
      </c>
      <c r="O265" s="4" t="s">
        <v>244</v>
      </c>
      <c r="P265" s="4" t="s">
        <v>42</v>
      </c>
      <c r="Q265" s="50" t="s">
        <v>43</v>
      </c>
      <c r="R265" s="50"/>
      <c r="S265" s="50">
        <v>0</v>
      </c>
      <c r="T265" s="4" t="s">
        <v>43</v>
      </c>
      <c r="U265" s="4" t="s">
        <v>43</v>
      </c>
    </row>
    <row r="266" spans="3:21" hidden="1" x14ac:dyDescent="0.25">
      <c r="C266" s="4" t="s">
        <v>246</v>
      </c>
      <c r="D266" s="4" t="s">
        <v>247</v>
      </c>
      <c r="E266" s="4" t="s">
        <v>247</v>
      </c>
      <c r="F266" s="4" t="s">
        <v>36</v>
      </c>
      <c r="G266" s="4" t="s">
        <v>37</v>
      </c>
      <c r="H266" s="4" t="s">
        <v>38</v>
      </c>
      <c r="I266" s="4"/>
      <c r="J266" s="4" t="s">
        <v>248</v>
      </c>
      <c r="K266" s="4"/>
      <c r="L266" s="4" t="s">
        <v>138</v>
      </c>
      <c r="M266" s="4" t="s">
        <v>40</v>
      </c>
      <c r="N266" s="4" t="s">
        <v>984</v>
      </c>
      <c r="O266" s="4" t="s">
        <v>246</v>
      </c>
      <c r="P266" s="4" t="s">
        <v>42</v>
      </c>
      <c r="Q266" s="50" t="s">
        <v>43</v>
      </c>
      <c r="R266" s="50"/>
      <c r="S266" s="50">
        <v>0</v>
      </c>
      <c r="T266" s="4" t="s">
        <v>43</v>
      </c>
      <c r="U266" s="4" t="s">
        <v>43</v>
      </c>
    </row>
    <row r="267" spans="3:21" hidden="1" x14ac:dyDescent="0.25">
      <c r="C267" s="4" t="s">
        <v>249</v>
      </c>
      <c r="D267" s="4" t="s">
        <v>250</v>
      </c>
      <c r="E267" s="4" t="s">
        <v>250</v>
      </c>
      <c r="F267" s="4" t="s">
        <v>36</v>
      </c>
      <c r="G267" s="4" t="s">
        <v>37</v>
      </c>
      <c r="H267" s="4" t="s">
        <v>38</v>
      </c>
      <c r="I267" s="4"/>
      <c r="J267" s="4" t="s">
        <v>94</v>
      </c>
      <c r="K267" s="4"/>
      <c r="L267" s="4" t="s">
        <v>138</v>
      </c>
      <c r="M267" s="4" t="s">
        <v>40</v>
      </c>
      <c r="N267" s="4" t="s">
        <v>422</v>
      </c>
      <c r="O267" s="4" t="s">
        <v>249</v>
      </c>
      <c r="P267" s="4" t="s">
        <v>42</v>
      </c>
      <c r="Q267" s="50" t="s">
        <v>43</v>
      </c>
      <c r="R267" s="50"/>
      <c r="S267" s="50">
        <v>0</v>
      </c>
      <c r="T267" s="4" t="s">
        <v>43</v>
      </c>
      <c r="U267" s="4" t="s">
        <v>43</v>
      </c>
    </row>
    <row r="268" spans="3:21" hidden="1" x14ac:dyDescent="0.25">
      <c r="C268" s="4" t="s">
        <v>251</v>
      </c>
      <c r="D268" s="4" t="s">
        <v>252</v>
      </c>
      <c r="E268" s="4" t="s">
        <v>253</v>
      </c>
      <c r="F268" s="4" t="s">
        <v>36</v>
      </c>
      <c r="G268" s="4" t="s">
        <v>37</v>
      </c>
      <c r="H268" s="4" t="s">
        <v>38</v>
      </c>
      <c r="I268" s="4"/>
      <c r="J268" s="4">
        <v>0</v>
      </c>
      <c r="K268" s="4"/>
      <c r="L268" s="4" t="s">
        <v>64</v>
      </c>
      <c r="M268" s="4" t="s">
        <v>40</v>
      </c>
      <c r="N268" s="4">
        <v>0</v>
      </c>
      <c r="O268" s="4" t="s">
        <v>251</v>
      </c>
      <c r="P268" s="4" t="s">
        <v>42</v>
      </c>
      <c r="Q268" s="50" t="s">
        <v>43</v>
      </c>
      <c r="R268" s="50"/>
      <c r="S268" s="50">
        <v>0</v>
      </c>
      <c r="T268" s="4" t="s">
        <v>43</v>
      </c>
      <c r="U268" s="4" t="s">
        <v>43</v>
      </c>
    </row>
    <row r="269" spans="3:21" hidden="1" x14ac:dyDescent="0.25">
      <c r="C269" s="4" t="s">
        <v>254</v>
      </c>
      <c r="D269" s="4" t="s">
        <v>255</v>
      </c>
      <c r="E269" s="4" t="s">
        <v>255</v>
      </c>
      <c r="F269" s="4" t="s">
        <v>36</v>
      </c>
      <c r="G269" s="4" t="s">
        <v>37</v>
      </c>
      <c r="H269" s="4" t="s">
        <v>38</v>
      </c>
      <c r="I269" s="4"/>
      <c r="J269" s="4">
        <v>0</v>
      </c>
      <c r="K269" s="4"/>
      <c r="L269" s="4" t="s">
        <v>51</v>
      </c>
      <c r="M269" s="4" t="s">
        <v>40</v>
      </c>
      <c r="N269" s="4">
        <v>0</v>
      </c>
      <c r="O269" s="4" t="s">
        <v>254</v>
      </c>
      <c r="P269" s="4" t="s">
        <v>42</v>
      </c>
      <c r="Q269" s="50" t="s">
        <v>43</v>
      </c>
      <c r="R269" s="50"/>
      <c r="S269" s="50">
        <v>0</v>
      </c>
      <c r="T269" s="4" t="s">
        <v>43</v>
      </c>
      <c r="U269" s="4" t="s">
        <v>43</v>
      </c>
    </row>
    <row r="270" spans="3:21" hidden="1" x14ac:dyDescent="0.25">
      <c r="C270" s="4" t="s">
        <v>590</v>
      </c>
      <c r="D270" s="4" t="s">
        <v>591</v>
      </c>
      <c r="E270" s="4" t="s">
        <v>591</v>
      </c>
      <c r="F270" s="4">
        <v>5</v>
      </c>
      <c r="G270" s="4" t="s">
        <v>376</v>
      </c>
      <c r="H270" s="4" t="s">
        <v>46</v>
      </c>
      <c r="I270" s="4"/>
      <c r="J270" s="4" t="s">
        <v>331</v>
      </c>
      <c r="K270" s="4" t="s">
        <v>43</v>
      </c>
      <c r="L270" s="4" t="s">
        <v>138</v>
      </c>
      <c r="M270" s="4" t="s">
        <v>40</v>
      </c>
      <c r="N270" s="4" t="s">
        <v>422</v>
      </c>
      <c r="O270" s="4" t="s">
        <v>590</v>
      </c>
      <c r="P270" s="4" t="s">
        <v>42</v>
      </c>
      <c r="Q270" s="50" t="s">
        <v>43</v>
      </c>
      <c r="R270" s="50"/>
      <c r="S270" s="50" t="s">
        <v>557</v>
      </c>
      <c r="T270" s="4" t="s">
        <v>43</v>
      </c>
      <c r="U270" s="4" t="s">
        <v>43</v>
      </c>
    </row>
    <row r="271" spans="3:21" hidden="1" x14ac:dyDescent="0.25">
      <c r="C271" s="4" t="s">
        <v>447</v>
      </c>
      <c r="D271" s="4" t="s">
        <v>448</v>
      </c>
      <c r="E271" s="4" t="s">
        <v>449</v>
      </c>
      <c r="F271" s="4">
        <v>6</v>
      </c>
      <c r="G271" s="4" t="s">
        <v>376</v>
      </c>
      <c r="H271" s="4" t="s">
        <v>46</v>
      </c>
      <c r="I271" s="4"/>
      <c r="J271" s="4" t="s">
        <v>94</v>
      </c>
      <c r="K271" s="4" t="s">
        <v>43</v>
      </c>
      <c r="L271" s="4" t="s">
        <v>64</v>
      </c>
      <c r="M271" s="4" t="s">
        <v>40</v>
      </c>
      <c r="N271" s="4" t="s">
        <v>422</v>
      </c>
      <c r="O271" s="4" t="s">
        <v>447</v>
      </c>
      <c r="P271" s="4" t="s">
        <v>42</v>
      </c>
      <c r="Q271" s="50" t="s">
        <v>43</v>
      </c>
      <c r="R271" s="50"/>
      <c r="S271" s="50" t="s">
        <v>423</v>
      </c>
      <c r="T271" s="4" t="s">
        <v>43</v>
      </c>
      <c r="U271" s="4" t="s">
        <v>43</v>
      </c>
    </row>
    <row r="272" spans="3:21" hidden="1" x14ac:dyDescent="0.25">
      <c r="C272" s="4" t="s">
        <v>256</v>
      </c>
      <c r="D272" s="4" t="s">
        <v>257</v>
      </c>
      <c r="E272" s="4" t="s">
        <v>257</v>
      </c>
      <c r="F272" s="4" t="s">
        <v>36</v>
      </c>
      <c r="G272" s="4" t="s">
        <v>37</v>
      </c>
      <c r="H272" s="4" t="s">
        <v>38</v>
      </c>
      <c r="I272" s="4"/>
      <c r="J272" s="4">
        <v>0</v>
      </c>
      <c r="K272" s="4"/>
      <c r="L272" s="4" t="s">
        <v>138</v>
      </c>
      <c r="M272" s="4" t="s">
        <v>40</v>
      </c>
      <c r="N272" s="4">
        <v>0</v>
      </c>
      <c r="O272" s="4" t="s">
        <v>256</v>
      </c>
      <c r="P272" s="4" t="s">
        <v>42</v>
      </c>
      <c r="Q272" s="50" t="s">
        <v>43</v>
      </c>
      <c r="R272" s="50"/>
      <c r="S272" s="50">
        <v>0</v>
      </c>
      <c r="T272" s="4" t="s">
        <v>43</v>
      </c>
      <c r="U272" s="4" t="s">
        <v>43</v>
      </c>
    </row>
    <row r="273" spans="3:21" hidden="1" x14ac:dyDescent="0.25">
      <c r="C273" s="4" t="s">
        <v>450</v>
      </c>
      <c r="D273" s="4" t="s">
        <v>451</v>
      </c>
      <c r="E273" s="4" t="s">
        <v>452</v>
      </c>
      <c r="F273" s="4">
        <v>5</v>
      </c>
      <c r="G273" s="4" t="s">
        <v>376</v>
      </c>
      <c r="H273" s="4" t="s">
        <v>46</v>
      </c>
      <c r="I273" s="4"/>
      <c r="J273" s="4" t="s">
        <v>94</v>
      </c>
      <c r="K273" s="4" t="s">
        <v>43</v>
      </c>
      <c r="L273" s="4" t="s">
        <v>64</v>
      </c>
      <c r="M273" s="4" t="s">
        <v>40</v>
      </c>
      <c r="N273" s="4" t="s">
        <v>422</v>
      </c>
      <c r="O273" s="4" t="s">
        <v>450</v>
      </c>
      <c r="P273" s="4" t="s">
        <v>42</v>
      </c>
      <c r="Q273" s="50" t="s">
        <v>43</v>
      </c>
      <c r="R273" s="50"/>
      <c r="S273" s="50" t="s">
        <v>423</v>
      </c>
      <c r="T273" s="4" t="s">
        <v>43</v>
      </c>
      <c r="U273" s="4" t="s">
        <v>43</v>
      </c>
    </row>
    <row r="274" spans="3:21" hidden="1" x14ac:dyDescent="0.25">
      <c r="C274" s="4" t="s">
        <v>965</v>
      </c>
      <c r="D274" s="4" t="s">
        <v>966</v>
      </c>
      <c r="E274" s="4" t="s">
        <v>967</v>
      </c>
      <c r="F274" s="4">
        <v>5</v>
      </c>
      <c r="G274" s="4" t="s">
        <v>376</v>
      </c>
      <c r="H274" s="4" t="s">
        <v>46</v>
      </c>
      <c r="I274" s="4"/>
      <c r="J274" s="4" t="s">
        <v>160</v>
      </c>
      <c r="K274" s="4" t="s">
        <v>43</v>
      </c>
      <c r="L274" s="4" t="s">
        <v>353</v>
      </c>
      <c r="M274" s="4" t="s">
        <v>40</v>
      </c>
      <c r="N274" s="4" t="s">
        <v>378</v>
      </c>
      <c r="O274" s="4" t="s">
        <v>965</v>
      </c>
      <c r="P274" s="4" t="s">
        <v>42</v>
      </c>
      <c r="Q274" s="50" t="s">
        <v>43</v>
      </c>
      <c r="R274" s="50"/>
      <c r="S274" s="50" t="s">
        <v>931</v>
      </c>
      <c r="T274" s="4" t="s">
        <v>43</v>
      </c>
      <c r="U274" s="4" t="s">
        <v>43</v>
      </c>
    </row>
    <row r="275" spans="3:21" hidden="1" x14ac:dyDescent="0.25">
      <c r="C275" s="4" t="s">
        <v>258</v>
      </c>
      <c r="D275" s="4" t="s">
        <v>259</v>
      </c>
      <c r="E275" s="4" t="s">
        <v>260</v>
      </c>
      <c r="F275" s="4" t="s">
        <v>36</v>
      </c>
      <c r="G275" s="4" t="s">
        <v>37</v>
      </c>
      <c r="H275" s="4" t="s">
        <v>38</v>
      </c>
      <c r="I275" s="4"/>
      <c r="J275" s="4" t="s">
        <v>50</v>
      </c>
      <c r="K275" s="4"/>
      <c r="L275" s="4" t="s">
        <v>51</v>
      </c>
      <c r="M275" s="4" t="s">
        <v>40</v>
      </c>
      <c r="N275" s="4" t="s">
        <v>422</v>
      </c>
      <c r="O275" s="4" t="s">
        <v>258</v>
      </c>
      <c r="P275" s="4" t="s">
        <v>42</v>
      </c>
      <c r="Q275" s="50" t="s">
        <v>43</v>
      </c>
      <c r="R275" s="50"/>
      <c r="S275" s="50">
        <v>0</v>
      </c>
      <c r="T275" s="4" t="s">
        <v>43</v>
      </c>
      <c r="U275" s="4" t="s">
        <v>43</v>
      </c>
    </row>
    <row r="276" spans="3:21" hidden="1" x14ac:dyDescent="0.25">
      <c r="C276" s="4" t="s">
        <v>261</v>
      </c>
      <c r="D276" s="4" t="s">
        <v>262</v>
      </c>
      <c r="E276" s="4" t="s">
        <v>263</v>
      </c>
      <c r="F276" s="4" t="s">
        <v>36</v>
      </c>
      <c r="G276" s="4" t="s">
        <v>37</v>
      </c>
      <c r="H276" s="4" t="s">
        <v>38</v>
      </c>
      <c r="I276" s="4"/>
      <c r="J276" s="4" t="s">
        <v>58</v>
      </c>
      <c r="K276" s="4"/>
      <c r="L276" s="4" t="s">
        <v>138</v>
      </c>
      <c r="M276" s="4" t="s">
        <v>40</v>
      </c>
      <c r="N276" s="4" t="s">
        <v>378</v>
      </c>
      <c r="O276" s="4" t="s">
        <v>261</v>
      </c>
      <c r="P276" s="4" t="s">
        <v>42</v>
      </c>
      <c r="Q276" s="50" t="s">
        <v>43</v>
      </c>
      <c r="R276" s="50"/>
      <c r="S276" s="50">
        <v>0</v>
      </c>
      <c r="T276" s="4" t="s">
        <v>43</v>
      </c>
      <c r="U276" s="4" t="s">
        <v>43</v>
      </c>
    </row>
    <row r="277" spans="3:21" hidden="1" x14ac:dyDescent="0.25">
      <c r="C277" s="4" t="s">
        <v>791</v>
      </c>
      <c r="D277" s="4" t="s">
        <v>793</v>
      </c>
      <c r="E277" s="4" t="s">
        <v>1000</v>
      </c>
      <c r="F277" s="4">
        <v>3.36</v>
      </c>
      <c r="G277" s="4" t="s">
        <v>376</v>
      </c>
      <c r="H277" s="4" t="s">
        <v>46</v>
      </c>
      <c r="I277" s="4"/>
      <c r="J277" s="4" t="s">
        <v>89</v>
      </c>
      <c r="K277" s="4" t="s">
        <v>43</v>
      </c>
      <c r="L277" s="4" t="s">
        <v>109</v>
      </c>
      <c r="M277" s="4" t="s">
        <v>91</v>
      </c>
      <c r="N277" s="4" t="s">
        <v>378</v>
      </c>
      <c r="O277" s="4" t="s">
        <v>791</v>
      </c>
      <c r="P277" s="4" t="s">
        <v>42</v>
      </c>
      <c r="Q277" s="50" t="s">
        <v>43</v>
      </c>
      <c r="R277" s="50"/>
      <c r="S277" s="50" t="s">
        <v>772</v>
      </c>
      <c r="T277" s="4" t="s">
        <v>43</v>
      </c>
      <c r="U277" s="4" t="s">
        <v>43</v>
      </c>
    </row>
    <row r="278" spans="3:21" hidden="1" x14ac:dyDescent="0.25">
      <c r="C278" s="4" t="s">
        <v>264</v>
      </c>
      <c r="D278" s="4" t="s">
        <v>265</v>
      </c>
      <c r="E278" s="4" t="s">
        <v>266</v>
      </c>
      <c r="F278" s="4" t="s">
        <v>36</v>
      </c>
      <c r="G278" s="4" t="s">
        <v>37</v>
      </c>
      <c r="H278" s="4" t="s">
        <v>38</v>
      </c>
      <c r="I278" s="4"/>
      <c r="J278" s="4">
        <v>0</v>
      </c>
      <c r="K278" s="4"/>
      <c r="L278" s="4" t="s">
        <v>51</v>
      </c>
      <c r="M278" s="4" t="s">
        <v>40</v>
      </c>
      <c r="N278" s="4">
        <v>0</v>
      </c>
      <c r="O278" s="4" t="s">
        <v>264</v>
      </c>
      <c r="P278" s="4" t="s">
        <v>42</v>
      </c>
      <c r="Q278" s="50" t="s">
        <v>43</v>
      </c>
      <c r="R278" s="50"/>
      <c r="S278" s="50">
        <v>0</v>
      </c>
      <c r="T278" s="4" t="s">
        <v>43</v>
      </c>
      <c r="U278" s="4" t="s">
        <v>43</v>
      </c>
    </row>
    <row r="279" spans="3:21" hidden="1" x14ac:dyDescent="0.25">
      <c r="C279" s="4" t="s">
        <v>267</v>
      </c>
      <c r="D279" s="4" t="s">
        <v>268</v>
      </c>
      <c r="E279" s="4" t="s">
        <v>269</v>
      </c>
      <c r="F279" s="4" t="s">
        <v>36</v>
      </c>
      <c r="G279" s="4" t="s">
        <v>37</v>
      </c>
      <c r="H279" s="4" t="s">
        <v>38</v>
      </c>
      <c r="I279" s="4"/>
      <c r="J279" s="4">
        <v>0</v>
      </c>
      <c r="K279" s="4"/>
      <c r="L279" s="4" t="s">
        <v>51</v>
      </c>
      <c r="M279" s="4" t="s">
        <v>40</v>
      </c>
      <c r="N279" s="4">
        <v>0</v>
      </c>
      <c r="O279" s="4" t="s">
        <v>267</v>
      </c>
      <c r="P279" s="4" t="s">
        <v>42</v>
      </c>
      <c r="Q279" s="50" t="s">
        <v>43</v>
      </c>
      <c r="R279" s="50"/>
      <c r="S279" s="50">
        <v>0</v>
      </c>
      <c r="T279" s="4" t="s">
        <v>43</v>
      </c>
      <c r="U279" s="4" t="s">
        <v>43</v>
      </c>
    </row>
    <row r="280" spans="3:21" hidden="1" x14ac:dyDescent="0.25">
      <c r="C280" s="4" t="s">
        <v>270</v>
      </c>
      <c r="D280" s="4" t="s">
        <v>271</v>
      </c>
      <c r="E280" s="4" t="s">
        <v>271</v>
      </c>
      <c r="F280" s="4" t="s">
        <v>36</v>
      </c>
      <c r="G280" s="4" t="s">
        <v>37</v>
      </c>
      <c r="H280" s="4" t="s">
        <v>38</v>
      </c>
      <c r="I280" s="4"/>
      <c r="J280" s="4" t="s">
        <v>100</v>
      </c>
      <c r="K280" s="4"/>
      <c r="L280" s="4" t="s">
        <v>59</v>
      </c>
      <c r="M280" s="4" t="s">
        <v>40</v>
      </c>
      <c r="N280" s="4" t="s">
        <v>514</v>
      </c>
      <c r="O280" s="4" t="s">
        <v>270</v>
      </c>
      <c r="P280" s="4" t="s">
        <v>42</v>
      </c>
      <c r="Q280" s="50" t="s">
        <v>43</v>
      </c>
      <c r="R280" s="50"/>
      <c r="S280" s="50">
        <v>0</v>
      </c>
      <c r="T280" s="4" t="s">
        <v>43</v>
      </c>
      <c r="U280" s="4" t="s">
        <v>43</v>
      </c>
    </row>
    <row r="281" spans="3:21" hidden="1" x14ac:dyDescent="0.25">
      <c r="C281" s="4" t="s">
        <v>631</v>
      </c>
      <c r="D281" s="4" t="s">
        <v>633</v>
      </c>
      <c r="E281" s="4" t="s">
        <v>1001</v>
      </c>
      <c r="F281" s="47">
        <v>5.6</v>
      </c>
      <c r="G281" s="4" t="s">
        <v>376</v>
      </c>
      <c r="H281" s="4" t="s">
        <v>46</v>
      </c>
      <c r="I281" s="4"/>
      <c r="J281" s="4" t="s">
        <v>50</v>
      </c>
      <c r="K281" s="4" t="s">
        <v>43</v>
      </c>
      <c r="L281" s="4" t="s">
        <v>51</v>
      </c>
      <c r="M281" s="4" t="s">
        <v>40</v>
      </c>
      <c r="N281" s="4" t="s">
        <v>422</v>
      </c>
      <c r="O281" s="4" t="s">
        <v>631</v>
      </c>
      <c r="P281" s="4" t="s">
        <v>42</v>
      </c>
      <c r="Q281" s="50" t="s">
        <v>43</v>
      </c>
      <c r="R281" s="50"/>
      <c r="S281" s="50" t="s">
        <v>597</v>
      </c>
      <c r="T281" s="4" t="s">
        <v>43</v>
      </c>
      <c r="U281" s="4" t="s">
        <v>43</v>
      </c>
    </row>
    <row r="282" spans="3:21" hidden="1" x14ac:dyDescent="0.25">
      <c r="C282" s="4" t="s">
        <v>272</v>
      </c>
      <c r="D282" s="4" t="s">
        <v>273</v>
      </c>
      <c r="E282" s="4" t="s">
        <v>274</v>
      </c>
      <c r="F282" s="4" t="s">
        <v>36</v>
      </c>
      <c r="G282" s="4" t="s">
        <v>37</v>
      </c>
      <c r="H282" s="4" t="s">
        <v>38</v>
      </c>
      <c r="I282" s="4"/>
      <c r="J282" s="4" t="s">
        <v>73</v>
      </c>
      <c r="K282" s="4"/>
      <c r="L282" s="4" t="s">
        <v>275</v>
      </c>
      <c r="M282" s="4" t="s">
        <v>40</v>
      </c>
      <c r="N282" s="4" t="s">
        <v>514</v>
      </c>
      <c r="O282" s="4" t="s">
        <v>272</v>
      </c>
      <c r="P282" s="4" t="s">
        <v>42</v>
      </c>
      <c r="Q282" s="50" t="s">
        <v>43</v>
      </c>
      <c r="R282" s="50"/>
      <c r="S282" s="50">
        <v>0</v>
      </c>
      <c r="T282" s="4" t="s">
        <v>43</v>
      </c>
      <c r="U282" s="4" t="s">
        <v>43</v>
      </c>
    </row>
    <row r="283" spans="3:21" hidden="1" x14ac:dyDescent="0.25">
      <c r="C283" s="4" t="s">
        <v>690</v>
      </c>
      <c r="D283" s="4" t="s">
        <v>691</v>
      </c>
      <c r="E283" s="4" t="s">
        <v>692</v>
      </c>
      <c r="F283" s="4">
        <v>5</v>
      </c>
      <c r="G283" s="4" t="s">
        <v>376</v>
      </c>
      <c r="H283" s="4" t="s">
        <v>46</v>
      </c>
      <c r="I283" s="4"/>
      <c r="J283" s="4" t="s">
        <v>248</v>
      </c>
      <c r="K283" s="4" t="s">
        <v>43</v>
      </c>
      <c r="L283" s="4" t="s">
        <v>51</v>
      </c>
      <c r="M283" s="4" t="s">
        <v>40</v>
      </c>
      <c r="N283" s="4" t="s">
        <v>984</v>
      </c>
      <c r="O283" s="4" t="s">
        <v>690</v>
      </c>
      <c r="P283" s="4" t="s">
        <v>42</v>
      </c>
      <c r="Q283" s="50" t="s">
        <v>43</v>
      </c>
      <c r="R283" s="50"/>
      <c r="S283" s="50" t="s">
        <v>51</v>
      </c>
      <c r="T283" s="4" t="s">
        <v>43</v>
      </c>
      <c r="U283" s="4" t="s">
        <v>43</v>
      </c>
    </row>
    <row r="284" spans="3:21" hidden="1" x14ac:dyDescent="0.25">
      <c r="C284" s="4" t="s">
        <v>276</v>
      </c>
      <c r="D284" s="4" t="s">
        <v>277</v>
      </c>
      <c r="E284" s="4" t="s">
        <v>278</v>
      </c>
      <c r="F284" s="4" t="s">
        <v>36</v>
      </c>
      <c r="G284" s="4" t="s">
        <v>37</v>
      </c>
      <c r="H284" s="4" t="s">
        <v>38</v>
      </c>
      <c r="I284" s="4"/>
      <c r="J284" s="4" t="s">
        <v>84</v>
      </c>
      <c r="K284" s="4"/>
      <c r="L284" s="4" t="s">
        <v>279</v>
      </c>
      <c r="M284" s="4" t="s">
        <v>55</v>
      </c>
      <c r="N284" s="4" t="s">
        <v>984</v>
      </c>
      <c r="O284" s="4" t="s">
        <v>276</v>
      </c>
      <c r="P284" s="4" t="s">
        <v>42</v>
      </c>
      <c r="Q284" s="50" t="s">
        <v>43</v>
      </c>
      <c r="R284" s="50"/>
      <c r="S284" s="50">
        <v>0</v>
      </c>
      <c r="T284" s="4" t="s">
        <v>43</v>
      </c>
      <c r="U284" s="4" t="s">
        <v>43</v>
      </c>
    </row>
    <row r="285" spans="3:21" hidden="1" x14ac:dyDescent="0.25">
      <c r="C285" s="4" t="s">
        <v>731</v>
      </c>
      <c r="D285" s="4" t="s">
        <v>732</v>
      </c>
      <c r="E285" s="4" t="s">
        <v>54</v>
      </c>
      <c r="F285" s="4">
        <v>5</v>
      </c>
      <c r="G285" s="4" t="s">
        <v>376</v>
      </c>
      <c r="H285" s="4" t="s">
        <v>46</v>
      </c>
      <c r="I285" s="4"/>
      <c r="J285" s="4" t="s">
        <v>84</v>
      </c>
      <c r="K285" s="4" t="s">
        <v>440</v>
      </c>
      <c r="L285" s="4" t="s">
        <v>54</v>
      </c>
      <c r="M285" s="4" t="s">
        <v>55</v>
      </c>
      <c r="N285" s="4" t="s">
        <v>984</v>
      </c>
      <c r="O285" s="4" t="s">
        <v>731</v>
      </c>
      <c r="P285" s="4" t="s">
        <v>42</v>
      </c>
      <c r="Q285" s="50" t="s">
        <v>43</v>
      </c>
      <c r="R285" s="50"/>
      <c r="S285" s="50" t="s">
        <v>702</v>
      </c>
      <c r="T285" s="4" t="s">
        <v>43</v>
      </c>
      <c r="U285" s="4" t="s">
        <v>43</v>
      </c>
    </row>
    <row r="286" spans="3:21" hidden="1" x14ac:dyDescent="0.25">
      <c r="C286" s="4" t="s">
        <v>453</v>
      </c>
      <c r="D286" s="4" t="s">
        <v>454</v>
      </c>
      <c r="E286" s="4" t="s">
        <v>454</v>
      </c>
      <c r="F286" s="4">
        <v>5</v>
      </c>
      <c r="G286" s="4" t="s">
        <v>376</v>
      </c>
      <c r="H286" s="4" t="s">
        <v>46</v>
      </c>
      <c r="I286" s="4"/>
      <c r="J286" s="4" t="s">
        <v>94</v>
      </c>
      <c r="K286" s="4" t="s">
        <v>43</v>
      </c>
      <c r="L286" s="4" t="s">
        <v>64</v>
      </c>
      <c r="M286" s="4" t="s">
        <v>40</v>
      </c>
      <c r="N286" s="4" t="s">
        <v>422</v>
      </c>
      <c r="O286" s="4" t="s">
        <v>453</v>
      </c>
      <c r="P286" s="4" t="s">
        <v>42</v>
      </c>
      <c r="Q286" s="50" t="s">
        <v>43</v>
      </c>
      <c r="R286" s="50"/>
      <c r="S286" s="50" t="s">
        <v>423</v>
      </c>
      <c r="T286" s="4" t="s">
        <v>43</v>
      </c>
      <c r="U286" s="4" t="s">
        <v>43</v>
      </c>
    </row>
    <row r="287" spans="3:21" hidden="1" x14ac:dyDescent="0.25">
      <c r="C287" s="4" t="s">
        <v>280</v>
      </c>
      <c r="D287" s="4" t="s">
        <v>281</v>
      </c>
      <c r="E287" s="4" t="s">
        <v>281</v>
      </c>
      <c r="F287" s="4" t="s">
        <v>36</v>
      </c>
      <c r="G287" s="4" t="s">
        <v>37</v>
      </c>
      <c r="H287" s="4" t="s">
        <v>38</v>
      </c>
      <c r="I287" s="4"/>
      <c r="J287" s="4" t="s">
        <v>132</v>
      </c>
      <c r="K287" s="4"/>
      <c r="L287" s="4" t="s">
        <v>64</v>
      </c>
      <c r="M287" s="4" t="s">
        <v>40</v>
      </c>
      <c r="N287" s="4" t="s">
        <v>514</v>
      </c>
      <c r="O287" s="4" t="s">
        <v>280</v>
      </c>
      <c r="P287" s="4" t="s">
        <v>42</v>
      </c>
      <c r="Q287" s="50" t="s">
        <v>43</v>
      </c>
      <c r="R287" s="50"/>
      <c r="S287" s="50">
        <v>0</v>
      </c>
      <c r="T287" s="4" t="s">
        <v>43</v>
      </c>
      <c r="U287" s="4" t="s">
        <v>43</v>
      </c>
    </row>
    <row r="288" spans="3:21" hidden="1" x14ac:dyDescent="0.25">
      <c r="C288" s="4" t="s">
        <v>282</v>
      </c>
      <c r="D288" s="4" t="s">
        <v>283</v>
      </c>
      <c r="E288" s="4" t="s">
        <v>284</v>
      </c>
      <c r="F288" s="4" t="s">
        <v>36</v>
      </c>
      <c r="G288" s="4" t="s">
        <v>37</v>
      </c>
      <c r="H288" s="4" t="s">
        <v>38</v>
      </c>
      <c r="I288" s="4"/>
      <c r="J288" s="4">
        <v>0</v>
      </c>
      <c r="K288" s="4"/>
      <c r="L288" s="4" t="s">
        <v>279</v>
      </c>
      <c r="M288" s="4" t="s">
        <v>55</v>
      </c>
      <c r="N288" s="4">
        <v>0</v>
      </c>
      <c r="O288" s="4" t="s">
        <v>282</v>
      </c>
      <c r="P288" s="4" t="s">
        <v>42</v>
      </c>
      <c r="Q288" s="50" t="s">
        <v>43</v>
      </c>
      <c r="R288" s="50"/>
      <c r="S288" s="50">
        <v>0</v>
      </c>
      <c r="T288" s="4" t="s">
        <v>43</v>
      </c>
      <c r="U288" s="4" t="s">
        <v>43</v>
      </c>
    </row>
    <row r="289" spans="3:21" hidden="1" x14ac:dyDescent="0.25">
      <c r="C289" s="4" t="s">
        <v>455</v>
      </c>
      <c r="D289" s="4" t="s">
        <v>456</v>
      </c>
      <c r="E289" s="4" t="s">
        <v>1002</v>
      </c>
      <c r="F289" s="4">
        <v>5</v>
      </c>
      <c r="G289" s="4" t="s">
        <v>376</v>
      </c>
      <c r="H289" s="4" t="s">
        <v>46</v>
      </c>
      <c r="I289" s="4"/>
      <c r="J289" s="4" t="s">
        <v>94</v>
      </c>
      <c r="K289" s="4" t="s">
        <v>43</v>
      </c>
      <c r="L289" s="4" t="s">
        <v>64</v>
      </c>
      <c r="M289" s="4" t="s">
        <v>40</v>
      </c>
      <c r="N289" s="4" t="s">
        <v>422</v>
      </c>
      <c r="O289" s="4" t="s">
        <v>455</v>
      </c>
      <c r="P289" s="4" t="s">
        <v>42</v>
      </c>
      <c r="Q289" s="50" t="s">
        <v>43</v>
      </c>
      <c r="R289" s="50"/>
      <c r="S289" s="50" t="s">
        <v>423</v>
      </c>
      <c r="T289" s="4" t="s">
        <v>43</v>
      </c>
      <c r="U289" s="4" t="s">
        <v>43</v>
      </c>
    </row>
    <row r="290" spans="3:21" hidden="1" x14ac:dyDescent="0.25">
      <c r="C290" s="4" t="s">
        <v>285</v>
      </c>
      <c r="D290" s="4" t="s">
        <v>286</v>
      </c>
      <c r="E290" s="4" t="s">
        <v>287</v>
      </c>
      <c r="F290" s="4" t="s">
        <v>36</v>
      </c>
      <c r="G290" s="4" t="s">
        <v>37</v>
      </c>
      <c r="H290" s="4" t="s">
        <v>38</v>
      </c>
      <c r="I290" s="4"/>
      <c r="J290" s="4">
        <v>0</v>
      </c>
      <c r="K290" s="4"/>
      <c r="L290" s="4" t="s">
        <v>51</v>
      </c>
      <c r="M290" s="4" t="s">
        <v>40</v>
      </c>
      <c r="N290" s="4">
        <v>0</v>
      </c>
      <c r="O290" s="4" t="s">
        <v>285</v>
      </c>
      <c r="P290" s="4" t="s">
        <v>42</v>
      </c>
      <c r="Q290" s="50" t="s">
        <v>43</v>
      </c>
      <c r="R290" s="50"/>
      <c r="S290" s="50">
        <v>0</v>
      </c>
      <c r="T290" s="4" t="s">
        <v>43</v>
      </c>
      <c r="U290" s="4" t="s">
        <v>43</v>
      </c>
    </row>
    <row r="291" spans="3:21" hidden="1" x14ac:dyDescent="0.25">
      <c r="C291" s="4" t="s">
        <v>288</v>
      </c>
      <c r="D291" s="4" t="s">
        <v>289</v>
      </c>
      <c r="E291" s="4" t="s">
        <v>290</v>
      </c>
      <c r="F291" s="4" t="s">
        <v>36</v>
      </c>
      <c r="G291" s="4" t="s">
        <v>37</v>
      </c>
      <c r="H291" s="4" t="s">
        <v>38</v>
      </c>
      <c r="I291" s="4"/>
      <c r="J291" s="4">
        <v>0</v>
      </c>
      <c r="K291" s="4"/>
      <c r="L291" s="4" t="s">
        <v>59</v>
      </c>
      <c r="M291" s="4" t="s">
        <v>40</v>
      </c>
      <c r="N291" s="4">
        <v>0</v>
      </c>
      <c r="O291" s="4" t="s">
        <v>288</v>
      </c>
      <c r="P291" s="4" t="s">
        <v>42</v>
      </c>
      <c r="Q291" s="50" t="s">
        <v>43</v>
      </c>
      <c r="R291" s="50"/>
      <c r="S291" s="50">
        <v>0</v>
      </c>
      <c r="T291" s="4" t="s">
        <v>43</v>
      </c>
      <c r="U291" s="4" t="s">
        <v>43</v>
      </c>
    </row>
    <row r="292" spans="3:21" hidden="1" x14ac:dyDescent="0.25">
      <c r="C292" s="4" t="s">
        <v>291</v>
      </c>
      <c r="D292" s="4" t="s">
        <v>292</v>
      </c>
      <c r="E292" s="4" t="s">
        <v>292</v>
      </c>
      <c r="F292" s="4" t="s">
        <v>36</v>
      </c>
      <c r="G292" s="4" t="s">
        <v>37</v>
      </c>
      <c r="H292" s="4" t="s">
        <v>38</v>
      </c>
      <c r="I292" s="4"/>
      <c r="J292" s="4" t="s">
        <v>94</v>
      </c>
      <c r="K292" s="4"/>
      <c r="L292" s="4" t="s">
        <v>51</v>
      </c>
      <c r="M292" s="4" t="s">
        <v>40</v>
      </c>
      <c r="N292" s="4" t="s">
        <v>422</v>
      </c>
      <c r="O292" s="4" t="s">
        <v>291</v>
      </c>
      <c r="P292" s="4" t="s">
        <v>42</v>
      </c>
      <c r="Q292" s="50" t="s">
        <v>43</v>
      </c>
      <c r="R292" s="50"/>
      <c r="S292" s="50">
        <v>0</v>
      </c>
      <c r="T292" s="4" t="s">
        <v>43</v>
      </c>
      <c r="U292" s="4" t="s">
        <v>43</v>
      </c>
    </row>
    <row r="293" spans="3:21" hidden="1" x14ac:dyDescent="0.25">
      <c r="C293" s="4" t="s">
        <v>293</v>
      </c>
      <c r="D293" s="4" t="s">
        <v>294</v>
      </c>
      <c r="E293" s="4" t="s">
        <v>294</v>
      </c>
      <c r="F293" s="4" t="s">
        <v>36</v>
      </c>
      <c r="G293" s="4" t="s">
        <v>37</v>
      </c>
      <c r="H293" s="4" t="s">
        <v>38</v>
      </c>
      <c r="I293" s="4"/>
      <c r="J293" s="4" t="s">
        <v>73</v>
      </c>
      <c r="K293" s="4"/>
      <c r="L293" s="4" t="s">
        <v>64</v>
      </c>
      <c r="M293" s="4" t="s">
        <v>40</v>
      </c>
      <c r="N293" s="4" t="s">
        <v>514</v>
      </c>
      <c r="O293" s="4" t="s">
        <v>293</v>
      </c>
      <c r="P293" s="4" t="s">
        <v>42</v>
      </c>
      <c r="Q293" s="50" t="s">
        <v>43</v>
      </c>
      <c r="R293" s="50"/>
      <c r="S293" s="50">
        <v>0</v>
      </c>
      <c r="T293" s="4" t="s">
        <v>43</v>
      </c>
      <c r="U293" s="4" t="s">
        <v>43</v>
      </c>
    </row>
    <row r="294" spans="3:21" hidden="1" x14ac:dyDescent="0.25">
      <c r="C294" s="4" t="s">
        <v>295</v>
      </c>
      <c r="D294" s="4" t="s">
        <v>296</v>
      </c>
      <c r="E294" s="4" t="s">
        <v>297</v>
      </c>
      <c r="F294" s="4" t="s">
        <v>36</v>
      </c>
      <c r="G294" s="4" t="s">
        <v>37</v>
      </c>
      <c r="H294" s="4" t="s">
        <v>38</v>
      </c>
      <c r="I294" s="4"/>
      <c r="J294" s="4" t="s">
        <v>94</v>
      </c>
      <c r="K294" s="4"/>
      <c r="L294" s="4" t="s">
        <v>64</v>
      </c>
      <c r="M294" s="4" t="s">
        <v>40</v>
      </c>
      <c r="N294" s="4" t="s">
        <v>422</v>
      </c>
      <c r="O294" s="4" t="s">
        <v>295</v>
      </c>
      <c r="P294" s="4" t="s">
        <v>42</v>
      </c>
      <c r="Q294" s="50" t="s">
        <v>43</v>
      </c>
      <c r="R294" s="50"/>
      <c r="S294" s="50">
        <v>0</v>
      </c>
      <c r="T294" s="4" t="s">
        <v>43</v>
      </c>
      <c r="U294" s="4" t="s">
        <v>43</v>
      </c>
    </row>
    <row r="295" spans="3:21" hidden="1" x14ac:dyDescent="0.25">
      <c r="C295" s="4" t="s">
        <v>298</v>
      </c>
      <c r="D295" s="4" t="s">
        <v>299</v>
      </c>
      <c r="E295" s="4" t="s">
        <v>300</v>
      </c>
      <c r="F295" s="4" t="s">
        <v>36</v>
      </c>
      <c r="G295" s="4" t="s">
        <v>37</v>
      </c>
      <c r="H295" s="4" t="s">
        <v>38</v>
      </c>
      <c r="I295" s="4"/>
      <c r="J295" s="4" t="s">
        <v>58</v>
      </c>
      <c r="K295" s="4"/>
      <c r="L295" s="4" t="s">
        <v>59</v>
      </c>
      <c r="M295" s="4" t="s">
        <v>40</v>
      </c>
      <c r="N295" s="4" t="s">
        <v>378</v>
      </c>
      <c r="O295" s="4" t="s">
        <v>298</v>
      </c>
      <c r="P295" s="4" t="s">
        <v>42</v>
      </c>
      <c r="Q295" s="50" t="s">
        <v>43</v>
      </c>
      <c r="R295" s="50"/>
      <c r="S295" s="50">
        <v>0</v>
      </c>
      <c r="T295" s="4" t="s">
        <v>43</v>
      </c>
      <c r="U295" s="4" t="s">
        <v>43</v>
      </c>
    </row>
    <row r="296" spans="3:21" hidden="1" x14ac:dyDescent="0.25">
      <c r="C296" s="4" t="s">
        <v>794</v>
      </c>
      <c r="D296" s="4" t="s">
        <v>795</v>
      </c>
      <c r="E296" s="4" t="s">
        <v>795</v>
      </c>
      <c r="F296" s="4">
        <v>0</v>
      </c>
      <c r="G296" s="4" t="s">
        <v>37</v>
      </c>
      <c r="H296" s="4" t="s">
        <v>46</v>
      </c>
      <c r="I296" s="4"/>
      <c r="J296" s="4" t="s">
        <v>89</v>
      </c>
      <c r="K296" s="4"/>
      <c r="L296" s="4" t="s">
        <v>109</v>
      </c>
      <c r="M296" s="4" t="s">
        <v>91</v>
      </c>
      <c r="N296" s="4" t="s">
        <v>378</v>
      </c>
      <c r="O296" s="4" t="s">
        <v>794</v>
      </c>
      <c r="P296" s="4" t="s">
        <v>42</v>
      </c>
      <c r="Q296" s="50" t="s">
        <v>43</v>
      </c>
      <c r="R296" s="50"/>
      <c r="S296" s="50" t="s">
        <v>772</v>
      </c>
      <c r="T296" s="4" t="s">
        <v>43</v>
      </c>
      <c r="U296" s="4" t="s">
        <v>43</v>
      </c>
    </row>
    <row r="297" spans="3:21" hidden="1" x14ac:dyDescent="0.25">
      <c r="C297" s="4" t="s">
        <v>620</v>
      </c>
      <c r="D297" s="4" t="s">
        <v>622</v>
      </c>
      <c r="E297" s="4" t="s">
        <v>622</v>
      </c>
      <c r="F297" s="4">
        <v>5.04</v>
      </c>
      <c r="G297" s="4" t="s">
        <v>376</v>
      </c>
      <c r="H297" s="4" t="s">
        <v>46</v>
      </c>
      <c r="I297" s="4"/>
      <c r="J297" s="4" t="s">
        <v>50</v>
      </c>
      <c r="K297" s="4" t="s">
        <v>43</v>
      </c>
      <c r="L297" s="4" t="s">
        <v>59</v>
      </c>
      <c r="M297" s="4" t="s">
        <v>40</v>
      </c>
      <c r="N297" s="4" t="s">
        <v>422</v>
      </c>
      <c r="O297" s="4" t="s">
        <v>620</v>
      </c>
      <c r="P297" s="4" t="s">
        <v>42</v>
      </c>
      <c r="Q297" s="50" t="s">
        <v>43</v>
      </c>
      <c r="R297" s="50"/>
      <c r="S297" s="50" t="s">
        <v>597</v>
      </c>
      <c r="T297" s="4" t="s">
        <v>43</v>
      </c>
      <c r="U297" s="4" t="s">
        <v>32</v>
      </c>
    </row>
    <row r="298" spans="3:21" hidden="1" x14ac:dyDescent="0.25">
      <c r="C298" s="4" t="s">
        <v>733</v>
      </c>
      <c r="D298" s="4" t="s">
        <v>734</v>
      </c>
      <c r="E298" s="4" t="s">
        <v>735</v>
      </c>
      <c r="F298" s="4">
        <v>5</v>
      </c>
      <c r="G298" s="4" t="s">
        <v>376</v>
      </c>
      <c r="H298" s="4" t="s">
        <v>46</v>
      </c>
      <c r="I298" s="4"/>
      <c r="J298" s="4" t="s">
        <v>84</v>
      </c>
      <c r="K298" s="4" t="s">
        <v>440</v>
      </c>
      <c r="L298" s="4" t="s">
        <v>54</v>
      </c>
      <c r="M298" s="4" t="s">
        <v>55</v>
      </c>
      <c r="N298" s="4" t="s">
        <v>984</v>
      </c>
      <c r="O298" s="4" t="s">
        <v>733</v>
      </c>
      <c r="P298" s="4" t="s">
        <v>42</v>
      </c>
      <c r="Q298" s="50" t="s">
        <v>43</v>
      </c>
      <c r="R298" s="50"/>
      <c r="S298" s="50" t="s">
        <v>702</v>
      </c>
      <c r="T298" s="4" t="s">
        <v>43</v>
      </c>
      <c r="U298" s="4" t="s">
        <v>43</v>
      </c>
    </row>
    <row r="299" spans="3:21" hidden="1" x14ac:dyDescent="0.25">
      <c r="C299" s="4" t="s">
        <v>301</v>
      </c>
      <c r="D299" s="4" t="s">
        <v>302</v>
      </c>
      <c r="E299" s="4" t="s">
        <v>303</v>
      </c>
      <c r="F299" s="4" t="s">
        <v>36</v>
      </c>
      <c r="G299" s="4" t="s">
        <v>37</v>
      </c>
      <c r="H299" s="4" t="s">
        <v>38</v>
      </c>
      <c r="I299" s="4"/>
      <c r="J299" s="4" t="s">
        <v>132</v>
      </c>
      <c r="K299" s="4"/>
      <c r="L299" s="4" t="s">
        <v>133</v>
      </c>
      <c r="M299" s="4" t="s">
        <v>40</v>
      </c>
      <c r="N299" s="4" t="s">
        <v>514</v>
      </c>
      <c r="O299" s="4" t="s">
        <v>301</v>
      </c>
      <c r="P299" s="4" t="s">
        <v>42</v>
      </c>
      <c r="Q299" s="50" t="s">
        <v>43</v>
      </c>
      <c r="R299" s="50"/>
      <c r="S299" s="50">
        <v>0</v>
      </c>
      <c r="T299" s="4" t="s">
        <v>43</v>
      </c>
      <c r="U299" s="4" t="s">
        <v>43</v>
      </c>
    </row>
    <row r="300" spans="3:21" hidden="1" x14ac:dyDescent="0.25">
      <c r="C300" s="4" t="s">
        <v>505</v>
      </c>
      <c r="D300" s="4" t="s">
        <v>506</v>
      </c>
      <c r="E300" s="4" t="s">
        <v>506</v>
      </c>
      <c r="F300" s="4">
        <v>5</v>
      </c>
      <c r="G300" s="4" t="s">
        <v>376</v>
      </c>
      <c r="H300" s="4" t="s">
        <v>46</v>
      </c>
      <c r="I300" s="4"/>
      <c r="J300" s="4" t="s">
        <v>466</v>
      </c>
      <c r="K300" s="4" t="s">
        <v>43</v>
      </c>
      <c r="L300" s="4" t="s">
        <v>51</v>
      </c>
      <c r="M300" s="4" t="s">
        <v>40</v>
      </c>
      <c r="N300" s="4" t="s">
        <v>378</v>
      </c>
      <c r="O300" s="4" t="s">
        <v>505</v>
      </c>
      <c r="P300" s="4" t="s">
        <v>42</v>
      </c>
      <c r="Q300" s="50" t="s">
        <v>43</v>
      </c>
      <c r="R300" s="50"/>
      <c r="S300" s="50" t="s">
        <v>467</v>
      </c>
      <c r="T300" s="4" t="s">
        <v>43</v>
      </c>
      <c r="U300" s="4" t="s">
        <v>43</v>
      </c>
    </row>
    <row r="301" spans="3:21" hidden="1" x14ac:dyDescent="0.25">
      <c r="C301" s="4" t="s">
        <v>304</v>
      </c>
      <c r="D301" s="4" t="s">
        <v>305</v>
      </c>
      <c r="E301" s="4" t="s">
        <v>305</v>
      </c>
      <c r="F301" s="4" t="s">
        <v>36</v>
      </c>
      <c r="G301" s="4" t="s">
        <v>37</v>
      </c>
      <c r="H301" s="4" t="s">
        <v>81</v>
      </c>
      <c r="I301" s="4"/>
      <c r="J301" s="4" t="s">
        <v>132</v>
      </c>
      <c r="K301" s="4"/>
      <c r="L301" s="4" t="s">
        <v>51</v>
      </c>
      <c r="M301" s="4" t="s">
        <v>40</v>
      </c>
      <c r="N301" s="4" t="s">
        <v>514</v>
      </c>
      <c r="O301" s="4" t="s">
        <v>304</v>
      </c>
      <c r="P301" s="4" t="s">
        <v>42</v>
      </c>
      <c r="Q301" s="50" t="s">
        <v>43</v>
      </c>
      <c r="R301" s="50"/>
      <c r="S301" s="50">
        <v>0</v>
      </c>
      <c r="T301" s="4" t="s">
        <v>43</v>
      </c>
      <c r="U301" s="4" t="s">
        <v>43</v>
      </c>
    </row>
    <row r="302" spans="3:21" hidden="1" x14ac:dyDescent="0.25">
      <c r="C302" s="4" t="s">
        <v>306</v>
      </c>
      <c r="D302" s="4" t="s">
        <v>307</v>
      </c>
      <c r="E302" s="4" t="s">
        <v>307</v>
      </c>
      <c r="F302" s="4" t="s">
        <v>36</v>
      </c>
      <c r="G302" s="4" t="s">
        <v>37</v>
      </c>
      <c r="H302" s="4" t="s">
        <v>46</v>
      </c>
      <c r="I302" s="4"/>
      <c r="J302" s="4">
        <v>0</v>
      </c>
      <c r="K302" s="4"/>
      <c r="L302" s="4" t="s">
        <v>138</v>
      </c>
      <c r="M302" s="4" t="s">
        <v>40</v>
      </c>
      <c r="N302" s="4">
        <v>0</v>
      </c>
      <c r="O302" s="4" t="s">
        <v>306</v>
      </c>
      <c r="P302" s="4" t="s">
        <v>42</v>
      </c>
      <c r="Q302" s="50" t="s">
        <v>43</v>
      </c>
      <c r="R302" s="50"/>
      <c r="S302" s="50">
        <v>0</v>
      </c>
      <c r="T302" s="4" t="s">
        <v>43</v>
      </c>
      <c r="U302" s="4" t="s">
        <v>43</v>
      </c>
    </row>
    <row r="303" spans="3:21" hidden="1" x14ac:dyDescent="0.25">
      <c r="C303" s="4" t="s">
        <v>308</v>
      </c>
      <c r="D303" s="4" t="s">
        <v>309</v>
      </c>
      <c r="E303" s="4" t="s">
        <v>309</v>
      </c>
      <c r="F303" s="4" t="s">
        <v>36</v>
      </c>
      <c r="G303" s="4" t="s">
        <v>37</v>
      </c>
      <c r="H303" s="4" t="s">
        <v>46</v>
      </c>
      <c r="I303" s="4"/>
      <c r="J303" s="4">
        <v>0</v>
      </c>
      <c r="K303" s="4"/>
      <c r="L303" s="4" t="s">
        <v>279</v>
      </c>
      <c r="M303" s="4" t="s">
        <v>55</v>
      </c>
      <c r="N303" s="4">
        <v>0</v>
      </c>
      <c r="O303" s="4" t="s">
        <v>308</v>
      </c>
      <c r="P303" s="4" t="s">
        <v>42</v>
      </c>
      <c r="Q303" s="50" t="s">
        <v>43</v>
      </c>
      <c r="R303" s="50"/>
      <c r="S303" s="50">
        <v>0</v>
      </c>
      <c r="T303" s="4" t="s">
        <v>43</v>
      </c>
      <c r="U303" s="4" t="s">
        <v>43</v>
      </c>
    </row>
    <row r="304" spans="3:21" hidden="1" x14ac:dyDescent="0.25">
      <c r="C304" s="4" t="s">
        <v>310</v>
      </c>
      <c r="D304" s="4" t="s">
        <v>311</v>
      </c>
      <c r="E304" s="4" t="s">
        <v>312</v>
      </c>
      <c r="F304" s="4" t="s">
        <v>36</v>
      </c>
      <c r="G304" s="4" t="s">
        <v>37</v>
      </c>
      <c r="H304" s="4" t="s">
        <v>81</v>
      </c>
      <c r="I304" s="4"/>
      <c r="J304" s="4" t="s">
        <v>160</v>
      </c>
      <c r="K304" s="4"/>
      <c r="L304" s="4" t="s">
        <v>64</v>
      </c>
      <c r="M304" s="4" t="s">
        <v>40</v>
      </c>
      <c r="N304" s="4" t="s">
        <v>378</v>
      </c>
      <c r="O304" s="4" t="s">
        <v>310</v>
      </c>
      <c r="P304" s="4" t="s">
        <v>42</v>
      </c>
      <c r="Q304" s="50" t="s">
        <v>43</v>
      </c>
      <c r="R304" s="50"/>
      <c r="S304" s="50">
        <v>0</v>
      </c>
      <c r="T304" s="4" t="s">
        <v>43</v>
      </c>
      <c r="U304" s="4" t="s">
        <v>43</v>
      </c>
    </row>
    <row r="305" spans="3:21" hidden="1" x14ac:dyDescent="0.25">
      <c r="C305" s="4" t="s">
        <v>968</v>
      </c>
      <c r="D305" s="4" t="s">
        <v>969</v>
      </c>
      <c r="E305" s="4" t="s">
        <v>969</v>
      </c>
      <c r="F305" s="4">
        <v>5</v>
      </c>
      <c r="G305" s="4" t="s">
        <v>376</v>
      </c>
      <c r="H305" s="4" t="s">
        <v>46</v>
      </c>
      <c r="I305" s="4"/>
      <c r="J305" s="4" t="s">
        <v>160</v>
      </c>
      <c r="K305" s="4" t="s">
        <v>43</v>
      </c>
      <c r="L305" s="4" t="s">
        <v>39</v>
      </c>
      <c r="M305" s="4" t="s">
        <v>40</v>
      </c>
      <c r="N305" s="4" t="s">
        <v>378</v>
      </c>
      <c r="O305" s="4" t="s">
        <v>968</v>
      </c>
      <c r="P305" s="4" t="s">
        <v>42</v>
      </c>
      <c r="Q305" s="50" t="s">
        <v>43</v>
      </c>
      <c r="R305" s="50"/>
      <c r="S305" s="50" t="s">
        <v>931</v>
      </c>
      <c r="T305" s="4" t="s">
        <v>43</v>
      </c>
      <c r="U305" s="4" t="s">
        <v>43</v>
      </c>
    </row>
    <row r="306" spans="3:21" hidden="1" x14ac:dyDescent="0.25">
      <c r="C306" s="4" t="s">
        <v>313</v>
      </c>
      <c r="D306" s="4" t="s">
        <v>314</v>
      </c>
      <c r="E306" s="4" t="s">
        <v>314</v>
      </c>
      <c r="F306" s="4" t="s">
        <v>36</v>
      </c>
      <c r="G306" s="4" t="s">
        <v>37</v>
      </c>
      <c r="H306" s="4" t="s">
        <v>81</v>
      </c>
      <c r="I306" s="4"/>
      <c r="J306" s="4">
        <v>0</v>
      </c>
      <c r="K306" s="4"/>
      <c r="L306" s="4" t="s">
        <v>315</v>
      </c>
      <c r="M306" s="4" t="s">
        <v>40</v>
      </c>
      <c r="N306" s="4">
        <v>0</v>
      </c>
      <c r="O306" s="4" t="s">
        <v>313</v>
      </c>
      <c r="P306" s="4" t="s">
        <v>42</v>
      </c>
      <c r="Q306" s="50" t="s">
        <v>43</v>
      </c>
      <c r="R306" s="50"/>
      <c r="S306" s="50">
        <v>0</v>
      </c>
      <c r="T306" s="4" t="s">
        <v>43</v>
      </c>
      <c r="U306" s="4" t="s">
        <v>43</v>
      </c>
    </row>
    <row r="307" spans="3:21" hidden="1" x14ac:dyDescent="0.25">
      <c r="C307" s="4" t="s">
        <v>823</v>
      </c>
      <c r="D307" s="4" t="s">
        <v>824</v>
      </c>
      <c r="E307" s="4" t="s">
        <v>824</v>
      </c>
      <c r="F307" s="4">
        <v>5</v>
      </c>
      <c r="G307" s="4" t="s">
        <v>376</v>
      </c>
      <c r="H307" s="4" t="s">
        <v>46</v>
      </c>
      <c r="I307" s="4"/>
      <c r="J307" s="4" t="s">
        <v>146</v>
      </c>
      <c r="K307" s="4" t="s">
        <v>43</v>
      </c>
      <c r="L307" s="4" t="s">
        <v>59</v>
      </c>
      <c r="M307" s="4" t="s">
        <v>40</v>
      </c>
      <c r="N307" s="4" t="s">
        <v>984</v>
      </c>
      <c r="O307" s="4" t="s">
        <v>823</v>
      </c>
      <c r="P307" s="4" t="s">
        <v>42</v>
      </c>
      <c r="Q307" s="50" t="s">
        <v>43</v>
      </c>
      <c r="R307" s="50"/>
      <c r="S307" s="50" t="s">
        <v>799</v>
      </c>
      <c r="T307" s="4" t="s">
        <v>43</v>
      </c>
      <c r="U307" s="4" t="s">
        <v>43</v>
      </c>
    </row>
    <row r="308" spans="3:21" hidden="1" x14ac:dyDescent="0.25">
      <c r="C308" s="4" t="s">
        <v>316</v>
      </c>
      <c r="D308" s="4" t="s">
        <v>317</v>
      </c>
      <c r="E308" s="4" t="s">
        <v>318</v>
      </c>
      <c r="F308" s="4" t="s">
        <v>36</v>
      </c>
      <c r="G308" s="4" t="s">
        <v>37</v>
      </c>
      <c r="H308" s="4" t="s">
        <v>81</v>
      </c>
      <c r="I308" s="4"/>
      <c r="J308" s="4" t="s">
        <v>67</v>
      </c>
      <c r="K308" s="4"/>
      <c r="L308" s="4" t="s">
        <v>59</v>
      </c>
      <c r="M308" s="4" t="s">
        <v>40</v>
      </c>
      <c r="N308" s="4">
        <v>0</v>
      </c>
      <c r="O308" s="4" t="s">
        <v>316</v>
      </c>
      <c r="P308" s="4" t="s">
        <v>42</v>
      </c>
      <c r="Q308" s="50" t="s">
        <v>43</v>
      </c>
      <c r="R308" s="50"/>
      <c r="S308" s="50">
        <v>0</v>
      </c>
      <c r="T308" s="4" t="s">
        <v>43</v>
      </c>
      <c r="U308" s="4" t="s">
        <v>43</v>
      </c>
    </row>
    <row r="309" spans="3:21" hidden="1" x14ac:dyDescent="0.25">
      <c r="C309" s="4" t="s">
        <v>319</v>
      </c>
      <c r="D309" s="4" t="s">
        <v>320</v>
      </c>
      <c r="E309" s="4" t="s">
        <v>320</v>
      </c>
      <c r="F309" s="4" t="s">
        <v>36</v>
      </c>
      <c r="G309" s="4" t="s">
        <v>37</v>
      </c>
      <c r="H309" s="4" t="s">
        <v>46</v>
      </c>
      <c r="I309" s="4"/>
      <c r="J309" s="4">
        <v>0</v>
      </c>
      <c r="K309" s="4"/>
      <c r="L309" s="4" t="s">
        <v>97</v>
      </c>
      <c r="M309" s="4" t="s">
        <v>40</v>
      </c>
      <c r="N309" s="4">
        <v>0</v>
      </c>
      <c r="O309" s="4" t="s">
        <v>319</v>
      </c>
      <c r="P309" s="4" t="s">
        <v>42</v>
      </c>
      <c r="Q309" s="50" t="s">
        <v>43</v>
      </c>
      <c r="R309" s="50"/>
      <c r="S309" s="50">
        <v>0</v>
      </c>
      <c r="T309" s="4" t="s">
        <v>43</v>
      </c>
      <c r="U309" s="4" t="s">
        <v>43</v>
      </c>
    </row>
    <row r="310" spans="3:21" hidden="1" x14ac:dyDescent="0.25">
      <c r="C310" s="4" t="s">
        <v>321</v>
      </c>
      <c r="D310" s="4" t="s">
        <v>322</v>
      </c>
      <c r="E310" s="4" t="s">
        <v>322</v>
      </c>
      <c r="F310" s="4" t="s">
        <v>36</v>
      </c>
      <c r="G310" s="4" t="s">
        <v>37</v>
      </c>
      <c r="H310" s="4" t="s">
        <v>81</v>
      </c>
      <c r="I310" s="4"/>
      <c r="J310" s="4" t="s">
        <v>50</v>
      </c>
      <c r="K310" s="4"/>
      <c r="L310" s="4" t="s">
        <v>51</v>
      </c>
      <c r="M310" s="4" t="s">
        <v>40</v>
      </c>
      <c r="N310" s="4" t="s">
        <v>422</v>
      </c>
      <c r="O310" s="4" t="s">
        <v>321</v>
      </c>
      <c r="P310" s="4" t="s">
        <v>42</v>
      </c>
      <c r="Q310" s="50" t="s">
        <v>43</v>
      </c>
      <c r="R310" s="50"/>
      <c r="S310" s="50">
        <v>0</v>
      </c>
      <c r="T310" s="4" t="s">
        <v>43</v>
      </c>
      <c r="U310" s="4" t="s">
        <v>43</v>
      </c>
    </row>
    <row r="311" spans="3:21" hidden="1" x14ac:dyDescent="0.25">
      <c r="C311" s="4" t="s">
        <v>457</v>
      </c>
      <c r="D311" s="4" t="s">
        <v>458</v>
      </c>
      <c r="E311" s="4" t="s">
        <v>458</v>
      </c>
      <c r="F311" s="4">
        <v>5</v>
      </c>
      <c r="G311" s="4" t="s">
        <v>376</v>
      </c>
      <c r="H311" s="4" t="s">
        <v>81</v>
      </c>
      <c r="I311" s="4"/>
      <c r="J311" s="4" t="s">
        <v>94</v>
      </c>
      <c r="K311" s="4" t="s">
        <v>43</v>
      </c>
      <c r="L311" s="4" t="s">
        <v>205</v>
      </c>
      <c r="M311" s="4" t="s">
        <v>40</v>
      </c>
      <c r="N311" s="4" t="s">
        <v>422</v>
      </c>
      <c r="O311" s="4" t="s">
        <v>457</v>
      </c>
      <c r="P311" s="4" t="s">
        <v>42</v>
      </c>
      <c r="Q311" s="50" t="s">
        <v>43</v>
      </c>
      <c r="R311" s="50"/>
      <c r="S311" s="50" t="s">
        <v>423</v>
      </c>
      <c r="T311" s="4" t="s">
        <v>43</v>
      </c>
      <c r="U311" s="4" t="s">
        <v>43</v>
      </c>
    </row>
    <row r="312" spans="3:21" hidden="1" x14ac:dyDescent="0.25">
      <c r="C312" s="4" t="s">
        <v>323</v>
      </c>
      <c r="D312" s="4" t="s">
        <v>324</v>
      </c>
      <c r="E312" s="4" t="s">
        <v>324</v>
      </c>
      <c r="F312" s="4" t="s">
        <v>36</v>
      </c>
      <c r="G312" s="4" t="s">
        <v>37</v>
      </c>
      <c r="H312" s="4" t="s">
        <v>46</v>
      </c>
      <c r="I312" s="4"/>
      <c r="J312" s="4" t="s">
        <v>58</v>
      </c>
      <c r="K312" s="4"/>
      <c r="L312" s="4" t="s">
        <v>138</v>
      </c>
      <c r="M312" s="4" t="s">
        <v>40</v>
      </c>
      <c r="N312" s="4" t="s">
        <v>378</v>
      </c>
      <c r="O312" s="4" t="s">
        <v>323</v>
      </c>
      <c r="P312" s="4" t="s">
        <v>42</v>
      </c>
      <c r="Q312" s="50" t="s">
        <v>43</v>
      </c>
      <c r="R312" s="50"/>
      <c r="S312" s="50">
        <v>0</v>
      </c>
      <c r="T312" s="4" t="s">
        <v>43</v>
      </c>
      <c r="U312" s="4" t="s">
        <v>43</v>
      </c>
    </row>
    <row r="313" spans="3:21" hidden="1" x14ac:dyDescent="0.25">
      <c r="C313" s="4" t="s">
        <v>325</v>
      </c>
      <c r="D313" s="4" t="s">
        <v>326</v>
      </c>
      <c r="E313" s="4" t="s">
        <v>326</v>
      </c>
      <c r="F313" s="4" t="s">
        <v>36</v>
      </c>
      <c r="G313" s="4" t="s">
        <v>37</v>
      </c>
      <c r="H313" s="4" t="s">
        <v>46</v>
      </c>
      <c r="I313" s="4"/>
      <c r="J313" s="4" t="s">
        <v>67</v>
      </c>
      <c r="K313" s="4"/>
      <c r="L313" s="4" t="s">
        <v>59</v>
      </c>
      <c r="M313" s="4" t="s">
        <v>40</v>
      </c>
      <c r="N313" s="4">
        <v>0</v>
      </c>
      <c r="O313" s="4" t="s">
        <v>325</v>
      </c>
      <c r="P313" s="4" t="s">
        <v>42</v>
      </c>
      <c r="Q313" s="50" t="s">
        <v>43</v>
      </c>
      <c r="R313" s="50"/>
      <c r="S313" s="50">
        <v>0</v>
      </c>
      <c r="T313" s="4" t="s">
        <v>43</v>
      </c>
      <c r="U313" s="4" t="s">
        <v>43</v>
      </c>
    </row>
    <row r="314" spans="3:21" hidden="1" x14ac:dyDescent="0.25">
      <c r="C314" s="4" t="s">
        <v>459</v>
      </c>
      <c r="D314" s="4" t="s">
        <v>460</v>
      </c>
      <c r="E314" s="4" t="s">
        <v>460</v>
      </c>
      <c r="F314" s="4">
        <v>5</v>
      </c>
      <c r="G314" s="4" t="s">
        <v>376</v>
      </c>
      <c r="H314" s="4" t="s">
        <v>46</v>
      </c>
      <c r="I314" s="4"/>
      <c r="J314" s="4" t="s">
        <v>94</v>
      </c>
      <c r="K314" s="4" t="s">
        <v>43</v>
      </c>
      <c r="L314" s="4" t="s">
        <v>64</v>
      </c>
      <c r="M314" s="4" t="s">
        <v>40</v>
      </c>
      <c r="N314" s="4" t="s">
        <v>422</v>
      </c>
      <c r="O314" s="4" t="s">
        <v>459</v>
      </c>
      <c r="P314" s="4" t="s">
        <v>42</v>
      </c>
      <c r="Q314" s="50" t="s">
        <v>43</v>
      </c>
      <c r="R314" s="50"/>
      <c r="S314" s="50" t="s">
        <v>423</v>
      </c>
      <c r="T314" s="4" t="s">
        <v>43</v>
      </c>
      <c r="U314" s="4" t="s">
        <v>43</v>
      </c>
    </row>
    <row r="315" spans="3:21" hidden="1" x14ac:dyDescent="0.25">
      <c r="C315" s="4" t="s">
        <v>919</v>
      </c>
      <c r="D315" s="4" t="s">
        <v>920</v>
      </c>
      <c r="E315" s="4" t="s">
        <v>920</v>
      </c>
      <c r="F315" s="4">
        <v>5</v>
      </c>
      <c r="G315" s="4" t="s">
        <v>376</v>
      </c>
      <c r="H315" s="4" t="s">
        <v>81</v>
      </c>
      <c r="I315" s="4"/>
      <c r="J315" s="4" t="s">
        <v>73</v>
      </c>
      <c r="K315" s="4" t="s">
        <v>43</v>
      </c>
      <c r="L315" s="4" t="s">
        <v>315</v>
      </c>
      <c r="M315" s="4" t="s">
        <v>40</v>
      </c>
      <c r="N315" s="4" t="s">
        <v>514</v>
      </c>
      <c r="O315" s="4" t="s">
        <v>919</v>
      </c>
      <c r="P315" s="4" t="s">
        <v>42</v>
      </c>
      <c r="Q315" s="50" t="s">
        <v>43</v>
      </c>
      <c r="R315" s="50"/>
      <c r="S315" s="50" t="s">
        <v>886</v>
      </c>
      <c r="T315" s="4" t="s">
        <v>43</v>
      </c>
      <c r="U315" s="4" t="s">
        <v>43</v>
      </c>
    </row>
    <row r="316" spans="3:21" hidden="1" x14ac:dyDescent="0.25">
      <c r="C316" s="4" t="s">
        <v>610</v>
      </c>
      <c r="D316" s="4" t="s">
        <v>611</v>
      </c>
      <c r="E316" s="4" t="s">
        <v>611</v>
      </c>
      <c r="F316" s="4">
        <v>5</v>
      </c>
      <c r="G316" s="4" t="s">
        <v>376</v>
      </c>
      <c r="H316" s="4" t="s">
        <v>81</v>
      </c>
      <c r="I316" s="4"/>
      <c r="J316" s="4" t="s">
        <v>50</v>
      </c>
      <c r="K316" s="4" t="s">
        <v>43</v>
      </c>
      <c r="L316" s="4" t="s">
        <v>59</v>
      </c>
      <c r="M316" s="4" t="s">
        <v>40</v>
      </c>
      <c r="N316" s="4" t="s">
        <v>422</v>
      </c>
      <c r="O316" s="4" t="s">
        <v>610</v>
      </c>
      <c r="P316" s="4" t="s">
        <v>42</v>
      </c>
      <c r="Q316" s="50" t="s">
        <v>43</v>
      </c>
      <c r="R316" s="50"/>
      <c r="S316" s="50" t="s">
        <v>597</v>
      </c>
      <c r="T316" s="4" t="s">
        <v>43</v>
      </c>
      <c r="U316" s="4" t="s">
        <v>43</v>
      </c>
    </row>
    <row r="317" spans="3:21" hidden="1" x14ac:dyDescent="0.25">
      <c r="C317" s="4" t="s">
        <v>461</v>
      </c>
      <c r="D317" s="4" t="s">
        <v>462</v>
      </c>
      <c r="E317" s="4" t="s">
        <v>462</v>
      </c>
      <c r="F317" s="4">
        <v>5</v>
      </c>
      <c r="G317" s="4" t="s">
        <v>376</v>
      </c>
      <c r="H317" s="4" t="s">
        <v>46</v>
      </c>
      <c r="I317" s="4"/>
      <c r="J317" s="4" t="s">
        <v>94</v>
      </c>
      <c r="K317" s="4" t="s">
        <v>43</v>
      </c>
      <c r="L317" s="4" t="s">
        <v>64</v>
      </c>
      <c r="M317" s="4" t="s">
        <v>40</v>
      </c>
      <c r="N317" s="4" t="s">
        <v>422</v>
      </c>
      <c r="O317" s="4" t="s">
        <v>461</v>
      </c>
      <c r="P317" s="4" t="s">
        <v>42</v>
      </c>
      <c r="Q317" s="50" t="s">
        <v>43</v>
      </c>
      <c r="R317" s="50"/>
      <c r="S317" s="50" t="s">
        <v>423</v>
      </c>
      <c r="T317" s="4" t="s">
        <v>43</v>
      </c>
      <c r="U317" s="4" t="s">
        <v>43</v>
      </c>
    </row>
    <row r="318" spans="3:21" hidden="1" x14ac:dyDescent="0.25">
      <c r="C318" s="4" t="s">
        <v>639</v>
      </c>
      <c r="D318" s="4" t="s">
        <v>640</v>
      </c>
      <c r="E318" s="4" t="s">
        <v>641</v>
      </c>
      <c r="F318" s="4">
        <v>5</v>
      </c>
      <c r="G318" s="4" t="s">
        <v>376</v>
      </c>
      <c r="H318" s="4" t="s">
        <v>81</v>
      </c>
      <c r="I318" s="4"/>
      <c r="J318" s="4" t="s">
        <v>50</v>
      </c>
      <c r="K318" s="4" t="s">
        <v>43</v>
      </c>
      <c r="L318" s="4" t="s">
        <v>64</v>
      </c>
      <c r="M318" s="4" t="s">
        <v>40</v>
      </c>
      <c r="N318" s="4" t="s">
        <v>422</v>
      </c>
      <c r="O318" s="4" t="s">
        <v>639</v>
      </c>
      <c r="P318" s="4" t="s">
        <v>42</v>
      </c>
      <c r="Q318" s="50" t="s">
        <v>43</v>
      </c>
      <c r="R318" s="50"/>
      <c r="S318" s="50" t="s">
        <v>597</v>
      </c>
      <c r="T318" s="4" t="s">
        <v>43</v>
      </c>
      <c r="U318" s="4" t="s">
        <v>43</v>
      </c>
    </row>
    <row r="319" spans="3:21" hidden="1" x14ac:dyDescent="0.25">
      <c r="C319" s="4" t="s">
        <v>327</v>
      </c>
      <c r="D319" s="4" t="s">
        <v>328</v>
      </c>
      <c r="E319" s="4" t="s">
        <v>328</v>
      </c>
      <c r="F319" s="4" t="s">
        <v>36</v>
      </c>
      <c r="G319" s="4" t="s">
        <v>37</v>
      </c>
      <c r="H319" s="4" t="s">
        <v>81</v>
      </c>
      <c r="I319" s="4"/>
      <c r="J319" s="4" t="s">
        <v>63</v>
      </c>
      <c r="K319" s="4"/>
      <c r="L319" s="4" t="s">
        <v>138</v>
      </c>
      <c r="M319" s="4" t="s">
        <v>40</v>
      </c>
      <c r="N319" s="4" t="s">
        <v>378</v>
      </c>
      <c r="O319" s="4" t="s">
        <v>327</v>
      </c>
      <c r="P319" s="4" t="s">
        <v>42</v>
      </c>
      <c r="Q319" s="50" t="s">
        <v>43</v>
      </c>
      <c r="R319" s="50"/>
      <c r="S319" s="50">
        <v>0</v>
      </c>
      <c r="T319" s="4" t="s">
        <v>43</v>
      </c>
      <c r="U319" s="4" t="s">
        <v>43</v>
      </c>
    </row>
    <row r="320" spans="3:21" hidden="1" x14ac:dyDescent="0.25">
      <c r="C320" s="4" t="s">
        <v>329</v>
      </c>
      <c r="D320" s="4" t="s">
        <v>330</v>
      </c>
      <c r="E320" s="4" t="s">
        <v>330</v>
      </c>
      <c r="F320" s="4" t="s">
        <v>36</v>
      </c>
      <c r="G320" s="4" t="s">
        <v>37</v>
      </c>
      <c r="H320" s="4" t="s">
        <v>46</v>
      </c>
      <c r="I320" s="4"/>
      <c r="J320" s="4" t="s">
        <v>331</v>
      </c>
      <c r="K320" s="4"/>
      <c r="L320" s="4" t="s">
        <v>138</v>
      </c>
      <c r="M320" s="4" t="s">
        <v>40</v>
      </c>
      <c r="N320" s="4" t="s">
        <v>422</v>
      </c>
      <c r="O320" s="4" t="s">
        <v>329</v>
      </c>
      <c r="P320" s="4" t="s">
        <v>42</v>
      </c>
      <c r="Q320" s="50" t="s">
        <v>43</v>
      </c>
      <c r="R320" s="50"/>
      <c r="S320" s="50">
        <v>0</v>
      </c>
      <c r="T320" s="4" t="s">
        <v>43</v>
      </c>
      <c r="U320" s="4" t="s">
        <v>43</v>
      </c>
    </row>
    <row r="321" spans="3:21" hidden="1" x14ac:dyDescent="0.25">
      <c r="C321" s="4" t="s">
        <v>332</v>
      </c>
      <c r="D321" s="4" t="s">
        <v>333</v>
      </c>
      <c r="E321" s="4" t="s">
        <v>333</v>
      </c>
      <c r="F321" s="4" t="s">
        <v>36</v>
      </c>
      <c r="G321" s="4" t="s">
        <v>37</v>
      </c>
      <c r="H321" s="4" t="s">
        <v>81</v>
      </c>
      <c r="I321" s="4"/>
      <c r="J321" s="4">
        <v>0</v>
      </c>
      <c r="K321" s="4"/>
      <c r="L321" s="4" t="s">
        <v>59</v>
      </c>
      <c r="M321" s="4" t="s">
        <v>40</v>
      </c>
      <c r="N321" s="4">
        <v>0</v>
      </c>
      <c r="O321" s="4" t="s">
        <v>332</v>
      </c>
      <c r="P321" s="4" t="s">
        <v>42</v>
      </c>
      <c r="Q321" s="50" t="s">
        <v>43</v>
      </c>
      <c r="R321" s="50"/>
      <c r="S321" s="50">
        <v>0</v>
      </c>
      <c r="T321" s="4" t="s">
        <v>43</v>
      </c>
      <c r="U321" s="4" t="s">
        <v>43</v>
      </c>
    </row>
    <row r="322" spans="3:21" hidden="1" x14ac:dyDescent="0.25">
      <c r="C322" s="4" t="s">
        <v>334</v>
      </c>
      <c r="D322" s="4" t="s">
        <v>335</v>
      </c>
      <c r="E322" s="4" t="s">
        <v>336</v>
      </c>
      <c r="F322" s="4" t="s">
        <v>36</v>
      </c>
      <c r="G322" s="4" t="s">
        <v>37</v>
      </c>
      <c r="H322" s="4" t="s">
        <v>46</v>
      </c>
      <c r="I322" s="4"/>
      <c r="J322" s="4">
        <v>0</v>
      </c>
      <c r="K322" s="4"/>
      <c r="L322" s="4" t="s">
        <v>47</v>
      </c>
      <c r="M322" s="4" t="s">
        <v>40</v>
      </c>
      <c r="N322" s="4">
        <v>0</v>
      </c>
      <c r="O322" s="4" t="s">
        <v>334</v>
      </c>
      <c r="P322" s="4" t="s">
        <v>42</v>
      </c>
      <c r="Q322" s="50" t="s">
        <v>43</v>
      </c>
      <c r="R322" s="50"/>
      <c r="S322" s="50">
        <v>0</v>
      </c>
      <c r="T322" s="4" t="s">
        <v>43</v>
      </c>
      <c r="U322" s="4" t="s">
        <v>43</v>
      </c>
    </row>
    <row r="323" spans="3:21" hidden="1" x14ac:dyDescent="0.25">
      <c r="C323" s="4" t="s">
        <v>507</v>
      </c>
      <c r="D323" s="4" t="s">
        <v>508</v>
      </c>
      <c r="E323" s="4" t="s">
        <v>508</v>
      </c>
      <c r="F323" s="4">
        <v>5</v>
      </c>
      <c r="G323" s="4" t="s">
        <v>376</v>
      </c>
      <c r="H323" s="4" t="s">
        <v>46</v>
      </c>
      <c r="I323" s="4"/>
      <c r="J323" s="4" t="s">
        <v>466</v>
      </c>
      <c r="K323" s="4" t="s">
        <v>43</v>
      </c>
      <c r="L323" s="4" t="s">
        <v>51</v>
      </c>
      <c r="M323" s="4" t="s">
        <v>40</v>
      </c>
      <c r="N323" s="4" t="s">
        <v>378</v>
      </c>
      <c r="O323" s="4" t="s">
        <v>507</v>
      </c>
      <c r="P323" s="4" t="s">
        <v>42</v>
      </c>
      <c r="Q323" s="50" t="s">
        <v>43</v>
      </c>
      <c r="R323" s="50"/>
      <c r="S323" s="50" t="s">
        <v>467</v>
      </c>
      <c r="T323" s="4" t="s">
        <v>43</v>
      </c>
      <c r="U323" s="4" t="s">
        <v>43</v>
      </c>
    </row>
    <row r="324" spans="3:21" hidden="1" x14ac:dyDescent="0.25">
      <c r="C324" s="4" t="s">
        <v>417</v>
      </c>
      <c r="D324" s="4" t="s">
        <v>418</v>
      </c>
      <c r="E324" s="4" t="s">
        <v>418</v>
      </c>
      <c r="F324" s="4">
        <v>5</v>
      </c>
      <c r="G324" s="4" t="s">
        <v>376</v>
      </c>
      <c r="H324" s="4" t="s">
        <v>46</v>
      </c>
      <c r="I324" s="4"/>
      <c r="J324" s="4" t="s">
        <v>63</v>
      </c>
      <c r="K324" s="4" t="s">
        <v>43</v>
      </c>
      <c r="L324" s="4" t="s">
        <v>138</v>
      </c>
      <c r="M324" s="4" t="s">
        <v>40</v>
      </c>
      <c r="N324" s="4" t="s">
        <v>378</v>
      </c>
      <c r="O324" s="4" t="s">
        <v>417</v>
      </c>
      <c r="P324" s="4" t="s">
        <v>42</v>
      </c>
      <c r="Q324" s="50" t="s">
        <v>43</v>
      </c>
      <c r="R324" s="50"/>
      <c r="S324" s="50" t="s">
        <v>380</v>
      </c>
      <c r="T324" s="4" t="s">
        <v>43</v>
      </c>
      <c r="U324" s="4" t="s">
        <v>43</v>
      </c>
    </row>
    <row r="325" spans="3:21" hidden="1" x14ac:dyDescent="0.25">
      <c r="C325" s="4" t="s">
        <v>337</v>
      </c>
      <c r="D325" s="4" t="s">
        <v>338</v>
      </c>
      <c r="E325" s="4" t="s">
        <v>338</v>
      </c>
      <c r="F325" s="4" t="s">
        <v>36</v>
      </c>
      <c r="G325" s="4" t="s">
        <v>37</v>
      </c>
      <c r="H325" s="4" t="s">
        <v>81</v>
      </c>
      <c r="I325" s="4"/>
      <c r="J325" s="4" t="s">
        <v>89</v>
      </c>
      <c r="K325" s="4"/>
      <c r="L325" s="4" t="s">
        <v>109</v>
      </c>
      <c r="M325" s="4" t="s">
        <v>91</v>
      </c>
      <c r="N325" s="4" t="s">
        <v>378</v>
      </c>
      <c r="O325" s="4" t="s">
        <v>337</v>
      </c>
      <c r="P325" s="4" t="s">
        <v>42</v>
      </c>
      <c r="Q325" s="50" t="s">
        <v>43</v>
      </c>
      <c r="R325" s="50"/>
      <c r="S325" s="50">
        <v>0</v>
      </c>
      <c r="T325" s="4" t="s">
        <v>43</v>
      </c>
      <c r="U325" s="4" t="s">
        <v>43</v>
      </c>
    </row>
    <row r="326" spans="3:21" hidden="1" x14ac:dyDescent="0.25">
      <c r="C326" s="4" t="s">
        <v>339</v>
      </c>
      <c r="D326" s="4" t="s">
        <v>340</v>
      </c>
      <c r="E326" s="4" t="s">
        <v>341</v>
      </c>
      <c r="F326" s="4" t="s">
        <v>36</v>
      </c>
      <c r="G326" s="4" t="s">
        <v>37</v>
      </c>
      <c r="H326" s="4" t="s">
        <v>46</v>
      </c>
      <c r="I326" s="4"/>
      <c r="J326" s="4">
        <v>0</v>
      </c>
      <c r="K326" s="4"/>
      <c r="L326" s="4" t="s">
        <v>47</v>
      </c>
      <c r="M326" s="4" t="s">
        <v>40</v>
      </c>
      <c r="N326" s="4">
        <v>0</v>
      </c>
      <c r="O326" s="4" t="s">
        <v>339</v>
      </c>
      <c r="P326" s="4" t="s">
        <v>42</v>
      </c>
      <c r="Q326" s="50" t="s">
        <v>43</v>
      </c>
      <c r="R326" s="50"/>
      <c r="S326" s="50">
        <v>0</v>
      </c>
      <c r="T326" s="4" t="s">
        <v>43</v>
      </c>
      <c r="U326" s="4" t="s">
        <v>43</v>
      </c>
    </row>
    <row r="327" spans="3:21" hidden="1" x14ac:dyDescent="0.25">
      <c r="C327" s="4" t="s">
        <v>825</v>
      </c>
      <c r="D327" s="4" t="s">
        <v>826</v>
      </c>
      <c r="E327" s="4" t="s">
        <v>827</v>
      </c>
      <c r="F327" s="4">
        <v>5</v>
      </c>
      <c r="G327" s="4" t="s">
        <v>376</v>
      </c>
      <c r="H327" s="4" t="s">
        <v>81</v>
      </c>
      <c r="I327" s="4"/>
      <c r="J327" s="4" t="s">
        <v>146</v>
      </c>
      <c r="K327" s="4" t="s">
        <v>43</v>
      </c>
      <c r="L327" s="4" t="s">
        <v>59</v>
      </c>
      <c r="M327" s="4" t="s">
        <v>40</v>
      </c>
      <c r="N327" s="4" t="s">
        <v>984</v>
      </c>
      <c r="O327" s="4" t="s">
        <v>825</v>
      </c>
      <c r="P327" s="4" t="s">
        <v>42</v>
      </c>
      <c r="Q327" s="50" t="s">
        <v>43</v>
      </c>
      <c r="R327" s="50"/>
      <c r="S327" s="50" t="s">
        <v>799</v>
      </c>
      <c r="T327" s="4" t="s">
        <v>43</v>
      </c>
      <c r="U327" s="4" t="s">
        <v>43</v>
      </c>
    </row>
    <row r="328" spans="3:21" hidden="1" x14ac:dyDescent="0.25">
      <c r="C328" s="4" t="s">
        <v>828</v>
      </c>
      <c r="D328" s="4" t="s">
        <v>829</v>
      </c>
      <c r="E328" s="4" t="s">
        <v>829</v>
      </c>
      <c r="F328" s="4">
        <v>5.68</v>
      </c>
      <c r="G328" s="4" t="s">
        <v>376</v>
      </c>
      <c r="H328" s="4" t="s">
        <v>46</v>
      </c>
      <c r="I328" s="4"/>
      <c r="J328" s="4" t="s">
        <v>146</v>
      </c>
      <c r="K328" s="4" t="s">
        <v>43</v>
      </c>
      <c r="L328" s="4" t="s">
        <v>59</v>
      </c>
      <c r="M328" s="4" t="s">
        <v>40</v>
      </c>
      <c r="N328" s="4" t="s">
        <v>984</v>
      </c>
      <c r="O328" s="4" t="s">
        <v>828</v>
      </c>
      <c r="P328" s="4" t="s">
        <v>42</v>
      </c>
      <c r="Q328" s="50" t="s">
        <v>43</v>
      </c>
      <c r="R328" s="50"/>
      <c r="S328" s="50" t="s">
        <v>799</v>
      </c>
      <c r="T328" s="4" t="s">
        <v>43</v>
      </c>
      <c r="U328" s="4" t="s">
        <v>43</v>
      </c>
    </row>
    <row r="329" spans="3:21" hidden="1" x14ac:dyDescent="0.25">
      <c r="C329" s="4" t="s">
        <v>342</v>
      </c>
      <c r="D329" s="4" t="s">
        <v>343</v>
      </c>
      <c r="E329" s="4" t="s">
        <v>343</v>
      </c>
      <c r="F329" s="4" t="s">
        <v>36</v>
      </c>
      <c r="G329" s="4" t="s">
        <v>37</v>
      </c>
      <c r="H329" s="4" t="s">
        <v>81</v>
      </c>
      <c r="I329" s="4"/>
      <c r="J329" s="4" t="s">
        <v>132</v>
      </c>
      <c r="K329" s="4"/>
      <c r="L329" s="4" t="s">
        <v>51</v>
      </c>
      <c r="M329" s="4" t="s">
        <v>40</v>
      </c>
      <c r="N329" s="4" t="s">
        <v>514</v>
      </c>
      <c r="O329" s="4" t="s">
        <v>342</v>
      </c>
      <c r="P329" s="4" t="s">
        <v>42</v>
      </c>
      <c r="Q329" s="50" t="s">
        <v>43</v>
      </c>
      <c r="R329" s="50"/>
      <c r="S329" s="50">
        <v>0</v>
      </c>
      <c r="T329" s="4" t="s">
        <v>43</v>
      </c>
      <c r="U329" s="4" t="s">
        <v>43</v>
      </c>
    </row>
    <row r="330" spans="3:21" hidden="1" x14ac:dyDescent="0.25">
      <c r="C330" s="4" t="s">
        <v>830</v>
      </c>
      <c r="D330" s="4" t="s">
        <v>831</v>
      </c>
      <c r="E330" s="4" t="s">
        <v>832</v>
      </c>
      <c r="F330" s="4">
        <v>5</v>
      </c>
      <c r="G330" s="4" t="s">
        <v>376</v>
      </c>
      <c r="H330" s="4" t="s">
        <v>46</v>
      </c>
      <c r="I330" s="4"/>
      <c r="J330" s="4" t="s">
        <v>146</v>
      </c>
      <c r="K330" s="4" t="s">
        <v>43</v>
      </c>
      <c r="L330" s="4" t="s">
        <v>59</v>
      </c>
      <c r="M330" s="4" t="s">
        <v>40</v>
      </c>
      <c r="N330" s="4" t="s">
        <v>984</v>
      </c>
      <c r="O330" s="4" t="s">
        <v>830</v>
      </c>
      <c r="P330" s="4" t="s">
        <v>42</v>
      </c>
      <c r="Q330" s="50" t="s">
        <v>43</v>
      </c>
      <c r="R330" s="50"/>
      <c r="S330" s="50" t="s">
        <v>799</v>
      </c>
      <c r="T330" s="4" t="s">
        <v>43</v>
      </c>
      <c r="U330" s="4" t="s">
        <v>43</v>
      </c>
    </row>
    <row r="331" spans="3:21" hidden="1" x14ac:dyDescent="0.25">
      <c r="C331" s="4" t="s">
        <v>921</v>
      </c>
      <c r="D331" s="4" t="s">
        <v>922</v>
      </c>
      <c r="E331" s="4" t="s">
        <v>911</v>
      </c>
      <c r="F331" s="4">
        <v>5</v>
      </c>
      <c r="G331" s="4" t="s">
        <v>376</v>
      </c>
      <c r="H331" s="4" t="s">
        <v>81</v>
      </c>
      <c r="I331" s="4"/>
      <c r="J331" s="4" t="s">
        <v>73</v>
      </c>
      <c r="K331" s="4" t="s">
        <v>43</v>
      </c>
      <c r="L331" s="4" t="s">
        <v>911</v>
      </c>
      <c r="M331" s="4" t="s">
        <v>40</v>
      </c>
      <c r="N331" s="4" t="s">
        <v>514</v>
      </c>
      <c r="O331" s="4" t="s">
        <v>921</v>
      </c>
      <c r="P331" s="4" t="s">
        <v>42</v>
      </c>
      <c r="Q331" s="50" t="s">
        <v>43</v>
      </c>
      <c r="R331" s="50"/>
      <c r="S331" s="50" t="s">
        <v>886</v>
      </c>
      <c r="T331" s="4" t="s">
        <v>43</v>
      </c>
      <c r="U331" s="4" t="s">
        <v>43</v>
      </c>
    </row>
    <row r="332" spans="3:21" hidden="1" x14ac:dyDescent="0.25">
      <c r="C332" s="4" t="s">
        <v>970</v>
      </c>
      <c r="D332" s="4" t="s">
        <v>971</v>
      </c>
      <c r="E332" s="4" t="s">
        <v>972</v>
      </c>
      <c r="F332" s="4">
        <v>5</v>
      </c>
      <c r="G332" s="4" t="s">
        <v>376</v>
      </c>
      <c r="H332" s="4" t="s">
        <v>81</v>
      </c>
      <c r="I332" s="4"/>
      <c r="J332" s="4" t="s">
        <v>160</v>
      </c>
      <c r="K332" s="4" t="s">
        <v>43</v>
      </c>
      <c r="L332" s="4" t="s">
        <v>353</v>
      </c>
      <c r="M332" s="4" t="s">
        <v>40</v>
      </c>
      <c r="N332" s="4" t="s">
        <v>378</v>
      </c>
      <c r="O332" s="4" t="s">
        <v>970</v>
      </c>
      <c r="P332" s="4" t="s">
        <v>42</v>
      </c>
      <c r="Q332" s="50" t="s">
        <v>43</v>
      </c>
      <c r="R332" s="50"/>
      <c r="S332" s="50" t="s">
        <v>931</v>
      </c>
      <c r="T332" s="4" t="s">
        <v>43</v>
      </c>
      <c r="U332" s="4" t="s">
        <v>43</v>
      </c>
    </row>
    <row r="333" spans="3:21" hidden="1" x14ac:dyDescent="0.25">
      <c r="C333" s="4" t="s">
        <v>344</v>
      </c>
      <c r="D333" s="4" t="s">
        <v>345</v>
      </c>
      <c r="E333" s="4" t="s">
        <v>345</v>
      </c>
      <c r="F333" s="4" t="s">
        <v>36</v>
      </c>
      <c r="G333" s="4" t="s">
        <v>37</v>
      </c>
      <c r="H333" s="4" t="s">
        <v>88</v>
      </c>
      <c r="I333" s="4"/>
      <c r="J333" s="4">
        <v>0</v>
      </c>
      <c r="K333" s="4"/>
      <c r="L333" s="4" t="s">
        <v>346</v>
      </c>
      <c r="M333" s="4" t="s">
        <v>40</v>
      </c>
      <c r="N333" s="4">
        <v>0</v>
      </c>
      <c r="O333" s="4" t="s">
        <v>344</v>
      </c>
      <c r="P333" s="4" t="s">
        <v>42</v>
      </c>
      <c r="Q333" s="50" t="s">
        <v>43</v>
      </c>
      <c r="R333" s="50"/>
      <c r="S333" s="50">
        <v>0</v>
      </c>
      <c r="T333" s="4" t="s">
        <v>43</v>
      </c>
      <c r="U333" s="4" t="s">
        <v>43</v>
      </c>
    </row>
    <row r="334" spans="3:21" hidden="1" x14ac:dyDescent="0.25">
      <c r="C334" s="4" t="s">
        <v>879</v>
      </c>
      <c r="D334" s="4" t="s">
        <v>880</v>
      </c>
      <c r="E334" s="4" t="s">
        <v>880</v>
      </c>
      <c r="F334" s="4">
        <v>3.92</v>
      </c>
      <c r="G334" s="4" t="s">
        <v>376</v>
      </c>
      <c r="H334" s="4" t="s">
        <v>46</v>
      </c>
      <c r="I334" s="4"/>
      <c r="J334" s="4" t="s">
        <v>132</v>
      </c>
      <c r="K334" s="4" t="s">
        <v>43</v>
      </c>
      <c r="L334" s="4" t="s">
        <v>138</v>
      </c>
      <c r="M334" s="4" t="s">
        <v>40</v>
      </c>
      <c r="N334" s="4" t="s">
        <v>514</v>
      </c>
      <c r="O334" s="4" t="s">
        <v>879</v>
      </c>
      <c r="P334" s="4" t="s">
        <v>42</v>
      </c>
      <c r="Q334" s="50" t="s">
        <v>43</v>
      </c>
      <c r="R334" s="50"/>
      <c r="S334" s="50" t="s">
        <v>847</v>
      </c>
      <c r="T334" s="4" t="s">
        <v>43</v>
      </c>
      <c r="U334" s="4" t="s">
        <v>43</v>
      </c>
    </row>
    <row r="335" spans="3:21" hidden="1" x14ac:dyDescent="0.25">
      <c r="C335" s="4" t="s">
        <v>553</v>
      </c>
      <c r="D335" s="4" t="s">
        <v>554</v>
      </c>
      <c r="E335" s="4" t="s">
        <v>554</v>
      </c>
      <c r="F335" s="4">
        <v>5</v>
      </c>
      <c r="G335" s="4" t="s">
        <v>376</v>
      </c>
      <c r="H335" s="4" t="s">
        <v>46</v>
      </c>
      <c r="I335" s="4"/>
      <c r="J335" s="4" t="s">
        <v>100</v>
      </c>
      <c r="K335" s="4" t="s">
        <v>43</v>
      </c>
      <c r="L335" s="4" t="s">
        <v>138</v>
      </c>
      <c r="M335" s="4" t="s">
        <v>40</v>
      </c>
      <c r="N335" s="4" t="s">
        <v>514</v>
      </c>
      <c r="O335" s="4" t="s">
        <v>553</v>
      </c>
      <c r="P335" s="4" t="s">
        <v>42</v>
      </c>
      <c r="Q335" s="50" t="s">
        <v>43</v>
      </c>
      <c r="R335" s="50"/>
      <c r="S335" s="50" t="s">
        <v>515</v>
      </c>
      <c r="T335" s="4" t="s">
        <v>43</v>
      </c>
      <c r="U335" s="4" t="s">
        <v>43</v>
      </c>
    </row>
    <row r="336" spans="3:21" hidden="1" x14ac:dyDescent="0.25">
      <c r="C336" s="4" t="s">
        <v>923</v>
      </c>
      <c r="D336" s="4" t="s">
        <v>924</v>
      </c>
      <c r="E336" s="4" t="s">
        <v>924</v>
      </c>
      <c r="F336" s="4">
        <v>5</v>
      </c>
      <c r="G336" s="4" t="s">
        <v>376</v>
      </c>
      <c r="H336" s="4" t="s">
        <v>46</v>
      </c>
      <c r="I336" s="4"/>
      <c r="J336" s="4" t="s">
        <v>73</v>
      </c>
      <c r="K336" s="4" t="s">
        <v>43</v>
      </c>
      <c r="L336" s="4" t="s">
        <v>133</v>
      </c>
      <c r="M336" s="4" t="s">
        <v>40</v>
      </c>
      <c r="N336" s="4" t="s">
        <v>514</v>
      </c>
      <c r="O336" s="4" t="s">
        <v>923</v>
      </c>
      <c r="P336" s="4" t="s">
        <v>42</v>
      </c>
      <c r="Q336" s="50" t="s">
        <v>43</v>
      </c>
      <c r="R336" s="50"/>
      <c r="S336" s="50" t="s">
        <v>886</v>
      </c>
      <c r="T336" s="4" t="s">
        <v>43</v>
      </c>
      <c r="U336" s="4" t="s">
        <v>43</v>
      </c>
    </row>
    <row r="337" spans="3:21" hidden="1" x14ac:dyDescent="0.25">
      <c r="C337" s="4" t="s">
        <v>761</v>
      </c>
      <c r="D337" s="4" t="s">
        <v>762</v>
      </c>
      <c r="E337" s="4" t="s">
        <v>762</v>
      </c>
      <c r="F337" s="4">
        <v>5</v>
      </c>
      <c r="G337" s="4" t="s">
        <v>376</v>
      </c>
      <c r="H337" s="4" t="s">
        <v>46</v>
      </c>
      <c r="I337" s="4"/>
      <c r="J337" s="4" t="s">
        <v>84</v>
      </c>
      <c r="K337" s="4" t="s">
        <v>440</v>
      </c>
      <c r="L337" s="4" t="s">
        <v>54</v>
      </c>
      <c r="M337" s="4" t="s">
        <v>55</v>
      </c>
      <c r="N337" s="4" t="s">
        <v>984</v>
      </c>
      <c r="O337" s="4" t="s">
        <v>761</v>
      </c>
      <c r="P337" s="4" t="s">
        <v>42</v>
      </c>
      <c r="Q337" s="50" t="s">
        <v>43</v>
      </c>
      <c r="R337" s="50"/>
      <c r="S337" s="50" t="s">
        <v>741</v>
      </c>
      <c r="T337" s="4" t="s">
        <v>43</v>
      </c>
      <c r="U337" s="4" t="s">
        <v>43</v>
      </c>
    </row>
    <row r="338" spans="3:21" hidden="1" x14ac:dyDescent="0.25">
      <c r="C338" s="4" t="s">
        <v>509</v>
      </c>
      <c r="D338" s="4" t="s">
        <v>510</v>
      </c>
      <c r="E338" s="4" t="s">
        <v>510</v>
      </c>
      <c r="F338" s="4">
        <v>5</v>
      </c>
      <c r="G338" s="4" t="s">
        <v>376</v>
      </c>
      <c r="H338" s="4" t="s">
        <v>46</v>
      </c>
      <c r="I338" s="4"/>
      <c r="J338" s="4" t="s">
        <v>466</v>
      </c>
      <c r="K338" s="4" t="s">
        <v>43</v>
      </c>
      <c r="L338" s="4" t="s">
        <v>51</v>
      </c>
      <c r="M338" s="4" t="s">
        <v>40</v>
      </c>
      <c r="N338" s="4" t="s">
        <v>378</v>
      </c>
      <c r="O338" s="4" t="s">
        <v>509</v>
      </c>
      <c r="P338" s="4" t="s">
        <v>42</v>
      </c>
      <c r="Q338" s="50" t="s">
        <v>43</v>
      </c>
      <c r="R338" s="50"/>
      <c r="S338" s="50" t="s">
        <v>467</v>
      </c>
      <c r="T338" s="4" t="s">
        <v>43</v>
      </c>
      <c r="U338" s="4" t="s">
        <v>43</v>
      </c>
    </row>
    <row r="339" spans="3:21" hidden="1" x14ac:dyDescent="0.25">
      <c r="C339" s="4" t="s">
        <v>347</v>
      </c>
      <c r="D339" s="4" t="s">
        <v>348</v>
      </c>
      <c r="E339" s="4" t="s">
        <v>348</v>
      </c>
      <c r="F339" s="4" t="s">
        <v>36</v>
      </c>
      <c r="G339" s="4" t="s">
        <v>37</v>
      </c>
      <c r="H339" s="4" t="s">
        <v>81</v>
      </c>
      <c r="I339" s="4"/>
      <c r="J339" s="4" t="s">
        <v>58</v>
      </c>
      <c r="K339" s="4"/>
      <c r="L339" s="4" t="s">
        <v>59</v>
      </c>
      <c r="M339" s="4" t="s">
        <v>40</v>
      </c>
      <c r="N339" s="4" t="s">
        <v>378</v>
      </c>
      <c r="O339" s="4" t="s">
        <v>347</v>
      </c>
      <c r="P339" s="4" t="s">
        <v>42</v>
      </c>
      <c r="Q339" s="50" t="s">
        <v>43</v>
      </c>
      <c r="R339" s="50"/>
      <c r="S339" s="50">
        <v>0</v>
      </c>
      <c r="T339" s="4" t="s">
        <v>43</v>
      </c>
      <c r="U339" s="4" t="s">
        <v>43</v>
      </c>
    </row>
    <row r="340" spans="3:21" hidden="1" x14ac:dyDescent="0.25">
      <c r="C340" s="4" t="s">
        <v>973</v>
      </c>
      <c r="D340" s="4" t="s">
        <v>974</v>
      </c>
      <c r="E340" s="4" t="s">
        <v>974</v>
      </c>
      <c r="F340" s="4">
        <v>5</v>
      </c>
      <c r="G340" s="4" t="s">
        <v>376</v>
      </c>
      <c r="H340" s="4" t="s">
        <v>46</v>
      </c>
      <c r="I340" s="4"/>
      <c r="J340" s="4" t="s">
        <v>160</v>
      </c>
      <c r="K340" s="4" t="s">
        <v>43</v>
      </c>
      <c r="L340" s="4" t="s">
        <v>39</v>
      </c>
      <c r="M340" s="4" t="s">
        <v>40</v>
      </c>
      <c r="N340" s="4" t="s">
        <v>378</v>
      </c>
      <c r="O340" s="4" t="s">
        <v>973</v>
      </c>
      <c r="P340" s="4" t="s">
        <v>42</v>
      </c>
      <c r="Q340" s="50" t="s">
        <v>43</v>
      </c>
      <c r="R340" s="50"/>
      <c r="S340" s="50" t="s">
        <v>931</v>
      </c>
      <c r="T340" s="4" t="s">
        <v>43</v>
      </c>
      <c r="U340" s="4" t="s">
        <v>43</v>
      </c>
    </row>
    <row r="341" spans="3:21" hidden="1" x14ac:dyDescent="0.25">
      <c r="C341" s="4" t="s">
        <v>349</v>
      </c>
      <c r="D341" s="4" t="s">
        <v>350</v>
      </c>
      <c r="E341" s="4" t="s">
        <v>350</v>
      </c>
      <c r="F341" s="4" t="s">
        <v>36</v>
      </c>
      <c r="G341" s="4" t="s">
        <v>37</v>
      </c>
      <c r="H341" s="4" t="s">
        <v>46</v>
      </c>
      <c r="I341" s="4"/>
      <c r="J341" s="4">
        <v>0</v>
      </c>
      <c r="K341" s="4"/>
      <c r="L341" s="4" t="s">
        <v>138</v>
      </c>
      <c r="M341" s="4" t="s">
        <v>40</v>
      </c>
      <c r="N341" s="4">
        <v>0</v>
      </c>
      <c r="O341" s="4" t="s">
        <v>349</v>
      </c>
      <c r="P341" s="4" t="s">
        <v>42</v>
      </c>
      <c r="Q341" s="50" t="s">
        <v>43</v>
      </c>
      <c r="R341" s="50"/>
      <c r="S341" s="50">
        <v>0</v>
      </c>
      <c r="T341" s="4" t="s">
        <v>43</v>
      </c>
      <c r="U341" s="4" t="s">
        <v>43</v>
      </c>
    </row>
    <row r="342" spans="3:21" hidden="1" x14ac:dyDescent="0.25">
      <c r="C342" s="4" t="s">
        <v>351</v>
      </c>
      <c r="D342" s="4" t="s">
        <v>352</v>
      </c>
      <c r="E342" s="4" t="s">
        <v>352</v>
      </c>
      <c r="F342" s="4" t="s">
        <v>36</v>
      </c>
      <c r="G342" s="4" t="s">
        <v>37</v>
      </c>
      <c r="H342" s="4" t="s">
        <v>46</v>
      </c>
      <c r="I342" s="4"/>
      <c r="J342" s="4" t="s">
        <v>331</v>
      </c>
      <c r="K342" s="4"/>
      <c r="L342" s="4" t="s">
        <v>353</v>
      </c>
      <c r="M342" s="4" t="s">
        <v>40</v>
      </c>
      <c r="N342" s="4" t="s">
        <v>422</v>
      </c>
      <c r="O342" s="4" t="s">
        <v>351</v>
      </c>
      <c r="P342" s="4" t="s">
        <v>42</v>
      </c>
      <c r="Q342" s="50" t="s">
        <v>43</v>
      </c>
      <c r="R342" s="50"/>
      <c r="S342" s="50">
        <v>0</v>
      </c>
      <c r="T342" s="4" t="s">
        <v>43</v>
      </c>
      <c r="U342" s="4" t="s">
        <v>43</v>
      </c>
    </row>
    <row r="343" spans="3:21" hidden="1" x14ac:dyDescent="0.25">
      <c r="C343" s="4" t="s">
        <v>833</v>
      </c>
      <c r="D343" s="4" t="s">
        <v>834</v>
      </c>
      <c r="E343" s="4" t="s">
        <v>835</v>
      </c>
      <c r="F343" s="4">
        <f>5+0.56</f>
        <v>5.5600000000000005</v>
      </c>
      <c r="G343" s="4" t="s">
        <v>376</v>
      </c>
      <c r="H343" s="4" t="s">
        <v>46</v>
      </c>
      <c r="I343" s="4"/>
      <c r="J343" s="4" t="s">
        <v>146</v>
      </c>
      <c r="K343" s="4" t="s">
        <v>43</v>
      </c>
      <c r="L343" s="4" t="s">
        <v>59</v>
      </c>
      <c r="M343" s="4" t="s">
        <v>40</v>
      </c>
      <c r="N343" s="4" t="s">
        <v>984</v>
      </c>
      <c r="O343" s="4" t="s">
        <v>833</v>
      </c>
      <c r="P343" s="4" t="s">
        <v>42</v>
      </c>
      <c r="Q343" s="50" t="s">
        <v>43</v>
      </c>
      <c r="R343" s="50"/>
      <c r="S343" s="50" t="s">
        <v>799</v>
      </c>
      <c r="T343" s="4" t="s">
        <v>43</v>
      </c>
      <c r="U343" s="4" t="s">
        <v>43</v>
      </c>
    </row>
    <row r="344" spans="3:21" hidden="1" x14ac:dyDescent="0.25">
      <c r="C344" s="4" t="s">
        <v>354</v>
      </c>
      <c r="D344" s="4" t="s">
        <v>355</v>
      </c>
      <c r="E344" s="4" t="s">
        <v>355</v>
      </c>
      <c r="F344" s="4" t="s">
        <v>36</v>
      </c>
      <c r="G344" s="4" t="s">
        <v>37</v>
      </c>
      <c r="H344" s="4" t="s">
        <v>46</v>
      </c>
      <c r="I344" s="4"/>
      <c r="J344" s="4" t="s">
        <v>67</v>
      </c>
      <c r="K344" s="4"/>
      <c r="L344" s="4" t="s">
        <v>59</v>
      </c>
      <c r="M344" s="4" t="s">
        <v>40</v>
      </c>
      <c r="N344" s="4">
        <v>0</v>
      </c>
      <c r="O344" s="4" t="s">
        <v>354</v>
      </c>
      <c r="P344" s="4" t="s">
        <v>42</v>
      </c>
      <c r="Q344" s="50" t="s">
        <v>43</v>
      </c>
      <c r="R344" s="50"/>
      <c r="S344" s="50">
        <v>0</v>
      </c>
      <c r="T344" s="4" t="s">
        <v>43</v>
      </c>
      <c r="U344" s="4" t="s">
        <v>43</v>
      </c>
    </row>
    <row r="345" spans="3:21" hidden="1" x14ac:dyDescent="0.25">
      <c r="C345" s="4" t="s">
        <v>693</v>
      </c>
      <c r="D345" s="4" t="s">
        <v>694</v>
      </c>
      <c r="E345" s="4" t="s">
        <v>694</v>
      </c>
      <c r="F345" s="4">
        <v>5</v>
      </c>
      <c r="G345" s="4" t="s">
        <v>376</v>
      </c>
      <c r="H345" s="4" t="s">
        <v>46</v>
      </c>
      <c r="I345" s="4"/>
      <c r="J345" s="4" t="s">
        <v>248</v>
      </c>
      <c r="K345" s="4" t="s">
        <v>43</v>
      </c>
      <c r="L345" s="4" t="s">
        <v>51</v>
      </c>
      <c r="M345" s="4" t="s">
        <v>40</v>
      </c>
      <c r="N345" s="4" t="s">
        <v>984</v>
      </c>
      <c r="O345" s="4" t="s">
        <v>693</v>
      </c>
      <c r="P345" s="4" t="s">
        <v>42</v>
      </c>
      <c r="Q345" s="50" t="s">
        <v>43</v>
      </c>
      <c r="R345" s="50"/>
      <c r="S345" s="50" t="s">
        <v>51</v>
      </c>
      <c r="T345" s="4" t="s">
        <v>43</v>
      </c>
      <c r="U345" s="4" t="s">
        <v>43</v>
      </c>
    </row>
    <row r="346" spans="3:21" hidden="1" x14ac:dyDescent="0.25">
      <c r="C346" s="4" t="s">
        <v>356</v>
      </c>
      <c r="D346" s="4" t="s">
        <v>357</v>
      </c>
      <c r="E346" s="4" t="s">
        <v>357</v>
      </c>
      <c r="F346" s="4" t="s">
        <v>36</v>
      </c>
      <c r="G346" s="4" t="s">
        <v>37</v>
      </c>
      <c r="H346" s="4" t="s">
        <v>81</v>
      </c>
      <c r="I346" s="4"/>
      <c r="J346" s="4" t="s">
        <v>89</v>
      </c>
      <c r="K346" s="4"/>
      <c r="L346" s="4" t="s">
        <v>109</v>
      </c>
      <c r="M346" s="4" t="s">
        <v>91</v>
      </c>
      <c r="N346" s="4" t="s">
        <v>378</v>
      </c>
      <c r="O346" s="4" t="s">
        <v>356</v>
      </c>
      <c r="P346" s="4" t="s">
        <v>42</v>
      </c>
      <c r="Q346" s="50" t="s">
        <v>43</v>
      </c>
      <c r="R346" s="50"/>
      <c r="S346" s="50">
        <v>0</v>
      </c>
      <c r="T346" s="4" t="s">
        <v>43</v>
      </c>
      <c r="U346" s="4" t="s">
        <v>43</v>
      </c>
    </row>
    <row r="347" spans="3:21" hidden="1" x14ac:dyDescent="0.25">
      <c r="C347" s="4" t="s">
        <v>925</v>
      </c>
      <c r="D347" s="4" t="s">
        <v>926</v>
      </c>
      <c r="E347" s="4" t="s">
        <v>927</v>
      </c>
      <c r="F347" s="4">
        <v>5</v>
      </c>
      <c r="G347" s="4" t="s">
        <v>376</v>
      </c>
      <c r="H347" s="4" t="s">
        <v>81</v>
      </c>
      <c r="I347" s="4"/>
      <c r="J347" s="4" t="s">
        <v>73</v>
      </c>
      <c r="K347" s="4" t="s">
        <v>43</v>
      </c>
      <c r="L347" s="4" t="s">
        <v>928</v>
      </c>
      <c r="M347" s="4" t="s">
        <v>40</v>
      </c>
      <c r="N347" s="4" t="s">
        <v>514</v>
      </c>
      <c r="O347" s="4" t="s">
        <v>925</v>
      </c>
      <c r="P347" s="4" t="s">
        <v>42</v>
      </c>
      <c r="Q347" s="50" t="s">
        <v>43</v>
      </c>
      <c r="R347" s="50"/>
      <c r="S347" s="50" t="s">
        <v>886</v>
      </c>
      <c r="T347" s="4" t="s">
        <v>43</v>
      </c>
      <c r="U347" s="4" t="s">
        <v>43</v>
      </c>
    </row>
    <row r="348" spans="3:21" hidden="1" x14ac:dyDescent="0.25">
      <c r="C348" s="4" t="s">
        <v>358</v>
      </c>
      <c r="D348" s="4" t="s">
        <v>359</v>
      </c>
      <c r="E348" s="4" t="s">
        <v>359</v>
      </c>
      <c r="F348" s="4" t="s">
        <v>36</v>
      </c>
      <c r="G348" s="4" t="s">
        <v>37</v>
      </c>
      <c r="H348" s="4" t="s">
        <v>81</v>
      </c>
      <c r="I348" s="4"/>
      <c r="J348" s="4" t="s">
        <v>248</v>
      </c>
      <c r="K348" s="4"/>
      <c r="L348" s="4" t="s">
        <v>138</v>
      </c>
      <c r="M348" s="4" t="s">
        <v>40</v>
      </c>
      <c r="N348" s="4" t="s">
        <v>984</v>
      </c>
      <c r="O348" s="4" t="s">
        <v>358</v>
      </c>
      <c r="P348" s="4" t="s">
        <v>42</v>
      </c>
      <c r="Q348" s="50" t="s">
        <v>43</v>
      </c>
      <c r="R348" s="50"/>
      <c r="S348" s="50">
        <v>0</v>
      </c>
      <c r="T348" s="4" t="s">
        <v>43</v>
      </c>
      <c r="U348" s="4" t="s">
        <v>43</v>
      </c>
    </row>
    <row r="349" spans="3:21" hidden="1" x14ac:dyDescent="0.25">
      <c r="C349" s="4" t="s">
        <v>695</v>
      </c>
      <c r="D349" s="4" t="s">
        <v>696</v>
      </c>
      <c r="E349" s="4" t="s">
        <v>696</v>
      </c>
      <c r="F349" s="4">
        <v>5</v>
      </c>
      <c r="G349" s="4" t="s">
        <v>376</v>
      </c>
      <c r="H349" s="4" t="s">
        <v>46</v>
      </c>
      <c r="I349" s="4"/>
      <c r="J349" s="4" t="s">
        <v>248</v>
      </c>
      <c r="K349" s="4" t="s">
        <v>43</v>
      </c>
      <c r="L349" s="4" t="s">
        <v>51</v>
      </c>
      <c r="M349" s="4" t="s">
        <v>40</v>
      </c>
      <c r="N349" s="4" t="s">
        <v>984</v>
      </c>
      <c r="O349" s="4" t="s">
        <v>695</v>
      </c>
      <c r="P349" s="4" t="s">
        <v>42</v>
      </c>
      <c r="Q349" s="50" t="s">
        <v>43</v>
      </c>
      <c r="R349" s="50"/>
      <c r="S349" s="50" t="s">
        <v>51</v>
      </c>
      <c r="T349" s="4" t="s">
        <v>43</v>
      </c>
      <c r="U349" s="4" t="s">
        <v>43</v>
      </c>
    </row>
    <row r="350" spans="3:21" hidden="1" x14ac:dyDescent="0.25">
      <c r="C350" s="4" t="s">
        <v>360</v>
      </c>
      <c r="D350" s="4" t="s">
        <v>361</v>
      </c>
      <c r="E350" s="4" t="s">
        <v>361</v>
      </c>
      <c r="F350" s="4" t="s">
        <v>36</v>
      </c>
      <c r="G350" s="4" t="s">
        <v>37</v>
      </c>
      <c r="H350" s="4" t="s">
        <v>46</v>
      </c>
      <c r="I350" s="4"/>
      <c r="J350" s="4" t="s">
        <v>67</v>
      </c>
      <c r="K350" s="4"/>
      <c r="L350" s="4" t="s">
        <v>59</v>
      </c>
      <c r="M350" s="4" t="s">
        <v>40</v>
      </c>
      <c r="N350" s="4">
        <v>0</v>
      </c>
      <c r="O350" s="4" t="s">
        <v>360</v>
      </c>
      <c r="P350" s="4" t="s">
        <v>42</v>
      </c>
      <c r="Q350" s="50" t="s">
        <v>43</v>
      </c>
      <c r="R350" s="50"/>
      <c r="S350" s="50">
        <v>0</v>
      </c>
      <c r="T350" s="4" t="s">
        <v>43</v>
      </c>
      <c r="U350" s="4" t="s">
        <v>43</v>
      </c>
    </row>
    <row r="351" spans="3:21" hidden="1" x14ac:dyDescent="0.25">
      <c r="C351" s="4" t="s">
        <v>362</v>
      </c>
      <c r="D351" s="4" t="s">
        <v>363</v>
      </c>
      <c r="E351" s="4" t="s">
        <v>363</v>
      </c>
      <c r="F351" s="4" t="s">
        <v>36</v>
      </c>
      <c r="G351" s="4" t="s">
        <v>37</v>
      </c>
      <c r="H351" s="4" t="s">
        <v>81</v>
      </c>
      <c r="I351" s="4"/>
      <c r="J351" s="4" t="s">
        <v>73</v>
      </c>
      <c r="K351" s="4"/>
      <c r="L351" s="4" t="s">
        <v>364</v>
      </c>
      <c r="M351" s="4" t="s">
        <v>40</v>
      </c>
      <c r="N351" s="4" t="s">
        <v>514</v>
      </c>
      <c r="O351" s="4" t="s">
        <v>362</v>
      </c>
      <c r="P351" s="4" t="s">
        <v>42</v>
      </c>
      <c r="Q351" s="50" t="s">
        <v>43</v>
      </c>
      <c r="R351" s="50"/>
      <c r="S351" s="50">
        <v>0</v>
      </c>
      <c r="T351" s="4" t="s">
        <v>43</v>
      </c>
      <c r="U351" s="4" t="s">
        <v>43</v>
      </c>
    </row>
    <row r="352" spans="3:21" hidden="1" x14ac:dyDescent="0.25">
      <c r="C352" s="4" t="s">
        <v>592</v>
      </c>
      <c r="D352" s="4" t="s">
        <v>593</v>
      </c>
      <c r="E352" s="4" t="s">
        <v>593</v>
      </c>
      <c r="F352" s="4">
        <v>5</v>
      </c>
      <c r="G352" s="4" t="s">
        <v>376</v>
      </c>
      <c r="H352" s="4" t="s">
        <v>81</v>
      </c>
      <c r="I352" s="4"/>
      <c r="J352" s="4" t="s">
        <v>331</v>
      </c>
      <c r="K352" s="4" t="s">
        <v>43</v>
      </c>
      <c r="L352" s="4" t="s">
        <v>138</v>
      </c>
      <c r="M352" s="4" t="s">
        <v>40</v>
      </c>
      <c r="N352" s="4" t="s">
        <v>422</v>
      </c>
      <c r="O352" s="4" t="s">
        <v>592</v>
      </c>
      <c r="P352" s="4" t="s">
        <v>42</v>
      </c>
      <c r="Q352" s="50" t="s">
        <v>43</v>
      </c>
      <c r="R352" s="50"/>
      <c r="S352" s="50" t="s">
        <v>557</v>
      </c>
      <c r="T352" s="4" t="s">
        <v>43</v>
      </c>
      <c r="U352" s="4" t="s">
        <v>43</v>
      </c>
    </row>
    <row r="353" spans="3:22" hidden="1" x14ac:dyDescent="0.25">
      <c r="C353" s="4" t="s">
        <v>365</v>
      </c>
      <c r="D353" s="4" t="s">
        <v>366</v>
      </c>
      <c r="E353" s="4" t="s">
        <v>367</v>
      </c>
      <c r="F353" s="4" t="s">
        <v>36</v>
      </c>
      <c r="G353" s="4" t="s">
        <v>37</v>
      </c>
      <c r="H353" s="4" t="s">
        <v>81</v>
      </c>
      <c r="I353" s="4"/>
      <c r="J353" s="4" t="s">
        <v>146</v>
      </c>
      <c r="K353" s="4"/>
      <c r="L353" s="4" t="s">
        <v>59</v>
      </c>
      <c r="M353" s="4" t="s">
        <v>40</v>
      </c>
      <c r="N353" s="4" t="s">
        <v>984</v>
      </c>
      <c r="O353" s="4" t="s">
        <v>365</v>
      </c>
      <c r="P353" s="4" t="s">
        <v>42</v>
      </c>
      <c r="Q353" s="50" t="s">
        <v>43</v>
      </c>
      <c r="R353" s="50"/>
      <c r="S353" s="50">
        <v>0</v>
      </c>
      <c r="T353" s="4" t="s">
        <v>43</v>
      </c>
      <c r="U353" s="4" t="s">
        <v>43</v>
      </c>
    </row>
    <row r="354" spans="3:22" hidden="1" x14ac:dyDescent="0.25">
      <c r="C354" s="4" t="s">
        <v>763</v>
      </c>
      <c r="D354" s="4" t="s">
        <v>764</v>
      </c>
      <c r="E354" s="4" t="s">
        <v>765</v>
      </c>
      <c r="F354" s="4">
        <v>5</v>
      </c>
      <c r="G354" s="4" t="s">
        <v>376</v>
      </c>
      <c r="H354" s="4" t="s">
        <v>81</v>
      </c>
      <c r="I354" s="4"/>
      <c r="J354" s="4" t="s">
        <v>84</v>
      </c>
      <c r="K354" s="4" t="s">
        <v>440</v>
      </c>
      <c r="L354" s="4" t="s">
        <v>279</v>
      </c>
      <c r="M354" s="4" t="s">
        <v>55</v>
      </c>
      <c r="N354" s="4" t="s">
        <v>984</v>
      </c>
      <c r="O354" s="4" t="s">
        <v>763</v>
      </c>
      <c r="P354" s="4" t="s">
        <v>42</v>
      </c>
      <c r="Q354" s="50" t="s">
        <v>43</v>
      </c>
      <c r="R354" s="50"/>
      <c r="S354" s="50" t="s">
        <v>741</v>
      </c>
      <c r="T354" s="4" t="s">
        <v>43</v>
      </c>
      <c r="U354" s="4" t="s">
        <v>43</v>
      </c>
    </row>
    <row r="355" spans="3:22" hidden="1" x14ac:dyDescent="0.25">
      <c r="C355" s="4" t="s">
        <v>836</v>
      </c>
      <c r="D355" s="4" t="s">
        <v>837</v>
      </c>
      <c r="E355" s="4" t="s">
        <v>838</v>
      </c>
      <c r="F355" s="4">
        <v>5</v>
      </c>
      <c r="G355" s="4" t="s">
        <v>376</v>
      </c>
      <c r="H355" s="4" t="s">
        <v>81</v>
      </c>
      <c r="I355" s="4"/>
      <c r="J355" s="4" t="s">
        <v>146</v>
      </c>
      <c r="K355" s="4" t="s">
        <v>43</v>
      </c>
      <c r="L355" s="4" t="s">
        <v>59</v>
      </c>
      <c r="M355" s="4" t="s">
        <v>40</v>
      </c>
      <c r="N355" s="4" t="s">
        <v>984</v>
      </c>
      <c r="O355" s="4" t="s">
        <v>836</v>
      </c>
      <c r="P355" s="4" t="s">
        <v>42</v>
      </c>
      <c r="Q355" s="50" t="s">
        <v>43</v>
      </c>
      <c r="R355" s="50"/>
      <c r="S355" s="50" t="s">
        <v>799</v>
      </c>
      <c r="T355" s="4" t="s">
        <v>43</v>
      </c>
      <c r="U355" s="4" t="s">
        <v>43</v>
      </c>
    </row>
    <row r="356" spans="3:22" hidden="1" x14ac:dyDescent="0.25">
      <c r="C356" s="4" t="s">
        <v>975</v>
      </c>
      <c r="D356" s="4" t="s">
        <v>976</v>
      </c>
      <c r="E356" s="4" t="s">
        <v>976</v>
      </c>
      <c r="F356" s="4">
        <v>2.1</v>
      </c>
      <c r="G356" s="4" t="s">
        <v>376</v>
      </c>
      <c r="H356" s="4" t="s">
        <v>46</v>
      </c>
      <c r="I356" s="4"/>
      <c r="J356" s="4" t="s">
        <v>160</v>
      </c>
      <c r="K356" s="4" t="s">
        <v>43</v>
      </c>
      <c r="L356" s="4" t="s">
        <v>39</v>
      </c>
      <c r="M356" s="4" t="s">
        <v>40</v>
      </c>
      <c r="N356" s="4" t="s">
        <v>378</v>
      </c>
      <c r="O356" s="4" t="s">
        <v>975</v>
      </c>
      <c r="P356" s="4" t="s">
        <v>42</v>
      </c>
      <c r="Q356" s="50" t="s">
        <v>43</v>
      </c>
      <c r="R356" s="50"/>
      <c r="S356" s="50" t="s">
        <v>931</v>
      </c>
      <c r="T356" s="4" t="s">
        <v>43</v>
      </c>
      <c r="U356" s="4" t="s">
        <v>43</v>
      </c>
      <c r="V356" s="3"/>
    </row>
    <row r="357" spans="3:22" hidden="1" x14ac:dyDescent="0.25">
      <c r="C357" s="4" t="s">
        <v>766</v>
      </c>
      <c r="D357" s="4" t="s">
        <v>767</v>
      </c>
      <c r="E357" s="4" t="s">
        <v>768</v>
      </c>
      <c r="F357" s="4">
        <v>4.4800000000000004</v>
      </c>
      <c r="G357" s="4" t="s">
        <v>376</v>
      </c>
      <c r="H357" s="4" t="s">
        <v>81</v>
      </c>
      <c r="I357" s="4"/>
      <c r="J357" s="4" t="s">
        <v>84</v>
      </c>
      <c r="K357" s="4" t="s">
        <v>440</v>
      </c>
      <c r="L357" s="4" t="s">
        <v>54</v>
      </c>
      <c r="M357" s="4" t="s">
        <v>55</v>
      </c>
      <c r="N357" s="4" t="s">
        <v>984</v>
      </c>
      <c r="O357" s="4" t="s">
        <v>766</v>
      </c>
      <c r="P357" s="4" t="s">
        <v>42</v>
      </c>
      <c r="Q357" s="50" t="s">
        <v>43</v>
      </c>
      <c r="R357" s="50"/>
      <c r="S357" s="50" t="s">
        <v>741</v>
      </c>
      <c r="T357" s="82" t="s">
        <v>440</v>
      </c>
      <c r="U357" s="4" t="s">
        <v>43</v>
      </c>
    </row>
    <row r="358" spans="3:22" hidden="1" x14ac:dyDescent="0.25">
      <c r="C358" s="4" t="s">
        <v>368</v>
      </c>
      <c r="D358" s="4" t="s">
        <v>369</v>
      </c>
      <c r="E358" s="4" t="s">
        <v>370</v>
      </c>
      <c r="F358" s="4" t="s">
        <v>36</v>
      </c>
      <c r="G358" s="4" t="s">
        <v>37</v>
      </c>
      <c r="H358" s="4" t="s">
        <v>88</v>
      </c>
      <c r="I358" s="4"/>
      <c r="J358" s="4" t="s">
        <v>160</v>
      </c>
      <c r="K358" s="4"/>
      <c r="L358" s="4" t="s">
        <v>371</v>
      </c>
      <c r="M358" s="4" t="s">
        <v>40</v>
      </c>
      <c r="N358" s="4" t="s">
        <v>378</v>
      </c>
      <c r="O358" s="4" t="s">
        <v>368</v>
      </c>
      <c r="P358" s="4" t="s">
        <v>42</v>
      </c>
      <c r="Q358" s="50" t="s">
        <v>43</v>
      </c>
      <c r="R358" s="50"/>
      <c r="S358" s="50">
        <v>0</v>
      </c>
      <c r="T358" s="4" t="s">
        <v>43</v>
      </c>
      <c r="U358" s="4" t="s">
        <v>43</v>
      </c>
    </row>
    <row r="359" spans="3:22" hidden="1" x14ac:dyDescent="0.25">
      <c r="C359" s="4" t="s">
        <v>736</v>
      </c>
      <c r="D359" s="4" t="s">
        <v>737</v>
      </c>
      <c r="E359" s="4" t="s">
        <v>738</v>
      </c>
      <c r="F359" s="4">
        <v>6</v>
      </c>
      <c r="G359" s="4" t="s">
        <v>376</v>
      </c>
      <c r="H359" s="4" t="s">
        <v>81</v>
      </c>
      <c r="I359" s="4"/>
      <c r="J359" s="4" t="s">
        <v>84</v>
      </c>
      <c r="K359" s="4" t="s">
        <v>440</v>
      </c>
      <c r="L359" s="4" t="s">
        <v>722</v>
      </c>
      <c r="M359" s="4" t="s">
        <v>55</v>
      </c>
      <c r="N359" s="4" t="s">
        <v>984</v>
      </c>
      <c r="O359" s="4" t="s">
        <v>736</v>
      </c>
      <c r="P359" s="4">
        <v>0</v>
      </c>
      <c r="Q359" s="50" t="s">
        <v>43</v>
      </c>
      <c r="R359" s="50"/>
      <c r="S359" s="50" t="s">
        <v>702</v>
      </c>
      <c r="T359" s="82" t="s">
        <v>440</v>
      </c>
      <c r="U359" s="4" t="s">
        <v>43</v>
      </c>
    </row>
    <row r="360" spans="3:22" hidden="1" x14ac:dyDescent="0.25">
      <c r="C360" s="4" t="s">
        <v>612</v>
      </c>
      <c r="D360" s="4" t="s">
        <v>613</v>
      </c>
      <c r="E360" s="4" t="s">
        <v>613</v>
      </c>
      <c r="F360" s="4">
        <v>5</v>
      </c>
      <c r="G360" s="4" t="s">
        <v>376</v>
      </c>
      <c r="H360" s="4" t="s">
        <v>81</v>
      </c>
      <c r="I360" s="4"/>
      <c r="J360" s="4" t="s">
        <v>50</v>
      </c>
      <c r="K360" s="4" t="s">
        <v>43</v>
      </c>
      <c r="L360" s="4" t="s">
        <v>364</v>
      </c>
      <c r="M360" s="4" t="s">
        <v>40</v>
      </c>
      <c r="N360" s="4" t="s">
        <v>422</v>
      </c>
      <c r="O360" s="4" t="s">
        <v>612</v>
      </c>
      <c r="P360" s="4" t="s">
        <v>42</v>
      </c>
      <c r="Q360" s="50" t="s">
        <v>43</v>
      </c>
      <c r="R360" s="50"/>
      <c r="S360" s="50" t="s">
        <v>597</v>
      </c>
      <c r="T360" s="82" t="s">
        <v>440</v>
      </c>
      <c r="U360" s="4" t="s">
        <v>43</v>
      </c>
    </row>
    <row r="361" spans="3:22" hidden="1" x14ac:dyDescent="0.25">
      <c r="C361" s="4" t="s">
        <v>614</v>
      </c>
      <c r="D361" s="4" t="s">
        <v>615</v>
      </c>
      <c r="E361" s="4" t="s">
        <v>615</v>
      </c>
      <c r="F361" s="4">
        <v>5</v>
      </c>
      <c r="G361" s="4" t="s">
        <v>376</v>
      </c>
      <c r="H361" s="4" t="s">
        <v>81</v>
      </c>
      <c r="I361" s="4"/>
      <c r="J361" s="4" t="s">
        <v>50</v>
      </c>
      <c r="K361" s="4" t="s">
        <v>43</v>
      </c>
      <c r="L361" s="4" t="s">
        <v>64</v>
      </c>
      <c r="M361" s="4" t="s">
        <v>40</v>
      </c>
      <c r="N361" s="4" t="s">
        <v>422</v>
      </c>
      <c r="O361" s="4" t="s">
        <v>614</v>
      </c>
      <c r="P361" s="4" t="s">
        <v>42</v>
      </c>
      <c r="Q361" s="50" t="s">
        <v>43</v>
      </c>
      <c r="R361" s="50"/>
      <c r="S361" s="50" t="s">
        <v>597</v>
      </c>
      <c r="T361" s="82" t="s">
        <v>440</v>
      </c>
      <c r="U361" s="4" t="s">
        <v>43</v>
      </c>
    </row>
    <row r="362" spans="3:22" hidden="1" x14ac:dyDescent="0.25">
      <c r="C362" s="4" t="s">
        <v>372</v>
      </c>
      <c r="D362" s="4" t="s">
        <v>372</v>
      </c>
      <c r="E362" s="4" t="s">
        <v>372</v>
      </c>
      <c r="F362" s="4"/>
      <c r="G362" s="4" t="s">
        <v>372</v>
      </c>
      <c r="H362" s="4" t="s">
        <v>372</v>
      </c>
      <c r="I362" s="4"/>
      <c r="J362" s="4" t="s">
        <v>372</v>
      </c>
      <c r="K362" s="4"/>
      <c r="L362" s="4" t="s">
        <v>372</v>
      </c>
      <c r="M362" s="4" t="s">
        <v>372</v>
      </c>
      <c r="N362" s="4" t="s">
        <v>372</v>
      </c>
      <c r="O362" s="4" t="s">
        <v>372</v>
      </c>
      <c r="P362" s="4" t="s">
        <v>372</v>
      </c>
      <c r="Q362" s="4" t="s">
        <v>372</v>
      </c>
      <c r="R362" s="50"/>
      <c r="S362" s="4" t="s">
        <v>372</v>
      </c>
      <c r="T362" s="4" t="s">
        <v>43</v>
      </c>
      <c r="U362" s="4" t="s">
        <v>43</v>
      </c>
    </row>
    <row r="363" spans="3:22" hidden="1" x14ac:dyDescent="0.25">
      <c r="C363" s="4" t="s">
        <v>839</v>
      </c>
      <c r="D363" s="4" t="s">
        <v>840</v>
      </c>
      <c r="E363" s="4" t="s">
        <v>840</v>
      </c>
      <c r="F363" s="4">
        <v>5.6</v>
      </c>
      <c r="G363" s="4" t="s">
        <v>376</v>
      </c>
      <c r="H363" s="4" t="s">
        <v>81</v>
      </c>
      <c r="I363" s="4"/>
      <c r="J363" s="4" t="s">
        <v>146</v>
      </c>
      <c r="K363" s="4" t="s">
        <v>43</v>
      </c>
      <c r="L363" s="4" t="s">
        <v>59</v>
      </c>
      <c r="M363" s="4" t="s">
        <v>40</v>
      </c>
      <c r="N363" s="4" t="s">
        <v>984</v>
      </c>
      <c r="O363" s="4" t="s">
        <v>839</v>
      </c>
      <c r="P363" s="4" t="s">
        <v>42</v>
      </c>
      <c r="Q363" s="4"/>
      <c r="R363" s="50"/>
      <c r="S363" s="4" t="s">
        <v>799</v>
      </c>
      <c r="T363" s="4" t="s">
        <v>43</v>
      </c>
      <c r="U363" s="4" t="s">
        <v>43</v>
      </c>
    </row>
    <row r="364" spans="3:22" hidden="1" x14ac:dyDescent="0.25">
      <c r="C364" s="4" t="s">
        <v>697</v>
      </c>
      <c r="D364" s="4" t="s">
        <v>698</v>
      </c>
      <c r="E364" s="4" t="s">
        <v>698</v>
      </c>
      <c r="F364" s="4">
        <v>5.6</v>
      </c>
      <c r="G364" s="4" t="s">
        <v>376</v>
      </c>
      <c r="H364" s="4" t="s">
        <v>81</v>
      </c>
      <c r="I364" s="4"/>
      <c r="J364" s="4" t="s">
        <v>248</v>
      </c>
      <c r="K364" s="4" t="s">
        <v>43</v>
      </c>
      <c r="L364" s="4" t="s">
        <v>51</v>
      </c>
      <c r="M364" s="4" t="s">
        <v>40</v>
      </c>
      <c r="N364" s="4" t="s">
        <v>984</v>
      </c>
      <c r="O364" s="4" t="s">
        <v>697</v>
      </c>
      <c r="P364" s="4" t="s">
        <v>42</v>
      </c>
      <c r="Q364" s="50" t="s">
        <v>43</v>
      </c>
      <c r="R364" s="50"/>
      <c r="S364" s="50" t="s">
        <v>51</v>
      </c>
      <c r="T364" s="82" t="s">
        <v>440</v>
      </c>
      <c r="U364" s="4" t="s">
        <v>32</v>
      </c>
    </row>
    <row r="365" spans="3:22" hidden="1" x14ac:dyDescent="0.25">
      <c r="C365" s="4" t="s">
        <v>623</v>
      </c>
      <c r="D365" s="4" t="s">
        <v>625</v>
      </c>
      <c r="E365" s="4" t="s">
        <v>625</v>
      </c>
      <c r="F365" s="4">
        <v>5.04</v>
      </c>
      <c r="G365" s="4" t="s">
        <v>376</v>
      </c>
      <c r="H365" s="4" t="s">
        <v>81</v>
      </c>
      <c r="I365" s="4"/>
      <c r="J365" s="4" t="s">
        <v>50</v>
      </c>
      <c r="K365" s="4"/>
      <c r="L365" s="4" t="s">
        <v>64</v>
      </c>
      <c r="M365" s="4" t="s">
        <v>40</v>
      </c>
      <c r="N365" s="4" t="s">
        <v>422</v>
      </c>
      <c r="O365" s="4" t="s">
        <v>623</v>
      </c>
      <c r="P365" s="4" t="s">
        <v>42</v>
      </c>
      <c r="Q365" s="50" t="s">
        <v>43</v>
      </c>
      <c r="R365" s="50"/>
      <c r="S365" s="50" t="s">
        <v>597</v>
      </c>
      <c r="T365" s="4" t="s">
        <v>43</v>
      </c>
      <c r="U365" s="4" t="s">
        <v>43</v>
      </c>
    </row>
    <row r="366" spans="3:22" hidden="1" x14ac:dyDescent="0.25">
      <c r="C366" s="4" t="s">
        <v>841</v>
      </c>
      <c r="D366" s="4" t="s">
        <v>842</v>
      </c>
      <c r="E366" s="4" t="s">
        <v>843</v>
      </c>
      <c r="F366" s="4">
        <v>5.6</v>
      </c>
      <c r="G366" s="4" t="s">
        <v>376</v>
      </c>
      <c r="H366" s="4" t="s">
        <v>38</v>
      </c>
      <c r="I366" s="4"/>
      <c r="J366" s="4" t="s">
        <v>146</v>
      </c>
      <c r="K366" s="4" t="s">
        <v>43</v>
      </c>
      <c r="L366" s="4" t="s">
        <v>59</v>
      </c>
      <c r="M366" s="4" t="s">
        <v>40</v>
      </c>
      <c r="N366" s="4" t="s">
        <v>984</v>
      </c>
      <c r="O366" s="4" t="s">
        <v>841</v>
      </c>
      <c r="P366" s="4" t="s">
        <v>42</v>
      </c>
      <c r="Q366" s="50"/>
      <c r="R366" s="50"/>
      <c r="S366" s="50" t="s">
        <v>799</v>
      </c>
      <c r="T366" s="4" t="s">
        <v>43</v>
      </c>
      <c r="U366" s="4" t="s">
        <v>43</v>
      </c>
    </row>
    <row r="367" spans="3:22" hidden="1" x14ac:dyDescent="0.25">
      <c r="C367" s="4" t="s">
        <v>881</v>
      </c>
      <c r="D367" s="4" t="s">
        <v>882</v>
      </c>
      <c r="E367" s="4" t="s">
        <v>882</v>
      </c>
      <c r="F367" s="4">
        <v>5.6</v>
      </c>
      <c r="G367" s="4" t="s">
        <v>376</v>
      </c>
      <c r="H367" s="4"/>
      <c r="I367" s="4"/>
      <c r="J367" s="4" t="s">
        <v>132</v>
      </c>
      <c r="K367" s="4"/>
      <c r="L367" s="4"/>
      <c r="M367" s="4"/>
      <c r="N367" s="4"/>
      <c r="O367" s="4" t="s">
        <v>881</v>
      </c>
      <c r="P367" s="4"/>
      <c r="Q367" s="50"/>
      <c r="R367" s="50"/>
      <c r="S367" s="50"/>
      <c r="T367" s="4"/>
      <c r="U367" s="4"/>
    </row>
    <row r="368" spans="3:22" hidden="1" x14ac:dyDescent="0.25">
      <c r="C368" s="4" t="s">
        <v>626</v>
      </c>
      <c r="D368" s="4" t="s">
        <v>627</v>
      </c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 t="s">
        <v>626</v>
      </c>
      <c r="P368" s="4"/>
      <c r="Q368" s="50"/>
      <c r="R368" s="50"/>
      <c r="S368" s="50"/>
      <c r="T368" s="4"/>
      <c r="U368" s="4"/>
    </row>
    <row r="369" spans="3:6" ht="18" hidden="1" x14ac:dyDescent="0.25">
      <c r="F369" s="49">
        <f>SUM(F8:F368)</f>
        <v>1351.12</v>
      </c>
    </row>
    <row r="371" spans="3:6" x14ac:dyDescent="0.25">
      <c r="F371" s="48">
        <v>5700000</v>
      </c>
    </row>
    <row r="372" spans="3:6" x14ac:dyDescent="0.25">
      <c r="F372" s="48">
        <f>900000*3</f>
        <v>2700000</v>
      </c>
    </row>
    <row r="373" spans="3:6" x14ac:dyDescent="0.25">
      <c r="F373" s="48">
        <f>F371+F372</f>
        <v>8400000</v>
      </c>
    </row>
    <row r="375" spans="3:6" x14ac:dyDescent="0.25">
      <c r="F375" s="48">
        <v>1400000</v>
      </c>
    </row>
    <row r="376" spans="3:6" x14ac:dyDescent="0.25">
      <c r="F376" s="48">
        <f>F372-F375</f>
        <v>1300000</v>
      </c>
    </row>
    <row r="377" spans="3:6" ht="13" x14ac:dyDescent="0.25">
      <c r="E377" s="74" t="s">
        <v>8</v>
      </c>
      <c r="F377" s="74" t="s">
        <v>0</v>
      </c>
    </row>
    <row r="378" spans="3:6" x14ac:dyDescent="0.25">
      <c r="E378" s="4">
        <v>1</v>
      </c>
      <c r="F378" s="4" t="s">
        <v>1</v>
      </c>
    </row>
    <row r="379" spans="3:6" x14ac:dyDescent="0.25">
      <c r="E379" s="4">
        <v>1</v>
      </c>
      <c r="F379" s="4" t="s">
        <v>977</v>
      </c>
    </row>
    <row r="380" spans="3:6" x14ac:dyDescent="0.25">
      <c r="E380" s="4">
        <f>0.68*2</f>
        <v>1.36</v>
      </c>
      <c r="F380" s="4" t="s">
        <v>978</v>
      </c>
    </row>
    <row r="381" spans="3:6" x14ac:dyDescent="0.25">
      <c r="E381" s="4">
        <v>0.56000000000000005</v>
      </c>
      <c r="F381" s="4" t="s">
        <v>979</v>
      </c>
    </row>
    <row r="382" spans="3:6" x14ac:dyDescent="0.25">
      <c r="C382" s="4" t="s">
        <v>426</v>
      </c>
      <c r="E382" s="4">
        <f>0.34*3</f>
        <v>1.02</v>
      </c>
      <c r="F382" s="4" t="s">
        <v>980</v>
      </c>
    </row>
    <row r="383" spans="3:6" ht="13" x14ac:dyDescent="0.25">
      <c r="C383" s="4" t="s">
        <v>685</v>
      </c>
      <c r="E383" s="79">
        <f>SUM(E378:E382)</f>
        <v>4.9400000000000004</v>
      </c>
    </row>
    <row r="384" spans="3:6" x14ac:dyDescent="0.25">
      <c r="C384" s="4" t="s">
        <v>437</v>
      </c>
    </row>
    <row r="385" spans="3:9" x14ac:dyDescent="0.25">
      <c r="C385" s="4" t="s">
        <v>592</v>
      </c>
      <c r="E385" s="48" t="s">
        <v>1003</v>
      </c>
    </row>
    <row r="386" spans="3:9" x14ac:dyDescent="0.25">
      <c r="E386" s="80" t="s">
        <v>1004</v>
      </c>
      <c r="F386" s="80" t="s">
        <v>1005</v>
      </c>
    </row>
    <row r="388" spans="3:9" x14ac:dyDescent="0.25">
      <c r="F388" s="48" t="s">
        <v>1006</v>
      </c>
      <c r="G388" s="48" t="s">
        <v>1007</v>
      </c>
    </row>
    <row r="389" spans="3:9" x14ac:dyDescent="0.25">
      <c r="D389" s="98" t="s">
        <v>1008</v>
      </c>
      <c r="E389" s="48" t="s">
        <v>1009</v>
      </c>
      <c r="F389" s="48" t="s">
        <v>1010</v>
      </c>
      <c r="G389" s="48" t="s">
        <v>1011</v>
      </c>
      <c r="H389" s="48" t="s">
        <v>1012</v>
      </c>
      <c r="I389" s="98" t="s">
        <v>1013</v>
      </c>
    </row>
    <row r="390" spans="3:9" x14ac:dyDescent="0.25">
      <c r="D390" s="98"/>
      <c r="E390" s="48" t="s">
        <v>1014</v>
      </c>
      <c r="F390" s="48" t="s">
        <v>1015</v>
      </c>
      <c r="G390" s="48" t="s">
        <v>1016</v>
      </c>
      <c r="H390" s="48" t="s">
        <v>1012</v>
      </c>
      <c r="I390" s="98"/>
    </row>
    <row r="391" spans="3:9" x14ac:dyDescent="0.25">
      <c r="E391" s="48" t="s">
        <v>1009</v>
      </c>
      <c r="F391" s="48" t="s">
        <v>1015</v>
      </c>
      <c r="G391" s="48" t="s">
        <v>1016</v>
      </c>
      <c r="H391" s="48" t="s">
        <v>1017</v>
      </c>
      <c r="I391" s="98" t="s">
        <v>1013</v>
      </c>
    </row>
    <row r="392" spans="3:9" x14ac:dyDescent="0.25">
      <c r="E392" s="48" t="s">
        <v>1014</v>
      </c>
      <c r="F392" s="48" t="s">
        <v>1010</v>
      </c>
      <c r="G392" s="48" t="s">
        <v>1011</v>
      </c>
      <c r="H392" s="48" t="s">
        <v>1017</v>
      </c>
      <c r="I392" s="98"/>
    </row>
    <row r="397" spans="3:9" x14ac:dyDescent="0.25">
      <c r="F397" s="48">
        <v>5.9</v>
      </c>
    </row>
    <row r="399" spans="3:9" x14ac:dyDescent="0.25">
      <c r="F399" s="48">
        <v>1</v>
      </c>
      <c r="G399" s="48" t="s">
        <v>1</v>
      </c>
      <c r="H399" s="48" t="s">
        <v>1018</v>
      </c>
    </row>
    <row r="400" spans="3:9" x14ac:dyDescent="0.25">
      <c r="F400" s="48">
        <v>1</v>
      </c>
      <c r="G400" s="48" t="s">
        <v>977</v>
      </c>
      <c r="H400" s="48" t="s">
        <v>1018</v>
      </c>
    </row>
    <row r="401" spans="6:9" x14ac:dyDescent="0.25">
      <c r="F401" s="48">
        <v>3</v>
      </c>
      <c r="G401" s="48" t="s">
        <v>1019</v>
      </c>
      <c r="H401" s="48" t="s">
        <v>1020</v>
      </c>
      <c r="I401" s="48" t="s">
        <v>1021</v>
      </c>
    </row>
    <row r="402" spans="6:9" x14ac:dyDescent="0.25">
      <c r="F402" s="48">
        <v>2</v>
      </c>
      <c r="G402" s="48" t="s">
        <v>1022</v>
      </c>
      <c r="H402" s="48" t="s">
        <v>1023</v>
      </c>
      <c r="I402" s="48" t="s">
        <v>1024</v>
      </c>
    </row>
    <row r="404" spans="6:9" x14ac:dyDescent="0.25">
      <c r="F404" s="80">
        <v>5.9</v>
      </c>
      <c r="G404" s="48">
        <v>4.45</v>
      </c>
      <c r="H404" s="48">
        <v>4</v>
      </c>
      <c r="I404" s="52">
        <f>H404/G404</f>
        <v>0.898876404494382</v>
      </c>
    </row>
    <row r="407" spans="6:9" x14ac:dyDescent="0.25">
      <c r="F407" s="48">
        <v>1</v>
      </c>
      <c r="G407" s="48" t="s">
        <v>1</v>
      </c>
      <c r="H407" s="48">
        <v>1</v>
      </c>
    </row>
    <row r="408" spans="6:9" x14ac:dyDescent="0.25">
      <c r="F408" s="48">
        <v>1</v>
      </c>
      <c r="G408" s="48" t="s">
        <v>977</v>
      </c>
      <c r="H408" s="48">
        <v>1</v>
      </c>
    </row>
    <row r="409" spans="6:9" x14ac:dyDescent="0.25">
      <c r="F409" s="48">
        <v>2</v>
      </c>
      <c r="G409" s="48" t="s">
        <v>1025</v>
      </c>
      <c r="H409" s="48">
        <v>2</v>
      </c>
    </row>
    <row r="410" spans="6:9" x14ac:dyDescent="0.25">
      <c r="F410" s="48">
        <v>1</v>
      </c>
      <c r="G410" s="48" t="s">
        <v>1026</v>
      </c>
      <c r="H410" s="48">
        <f>RIGHT(G410,2)/44*F410</f>
        <v>0.68181818181818177</v>
      </c>
    </row>
    <row r="411" spans="6:9" x14ac:dyDescent="0.25">
      <c r="F411" s="48">
        <v>1</v>
      </c>
      <c r="G411" s="48" t="s">
        <v>1027</v>
      </c>
      <c r="H411" s="48">
        <f t="shared" ref="H411:H412" si="2">RIGHT(G411,2)/44*F411</f>
        <v>0.56818181818181823</v>
      </c>
      <c r="I411" s="48" t="s">
        <v>1028</v>
      </c>
    </row>
    <row r="412" spans="6:9" x14ac:dyDescent="0.25">
      <c r="F412" s="48">
        <v>2</v>
      </c>
      <c r="G412" s="48" t="s">
        <v>1029</v>
      </c>
      <c r="H412" s="48">
        <f t="shared" si="2"/>
        <v>0.68181818181818177</v>
      </c>
    </row>
    <row r="413" spans="6:9" ht="13" x14ac:dyDescent="0.25">
      <c r="H413" s="81">
        <f>SUM(H407:H412)</f>
        <v>5.9318181818181817</v>
      </c>
    </row>
  </sheetData>
  <autoFilter ref="C7:V369" xr:uid="{A48B08FD-E0C6-42CB-8444-1929FD0B231B}">
    <filterColumn colId="1">
      <filters>
        <filter val="CHESTERTON 2"/>
      </filters>
    </filterColumn>
  </autoFilter>
  <mergeCells count="3">
    <mergeCell ref="D389:D390"/>
    <mergeCell ref="I389:I390"/>
    <mergeCell ref="I391:I392"/>
  </mergeCells>
  <conditionalFormatting sqref="C8:C368">
    <cfRule type="duplicateValues" dxfId="32" priority="3"/>
  </conditionalFormatting>
  <conditionalFormatting sqref="O367:O368">
    <cfRule type="duplicateValues" dxfId="31" priority="1"/>
  </conditionalFormatting>
  <pageMargins left="0.7" right="0.7" top="0.75" bottom="0.75" header="0.3" footer="0.3"/>
  <pageSetup paperSize="9" orientation="portrait" r:id="rId1"/>
  <headerFooter>
    <oddFooter>&amp;C_x000D_&amp;1#&amp;"Calibri"&amp;10&amp;K000000 OXXO | Uso Interno</oddFooter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B08FD-E0C6-42CB-8444-1929FD0B231B}">
  <sheetPr filterMode="1"/>
  <dimension ref="C1:V412"/>
  <sheetViews>
    <sheetView topLeftCell="B6" zoomScale="85" zoomScaleNormal="85" workbookViewId="0">
      <selection activeCell="F51" sqref="F51"/>
    </sheetView>
  </sheetViews>
  <sheetFormatPr baseColWidth="10" defaultColWidth="10.81640625" defaultRowHeight="12.5" x14ac:dyDescent="0.25"/>
  <cols>
    <col min="1" max="1" width="6.453125" style="48" customWidth="1"/>
    <col min="2" max="2" width="5.26953125" style="48" customWidth="1"/>
    <col min="3" max="3" width="17.26953125" style="48" bestFit="1" customWidth="1"/>
    <col min="4" max="4" width="40.54296875" style="48" customWidth="1"/>
    <col min="5" max="5" width="42.54296875" style="48" customWidth="1"/>
    <col min="6" max="6" width="23" style="48" customWidth="1"/>
    <col min="7" max="8" width="23.54296875" style="48" customWidth="1"/>
    <col min="9" max="9" width="30" style="48" customWidth="1"/>
    <col min="10" max="10" width="39.81640625" style="48" customWidth="1"/>
    <col min="11" max="11" width="24.81640625" style="48" customWidth="1"/>
    <col min="12" max="14" width="31.453125" style="48" customWidth="1"/>
    <col min="15" max="15" width="10.81640625" style="48" customWidth="1"/>
    <col min="16" max="16" width="33.81640625" style="48" customWidth="1"/>
    <col min="17" max="17" width="23" style="48" customWidth="1"/>
    <col min="18" max="18" width="25.453125" style="48" customWidth="1"/>
    <col min="19" max="19" width="34.54296875" style="48" customWidth="1"/>
    <col min="20" max="20" width="16" style="48" customWidth="1"/>
    <col min="21" max="21" width="22.26953125" style="48" customWidth="1"/>
    <col min="22" max="22" width="95.81640625" style="48" bestFit="1" customWidth="1"/>
    <col min="23" max="16384" width="10.81640625" style="48"/>
  </cols>
  <sheetData>
    <row r="1" spans="3:22" x14ac:dyDescent="0.25">
      <c r="C1" s="53"/>
    </row>
    <row r="2" spans="3:22" x14ac:dyDescent="0.25">
      <c r="D2" s="48">
        <f>15/44</f>
        <v>0.34090909090909088</v>
      </c>
      <c r="E2" s="48">
        <v>10.58</v>
      </c>
      <c r="F2" s="48">
        <v>9.4499999999999993</v>
      </c>
      <c r="G2" s="48">
        <f>E2-F2</f>
        <v>1.1300000000000008</v>
      </c>
    </row>
    <row r="3" spans="3:22" x14ac:dyDescent="0.25">
      <c r="F3" s="52"/>
    </row>
    <row r="5" spans="3:22" x14ac:dyDescent="0.25">
      <c r="D5" s="54"/>
      <c r="E5" s="55"/>
    </row>
    <row r="6" spans="3:22" s="78" customFormat="1" ht="29.5" x14ac:dyDescent="0.25">
      <c r="C6" s="78">
        <v>1</v>
      </c>
      <c r="D6" s="78">
        <f>C6+1</f>
        <v>2</v>
      </c>
      <c r="E6" s="78">
        <f t="shared" ref="E6:T6" si="0">D6+1</f>
        <v>3</v>
      </c>
      <c r="F6" s="78">
        <f t="shared" si="0"/>
        <v>4</v>
      </c>
      <c r="G6" s="78">
        <f t="shared" si="0"/>
        <v>5</v>
      </c>
      <c r="H6" s="78">
        <f>G6+1</f>
        <v>6</v>
      </c>
      <c r="I6" s="78">
        <f t="shared" si="0"/>
        <v>7</v>
      </c>
      <c r="J6" s="78">
        <f t="shared" si="0"/>
        <v>8</v>
      </c>
      <c r="K6" s="78">
        <f t="shared" si="0"/>
        <v>9</v>
      </c>
      <c r="L6" s="78">
        <f t="shared" si="0"/>
        <v>10</v>
      </c>
      <c r="M6" s="78">
        <f t="shared" si="0"/>
        <v>11</v>
      </c>
      <c r="N6" s="78">
        <f t="shared" si="0"/>
        <v>12</v>
      </c>
      <c r="O6" s="78">
        <f t="shared" si="0"/>
        <v>13</v>
      </c>
      <c r="P6" s="78">
        <f t="shared" si="0"/>
        <v>14</v>
      </c>
      <c r="Q6" s="78">
        <f>P6+1</f>
        <v>15</v>
      </c>
      <c r="R6" s="78">
        <f t="shared" si="0"/>
        <v>16</v>
      </c>
      <c r="S6" s="78">
        <f t="shared" si="0"/>
        <v>17</v>
      </c>
      <c r="T6" s="78">
        <f t="shared" si="0"/>
        <v>18</v>
      </c>
      <c r="U6" s="78">
        <v>20</v>
      </c>
    </row>
    <row r="7" spans="3:22" ht="13" x14ac:dyDescent="0.25">
      <c r="C7" s="1" t="s">
        <v>15</v>
      </c>
      <c r="D7" s="1" t="s">
        <v>16</v>
      </c>
      <c r="E7" s="1" t="s">
        <v>17</v>
      </c>
      <c r="F7" s="1" t="s">
        <v>18</v>
      </c>
      <c r="G7" s="1" t="s">
        <v>19</v>
      </c>
      <c r="H7" s="1" t="s">
        <v>20</v>
      </c>
      <c r="I7" s="1" t="s">
        <v>21</v>
      </c>
      <c r="J7" s="1" t="s">
        <v>22</v>
      </c>
      <c r="K7" s="73" t="s">
        <v>23</v>
      </c>
      <c r="L7" s="1" t="s">
        <v>24</v>
      </c>
      <c r="M7" s="1" t="s">
        <v>25</v>
      </c>
      <c r="N7" s="1" t="s">
        <v>26</v>
      </c>
      <c r="O7" s="1" t="s">
        <v>15</v>
      </c>
      <c r="P7" s="1" t="s">
        <v>27</v>
      </c>
      <c r="Q7" s="1" t="s">
        <v>28</v>
      </c>
      <c r="R7" s="1" t="s">
        <v>29</v>
      </c>
      <c r="S7" s="1" t="s">
        <v>30</v>
      </c>
      <c r="T7" s="1" t="s">
        <v>31</v>
      </c>
      <c r="U7" s="1" t="s">
        <v>32</v>
      </c>
      <c r="V7" s="76" t="s">
        <v>33</v>
      </c>
    </row>
    <row r="8" spans="3:22" hidden="1" x14ac:dyDescent="0.25">
      <c r="C8" s="4" t="s">
        <v>929</v>
      </c>
      <c r="D8" s="4" t="s">
        <v>930</v>
      </c>
      <c r="E8" s="4" t="s">
        <v>930</v>
      </c>
      <c r="F8" s="4">
        <v>11.68</v>
      </c>
      <c r="G8" s="4" t="s">
        <v>376</v>
      </c>
      <c r="H8" s="4" t="s">
        <v>46</v>
      </c>
      <c r="I8" s="4" t="s">
        <v>1030</v>
      </c>
      <c r="J8" s="4" t="s">
        <v>160</v>
      </c>
      <c r="K8" s="4" t="s">
        <v>43</v>
      </c>
      <c r="L8" s="4" t="s">
        <v>353</v>
      </c>
      <c r="M8" s="4" t="s">
        <v>40</v>
      </c>
      <c r="N8" s="4" t="s">
        <v>378</v>
      </c>
      <c r="O8" s="4" t="s">
        <v>929</v>
      </c>
      <c r="P8" s="4" t="s">
        <v>379</v>
      </c>
      <c r="Q8" s="50" t="s">
        <v>43</v>
      </c>
      <c r="R8" s="50"/>
      <c r="S8" s="50" t="s">
        <v>931</v>
      </c>
      <c r="T8" s="4" t="s">
        <v>43</v>
      </c>
      <c r="U8" s="4"/>
    </row>
    <row r="9" spans="3:22" hidden="1" x14ac:dyDescent="0.25">
      <c r="C9" s="4" t="s">
        <v>651</v>
      </c>
      <c r="D9" s="4" t="s">
        <v>652</v>
      </c>
      <c r="E9" s="4" t="s">
        <v>652</v>
      </c>
      <c r="F9" s="4">
        <v>12</v>
      </c>
      <c r="G9" s="4" t="s">
        <v>376</v>
      </c>
      <c r="H9" s="4" t="s">
        <v>46</v>
      </c>
      <c r="I9" s="4" t="s">
        <v>1030</v>
      </c>
      <c r="J9" s="4" t="s">
        <v>248</v>
      </c>
      <c r="K9" s="4" t="s">
        <v>43</v>
      </c>
      <c r="L9" s="4" t="s">
        <v>51</v>
      </c>
      <c r="M9" s="4" t="s">
        <v>40</v>
      </c>
      <c r="N9" s="4" t="s">
        <v>984</v>
      </c>
      <c r="O9" s="4" t="s">
        <v>651</v>
      </c>
      <c r="P9" s="4" t="s">
        <v>379</v>
      </c>
      <c r="Q9" s="50" t="s">
        <v>43</v>
      </c>
      <c r="R9" s="50"/>
      <c r="S9" s="50" t="s">
        <v>51</v>
      </c>
      <c r="T9" s="4" t="s">
        <v>43</v>
      </c>
      <c r="U9" s="4"/>
    </row>
    <row r="10" spans="3:22" hidden="1" x14ac:dyDescent="0.25">
      <c r="C10" s="4" t="s">
        <v>373</v>
      </c>
      <c r="D10" s="4" t="s">
        <v>374</v>
      </c>
      <c r="E10" s="4" t="s">
        <v>375</v>
      </c>
      <c r="F10" s="4">
        <v>11.68</v>
      </c>
      <c r="G10" s="4" t="s">
        <v>376</v>
      </c>
      <c r="H10" s="4" t="s">
        <v>46</v>
      </c>
      <c r="I10" s="4" t="s">
        <v>1031</v>
      </c>
      <c r="J10" s="4" t="s">
        <v>63</v>
      </c>
      <c r="K10" s="4" t="s">
        <v>43</v>
      </c>
      <c r="L10" s="4" t="s">
        <v>138</v>
      </c>
      <c r="M10" s="4" t="s">
        <v>40</v>
      </c>
      <c r="N10" s="4" t="s">
        <v>378</v>
      </c>
      <c r="O10" s="4" t="s">
        <v>373</v>
      </c>
      <c r="P10" s="4" t="s">
        <v>379</v>
      </c>
      <c r="Q10" s="50" t="s">
        <v>43</v>
      </c>
      <c r="R10" s="50"/>
      <c r="S10" s="50" t="s">
        <v>380</v>
      </c>
      <c r="T10" s="4" t="s">
        <v>43</v>
      </c>
      <c r="U10" s="4"/>
    </row>
    <row r="11" spans="3:22" hidden="1" x14ac:dyDescent="0.25">
      <c r="C11" s="4" t="s">
        <v>699</v>
      </c>
      <c r="D11" s="4" t="s">
        <v>985</v>
      </c>
      <c r="E11" s="4" t="s">
        <v>701</v>
      </c>
      <c r="F11" s="4">
        <v>10</v>
      </c>
      <c r="G11" s="4" t="s">
        <v>376</v>
      </c>
      <c r="H11" s="4" t="s">
        <v>46</v>
      </c>
      <c r="I11" s="4" t="s">
        <v>1031</v>
      </c>
      <c r="J11" s="4" t="s">
        <v>84</v>
      </c>
      <c r="K11" s="4" t="s">
        <v>440</v>
      </c>
      <c r="L11" s="4" t="s">
        <v>54</v>
      </c>
      <c r="M11" s="4" t="s">
        <v>55</v>
      </c>
      <c r="N11" s="4" t="s">
        <v>984</v>
      </c>
      <c r="O11" s="4" t="s">
        <v>699</v>
      </c>
      <c r="P11" s="4" t="s">
        <v>379</v>
      </c>
      <c r="Q11" s="50" t="s">
        <v>43</v>
      </c>
      <c r="R11" s="50"/>
      <c r="S11" s="50" t="s">
        <v>702</v>
      </c>
      <c r="T11" s="4" t="s">
        <v>43</v>
      </c>
      <c r="U11" s="4"/>
    </row>
    <row r="12" spans="3:22" hidden="1" x14ac:dyDescent="0.25">
      <c r="C12" s="4" t="s">
        <v>739</v>
      </c>
      <c r="D12" s="4" t="s">
        <v>740</v>
      </c>
      <c r="E12" s="4" t="s">
        <v>740</v>
      </c>
      <c r="F12" s="4">
        <v>9</v>
      </c>
      <c r="G12" s="4" t="s">
        <v>376</v>
      </c>
      <c r="H12" s="4" t="s">
        <v>46</v>
      </c>
      <c r="I12" s="4" t="s">
        <v>1031</v>
      </c>
      <c r="J12" s="4" t="s">
        <v>84</v>
      </c>
      <c r="K12" s="4" t="s">
        <v>440</v>
      </c>
      <c r="L12" s="4" t="s">
        <v>54</v>
      </c>
      <c r="M12" s="4" t="s">
        <v>55</v>
      </c>
      <c r="N12" s="4" t="s">
        <v>984</v>
      </c>
      <c r="O12" s="4" t="s">
        <v>739</v>
      </c>
      <c r="P12" s="4" t="s">
        <v>379</v>
      </c>
      <c r="Q12" s="50" t="s">
        <v>43</v>
      </c>
      <c r="R12" s="50"/>
      <c r="S12" s="50" t="s">
        <v>741</v>
      </c>
      <c r="T12" s="4" t="s">
        <v>43</v>
      </c>
      <c r="U12" s="4"/>
    </row>
    <row r="13" spans="3:22" hidden="1" x14ac:dyDescent="0.25">
      <c r="C13" s="4" t="s">
        <v>381</v>
      </c>
      <c r="D13" s="4" t="s">
        <v>382</v>
      </c>
      <c r="E13" s="4" t="s">
        <v>382</v>
      </c>
      <c r="F13" s="4">
        <v>8.4499999999999993</v>
      </c>
      <c r="G13" s="4" t="s">
        <v>376</v>
      </c>
      <c r="H13" s="4" t="s">
        <v>46</v>
      </c>
      <c r="I13" s="4" t="s">
        <v>1031</v>
      </c>
      <c r="J13" s="4" t="s">
        <v>63</v>
      </c>
      <c r="K13" s="4" t="s">
        <v>43</v>
      </c>
      <c r="L13" s="4" t="s">
        <v>138</v>
      </c>
      <c r="M13" s="4" t="s">
        <v>40</v>
      </c>
      <c r="N13" s="4" t="s">
        <v>378</v>
      </c>
      <c r="O13" s="4" t="s">
        <v>381</v>
      </c>
      <c r="P13" s="4" t="s">
        <v>379</v>
      </c>
      <c r="Q13" s="50" t="s">
        <v>43</v>
      </c>
      <c r="R13" s="50"/>
      <c r="S13" s="50" t="s">
        <v>380</v>
      </c>
      <c r="T13" s="4" t="s">
        <v>43</v>
      </c>
      <c r="U13" s="4"/>
    </row>
    <row r="14" spans="3:22" hidden="1" x14ac:dyDescent="0.25">
      <c r="C14" s="4" t="s">
        <v>511</v>
      </c>
      <c r="D14" s="4" t="s">
        <v>512</v>
      </c>
      <c r="E14" s="4" t="s">
        <v>513</v>
      </c>
      <c r="F14" s="4">
        <f>10.58</f>
        <v>10.58</v>
      </c>
      <c r="G14" s="4" t="s">
        <v>376</v>
      </c>
      <c r="H14" s="4" t="s">
        <v>46</v>
      </c>
      <c r="I14" s="4" t="s">
        <v>1030</v>
      </c>
      <c r="J14" s="4" t="s">
        <v>100</v>
      </c>
      <c r="K14" s="4" t="s">
        <v>43</v>
      </c>
      <c r="L14" s="4" t="s">
        <v>138</v>
      </c>
      <c r="M14" s="4" t="s">
        <v>40</v>
      </c>
      <c r="N14" s="4" t="s">
        <v>514</v>
      </c>
      <c r="O14" s="4" t="s">
        <v>511</v>
      </c>
      <c r="P14" s="4" t="s">
        <v>379</v>
      </c>
      <c r="Q14" s="50" t="s">
        <v>43</v>
      </c>
      <c r="R14" s="50"/>
      <c r="S14" s="50" t="s">
        <v>515</v>
      </c>
      <c r="T14" s="4" t="s">
        <v>43</v>
      </c>
      <c r="U14" s="4"/>
    </row>
    <row r="15" spans="3:22" hidden="1" x14ac:dyDescent="0.25">
      <c r="C15" s="4" t="s">
        <v>516</v>
      </c>
      <c r="D15" s="4" t="s">
        <v>517</v>
      </c>
      <c r="E15" s="4" t="s">
        <v>518</v>
      </c>
      <c r="F15" s="4">
        <v>10.130000000000001</v>
      </c>
      <c r="G15" s="4" t="s">
        <v>376</v>
      </c>
      <c r="H15" s="4" t="s">
        <v>46</v>
      </c>
      <c r="I15" s="4" t="s">
        <v>1030</v>
      </c>
      <c r="J15" s="4" t="s">
        <v>100</v>
      </c>
      <c r="K15" s="4" t="s">
        <v>43</v>
      </c>
      <c r="L15" s="4" t="s">
        <v>205</v>
      </c>
      <c r="M15" s="4" t="s">
        <v>40</v>
      </c>
      <c r="N15" s="4" t="s">
        <v>514</v>
      </c>
      <c r="O15" s="4" t="s">
        <v>516</v>
      </c>
      <c r="P15" s="4" t="s">
        <v>379</v>
      </c>
      <c r="Q15" s="50" t="s">
        <v>43</v>
      </c>
      <c r="R15" s="50"/>
      <c r="S15" s="50" t="s">
        <v>515</v>
      </c>
      <c r="T15" s="4" t="s">
        <v>43</v>
      </c>
      <c r="U15" s="4"/>
    </row>
    <row r="16" spans="3:22" hidden="1" x14ac:dyDescent="0.25">
      <c r="C16" s="4" t="s">
        <v>796</v>
      </c>
      <c r="D16" s="4" t="s">
        <v>797</v>
      </c>
      <c r="E16" s="4" t="s">
        <v>797</v>
      </c>
      <c r="F16" s="4">
        <v>8.68</v>
      </c>
      <c r="G16" s="4" t="s">
        <v>376</v>
      </c>
      <c r="H16" s="4" t="s">
        <v>81</v>
      </c>
      <c r="I16" s="4" t="s">
        <v>1030</v>
      </c>
      <c r="J16" s="4" t="s">
        <v>146</v>
      </c>
      <c r="K16" s="4" t="s">
        <v>43</v>
      </c>
      <c r="L16" s="4" t="s">
        <v>59</v>
      </c>
      <c r="M16" s="4" t="s">
        <v>40</v>
      </c>
      <c r="N16" s="4" t="s">
        <v>984</v>
      </c>
      <c r="O16" s="4" t="s">
        <v>796</v>
      </c>
      <c r="P16" s="4" t="s">
        <v>379</v>
      </c>
      <c r="Q16" s="50" t="s">
        <v>43</v>
      </c>
      <c r="R16" s="50"/>
      <c r="S16" s="50" t="s">
        <v>799</v>
      </c>
      <c r="T16" s="4" t="s">
        <v>43</v>
      </c>
      <c r="U16" s="4"/>
    </row>
    <row r="17" spans="3:22" hidden="1" x14ac:dyDescent="0.25">
      <c r="C17" s="4" t="s">
        <v>463</v>
      </c>
      <c r="D17" s="4" t="s">
        <v>464</v>
      </c>
      <c r="E17" s="4" t="s">
        <v>465</v>
      </c>
      <c r="F17" s="4">
        <v>8.9</v>
      </c>
      <c r="G17" s="4" t="s">
        <v>376</v>
      </c>
      <c r="H17" s="4" t="s">
        <v>46</v>
      </c>
      <c r="I17" s="4" t="s">
        <v>1030</v>
      </c>
      <c r="J17" s="4" t="s">
        <v>466</v>
      </c>
      <c r="K17" s="4" t="s">
        <v>43</v>
      </c>
      <c r="L17" s="4" t="s">
        <v>51</v>
      </c>
      <c r="M17" s="4" t="s">
        <v>40</v>
      </c>
      <c r="N17" s="4" t="s">
        <v>378</v>
      </c>
      <c r="O17" s="4" t="s">
        <v>463</v>
      </c>
      <c r="P17" s="4" t="s">
        <v>379</v>
      </c>
      <c r="Q17" s="50" t="s">
        <v>43</v>
      </c>
      <c r="R17" s="50"/>
      <c r="S17" s="50" t="s">
        <v>467</v>
      </c>
      <c r="T17" s="4" t="s">
        <v>43</v>
      </c>
      <c r="U17" s="4"/>
    </row>
    <row r="18" spans="3:22" hidden="1" x14ac:dyDescent="0.25">
      <c r="C18" s="4" t="s">
        <v>383</v>
      </c>
      <c r="D18" s="4" t="s">
        <v>384</v>
      </c>
      <c r="E18" s="4" t="s">
        <v>384</v>
      </c>
      <c r="F18" s="4">
        <v>8</v>
      </c>
      <c r="G18" s="4" t="s">
        <v>376</v>
      </c>
      <c r="H18" s="4" t="s">
        <v>46</v>
      </c>
      <c r="I18" s="4" t="s">
        <v>1031</v>
      </c>
      <c r="J18" s="4" t="s">
        <v>63</v>
      </c>
      <c r="K18" s="4" t="s">
        <v>43</v>
      </c>
      <c r="L18" s="4" t="s">
        <v>138</v>
      </c>
      <c r="M18" s="4" t="s">
        <v>40</v>
      </c>
      <c r="N18" s="4" t="s">
        <v>378</v>
      </c>
      <c r="O18" s="4" t="s">
        <v>383</v>
      </c>
      <c r="P18" s="4" t="s">
        <v>42</v>
      </c>
      <c r="Q18" s="50" t="s">
        <v>43</v>
      </c>
      <c r="R18" s="50"/>
      <c r="S18" s="50" t="s">
        <v>380</v>
      </c>
      <c r="T18" s="4" t="s">
        <v>43</v>
      </c>
      <c r="U18" s="4"/>
    </row>
    <row r="19" spans="3:22" hidden="1" x14ac:dyDescent="0.25">
      <c r="C19" s="4" t="s">
        <v>646</v>
      </c>
      <c r="D19" s="4" t="s">
        <v>647</v>
      </c>
      <c r="E19" s="4" t="s">
        <v>647</v>
      </c>
      <c r="F19" s="4">
        <v>7</v>
      </c>
      <c r="G19" s="4" t="s">
        <v>376</v>
      </c>
      <c r="H19" s="4" t="s">
        <v>46</v>
      </c>
      <c r="I19" s="4" t="s">
        <v>1030</v>
      </c>
      <c r="J19" s="4" t="s">
        <v>50</v>
      </c>
      <c r="K19" s="4" t="s">
        <v>43</v>
      </c>
      <c r="L19" s="4" t="s">
        <v>59</v>
      </c>
      <c r="M19" s="4" t="s">
        <v>40</v>
      </c>
      <c r="N19" s="4" t="s">
        <v>422</v>
      </c>
      <c r="O19" s="4" t="s">
        <v>646</v>
      </c>
      <c r="P19" s="4" t="s">
        <v>42</v>
      </c>
      <c r="Q19" s="50" t="s">
        <v>43</v>
      </c>
      <c r="R19" s="50"/>
      <c r="S19" s="50" t="s">
        <v>597</v>
      </c>
      <c r="T19" s="4" t="s">
        <v>43</v>
      </c>
      <c r="U19" s="4"/>
    </row>
    <row r="20" spans="3:22" hidden="1" x14ac:dyDescent="0.25">
      <c r="C20" s="4" t="s">
        <v>648</v>
      </c>
      <c r="D20" s="4" t="s">
        <v>649</v>
      </c>
      <c r="E20" s="4" t="s">
        <v>650</v>
      </c>
      <c r="F20" s="4">
        <v>7.45</v>
      </c>
      <c r="G20" s="4" t="s">
        <v>376</v>
      </c>
      <c r="H20" s="4" t="s">
        <v>46</v>
      </c>
      <c r="I20" s="4" t="s">
        <v>1030</v>
      </c>
      <c r="J20" s="4" t="s">
        <v>50</v>
      </c>
      <c r="K20" s="4" t="s">
        <v>43</v>
      </c>
      <c r="L20" s="4" t="s">
        <v>64</v>
      </c>
      <c r="M20" s="4" t="s">
        <v>40</v>
      </c>
      <c r="N20" s="4" t="s">
        <v>422</v>
      </c>
      <c r="O20" s="4" t="s">
        <v>648</v>
      </c>
      <c r="P20" s="4" t="s">
        <v>42</v>
      </c>
      <c r="Q20" s="50" t="s">
        <v>43</v>
      </c>
      <c r="R20" s="50"/>
      <c r="S20" s="50" t="s">
        <v>597</v>
      </c>
      <c r="T20" s="4" t="s">
        <v>43</v>
      </c>
      <c r="U20" s="4"/>
    </row>
    <row r="21" spans="3:22" hidden="1" x14ac:dyDescent="0.25">
      <c r="C21" s="4" t="s">
        <v>642</v>
      </c>
      <c r="D21" s="4" t="s">
        <v>643</v>
      </c>
      <c r="E21" s="4" t="s">
        <v>643</v>
      </c>
      <c r="F21" s="4">
        <v>6.16</v>
      </c>
      <c r="G21" s="4" t="s">
        <v>376</v>
      </c>
      <c r="H21" s="4" t="s">
        <v>46</v>
      </c>
      <c r="I21" s="4" t="s">
        <v>1030</v>
      </c>
      <c r="J21" s="4" t="s">
        <v>50</v>
      </c>
      <c r="K21" s="4" t="s">
        <v>43</v>
      </c>
      <c r="L21" s="4" t="s">
        <v>51</v>
      </c>
      <c r="M21" s="4" t="s">
        <v>40</v>
      </c>
      <c r="N21" s="4" t="s">
        <v>422</v>
      </c>
      <c r="O21" s="4" t="s">
        <v>642</v>
      </c>
      <c r="P21" s="4" t="s">
        <v>42</v>
      </c>
      <c r="Q21" s="50" t="s">
        <v>43</v>
      </c>
      <c r="R21" s="50"/>
      <c r="S21" s="50" t="s">
        <v>597</v>
      </c>
      <c r="T21" s="4" t="s">
        <v>43</v>
      </c>
      <c r="U21" s="4" t="s">
        <v>32</v>
      </c>
    </row>
    <row r="22" spans="3:22" hidden="1" x14ac:dyDescent="0.25">
      <c r="C22" s="4" t="s">
        <v>468</v>
      </c>
      <c r="D22" s="4" t="s">
        <v>469</v>
      </c>
      <c r="E22" s="4" t="s">
        <v>470</v>
      </c>
      <c r="F22" s="4">
        <v>8.4499999999999993</v>
      </c>
      <c r="G22" s="4" t="s">
        <v>376</v>
      </c>
      <c r="H22" s="4" t="s">
        <v>46</v>
      </c>
      <c r="I22" s="4" t="s">
        <v>1030</v>
      </c>
      <c r="J22" s="4" t="s">
        <v>466</v>
      </c>
      <c r="K22" s="4" t="s">
        <v>43</v>
      </c>
      <c r="L22" s="4" t="s">
        <v>51</v>
      </c>
      <c r="M22" s="4" t="s">
        <v>40</v>
      </c>
      <c r="N22" s="4" t="s">
        <v>378</v>
      </c>
      <c r="O22" s="4" t="s">
        <v>468</v>
      </c>
      <c r="P22" s="4" t="s">
        <v>42</v>
      </c>
      <c r="Q22" s="50" t="s">
        <v>43</v>
      </c>
      <c r="R22" s="50"/>
      <c r="S22" s="50" t="s">
        <v>467</v>
      </c>
      <c r="T22" s="4" t="s">
        <v>43</v>
      </c>
      <c r="U22" s="4"/>
    </row>
    <row r="23" spans="3:22" hidden="1" x14ac:dyDescent="0.25">
      <c r="C23" s="4" t="s">
        <v>932</v>
      </c>
      <c r="D23" s="4" t="s">
        <v>933</v>
      </c>
      <c r="E23" s="4" t="s">
        <v>933</v>
      </c>
      <c r="F23" s="4">
        <v>7</v>
      </c>
      <c r="G23" s="4" t="s">
        <v>376</v>
      </c>
      <c r="H23" s="4" t="s">
        <v>46</v>
      </c>
      <c r="I23" s="4" t="s">
        <v>1030</v>
      </c>
      <c r="J23" s="4" t="s">
        <v>160</v>
      </c>
      <c r="K23" s="4" t="s">
        <v>43</v>
      </c>
      <c r="L23" s="4" t="s">
        <v>353</v>
      </c>
      <c r="M23" s="4" t="s">
        <v>40</v>
      </c>
      <c r="N23" s="4" t="s">
        <v>378</v>
      </c>
      <c r="O23" s="4" t="s">
        <v>932</v>
      </c>
      <c r="P23" s="4" t="s">
        <v>42</v>
      </c>
      <c r="Q23" s="50" t="s">
        <v>43</v>
      </c>
      <c r="R23" s="50"/>
      <c r="S23" s="50" t="s">
        <v>931</v>
      </c>
      <c r="T23" s="4" t="s">
        <v>43</v>
      </c>
      <c r="U23" s="4"/>
    </row>
    <row r="24" spans="3:22" hidden="1" x14ac:dyDescent="0.25">
      <c r="C24" s="4" t="s">
        <v>390</v>
      </c>
      <c r="D24" s="4" t="s">
        <v>391</v>
      </c>
      <c r="E24" s="4" t="s">
        <v>391</v>
      </c>
      <c r="F24" s="4">
        <v>7</v>
      </c>
      <c r="G24" s="4" t="s">
        <v>376</v>
      </c>
      <c r="H24" s="4" t="s">
        <v>46</v>
      </c>
      <c r="I24" s="4" t="s">
        <v>1031</v>
      </c>
      <c r="J24" s="4" t="s">
        <v>63</v>
      </c>
      <c r="K24" s="4" t="s">
        <v>43</v>
      </c>
      <c r="L24" s="4" t="s">
        <v>138</v>
      </c>
      <c r="M24" s="4" t="s">
        <v>40</v>
      </c>
      <c r="N24" s="4" t="s">
        <v>378</v>
      </c>
      <c r="O24" s="4" t="s">
        <v>390</v>
      </c>
      <c r="P24" s="4" t="s">
        <v>42</v>
      </c>
      <c r="Q24" s="50" t="s">
        <v>43</v>
      </c>
      <c r="R24" s="50"/>
      <c r="S24" s="50" t="s">
        <v>380</v>
      </c>
      <c r="T24" s="4" t="s">
        <v>43</v>
      </c>
      <c r="U24" s="4"/>
    </row>
    <row r="25" spans="3:22" hidden="1" x14ac:dyDescent="0.25">
      <c r="C25" s="4" t="s">
        <v>883</v>
      </c>
      <c r="D25" s="4" t="s">
        <v>884</v>
      </c>
      <c r="E25" s="4" t="s">
        <v>986</v>
      </c>
      <c r="F25" s="4">
        <f>5.45+0.34</f>
        <v>5.79</v>
      </c>
      <c r="G25" s="4" t="s">
        <v>376</v>
      </c>
      <c r="H25" s="4" t="s">
        <v>46</v>
      </c>
      <c r="I25" s="4" t="s">
        <v>1030</v>
      </c>
      <c r="J25" s="4" t="s">
        <v>73</v>
      </c>
      <c r="K25" s="4" t="s">
        <v>43</v>
      </c>
      <c r="L25" s="4" t="s">
        <v>315</v>
      </c>
      <c r="M25" s="4" t="s">
        <v>40</v>
      </c>
      <c r="N25" s="4" t="s">
        <v>514</v>
      </c>
      <c r="O25" s="4" t="s">
        <v>883</v>
      </c>
      <c r="P25" s="4" t="s">
        <v>42</v>
      </c>
      <c r="Q25" s="50" t="s">
        <v>43</v>
      </c>
      <c r="R25" s="50"/>
      <c r="S25" s="50" t="s">
        <v>886</v>
      </c>
      <c r="T25" s="4" t="s">
        <v>43</v>
      </c>
      <c r="U25" s="4"/>
      <c r="V25" s="2"/>
    </row>
    <row r="26" spans="3:22" hidden="1" x14ac:dyDescent="0.25">
      <c r="C26" s="4" t="s">
        <v>387</v>
      </c>
      <c r="D26" s="4" t="s">
        <v>388</v>
      </c>
      <c r="E26" s="4" t="s">
        <v>389</v>
      </c>
      <c r="F26" s="4">
        <v>6.68</v>
      </c>
      <c r="G26" s="4" t="s">
        <v>376</v>
      </c>
      <c r="H26" s="4" t="s">
        <v>46</v>
      </c>
      <c r="I26" s="4" t="s">
        <v>1031</v>
      </c>
      <c r="J26" s="4" t="s">
        <v>63</v>
      </c>
      <c r="K26" s="4" t="s">
        <v>43</v>
      </c>
      <c r="L26" s="4" t="s">
        <v>138</v>
      </c>
      <c r="M26" s="4" t="s">
        <v>40</v>
      </c>
      <c r="N26" s="4" t="s">
        <v>378</v>
      </c>
      <c r="O26" s="4" t="s">
        <v>387</v>
      </c>
      <c r="P26" s="4" t="s">
        <v>42</v>
      </c>
      <c r="Q26" s="50" t="s">
        <v>43</v>
      </c>
      <c r="R26" s="50"/>
      <c r="S26" s="50" t="s">
        <v>380</v>
      </c>
      <c r="T26" s="4" t="s">
        <v>43</v>
      </c>
      <c r="U26" s="4"/>
    </row>
    <row r="27" spans="3:22" hidden="1" x14ac:dyDescent="0.25">
      <c r="C27" s="4" t="s">
        <v>519</v>
      </c>
      <c r="D27" s="4" t="s">
        <v>520</v>
      </c>
      <c r="E27" s="4" t="s">
        <v>520</v>
      </c>
      <c r="F27" s="4">
        <v>7</v>
      </c>
      <c r="G27" s="4" t="s">
        <v>376</v>
      </c>
      <c r="H27" s="4" t="s">
        <v>46</v>
      </c>
      <c r="I27" s="4" t="s">
        <v>1030</v>
      </c>
      <c r="J27" s="4" t="s">
        <v>100</v>
      </c>
      <c r="K27" s="4" t="s">
        <v>43</v>
      </c>
      <c r="L27" s="4" t="s">
        <v>138</v>
      </c>
      <c r="M27" s="4" t="s">
        <v>40</v>
      </c>
      <c r="N27" s="4" t="s">
        <v>514</v>
      </c>
      <c r="O27" s="4" t="s">
        <v>519</v>
      </c>
      <c r="P27" s="4" t="s">
        <v>42</v>
      </c>
      <c r="Q27" s="50" t="s">
        <v>43</v>
      </c>
      <c r="R27" s="50"/>
      <c r="S27" s="50" t="s">
        <v>515</v>
      </c>
      <c r="T27" s="4" t="s">
        <v>43</v>
      </c>
      <c r="U27" s="4"/>
    </row>
    <row r="28" spans="3:22" hidden="1" x14ac:dyDescent="0.25">
      <c r="C28" s="4" t="s">
        <v>887</v>
      </c>
      <c r="D28" s="4" t="s">
        <v>275</v>
      </c>
      <c r="E28" s="4" t="s">
        <v>888</v>
      </c>
      <c r="F28" s="4">
        <v>8.68</v>
      </c>
      <c r="G28" s="4" t="s">
        <v>376</v>
      </c>
      <c r="H28" s="4" t="s">
        <v>46</v>
      </c>
      <c r="I28" s="4" t="s">
        <v>1030</v>
      </c>
      <c r="J28" s="4" t="s">
        <v>73</v>
      </c>
      <c r="K28" s="4" t="s">
        <v>43</v>
      </c>
      <c r="L28" s="4" t="s">
        <v>275</v>
      </c>
      <c r="M28" s="4" t="s">
        <v>40</v>
      </c>
      <c r="N28" s="4" t="s">
        <v>514</v>
      </c>
      <c r="O28" s="4" t="s">
        <v>887</v>
      </c>
      <c r="P28" s="4" t="s">
        <v>42</v>
      </c>
      <c r="Q28" s="50" t="s">
        <v>43</v>
      </c>
      <c r="R28" s="50"/>
      <c r="S28" s="50" t="s">
        <v>886</v>
      </c>
      <c r="T28" s="4" t="s">
        <v>43</v>
      </c>
      <c r="U28" s="4"/>
    </row>
    <row r="29" spans="3:22" hidden="1" x14ac:dyDescent="0.25">
      <c r="C29" s="4" t="s">
        <v>654</v>
      </c>
      <c r="D29" s="4" t="s">
        <v>655</v>
      </c>
      <c r="E29" s="4" t="s">
        <v>655</v>
      </c>
      <c r="F29" s="4">
        <v>7</v>
      </c>
      <c r="G29" s="4" t="s">
        <v>376</v>
      </c>
      <c r="H29" s="4" t="s">
        <v>46</v>
      </c>
      <c r="I29" s="4" t="s">
        <v>1030</v>
      </c>
      <c r="J29" s="4" t="s">
        <v>248</v>
      </c>
      <c r="K29" s="4" t="s">
        <v>43</v>
      </c>
      <c r="L29" s="4" t="s">
        <v>51</v>
      </c>
      <c r="M29" s="4" t="s">
        <v>40</v>
      </c>
      <c r="N29" s="4" t="s">
        <v>984</v>
      </c>
      <c r="O29" s="4" t="s">
        <v>654</v>
      </c>
      <c r="P29" s="4" t="s">
        <v>42</v>
      </c>
      <c r="Q29" s="50" t="s">
        <v>43</v>
      </c>
      <c r="R29" s="50"/>
      <c r="S29" s="50" t="s">
        <v>51</v>
      </c>
      <c r="T29" s="4" t="s">
        <v>43</v>
      </c>
      <c r="U29" s="4"/>
    </row>
    <row r="30" spans="3:22" hidden="1" x14ac:dyDescent="0.25">
      <c r="C30" s="4" t="s">
        <v>800</v>
      </c>
      <c r="D30" s="4" t="s">
        <v>801</v>
      </c>
      <c r="E30" s="4" t="s">
        <v>801</v>
      </c>
      <c r="F30" s="4">
        <v>7</v>
      </c>
      <c r="G30" s="4" t="s">
        <v>376</v>
      </c>
      <c r="H30" s="4" t="s">
        <v>46</v>
      </c>
      <c r="I30" s="4" t="s">
        <v>1030</v>
      </c>
      <c r="J30" s="4" t="s">
        <v>146</v>
      </c>
      <c r="K30" s="4" t="s">
        <v>440</v>
      </c>
      <c r="L30" s="4" t="s">
        <v>59</v>
      </c>
      <c r="M30" s="4" t="s">
        <v>40</v>
      </c>
      <c r="N30" s="4" t="s">
        <v>984</v>
      </c>
      <c r="O30" s="4" t="s">
        <v>800</v>
      </c>
      <c r="P30" s="4" t="s">
        <v>42</v>
      </c>
      <c r="Q30" s="50" t="s">
        <v>43</v>
      </c>
      <c r="R30" s="50"/>
      <c r="S30" s="50" t="s">
        <v>799</v>
      </c>
      <c r="T30" s="4" t="s">
        <v>43</v>
      </c>
      <c r="U30" s="4"/>
    </row>
    <row r="31" spans="3:22" hidden="1" x14ac:dyDescent="0.25">
      <c r="C31" s="4" t="s">
        <v>385</v>
      </c>
      <c r="D31" s="4" t="s">
        <v>386</v>
      </c>
      <c r="E31" s="4" t="s">
        <v>386</v>
      </c>
      <c r="F31" s="4">
        <v>7</v>
      </c>
      <c r="G31" s="4" t="s">
        <v>376</v>
      </c>
      <c r="H31" s="4" t="s">
        <v>46</v>
      </c>
      <c r="I31" s="4" t="s">
        <v>1031</v>
      </c>
      <c r="J31" s="4" t="s">
        <v>63</v>
      </c>
      <c r="K31" s="4" t="s">
        <v>43</v>
      </c>
      <c r="L31" s="4" t="s">
        <v>138</v>
      </c>
      <c r="M31" s="4" t="s">
        <v>40</v>
      </c>
      <c r="N31" s="4" t="s">
        <v>378</v>
      </c>
      <c r="O31" s="4" t="s">
        <v>385</v>
      </c>
      <c r="P31" s="4" t="s">
        <v>42</v>
      </c>
      <c r="Q31" s="50" t="s">
        <v>43</v>
      </c>
      <c r="R31" s="50"/>
      <c r="S31" s="50" t="s">
        <v>380</v>
      </c>
      <c r="T31" s="4" t="s">
        <v>43</v>
      </c>
      <c r="U31" s="4"/>
    </row>
    <row r="32" spans="3:22" hidden="1" x14ac:dyDescent="0.25">
      <c r="C32" s="4" t="s">
        <v>934</v>
      </c>
      <c r="D32" s="4" t="s">
        <v>935</v>
      </c>
      <c r="E32" s="4" t="s">
        <v>935</v>
      </c>
      <c r="F32" s="4">
        <v>7</v>
      </c>
      <c r="G32" s="4" t="s">
        <v>376</v>
      </c>
      <c r="H32" s="4" t="s">
        <v>46</v>
      </c>
      <c r="I32" s="4" t="s">
        <v>1030</v>
      </c>
      <c r="J32" s="4" t="s">
        <v>160</v>
      </c>
      <c r="K32" s="4" t="s">
        <v>43</v>
      </c>
      <c r="L32" s="4" t="s">
        <v>353</v>
      </c>
      <c r="M32" s="4" t="s">
        <v>40</v>
      </c>
      <c r="N32" s="4" t="s">
        <v>378</v>
      </c>
      <c r="O32" s="4" t="s">
        <v>934</v>
      </c>
      <c r="P32" s="4" t="s">
        <v>42</v>
      </c>
      <c r="Q32" s="50" t="s">
        <v>43</v>
      </c>
      <c r="R32" s="50"/>
      <c r="S32" s="50" t="s">
        <v>931</v>
      </c>
      <c r="T32" s="4" t="s">
        <v>43</v>
      </c>
      <c r="U32" s="4"/>
    </row>
    <row r="33" spans="3:21" hidden="1" x14ac:dyDescent="0.25">
      <c r="C33" s="4" t="s">
        <v>573</v>
      </c>
      <c r="D33" s="4" t="s">
        <v>574</v>
      </c>
      <c r="E33" s="4" t="s">
        <v>575</v>
      </c>
      <c r="F33" s="4">
        <v>7</v>
      </c>
      <c r="G33" s="4" t="s">
        <v>376</v>
      </c>
      <c r="H33" s="4" t="s">
        <v>46</v>
      </c>
      <c r="I33" s="4" t="s">
        <v>1030</v>
      </c>
      <c r="J33" s="4" t="s">
        <v>331</v>
      </c>
      <c r="K33" s="4" t="s">
        <v>43</v>
      </c>
      <c r="L33" s="4" t="s">
        <v>138</v>
      </c>
      <c r="M33" s="4" t="s">
        <v>40</v>
      </c>
      <c r="N33" s="4" t="s">
        <v>422</v>
      </c>
      <c r="O33" s="4" t="s">
        <v>573</v>
      </c>
      <c r="P33" s="4" t="s">
        <v>42</v>
      </c>
      <c r="Q33" s="50" t="s">
        <v>43</v>
      </c>
      <c r="R33" s="50"/>
      <c r="S33" s="50" t="s">
        <v>557</v>
      </c>
      <c r="T33" s="4" t="s">
        <v>43</v>
      </c>
      <c r="U33" s="4"/>
    </row>
    <row r="34" spans="3:21" hidden="1" x14ac:dyDescent="0.25">
      <c r="C34" s="4" t="s">
        <v>804</v>
      </c>
      <c r="D34" s="4" t="s">
        <v>805</v>
      </c>
      <c r="E34" s="4" t="s">
        <v>806</v>
      </c>
      <c r="F34" s="4">
        <v>7</v>
      </c>
      <c r="G34" s="4" t="s">
        <v>376</v>
      </c>
      <c r="H34" s="4" t="s">
        <v>46</v>
      </c>
      <c r="I34" s="4" t="s">
        <v>1030</v>
      </c>
      <c r="J34" s="4" t="s">
        <v>146</v>
      </c>
      <c r="K34" s="4" t="s">
        <v>43</v>
      </c>
      <c r="L34" s="4" t="s">
        <v>59</v>
      </c>
      <c r="M34" s="4" t="s">
        <v>40</v>
      </c>
      <c r="N34" s="4" t="s">
        <v>984</v>
      </c>
      <c r="O34" s="4" t="s">
        <v>804</v>
      </c>
      <c r="P34" s="4" t="s">
        <v>42</v>
      </c>
      <c r="Q34" s="50" t="s">
        <v>43</v>
      </c>
      <c r="R34" s="50"/>
      <c r="S34" s="50" t="s">
        <v>799</v>
      </c>
      <c r="T34" s="4" t="s">
        <v>43</v>
      </c>
      <c r="U34" s="4" t="s">
        <v>32</v>
      </c>
    </row>
    <row r="35" spans="3:21" hidden="1" x14ac:dyDescent="0.25">
      <c r="C35" s="4" t="s">
        <v>618</v>
      </c>
      <c r="D35" s="4" t="s">
        <v>619</v>
      </c>
      <c r="E35" s="4" t="s">
        <v>619</v>
      </c>
      <c r="F35" s="4">
        <v>6.68</v>
      </c>
      <c r="G35" s="4" t="s">
        <v>1032</v>
      </c>
      <c r="H35" s="4" t="s">
        <v>46</v>
      </c>
      <c r="I35" s="4" t="s">
        <v>1030</v>
      </c>
      <c r="J35" s="4" t="s">
        <v>50</v>
      </c>
      <c r="K35" s="4"/>
      <c r="L35" s="4" t="s">
        <v>59</v>
      </c>
      <c r="M35" s="4" t="s">
        <v>40</v>
      </c>
      <c r="N35" s="4" t="s">
        <v>422</v>
      </c>
      <c r="O35" s="4" t="s">
        <v>618</v>
      </c>
      <c r="P35" s="4" t="s">
        <v>42</v>
      </c>
      <c r="Q35" s="50" t="s">
        <v>43</v>
      </c>
      <c r="R35" s="50"/>
      <c r="S35" s="50" t="s">
        <v>597</v>
      </c>
      <c r="T35" s="4" t="s">
        <v>43</v>
      </c>
      <c r="U35" s="4"/>
    </row>
    <row r="36" spans="3:21" hidden="1" x14ac:dyDescent="0.25">
      <c r="C36" s="4" t="s">
        <v>419</v>
      </c>
      <c r="D36" s="4" t="s">
        <v>420</v>
      </c>
      <c r="E36" s="4" t="s">
        <v>64</v>
      </c>
      <c r="F36" s="4">
        <v>6</v>
      </c>
      <c r="G36" s="4" t="s">
        <v>376</v>
      </c>
      <c r="H36" s="4" t="s">
        <v>46</v>
      </c>
      <c r="I36" s="4" t="s">
        <v>1030</v>
      </c>
      <c r="J36" s="4" t="s">
        <v>94</v>
      </c>
      <c r="K36" s="4" t="s">
        <v>43</v>
      </c>
      <c r="L36" s="4" t="s">
        <v>64</v>
      </c>
      <c r="M36" s="4" t="s">
        <v>40</v>
      </c>
      <c r="N36" s="4" t="s">
        <v>422</v>
      </c>
      <c r="O36" s="4" t="s">
        <v>419</v>
      </c>
      <c r="P36" s="4" t="s">
        <v>42</v>
      </c>
      <c r="Q36" s="50" t="s">
        <v>43</v>
      </c>
      <c r="R36" s="50"/>
      <c r="S36" s="50" t="s">
        <v>423</v>
      </c>
      <c r="T36" s="4" t="s">
        <v>43</v>
      </c>
      <c r="U36" s="4"/>
    </row>
    <row r="37" spans="3:21" hidden="1" x14ac:dyDescent="0.25">
      <c r="C37" s="4" t="s">
        <v>521</v>
      </c>
      <c r="D37" s="4" t="s">
        <v>522</v>
      </c>
      <c r="E37" s="4" t="s">
        <v>522</v>
      </c>
      <c r="F37" s="4">
        <v>6</v>
      </c>
      <c r="G37" s="4" t="s">
        <v>376</v>
      </c>
      <c r="H37" s="4" t="s">
        <v>46</v>
      </c>
      <c r="I37" s="4" t="s">
        <v>1030</v>
      </c>
      <c r="J37" s="4" t="s">
        <v>100</v>
      </c>
      <c r="K37" s="4" t="s">
        <v>43</v>
      </c>
      <c r="L37" s="4" t="s">
        <v>138</v>
      </c>
      <c r="M37" s="4" t="s">
        <v>40</v>
      </c>
      <c r="N37" s="4" t="s">
        <v>514</v>
      </c>
      <c r="O37" s="4" t="s">
        <v>521</v>
      </c>
      <c r="P37" s="4" t="s">
        <v>42</v>
      </c>
      <c r="Q37" s="50" t="s">
        <v>43</v>
      </c>
      <c r="R37" s="50"/>
      <c r="S37" s="50" t="s">
        <v>515</v>
      </c>
      <c r="T37" s="4" t="s">
        <v>43</v>
      </c>
      <c r="U37" s="4"/>
    </row>
    <row r="38" spans="3:21" hidden="1" x14ac:dyDescent="0.25">
      <c r="C38" s="4" t="s">
        <v>844</v>
      </c>
      <c r="D38" s="4" t="s">
        <v>845</v>
      </c>
      <c r="E38" s="4" t="s">
        <v>846</v>
      </c>
      <c r="F38" s="4">
        <v>6</v>
      </c>
      <c r="G38" s="4" t="s">
        <v>376</v>
      </c>
      <c r="H38" s="4" t="s">
        <v>46</v>
      </c>
      <c r="I38" s="4" t="s">
        <v>1030</v>
      </c>
      <c r="J38" s="4" t="s">
        <v>132</v>
      </c>
      <c r="K38" s="4" t="s">
        <v>43</v>
      </c>
      <c r="L38" s="4" t="s">
        <v>138</v>
      </c>
      <c r="M38" s="4" t="s">
        <v>40</v>
      </c>
      <c r="N38" s="4" t="s">
        <v>514</v>
      </c>
      <c r="O38" s="4" t="s">
        <v>844</v>
      </c>
      <c r="P38" s="4" t="s">
        <v>42</v>
      </c>
      <c r="Q38" s="50" t="s">
        <v>43</v>
      </c>
      <c r="R38" s="50"/>
      <c r="S38" s="50" t="s">
        <v>847</v>
      </c>
      <c r="T38" s="4" t="s">
        <v>43</v>
      </c>
      <c r="U38" s="4"/>
    </row>
    <row r="39" spans="3:21" hidden="1" x14ac:dyDescent="0.25">
      <c r="C39" s="4" t="s">
        <v>889</v>
      </c>
      <c r="D39" s="4" t="s">
        <v>890</v>
      </c>
      <c r="E39" s="4" t="s">
        <v>890</v>
      </c>
      <c r="F39" s="4">
        <v>6</v>
      </c>
      <c r="G39" s="4" t="s">
        <v>376</v>
      </c>
      <c r="H39" s="4" t="s">
        <v>46</v>
      </c>
      <c r="I39" s="4" t="s">
        <v>1030</v>
      </c>
      <c r="J39" s="4" t="s">
        <v>73</v>
      </c>
      <c r="K39" s="4" t="s">
        <v>43</v>
      </c>
      <c r="L39" s="4" t="s">
        <v>97</v>
      </c>
      <c r="M39" s="4" t="s">
        <v>40</v>
      </c>
      <c r="N39" s="4" t="s">
        <v>514</v>
      </c>
      <c r="O39" s="4" t="s">
        <v>889</v>
      </c>
      <c r="P39" s="4" t="s">
        <v>42</v>
      </c>
      <c r="Q39" s="50" t="s">
        <v>43</v>
      </c>
      <c r="R39" s="50"/>
      <c r="S39" s="50" t="s">
        <v>886</v>
      </c>
      <c r="T39" s="4" t="s">
        <v>43</v>
      </c>
      <c r="U39" s="4"/>
    </row>
    <row r="40" spans="3:21" hidden="1" x14ac:dyDescent="0.25">
      <c r="C40" s="4" t="s">
        <v>392</v>
      </c>
      <c r="D40" s="4" t="s">
        <v>393</v>
      </c>
      <c r="E40" s="4" t="s">
        <v>393</v>
      </c>
      <c r="F40" s="4">
        <v>5</v>
      </c>
      <c r="G40" s="4" t="s">
        <v>376</v>
      </c>
      <c r="H40" s="4" t="s">
        <v>46</v>
      </c>
      <c r="I40" s="4" t="s">
        <v>1031</v>
      </c>
      <c r="J40" s="4" t="s">
        <v>63</v>
      </c>
      <c r="K40" s="4" t="s">
        <v>43</v>
      </c>
      <c r="L40" s="4" t="s">
        <v>138</v>
      </c>
      <c r="M40" s="4" t="s">
        <v>40</v>
      </c>
      <c r="N40" s="4" t="s">
        <v>378</v>
      </c>
      <c r="O40" s="4" t="s">
        <v>392</v>
      </c>
      <c r="P40" s="4" t="s">
        <v>42</v>
      </c>
      <c r="Q40" s="50" t="s">
        <v>43</v>
      </c>
      <c r="R40" s="50"/>
      <c r="S40" s="50" t="s">
        <v>380</v>
      </c>
      <c r="T40" s="4" t="s">
        <v>43</v>
      </c>
      <c r="U40" s="4"/>
    </row>
    <row r="41" spans="3:21" hidden="1" x14ac:dyDescent="0.25">
      <c r="C41" s="4" t="s">
        <v>703</v>
      </c>
      <c r="D41" s="4" t="s">
        <v>704</v>
      </c>
      <c r="E41" s="4" t="s">
        <v>705</v>
      </c>
      <c r="F41" s="4">
        <v>5</v>
      </c>
      <c r="G41" s="4" t="s">
        <v>376</v>
      </c>
      <c r="H41" s="4" t="s">
        <v>46</v>
      </c>
      <c r="I41" s="4" t="s">
        <v>1031</v>
      </c>
      <c r="J41" s="4" t="s">
        <v>84</v>
      </c>
      <c r="K41" s="4" t="s">
        <v>440</v>
      </c>
      <c r="L41" s="4" t="s">
        <v>706</v>
      </c>
      <c r="M41" s="4" t="s">
        <v>55</v>
      </c>
      <c r="N41" s="4" t="s">
        <v>984</v>
      </c>
      <c r="O41" s="4" t="s">
        <v>703</v>
      </c>
      <c r="P41" s="4" t="s">
        <v>42</v>
      </c>
      <c r="Q41" s="50" t="s">
        <v>43</v>
      </c>
      <c r="R41" s="50"/>
      <c r="S41" s="50" t="s">
        <v>702</v>
      </c>
      <c r="T41" s="4" t="s">
        <v>43</v>
      </c>
      <c r="U41" s="4"/>
    </row>
    <row r="42" spans="3:21" hidden="1" x14ac:dyDescent="0.25">
      <c r="C42" s="4" t="s">
        <v>34</v>
      </c>
      <c r="D42" s="4" t="s">
        <v>35</v>
      </c>
      <c r="E42" s="4" t="s">
        <v>35</v>
      </c>
      <c r="F42" s="4" t="s">
        <v>36</v>
      </c>
      <c r="G42" s="4" t="s">
        <v>37</v>
      </c>
      <c r="H42" s="4" t="s">
        <v>38</v>
      </c>
      <c r="I42" s="4" t="s">
        <v>1030</v>
      </c>
      <c r="J42" s="4">
        <v>0</v>
      </c>
      <c r="K42" s="4"/>
      <c r="L42" s="4" t="s">
        <v>39</v>
      </c>
      <c r="M42" s="4" t="s">
        <v>40</v>
      </c>
      <c r="N42" s="4">
        <v>0</v>
      </c>
      <c r="O42" s="4" t="s">
        <v>34</v>
      </c>
      <c r="P42" s="4" t="s">
        <v>42</v>
      </c>
      <c r="Q42" s="50" t="s">
        <v>43</v>
      </c>
      <c r="R42" s="50"/>
      <c r="S42" s="50">
        <v>0</v>
      </c>
      <c r="T42" s="4" t="s">
        <v>43</v>
      </c>
      <c r="U42" s="4"/>
    </row>
    <row r="43" spans="3:21" hidden="1" x14ac:dyDescent="0.25">
      <c r="C43" s="4" t="s">
        <v>424</v>
      </c>
      <c r="D43" s="4" t="s">
        <v>425</v>
      </c>
      <c r="E43" s="4" t="s">
        <v>988</v>
      </c>
      <c r="F43" s="4">
        <v>6</v>
      </c>
      <c r="G43" s="4" t="s">
        <v>37</v>
      </c>
      <c r="H43" s="4" t="s">
        <v>46</v>
      </c>
      <c r="I43" s="4" t="s">
        <v>1030</v>
      </c>
      <c r="J43" s="4" t="s">
        <v>94</v>
      </c>
      <c r="K43" s="4"/>
      <c r="L43" s="4" t="s">
        <v>64</v>
      </c>
      <c r="M43" s="4" t="s">
        <v>40</v>
      </c>
      <c r="N43" s="4" t="s">
        <v>422</v>
      </c>
      <c r="O43" s="4" t="s">
        <v>424</v>
      </c>
      <c r="P43" s="4" t="s">
        <v>42</v>
      </c>
      <c r="Q43" s="50" t="s">
        <v>43</v>
      </c>
      <c r="R43" s="50"/>
      <c r="S43" s="50" t="s">
        <v>423</v>
      </c>
      <c r="T43" s="4" t="s">
        <v>43</v>
      </c>
      <c r="U43" s="4"/>
    </row>
    <row r="44" spans="3:21" hidden="1" x14ac:dyDescent="0.25">
      <c r="C44" s="4" t="s">
        <v>471</v>
      </c>
      <c r="D44" s="4" t="s">
        <v>472</v>
      </c>
      <c r="E44" s="4" t="s">
        <v>473</v>
      </c>
      <c r="F44" s="4">
        <v>5</v>
      </c>
      <c r="G44" s="4" t="s">
        <v>376</v>
      </c>
      <c r="H44" s="4" t="s">
        <v>46</v>
      </c>
      <c r="I44" s="4" t="s">
        <v>1030</v>
      </c>
      <c r="J44" s="4" t="s">
        <v>466</v>
      </c>
      <c r="K44" s="4" t="s">
        <v>43</v>
      </c>
      <c r="L44" s="4" t="s">
        <v>51</v>
      </c>
      <c r="M44" s="4" t="s">
        <v>40</v>
      </c>
      <c r="N44" s="4" t="s">
        <v>378</v>
      </c>
      <c r="O44" s="4" t="s">
        <v>471</v>
      </c>
      <c r="P44" s="4" t="s">
        <v>42</v>
      </c>
      <c r="Q44" s="50" t="s">
        <v>43</v>
      </c>
      <c r="R44" s="50"/>
      <c r="S44" s="50" t="s">
        <v>467</v>
      </c>
      <c r="T44" s="4" t="s">
        <v>43</v>
      </c>
      <c r="U44" s="4"/>
    </row>
    <row r="45" spans="3:21" hidden="1" x14ac:dyDescent="0.25">
      <c r="C45" s="4" t="s">
        <v>742</v>
      </c>
      <c r="D45" s="4" t="s">
        <v>744</v>
      </c>
      <c r="E45" s="51" t="s">
        <v>989</v>
      </c>
      <c r="F45" s="4">
        <v>6</v>
      </c>
      <c r="G45" s="4" t="s">
        <v>376</v>
      </c>
      <c r="H45" s="4" t="s">
        <v>46</v>
      </c>
      <c r="I45" s="4" t="s">
        <v>1031</v>
      </c>
      <c r="J45" s="4" t="s">
        <v>84</v>
      </c>
      <c r="K45" s="4" t="s">
        <v>440</v>
      </c>
      <c r="L45" s="4" t="s">
        <v>54</v>
      </c>
      <c r="M45" s="4" t="s">
        <v>55</v>
      </c>
      <c r="N45" s="4" t="s">
        <v>984</v>
      </c>
      <c r="O45" s="4" t="s">
        <v>742</v>
      </c>
      <c r="P45" s="4" t="s">
        <v>42</v>
      </c>
      <c r="Q45" s="50" t="s">
        <v>43</v>
      </c>
      <c r="R45" s="50"/>
      <c r="S45" s="50" t="s">
        <v>741</v>
      </c>
      <c r="T45" s="4" t="s">
        <v>43</v>
      </c>
      <c r="U45" s="4"/>
    </row>
    <row r="46" spans="3:21" hidden="1" x14ac:dyDescent="0.25">
      <c r="C46" s="4" t="s">
        <v>707</v>
      </c>
      <c r="D46" s="4" t="s">
        <v>706</v>
      </c>
      <c r="E46" s="4" t="s">
        <v>708</v>
      </c>
      <c r="F46" s="4">
        <v>5</v>
      </c>
      <c r="G46" s="4" t="s">
        <v>376</v>
      </c>
      <c r="H46" s="4" t="s">
        <v>46</v>
      </c>
      <c r="I46" s="4" t="s">
        <v>1031</v>
      </c>
      <c r="J46" s="4" t="s">
        <v>84</v>
      </c>
      <c r="K46" s="4" t="s">
        <v>440</v>
      </c>
      <c r="L46" s="4" t="s">
        <v>706</v>
      </c>
      <c r="M46" s="4" t="s">
        <v>55</v>
      </c>
      <c r="N46" s="4" t="s">
        <v>984</v>
      </c>
      <c r="O46" s="4" t="s">
        <v>707</v>
      </c>
      <c r="P46" s="4" t="s">
        <v>42</v>
      </c>
      <c r="Q46" s="50" t="s">
        <v>43</v>
      </c>
      <c r="R46" s="50"/>
      <c r="S46" s="50" t="s">
        <v>702</v>
      </c>
      <c r="T46" s="4" t="s">
        <v>43</v>
      </c>
      <c r="U46" s="4"/>
    </row>
    <row r="47" spans="3:21" hidden="1" x14ac:dyDescent="0.25">
      <c r="C47" s="4" t="s">
        <v>394</v>
      </c>
      <c r="D47" s="4" t="s">
        <v>395</v>
      </c>
      <c r="E47" s="4" t="s">
        <v>395</v>
      </c>
      <c r="F47" s="4">
        <v>6</v>
      </c>
      <c r="G47" s="4" t="s">
        <v>376</v>
      </c>
      <c r="H47" s="4" t="s">
        <v>46</v>
      </c>
      <c r="I47" s="4" t="s">
        <v>1031</v>
      </c>
      <c r="J47" s="4" t="s">
        <v>63</v>
      </c>
      <c r="K47" s="4" t="s">
        <v>43</v>
      </c>
      <c r="L47" s="4" t="s">
        <v>138</v>
      </c>
      <c r="M47" s="4" t="s">
        <v>40</v>
      </c>
      <c r="N47" s="4" t="s">
        <v>378</v>
      </c>
      <c r="O47" s="4" t="s">
        <v>394</v>
      </c>
      <c r="P47" s="4" t="s">
        <v>42</v>
      </c>
      <c r="Q47" s="50" t="s">
        <v>43</v>
      </c>
      <c r="R47" s="50"/>
      <c r="S47" s="50" t="s">
        <v>380</v>
      </c>
      <c r="T47" s="4" t="s">
        <v>43</v>
      </c>
      <c r="U47" s="4"/>
    </row>
    <row r="48" spans="3:21" hidden="1" x14ac:dyDescent="0.25">
      <c r="C48" s="4" t="s">
        <v>396</v>
      </c>
      <c r="D48" s="4" t="s">
        <v>397</v>
      </c>
      <c r="E48" s="4" t="s">
        <v>397</v>
      </c>
      <c r="F48" s="4">
        <v>6</v>
      </c>
      <c r="G48" s="4" t="s">
        <v>376</v>
      </c>
      <c r="H48" s="4" t="s">
        <v>46</v>
      </c>
      <c r="I48" s="4" t="s">
        <v>1031</v>
      </c>
      <c r="J48" s="4" t="s">
        <v>63</v>
      </c>
      <c r="K48" s="4" t="s">
        <v>43</v>
      </c>
      <c r="L48" s="4" t="s">
        <v>138</v>
      </c>
      <c r="M48" s="4" t="s">
        <v>40</v>
      </c>
      <c r="N48" s="4" t="s">
        <v>378</v>
      </c>
      <c r="O48" s="4" t="s">
        <v>396</v>
      </c>
      <c r="P48" s="4" t="s">
        <v>42</v>
      </c>
      <c r="Q48" s="50" t="s">
        <v>43</v>
      </c>
      <c r="R48" s="50"/>
      <c r="S48" s="50" t="s">
        <v>380</v>
      </c>
      <c r="T48" s="4" t="s">
        <v>43</v>
      </c>
      <c r="U48" s="4"/>
    </row>
    <row r="49" spans="3:21" hidden="1" x14ac:dyDescent="0.25">
      <c r="C49" s="4" t="s">
        <v>848</v>
      </c>
      <c r="D49" s="4" t="s">
        <v>849</v>
      </c>
      <c r="E49" s="4" t="s">
        <v>849</v>
      </c>
      <c r="F49" s="4">
        <v>8.34</v>
      </c>
      <c r="G49" s="4" t="s">
        <v>376</v>
      </c>
      <c r="H49" s="4" t="s">
        <v>46</v>
      </c>
      <c r="I49" s="4" t="s">
        <v>1030</v>
      </c>
      <c r="J49" s="4" t="s">
        <v>132</v>
      </c>
      <c r="K49" s="4" t="s">
        <v>43</v>
      </c>
      <c r="L49" s="4" t="s">
        <v>138</v>
      </c>
      <c r="M49" s="4" t="s">
        <v>40</v>
      </c>
      <c r="N49" s="4" t="s">
        <v>514</v>
      </c>
      <c r="O49" s="4" t="s">
        <v>848</v>
      </c>
      <c r="P49" s="4" t="s">
        <v>42</v>
      </c>
      <c r="Q49" s="50" t="s">
        <v>43</v>
      </c>
      <c r="R49" s="50"/>
      <c r="S49" s="50" t="s">
        <v>847</v>
      </c>
      <c r="T49" s="4" t="s">
        <v>43</v>
      </c>
      <c r="U49" s="4"/>
    </row>
    <row r="50" spans="3:21" hidden="1" x14ac:dyDescent="0.25">
      <c r="C50" s="4" t="s">
        <v>936</v>
      </c>
      <c r="D50" s="4" t="s">
        <v>937</v>
      </c>
      <c r="E50" s="4" t="s">
        <v>938</v>
      </c>
      <c r="F50" s="4">
        <v>5.56</v>
      </c>
      <c r="G50" s="4" t="s">
        <v>376</v>
      </c>
      <c r="H50" s="4" t="s">
        <v>46</v>
      </c>
      <c r="I50" s="4" t="s">
        <v>1030</v>
      </c>
      <c r="J50" s="4" t="s">
        <v>160</v>
      </c>
      <c r="K50" s="4" t="s">
        <v>43</v>
      </c>
      <c r="L50" s="4" t="s">
        <v>138</v>
      </c>
      <c r="M50" s="4" t="s">
        <v>40</v>
      </c>
      <c r="N50" s="4" t="s">
        <v>378</v>
      </c>
      <c r="O50" s="4" t="s">
        <v>936</v>
      </c>
      <c r="P50" s="4" t="s">
        <v>42</v>
      </c>
      <c r="Q50" s="72" t="s">
        <v>43</v>
      </c>
      <c r="R50" s="72"/>
      <c r="S50" s="72" t="s">
        <v>931</v>
      </c>
      <c r="T50" s="4" t="s">
        <v>43</v>
      </c>
      <c r="U50" s="4"/>
    </row>
    <row r="51" spans="3:21" x14ac:dyDescent="0.25">
      <c r="C51" s="4" t="s">
        <v>939</v>
      </c>
      <c r="D51" s="4" t="s">
        <v>39</v>
      </c>
      <c r="E51" s="4" t="s">
        <v>39</v>
      </c>
      <c r="F51" s="4">
        <f>6.45+0.56</f>
        <v>7.01</v>
      </c>
      <c r="G51" s="4" t="s">
        <v>376</v>
      </c>
      <c r="H51" s="4" t="s">
        <v>46</v>
      </c>
      <c r="I51" s="4" t="s">
        <v>1030</v>
      </c>
      <c r="J51" s="4" t="s">
        <v>160</v>
      </c>
      <c r="K51" s="4" t="s">
        <v>43</v>
      </c>
      <c r="L51" s="4" t="s">
        <v>39</v>
      </c>
      <c r="M51" s="4" t="s">
        <v>40</v>
      </c>
      <c r="N51" s="4" t="s">
        <v>378</v>
      </c>
      <c r="O51" s="4" t="s">
        <v>939</v>
      </c>
      <c r="P51" s="4" t="s">
        <v>42</v>
      </c>
      <c r="Q51" s="72" t="s">
        <v>43</v>
      </c>
      <c r="R51" s="72"/>
      <c r="S51" s="72" t="s">
        <v>931</v>
      </c>
      <c r="T51" s="4" t="s">
        <v>43</v>
      </c>
      <c r="U51" s="4"/>
    </row>
    <row r="52" spans="3:21" hidden="1" x14ac:dyDescent="0.25">
      <c r="C52" s="4" t="s">
        <v>44</v>
      </c>
      <c r="D52" s="4" t="s">
        <v>45</v>
      </c>
      <c r="E52" s="4" t="s">
        <v>45</v>
      </c>
      <c r="F52" s="4" t="s">
        <v>36</v>
      </c>
      <c r="G52" s="4" t="s">
        <v>37</v>
      </c>
      <c r="H52" s="4" t="s">
        <v>46</v>
      </c>
      <c r="I52" s="4" t="s">
        <v>1030</v>
      </c>
      <c r="J52" s="4">
        <v>0</v>
      </c>
      <c r="K52" s="4"/>
      <c r="L52" s="4" t="s">
        <v>47</v>
      </c>
      <c r="M52" s="4" t="s">
        <v>40</v>
      </c>
      <c r="N52" s="4">
        <v>0</v>
      </c>
      <c r="O52" s="4" t="s">
        <v>44</v>
      </c>
      <c r="P52" s="4" t="s">
        <v>42</v>
      </c>
      <c r="Q52" s="50" t="s">
        <v>43</v>
      </c>
      <c r="R52" s="50"/>
      <c r="S52" s="50">
        <v>0</v>
      </c>
      <c r="T52" s="4" t="s">
        <v>43</v>
      </c>
      <c r="U52" s="4"/>
    </row>
    <row r="53" spans="3:21" hidden="1" x14ac:dyDescent="0.25">
      <c r="C53" s="4" t="s">
        <v>940</v>
      </c>
      <c r="D53" s="4" t="s">
        <v>941</v>
      </c>
      <c r="E53" s="4" t="s">
        <v>941</v>
      </c>
      <c r="F53" s="4">
        <v>10</v>
      </c>
      <c r="G53" s="4" t="s">
        <v>376</v>
      </c>
      <c r="H53" s="4" t="s">
        <v>46</v>
      </c>
      <c r="I53" s="4" t="s">
        <v>1030</v>
      </c>
      <c r="J53" s="4" t="s">
        <v>160</v>
      </c>
      <c r="K53" s="4" t="s">
        <v>43</v>
      </c>
      <c r="L53" s="4" t="s">
        <v>371</v>
      </c>
      <c r="M53" s="4" t="s">
        <v>40</v>
      </c>
      <c r="N53" s="4" t="s">
        <v>378</v>
      </c>
      <c r="O53" s="4" t="s">
        <v>940</v>
      </c>
      <c r="P53" s="4" t="s">
        <v>379</v>
      </c>
      <c r="Q53" s="72" t="s">
        <v>43</v>
      </c>
      <c r="R53" s="72"/>
      <c r="S53" s="72" t="s">
        <v>931</v>
      </c>
      <c r="T53" s="4" t="s">
        <v>43</v>
      </c>
      <c r="U53" s="4"/>
    </row>
    <row r="54" spans="3:21" hidden="1" x14ac:dyDescent="0.25">
      <c r="C54" s="4" t="s">
        <v>850</v>
      </c>
      <c r="D54" s="4" t="s">
        <v>851</v>
      </c>
      <c r="E54" s="4" t="s">
        <v>851</v>
      </c>
      <c r="F54" s="4">
        <v>6</v>
      </c>
      <c r="G54" s="4" t="s">
        <v>376</v>
      </c>
      <c r="H54" s="4" t="s">
        <v>46</v>
      </c>
      <c r="I54" s="4" t="s">
        <v>1030</v>
      </c>
      <c r="J54" s="4" t="s">
        <v>132</v>
      </c>
      <c r="K54" s="4" t="s">
        <v>43</v>
      </c>
      <c r="L54" s="4" t="s">
        <v>138</v>
      </c>
      <c r="M54" s="4" t="s">
        <v>40</v>
      </c>
      <c r="N54" s="4" t="s">
        <v>514</v>
      </c>
      <c r="O54" s="4" t="s">
        <v>850</v>
      </c>
      <c r="P54" s="4" t="s">
        <v>42</v>
      </c>
      <c r="Q54" s="50" t="s">
        <v>43</v>
      </c>
      <c r="R54" s="50"/>
      <c r="S54" s="50" t="s">
        <v>847</v>
      </c>
      <c r="T54" s="4" t="s">
        <v>43</v>
      </c>
      <c r="U54" s="4"/>
    </row>
    <row r="55" spans="3:21" hidden="1" x14ac:dyDescent="0.25">
      <c r="C55" s="4" t="s">
        <v>474</v>
      </c>
      <c r="D55" s="4" t="s">
        <v>475</v>
      </c>
      <c r="E55" s="4" t="s">
        <v>475</v>
      </c>
      <c r="F55" s="4">
        <v>6</v>
      </c>
      <c r="G55" s="4" t="s">
        <v>376</v>
      </c>
      <c r="H55" s="4" t="s">
        <v>46</v>
      </c>
      <c r="I55" s="4" t="s">
        <v>1030</v>
      </c>
      <c r="J55" s="4" t="s">
        <v>466</v>
      </c>
      <c r="K55" s="4" t="s">
        <v>43</v>
      </c>
      <c r="L55" s="4" t="s">
        <v>51</v>
      </c>
      <c r="M55" s="4" t="s">
        <v>40</v>
      </c>
      <c r="N55" s="4" t="s">
        <v>378</v>
      </c>
      <c r="O55" s="4" t="s">
        <v>474</v>
      </c>
      <c r="P55" s="4" t="s">
        <v>42</v>
      </c>
      <c r="Q55" s="50" t="s">
        <v>43</v>
      </c>
      <c r="R55" s="50"/>
      <c r="S55" s="50" t="s">
        <v>467</v>
      </c>
      <c r="T55" s="4" t="s">
        <v>43</v>
      </c>
      <c r="U55" s="4"/>
    </row>
    <row r="56" spans="3:21" hidden="1" x14ac:dyDescent="0.25">
      <c r="C56" s="4" t="s">
        <v>555</v>
      </c>
      <c r="D56" s="4" t="s">
        <v>556</v>
      </c>
      <c r="E56" s="4" t="s">
        <v>556</v>
      </c>
      <c r="F56" s="4">
        <v>5</v>
      </c>
      <c r="G56" s="4" t="s">
        <v>376</v>
      </c>
      <c r="H56" s="4" t="s">
        <v>46</v>
      </c>
      <c r="I56" s="4" t="s">
        <v>1030</v>
      </c>
      <c r="J56" s="4" t="s">
        <v>331</v>
      </c>
      <c r="K56" s="4" t="s">
        <v>43</v>
      </c>
      <c r="L56" s="4" t="s">
        <v>138</v>
      </c>
      <c r="M56" s="4" t="s">
        <v>40</v>
      </c>
      <c r="N56" s="4" t="s">
        <v>422</v>
      </c>
      <c r="O56" s="4" t="s">
        <v>555</v>
      </c>
      <c r="P56" s="4" t="s">
        <v>42</v>
      </c>
      <c r="Q56" s="50" t="s">
        <v>43</v>
      </c>
      <c r="R56" s="50"/>
      <c r="S56" s="50" t="s">
        <v>557</v>
      </c>
      <c r="T56" s="4" t="s">
        <v>43</v>
      </c>
      <c r="U56" s="4"/>
    </row>
    <row r="57" spans="3:21" hidden="1" x14ac:dyDescent="0.25">
      <c r="C57" s="4" t="s">
        <v>745</v>
      </c>
      <c r="D57" s="4" t="s">
        <v>746</v>
      </c>
      <c r="E57" s="4" t="s">
        <v>746</v>
      </c>
      <c r="F57" s="4">
        <v>9</v>
      </c>
      <c r="G57" s="4" t="s">
        <v>376</v>
      </c>
      <c r="H57" s="4" t="s">
        <v>46</v>
      </c>
      <c r="I57" s="4" t="s">
        <v>1031</v>
      </c>
      <c r="J57" s="4" t="s">
        <v>84</v>
      </c>
      <c r="K57" s="4" t="s">
        <v>440</v>
      </c>
      <c r="L57" s="4" t="s">
        <v>279</v>
      </c>
      <c r="M57" s="4" t="s">
        <v>55</v>
      </c>
      <c r="N57" s="4" t="s">
        <v>984</v>
      </c>
      <c r="O57" s="4" t="s">
        <v>745</v>
      </c>
      <c r="P57" s="4" t="s">
        <v>379</v>
      </c>
      <c r="Q57" s="50" t="s">
        <v>43</v>
      </c>
      <c r="R57" s="50"/>
      <c r="S57" s="50" t="s">
        <v>741</v>
      </c>
      <c r="T57" s="4" t="s">
        <v>43</v>
      </c>
      <c r="U57" s="4"/>
    </row>
    <row r="58" spans="3:21" hidden="1" x14ac:dyDescent="0.25">
      <c r="C58" s="4" t="s">
        <v>656</v>
      </c>
      <c r="D58" s="4" t="s">
        <v>657</v>
      </c>
      <c r="E58" s="4" t="s">
        <v>658</v>
      </c>
      <c r="F58" s="4">
        <v>5</v>
      </c>
      <c r="G58" s="4" t="s">
        <v>376</v>
      </c>
      <c r="H58" s="4" t="s">
        <v>46</v>
      </c>
      <c r="I58" s="4" t="s">
        <v>1030</v>
      </c>
      <c r="J58" s="4" t="s">
        <v>248</v>
      </c>
      <c r="K58" s="4" t="s">
        <v>43</v>
      </c>
      <c r="L58" s="4" t="s">
        <v>51</v>
      </c>
      <c r="M58" s="4" t="s">
        <v>40</v>
      </c>
      <c r="N58" s="4" t="s">
        <v>984</v>
      </c>
      <c r="O58" s="4" t="s">
        <v>656</v>
      </c>
      <c r="P58" s="4" t="s">
        <v>42</v>
      </c>
      <c r="Q58" s="50" t="s">
        <v>43</v>
      </c>
      <c r="R58" s="50"/>
      <c r="S58" s="50" t="s">
        <v>51</v>
      </c>
      <c r="T58" s="4" t="s">
        <v>43</v>
      </c>
      <c r="U58" s="4"/>
    </row>
    <row r="59" spans="3:21" hidden="1" x14ac:dyDescent="0.25">
      <c r="C59" s="4" t="s">
        <v>523</v>
      </c>
      <c r="D59" s="4" t="s">
        <v>524</v>
      </c>
      <c r="E59" s="4" t="s">
        <v>524</v>
      </c>
      <c r="F59" s="4">
        <v>6</v>
      </c>
      <c r="G59" s="4" t="s">
        <v>376</v>
      </c>
      <c r="H59" s="4" t="s">
        <v>46</v>
      </c>
      <c r="I59" s="4" t="s">
        <v>1030</v>
      </c>
      <c r="J59" s="4" t="s">
        <v>100</v>
      </c>
      <c r="K59" s="4" t="s">
        <v>43</v>
      </c>
      <c r="L59" s="4" t="s">
        <v>138</v>
      </c>
      <c r="M59" s="4" t="s">
        <v>40</v>
      </c>
      <c r="N59" s="4" t="s">
        <v>514</v>
      </c>
      <c r="O59" s="4" t="s">
        <v>523</v>
      </c>
      <c r="P59" s="4" t="s">
        <v>42</v>
      </c>
      <c r="Q59" s="50" t="s">
        <v>43</v>
      </c>
      <c r="R59" s="50"/>
      <c r="S59" s="50" t="s">
        <v>515</v>
      </c>
      <c r="T59" s="4" t="s">
        <v>43</v>
      </c>
      <c r="U59" s="4"/>
    </row>
    <row r="60" spans="3:21" hidden="1" x14ac:dyDescent="0.25">
      <c r="C60" s="4" t="s">
        <v>476</v>
      </c>
      <c r="D60" s="4" t="s">
        <v>477</v>
      </c>
      <c r="E60" s="4" t="s">
        <v>477</v>
      </c>
      <c r="F60" s="4">
        <v>5</v>
      </c>
      <c r="G60" s="4" t="s">
        <v>376</v>
      </c>
      <c r="H60" s="4" t="s">
        <v>46</v>
      </c>
      <c r="I60" s="4" t="s">
        <v>1030</v>
      </c>
      <c r="J60" s="4" t="s">
        <v>466</v>
      </c>
      <c r="K60" s="4" t="s">
        <v>43</v>
      </c>
      <c r="L60" s="4" t="s">
        <v>51</v>
      </c>
      <c r="M60" s="4" t="s">
        <v>40</v>
      </c>
      <c r="N60" s="4" t="s">
        <v>378</v>
      </c>
      <c r="O60" s="4" t="s">
        <v>476</v>
      </c>
      <c r="P60" s="4" t="s">
        <v>42</v>
      </c>
      <c r="Q60" s="50" t="s">
        <v>43</v>
      </c>
      <c r="R60" s="50"/>
      <c r="S60" s="50" t="s">
        <v>467</v>
      </c>
      <c r="T60" s="4" t="s">
        <v>43</v>
      </c>
      <c r="U60" s="4"/>
    </row>
    <row r="61" spans="3:21" hidden="1" x14ac:dyDescent="0.25">
      <c r="C61" s="4" t="s">
        <v>659</v>
      </c>
      <c r="D61" s="4" t="s">
        <v>660</v>
      </c>
      <c r="E61" s="4" t="s">
        <v>661</v>
      </c>
      <c r="F61" s="4">
        <v>6</v>
      </c>
      <c r="G61" s="4" t="s">
        <v>376</v>
      </c>
      <c r="H61" s="4" t="s">
        <v>46</v>
      </c>
      <c r="I61" s="4" t="s">
        <v>1030</v>
      </c>
      <c r="J61" s="4" t="s">
        <v>248</v>
      </c>
      <c r="K61" s="4" t="s">
        <v>43</v>
      </c>
      <c r="L61" s="4" t="s">
        <v>51</v>
      </c>
      <c r="M61" s="4" t="s">
        <v>40</v>
      </c>
      <c r="N61" s="4" t="s">
        <v>984</v>
      </c>
      <c r="O61" s="4" t="s">
        <v>659</v>
      </c>
      <c r="P61" s="4" t="s">
        <v>42</v>
      </c>
      <c r="Q61" s="50" t="s">
        <v>43</v>
      </c>
      <c r="R61" s="50"/>
      <c r="S61" s="50" t="s">
        <v>51</v>
      </c>
      <c r="T61" s="4" t="s">
        <v>43</v>
      </c>
      <c r="U61" s="4"/>
    </row>
    <row r="62" spans="3:21" hidden="1" x14ac:dyDescent="0.25">
      <c r="C62" s="4" t="s">
        <v>644</v>
      </c>
      <c r="D62" s="4" t="s">
        <v>645</v>
      </c>
      <c r="E62" s="4" t="s">
        <v>645</v>
      </c>
      <c r="F62" s="4">
        <v>6.16</v>
      </c>
      <c r="G62" s="4" t="s">
        <v>376</v>
      </c>
      <c r="H62" s="4" t="s">
        <v>81</v>
      </c>
      <c r="I62" s="4" t="s">
        <v>1030</v>
      </c>
      <c r="J62" s="4" t="s">
        <v>50</v>
      </c>
      <c r="K62" s="4" t="s">
        <v>43</v>
      </c>
      <c r="L62" s="4" t="s">
        <v>51</v>
      </c>
      <c r="M62" s="4" t="s">
        <v>40</v>
      </c>
      <c r="N62" s="4" t="s">
        <v>422</v>
      </c>
      <c r="O62" s="4" t="s">
        <v>644</v>
      </c>
      <c r="P62" s="4" t="s">
        <v>42</v>
      </c>
      <c r="Q62" s="50" t="s">
        <v>43</v>
      </c>
      <c r="R62" s="50"/>
      <c r="S62" s="50" t="s">
        <v>597</v>
      </c>
      <c r="T62" s="4" t="s">
        <v>43</v>
      </c>
      <c r="U62" s="4" t="s">
        <v>32</v>
      </c>
    </row>
    <row r="63" spans="3:21" hidden="1" x14ac:dyDescent="0.25">
      <c r="C63" s="4" t="s">
        <v>398</v>
      </c>
      <c r="D63" s="4" t="s">
        <v>399</v>
      </c>
      <c r="E63" s="4" t="s">
        <v>399</v>
      </c>
      <c r="F63" s="4">
        <v>5</v>
      </c>
      <c r="G63" s="4" t="s">
        <v>376</v>
      </c>
      <c r="H63" s="4" t="s">
        <v>46</v>
      </c>
      <c r="I63" s="4" t="s">
        <v>1031</v>
      </c>
      <c r="J63" s="4" t="s">
        <v>63</v>
      </c>
      <c r="K63" s="4" t="s">
        <v>43</v>
      </c>
      <c r="L63" s="4" t="s">
        <v>138</v>
      </c>
      <c r="M63" s="4" t="s">
        <v>40</v>
      </c>
      <c r="N63" s="4" t="s">
        <v>378</v>
      </c>
      <c r="O63" s="4" t="s">
        <v>398</v>
      </c>
      <c r="P63" s="4" t="s">
        <v>42</v>
      </c>
      <c r="Q63" s="50" t="s">
        <v>43</v>
      </c>
      <c r="R63" s="50"/>
      <c r="S63" s="50" t="s">
        <v>380</v>
      </c>
      <c r="T63" s="4" t="s">
        <v>43</v>
      </c>
      <c r="U63" s="4"/>
    </row>
    <row r="64" spans="3:21" hidden="1" x14ac:dyDescent="0.25">
      <c r="C64" s="4" t="s">
        <v>634</v>
      </c>
      <c r="D64" s="4" t="s">
        <v>635</v>
      </c>
      <c r="E64" s="4" t="s">
        <v>635</v>
      </c>
      <c r="F64" s="4">
        <v>6</v>
      </c>
      <c r="G64" s="4" t="s">
        <v>376</v>
      </c>
      <c r="H64" s="4" t="s">
        <v>46</v>
      </c>
      <c r="I64" s="4" t="s">
        <v>1030</v>
      </c>
      <c r="J64" s="4" t="s">
        <v>50</v>
      </c>
      <c r="K64" s="4" t="s">
        <v>43</v>
      </c>
      <c r="L64" s="4" t="s">
        <v>59</v>
      </c>
      <c r="M64" s="4" t="s">
        <v>40</v>
      </c>
      <c r="N64" s="4" t="s">
        <v>422</v>
      </c>
      <c r="O64" s="4" t="s">
        <v>634</v>
      </c>
      <c r="P64" s="4" t="s">
        <v>42</v>
      </c>
      <c r="Q64" s="50" t="s">
        <v>43</v>
      </c>
      <c r="R64" s="50"/>
      <c r="S64" s="50" t="s">
        <v>597</v>
      </c>
      <c r="T64" s="4" t="s">
        <v>43</v>
      </c>
      <c r="U64" s="4"/>
    </row>
    <row r="65" spans="3:22" hidden="1" x14ac:dyDescent="0.25">
      <c r="C65" s="4" t="s">
        <v>558</v>
      </c>
      <c r="D65" s="4" t="s">
        <v>559</v>
      </c>
      <c r="E65" s="4" t="s">
        <v>560</v>
      </c>
      <c r="F65" s="4">
        <v>6</v>
      </c>
      <c r="G65" s="4" t="s">
        <v>376</v>
      </c>
      <c r="H65" s="4" t="s">
        <v>46</v>
      </c>
      <c r="I65" s="4" t="s">
        <v>1030</v>
      </c>
      <c r="J65" s="4" t="s">
        <v>331</v>
      </c>
      <c r="K65" s="4" t="s">
        <v>43</v>
      </c>
      <c r="L65" s="4" t="s">
        <v>138</v>
      </c>
      <c r="M65" s="4" t="s">
        <v>40</v>
      </c>
      <c r="N65" s="4" t="s">
        <v>422</v>
      </c>
      <c r="O65" s="4" t="s">
        <v>558</v>
      </c>
      <c r="P65" s="4" t="s">
        <v>42</v>
      </c>
      <c r="Q65" s="50" t="s">
        <v>43</v>
      </c>
      <c r="R65" s="50"/>
      <c r="S65" s="50" t="s">
        <v>557</v>
      </c>
      <c r="T65" s="4" t="s">
        <v>43</v>
      </c>
      <c r="U65" s="4"/>
    </row>
    <row r="66" spans="3:22" hidden="1" x14ac:dyDescent="0.25">
      <c r="C66" s="4" t="s">
        <v>561</v>
      </c>
      <c r="D66" s="4" t="s">
        <v>562</v>
      </c>
      <c r="E66" s="4" t="s">
        <v>563</v>
      </c>
      <c r="F66" s="4">
        <v>6</v>
      </c>
      <c r="G66" s="4" t="s">
        <v>376</v>
      </c>
      <c r="H66" s="4" t="s">
        <v>46</v>
      </c>
      <c r="I66" s="4" t="s">
        <v>1030</v>
      </c>
      <c r="J66" s="4" t="s">
        <v>331</v>
      </c>
      <c r="K66" s="4" t="s">
        <v>43</v>
      </c>
      <c r="L66" s="4" t="s">
        <v>138</v>
      </c>
      <c r="M66" s="4" t="s">
        <v>40</v>
      </c>
      <c r="N66" s="4" t="s">
        <v>422</v>
      </c>
      <c r="O66" s="4" t="s">
        <v>561</v>
      </c>
      <c r="P66" s="4" t="s">
        <v>42</v>
      </c>
      <c r="Q66" s="50" t="s">
        <v>43</v>
      </c>
      <c r="R66" s="50"/>
      <c r="S66" s="50" t="s">
        <v>557</v>
      </c>
      <c r="T66" s="4" t="s">
        <v>43</v>
      </c>
      <c r="U66" s="4"/>
    </row>
    <row r="67" spans="3:22" hidden="1" x14ac:dyDescent="0.25">
      <c r="C67" s="4" t="s">
        <v>478</v>
      </c>
      <c r="D67" s="4" t="s">
        <v>479</v>
      </c>
      <c r="E67" s="4" t="s">
        <v>479</v>
      </c>
      <c r="F67" s="4">
        <v>5</v>
      </c>
      <c r="G67" s="4" t="s">
        <v>376</v>
      </c>
      <c r="H67" s="4" t="s">
        <v>46</v>
      </c>
      <c r="I67" s="4" t="s">
        <v>1030</v>
      </c>
      <c r="J67" s="4" t="s">
        <v>466</v>
      </c>
      <c r="K67" s="4" t="s">
        <v>43</v>
      </c>
      <c r="L67" s="4" t="s">
        <v>51</v>
      </c>
      <c r="M67" s="4" t="s">
        <v>40</v>
      </c>
      <c r="N67" s="4" t="s">
        <v>378</v>
      </c>
      <c r="O67" s="4" t="s">
        <v>478</v>
      </c>
      <c r="P67" s="4" t="s">
        <v>42</v>
      </c>
      <c r="Q67" s="50" t="s">
        <v>43</v>
      </c>
      <c r="R67" s="50"/>
      <c r="S67" s="50" t="s">
        <v>467</v>
      </c>
      <c r="T67" s="4" t="s">
        <v>43</v>
      </c>
      <c r="U67" s="4"/>
    </row>
    <row r="68" spans="3:22" hidden="1" x14ac:dyDescent="0.25">
      <c r="C68" s="4" t="s">
        <v>852</v>
      </c>
      <c r="D68" s="4" t="s">
        <v>853</v>
      </c>
      <c r="E68" s="4" t="s">
        <v>853</v>
      </c>
      <c r="F68" s="4">
        <v>5</v>
      </c>
      <c r="G68" s="4" t="s">
        <v>376</v>
      </c>
      <c r="H68" s="4" t="s">
        <v>46</v>
      </c>
      <c r="I68" s="4" t="s">
        <v>1030</v>
      </c>
      <c r="J68" s="4" t="s">
        <v>132</v>
      </c>
      <c r="K68" s="4" t="s">
        <v>43</v>
      </c>
      <c r="L68" s="4" t="s">
        <v>138</v>
      </c>
      <c r="M68" s="4" t="s">
        <v>40</v>
      </c>
      <c r="N68" s="4" t="s">
        <v>514</v>
      </c>
      <c r="O68" s="4" t="s">
        <v>852</v>
      </c>
      <c r="P68" s="4" t="s">
        <v>42</v>
      </c>
      <c r="Q68" s="50" t="s">
        <v>43</v>
      </c>
      <c r="R68" s="50"/>
      <c r="S68" s="50" t="s">
        <v>847</v>
      </c>
      <c r="T68" s="4" t="s">
        <v>43</v>
      </c>
      <c r="U68" s="4"/>
    </row>
    <row r="69" spans="3:22" hidden="1" x14ac:dyDescent="0.25">
      <c r="C69" s="4" t="s">
        <v>426</v>
      </c>
      <c r="D69" s="4" t="s">
        <v>427</v>
      </c>
      <c r="E69" s="4" t="s">
        <v>428</v>
      </c>
      <c r="F69" s="4">
        <v>5</v>
      </c>
      <c r="G69" s="4" t="s">
        <v>376</v>
      </c>
      <c r="H69" s="4" t="s">
        <v>46</v>
      </c>
      <c r="I69" s="4" t="s">
        <v>1030</v>
      </c>
      <c r="J69" s="4" t="s">
        <v>94</v>
      </c>
      <c r="K69" s="4" t="s">
        <v>43</v>
      </c>
      <c r="L69" s="4" t="s">
        <v>64</v>
      </c>
      <c r="M69" s="4" t="s">
        <v>40</v>
      </c>
      <c r="N69" s="4" t="s">
        <v>422</v>
      </c>
      <c r="O69" s="4" t="s">
        <v>426</v>
      </c>
      <c r="P69" s="4" t="s">
        <v>42</v>
      </c>
      <c r="Q69" s="50" t="s">
        <v>43</v>
      </c>
      <c r="R69" s="50"/>
      <c r="S69" s="50" t="s">
        <v>423</v>
      </c>
      <c r="T69" s="4" t="s">
        <v>43</v>
      </c>
      <c r="U69" s="4"/>
    </row>
    <row r="70" spans="3:22" hidden="1" x14ac:dyDescent="0.25">
      <c r="C70" s="4" t="s">
        <v>769</v>
      </c>
      <c r="D70" s="4" t="s">
        <v>771</v>
      </c>
      <c r="E70" s="4" t="s">
        <v>771</v>
      </c>
      <c r="F70" s="4">
        <v>5.04</v>
      </c>
      <c r="G70" s="4" t="s">
        <v>376</v>
      </c>
      <c r="H70" s="4" t="s">
        <v>46</v>
      </c>
      <c r="I70" s="4" t="s">
        <v>1031</v>
      </c>
      <c r="J70" s="4" t="s">
        <v>89</v>
      </c>
      <c r="K70" s="4"/>
      <c r="L70" s="4" t="s">
        <v>109</v>
      </c>
      <c r="M70" s="4" t="s">
        <v>91</v>
      </c>
      <c r="N70" s="4" t="s">
        <v>378</v>
      </c>
      <c r="O70" s="4" t="s">
        <v>769</v>
      </c>
      <c r="P70" s="4" t="s">
        <v>42</v>
      </c>
      <c r="Q70" s="50" t="s">
        <v>43</v>
      </c>
      <c r="R70" s="50"/>
      <c r="S70" s="50" t="s">
        <v>772</v>
      </c>
      <c r="T70" s="4" t="s">
        <v>43</v>
      </c>
      <c r="U70" s="4"/>
    </row>
    <row r="71" spans="3:22" hidden="1" x14ac:dyDescent="0.25">
      <c r="C71" s="4" t="s">
        <v>942</v>
      </c>
      <c r="D71" s="4" t="s">
        <v>944</v>
      </c>
      <c r="E71" s="4" t="s">
        <v>944</v>
      </c>
      <c r="F71" s="4">
        <f>5.04+0.56</f>
        <v>5.6</v>
      </c>
      <c r="G71" s="4" t="s">
        <v>376</v>
      </c>
      <c r="H71" s="4" t="s">
        <v>46</v>
      </c>
      <c r="I71" s="4" t="s">
        <v>1030</v>
      </c>
      <c r="J71" s="4" t="s">
        <v>160</v>
      </c>
      <c r="K71" s="4" t="s">
        <v>43</v>
      </c>
      <c r="L71" s="4" t="s">
        <v>371</v>
      </c>
      <c r="M71" s="4" t="s">
        <v>40</v>
      </c>
      <c r="N71" s="4" t="s">
        <v>378</v>
      </c>
      <c r="O71" s="4" t="s">
        <v>942</v>
      </c>
      <c r="P71" s="4" t="s">
        <v>42</v>
      </c>
      <c r="Q71" s="72" t="s">
        <v>43</v>
      </c>
      <c r="R71" s="72"/>
      <c r="S71" s="72" t="s">
        <v>931</v>
      </c>
      <c r="T71" s="4" t="s">
        <v>43</v>
      </c>
      <c r="U71" s="4" t="s">
        <v>32</v>
      </c>
    </row>
    <row r="72" spans="3:22" hidden="1" x14ac:dyDescent="0.25">
      <c r="C72" s="4" t="s">
        <v>525</v>
      </c>
      <c r="D72" s="4" t="s">
        <v>526</v>
      </c>
      <c r="E72" s="4" t="s">
        <v>527</v>
      </c>
      <c r="F72" s="4">
        <f>5.9+0.68</f>
        <v>6.58</v>
      </c>
      <c r="G72" s="4" t="s">
        <v>376</v>
      </c>
      <c r="H72" s="4" t="s">
        <v>46</v>
      </c>
      <c r="I72" s="4" t="s">
        <v>1030</v>
      </c>
      <c r="J72" s="4" t="s">
        <v>100</v>
      </c>
      <c r="K72" s="4" t="s">
        <v>43</v>
      </c>
      <c r="L72" s="4" t="s">
        <v>138</v>
      </c>
      <c r="M72" s="4" t="s">
        <v>40</v>
      </c>
      <c r="N72" s="4" t="s">
        <v>514</v>
      </c>
      <c r="O72" s="4" t="s">
        <v>525</v>
      </c>
      <c r="P72" s="4" t="s">
        <v>42</v>
      </c>
      <c r="Q72" s="50" t="s">
        <v>43</v>
      </c>
      <c r="R72" s="50"/>
      <c r="S72" s="50" t="s">
        <v>515</v>
      </c>
      <c r="T72" s="4" t="s">
        <v>43</v>
      </c>
      <c r="U72" s="4"/>
    </row>
    <row r="73" spans="3:22" hidden="1" x14ac:dyDescent="0.25">
      <c r="C73" s="4" t="s">
        <v>48</v>
      </c>
      <c r="D73" s="4" t="s">
        <v>49</v>
      </c>
      <c r="E73" s="4" t="s">
        <v>49</v>
      </c>
      <c r="F73" s="4" t="s">
        <v>36</v>
      </c>
      <c r="G73" s="4" t="s">
        <v>37</v>
      </c>
      <c r="H73" s="4" t="s">
        <v>38</v>
      </c>
      <c r="I73" s="4" t="s">
        <v>1030</v>
      </c>
      <c r="J73" s="4" t="s">
        <v>50</v>
      </c>
      <c r="K73" s="4"/>
      <c r="L73" s="4" t="s">
        <v>51</v>
      </c>
      <c r="M73" s="4" t="s">
        <v>40</v>
      </c>
      <c r="N73" s="4" t="s">
        <v>422</v>
      </c>
      <c r="O73" s="4" t="s">
        <v>48</v>
      </c>
      <c r="P73" s="4" t="s">
        <v>42</v>
      </c>
      <c r="Q73" s="50" t="s">
        <v>43</v>
      </c>
      <c r="R73" s="50"/>
      <c r="S73" s="50">
        <v>0</v>
      </c>
      <c r="T73" s="4" t="s">
        <v>43</v>
      </c>
      <c r="U73" s="4"/>
    </row>
    <row r="74" spans="3:22" hidden="1" x14ac:dyDescent="0.25">
      <c r="C74" s="4" t="s">
        <v>52</v>
      </c>
      <c r="D74" s="4" t="s">
        <v>53</v>
      </c>
      <c r="E74" s="4" t="s">
        <v>53</v>
      </c>
      <c r="F74" s="4" t="s">
        <v>36</v>
      </c>
      <c r="G74" s="4" t="s">
        <v>987</v>
      </c>
      <c r="H74" s="4" t="s">
        <v>38</v>
      </c>
      <c r="I74" s="4" t="s">
        <v>1030</v>
      </c>
      <c r="J74" s="4">
        <v>0</v>
      </c>
      <c r="K74" s="4"/>
      <c r="L74" s="4" t="s">
        <v>54</v>
      </c>
      <c r="M74" s="4" t="s">
        <v>55</v>
      </c>
      <c r="N74" s="4">
        <v>0</v>
      </c>
      <c r="O74" s="4" t="s">
        <v>52</v>
      </c>
      <c r="P74" s="4" t="s">
        <v>42</v>
      </c>
      <c r="Q74" s="50" t="s">
        <v>43</v>
      </c>
      <c r="R74" s="50"/>
      <c r="S74" s="50">
        <v>0</v>
      </c>
      <c r="T74" s="4" t="s">
        <v>43</v>
      </c>
      <c r="U74" s="4"/>
    </row>
    <row r="75" spans="3:22" hidden="1" x14ac:dyDescent="0.25">
      <c r="C75" s="4" t="s">
        <v>528</v>
      </c>
      <c r="D75" s="4" t="s">
        <v>530</v>
      </c>
      <c r="E75" s="4" t="s">
        <v>530</v>
      </c>
      <c r="F75" s="4">
        <v>6.28</v>
      </c>
      <c r="G75" s="4" t="s">
        <v>376</v>
      </c>
      <c r="H75" s="4" t="s">
        <v>46</v>
      </c>
      <c r="I75" s="4" t="s">
        <v>1030</v>
      </c>
      <c r="J75" s="4" t="s">
        <v>100</v>
      </c>
      <c r="K75" s="4" t="s">
        <v>43</v>
      </c>
      <c r="L75" s="4" t="s">
        <v>64</v>
      </c>
      <c r="M75" s="4" t="s">
        <v>40</v>
      </c>
      <c r="N75" s="4" t="s">
        <v>514</v>
      </c>
      <c r="O75" s="4" t="s">
        <v>528</v>
      </c>
      <c r="P75" s="4" t="s">
        <v>42</v>
      </c>
      <c r="Q75" s="50" t="s">
        <v>43</v>
      </c>
      <c r="R75" s="50"/>
      <c r="S75" s="50" t="s">
        <v>515</v>
      </c>
      <c r="T75" s="4" t="s">
        <v>43</v>
      </c>
      <c r="U75" s="4" t="s">
        <v>32</v>
      </c>
    </row>
    <row r="76" spans="3:22" hidden="1" x14ac:dyDescent="0.25">
      <c r="C76" s="4" t="s">
        <v>854</v>
      </c>
      <c r="D76" s="4" t="s">
        <v>982</v>
      </c>
      <c r="E76" s="4" t="s">
        <v>990</v>
      </c>
      <c r="F76" s="4">
        <v>6.45</v>
      </c>
      <c r="G76" s="4" t="s">
        <v>376</v>
      </c>
      <c r="H76" s="4" t="s">
        <v>46</v>
      </c>
      <c r="I76" s="4" t="s">
        <v>1030</v>
      </c>
      <c r="J76" s="4" t="s">
        <v>132</v>
      </c>
      <c r="K76" s="4" t="s">
        <v>43</v>
      </c>
      <c r="L76" s="4" t="s">
        <v>856</v>
      </c>
      <c r="M76" s="4" t="s">
        <v>40</v>
      </c>
      <c r="N76" s="4" t="s">
        <v>514</v>
      </c>
      <c r="O76" s="4" t="s">
        <v>854</v>
      </c>
      <c r="P76" s="4" t="s">
        <v>42</v>
      </c>
      <c r="Q76" s="50" t="s">
        <v>43</v>
      </c>
      <c r="R76" s="50"/>
      <c r="S76" s="50" t="s">
        <v>847</v>
      </c>
      <c r="T76" s="4" t="s">
        <v>43</v>
      </c>
      <c r="U76" s="4"/>
    </row>
    <row r="77" spans="3:22" hidden="1" x14ac:dyDescent="0.25">
      <c r="C77" s="4" t="s">
        <v>531</v>
      </c>
      <c r="D77" s="4" t="s">
        <v>533</v>
      </c>
      <c r="E77" s="4" t="s">
        <v>991</v>
      </c>
      <c r="F77" s="4">
        <v>5.45</v>
      </c>
      <c r="G77" s="4" t="s">
        <v>376</v>
      </c>
      <c r="H77" s="4" t="s">
        <v>46</v>
      </c>
      <c r="I77" s="4" t="s">
        <v>1030</v>
      </c>
      <c r="J77" s="4" t="s">
        <v>100</v>
      </c>
      <c r="K77" s="4" t="s">
        <v>43</v>
      </c>
      <c r="L77" s="4" t="s">
        <v>138</v>
      </c>
      <c r="M77" s="4" t="s">
        <v>40</v>
      </c>
      <c r="N77" s="4" t="s">
        <v>514</v>
      </c>
      <c r="O77" s="4" t="s">
        <v>531</v>
      </c>
      <c r="P77" s="4" t="s">
        <v>42</v>
      </c>
      <c r="Q77" s="50" t="s">
        <v>43</v>
      </c>
      <c r="R77" s="50"/>
      <c r="S77" s="50" t="s">
        <v>515</v>
      </c>
      <c r="T77" s="4" t="s">
        <v>43</v>
      </c>
      <c r="U77" s="4"/>
    </row>
    <row r="78" spans="3:22" hidden="1" x14ac:dyDescent="0.25">
      <c r="C78" s="4" t="s">
        <v>945</v>
      </c>
      <c r="D78" s="4" t="s">
        <v>946</v>
      </c>
      <c r="E78" s="4" t="s">
        <v>947</v>
      </c>
      <c r="F78" s="4">
        <v>6.45</v>
      </c>
      <c r="G78" s="4" t="s">
        <v>376</v>
      </c>
      <c r="H78" s="4" t="s">
        <v>46</v>
      </c>
      <c r="I78" s="4" t="s">
        <v>1030</v>
      </c>
      <c r="J78" s="4" t="s">
        <v>160</v>
      </c>
      <c r="K78" s="4" t="s">
        <v>43</v>
      </c>
      <c r="L78" s="4" t="s">
        <v>371</v>
      </c>
      <c r="M78" s="4" t="s">
        <v>40</v>
      </c>
      <c r="N78" s="4" t="s">
        <v>378</v>
      </c>
      <c r="O78" s="4" t="s">
        <v>945</v>
      </c>
      <c r="P78" s="4" t="s">
        <v>42</v>
      </c>
      <c r="Q78" s="50" t="s">
        <v>43</v>
      </c>
      <c r="R78" s="50"/>
      <c r="S78" s="50" t="s">
        <v>931</v>
      </c>
      <c r="T78" s="4" t="s">
        <v>43</v>
      </c>
      <c r="U78" s="4"/>
      <c r="V78" s="3"/>
    </row>
    <row r="79" spans="3:22" hidden="1" x14ac:dyDescent="0.25">
      <c r="C79" s="4" t="s">
        <v>773</v>
      </c>
      <c r="D79" s="4" t="s">
        <v>775</v>
      </c>
      <c r="E79" s="4" t="s">
        <v>775</v>
      </c>
      <c r="F79" s="4">
        <v>5.04</v>
      </c>
      <c r="G79" s="4" t="s">
        <v>376</v>
      </c>
      <c r="H79" s="4" t="s">
        <v>46</v>
      </c>
      <c r="I79" s="4" t="s">
        <v>1031</v>
      </c>
      <c r="J79" s="4" t="s">
        <v>89</v>
      </c>
      <c r="K79" s="4" t="s">
        <v>43</v>
      </c>
      <c r="L79" s="4" t="s">
        <v>776</v>
      </c>
      <c r="M79" s="4" t="s">
        <v>91</v>
      </c>
      <c r="N79" s="4" t="s">
        <v>378</v>
      </c>
      <c r="O79" s="4" t="s">
        <v>773</v>
      </c>
      <c r="P79" s="4" t="s">
        <v>42</v>
      </c>
      <c r="Q79" s="50" t="s">
        <v>43</v>
      </c>
      <c r="R79" s="50"/>
      <c r="S79" s="50" t="s">
        <v>772</v>
      </c>
      <c r="T79" s="4" t="s">
        <v>43</v>
      </c>
      <c r="U79" s="4" t="s">
        <v>32</v>
      </c>
    </row>
    <row r="80" spans="3:22" hidden="1" x14ac:dyDescent="0.25">
      <c r="C80" s="4" t="s">
        <v>662</v>
      </c>
      <c r="D80" s="4" t="s">
        <v>664</v>
      </c>
      <c r="E80" s="4" t="s">
        <v>992</v>
      </c>
      <c r="F80" s="4">
        <v>5.6</v>
      </c>
      <c r="G80" s="4" t="s">
        <v>376</v>
      </c>
      <c r="H80" s="4" t="s">
        <v>46</v>
      </c>
      <c r="I80" s="4" t="s">
        <v>1030</v>
      </c>
      <c r="J80" s="4" t="s">
        <v>248</v>
      </c>
      <c r="K80" s="4" t="s">
        <v>43</v>
      </c>
      <c r="L80" s="4" t="s">
        <v>51</v>
      </c>
      <c r="M80" s="4" t="s">
        <v>40</v>
      </c>
      <c r="N80" s="4" t="s">
        <v>984</v>
      </c>
      <c r="O80" s="4" t="s">
        <v>662</v>
      </c>
      <c r="P80" s="4" t="s">
        <v>42</v>
      </c>
      <c r="Q80" s="50" t="s">
        <v>43</v>
      </c>
      <c r="R80" s="50"/>
      <c r="S80" s="50" t="s">
        <v>51</v>
      </c>
      <c r="T80" s="4" t="s">
        <v>43</v>
      </c>
      <c r="U80" s="4" t="s">
        <v>32</v>
      </c>
    </row>
    <row r="81" spans="3:22" hidden="1" x14ac:dyDescent="0.25">
      <c r="C81" s="4" t="s">
        <v>56</v>
      </c>
      <c r="D81" s="4" t="s">
        <v>57</v>
      </c>
      <c r="E81" s="4" t="s">
        <v>57</v>
      </c>
      <c r="F81" s="4" t="s">
        <v>36</v>
      </c>
      <c r="G81" s="4" t="s">
        <v>37</v>
      </c>
      <c r="H81" s="4" t="s">
        <v>38</v>
      </c>
      <c r="I81" s="4" t="s">
        <v>1030</v>
      </c>
      <c r="J81" s="4" t="s">
        <v>58</v>
      </c>
      <c r="K81" s="4"/>
      <c r="L81" s="4" t="s">
        <v>59</v>
      </c>
      <c r="M81" s="4" t="s">
        <v>40</v>
      </c>
      <c r="N81" s="4" t="s">
        <v>378</v>
      </c>
      <c r="O81" s="4" t="s">
        <v>56</v>
      </c>
      <c r="P81" s="4" t="s">
        <v>42</v>
      </c>
      <c r="Q81" s="50" t="s">
        <v>43</v>
      </c>
      <c r="R81" s="50"/>
      <c r="S81" s="50">
        <v>0</v>
      </c>
      <c r="T81" s="4" t="s">
        <v>43</v>
      </c>
      <c r="U81" s="4"/>
    </row>
    <row r="82" spans="3:22" hidden="1" x14ac:dyDescent="0.25">
      <c r="C82" s="4" t="s">
        <v>534</v>
      </c>
      <c r="D82" s="4" t="s">
        <v>535</v>
      </c>
      <c r="E82" s="4" t="s">
        <v>536</v>
      </c>
      <c r="F82" s="4">
        <v>5.45</v>
      </c>
      <c r="G82" s="4" t="s">
        <v>376</v>
      </c>
      <c r="H82" s="4" t="s">
        <v>46</v>
      </c>
      <c r="I82" s="4" t="s">
        <v>1030</v>
      </c>
      <c r="J82" s="4" t="s">
        <v>100</v>
      </c>
      <c r="K82" s="4" t="s">
        <v>43</v>
      </c>
      <c r="L82" s="4" t="s">
        <v>138</v>
      </c>
      <c r="M82" s="4" t="s">
        <v>40</v>
      </c>
      <c r="N82" s="4" t="s">
        <v>514</v>
      </c>
      <c r="O82" s="4" t="s">
        <v>534</v>
      </c>
      <c r="P82" s="4" t="s">
        <v>42</v>
      </c>
      <c r="Q82" s="50" t="s">
        <v>43</v>
      </c>
      <c r="R82" s="50"/>
      <c r="S82" s="50" t="s">
        <v>515</v>
      </c>
      <c r="T82" s="4" t="s">
        <v>43</v>
      </c>
      <c r="U82" s="4"/>
    </row>
    <row r="83" spans="3:22" hidden="1" x14ac:dyDescent="0.25">
      <c r="C83" s="4" t="s">
        <v>636</v>
      </c>
      <c r="D83" s="4" t="s">
        <v>637</v>
      </c>
      <c r="E83" s="4" t="s">
        <v>638</v>
      </c>
      <c r="F83" s="4">
        <v>6</v>
      </c>
      <c r="G83" s="4" t="s">
        <v>376</v>
      </c>
      <c r="H83" s="4" t="s">
        <v>46</v>
      </c>
      <c r="I83" s="4" t="s">
        <v>1030</v>
      </c>
      <c r="J83" s="4" t="s">
        <v>50</v>
      </c>
      <c r="K83" s="4" t="s">
        <v>43</v>
      </c>
      <c r="L83" s="4" t="s">
        <v>315</v>
      </c>
      <c r="M83" s="4" t="s">
        <v>40</v>
      </c>
      <c r="N83" s="4" t="s">
        <v>422</v>
      </c>
      <c r="O83" s="4" t="s">
        <v>636</v>
      </c>
      <c r="P83" s="4" t="s">
        <v>42</v>
      </c>
      <c r="Q83" s="50" t="s">
        <v>43</v>
      </c>
      <c r="R83" s="50"/>
      <c r="S83" s="50" t="s">
        <v>597</v>
      </c>
      <c r="T83" s="4" t="s">
        <v>43</v>
      </c>
      <c r="U83" s="4"/>
    </row>
    <row r="84" spans="3:22" hidden="1" x14ac:dyDescent="0.25">
      <c r="C84" s="4" t="s">
        <v>857</v>
      </c>
      <c r="D84" s="4" t="s">
        <v>859</v>
      </c>
      <c r="E84" s="4" t="s">
        <v>993</v>
      </c>
      <c r="F84" s="44">
        <v>5.9</v>
      </c>
      <c r="G84" s="4" t="s">
        <v>1033</v>
      </c>
      <c r="H84" s="4" t="s">
        <v>46</v>
      </c>
      <c r="I84" s="4" t="s">
        <v>1030</v>
      </c>
      <c r="J84" s="4" t="s">
        <v>132</v>
      </c>
      <c r="K84" s="4" t="s">
        <v>43</v>
      </c>
      <c r="L84" s="4" t="s">
        <v>138</v>
      </c>
      <c r="M84" s="4" t="s">
        <v>40</v>
      </c>
      <c r="N84" s="4" t="s">
        <v>514</v>
      </c>
      <c r="O84" s="4" t="s">
        <v>857</v>
      </c>
      <c r="P84" s="4" t="s">
        <v>42</v>
      </c>
      <c r="Q84" s="50" t="s">
        <v>43</v>
      </c>
      <c r="R84" s="50"/>
      <c r="S84" s="50" t="s">
        <v>847</v>
      </c>
      <c r="T84" s="4" t="s">
        <v>43</v>
      </c>
      <c r="U84" s="4"/>
      <c r="V84" s="48" t="s">
        <v>860</v>
      </c>
    </row>
    <row r="85" spans="3:22" hidden="1" x14ac:dyDescent="0.25">
      <c r="C85" s="4" t="s">
        <v>747</v>
      </c>
      <c r="D85" s="4" t="s">
        <v>994</v>
      </c>
      <c r="E85" s="4" t="s">
        <v>749</v>
      </c>
      <c r="F85" s="4">
        <v>6.9</v>
      </c>
      <c r="G85" s="4" t="s">
        <v>376</v>
      </c>
      <c r="H85" s="4" t="s">
        <v>46</v>
      </c>
      <c r="I85" s="4" t="s">
        <v>1031</v>
      </c>
      <c r="J85" s="4" t="s">
        <v>84</v>
      </c>
      <c r="K85" s="4" t="s">
        <v>440</v>
      </c>
      <c r="L85" s="4" t="s">
        <v>54</v>
      </c>
      <c r="M85" s="4" t="s">
        <v>55</v>
      </c>
      <c r="N85" s="4" t="s">
        <v>984</v>
      </c>
      <c r="O85" s="4" t="s">
        <v>747</v>
      </c>
      <c r="P85" s="4" t="s">
        <v>42</v>
      </c>
      <c r="Q85" s="50" t="s">
        <v>43</v>
      </c>
      <c r="R85" s="50"/>
      <c r="S85" s="50" t="s">
        <v>741</v>
      </c>
      <c r="T85" s="4" t="s">
        <v>43</v>
      </c>
      <c r="U85" s="4"/>
    </row>
    <row r="86" spans="3:22" hidden="1" x14ac:dyDescent="0.25">
      <c r="C86" s="4" t="s">
        <v>564</v>
      </c>
      <c r="D86" s="4" t="s">
        <v>565</v>
      </c>
      <c r="E86" s="4" t="s">
        <v>566</v>
      </c>
      <c r="F86" s="4">
        <v>5.9</v>
      </c>
      <c r="G86" s="4" t="s">
        <v>1032</v>
      </c>
      <c r="H86" s="4" t="s">
        <v>46</v>
      </c>
      <c r="I86" s="4" t="s">
        <v>1030</v>
      </c>
      <c r="J86" s="4" t="s">
        <v>331</v>
      </c>
      <c r="K86" s="4"/>
      <c r="L86" s="4" t="s">
        <v>138</v>
      </c>
      <c r="M86" s="4" t="s">
        <v>40</v>
      </c>
      <c r="N86" s="4" t="s">
        <v>422</v>
      </c>
      <c r="O86" s="4" t="s">
        <v>564</v>
      </c>
      <c r="P86" s="4" t="s">
        <v>42</v>
      </c>
      <c r="Q86" s="50" t="s">
        <v>43</v>
      </c>
      <c r="R86" s="50"/>
      <c r="S86" s="50" t="s">
        <v>557</v>
      </c>
      <c r="T86" s="4" t="s">
        <v>43</v>
      </c>
      <c r="U86" s="4"/>
    </row>
    <row r="87" spans="3:22" hidden="1" x14ac:dyDescent="0.25">
      <c r="C87" s="4" t="s">
        <v>709</v>
      </c>
      <c r="D87" s="4" t="s">
        <v>710</v>
      </c>
      <c r="E87" s="4" t="s">
        <v>711</v>
      </c>
      <c r="F87" s="4">
        <v>8</v>
      </c>
      <c r="G87" s="4" t="s">
        <v>376</v>
      </c>
      <c r="H87" s="4" t="s">
        <v>46</v>
      </c>
      <c r="I87" s="4" t="s">
        <v>1031</v>
      </c>
      <c r="J87" s="4" t="s">
        <v>84</v>
      </c>
      <c r="K87" s="4" t="s">
        <v>440</v>
      </c>
      <c r="L87" s="4" t="s">
        <v>54</v>
      </c>
      <c r="M87" s="4" t="s">
        <v>55</v>
      </c>
      <c r="N87" s="4" t="s">
        <v>984</v>
      </c>
      <c r="O87" s="4" t="s">
        <v>709</v>
      </c>
      <c r="P87" s="4" t="s">
        <v>379</v>
      </c>
      <c r="Q87" s="50" t="s">
        <v>43</v>
      </c>
      <c r="R87" s="50"/>
      <c r="S87" s="50" t="s">
        <v>702</v>
      </c>
      <c r="T87" s="4" t="s">
        <v>43</v>
      </c>
      <c r="U87" s="4"/>
    </row>
    <row r="88" spans="3:22" hidden="1" x14ac:dyDescent="0.25">
      <c r="C88" s="4" t="s">
        <v>60</v>
      </c>
      <c r="D88" s="4" t="s">
        <v>61</v>
      </c>
      <c r="E88" s="4" t="s">
        <v>62</v>
      </c>
      <c r="F88" s="4" t="s">
        <v>36</v>
      </c>
      <c r="G88" s="4" t="s">
        <v>37</v>
      </c>
      <c r="H88" s="4" t="s">
        <v>38</v>
      </c>
      <c r="I88" s="4" t="s">
        <v>1030</v>
      </c>
      <c r="J88" s="4" t="s">
        <v>63</v>
      </c>
      <c r="K88" s="4"/>
      <c r="L88" s="4" t="s">
        <v>64</v>
      </c>
      <c r="M88" s="4" t="s">
        <v>40</v>
      </c>
      <c r="N88" s="4" t="s">
        <v>378</v>
      </c>
      <c r="O88" s="4" t="s">
        <v>60</v>
      </c>
      <c r="P88" s="4" t="s">
        <v>42</v>
      </c>
      <c r="Q88" s="50" t="s">
        <v>43</v>
      </c>
      <c r="R88" s="50"/>
      <c r="S88" s="50">
        <v>0</v>
      </c>
      <c r="T88" s="4" t="s">
        <v>43</v>
      </c>
      <c r="U88" s="4"/>
    </row>
    <row r="89" spans="3:22" hidden="1" x14ac:dyDescent="0.25">
      <c r="C89" s="4" t="s">
        <v>861</v>
      </c>
      <c r="D89" s="4" t="s">
        <v>983</v>
      </c>
      <c r="E89" s="4" t="s">
        <v>995</v>
      </c>
      <c r="F89" s="4">
        <v>7.9</v>
      </c>
      <c r="G89" s="4" t="s">
        <v>376</v>
      </c>
      <c r="H89" s="4" t="s">
        <v>46</v>
      </c>
      <c r="I89" s="4" t="s">
        <v>1030</v>
      </c>
      <c r="J89" s="4" t="s">
        <v>132</v>
      </c>
      <c r="K89" s="4" t="s">
        <v>43</v>
      </c>
      <c r="L89" s="4" t="s">
        <v>856</v>
      </c>
      <c r="M89" s="4" t="s">
        <v>40</v>
      </c>
      <c r="N89" s="4" t="s">
        <v>514</v>
      </c>
      <c r="O89" s="4" t="s">
        <v>861</v>
      </c>
      <c r="P89" s="4" t="s">
        <v>379</v>
      </c>
      <c r="Q89" s="50" t="s">
        <v>43</v>
      </c>
      <c r="R89" s="50"/>
      <c r="S89" s="50" t="s">
        <v>847</v>
      </c>
      <c r="T89" s="4" t="s">
        <v>43</v>
      </c>
      <c r="U89" s="4"/>
    </row>
    <row r="90" spans="3:22" hidden="1" x14ac:dyDescent="0.25">
      <c r="C90" s="4" t="s">
        <v>616</v>
      </c>
      <c r="D90" s="4" t="s">
        <v>617</v>
      </c>
      <c r="E90" s="4" t="s">
        <v>617</v>
      </c>
      <c r="F90" s="4">
        <v>5.45</v>
      </c>
      <c r="G90" s="4" t="s">
        <v>376</v>
      </c>
      <c r="H90" s="4" t="s">
        <v>46</v>
      </c>
      <c r="I90" s="4" t="s">
        <v>1030</v>
      </c>
      <c r="J90" s="4" t="s">
        <v>50</v>
      </c>
      <c r="K90" s="4" t="s">
        <v>43</v>
      </c>
      <c r="L90" s="4" t="s">
        <v>138</v>
      </c>
      <c r="M90" s="4" t="s">
        <v>40</v>
      </c>
      <c r="N90" s="4" t="s">
        <v>422</v>
      </c>
      <c r="O90" s="4" t="s">
        <v>616</v>
      </c>
      <c r="P90" s="4" t="s">
        <v>42</v>
      </c>
      <c r="Q90" s="50" t="s">
        <v>43</v>
      </c>
      <c r="R90" s="50"/>
      <c r="S90" s="50" t="s">
        <v>597</v>
      </c>
      <c r="T90" s="4" t="s">
        <v>43</v>
      </c>
      <c r="U90" s="4"/>
    </row>
    <row r="91" spans="3:22" hidden="1" x14ac:dyDescent="0.25">
      <c r="C91" s="4" t="s">
        <v>891</v>
      </c>
      <c r="D91" s="4" t="s">
        <v>892</v>
      </c>
      <c r="E91" s="4" t="s">
        <v>893</v>
      </c>
      <c r="F91" s="4">
        <v>5</v>
      </c>
      <c r="G91" s="4" t="s">
        <v>376</v>
      </c>
      <c r="H91" s="4" t="s">
        <v>46</v>
      </c>
      <c r="I91" s="4" t="s">
        <v>1030</v>
      </c>
      <c r="J91" s="4" t="s">
        <v>73</v>
      </c>
      <c r="K91" s="4" t="s">
        <v>43</v>
      </c>
      <c r="L91" s="4" t="s">
        <v>47</v>
      </c>
      <c r="M91" s="4" t="s">
        <v>40</v>
      </c>
      <c r="N91" s="4" t="s">
        <v>514</v>
      </c>
      <c r="O91" s="4" t="s">
        <v>891</v>
      </c>
      <c r="P91" s="4" t="s">
        <v>42</v>
      </c>
      <c r="Q91" s="50" t="s">
        <v>43</v>
      </c>
      <c r="R91" s="50"/>
      <c r="S91" s="50" t="s">
        <v>886</v>
      </c>
      <c r="T91" s="4" t="s">
        <v>43</v>
      </c>
      <c r="U91" s="4"/>
    </row>
    <row r="92" spans="3:22" hidden="1" x14ac:dyDescent="0.25">
      <c r="C92" s="4" t="s">
        <v>65</v>
      </c>
      <c r="D92" s="4" t="s">
        <v>66</v>
      </c>
      <c r="E92" s="4" t="s">
        <v>66</v>
      </c>
      <c r="F92" s="4" t="s">
        <v>36</v>
      </c>
      <c r="G92" s="4" t="s">
        <v>37</v>
      </c>
      <c r="H92" s="4" t="s">
        <v>38</v>
      </c>
      <c r="I92" s="4" t="s">
        <v>1030</v>
      </c>
      <c r="J92" s="4" t="s">
        <v>67</v>
      </c>
      <c r="K92" s="4"/>
      <c r="L92" s="4" t="s">
        <v>59</v>
      </c>
      <c r="M92" s="4" t="s">
        <v>40</v>
      </c>
      <c r="N92" s="4">
        <v>0</v>
      </c>
      <c r="O92" s="4" t="s">
        <v>65</v>
      </c>
      <c r="P92" s="4" t="s">
        <v>42</v>
      </c>
      <c r="Q92" s="50" t="s">
        <v>43</v>
      </c>
      <c r="R92" s="50"/>
      <c r="S92" s="50">
        <v>0</v>
      </c>
      <c r="T92" s="4" t="s">
        <v>43</v>
      </c>
      <c r="U92" s="4"/>
    </row>
    <row r="93" spans="3:22" hidden="1" x14ac:dyDescent="0.25">
      <c r="C93" s="4" t="s">
        <v>777</v>
      </c>
      <c r="D93" s="4" t="s">
        <v>779</v>
      </c>
      <c r="E93" s="4" t="s">
        <v>779</v>
      </c>
      <c r="F93" s="4">
        <v>6</v>
      </c>
      <c r="G93" s="4" t="s">
        <v>376</v>
      </c>
      <c r="H93" s="4" t="s">
        <v>46</v>
      </c>
      <c r="I93" s="4" t="s">
        <v>1031</v>
      </c>
      <c r="J93" s="4" t="s">
        <v>89</v>
      </c>
      <c r="K93" s="4"/>
      <c r="L93" s="4" t="s">
        <v>90</v>
      </c>
      <c r="M93" s="4" t="s">
        <v>91</v>
      </c>
      <c r="N93" s="4" t="s">
        <v>378</v>
      </c>
      <c r="O93" s="4" t="s">
        <v>777</v>
      </c>
      <c r="P93" s="4" t="s">
        <v>42</v>
      </c>
      <c r="Q93" s="50" t="s">
        <v>43</v>
      </c>
      <c r="R93" s="50"/>
      <c r="S93" s="50" t="s">
        <v>772</v>
      </c>
      <c r="T93" s="4" t="s">
        <v>43</v>
      </c>
      <c r="U93" s="4"/>
      <c r="V93" s="2"/>
    </row>
    <row r="94" spans="3:22" hidden="1" x14ac:dyDescent="0.25">
      <c r="C94" s="4" t="s">
        <v>480</v>
      </c>
      <c r="D94" s="4" t="s">
        <v>481</v>
      </c>
      <c r="E94" s="4" t="s">
        <v>482</v>
      </c>
      <c r="F94" s="4">
        <v>5</v>
      </c>
      <c r="G94" s="4" t="s">
        <v>376</v>
      </c>
      <c r="H94" s="4" t="s">
        <v>46</v>
      </c>
      <c r="I94" s="4" t="s">
        <v>1030</v>
      </c>
      <c r="J94" s="4" t="s">
        <v>466</v>
      </c>
      <c r="K94" s="4" t="s">
        <v>43</v>
      </c>
      <c r="L94" s="4" t="s">
        <v>51</v>
      </c>
      <c r="M94" s="4" t="s">
        <v>40</v>
      </c>
      <c r="N94" s="4" t="s">
        <v>378</v>
      </c>
      <c r="O94" s="4" t="s">
        <v>480</v>
      </c>
      <c r="P94" s="4" t="s">
        <v>42</v>
      </c>
      <c r="Q94" s="50" t="s">
        <v>43</v>
      </c>
      <c r="R94" s="50"/>
      <c r="S94" s="50" t="s">
        <v>467</v>
      </c>
      <c r="T94" s="4" t="s">
        <v>43</v>
      </c>
      <c r="U94" s="4"/>
    </row>
    <row r="95" spans="3:22" hidden="1" x14ac:dyDescent="0.25">
      <c r="C95" s="4" t="s">
        <v>807</v>
      </c>
      <c r="D95" s="4" t="s">
        <v>808</v>
      </c>
      <c r="E95" s="4" t="s">
        <v>809</v>
      </c>
      <c r="F95" s="4">
        <v>7</v>
      </c>
      <c r="G95" s="4" t="s">
        <v>376</v>
      </c>
      <c r="H95" s="4" t="s">
        <v>46</v>
      </c>
      <c r="I95" s="4" t="s">
        <v>1030</v>
      </c>
      <c r="J95" s="4" t="s">
        <v>146</v>
      </c>
      <c r="K95" s="4" t="s">
        <v>440</v>
      </c>
      <c r="L95" s="4" t="s">
        <v>59</v>
      </c>
      <c r="M95" s="4" t="s">
        <v>40</v>
      </c>
      <c r="N95" s="4" t="s">
        <v>984</v>
      </c>
      <c r="O95" s="4" t="s">
        <v>807</v>
      </c>
      <c r="P95" s="4" t="s">
        <v>42</v>
      </c>
      <c r="Q95" s="50" t="s">
        <v>43</v>
      </c>
      <c r="R95" s="50"/>
      <c r="S95" s="50" t="s">
        <v>799</v>
      </c>
      <c r="T95" s="4" t="s">
        <v>43</v>
      </c>
      <c r="U95" s="4"/>
    </row>
    <row r="96" spans="3:22" hidden="1" x14ac:dyDescent="0.25">
      <c r="C96" s="4" t="s">
        <v>400</v>
      </c>
      <c r="D96" s="4" t="s">
        <v>401</v>
      </c>
      <c r="E96" s="4" t="s">
        <v>401</v>
      </c>
      <c r="F96" s="4">
        <v>5.45</v>
      </c>
      <c r="G96" s="4" t="s">
        <v>376</v>
      </c>
      <c r="H96" s="4" t="s">
        <v>46</v>
      </c>
      <c r="I96" s="4" t="s">
        <v>1031</v>
      </c>
      <c r="J96" s="4" t="s">
        <v>63</v>
      </c>
      <c r="K96" s="4" t="s">
        <v>43</v>
      </c>
      <c r="L96" s="4" t="s">
        <v>138</v>
      </c>
      <c r="M96" s="4" t="s">
        <v>40</v>
      </c>
      <c r="N96" s="4" t="s">
        <v>378</v>
      </c>
      <c r="O96" s="4" t="s">
        <v>400</v>
      </c>
      <c r="P96" s="4" t="s">
        <v>42</v>
      </c>
      <c r="Q96" s="50" t="s">
        <v>43</v>
      </c>
      <c r="R96" s="50"/>
      <c r="S96" s="50" t="s">
        <v>380</v>
      </c>
      <c r="T96" s="4" t="s">
        <v>43</v>
      </c>
      <c r="U96" s="4"/>
    </row>
    <row r="97" spans="3:21" hidden="1" x14ac:dyDescent="0.25">
      <c r="C97" s="4" t="s">
        <v>402</v>
      </c>
      <c r="D97" s="4" t="s">
        <v>403</v>
      </c>
      <c r="E97" s="4" t="s">
        <v>403</v>
      </c>
      <c r="F97" s="4">
        <v>5.45</v>
      </c>
      <c r="G97" s="4" t="s">
        <v>376</v>
      </c>
      <c r="H97" s="4" t="s">
        <v>46</v>
      </c>
      <c r="I97" s="4" t="s">
        <v>1031</v>
      </c>
      <c r="J97" s="4" t="s">
        <v>63</v>
      </c>
      <c r="K97" s="4" t="s">
        <v>43</v>
      </c>
      <c r="L97" s="4" t="s">
        <v>138</v>
      </c>
      <c r="M97" s="4" t="s">
        <v>40</v>
      </c>
      <c r="N97" s="4" t="s">
        <v>378</v>
      </c>
      <c r="O97" s="4" t="s">
        <v>402</v>
      </c>
      <c r="P97" s="4" t="s">
        <v>42</v>
      </c>
      <c r="Q97" s="50" t="s">
        <v>43</v>
      </c>
      <c r="R97" s="50"/>
      <c r="S97" s="50" t="s">
        <v>380</v>
      </c>
      <c r="T97" s="4" t="s">
        <v>43</v>
      </c>
      <c r="U97" s="4"/>
    </row>
    <row r="98" spans="3:21" hidden="1" x14ac:dyDescent="0.25">
      <c r="C98" s="4" t="s">
        <v>665</v>
      </c>
      <c r="D98" s="4" t="s">
        <v>666</v>
      </c>
      <c r="E98" s="4" t="s">
        <v>666</v>
      </c>
      <c r="F98" s="4">
        <v>6</v>
      </c>
      <c r="G98" s="4" t="s">
        <v>376</v>
      </c>
      <c r="H98" s="4" t="s">
        <v>46</v>
      </c>
      <c r="I98" s="4" t="s">
        <v>1030</v>
      </c>
      <c r="J98" s="4" t="s">
        <v>248</v>
      </c>
      <c r="K98" s="4" t="s">
        <v>43</v>
      </c>
      <c r="L98" s="4" t="s">
        <v>51</v>
      </c>
      <c r="M98" s="4" t="s">
        <v>40</v>
      </c>
      <c r="N98" s="4" t="s">
        <v>984</v>
      </c>
      <c r="O98" s="4" t="s">
        <v>665</v>
      </c>
      <c r="P98" s="4" t="s">
        <v>42</v>
      </c>
      <c r="Q98" s="50" t="s">
        <v>43</v>
      </c>
      <c r="R98" s="50"/>
      <c r="S98" s="50" t="s">
        <v>51</v>
      </c>
      <c r="T98" s="4" t="s">
        <v>43</v>
      </c>
      <c r="U98" s="4"/>
    </row>
    <row r="99" spans="3:21" hidden="1" x14ac:dyDescent="0.25">
      <c r="C99" s="4" t="s">
        <v>404</v>
      </c>
      <c r="D99" s="4" t="s">
        <v>405</v>
      </c>
      <c r="E99" s="4" t="s">
        <v>405</v>
      </c>
      <c r="F99" s="4">
        <v>5</v>
      </c>
      <c r="G99" s="4" t="s">
        <v>376</v>
      </c>
      <c r="H99" s="4" t="s">
        <v>46</v>
      </c>
      <c r="I99" s="4" t="s">
        <v>1031</v>
      </c>
      <c r="J99" s="4" t="s">
        <v>63</v>
      </c>
      <c r="K99" s="4" t="s">
        <v>43</v>
      </c>
      <c r="L99" s="4" t="s">
        <v>138</v>
      </c>
      <c r="M99" s="4" t="s">
        <v>40</v>
      </c>
      <c r="N99" s="4" t="s">
        <v>378</v>
      </c>
      <c r="O99" s="4" t="s">
        <v>404</v>
      </c>
      <c r="P99" s="4" t="s">
        <v>42</v>
      </c>
      <c r="Q99" s="50" t="s">
        <v>43</v>
      </c>
      <c r="R99" s="50"/>
      <c r="S99" s="50" t="s">
        <v>380</v>
      </c>
      <c r="T99" s="4" t="s">
        <v>43</v>
      </c>
      <c r="U99" s="4"/>
    </row>
    <row r="100" spans="3:21" hidden="1" x14ac:dyDescent="0.25">
      <c r="C100" s="4" t="s">
        <v>948</v>
      </c>
      <c r="D100" s="4" t="s">
        <v>949</v>
      </c>
      <c r="E100" s="4" t="s">
        <v>949</v>
      </c>
      <c r="F100" s="4">
        <v>5.45</v>
      </c>
      <c r="G100" s="4" t="s">
        <v>376</v>
      </c>
      <c r="H100" s="4" t="s">
        <v>46</v>
      </c>
      <c r="I100" s="4" t="s">
        <v>1030</v>
      </c>
      <c r="J100" s="4" t="s">
        <v>160</v>
      </c>
      <c r="K100" s="4" t="s">
        <v>43</v>
      </c>
      <c r="L100" s="4" t="s">
        <v>353</v>
      </c>
      <c r="M100" s="4" t="s">
        <v>40</v>
      </c>
      <c r="N100" s="4" t="s">
        <v>378</v>
      </c>
      <c r="O100" s="4" t="s">
        <v>948</v>
      </c>
      <c r="P100" s="50" t="s">
        <v>42</v>
      </c>
      <c r="Q100" s="50" t="s">
        <v>43</v>
      </c>
      <c r="R100" s="50"/>
      <c r="S100" s="4" t="s">
        <v>931</v>
      </c>
      <c r="T100" s="48" t="s">
        <v>43</v>
      </c>
      <c r="U100" s="4"/>
    </row>
    <row r="101" spans="3:21" hidden="1" x14ac:dyDescent="0.25">
      <c r="C101" s="4" t="s">
        <v>667</v>
      </c>
      <c r="D101" s="4" t="s">
        <v>668</v>
      </c>
      <c r="E101" s="4" t="s">
        <v>668</v>
      </c>
      <c r="F101" s="4">
        <v>6</v>
      </c>
      <c r="G101" s="4" t="s">
        <v>376</v>
      </c>
      <c r="H101" s="4" t="s">
        <v>46</v>
      </c>
      <c r="I101" s="4" t="s">
        <v>1030</v>
      </c>
      <c r="J101" s="4" t="s">
        <v>248</v>
      </c>
      <c r="K101" s="4" t="s">
        <v>43</v>
      </c>
      <c r="L101" s="4" t="s">
        <v>51</v>
      </c>
      <c r="M101" s="4" t="s">
        <v>40</v>
      </c>
      <c r="N101" s="4" t="s">
        <v>984</v>
      </c>
      <c r="O101" s="4" t="s">
        <v>667</v>
      </c>
      <c r="P101" s="4" t="s">
        <v>42</v>
      </c>
      <c r="Q101" s="50" t="s">
        <v>43</v>
      </c>
      <c r="R101" s="50"/>
      <c r="S101" s="50" t="s">
        <v>51</v>
      </c>
      <c r="T101" s="4" t="s">
        <v>43</v>
      </c>
      <c r="U101" s="4"/>
    </row>
    <row r="102" spans="3:21" hidden="1" x14ac:dyDescent="0.25">
      <c r="C102" s="4" t="s">
        <v>669</v>
      </c>
      <c r="D102" s="4" t="s">
        <v>670</v>
      </c>
      <c r="E102" s="4" t="s">
        <v>670</v>
      </c>
      <c r="F102" s="4">
        <v>5.45</v>
      </c>
      <c r="G102" s="4" t="s">
        <v>376</v>
      </c>
      <c r="H102" s="4" t="s">
        <v>46</v>
      </c>
      <c r="I102" s="4" t="s">
        <v>1030</v>
      </c>
      <c r="J102" s="4" t="s">
        <v>248</v>
      </c>
      <c r="K102" s="4" t="s">
        <v>43</v>
      </c>
      <c r="L102" s="4" t="s">
        <v>51</v>
      </c>
      <c r="M102" s="4" t="s">
        <v>40</v>
      </c>
      <c r="N102" s="4" t="s">
        <v>984</v>
      </c>
      <c r="O102" s="4" t="s">
        <v>669</v>
      </c>
      <c r="P102" s="4" t="s">
        <v>42</v>
      </c>
      <c r="Q102" s="50" t="s">
        <v>43</v>
      </c>
      <c r="R102" s="50"/>
      <c r="S102" s="50" t="s">
        <v>51</v>
      </c>
      <c r="T102" s="4" t="s">
        <v>43</v>
      </c>
      <c r="U102" s="4"/>
    </row>
    <row r="103" spans="3:21" hidden="1" x14ac:dyDescent="0.25">
      <c r="C103" s="4" t="s">
        <v>894</v>
      </c>
      <c r="D103" s="4" t="s">
        <v>895</v>
      </c>
      <c r="E103" s="4" t="s">
        <v>895</v>
      </c>
      <c r="F103" s="4">
        <v>5</v>
      </c>
      <c r="G103" s="4" t="s">
        <v>376</v>
      </c>
      <c r="H103" s="4" t="s">
        <v>46</v>
      </c>
      <c r="I103" s="4" t="s">
        <v>1030</v>
      </c>
      <c r="J103" s="4" t="s">
        <v>73</v>
      </c>
      <c r="K103" s="4" t="s">
        <v>43</v>
      </c>
      <c r="L103" s="4" t="s">
        <v>609</v>
      </c>
      <c r="M103" s="4" t="s">
        <v>40</v>
      </c>
      <c r="N103" s="4" t="s">
        <v>514</v>
      </c>
      <c r="O103" s="4" t="s">
        <v>894</v>
      </c>
      <c r="P103" s="4" t="s">
        <v>42</v>
      </c>
      <c r="Q103" s="50" t="s">
        <v>43</v>
      </c>
      <c r="R103" s="50"/>
      <c r="S103" s="50" t="s">
        <v>886</v>
      </c>
      <c r="T103" s="4" t="s">
        <v>43</v>
      </c>
      <c r="U103" s="4"/>
    </row>
    <row r="104" spans="3:21" hidden="1" x14ac:dyDescent="0.25">
      <c r="C104" s="4" t="s">
        <v>537</v>
      </c>
      <c r="D104" s="4" t="s">
        <v>538</v>
      </c>
      <c r="E104" s="4" t="s">
        <v>538</v>
      </c>
      <c r="F104" s="4">
        <v>6.13</v>
      </c>
      <c r="G104" s="4" t="s">
        <v>376</v>
      </c>
      <c r="H104" s="4" t="s">
        <v>46</v>
      </c>
      <c r="I104" s="4" t="s">
        <v>1030</v>
      </c>
      <c r="J104" s="4" t="s">
        <v>100</v>
      </c>
      <c r="K104" s="4" t="s">
        <v>43</v>
      </c>
      <c r="L104" s="4" t="s">
        <v>64</v>
      </c>
      <c r="M104" s="4" t="s">
        <v>40</v>
      </c>
      <c r="N104" s="4" t="s">
        <v>514</v>
      </c>
      <c r="O104" s="4" t="s">
        <v>537</v>
      </c>
      <c r="P104" s="4" t="s">
        <v>379</v>
      </c>
      <c r="Q104" s="50" t="s">
        <v>43</v>
      </c>
      <c r="R104" s="50"/>
      <c r="S104" s="50" t="s">
        <v>515</v>
      </c>
      <c r="T104" s="4" t="s">
        <v>43</v>
      </c>
      <c r="U104" s="4"/>
    </row>
    <row r="105" spans="3:21" hidden="1" x14ac:dyDescent="0.25">
      <c r="C105" s="4" t="s">
        <v>863</v>
      </c>
      <c r="D105" s="4" t="s">
        <v>864</v>
      </c>
      <c r="E105" s="4" t="s">
        <v>864</v>
      </c>
      <c r="F105" s="4">
        <v>5</v>
      </c>
      <c r="G105" s="4" t="s">
        <v>376</v>
      </c>
      <c r="H105" s="4" t="s">
        <v>46</v>
      </c>
      <c r="I105" s="4" t="s">
        <v>1030</v>
      </c>
      <c r="J105" s="4" t="s">
        <v>132</v>
      </c>
      <c r="K105" s="4" t="s">
        <v>43</v>
      </c>
      <c r="L105" s="4" t="s">
        <v>138</v>
      </c>
      <c r="M105" s="4" t="s">
        <v>40</v>
      </c>
      <c r="N105" s="4" t="s">
        <v>514</v>
      </c>
      <c r="O105" s="4" t="s">
        <v>863</v>
      </c>
      <c r="P105" s="4" t="s">
        <v>42</v>
      </c>
      <c r="Q105" s="50" t="s">
        <v>43</v>
      </c>
      <c r="R105" s="50"/>
      <c r="S105" s="50" t="s">
        <v>847</v>
      </c>
      <c r="T105" s="4" t="s">
        <v>43</v>
      </c>
      <c r="U105" s="4"/>
    </row>
    <row r="106" spans="3:21" hidden="1" x14ac:dyDescent="0.25">
      <c r="C106" s="4" t="s">
        <v>896</v>
      </c>
      <c r="D106" s="4" t="s">
        <v>897</v>
      </c>
      <c r="E106" s="4" t="s">
        <v>897</v>
      </c>
      <c r="F106" s="4">
        <v>5</v>
      </c>
      <c r="G106" s="4" t="s">
        <v>376</v>
      </c>
      <c r="H106" s="4" t="s">
        <v>46</v>
      </c>
      <c r="I106" s="4" t="s">
        <v>1030</v>
      </c>
      <c r="J106" s="4" t="s">
        <v>73</v>
      </c>
      <c r="K106" s="4" t="s">
        <v>43</v>
      </c>
      <c r="L106" s="4" t="s">
        <v>133</v>
      </c>
      <c r="M106" s="4" t="s">
        <v>40</v>
      </c>
      <c r="N106" s="4" t="s">
        <v>514</v>
      </c>
      <c r="O106" s="4" t="s">
        <v>896</v>
      </c>
      <c r="P106" s="4" t="s">
        <v>42</v>
      </c>
      <c r="Q106" s="50" t="s">
        <v>43</v>
      </c>
      <c r="R106" s="50"/>
      <c r="S106" s="50" t="s">
        <v>886</v>
      </c>
      <c r="T106" s="4" t="s">
        <v>43</v>
      </c>
      <c r="U106" s="4"/>
    </row>
    <row r="107" spans="3:21" hidden="1" x14ac:dyDescent="0.25">
      <c r="C107" s="4" t="s">
        <v>898</v>
      </c>
      <c r="D107" s="4" t="s">
        <v>899</v>
      </c>
      <c r="E107" s="4" t="s">
        <v>899</v>
      </c>
      <c r="F107" s="4">
        <v>5.45</v>
      </c>
      <c r="G107" s="4" t="s">
        <v>376</v>
      </c>
      <c r="H107" s="4" t="s">
        <v>46</v>
      </c>
      <c r="I107" s="4" t="s">
        <v>1030</v>
      </c>
      <c r="J107" s="4" t="s">
        <v>73</v>
      </c>
      <c r="K107" s="4" t="s">
        <v>43</v>
      </c>
      <c r="L107" s="4" t="s">
        <v>315</v>
      </c>
      <c r="M107" s="4" t="s">
        <v>40</v>
      </c>
      <c r="N107" s="4" t="s">
        <v>514</v>
      </c>
      <c r="O107" s="4" t="s">
        <v>898</v>
      </c>
      <c r="P107" s="4" t="s">
        <v>42</v>
      </c>
      <c r="Q107" s="50" t="s">
        <v>43</v>
      </c>
      <c r="R107" s="50"/>
      <c r="S107" s="50" t="s">
        <v>886</v>
      </c>
      <c r="T107" s="4" t="s">
        <v>43</v>
      </c>
      <c r="U107" s="4"/>
    </row>
    <row r="108" spans="3:21" hidden="1" x14ac:dyDescent="0.25">
      <c r="C108" s="4" t="s">
        <v>950</v>
      </c>
      <c r="D108" s="4" t="s">
        <v>951</v>
      </c>
      <c r="E108" s="4" t="s">
        <v>951</v>
      </c>
      <c r="F108" s="4">
        <v>5.45</v>
      </c>
      <c r="G108" s="4" t="s">
        <v>376</v>
      </c>
      <c r="H108" s="4" t="s">
        <v>46</v>
      </c>
      <c r="I108" s="4" t="s">
        <v>1030</v>
      </c>
      <c r="J108" s="4" t="s">
        <v>160</v>
      </c>
      <c r="K108" s="4" t="s">
        <v>43</v>
      </c>
      <c r="L108" s="4" t="s">
        <v>353</v>
      </c>
      <c r="M108" s="4" t="s">
        <v>40</v>
      </c>
      <c r="N108" s="4" t="s">
        <v>378</v>
      </c>
      <c r="O108" s="4" t="s">
        <v>950</v>
      </c>
      <c r="P108" s="4" t="s">
        <v>42</v>
      </c>
      <c r="Q108" s="50" t="s">
        <v>43</v>
      </c>
      <c r="R108" s="50"/>
      <c r="S108" s="50" t="s">
        <v>931</v>
      </c>
      <c r="T108" s="4" t="s">
        <v>43</v>
      </c>
      <c r="U108" s="4"/>
    </row>
    <row r="109" spans="3:21" hidden="1" x14ac:dyDescent="0.25">
      <c r="C109" s="4" t="s">
        <v>406</v>
      </c>
      <c r="D109" s="4" t="s">
        <v>407</v>
      </c>
      <c r="E109" s="4" t="s">
        <v>407</v>
      </c>
      <c r="F109" s="4">
        <v>5.45</v>
      </c>
      <c r="G109" s="4" t="s">
        <v>376</v>
      </c>
      <c r="H109" s="4" t="s">
        <v>46</v>
      </c>
      <c r="I109" s="4" t="s">
        <v>1031</v>
      </c>
      <c r="J109" s="4" t="s">
        <v>63</v>
      </c>
      <c r="K109" s="4" t="s">
        <v>43</v>
      </c>
      <c r="L109" s="4" t="s">
        <v>138</v>
      </c>
      <c r="M109" s="4" t="s">
        <v>40</v>
      </c>
      <c r="N109" s="4" t="s">
        <v>378</v>
      </c>
      <c r="O109" s="4" t="s">
        <v>406</v>
      </c>
      <c r="P109" s="4" t="s">
        <v>42</v>
      </c>
      <c r="Q109" s="50" t="s">
        <v>43</v>
      </c>
      <c r="R109" s="50"/>
      <c r="S109" s="50" t="s">
        <v>380</v>
      </c>
      <c r="T109" s="4" t="s">
        <v>43</v>
      </c>
      <c r="U109" s="4"/>
    </row>
    <row r="110" spans="3:21" hidden="1" x14ac:dyDescent="0.25">
      <c r="C110" s="4" t="s">
        <v>429</v>
      </c>
      <c r="D110" s="4" t="s">
        <v>430</v>
      </c>
      <c r="E110" s="4" t="s">
        <v>431</v>
      </c>
      <c r="F110" s="4">
        <v>6</v>
      </c>
      <c r="G110" s="4" t="s">
        <v>376</v>
      </c>
      <c r="H110" s="4" t="s">
        <v>46</v>
      </c>
      <c r="I110" s="4" t="s">
        <v>1030</v>
      </c>
      <c r="J110" s="4" t="s">
        <v>94</v>
      </c>
      <c r="K110" s="4" t="s">
        <v>43</v>
      </c>
      <c r="L110" s="4" t="s">
        <v>64</v>
      </c>
      <c r="M110" s="4" t="s">
        <v>40</v>
      </c>
      <c r="N110" s="4" t="s">
        <v>422</v>
      </c>
      <c r="O110" s="4" t="s">
        <v>429</v>
      </c>
      <c r="P110" s="4" t="s">
        <v>42</v>
      </c>
      <c r="Q110" s="50" t="s">
        <v>43</v>
      </c>
      <c r="R110" s="50"/>
      <c r="S110" s="50" t="s">
        <v>423</v>
      </c>
      <c r="T110" s="4" t="s">
        <v>43</v>
      </c>
      <c r="U110" s="4"/>
    </row>
    <row r="111" spans="3:21" hidden="1" x14ac:dyDescent="0.25">
      <c r="C111" s="4" t="s">
        <v>483</v>
      </c>
      <c r="D111" s="4" t="s">
        <v>484</v>
      </c>
      <c r="E111" s="4" t="s">
        <v>485</v>
      </c>
      <c r="F111" s="4">
        <v>5</v>
      </c>
      <c r="G111" s="4" t="s">
        <v>376</v>
      </c>
      <c r="H111" s="4" t="s">
        <v>46</v>
      </c>
      <c r="I111" s="4" t="s">
        <v>1030</v>
      </c>
      <c r="J111" s="4" t="s">
        <v>466</v>
      </c>
      <c r="K111" s="4" t="s">
        <v>43</v>
      </c>
      <c r="L111" s="4" t="s">
        <v>51</v>
      </c>
      <c r="M111" s="4" t="s">
        <v>40</v>
      </c>
      <c r="N111" s="4" t="s">
        <v>378</v>
      </c>
      <c r="O111" s="4" t="s">
        <v>483</v>
      </c>
      <c r="P111" s="4" t="s">
        <v>42</v>
      </c>
      <c r="Q111" s="50" t="s">
        <v>43</v>
      </c>
      <c r="R111" s="50"/>
      <c r="S111" s="50" t="s">
        <v>467</v>
      </c>
      <c r="T111" s="4" t="s">
        <v>43</v>
      </c>
      <c r="U111" s="4"/>
    </row>
    <row r="112" spans="3:21" hidden="1" x14ac:dyDescent="0.25">
      <c r="C112" s="4" t="s">
        <v>539</v>
      </c>
      <c r="D112" s="4" t="s">
        <v>540</v>
      </c>
      <c r="E112" s="4" t="s">
        <v>541</v>
      </c>
      <c r="F112" s="4">
        <v>6.13</v>
      </c>
      <c r="G112" s="4" t="s">
        <v>376</v>
      </c>
      <c r="H112" s="4" t="s">
        <v>46</v>
      </c>
      <c r="I112" s="4" t="s">
        <v>1030</v>
      </c>
      <c r="J112" s="4" t="s">
        <v>100</v>
      </c>
      <c r="K112" s="4" t="s">
        <v>43</v>
      </c>
      <c r="L112" s="4" t="s">
        <v>51</v>
      </c>
      <c r="M112" s="4" t="s">
        <v>40</v>
      </c>
      <c r="N112" s="4" t="s">
        <v>514</v>
      </c>
      <c r="O112" s="4" t="s">
        <v>539</v>
      </c>
      <c r="P112" s="4" t="s">
        <v>42</v>
      </c>
      <c r="Q112" s="50" t="s">
        <v>43</v>
      </c>
      <c r="R112" s="50"/>
      <c r="S112" s="50" t="s">
        <v>515</v>
      </c>
      <c r="T112" s="4" t="s">
        <v>43</v>
      </c>
      <c r="U112" s="4"/>
    </row>
    <row r="113" spans="3:21" hidden="1" x14ac:dyDescent="0.25">
      <c r="C113" s="4" t="s">
        <v>432</v>
      </c>
      <c r="D113" s="4" t="s">
        <v>433</v>
      </c>
      <c r="E113" s="4" t="s">
        <v>434</v>
      </c>
      <c r="F113" s="4">
        <v>5.45</v>
      </c>
      <c r="G113" s="4" t="s">
        <v>376</v>
      </c>
      <c r="H113" s="4" t="s">
        <v>46</v>
      </c>
      <c r="I113" s="4" t="s">
        <v>1030</v>
      </c>
      <c r="J113" s="4" t="s">
        <v>94</v>
      </c>
      <c r="K113" s="4" t="s">
        <v>43</v>
      </c>
      <c r="L113" s="4" t="s">
        <v>205</v>
      </c>
      <c r="M113" s="4" t="s">
        <v>40</v>
      </c>
      <c r="N113" s="4" t="s">
        <v>422</v>
      </c>
      <c r="O113" s="4" t="s">
        <v>432</v>
      </c>
      <c r="P113" s="4" t="s">
        <v>42</v>
      </c>
      <c r="Q113" s="50" t="s">
        <v>43</v>
      </c>
      <c r="R113" s="50"/>
      <c r="S113" s="50" t="s">
        <v>423</v>
      </c>
      <c r="T113" s="4" t="s">
        <v>43</v>
      </c>
      <c r="U113" s="4"/>
    </row>
    <row r="114" spans="3:21" hidden="1" x14ac:dyDescent="0.25">
      <c r="C114" s="4" t="s">
        <v>671</v>
      </c>
      <c r="D114" s="4" t="s">
        <v>672</v>
      </c>
      <c r="E114" s="4" t="s">
        <v>672</v>
      </c>
      <c r="F114" s="4">
        <v>5</v>
      </c>
      <c r="G114" s="4" t="s">
        <v>376</v>
      </c>
      <c r="H114" s="4" t="s">
        <v>46</v>
      </c>
      <c r="I114" s="4" t="s">
        <v>1030</v>
      </c>
      <c r="J114" s="4" t="s">
        <v>248</v>
      </c>
      <c r="K114" s="4" t="s">
        <v>43</v>
      </c>
      <c r="L114" s="4" t="s">
        <v>51</v>
      </c>
      <c r="M114" s="4" t="s">
        <v>40</v>
      </c>
      <c r="N114" s="4" t="s">
        <v>984</v>
      </c>
      <c r="O114" s="4" t="s">
        <v>671</v>
      </c>
      <c r="P114" s="4" t="s">
        <v>42</v>
      </c>
      <c r="Q114" s="50" t="s">
        <v>43</v>
      </c>
      <c r="R114" s="50"/>
      <c r="S114" s="50" t="s">
        <v>51</v>
      </c>
      <c r="T114" s="4" t="s">
        <v>43</v>
      </c>
      <c r="U114" s="4"/>
    </row>
    <row r="115" spans="3:21" hidden="1" x14ac:dyDescent="0.25">
      <c r="C115" s="4" t="s">
        <v>567</v>
      </c>
      <c r="D115" s="4" t="s">
        <v>568</v>
      </c>
      <c r="E115" s="4" t="s">
        <v>568</v>
      </c>
      <c r="F115" s="4">
        <v>5</v>
      </c>
      <c r="G115" s="4" t="s">
        <v>376</v>
      </c>
      <c r="H115" s="4" t="s">
        <v>46</v>
      </c>
      <c r="I115" s="4" t="s">
        <v>1030</v>
      </c>
      <c r="J115" s="4" t="s">
        <v>331</v>
      </c>
      <c r="K115" s="4" t="s">
        <v>43</v>
      </c>
      <c r="L115" s="4" t="s">
        <v>138</v>
      </c>
      <c r="M115" s="4" t="s">
        <v>40</v>
      </c>
      <c r="N115" s="4" t="s">
        <v>422</v>
      </c>
      <c r="O115" s="4" t="s">
        <v>567</v>
      </c>
      <c r="P115" s="4" t="s">
        <v>42</v>
      </c>
      <c r="Q115" s="50" t="s">
        <v>43</v>
      </c>
      <c r="R115" s="50"/>
      <c r="S115" s="50" t="s">
        <v>557</v>
      </c>
      <c r="T115" s="4" t="s">
        <v>43</v>
      </c>
      <c r="U115" s="4"/>
    </row>
    <row r="116" spans="3:21" hidden="1" x14ac:dyDescent="0.25">
      <c r="C116" s="4" t="s">
        <v>435</v>
      </c>
      <c r="D116" s="4" t="s">
        <v>436</v>
      </c>
      <c r="E116" s="4" t="s">
        <v>436</v>
      </c>
      <c r="F116" s="4">
        <v>5</v>
      </c>
      <c r="G116" s="4" t="s">
        <v>376</v>
      </c>
      <c r="H116" s="4" t="s">
        <v>46</v>
      </c>
      <c r="I116" s="4" t="s">
        <v>1030</v>
      </c>
      <c r="J116" s="4" t="s">
        <v>94</v>
      </c>
      <c r="K116" s="4" t="s">
        <v>43</v>
      </c>
      <c r="L116" s="4" t="s">
        <v>64</v>
      </c>
      <c r="M116" s="4" t="s">
        <v>40</v>
      </c>
      <c r="N116" s="4" t="s">
        <v>422</v>
      </c>
      <c r="O116" s="4" t="s">
        <v>435</v>
      </c>
      <c r="P116" s="4" t="s">
        <v>42</v>
      </c>
      <c r="Q116" s="50" t="s">
        <v>43</v>
      </c>
      <c r="R116" s="50"/>
      <c r="S116" s="50" t="s">
        <v>423</v>
      </c>
      <c r="T116" s="4" t="s">
        <v>43</v>
      </c>
      <c r="U116" s="4"/>
    </row>
    <row r="117" spans="3:21" hidden="1" x14ac:dyDescent="0.25">
      <c r="C117" s="4" t="s">
        <v>865</v>
      </c>
      <c r="D117" s="4" t="s">
        <v>866</v>
      </c>
      <c r="E117" s="4" t="s">
        <v>866</v>
      </c>
      <c r="F117" s="4">
        <v>6</v>
      </c>
      <c r="G117" s="4" t="s">
        <v>376</v>
      </c>
      <c r="H117" s="4" t="s">
        <v>46</v>
      </c>
      <c r="I117" s="4" t="s">
        <v>1030</v>
      </c>
      <c r="J117" s="4" t="s">
        <v>132</v>
      </c>
      <c r="K117" s="4" t="s">
        <v>43</v>
      </c>
      <c r="L117" s="4" t="s">
        <v>856</v>
      </c>
      <c r="M117" s="4" t="s">
        <v>40</v>
      </c>
      <c r="N117" s="4" t="s">
        <v>514</v>
      </c>
      <c r="O117" s="4" t="s">
        <v>865</v>
      </c>
      <c r="P117" s="4" t="s">
        <v>42</v>
      </c>
      <c r="Q117" s="50" t="s">
        <v>43</v>
      </c>
      <c r="R117" s="50"/>
      <c r="S117" s="50" t="s">
        <v>847</v>
      </c>
      <c r="T117" s="4" t="s">
        <v>43</v>
      </c>
      <c r="U117" s="4"/>
    </row>
    <row r="118" spans="3:21" hidden="1" x14ac:dyDescent="0.25">
      <c r="C118" s="4" t="s">
        <v>486</v>
      </c>
      <c r="D118" s="4" t="s">
        <v>487</v>
      </c>
      <c r="E118" s="4" t="s">
        <v>487</v>
      </c>
      <c r="F118" s="4">
        <v>5</v>
      </c>
      <c r="G118" s="4" t="s">
        <v>376</v>
      </c>
      <c r="H118" s="4" t="s">
        <v>46</v>
      </c>
      <c r="I118" s="4" t="s">
        <v>1030</v>
      </c>
      <c r="J118" s="4" t="s">
        <v>466</v>
      </c>
      <c r="K118" s="4" t="s">
        <v>43</v>
      </c>
      <c r="L118" s="4" t="s">
        <v>51</v>
      </c>
      <c r="M118" s="4" t="s">
        <v>40</v>
      </c>
      <c r="N118" s="4" t="s">
        <v>378</v>
      </c>
      <c r="O118" s="4" t="s">
        <v>486</v>
      </c>
      <c r="P118" s="4" t="s">
        <v>42</v>
      </c>
      <c r="Q118" s="50" t="s">
        <v>43</v>
      </c>
      <c r="R118" s="50"/>
      <c r="S118" s="50" t="s">
        <v>467</v>
      </c>
      <c r="T118" s="4" t="s">
        <v>43</v>
      </c>
      <c r="U118" s="4"/>
    </row>
    <row r="119" spans="3:21" hidden="1" x14ac:dyDescent="0.25">
      <c r="C119" s="4" t="s">
        <v>673</v>
      </c>
      <c r="D119" s="4" t="s">
        <v>674</v>
      </c>
      <c r="E119" s="4" t="s">
        <v>674</v>
      </c>
      <c r="F119" s="4">
        <v>5.45</v>
      </c>
      <c r="G119" s="4" t="s">
        <v>376</v>
      </c>
      <c r="H119" s="4" t="s">
        <v>46</v>
      </c>
      <c r="I119" s="4" t="s">
        <v>1030</v>
      </c>
      <c r="J119" s="4" t="s">
        <v>248</v>
      </c>
      <c r="K119" s="4" t="s">
        <v>43</v>
      </c>
      <c r="L119" s="4" t="s">
        <v>51</v>
      </c>
      <c r="M119" s="4" t="s">
        <v>40</v>
      </c>
      <c r="N119" s="4" t="s">
        <v>984</v>
      </c>
      <c r="O119" s="4" t="s">
        <v>673</v>
      </c>
      <c r="P119" s="4" t="s">
        <v>42</v>
      </c>
      <c r="Q119" s="50" t="s">
        <v>43</v>
      </c>
      <c r="R119" s="50"/>
      <c r="S119" s="50" t="s">
        <v>51</v>
      </c>
      <c r="T119" s="4" t="s">
        <v>43</v>
      </c>
      <c r="U119" s="4"/>
    </row>
    <row r="120" spans="3:21" hidden="1" x14ac:dyDescent="0.25">
      <c r="C120" s="4" t="s">
        <v>569</v>
      </c>
      <c r="D120" s="4" t="s">
        <v>570</v>
      </c>
      <c r="E120" s="4" t="s">
        <v>570</v>
      </c>
      <c r="F120" s="4">
        <v>5.45</v>
      </c>
      <c r="G120" s="4" t="s">
        <v>376</v>
      </c>
      <c r="H120" s="4" t="s">
        <v>46</v>
      </c>
      <c r="I120" s="4" t="s">
        <v>1030</v>
      </c>
      <c r="J120" s="4" t="s">
        <v>331</v>
      </c>
      <c r="K120" s="4" t="s">
        <v>43</v>
      </c>
      <c r="L120" s="4" t="s">
        <v>138</v>
      </c>
      <c r="M120" s="4" t="s">
        <v>40</v>
      </c>
      <c r="N120" s="4" t="s">
        <v>422</v>
      </c>
      <c r="O120" s="4" t="s">
        <v>569</v>
      </c>
      <c r="P120" s="4" t="s">
        <v>42</v>
      </c>
      <c r="Q120" s="50" t="s">
        <v>43</v>
      </c>
      <c r="R120" s="50"/>
      <c r="S120" s="50" t="s">
        <v>557</v>
      </c>
      <c r="T120" s="4" t="s">
        <v>43</v>
      </c>
      <c r="U120" s="4"/>
    </row>
    <row r="121" spans="3:21" hidden="1" x14ac:dyDescent="0.25">
      <c r="C121" s="4" t="s">
        <v>750</v>
      </c>
      <c r="D121" s="4" t="s">
        <v>751</v>
      </c>
      <c r="E121" s="4" t="s">
        <v>751</v>
      </c>
      <c r="F121" s="4">
        <v>5</v>
      </c>
      <c r="G121" s="4" t="s">
        <v>376</v>
      </c>
      <c r="H121" s="4" t="s">
        <v>46</v>
      </c>
      <c r="I121" s="4" t="s">
        <v>1031</v>
      </c>
      <c r="J121" s="4" t="s">
        <v>84</v>
      </c>
      <c r="K121" s="4" t="s">
        <v>440</v>
      </c>
      <c r="L121" s="4" t="s">
        <v>54</v>
      </c>
      <c r="M121" s="4" t="s">
        <v>55</v>
      </c>
      <c r="N121" s="4" t="s">
        <v>984</v>
      </c>
      <c r="O121" s="4" t="s">
        <v>750</v>
      </c>
      <c r="P121" s="4" t="s">
        <v>42</v>
      </c>
      <c r="Q121" s="50" t="s">
        <v>43</v>
      </c>
      <c r="R121" s="50"/>
      <c r="S121" s="50" t="s">
        <v>741</v>
      </c>
      <c r="T121" s="4" t="s">
        <v>43</v>
      </c>
      <c r="U121" s="4"/>
    </row>
    <row r="122" spans="3:21" hidden="1" x14ac:dyDescent="0.25">
      <c r="C122" s="4" t="s">
        <v>488</v>
      </c>
      <c r="D122" s="4" t="s">
        <v>489</v>
      </c>
      <c r="E122" s="4" t="s">
        <v>490</v>
      </c>
      <c r="F122" s="4">
        <v>5</v>
      </c>
      <c r="G122" s="4" t="s">
        <v>376</v>
      </c>
      <c r="H122" s="4" t="s">
        <v>46</v>
      </c>
      <c r="I122" s="4" t="s">
        <v>1030</v>
      </c>
      <c r="J122" s="4" t="s">
        <v>466</v>
      </c>
      <c r="K122" s="4" t="s">
        <v>43</v>
      </c>
      <c r="L122" s="4" t="s">
        <v>51</v>
      </c>
      <c r="M122" s="4" t="s">
        <v>40</v>
      </c>
      <c r="N122" s="4" t="s">
        <v>378</v>
      </c>
      <c r="O122" s="4" t="s">
        <v>488</v>
      </c>
      <c r="P122" s="4" t="s">
        <v>42</v>
      </c>
      <c r="Q122" s="50" t="s">
        <v>43</v>
      </c>
      <c r="R122" s="50"/>
      <c r="S122" s="50" t="s">
        <v>467</v>
      </c>
      <c r="T122" s="4" t="s">
        <v>43</v>
      </c>
      <c r="U122" s="4"/>
    </row>
    <row r="123" spans="3:21" hidden="1" x14ac:dyDescent="0.25">
      <c r="C123" s="4" t="s">
        <v>952</v>
      </c>
      <c r="D123" s="4" t="s">
        <v>953</v>
      </c>
      <c r="E123" s="4" t="s">
        <v>953</v>
      </c>
      <c r="F123" s="4">
        <v>5.45</v>
      </c>
      <c r="G123" s="4" t="s">
        <v>376</v>
      </c>
      <c r="H123" s="4" t="s">
        <v>46</v>
      </c>
      <c r="I123" s="4" t="s">
        <v>1030</v>
      </c>
      <c r="J123" s="4" t="s">
        <v>160</v>
      </c>
      <c r="K123" s="4" t="s">
        <v>43</v>
      </c>
      <c r="L123" s="4" t="s">
        <v>371</v>
      </c>
      <c r="M123" s="4" t="s">
        <v>40</v>
      </c>
      <c r="N123" s="4" t="s">
        <v>378</v>
      </c>
      <c r="O123" s="4" t="s">
        <v>952</v>
      </c>
      <c r="P123" s="4" t="s">
        <v>42</v>
      </c>
      <c r="Q123" s="50" t="s">
        <v>43</v>
      </c>
      <c r="R123" s="50"/>
      <c r="S123" s="50" t="s">
        <v>931</v>
      </c>
      <c r="T123" s="4" t="s">
        <v>43</v>
      </c>
      <c r="U123" s="4"/>
    </row>
    <row r="124" spans="3:21" hidden="1" x14ac:dyDescent="0.25">
      <c r="C124" s="4" t="s">
        <v>675</v>
      </c>
      <c r="D124" s="4" t="s">
        <v>676</v>
      </c>
      <c r="E124" s="4" t="s">
        <v>676</v>
      </c>
      <c r="F124" s="4">
        <v>5</v>
      </c>
      <c r="G124" s="4" t="s">
        <v>376</v>
      </c>
      <c r="H124" s="4" t="s">
        <v>81</v>
      </c>
      <c r="I124" s="4" t="s">
        <v>1030</v>
      </c>
      <c r="J124" s="4" t="s">
        <v>248</v>
      </c>
      <c r="K124" s="4" t="s">
        <v>43</v>
      </c>
      <c r="L124" s="4" t="s">
        <v>51</v>
      </c>
      <c r="M124" s="4" t="s">
        <v>40</v>
      </c>
      <c r="N124" s="4" t="s">
        <v>984</v>
      </c>
      <c r="O124" s="4" t="s">
        <v>675</v>
      </c>
      <c r="P124" s="4" t="s">
        <v>42</v>
      </c>
      <c r="Q124" s="50" t="s">
        <v>43</v>
      </c>
      <c r="R124" s="50"/>
      <c r="S124" s="50" t="s">
        <v>51</v>
      </c>
      <c r="T124" s="4" t="s">
        <v>43</v>
      </c>
      <c r="U124" s="4"/>
    </row>
    <row r="125" spans="3:21" hidden="1" x14ac:dyDescent="0.25">
      <c r="C125" s="4" t="s">
        <v>780</v>
      </c>
      <c r="D125" s="4" t="s">
        <v>781</v>
      </c>
      <c r="E125" s="4" t="s">
        <v>781</v>
      </c>
      <c r="F125" s="4">
        <v>5.45</v>
      </c>
      <c r="G125" s="4" t="s">
        <v>376</v>
      </c>
      <c r="H125" s="4" t="s">
        <v>46</v>
      </c>
      <c r="I125" s="4" t="s">
        <v>1031</v>
      </c>
      <c r="J125" s="4" t="s">
        <v>89</v>
      </c>
      <c r="K125" s="4" t="s">
        <v>43</v>
      </c>
      <c r="L125" s="4" t="s">
        <v>109</v>
      </c>
      <c r="M125" s="4" t="s">
        <v>91</v>
      </c>
      <c r="N125" s="4" t="s">
        <v>378</v>
      </c>
      <c r="O125" s="4" t="s">
        <v>780</v>
      </c>
      <c r="P125" s="4" t="s">
        <v>42</v>
      </c>
      <c r="Q125" s="50" t="s">
        <v>43</v>
      </c>
      <c r="R125" s="50"/>
      <c r="S125" s="50" t="s">
        <v>772</v>
      </c>
      <c r="T125" s="4" t="s">
        <v>43</v>
      </c>
      <c r="U125" s="4"/>
    </row>
    <row r="126" spans="3:21" hidden="1" x14ac:dyDescent="0.25">
      <c r="C126" s="4" t="s">
        <v>628</v>
      </c>
      <c r="D126" s="4" t="s">
        <v>996</v>
      </c>
      <c r="E126" s="4" t="s">
        <v>630</v>
      </c>
      <c r="F126" s="4">
        <v>5.6</v>
      </c>
      <c r="G126" s="4" t="s">
        <v>376</v>
      </c>
      <c r="H126" s="4" t="s">
        <v>46</v>
      </c>
      <c r="I126" s="4" t="s">
        <v>1030</v>
      </c>
      <c r="J126" s="4" t="s">
        <v>50</v>
      </c>
      <c r="K126" s="4" t="s">
        <v>43</v>
      </c>
      <c r="L126" s="4" t="s">
        <v>64</v>
      </c>
      <c r="M126" s="4" t="s">
        <v>40</v>
      </c>
      <c r="N126" s="4" t="s">
        <v>422</v>
      </c>
      <c r="O126" s="4" t="s">
        <v>628</v>
      </c>
      <c r="P126" s="4" t="s">
        <v>42</v>
      </c>
      <c r="Q126" s="50" t="s">
        <v>43</v>
      </c>
      <c r="R126" s="50"/>
      <c r="S126" s="50" t="s">
        <v>597</v>
      </c>
      <c r="T126" s="4" t="s">
        <v>43</v>
      </c>
      <c r="U126" s="4" t="s">
        <v>32</v>
      </c>
    </row>
    <row r="127" spans="3:21" hidden="1" x14ac:dyDescent="0.25">
      <c r="C127" s="4" t="s">
        <v>408</v>
      </c>
      <c r="D127" s="4" t="s">
        <v>409</v>
      </c>
      <c r="E127" s="4" t="s">
        <v>410</v>
      </c>
      <c r="F127" s="4">
        <v>5</v>
      </c>
      <c r="G127" s="4" t="s">
        <v>376</v>
      </c>
      <c r="H127" s="4" t="s">
        <v>46</v>
      </c>
      <c r="I127" s="4" t="s">
        <v>1031</v>
      </c>
      <c r="J127" s="4" t="s">
        <v>63</v>
      </c>
      <c r="K127" s="4" t="s">
        <v>43</v>
      </c>
      <c r="L127" s="4" t="s">
        <v>138</v>
      </c>
      <c r="M127" s="4" t="s">
        <v>40</v>
      </c>
      <c r="N127" s="4" t="s">
        <v>378</v>
      </c>
      <c r="O127" s="4" t="s">
        <v>408</v>
      </c>
      <c r="P127" s="4" t="s">
        <v>42</v>
      </c>
      <c r="Q127" s="50" t="s">
        <v>43</v>
      </c>
      <c r="R127" s="50"/>
      <c r="S127" s="50" t="s">
        <v>380</v>
      </c>
      <c r="T127" s="4" t="s">
        <v>43</v>
      </c>
      <c r="U127" s="4"/>
    </row>
    <row r="128" spans="3:21" hidden="1" x14ac:dyDescent="0.25">
      <c r="C128" s="4" t="s">
        <v>677</v>
      </c>
      <c r="D128" s="4" t="s">
        <v>678</v>
      </c>
      <c r="E128" s="4" t="s">
        <v>679</v>
      </c>
      <c r="F128" s="4">
        <v>5</v>
      </c>
      <c r="G128" s="4" t="s">
        <v>376</v>
      </c>
      <c r="H128" s="4" t="s">
        <v>46</v>
      </c>
      <c r="I128" s="4" t="s">
        <v>1030</v>
      </c>
      <c r="J128" s="4" t="s">
        <v>248</v>
      </c>
      <c r="K128" s="4" t="s">
        <v>43</v>
      </c>
      <c r="L128" s="4" t="s">
        <v>51</v>
      </c>
      <c r="M128" s="4" t="s">
        <v>40</v>
      </c>
      <c r="N128" s="4" t="s">
        <v>984</v>
      </c>
      <c r="O128" s="4" t="s">
        <v>677</v>
      </c>
      <c r="P128" s="4" t="s">
        <v>42</v>
      </c>
      <c r="Q128" s="50" t="s">
        <v>43</v>
      </c>
      <c r="R128" s="50"/>
      <c r="S128" s="50" t="s">
        <v>51</v>
      </c>
      <c r="T128" s="4" t="s">
        <v>43</v>
      </c>
      <c r="U128" s="4"/>
    </row>
    <row r="129" spans="3:21" hidden="1" x14ac:dyDescent="0.25">
      <c r="C129" s="4" t="s">
        <v>571</v>
      </c>
      <c r="D129" s="4" t="s">
        <v>572</v>
      </c>
      <c r="E129" s="4" t="s">
        <v>572</v>
      </c>
      <c r="F129" s="4">
        <v>6</v>
      </c>
      <c r="G129" s="4" t="s">
        <v>376</v>
      </c>
      <c r="H129" s="4" t="s">
        <v>46</v>
      </c>
      <c r="I129" s="4" t="s">
        <v>1030</v>
      </c>
      <c r="J129" s="4" t="s">
        <v>331</v>
      </c>
      <c r="K129" s="4" t="s">
        <v>43</v>
      </c>
      <c r="L129" s="4" t="s">
        <v>138</v>
      </c>
      <c r="M129" s="4" t="s">
        <v>40</v>
      </c>
      <c r="N129" s="4" t="s">
        <v>422</v>
      </c>
      <c r="O129" s="4" t="s">
        <v>571</v>
      </c>
      <c r="P129" s="4" t="s">
        <v>42</v>
      </c>
      <c r="Q129" s="50" t="s">
        <v>43</v>
      </c>
      <c r="R129" s="50"/>
      <c r="S129" s="50" t="s">
        <v>557</v>
      </c>
      <c r="T129" s="4" t="s">
        <v>43</v>
      </c>
      <c r="U129" s="4"/>
    </row>
    <row r="130" spans="3:21" hidden="1" x14ac:dyDescent="0.25">
      <c r="C130" s="4" t="s">
        <v>752</v>
      </c>
      <c r="D130" s="4" t="s">
        <v>753</v>
      </c>
      <c r="E130" s="4" t="s">
        <v>753</v>
      </c>
      <c r="F130" s="4">
        <v>8</v>
      </c>
      <c r="G130" s="4" t="s">
        <v>376</v>
      </c>
      <c r="H130" s="4" t="s">
        <v>46</v>
      </c>
      <c r="I130" s="4" t="s">
        <v>1031</v>
      </c>
      <c r="J130" s="4" t="s">
        <v>84</v>
      </c>
      <c r="K130" s="4" t="s">
        <v>440</v>
      </c>
      <c r="L130" s="4" t="s">
        <v>54</v>
      </c>
      <c r="M130" s="4" t="s">
        <v>55</v>
      </c>
      <c r="N130" s="4" t="s">
        <v>984</v>
      </c>
      <c r="O130" s="4" t="s">
        <v>752</v>
      </c>
      <c r="P130" s="4" t="s">
        <v>379</v>
      </c>
      <c r="Q130" s="50" t="s">
        <v>43</v>
      </c>
      <c r="R130" s="50"/>
      <c r="S130" s="50" t="s">
        <v>741</v>
      </c>
      <c r="T130" s="4" t="s">
        <v>43</v>
      </c>
      <c r="U130" s="4"/>
    </row>
    <row r="131" spans="3:21" hidden="1" x14ac:dyDescent="0.25">
      <c r="C131" s="4" t="s">
        <v>680</v>
      </c>
      <c r="D131" s="4" t="s">
        <v>681</v>
      </c>
      <c r="E131" s="4" t="s">
        <v>682</v>
      </c>
      <c r="F131" s="4">
        <v>5</v>
      </c>
      <c r="G131" s="4" t="s">
        <v>376</v>
      </c>
      <c r="H131" s="4" t="s">
        <v>46</v>
      </c>
      <c r="I131" s="4" t="s">
        <v>1030</v>
      </c>
      <c r="J131" s="4" t="s">
        <v>248</v>
      </c>
      <c r="K131" s="4" t="s">
        <v>43</v>
      </c>
      <c r="L131" s="4" t="s">
        <v>51</v>
      </c>
      <c r="M131" s="4" t="s">
        <v>40</v>
      </c>
      <c r="N131" s="4" t="s">
        <v>984</v>
      </c>
      <c r="O131" s="4" t="s">
        <v>680</v>
      </c>
      <c r="P131" s="4" t="s">
        <v>42</v>
      </c>
      <c r="Q131" s="50" t="s">
        <v>43</v>
      </c>
      <c r="R131" s="50"/>
      <c r="S131" s="50" t="s">
        <v>51</v>
      </c>
      <c r="T131" s="4" t="s">
        <v>43</v>
      </c>
      <c r="U131" s="4"/>
    </row>
    <row r="132" spans="3:21" hidden="1" x14ac:dyDescent="0.25">
      <c r="C132" s="4" t="s">
        <v>954</v>
      </c>
      <c r="D132" s="4" t="s">
        <v>955</v>
      </c>
      <c r="E132" s="4" t="s">
        <v>956</v>
      </c>
      <c r="F132" s="4">
        <v>5</v>
      </c>
      <c r="G132" s="4" t="s">
        <v>376</v>
      </c>
      <c r="H132" s="4" t="s">
        <v>46</v>
      </c>
      <c r="I132" s="4" t="s">
        <v>1030</v>
      </c>
      <c r="J132" s="4" t="s">
        <v>160</v>
      </c>
      <c r="K132" s="4" t="s">
        <v>43</v>
      </c>
      <c r="L132" s="4" t="s">
        <v>353</v>
      </c>
      <c r="M132" s="4" t="s">
        <v>40</v>
      </c>
      <c r="N132" s="4" t="s">
        <v>378</v>
      </c>
      <c r="O132" s="4" t="s">
        <v>954</v>
      </c>
      <c r="P132" s="4" t="s">
        <v>42</v>
      </c>
      <c r="Q132" s="50" t="s">
        <v>43</v>
      </c>
      <c r="R132" s="50"/>
      <c r="S132" s="50" t="s">
        <v>931</v>
      </c>
      <c r="T132" s="4" t="s">
        <v>43</v>
      </c>
      <c r="U132" s="4"/>
    </row>
    <row r="133" spans="3:21" hidden="1" x14ac:dyDescent="0.25">
      <c r="C133" s="4" t="s">
        <v>68</v>
      </c>
      <c r="D133" s="4" t="s">
        <v>69</v>
      </c>
      <c r="E133" s="4" t="s">
        <v>70</v>
      </c>
      <c r="F133" s="4" t="s">
        <v>36</v>
      </c>
      <c r="G133" s="4" t="s">
        <v>37</v>
      </c>
      <c r="H133" s="4" t="s">
        <v>38</v>
      </c>
      <c r="I133" s="4" t="s">
        <v>1030</v>
      </c>
      <c r="J133" s="4" t="s">
        <v>58</v>
      </c>
      <c r="K133" s="4"/>
      <c r="L133" s="4" t="s">
        <v>64</v>
      </c>
      <c r="M133" s="4" t="s">
        <v>40</v>
      </c>
      <c r="N133" s="4" t="s">
        <v>378</v>
      </c>
      <c r="O133" s="4" t="s">
        <v>68</v>
      </c>
      <c r="P133" s="4" t="s">
        <v>42</v>
      </c>
      <c r="Q133" s="50" t="s">
        <v>43</v>
      </c>
      <c r="R133" s="50"/>
      <c r="S133" s="50">
        <v>0</v>
      </c>
      <c r="T133" s="4" t="s">
        <v>43</v>
      </c>
      <c r="U133" s="4"/>
    </row>
    <row r="134" spans="3:21" hidden="1" x14ac:dyDescent="0.25">
      <c r="C134" s="4" t="s">
        <v>867</v>
      </c>
      <c r="D134" s="4" t="s">
        <v>997</v>
      </c>
      <c r="E134" s="4" t="s">
        <v>869</v>
      </c>
      <c r="F134" s="4">
        <v>5.04</v>
      </c>
      <c r="G134" s="4" t="s">
        <v>376</v>
      </c>
      <c r="H134" s="4" t="s">
        <v>46</v>
      </c>
      <c r="I134" s="4" t="s">
        <v>1030</v>
      </c>
      <c r="J134" s="4" t="s">
        <v>132</v>
      </c>
      <c r="K134" s="4" t="s">
        <v>43</v>
      </c>
      <c r="L134" s="4" t="s">
        <v>856</v>
      </c>
      <c r="M134" s="4" t="s">
        <v>40</v>
      </c>
      <c r="N134" s="4" t="s">
        <v>514</v>
      </c>
      <c r="O134" s="4" t="s">
        <v>867</v>
      </c>
      <c r="P134" s="4" t="s">
        <v>42</v>
      </c>
      <c r="Q134" s="50" t="s">
        <v>43</v>
      </c>
      <c r="R134" s="50"/>
      <c r="S134" s="50" t="s">
        <v>847</v>
      </c>
      <c r="T134" s="4" t="s">
        <v>43</v>
      </c>
      <c r="U134" s="4" t="s">
        <v>32</v>
      </c>
    </row>
    <row r="135" spans="3:21" hidden="1" x14ac:dyDescent="0.25">
      <c r="C135" s="4" t="s">
        <v>71</v>
      </c>
      <c r="D135" s="4" t="s">
        <v>72</v>
      </c>
      <c r="E135" s="4" t="s">
        <v>72</v>
      </c>
      <c r="F135" s="4">
        <v>0</v>
      </c>
      <c r="G135" s="4" t="s">
        <v>37</v>
      </c>
      <c r="H135" s="4" t="s">
        <v>46</v>
      </c>
      <c r="I135" s="4" t="s">
        <v>1030</v>
      </c>
      <c r="J135" s="4" t="s">
        <v>73</v>
      </c>
      <c r="K135" s="4"/>
      <c r="L135" s="4" t="s">
        <v>74</v>
      </c>
      <c r="M135" s="4" t="s">
        <v>40</v>
      </c>
      <c r="N135" s="4" t="s">
        <v>514</v>
      </c>
      <c r="O135" s="4" t="s">
        <v>71</v>
      </c>
      <c r="P135" s="4" t="s">
        <v>42</v>
      </c>
      <c r="Q135" s="50" t="s">
        <v>43</v>
      </c>
      <c r="R135" s="50"/>
      <c r="S135" s="50">
        <v>0</v>
      </c>
      <c r="T135" s="4" t="s">
        <v>43</v>
      </c>
      <c r="U135" s="4"/>
    </row>
    <row r="136" spans="3:21" hidden="1" x14ac:dyDescent="0.25">
      <c r="C136" s="4" t="s">
        <v>802</v>
      </c>
      <c r="D136" s="4" t="s">
        <v>803</v>
      </c>
      <c r="E136" s="4" t="s">
        <v>803</v>
      </c>
      <c r="F136" s="4">
        <v>7</v>
      </c>
      <c r="G136" s="4" t="s">
        <v>376</v>
      </c>
      <c r="H136" s="4" t="s">
        <v>46</v>
      </c>
      <c r="I136" s="4" t="s">
        <v>1030</v>
      </c>
      <c r="J136" s="4" t="s">
        <v>146</v>
      </c>
      <c r="K136" s="4" t="s">
        <v>43</v>
      </c>
      <c r="L136" s="4" t="s">
        <v>59</v>
      </c>
      <c r="M136" s="4" t="s">
        <v>40</v>
      </c>
      <c r="N136" s="4" t="s">
        <v>984</v>
      </c>
      <c r="O136" s="4" t="s">
        <v>802</v>
      </c>
      <c r="P136" s="4" t="s">
        <v>42</v>
      </c>
      <c r="Q136" s="50" t="s">
        <v>43</v>
      </c>
      <c r="R136" s="50"/>
      <c r="S136" s="50" t="s">
        <v>799</v>
      </c>
      <c r="T136" s="4" t="s">
        <v>43</v>
      </c>
      <c r="U136" s="4"/>
    </row>
    <row r="137" spans="3:21" hidden="1" x14ac:dyDescent="0.25">
      <c r="C137" s="4" t="s">
        <v>957</v>
      </c>
      <c r="D137" s="4" t="s">
        <v>959</v>
      </c>
      <c r="E137" s="4" t="s">
        <v>998</v>
      </c>
      <c r="F137" s="4">
        <v>5.45</v>
      </c>
      <c r="G137" s="4" t="s">
        <v>37</v>
      </c>
      <c r="H137" s="4" t="s">
        <v>46</v>
      </c>
      <c r="I137" s="4" t="s">
        <v>1030</v>
      </c>
      <c r="J137" s="4" t="s">
        <v>160</v>
      </c>
      <c r="K137" s="4" t="s">
        <v>43</v>
      </c>
      <c r="L137" s="4" t="s">
        <v>39</v>
      </c>
      <c r="M137" s="4" t="s">
        <v>40</v>
      </c>
      <c r="N137" s="4" t="s">
        <v>378</v>
      </c>
      <c r="O137" s="4" t="s">
        <v>957</v>
      </c>
      <c r="P137" s="4" t="s">
        <v>42</v>
      </c>
      <c r="Q137" s="50" t="s">
        <v>43</v>
      </c>
      <c r="R137" s="50"/>
      <c r="S137" s="50" t="s">
        <v>931</v>
      </c>
      <c r="T137" s="4" t="s">
        <v>43</v>
      </c>
      <c r="U137" s="4"/>
    </row>
    <row r="138" spans="3:21" hidden="1" x14ac:dyDescent="0.25">
      <c r="C138" s="4" t="s">
        <v>75</v>
      </c>
      <c r="D138" s="4" t="s">
        <v>76</v>
      </c>
      <c r="E138" s="4" t="s">
        <v>77</v>
      </c>
      <c r="F138" s="4" t="s">
        <v>36</v>
      </c>
      <c r="G138" s="4" t="s">
        <v>37</v>
      </c>
      <c r="H138" s="4" t="s">
        <v>38</v>
      </c>
      <c r="I138" s="4" t="s">
        <v>1030</v>
      </c>
      <c r="J138" s="4">
        <v>0</v>
      </c>
      <c r="K138" s="4"/>
      <c r="L138" s="4" t="s">
        <v>78</v>
      </c>
      <c r="M138" s="4" t="s">
        <v>40</v>
      </c>
      <c r="N138" s="4">
        <v>0</v>
      </c>
      <c r="O138" s="4" t="s">
        <v>75</v>
      </c>
      <c r="P138" s="4" t="s">
        <v>42</v>
      </c>
      <c r="Q138" s="50" t="s">
        <v>43</v>
      </c>
      <c r="R138" s="50"/>
      <c r="S138" s="50">
        <v>0</v>
      </c>
      <c r="T138" s="4" t="s">
        <v>43</v>
      </c>
      <c r="U138" s="4"/>
    </row>
    <row r="139" spans="3:21" hidden="1" x14ac:dyDescent="0.25">
      <c r="C139" s="4" t="s">
        <v>491</v>
      </c>
      <c r="D139" s="4" t="s">
        <v>493</v>
      </c>
      <c r="E139" s="4" t="s">
        <v>493</v>
      </c>
      <c r="F139" s="4">
        <v>5</v>
      </c>
      <c r="G139" s="4" t="s">
        <v>376</v>
      </c>
      <c r="H139" s="4" t="s">
        <v>46</v>
      </c>
      <c r="I139" s="4" t="s">
        <v>1030</v>
      </c>
      <c r="J139" s="4" t="s">
        <v>466</v>
      </c>
      <c r="K139" s="4" t="s">
        <v>43</v>
      </c>
      <c r="L139" s="4" t="s">
        <v>51</v>
      </c>
      <c r="M139" s="4" t="s">
        <v>40</v>
      </c>
      <c r="N139" s="4" t="s">
        <v>378</v>
      </c>
      <c r="O139" s="4" t="s">
        <v>491</v>
      </c>
      <c r="P139" s="4" t="s">
        <v>42</v>
      </c>
      <c r="Q139" s="50" t="s">
        <v>43</v>
      </c>
      <c r="R139" s="50"/>
      <c r="S139" s="50" t="s">
        <v>467</v>
      </c>
      <c r="T139" s="4" t="s">
        <v>43</v>
      </c>
      <c r="U139" s="4"/>
    </row>
    <row r="140" spans="3:21" hidden="1" x14ac:dyDescent="0.25">
      <c r="C140" s="4" t="s">
        <v>494</v>
      </c>
      <c r="D140" s="4" t="s">
        <v>495</v>
      </c>
      <c r="E140" s="4" t="s">
        <v>496</v>
      </c>
      <c r="F140" s="4">
        <v>5.04</v>
      </c>
      <c r="G140" s="4" t="s">
        <v>376</v>
      </c>
      <c r="H140" s="4" t="s">
        <v>46</v>
      </c>
      <c r="I140" s="4" t="s">
        <v>1030</v>
      </c>
      <c r="J140" s="4" t="s">
        <v>466</v>
      </c>
      <c r="K140" s="4" t="s">
        <v>43</v>
      </c>
      <c r="L140" s="4" t="s">
        <v>51</v>
      </c>
      <c r="M140" s="4" t="s">
        <v>40</v>
      </c>
      <c r="N140" s="4" t="s">
        <v>378</v>
      </c>
      <c r="O140" s="4" t="s">
        <v>494</v>
      </c>
      <c r="P140" s="4" t="s">
        <v>42</v>
      </c>
      <c r="Q140" s="50" t="s">
        <v>43</v>
      </c>
      <c r="R140" s="50"/>
      <c r="S140" s="50" t="s">
        <v>467</v>
      </c>
      <c r="T140" s="4" t="s">
        <v>43</v>
      </c>
      <c r="U140" s="4" t="s">
        <v>32</v>
      </c>
    </row>
    <row r="141" spans="3:21" hidden="1" x14ac:dyDescent="0.25">
      <c r="C141" s="4" t="s">
        <v>542</v>
      </c>
      <c r="D141" s="4" t="s">
        <v>543</v>
      </c>
      <c r="E141" s="4" t="s">
        <v>543</v>
      </c>
      <c r="F141" s="4">
        <v>6</v>
      </c>
      <c r="G141" s="4" t="s">
        <v>376</v>
      </c>
      <c r="H141" s="4" t="s">
        <v>46</v>
      </c>
      <c r="I141" s="4" t="s">
        <v>1030</v>
      </c>
      <c r="J141" s="4" t="s">
        <v>100</v>
      </c>
      <c r="K141" s="4" t="s">
        <v>43</v>
      </c>
      <c r="L141" s="4" t="s">
        <v>138</v>
      </c>
      <c r="M141" s="4" t="s">
        <v>40</v>
      </c>
      <c r="N141" s="4" t="s">
        <v>514</v>
      </c>
      <c r="O141" s="4" t="s">
        <v>542</v>
      </c>
      <c r="P141" s="4" t="s">
        <v>42</v>
      </c>
      <c r="Q141" s="50" t="s">
        <v>43</v>
      </c>
      <c r="R141" s="50"/>
      <c r="S141" s="50" t="s">
        <v>515</v>
      </c>
      <c r="T141" s="4" t="s">
        <v>43</v>
      </c>
      <c r="U141" s="4"/>
    </row>
    <row r="142" spans="3:21" hidden="1" x14ac:dyDescent="0.25">
      <c r="C142" s="4" t="s">
        <v>544</v>
      </c>
      <c r="D142" s="4" t="s">
        <v>545</v>
      </c>
      <c r="E142" s="4" t="s">
        <v>545</v>
      </c>
      <c r="F142" s="4">
        <v>5</v>
      </c>
      <c r="G142" s="4" t="s">
        <v>376</v>
      </c>
      <c r="H142" s="4" t="s">
        <v>46</v>
      </c>
      <c r="I142" s="4" t="s">
        <v>1030</v>
      </c>
      <c r="J142" s="4" t="s">
        <v>100</v>
      </c>
      <c r="K142" s="4" t="s">
        <v>43</v>
      </c>
      <c r="L142" s="4" t="s">
        <v>138</v>
      </c>
      <c r="M142" s="4" t="s">
        <v>40</v>
      </c>
      <c r="N142" s="4" t="s">
        <v>514</v>
      </c>
      <c r="O142" s="4" t="s">
        <v>544</v>
      </c>
      <c r="P142" s="4" t="s">
        <v>42</v>
      </c>
      <c r="Q142" s="50" t="s">
        <v>43</v>
      </c>
      <c r="R142" s="50"/>
      <c r="S142" s="50" t="s">
        <v>515</v>
      </c>
      <c r="T142" s="4" t="s">
        <v>43</v>
      </c>
      <c r="U142" s="4"/>
    </row>
    <row r="143" spans="3:21" hidden="1" x14ac:dyDescent="0.25">
      <c r="C143" s="4" t="s">
        <v>810</v>
      </c>
      <c r="D143" s="4" t="s">
        <v>811</v>
      </c>
      <c r="E143" s="4" t="s">
        <v>811</v>
      </c>
      <c r="F143" s="4">
        <v>5</v>
      </c>
      <c r="G143" s="4" t="s">
        <v>376</v>
      </c>
      <c r="H143" s="4" t="s">
        <v>46</v>
      </c>
      <c r="I143" s="4" t="s">
        <v>1030</v>
      </c>
      <c r="J143" s="4" t="s">
        <v>146</v>
      </c>
      <c r="K143" s="4" t="s">
        <v>43</v>
      </c>
      <c r="L143" s="4" t="s">
        <v>59</v>
      </c>
      <c r="M143" s="4" t="s">
        <v>40</v>
      </c>
      <c r="N143" s="4" t="s">
        <v>984</v>
      </c>
      <c r="O143" s="4" t="s">
        <v>810</v>
      </c>
      <c r="P143" s="4" t="s">
        <v>42</v>
      </c>
      <c r="Q143" s="50" t="s">
        <v>43</v>
      </c>
      <c r="R143" s="50"/>
      <c r="S143" s="50" t="s">
        <v>799</v>
      </c>
      <c r="T143" s="4" t="s">
        <v>43</v>
      </c>
      <c r="U143" s="4"/>
    </row>
    <row r="144" spans="3:21" hidden="1" x14ac:dyDescent="0.25">
      <c r="C144" s="4" t="s">
        <v>79</v>
      </c>
      <c r="D144" s="4" t="s">
        <v>80</v>
      </c>
      <c r="E144" s="4" t="s">
        <v>80</v>
      </c>
      <c r="F144" s="4" t="s">
        <v>36</v>
      </c>
      <c r="G144" s="4" t="s">
        <v>37</v>
      </c>
      <c r="H144" s="4" t="s">
        <v>81</v>
      </c>
      <c r="I144" s="4" t="s">
        <v>1030</v>
      </c>
      <c r="J144" s="4">
        <v>0</v>
      </c>
      <c r="K144" s="4"/>
      <c r="L144" s="4" t="s">
        <v>59</v>
      </c>
      <c r="M144" s="4" t="s">
        <v>40</v>
      </c>
      <c r="N144" s="4">
        <v>0</v>
      </c>
      <c r="O144" s="4" t="s">
        <v>79</v>
      </c>
      <c r="P144" s="4" t="s">
        <v>42</v>
      </c>
      <c r="Q144" s="50" t="s">
        <v>43</v>
      </c>
      <c r="R144" s="50"/>
      <c r="S144" s="50">
        <v>0</v>
      </c>
      <c r="T144" s="4" t="s">
        <v>43</v>
      </c>
      <c r="U144" s="4"/>
    </row>
    <row r="145" spans="3:21" hidden="1" x14ac:dyDescent="0.25">
      <c r="C145" s="4" t="s">
        <v>870</v>
      </c>
      <c r="D145" s="4" t="s">
        <v>871</v>
      </c>
      <c r="E145" s="4" t="s">
        <v>871</v>
      </c>
      <c r="F145" s="4">
        <v>5</v>
      </c>
      <c r="G145" s="4" t="s">
        <v>376</v>
      </c>
      <c r="H145" s="4" t="s">
        <v>46</v>
      </c>
      <c r="I145" s="4" t="s">
        <v>1030</v>
      </c>
      <c r="J145" s="4" t="s">
        <v>132</v>
      </c>
      <c r="K145" s="4" t="s">
        <v>43</v>
      </c>
      <c r="L145" s="4" t="s">
        <v>856</v>
      </c>
      <c r="M145" s="4" t="s">
        <v>40</v>
      </c>
      <c r="N145" s="4" t="s">
        <v>514</v>
      </c>
      <c r="O145" s="4" t="s">
        <v>870</v>
      </c>
      <c r="P145" s="4" t="s">
        <v>42</v>
      </c>
      <c r="Q145" s="50" t="s">
        <v>43</v>
      </c>
      <c r="R145" s="50"/>
      <c r="S145" s="50" t="s">
        <v>847</v>
      </c>
      <c r="T145" s="4" t="s">
        <v>43</v>
      </c>
      <c r="U145" s="4"/>
    </row>
    <row r="146" spans="3:21" hidden="1" x14ac:dyDescent="0.25">
      <c r="C146" s="4">
        <v>50096</v>
      </c>
      <c r="D146" s="4" t="s">
        <v>683</v>
      </c>
      <c r="E146" s="4" t="s">
        <v>684</v>
      </c>
      <c r="F146" s="4">
        <v>5</v>
      </c>
      <c r="G146" s="4" t="s">
        <v>376</v>
      </c>
      <c r="H146" s="4" t="s">
        <v>81</v>
      </c>
      <c r="I146" s="4" t="s">
        <v>1030</v>
      </c>
      <c r="J146" s="4" t="s">
        <v>248</v>
      </c>
      <c r="K146" s="4" t="s">
        <v>43</v>
      </c>
      <c r="L146" s="4" t="s">
        <v>51</v>
      </c>
      <c r="M146" s="4" t="s">
        <v>40</v>
      </c>
      <c r="N146" s="4" t="s">
        <v>984</v>
      </c>
      <c r="O146" s="4">
        <v>50096</v>
      </c>
      <c r="P146" s="4" t="s">
        <v>42</v>
      </c>
      <c r="Q146" s="50" t="s">
        <v>43</v>
      </c>
      <c r="R146" s="50"/>
      <c r="S146" s="50" t="s">
        <v>51</v>
      </c>
      <c r="T146" s="4" t="s">
        <v>43</v>
      </c>
      <c r="U146" s="4"/>
    </row>
    <row r="147" spans="3:21" hidden="1" x14ac:dyDescent="0.25">
      <c r="C147" s="4">
        <v>50724</v>
      </c>
      <c r="D147" s="4" t="s">
        <v>900</v>
      </c>
      <c r="E147" s="4" t="s">
        <v>900</v>
      </c>
      <c r="F147" s="4">
        <v>5</v>
      </c>
      <c r="G147" s="4" t="s">
        <v>376</v>
      </c>
      <c r="H147" s="4" t="s">
        <v>46</v>
      </c>
      <c r="I147" s="4" t="s">
        <v>1030</v>
      </c>
      <c r="J147" s="4" t="s">
        <v>73</v>
      </c>
      <c r="K147" s="4" t="s">
        <v>43</v>
      </c>
      <c r="L147" s="4" t="s">
        <v>609</v>
      </c>
      <c r="M147" s="4" t="s">
        <v>40</v>
      </c>
      <c r="N147" s="4" t="s">
        <v>514</v>
      </c>
      <c r="O147" s="4">
        <v>50724</v>
      </c>
      <c r="P147" s="4" t="s">
        <v>42</v>
      </c>
      <c r="Q147" s="50" t="s">
        <v>43</v>
      </c>
      <c r="R147" s="50"/>
      <c r="S147" s="50" t="s">
        <v>886</v>
      </c>
      <c r="T147" s="4" t="s">
        <v>43</v>
      </c>
      <c r="U147" s="4"/>
    </row>
    <row r="148" spans="3:21" hidden="1" x14ac:dyDescent="0.25">
      <c r="C148" s="4">
        <v>50863</v>
      </c>
      <c r="D148" s="4" t="s">
        <v>901</v>
      </c>
      <c r="E148" s="4" t="s">
        <v>902</v>
      </c>
      <c r="F148" s="4">
        <v>5</v>
      </c>
      <c r="G148" s="4" t="s">
        <v>376</v>
      </c>
      <c r="H148" s="4" t="s">
        <v>81</v>
      </c>
      <c r="I148" s="4" t="s">
        <v>1030</v>
      </c>
      <c r="J148" s="4" t="s">
        <v>73</v>
      </c>
      <c r="K148" s="4" t="s">
        <v>43</v>
      </c>
      <c r="L148" s="4" t="s">
        <v>364</v>
      </c>
      <c r="M148" s="4" t="s">
        <v>40</v>
      </c>
      <c r="N148" s="4" t="s">
        <v>514</v>
      </c>
      <c r="O148" s="4">
        <v>50863</v>
      </c>
      <c r="P148" s="4" t="s">
        <v>42</v>
      </c>
      <c r="Q148" s="50" t="s">
        <v>43</v>
      </c>
      <c r="R148" s="50"/>
      <c r="S148" s="50" t="s">
        <v>886</v>
      </c>
      <c r="T148" s="4" t="s">
        <v>43</v>
      </c>
      <c r="U148" s="4"/>
    </row>
    <row r="149" spans="3:21" hidden="1" x14ac:dyDescent="0.25">
      <c r="C149" s="4" t="s">
        <v>82</v>
      </c>
      <c r="D149" s="4" t="s">
        <v>83</v>
      </c>
      <c r="E149" s="4" t="s">
        <v>83</v>
      </c>
      <c r="F149" s="4" t="s">
        <v>36</v>
      </c>
      <c r="G149" s="4" t="s">
        <v>37</v>
      </c>
      <c r="H149" s="4" t="s">
        <v>81</v>
      </c>
      <c r="I149" s="4" t="s">
        <v>1030</v>
      </c>
      <c r="J149" s="4" t="s">
        <v>84</v>
      </c>
      <c r="K149" s="4"/>
      <c r="L149" s="4" t="s">
        <v>85</v>
      </c>
      <c r="M149" s="4" t="s">
        <v>55</v>
      </c>
      <c r="N149" s="4" t="s">
        <v>984</v>
      </c>
      <c r="O149" s="4" t="s">
        <v>82</v>
      </c>
      <c r="P149" s="4" t="s">
        <v>42</v>
      </c>
      <c r="Q149" s="50" t="s">
        <v>43</v>
      </c>
      <c r="R149" s="50"/>
      <c r="S149" s="50">
        <v>0</v>
      </c>
      <c r="T149" s="4" t="s">
        <v>43</v>
      </c>
      <c r="U149" s="4"/>
    </row>
    <row r="150" spans="3:21" hidden="1" x14ac:dyDescent="0.25">
      <c r="C150" s="4" t="s">
        <v>86</v>
      </c>
      <c r="D150" s="4" t="s">
        <v>87</v>
      </c>
      <c r="E150" s="4" t="s">
        <v>87</v>
      </c>
      <c r="F150" s="4" t="s">
        <v>36</v>
      </c>
      <c r="G150" s="4" t="s">
        <v>37</v>
      </c>
      <c r="H150" s="4" t="s">
        <v>88</v>
      </c>
      <c r="I150" s="4" t="s">
        <v>1030</v>
      </c>
      <c r="J150" s="4" t="s">
        <v>89</v>
      </c>
      <c r="K150" s="4"/>
      <c r="L150" s="4" t="s">
        <v>90</v>
      </c>
      <c r="M150" s="4" t="s">
        <v>91</v>
      </c>
      <c r="N150" s="4" t="s">
        <v>378</v>
      </c>
      <c r="O150" s="4" t="s">
        <v>86</v>
      </c>
      <c r="P150" s="4" t="s">
        <v>42</v>
      </c>
      <c r="Q150" s="50" t="s">
        <v>43</v>
      </c>
      <c r="R150" s="50"/>
      <c r="S150" s="50">
        <v>0</v>
      </c>
      <c r="T150" s="4" t="s">
        <v>43</v>
      </c>
      <c r="U150" s="4"/>
    </row>
    <row r="151" spans="3:21" hidden="1" x14ac:dyDescent="0.25">
      <c r="C151" s="4" t="s">
        <v>576</v>
      </c>
      <c r="D151" s="4" t="s">
        <v>577</v>
      </c>
      <c r="E151" s="4" t="s">
        <v>577</v>
      </c>
      <c r="F151" s="4">
        <v>5</v>
      </c>
      <c r="G151" s="4" t="s">
        <v>376</v>
      </c>
      <c r="H151" s="4" t="s">
        <v>46</v>
      </c>
      <c r="I151" s="4" t="s">
        <v>1030</v>
      </c>
      <c r="J151" s="4" t="s">
        <v>331</v>
      </c>
      <c r="K151" s="4" t="s">
        <v>43</v>
      </c>
      <c r="L151" s="4" t="s">
        <v>138</v>
      </c>
      <c r="M151" s="4" t="s">
        <v>40</v>
      </c>
      <c r="N151" s="4" t="s">
        <v>422</v>
      </c>
      <c r="O151" s="4" t="s">
        <v>576</v>
      </c>
      <c r="P151" s="4" t="s">
        <v>42</v>
      </c>
      <c r="Q151" s="50" t="s">
        <v>43</v>
      </c>
      <c r="R151" s="50"/>
      <c r="S151" s="50" t="s">
        <v>557</v>
      </c>
      <c r="T151" s="4" t="s">
        <v>43</v>
      </c>
      <c r="U151" s="4"/>
    </row>
    <row r="152" spans="3:21" hidden="1" x14ac:dyDescent="0.25">
      <c r="C152" s="4" t="s">
        <v>92</v>
      </c>
      <c r="D152" s="4" t="s">
        <v>93</v>
      </c>
      <c r="E152" s="4" t="s">
        <v>93</v>
      </c>
      <c r="F152" s="4" t="s">
        <v>36</v>
      </c>
      <c r="G152" s="4" t="s">
        <v>37</v>
      </c>
      <c r="H152" s="4" t="s">
        <v>81</v>
      </c>
      <c r="I152" s="4" t="s">
        <v>1030</v>
      </c>
      <c r="J152" s="4" t="s">
        <v>94</v>
      </c>
      <c r="K152" s="4"/>
      <c r="L152" s="4" t="s">
        <v>64</v>
      </c>
      <c r="M152" s="4" t="s">
        <v>40</v>
      </c>
      <c r="N152" s="4" t="s">
        <v>422</v>
      </c>
      <c r="O152" s="4" t="s">
        <v>92</v>
      </c>
      <c r="P152" s="4" t="s">
        <v>42</v>
      </c>
      <c r="Q152" s="50" t="s">
        <v>43</v>
      </c>
      <c r="R152" s="50"/>
      <c r="S152" s="50">
        <v>0</v>
      </c>
      <c r="T152" s="4" t="s">
        <v>43</v>
      </c>
      <c r="U152" s="4"/>
    </row>
    <row r="153" spans="3:21" hidden="1" x14ac:dyDescent="0.25">
      <c r="C153" s="4" t="s">
        <v>782</v>
      </c>
      <c r="D153" s="4" t="s">
        <v>783</v>
      </c>
      <c r="E153" s="4" t="s">
        <v>783</v>
      </c>
      <c r="F153" s="4">
        <v>5</v>
      </c>
      <c r="G153" s="4" t="s">
        <v>376</v>
      </c>
      <c r="H153" s="4" t="s">
        <v>81</v>
      </c>
      <c r="I153" s="4" t="s">
        <v>1031</v>
      </c>
      <c r="J153" s="4" t="s">
        <v>89</v>
      </c>
      <c r="K153" s="4" t="s">
        <v>43</v>
      </c>
      <c r="L153" s="4" t="s">
        <v>103</v>
      </c>
      <c r="M153" s="4" t="s">
        <v>104</v>
      </c>
      <c r="N153" s="4" t="s">
        <v>378</v>
      </c>
      <c r="O153" s="4" t="s">
        <v>782</v>
      </c>
      <c r="P153" s="4" t="s">
        <v>42</v>
      </c>
      <c r="Q153" s="50" t="s">
        <v>43</v>
      </c>
      <c r="R153" s="50"/>
      <c r="S153" s="50" t="s">
        <v>772</v>
      </c>
      <c r="T153" s="4" t="s">
        <v>43</v>
      </c>
      <c r="U153" s="4"/>
    </row>
    <row r="154" spans="3:21" hidden="1" x14ac:dyDescent="0.25">
      <c r="C154" s="4" t="s">
        <v>95</v>
      </c>
      <c r="D154" s="4" t="s">
        <v>96</v>
      </c>
      <c r="E154" s="4" t="s">
        <v>96</v>
      </c>
      <c r="F154" s="4" t="s">
        <v>36</v>
      </c>
      <c r="G154" s="4" t="s">
        <v>37</v>
      </c>
      <c r="H154" s="4" t="s">
        <v>81</v>
      </c>
      <c r="I154" s="4" t="s">
        <v>1030</v>
      </c>
      <c r="J154" s="4">
        <v>0</v>
      </c>
      <c r="K154" s="4"/>
      <c r="L154" s="4" t="s">
        <v>97</v>
      </c>
      <c r="M154" s="4" t="s">
        <v>40</v>
      </c>
      <c r="N154" s="4">
        <v>0</v>
      </c>
      <c r="O154" s="4" t="s">
        <v>95</v>
      </c>
      <c r="P154" s="4" t="s">
        <v>42</v>
      </c>
      <c r="Q154" s="50" t="s">
        <v>43</v>
      </c>
      <c r="R154" s="50"/>
      <c r="S154" s="50">
        <v>0</v>
      </c>
      <c r="T154" s="4" t="s">
        <v>43</v>
      </c>
      <c r="U154" s="4"/>
    </row>
    <row r="155" spans="3:21" hidden="1" x14ac:dyDescent="0.25">
      <c r="C155" s="4" t="s">
        <v>98</v>
      </c>
      <c r="D155" s="4" t="s">
        <v>99</v>
      </c>
      <c r="E155" s="4" t="s">
        <v>99</v>
      </c>
      <c r="F155" s="4" t="s">
        <v>36</v>
      </c>
      <c r="G155" s="4" t="s">
        <v>37</v>
      </c>
      <c r="H155" s="4" t="s">
        <v>81</v>
      </c>
      <c r="I155" s="4" t="s">
        <v>1030</v>
      </c>
      <c r="J155" s="4" t="s">
        <v>100</v>
      </c>
      <c r="K155" s="4"/>
      <c r="L155" s="4" t="s">
        <v>59</v>
      </c>
      <c r="M155" s="4" t="s">
        <v>40</v>
      </c>
      <c r="N155" s="4" t="s">
        <v>514</v>
      </c>
      <c r="O155" s="4" t="s">
        <v>98</v>
      </c>
      <c r="P155" s="4" t="s">
        <v>42</v>
      </c>
      <c r="Q155" s="50" t="s">
        <v>43</v>
      </c>
      <c r="R155" s="50"/>
      <c r="S155" s="50">
        <v>0</v>
      </c>
      <c r="T155" s="4" t="s">
        <v>43</v>
      </c>
      <c r="U155" s="4"/>
    </row>
    <row r="156" spans="3:21" hidden="1" x14ac:dyDescent="0.25">
      <c r="C156" s="4" t="s">
        <v>712</v>
      </c>
      <c r="D156" s="4" t="s">
        <v>713</v>
      </c>
      <c r="E156" s="4" t="s">
        <v>713</v>
      </c>
      <c r="F156" s="4">
        <v>5</v>
      </c>
      <c r="G156" s="4" t="s">
        <v>376</v>
      </c>
      <c r="H156" s="4" t="s">
        <v>46</v>
      </c>
      <c r="I156" s="4" t="s">
        <v>1031</v>
      </c>
      <c r="J156" s="4" t="s">
        <v>84</v>
      </c>
      <c r="K156" s="4" t="s">
        <v>440</v>
      </c>
      <c r="L156" s="4" t="s">
        <v>54</v>
      </c>
      <c r="M156" s="4" t="s">
        <v>55</v>
      </c>
      <c r="N156" s="4" t="s">
        <v>984</v>
      </c>
      <c r="O156" s="4" t="s">
        <v>712</v>
      </c>
      <c r="P156" s="4" t="s">
        <v>42</v>
      </c>
      <c r="Q156" s="50" t="s">
        <v>43</v>
      </c>
      <c r="R156" s="50"/>
      <c r="S156" s="50" t="s">
        <v>702</v>
      </c>
      <c r="T156" s="4" t="s">
        <v>43</v>
      </c>
      <c r="U156" s="4"/>
    </row>
    <row r="157" spans="3:21" hidden="1" x14ac:dyDescent="0.25">
      <c r="C157" s="4" t="s">
        <v>101</v>
      </c>
      <c r="D157" s="4" t="s">
        <v>102</v>
      </c>
      <c r="E157" s="4" t="s">
        <v>102</v>
      </c>
      <c r="F157" s="4" t="s">
        <v>36</v>
      </c>
      <c r="G157" s="4" t="s">
        <v>37</v>
      </c>
      <c r="H157" s="4" t="s">
        <v>81</v>
      </c>
      <c r="I157" s="4" t="s">
        <v>1030</v>
      </c>
      <c r="J157" s="4" t="s">
        <v>73</v>
      </c>
      <c r="K157" s="4"/>
      <c r="L157" s="4" t="s">
        <v>103</v>
      </c>
      <c r="M157" s="4" t="s">
        <v>104</v>
      </c>
      <c r="N157" s="4" t="s">
        <v>514</v>
      </c>
      <c r="O157" s="4" t="s">
        <v>101</v>
      </c>
      <c r="P157" s="4" t="s">
        <v>42</v>
      </c>
      <c r="Q157" s="50" t="s">
        <v>43</v>
      </c>
      <c r="R157" s="50"/>
      <c r="S157" s="50">
        <v>0</v>
      </c>
      <c r="T157" s="4" t="s">
        <v>43</v>
      </c>
      <c r="U157" s="4"/>
    </row>
    <row r="158" spans="3:21" hidden="1" x14ac:dyDescent="0.25">
      <c r="C158" s="4" t="s">
        <v>105</v>
      </c>
      <c r="D158" s="4" t="s">
        <v>106</v>
      </c>
      <c r="E158" s="4" t="s">
        <v>106</v>
      </c>
      <c r="F158" s="4" t="s">
        <v>36</v>
      </c>
      <c r="G158" s="4" t="s">
        <v>37</v>
      </c>
      <c r="H158" s="4" t="s">
        <v>81</v>
      </c>
      <c r="I158" s="4" t="s">
        <v>1030</v>
      </c>
      <c r="J158" s="4" t="s">
        <v>100</v>
      </c>
      <c r="K158" s="4"/>
      <c r="L158" s="4" t="s">
        <v>59</v>
      </c>
      <c r="M158" s="4" t="s">
        <v>40</v>
      </c>
      <c r="N158" s="4" t="s">
        <v>514</v>
      </c>
      <c r="O158" s="4" t="s">
        <v>105</v>
      </c>
      <c r="P158" s="4" t="s">
        <v>42</v>
      </c>
      <c r="Q158" s="50" t="s">
        <v>43</v>
      </c>
      <c r="R158" s="50"/>
      <c r="S158" s="50">
        <v>0</v>
      </c>
      <c r="T158" s="4" t="s">
        <v>43</v>
      </c>
      <c r="U158" s="4"/>
    </row>
    <row r="159" spans="3:21" hidden="1" x14ac:dyDescent="0.25">
      <c r="C159" s="4" t="s">
        <v>903</v>
      </c>
      <c r="D159" s="4" t="s">
        <v>904</v>
      </c>
      <c r="E159" s="4" t="s">
        <v>904</v>
      </c>
      <c r="F159" s="4">
        <v>5</v>
      </c>
      <c r="G159" s="4" t="s">
        <v>376</v>
      </c>
      <c r="H159" s="4" t="s">
        <v>46</v>
      </c>
      <c r="I159" s="4" t="s">
        <v>1030</v>
      </c>
      <c r="J159" s="4" t="s">
        <v>73</v>
      </c>
      <c r="K159" s="4" t="s">
        <v>43</v>
      </c>
      <c r="L159" s="4" t="s">
        <v>47</v>
      </c>
      <c r="M159" s="4" t="s">
        <v>40</v>
      </c>
      <c r="N159" s="4" t="s">
        <v>514</v>
      </c>
      <c r="O159" s="4" t="s">
        <v>903</v>
      </c>
      <c r="P159" s="4" t="s">
        <v>42</v>
      </c>
      <c r="Q159" s="50" t="s">
        <v>43</v>
      </c>
      <c r="R159" s="50"/>
      <c r="S159" s="50" t="s">
        <v>886</v>
      </c>
      <c r="T159" s="4" t="s">
        <v>43</v>
      </c>
      <c r="U159" s="4"/>
    </row>
    <row r="160" spans="3:21" hidden="1" x14ac:dyDescent="0.25">
      <c r="C160" s="4" t="s">
        <v>107</v>
      </c>
      <c r="D160" s="4" t="s">
        <v>108</v>
      </c>
      <c r="E160" s="4" t="s">
        <v>108</v>
      </c>
      <c r="F160" s="4" t="s">
        <v>36</v>
      </c>
      <c r="G160" s="4" t="s">
        <v>37</v>
      </c>
      <c r="H160" s="4" t="s">
        <v>81</v>
      </c>
      <c r="I160" s="4" t="s">
        <v>1030</v>
      </c>
      <c r="J160" s="4" t="s">
        <v>89</v>
      </c>
      <c r="K160" s="4"/>
      <c r="L160" s="4" t="s">
        <v>109</v>
      </c>
      <c r="M160" s="4" t="s">
        <v>91</v>
      </c>
      <c r="N160" s="4" t="s">
        <v>378</v>
      </c>
      <c r="O160" s="4" t="s">
        <v>107</v>
      </c>
      <c r="P160" s="4" t="s">
        <v>42</v>
      </c>
      <c r="Q160" s="50" t="s">
        <v>43</v>
      </c>
      <c r="R160" s="50"/>
      <c r="S160" s="50" t="s">
        <v>772</v>
      </c>
      <c r="T160" s="4" t="s">
        <v>43</v>
      </c>
      <c r="U160" s="4"/>
    </row>
    <row r="161" spans="3:21" hidden="1" x14ac:dyDescent="0.25">
      <c r="C161" s="4" t="s">
        <v>110</v>
      </c>
      <c r="D161" s="4" t="s">
        <v>111</v>
      </c>
      <c r="E161" s="4" t="s">
        <v>111</v>
      </c>
      <c r="F161" s="4" t="s">
        <v>36</v>
      </c>
      <c r="G161" s="4" t="s">
        <v>37</v>
      </c>
      <c r="H161" s="4" t="s">
        <v>81</v>
      </c>
      <c r="I161" s="4" t="s">
        <v>1030</v>
      </c>
      <c r="J161" s="4" t="s">
        <v>58</v>
      </c>
      <c r="K161" s="4"/>
      <c r="L161" s="4" t="s">
        <v>59</v>
      </c>
      <c r="M161" s="4" t="s">
        <v>40</v>
      </c>
      <c r="N161" s="4" t="s">
        <v>378</v>
      </c>
      <c r="O161" s="4" t="s">
        <v>110</v>
      </c>
      <c r="P161" s="4" t="s">
        <v>42</v>
      </c>
      <c r="Q161" s="50" t="s">
        <v>43</v>
      </c>
      <c r="R161" s="50"/>
      <c r="S161" s="50">
        <v>0</v>
      </c>
      <c r="T161" s="4" t="s">
        <v>43</v>
      </c>
      <c r="U161" s="4"/>
    </row>
    <row r="162" spans="3:21" hidden="1" x14ac:dyDescent="0.25">
      <c r="C162" s="4" t="s">
        <v>112</v>
      </c>
      <c r="D162" s="4" t="s">
        <v>113</v>
      </c>
      <c r="E162" s="4" t="s">
        <v>114</v>
      </c>
      <c r="F162" s="4" t="s">
        <v>36</v>
      </c>
      <c r="G162" s="4" t="s">
        <v>37</v>
      </c>
      <c r="H162" s="4" t="s">
        <v>81</v>
      </c>
      <c r="I162" s="4" t="s">
        <v>1031</v>
      </c>
      <c r="J162" s="4" t="s">
        <v>73</v>
      </c>
      <c r="K162" s="4"/>
      <c r="L162" s="4" t="s">
        <v>115</v>
      </c>
      <c r="M162" s="4" t="s">
        <v>116</v>
      </c>
      <c r="N162" s="4" t="s">
        <v>514</v>
      </c>
      <c r="O162" s="4" t="s">
        <v>112</v>
      </c>
      <c r="P162" s="4" t="s">
        <v>42</v>
      </c>
      <c r="Q162" s="50" t="s">
        <v>43</v>
      </c>
      <c r="R162" s="50"/>
      <c r="S162" s="50">
        <v>0</v>
      </c>
      <c r="T162" s="4" t="s">
        <v>43</v>
      </c>
      <c r="U162" s="4"/>
    </row>
    <row r="163" spans="3:21" hidden="1" x14ac:dyDescent="0.25">
      <c r="C163" s="4" t="s">
        <v>905</v>
      </c>
      <c r="D163" s="4" t="s">
        <v>906</v>
      </c>
      <c r="E163" s="4" t="s">
        <v>906</v>
      </c>
      <c r="F163" s="4">
        <v>5</v>
      </c>
      <c r="G163" s="4" t="s">
        <v>376</v>
      </c>
      <c r="H163" s="4" t="s">
        <v>81</v>
      </c>
      <c r="I163" s="4" t="s">
        <v>1030</v>
      </c>
      <c r="J163" s="4" t="s">
        <v>73</v>
      </c>
      <c r="K163" s="4" t="s">
        <v>43</v>
      </c>
      <c r="L163" s="4" t="s">
        <v>907</v>
      </c>
      <c r="M163" s="4" t="s">
        <v>40</v>
      </c>
      <c r="N163" s="4" t="s">
        <v>514</v>
      </c>
      <c r="O163" s="4" t="s">
        <v>905</v>
      </c>
      <c r="P163" s="4" t="s">
        <v>42</v>
      </c>
      <c r="Q163" s="50" t="s">
        <v>43</v>
      </c>
      <c r="R163" s="50"/>
      <c r="S163" s="50" t="s">
        <v>886</v>
      </c>
      <c r="T163" s="4" t="s">
        <v>43</v>
      </c>
      <c r="U163" s="4"/>
    </row>
    <row r="164" spans="3:21" hidden="1" x14ac:dyDescent="0.25">
      <c r="C164" s="4" t="s">
        <v>685</v>
      </c>
      <c r="D164" s="4" t="s">
        <v>686</v>
      </c>
      <c r="E164" s="4" t="s">
        <v>686</v>
      </c>
      <c r="F164" s="4">
        <v>5</v>
      </c>
      <c r="G164" s="4" t="s">
        <v>376</v>
      </c>
      <c r="H164" s="4" t="s">
        <v>81</v>
      </c>
      <c r="I164" s="4" t="s">
        <v>1030</v>
      </c>
      <c r="J164" s="4" t="s">
        <v>248</v>
      </c>
      <c r="K164" s="4" t="s">
        <v>43</v>
      </c>
      <c r="L164" s="4" t="s">
        <v>51</v>
      </c>
      <c r="M164" s="4" t="s">
        <v>40</v>
      </c>
      <c r="N164" s="4" t="s">
        <v>984</v>
      </c>
      <c r="O164" s="4" t="s">
        <v>685</v>
      </c>
      <c r="P164" s="4" t="s">
        <v>42</v>
      </c>
      <c r="Q164" s="50" t="s">
        <v>43</v>
      </c>
      <c r="R164" s="50"/>
      <c r="S164" s="50" t="s">
        <v>51</v>
      </c>
      <c r="T164" s="4" t="s">
        <v>43</v>
      </c>
      <c r="U164" s="4"/>
    </row>
    <row r="165" spans="3:21" hidden="1" x14ac:dyDescent="0.25">
      <c r="C165" s="4" t="s">
        <v>960</v>
      </c>
      <c r="D165" s="4" t="s">
        <v>961</v>
      </c>
      <c r="E165" s="4" t="s">
        <v>961</v>
      </c>
      <c r="F165" s="4">
        <v>5</v>
      </c>
      <c r="G165" s="4" t="s">
        <v>376</v>
      </c>
      <c r="H165" s="4" t="s">
        <v>81</v>
      </c>
      <c r="I165" s="4" t="s">
        <v>1030</v>
      </c>
      <c r="J165" s="4" t="s">
        <v>160</v>
      </c>
      <c r="K165" s="4" t="s">
        <v>43</v>
      </c>
      <c r="L165" s="4" t="s">
        <v>353</v>
      </c>
      <c r="M165" s="4" t="s">
        <v>40</v>
      </c>
      <c r="N165" s="4" t="s">
        <v>378</v>
      </c>
      <c r="O165" s="4" t="s">
        <v>960</v>
      </c>
      <c r="P165" s="4" t="s">
        <v>42</v>
      </c>
      <c r="Q165" s="50" t="s">
        <v>43</v>
      </c>
      <c r="R165" s="50"/>
      <c r="S165" s="50" t="s">
        <v>931</v>
      </c>
      <c r="T165" s="4" t="s">
        <v>43</v>
      </c>
      <c r="U165" s="4"/>
    </row>
    <row r="166" spans="3:21" hidden="1" x14ac:dyDescent="0.25">
      <c r="C166" s="4" t="s">
        <v>754</v>
      </c>
      <c r="D166" s="4" t="s">
        <v>755</v>
      </c>
      <c r="E166" s="4" t="s">
        <v>755</v>
      </c>
      <c r="F166" s="4">
        <v>5</v>
      </c>
      <c r="G166" s="4" t="s">
        <v>376</v>
      </c>
      <c r="H166" s="4" t="s">
        <v>81</v>
      </c>
      <c r="I166" s="4" t="s">
        <v>1031</v>
      </c>
      <c r="J166" s="4" t="s">
        <v>84</v>
      </c>
      <c r="K166" s="4" t="s">
        <v>440</v>
      </c>
      <c r="L166" s="4" t="s">
        <v>279</v>
      </c>
      <c r="M166" s="4" t="s">
        <v>55</v>
      </c>
      <c r="N166" s="4" t="s">
        <v>984</v>
      </c>
      <c r="O166" s="4" t="s">
        <v>754</v>
      </c>
      <c r="P166" s="4" t="s">
        <v>42</v>
      </c>
      <c r="Q166" s="50" t="s">
        <v>43</v>
      </c>
      <c r="R166" s="50"/>
      <c r="S166" s="50" t="s">
        <v>741</v>
      </c>
      <c r="T166" s="4" t="s">
        <v>43</v>
      </c>
      <c r="U166" s="4"/>
    </row>
    <row r="167" spans="3:21" hidden="1" x14ac:dyDescent="0.25">
      <c r="C167" s="4" t="s">
        <v>872</v>
      </c>
      <c r="D167" s="4" t="s">
        <v>873</v>
      </c>
      <c r="E167" s="4" t="s">
        <v>874</v>
      </c>
      <c r="F167" s="4">
        <v>3.93</v>
      </c>
      <c r="G167" s="4" t="s">
        <v>376</v>
      </c>
      <c r="H167" s="4" t="s">
        <v>81</v>
      </c>
      <c r="I167" s="4" t="s">
        <v>1030</v>
      </c>
      <c r="J167" s="4" t="s">
        <v>132</v>
      </c>
      <c r="K167" s="4" t="s">
        <v>43</v>
      </c>
      <c r="L167" s="4" t="s">
        <v>138</v>
      </c>
      <c r="M167" s="4" t="s">
        <v>40</v>
      </c>
      <c r="N167" s="4" t="s">
        <v>514</v>
      </c>
      <c r="O167" s="4" t="s">
        <v>872</v>
      </c>
      <c r="P167" s="4" t="s">
        <v>42</v>
      </c>
      <c r="Q167" s="50" t="s">
        <v>43</v>
      </c>
      <c r="R167" s="50"/>
      <c r="S167" s="50" t="s">
        <v>847</v>
      </c>
      <c r="T167" s="4" t="s">
        <v>43</v>
      </c>
      <c r="U167" s="4"/>
    </row>
    <row r="168" spans="3:21" hidden="1" x14ac:dyDescent="0.25">
      <c r="C168" s="4" t="s">
        <v>117</v>
      </c>
      <c r="D168" s="4" t="s">
        <v>118</v>
      </c>
      <c r="E168" s="4" t="s">
        <v>118</v>
      </c>
      <c r="F168" s="4" t="s">
        <v>36</v>
      </c>
      <c r="G168" s="4" t="s">
        <v>37</v>
      </c>
      <c r="H168" s="4" t="s">
        <v>81</v>
      </c>
      <c r="I168" s="4" t="s">
        <v>1030</v>
      </c>
      <c r="J168" s="4">
        <v>0</v>
      </c>
      <c r="K168" s="4"/>
      <c r="L168" s="4" t="s">
        <v>59</v>
      </c>
      <c r="M168" s="4" t="s">
        <v>40</v>
      </c>
      <c r="N168" s="4">
        <v>0</v>
      </c>
      <c r="O168" s="4" t="s">
        <v>117</v>
      </c>
      <c r="P168" s="4" t="s">
        <v>42</v>
      </c>
      <c r="Q168" s="50" t="s">
        <v>43</v>
      </c>
      <c r="R168" s="50"/>
      <c r="S168" s="50">
        <v>0</v>
      </c>
      <c r="T168" s="4" t="s">
        <v>43</v>
      </c>
      <c r="U168" s="4"/>
    </row>
    <row r="169" spans="3:21" hidden="1" x14ac:dyDescent="0.25">
      <c r="C169" s="4" t="s">
        <v>594</v>
      </c>
      <c r="D169" s="4" t="s">
        <v>595</v>
      </c>
      <c r="E169" s="4" t="s">
        <v>595</v>
      </c>
      <c r="F169" s="4">
        <v>5</v>
      </c>
      <c r="G169" s="4" t="s">
        <v>376</v>
      </c>
      <c r="H169" s="4" t="s">
        <v>81</v>
      </c>
      <c r="I169" s="4" t="s">
        <v>1030</v>
      </c>
      <c r="J169" s="4" t="s">
        <v>50</v>
      </c>
      <c r="K169" s="4" t="s">
        <v>43</v>
      </c>
      <c r="L169" s="4" t="s">
        <v>596</v>
      </c>
      <c r="M169" s="4" t="s">
        <v>40</v>
      </c>
      <c r="N169" s="4" t="s">
        <v>422</v>
      </c>
      <c r="O169" s="4" t="s">
        <v>594</v>
      </c>
      <c r="P169" s="4" t="s">
        <v>42</v>
      </c>
      <c r="Q169" s="50" t="s">
        <v>43</v>
      </c>
      <c r="R169" s="50"/>
      <c r="S169" s="50" t="s">
        <v>597</v>
      </c>
      <c r="T169" s="82" t="s">
        <v>440</v>
      </c>
      <c r="U169" s="4"/>
    </row>
    <row r="170" spans="3:21" hidden="1" x14ac:dyDescent="0.25">
      <c r="C170" s="4" t="s">
        <v>119</v>
      </c>
      <c r="D170" s="4" t="s">
        <v>120</v>
      </c>
      <c r="E170" s="4" t="s">
        <v>120</v>
      </c>
      <c r="F170" s="4" t="s">
        <v>36</v>
      </c>
      <c r="G170" s="4" t="s">
        <v>37</v>
      </c>
      <c r="H170" s="4" t="s">
        <v>81</v>
      </c>
      <c r="I170" s="4" t="s">
        <v>1030</v>
      </c>
      <c r="J170" s="4" t="s">
        <v>63</v>
      </c>
      <c r="K170" s="4"/>
      <c r="L170" s="4" t="s">
        <v>64</v>
      </c>
      <c r="M170" s="4" t="s">
        <v>40</v>
      </c>
      <c r="N170" s="4" t="s">
        <v>378</v>
      </c>
      <c r="O170" s="4" t="s">
        <v>119</v>
      </c>
      <c r="P170" s="4" t="s">
        <v>42</v>
      </c>
      <c r="Q170" s="50" t="s">
        <v>43</v>
      </c>
      <c r="R170" s="50"/>
      <c r="S170" s="50">
        <v>0</v>
      </c>
      <c r="T170" s="4" t="s">
        <v>43</v>
      </c>
      <c r="U170" s="4"/>
    </row>
    <row r="171" spans="3:21" hidden="1" x14ac:dyDescent="0.25">
      <c r="C171" s="4" t="s">
        <v>121</v>
      </c>
      <c r="D171" s="4" t="s">
        <v>122</v>
      </c>
      <c r="E171" s="4" t="s">
        <v>123</v>
      </c>
      <c r="F171" s="4" t="s">
        <v>36</v>
      </c>
      <c r="G171" s="4" t="s">
        <v>37</v>
      </c>
      <c r="H171" s="4" t="s">
        <v>81</v>
      </c>
      <c r="I171" s="4" t="s">
        <v>1030</v>
      </c>
      <c r="J171" s="4" t="s">
        <v>73</v>
      </c>
      <c r="K171" s="4"/>
      <c r="L171" s="4" t="s">
        <v>122</v>
      </c>
      <c r="M171" s="4" t="s">
        <v>104</v>
      </c>
      <c r="N171" s="4" t="s">
        <v>514</v>
      </c>
      <c r="O171" s="4" t="s">
        <v>121</v>
      </c>
      <c r="P171" s="4" t="s">
        <v>42</v>
      </c>
      <c r="Q171" s="50" t="s">
        <v>43</v>
      </c>
      <c r="R171" s="50"/>
      <c r="S171" s="50">
        <v>0</v>
      </c>
      <c r="T171" s="4" t="s">
        <v>43</v>
      </c>
      <c r="U171" s="4"/>
    </row>
    <row r="172" spans="3:21" hidden="1" x14ac:dyDescent="0.25">
      <c r="C172" s="4" t="s">
        <v>124</v>
      </c>
      <c r="D172" s="4" t="s">
        <v>125</v>
      </c>
      <c r="E172" s="4" t="s">
        <v>125</v>
      </c>
      <c r="F172" s="4" t="s">
        <v>36</v>
      </c>
      <c r="G172" s="4" t="s">
        <v>37</v>
      </c>
      <c r="H172" s="4" t="s">
        <v>81</v>
      </c>
      <c r="I172" s="4" t="s">
        <v>1030</v>
      </c>
      <c r="J172" s="4">
        <v>0</v>
      </c>
      <c r="K172" s="4"/>
      <c r="L172" s="4" t="s">
        <v>51</v>
      </c>
      <c r="M172" s="4" t="s">
        <v>40</v>
      </c>
      <c r="N172" s="4">
        <v>0</v>
      </c>
      <c r="O172" s="4" t="s">
        <v>124</v>
      </c>
      <c r="P172" s="4" t="s">
        <v>42</v>
      </c>
      <c r="Q172" s="50" t="s">
        <v>43</v>
      </c>
      <c r="R172" s="50"/>
      <c r="S172" s="50">
        <v>0</v>
      </c>
      <c r="T172" s="4" t="s">
        <v>43</v>
      </c>
      <c r="U172" s="4"/>
    </row>
    <row r="173" spans="3:21" hidden="1" x14ac:dyDescent="0.25">
      <c r="C173" s="4" t="s">
        <v>126</v>
      </c>
      <c r="D173" s="4" t="s">
        <v>127</v>
      </c>
      <c r="E173" s="4" t="s">
        <v>128</v>
      </c>
      <c r="F173" s="4" t="s">
        <v>36</v>
      </c>
      <c r="G173" s="4" t="s">
        <v>37</v>
      </c>
      <c r="H173" s="4" t="s">
        <v>81</v>
      </c>
      <c r="I173" s="4" t="s">
        <v>1030</v>
      </c>
      <c r="J173" s="4" t="s">
        <v>73</v>
      </c>
      <c r="K173" s="4"/>
      <c r="L173" s="4" t="s">
        <v>129</v>
      </c>
      <c r="M173" s="4" t="s">
        <v>116</v>
      </c>
      <c r="N173" s="4" t="s">
        <v>514</v>
      </c>
      <c r="O173" s="4" t="s">
        <v>126</v>
      </c>
      <c r="P173" s="4" t="s">
        <v>42</v>
      </c>
      <c r="Q173" s="50" t="s">
        <v>43</v>
      </c>
      <c r="R173" s="50"/>
      <c r="S173" s="50">
        <v>0</v>
      </c>
      <c r="T173" s="4" t="s">
        <v>43</v>
      </c>
      <c r="U173" s="4"/>
    </row>
    <row r="174" spans="3:21" hidden="1" x14ac:dyDescent="0.25">
      <c r="C174" s="4" t="s">
        <v>546</v>
      </c>
      <c r="D174" s="4" t="s">
        <v>547</v>
      </c>
      <c r="E174" s="4" t="s">
        <v>547</v>
      </c>
      <c r="F174" s="4">
        <v>5</v>
      </c>
      <c r="G174" s="4" t="s">
        <v>376</v>
      </c>
      <c r="H174" s="4" t="s">
        <v>46</v>
      </c>
      <c r="I174" s="4" t="s">
        <v>1030</v>
      </c>
      <c r="J174" s="4" t="s">
        <v>100</v>
      </c>
      <c r="K174" s="4" t="s">
        <v>43</v>
      </c>
      <c r="L174" s="4" t="s">
        <v>138</v>
      </c>
      <c r="M174" s="4" t="s">
        <v>40</v>
      </c>
      <c r="N174" s="4" t="s">
        <v>514</v>
      </c>
      <c r="O174" s="4" t="s">
        <v>546</v>
      </c>
      <c r="P174" s="4" t="s">
        <v>42</v>
      </c>
      <c r="Q174" s="50" t="s">
        <v>43</v>
      </c>
      <c r="R174" s="50"/>
      <c r="S174" s="50" t="s">
        <v>515</v>
      </c>
      <c r="T174" s="4" t="s">
        <v>43</v>
      </c>
      <c r="U174" s="4"/>
    </row>
    <row r="175" spans="3:21" hidden="1" x14ac:dyDescent="0.25">
      <c r="C175" s="4" t="s">
        <v>130</v>
      </c>
      <c r="D175" s="4" t="s">
        <v>131</v>
      </c>
      <c r="E175" s="4" t="s">
        <v>131</v>
      </c>
      <c r="F175" s="4" t="s">
        <v>36</v>
      </c>
      <c r="G175" s="4" t="s">
        <v>37</v>
      </c>
      <c r="H175" s="4" t="s">
        <v>81</v>
      </c>
      <c r="I175" s="4" t="s">
        <v>1030</v>
      </c>
      <c r="J175" s="4" t="s">
        <v>132</v>
      </c>
      <c r="K175" s="4"/>
      <c r="L175" s="4" t="s">
        <v>133</v>
      </c>
      <c r="M175" s="4" t="s">
        <v>40</v>
      </c>
      <c r="N175" s="4" t="s">
        <v>514</v>
      </c>
      <c r="O175" s="4" t="s">
        <v>130</v>
      </c>
      <c r="P175" s="4" t="s">
        <v>42</v>
      </c>
      <c r="Q175" s="50" t="s">
        <v>43</v>
      </c>
      <c r="R175" s="50"/>
      <c r="S175" s="50">
        <v>0</v>
      </c>
      <c r="T175" s="4" t="s">
        <v>43</v>
      </c>
      <c r="U175" s="4"/>
    </row>
    <row r="176" spans="3:21" hidden="1" x14ac:dyDescent="0.25">
      <c r="C176" s="4" t="s">
        <v>134</v>
      </c>
      <c r="D176" s="4" t="s">
        <v>135</v>
      </c>
      <c r="E176" s="4" t="s">
        <v>135</v>
      </c>
      <c r="F176" s="4" t="s">
        <v>36</v>
      </c>
      <c r="G176" s="4" t="s">
        <v>37</v>
      </c>
      <c r="H176" s="4" t="s">
        <v>81</v>
      </c>
      <c r="I176" s="4" t="s">
        <v>1030</v>
      </c>
      <c r="J176" s="4" t="s">
        <v>132</v>
      </c>
      <c r="K176" s="4"/>
      <c r="L176" s="4" t="s">
        <v>51</v>
      </c>
      <c r="M176" s="4" t="s">
        <v>40</v>
      </c>
      <c r="N176" s="4" t="s">
        <v>514</v>
      </c>
      <c r="O176" s="4" t="s">
        <v>134</v>
      </c>
      <c r="P176" s="4" t="s">
        <v>42</v>
      </c>
      <c r="Q176" s="50" t="s">
        <v>43</v>
      </c>
      <c r="R176" s="50"/>
      <c r="S176" s="50">
        <v>0</v>
      </c>
      <c r="T176" s="4" t="s">
        <v>43</v>
      </c>
      <c r="U176" s="4"/>
    </row>
    <row r="177" spans="3:21" hidden="1" x14ac:dyDescent="0.25">
      <c r="C177" s="4" t="s">
        <v>136</v>
      </c>
      <c r="D177" s="4" t="s">
        <v>137</v>
      </c>
      <c r="E177" s="4" t="s">
        <v>137</v>
      </c>
      <c r="F177" s="4" t="s">
        <v>36</v>
      </c>
      <c r="G177" s="4" t="s">
        <v>37</v>
      </c>
      <c r="H177" s="4" t="s">
        <v>88</v>
      </c>
      <c r="I177" s="4" t="s">
        <v>1030</v>
      </c>
      <c r="J177" s="4" t="s">
        <v>58</v>
      </c>
      <c r="K177" s="4"/>
      <c r="L177" s="4" t="s">
        <v>138</v>
      </c>
      <c r="M177" s="4" t="s">
        <v>40</v>
      </c>
      <c r="N177" s="4" t="s">
        <v>378</v>
      </c>
      <c r="O177" s="4" t="s">
        <v>136</v>
      </c>
      <c r="P177" s="4" t="s">
        <v>42</v>
      </c>
      <c r="Q177" s="50" t="s">
        <v>43</v>
      </c>
      <c r="R177" s="50"/>
      <c r="S177" s="50">
        <v>0</v>
      </c>
      <c r="T177" s="4" t="s">
        <v>43</v>
      </c>
      <c r="U177" s="4"/>
    </row>
    <row r="178" spans="3:21" hidden="1" x14ac:dyDescent="0.25">
      <c r="C178" s="4" t="s">
        <v>139</v>
      </c>
      <c r="D178" s="4" t="s">
        <v>140</v>
      </c>
      <c r="E178" s="4" t="s">
        <v>140</v>
      </c>
      <c r="F178" s="4" t="s">
        <v>36</v>
      </c>
      <c r="G178" s="4" t="s">
        <v>37</v>
      </c>
      <c r="H178" s="4" t="s">
        <v>88</v>
      </c>
      <c r="I178" s="4" t="s">
        <v>1030</v>
      </c>
      <c r="J178" s="4" t="s">
        <v>89</v>
      </c>
      <c r="K178" s="4"/>
      <c r="L178" s="4" t="s">
        <v>109</v>
      </c>
      <c r="M178" s="4" t="s">
        <v>91</v>
      </c>
      <c r="N178" s="4" t="s">
        <v>378</v>
      </c>
      <c r="O178" s="4" t="s">
        <v>139</v>
      </c>
      <c r="P178" s="4" t="s">
        <v>42</v>
      </c>
      <c r="Q178" s="50" t="s">
        <v>43</v>
      </c>
      <c r="R178" s="50"/>
      <c r="S178" s="50">
        <v>0</v>
      </c>
      <c r="T178" s="4" t="s">
        <v>43</v>
      </c>
      <c r="U178" s="4"/>
    </row>
    <row r="179" spans="3:21" hidden="1" x14ac:dyDescent="0.25">
      <c r="C179" s="4" t="s">
        <v>411</v>
      </c>
      <c r="D179" s="4" t="s">
        <v>412</v>
      </c>
      <c r="E179" s="4" t="s">
        <v>412</v>
      </c>
      <c r="F179" s="4">
        <v>5</v>
      </c>
      <c r="G179" s="4" t="s">
        <v>376</v>
      </c>
      <c r="H179" s="4" t="s">
        <v>46</v>
      </c>
      <c r="I179" s="4" t="s">
        <v>1031</v>
      </c>
      <c r="J179" s="4" t="s">
        <v>63</v>
      </c>
      <c r="K179" s="4" t="s">
        <v>43</v>
      </c>
      <c r="L179" s="4" t="s">
        <v>138</v>
      </c>
      <c r="M179" s="4" t="s">
        <v>40</v>
      </c>
      <c r="N179" s="4" t="s">
        <v>378</v>
      </c>
      <c r="O179" s="4" t="s">
        <v>411</v>
      </c>
      <c r="P179" s="4" t="s">
        <v>42</v>
      </c>
      <c r="Q179" s="50" t="s">
        <v>43</v>
      </c>
      <c r="R179" s="50"/>
      <c r="S179" s="50" t="s">
        <v>380</v>
      </c>
      <c r="T179" s="4" t="s">
        <v>43</v>
      </c>
      <c r="U179" s="4"/>
    </row>
    <row r="180" spans="3:21" hidden="1" x14ac:dyDescent="0.25">
      <c r="C180" s="4" t="s">
        <v>578</v>
      </c>
      <c r="D180" s="4" t="s">
        <v>579</v>
      </c>
      <c r="E180" s="4" t="s">
        <v>579</v>
      </c>
      <c r="F180" s="4">
        <v>5</v>
      </c>
      <c r="G180" s="4" t="s">
        <v>376</v>
      </c>
      <c r="H180" s="4" t="s">
        <v>46</v>
      </c>
      <c r="I180" s="4" t="s">
        <v>1030</v>
      </c>
      <c r="J180" s="4" t="s">
        <v>331</v>
      </c>
      <c r="K180" s="4" t="s">
        <v>43</v>
      </c>
      <c r="L180" s="4" t="s">
        <v>138</v>
      </c>
      <c r="M180" s="4" t="s">
        <v>40</v>
      </c>
      <c r="N180" s="4" t="s">
        <v>422</v>
      </c>
      <c r="O180" s="4" t="s">
        <v>578</v>
      </c>
      <c r="P180" s="4" t="s">
        <v>42</v>
      </c>
      <c r="Q180" s="50" t="s">
        <v>43</v>
      </c>
      <c r="R180" s="50"/>
      <c r="S180" s="50" t="s">
        <v>557</v>
      </c>
      <c r="T180" s="4" t="s">
        <v>43</v>
      </c>
      <c r="U180" s="4"/>
    </row>
    <row r="181" spans="3:21" hidden="1" x14ac:dyDescent="0.25">
      <c r="C181" s="4" t="s">
        <v>908</v>
      </c>
      <c r="D181" s="4" t="s">
        <v>909</v>
      </c>
      <c r="E181" s="4" t="s">
        <v>910</v>
      </c>
      <c r="F181" s="4">
        <v>5</v>
      </c>
      <c r="G181" s="4" t="s">
        <v>37</v>
      </c>
      <c r="H181" s="4" t="s">
        <v>81</v>
      </c>
      <c r="I181" s="4" t="s">
        <v>1030</v>
      </c>
      <c r="J181" s="4" t="s">
        <v>73</v>
      </c>
      <c r="K181" s="4"/>
      <c r="L181" s="4" t="s">
        <v>911</v>
      </c>
      <c r="M181" s="4" t="s">
        <v>40</v>
      </c>
      <c r="N181" s="4" t="s">
        <v>514</v>
      </c>
      <c r="O181" s="4" t="s">
        <v>908</v>
      </c>
      <c r="P181" s="4" t="s">
        <v>42</v>
      </c>
      <c r="Q181" s="50" t="s">
        <v>43</v>
      </c>
      <c r="R181" s="50"/>
      <c r="S181" s="50" t="s">
        <v>886</v>
      </c>
      <c r="T181" s="4" t="s">
        <v>43</v>
      </c>
      <c r="U181" s="4"/>
    </row>
    <row r="182" spans="3:21" hidden="1" x14ac:dyDescent="0.25">
      <c r="C182" s="4" t="s">
        <v>413</v>
      </c>
      <c r="D182" s="4" t="s">
        <v>414</v>
      </c>
      <c r="E182" s="4" t="s">
        <v>414</v>
      </c>
      <c r="F182" s="4">
        <v>5</v>
      </c>
      <c r="G182" s="4" t="s">
        <v>376</v>
      </c>
      <c r="H182" s="4" t="s">
        <v>46</v>
      </c>
      <c r="I182" s="4" t="s">
        <v>1031</v>
      </c>
      <c r="J182" s="4" t="s">
        <v>63</v>
      </c>
      <c r="K182" s="4" t="s">
        <v>43</v>
      </c>
      <c r="L182" s="4" t="s">
        <v>138</v>
      </c>
      <c r="M182" s="4" t="s">
        <v>40</v>
      </c>
      <c r="N182" s="4" t="s">
        <v>378</v>
      </c>
      <c r="O182" s="4" t="s">
        <v>413</v>
      </c>
      <c r="P182" s="4" t="s">
        <v>42</v>
      </c>
      <c r="Q182" s="50" t="s">
        <v>43</v>
      </c>
      <c r="R182" s="50"/>
      <c r="S182" s="50" t="s">
        <v>380</v>
      </c>
      <c r="T182" s="4" t="s">
        <v>43</v>
      </c>
      <c r="U182" s="4"/>
    </row>
    <row r="183" spans="3:21" hidden="1" x14ac:dyDescent="0.25">
      <c r="C183" s="4" t="s">
        <v>580</v>
      </c>
      <c r="D183" s="4" t="s">
        <v>581</v>
      </c>
      <c r="E183" s="4" t="s">
        <v>581</v>
      </c>
      <c r="F183" s="4">
        <v>5</v>
      </c>
      <c r="G183" s="4" t="s">
        <v>376</v>
      </c>
      <c r="H183" s="4" t="s">
        <v>46</v>
      </c>
      <c r="I183" s="4" t="s">
        <v>1030</v>
      </c>
      <c r="J183" s="4" t="s">
        <v>331</v>
      </c>
      <c r="K183" s="4" t="s">
        <v>43</v>
      </c>
      <c r="L183" s="4" t="s">
        <v>138</v>
      </c>
      <c r="M183" s="4" t="s">
        <v>40</v>
      </c>
      <c r="N183" s="4" t="s">
        <v>422</v>
      </c>
      <c r="O183" s="4" t="s">
        <v>580</v>
      </c>
      <c r="P183" s="4" t="s">
        <v>42</v>
      </c>
      <c r="Q183" s="50" t="s">
        <v>43</v>
      </c>
      <c r="R183" s="50"/>
      <c r="S183" s="50" t="s">
        <v>557</v>
      </c>
      <c r="T183" s="4" t="s">
        <v>43</v>
      </c>
      <c r="U183" s="4"/>
    </row>
    <row r="184" spans="3:21" hidden="1" x14ac:dyDescent="0.25">
      <c r="C184" s="4" t="s">
        <v>756</v>
      </c>
      <c r="D184" s="4" t="s">
        <v>757</v>
      </c>
      <c r="E184" s="4" t="s">
        <v>757</v>
      </c>
      <c r="F184" s="4">
        <v>5</v>
      </c>
      <c r="G184" s="4" t="s">
        <v>376</v>
      </c>
      <c r="H184" s="4" t="s">
        <v>46</v>
      </c>
      <c r="I184" s="4" t="s">
        <v>1031</v>
      </c>
      <c r="J184" s="4" t="s">
        <v>84</v>
      </c>
      <c r="K184" s="4" t="s">
        <v>440</v>
      </c>
      <c r="L184" s="4" t="s">
        <v>54</v>
      </c>
      <c r="M184" s="4" t="s">
        <v>55</v>
      </c>
      <c r="N184" s="4" t="s">
        <v>984</v>
      </c>
      <c r="O184" s="4" t="s">
        <v>756</v>
      </c>
      <c r="P184" s="4" t="s">
        <v>42</v>
      </c>
      <c r="Q184" s="50" t="s">
        <v>43</v>
      </c>
      <c r="R184" s="50"/>
      <c r="S184" s="50" t="s">
        <v>741</v>
      </c>
      <c r="T184" s="4" t="s">
        <v>43</v>
      </c>
      <c r="U184" s="4"/>
    </row>
    <row r="185" spans="3:21" hidden="1" x14ac:dyDescent="0.25">
      <c r="C185" s="4" t="s">
        <v>812</v>
      </c>
      <c r="D185" s="4" t="s">
        <v>813</v>
      </c>
      <c r="E185" s="4" t="s">
        <v>813</v>
      </c>
      <c r="F185" s="4">
        <v>5</v>
      </c>
      <c r="G185" s="4" t="s">
        <v>376</v>
      </c>
      <c r="H185" s="4" t="s">
        <v>46</v>
      </c>
      <c r="I185" s="4" t="s">
        <v>1030</v>
      </c>
      <c r="J185" s="4" t="s">
        <v>146</v>
      </c>
      <c r="K185" s="4" t="s">
        <v>43</v>
      </c>
      <c r="L185" s="4" t="s">
        <v>59</v>
      </c>
      <c r="M185" s="4" t="s">
        <v>40</v>
      </c>
      <c r="N185" s="4" t="s">
        <v>984</v>
      </c>
      <c r="O185" s="4" t="s">
        <v>812</v>
      </c>
      <c r="P185" s="4" t="s">
        <v>42</v>
      </c>
      <c r="Q185" s="50" t="s">
        <v>43</v>
      </c>
      <c r="R185" s="50"/>
      <c r="S185" s="50" t="s">
        <v>799</v>
      </c>
      <c r="T185" s="4" t="s">
        <v>43</v>
      </c>
      <c r="U185" s="4"/>
    </row>
    <row r="186" spans="3:21" hidden="1" x14ac:dyDescent="0.25">
      <c r="C186" s="4" t="s">
        <v>141</v>
      </c>
      <c r="D186" s="4" t="s">
        <v>142</v>
      </c>
      <c r="E186" s="4" t="s">
        <v>142</v>
      </c>
      <c r="F186" s="4" t="s">
        <v>36</v>
      </c>
      <c r="G186" s="4" t="s">
        <v>37</v>
      </c>
      <c r="H186" s="4" t="s">
        <v>81</v>
      </c>
      <c r="I186" s="4" t="s">
        <v>1030</v>
      </c>
      <c r="J186" s="4">
        <v>0</v>
      </c>
      <c r="K186" s="4"/>
      <c r="L186" s="4" t="s">
        <v>143</v>
      </c>
      <c r="M186" s="4" t="s">
        <v>40</v>
      </c>
      <c r="N186" s="4">
        <v>0</v>
      </c>
      <c r="O186" s="4" t="s">
        <v>141</v>
      </c>
      <c r="P186" s="4" t="s">
        <v>42</v>
      </c>
      <c r="Q186" s="50" t="s">
        <v>43</v>
      </c>
      <c r="R186" s="50"/>
      <c r="S186" s="50">
        <v>0</v>
      </c>
      <c r="T186" s="4" t="s">
        <v>43</v>
      </c>
      <c r="U186" s="4"/>
    </row>
    <row r="187" spans="3:21" hidden="1" x14ac:dyDescent="0.25">
      <c r="C187" s="4" t="s">
        <v>437</v>
      </c>
      <c r="D187" s="4" t="s">
        <v>438</v>
      </c>
      <c r="E187" s="4" t="s">
        <v>439</v>
      </c>
      <c r="F187" s="4">
        <v>5</v>
      </c>
      <c r="G187" s="4" t="s">
        <v>376</v>
      </c>
      <c r="H187" s="4" t="s">
        <v>81</v>
      </c>
      <c r="I187" s="4" t="s">
        <v>1030</v>
      </c>
      <c r="J187" s="4" t="s">
        <v>94</v>
      </c>
      <c r="K187" s="4" t="s">
        <v>43</v>
      </c>
      <c r="L187" s="4" t="s">
        <v>64</v>
      </c>
      <c r="M187" s="4" t="s">
        <v>40</v>
      </c>
      <c r="N187" s="4" t="s">
        <v>422</v>
      </c>
      <c r="O187" s="4" t="s">
        <v>437</v>
      </c>
      <c r="P187" s="4" t="s">
        <v>42</v>
      </c>
      <c r="Q187" s="50" t="s">
        <v>43</v>
      </c>
      <c r="R187" s="50"/>
      <c r="S187" s="50" t="s">
        <v>423</v>
      </c>
      <c r="T187" s="82" t="s">
        <v>440</v>
      </c>
      <c r="U187" s="4"/>
    </row>
    <row r="188" spans="3:21" hidden="1" x14ac:dyDescent="0.25">
      <c r="C188" s="4" t="s">
        <v>497</v>
      </c>
      <c r="D188" s="4" t="s">
        <v>498</v>
      </c>
      <c r="E188" s="4" t="s">
        <v>499</v>
      </c>
      <c r="F188" s="4">
        <v>5</v>
      </c>
      <c r="G188" s="4" t="s">
        <v>376</v>
      </c>
      <c r="H188" s="4" t="s">
        <v>46</v>
      </c>
      <c r="I188" s="4" t="s">
        <v>1030</v>
      </c>
      <c r="J188" s="4" t="s">
        <v>466</v>
      </c>
      <c r="K188" s="4" t="s">
        <v>43</v>
      </c>
      <c r="L188" s="4" t="s">
        <v>51</v>
      </c>
      <c r="M188" s="4" t="s">
        <v>40</v>
      </c>
      <c r="N188" s="4" t="s">
        <v>378</v>
      </c>
      <c r="O188" s="4" t="s">
        <v>497</v>
      </c>
      <c r="P188" s="4" t="s">
        <v>42</v>
      </c>
      <c r="Q188" s="50" t="s">
        <v>43</v>
      </c>
      <c r="R188" s="50"/>
      <c r="S188" s="50" t="s">
        <v>467</v>
      </c>
      <c r="T188" s="4" t="s">
        <v>43</v>
      </c>
      <c r="U188" s="4"/>
    </row>
    <row r="189" spans="3:21" hidden="1" x14ac:dyDescent="0.25">
      <c r="C189" s="4" t="s">
        <v>144</v>
      </c>
      <c r="D189" s="4" t="s">
        <v>145</v>
      </c>
      <c r="E189" s="4" t="s">
        <v>145</v>
      </c>
      <c r="F189" s="4" t="s">
        <v>36</v>
      </c>
      <c r="G189" s="4" t="s">
        <v>37</v>
      </c>
      <c r="H189" s="4" t="s">
        <v>46</v>
      </c>
      <c r="I189" s="4" t="s">
        <v>1030</v>
      </c>
      <c r="J189" s="4" t="s">
        <v>146</v>
      </c>
      <c r="K189" s="4"/>
      <c r="L189" s="4" t="s">
        <v>138</v>
      </c>
      <c r="M189" s="4" t="s">
        <v>40</v>
      </c>
      <c r="N189" s="4" t="s">
        <v>984</v>
      </c>
      <c r="O189" s="4" t="s">
        <v>144</v>
      </c>
      <c r="P189" s="4" t="s">
        <v>42</v>
      </c>
      <c r="Q189" s="50" t="s">
        <v>43</v>
      </c>
      <c r="R189" s="50"/>
      <c r="S189" s="50">
        <v>0</v>
      </c>
      <c r="T189" s="4" t="s">
        <v>43</v>
      </c>
      <c r="U189" s="4"/>
    </row>
    <row r="190" spans="3:21" hidden="1" x14ac:dyDescent="0.25">
      <c r="C190" s="4" t="s">
        <v>784</v>
      </c>
      <c r="D190" s="4" t="s">
        <v>785</v>
      </c>
      <c r="E190" s="4" t="s">
        <v>785</v>
      </c>
      <c r="F190" s="4">
        <v>5.45</v>
      </c>
      <c r="G190" s="4" t="s">
        <v>376</v>
      </c>
      <c r="H190" s="4" t="s">
        <v>46</v>
      </c>
      <c r="I190" s="4" t="s">
        <v>1031</v>
      </c>
      <c r="J190" s="4" t="s">
        <v>89</v>
      </c>
      <c r="K190" s="4" t="s">
        <v>43</v>
      </c>
      <c r="L190" s="4" t="s">
        <v>109</v>
      </c>
      <c r="M190" s="4" t="s">
        <v>91</v>
      </c>
      <c r="N190" s="4" t="s">
        <v>378</v>
      </c>
      <c r="O190" s="4" t="s">
        <v>784</v>
      </c>
      <c r="P190" s="4" t="s">
        <v>42</v>
      </c>
      <c r="Q190" s="50" t="s">
        <v>43</v>
      </c>
      <c r="R190" s="50"/>
      <c r="S190" s="50" t="s">
        <v>772</v>
      </c>
      <c r="T190" s="4" t="s">
        <v>43</v>
      </c>
      <c r="U190" s="4"/>
    </row>
    <row r="191" spans="3:21" hidden="1" x14ac:dyDescent="0.25">
      <c r="C191" s="4" t="s">
        <v>147</v>
      </c>
      <c r="D191" s="4" t="s">
        <v>148</v>
      </c>
      <c r="E191" s="4" t="s">
        <v>148</v>
      </c>
      <c r="F191" s="4" t="s">
        <v>36</v>
      </c>
      <c r="G191" s="4" t="s">
        <v>37</v>
      </c>
      <c r="H191" s="4" t="s">
        <v>46</v>
      </c>
      <c r="I191" s="4" t="s">
        <v>1030</v>
      </c>
      <c r="J191" s="4" t="s">
        <v>50</v>
      </c>
      <c r="K191" s="4"/>
      <c r="L191" s="4" t="s">
        <v>51</v>
      </c>
      <c r="M191" s="4" t="s">
        <v>40</v>
      </c>
      <c r="N191" s="4" t="s">
        <v>422</v>
      </c>
      <c r="O191" s="4" t="s">
        <v>147</v>
      </c>
      <c r="P191" s="4" t="s">
        <v>42</v>
      </c>
      <c r="Q191" s="50" t="s">
        <v>43</v>
      </c>
      <c r="R191" s="50"/>
      <c r="S191" s="50">
        <v>0</v>
      </c>
      <c r="T191" s="4" t="s">
        <v>43</v>
      </c>
      <c r="U191" s="4"/>
    </row>
    <row r="192" spans="3:21" hidden="1" x14ac:dyDescent="0.25">
      <c r="C192" s="4" t="s">
        <v>149</v>
      </c>
      <c r="D192" s="4" t="s">
        <v>150</v>
      </c>
      <c r="E192" s="4" t="s">
        <v>150</v>
      </c>
      <c r="F192" s="4" t="s">
        <v>36</v>
      </c>
      <c r="G192" s="4" t="s">
        <v>37</v>
      </c>
      <c r="H192" s="4" t="s">
        <v>81</v>
      </c>
      <c r="I192" s="4" t="s">
        <v>1030</v>
      </c>
      <c r="J192" s="4" t="s">
        <v>100</v>
      </c>
      <c r="K192" s="4"/>
      <c r="L192" s="4" t="s">
        <v>59</v>
      </c>
      <c r="M192" s="4" t="s">
        <v>40</v>
      </c>
      <c r="N192" s="4" t="s">
        <v>514</v>
      </c>
      <c r="O192" s="4" t="s">
        <v>149</v>
      </c>
      <c r="P192" s="4" t="s">
        <v>42</v>
      </c>
      <c r="Q192" s="50" t="s">
        <v>43</v>
      </c>
      <c r="R192" s="50"/>
      <c r="S192" s="50">
        <v>0</v>
      </c>
      <c r="T192" s="4" t="s">
        <v>43</v>
      </c>
      <c r="U192" s="4"/>
    </row>
    <row r="193" spans="3:21" hidden="1" x14ac:dyDescent="0.25">
      <c r="C193" s="4" t="s">
        <v>151</v>
      </c>
      <c r="D193" s="4" t="s">
        <v>152</v>
      </c>
      <c r="E193" s="4" t="s">
        <v>152</v>
      </c>
      <c r="F193" s="4" t="s">
        <v>36</v>
      </c>
      <c r="G193" s="4" t="s">
        <v>37</v>
      </c>
      <c r="H193" s="4" t="s">
        <v>88</v>
      </c>
      <c r="I193" s="4" t="s">
        <v>1030</v>
      </c>
      <c r="J193" s="4" t="s">
        <v>132</v>
      </c>
      <c r="K193" s="4"/>
      <c r="L193" s="4" t="s">
        <v>133</v>
      </c>
      <c r="M193" s="4" t="s">
        <v>40</v>
      </c>
      <c r="N193" s="4" t="s">
        <v>514</v>
      </c>
      <c r="O193" s="4" t="s">
        <v>151</v>
      </c>
      <c r="P193" s="4" t="s">
        <v>42</v>
      </c>
      <c r="Q193" s="50" t="s">
        <v>43</v>
      </c>
      <c r="R193" s="50"/>
      <c r="S193" s="50">
        <v>0</v>
      </c>
      <c r="T193" s="4" t="s">
        <v>43</v>
      </c>
      <c r="U193" s="4"/>
    </row>
    <row r="194" spans="3:21" hidden="1" x14ac:dyDescent="0.25">
      <c r="C194" s="4" t="s">
        <v>786</v>
      </c>
      <c r="D194" s="4" t="s">
        <v>787</v>
      </c>
      <c r="E194" s="4" t="s">
        <v>787</v>
      </c>
      <c r="F194" s="4">
        <v>5</v>
      </c>
      <c r="G194" s="4" t="s">
        <v>376</v>
      </c>
      <c r="H194" s="4" t="s">
        <v>81</v>
      </c>
      <c r="I194" s="4" t="s">
        <v>1031</v>
      </c>
      <c r="J194" s="4" t="s">
        <v>89</v>
      </c>
      <c r="K194" s="4" t="s">
        <v>43</v>
      </c>
      <c r="L194" s="4" t="s">
        <v>109</v>
      </c>
      <c r="M194" s="4" t="s">
        <v>91</v>
      </c>
      <c r="N194" s="4" t="s">
        <v>378</v>
      </c>
      <c r="O194" s="4" t="s">
        <v>786</v>
      </c>
      <c r="P194" s="4" t="s">
        <v>42</v>
      </c>
      <c r="Q194" s="50" t="s">
        <v>43</v>
      </c>
      <c r="R194" s="50"/>
      <c r="S194" s="50" t="s">
        <v>772</v>
      </c>
      <c r="T194" s="4" t="s">
        <v>43</v>
      </c>
      <c r="U194" s="4" t="s">
        <v>32</v>
      </c>
    </row>
    <row r="195" spans="3:21" hidden="1" x14ac:dyDescent="0.25">
      <c r="C195" s="4" t="s">
        <v>582</v>
      </c>
      <c r="D195" s="4" t="s">
        <v>583</v>
      </c>
      <c r="E195" s="4" t="s">
        <v>583</v>
      </c>
      <c r="F195" s="4">
        <v>5</v>
      </c>
      <c r="G195" s="4" t="s">
        <v>376</v>
      </c>
      <c r="H195" s="4" t="s">
        <v>46</v>
      </c>
      <c r="I195" s="4" t="s">
        <v>1030</v>
      </c>
      <c r="J195" s="4" t="s">
        <v>331</v>
      </c>
      <c r="K195" s="4" t="s">
        <v>43</v>
      </c>
      <c r="L195" s="4" t="s">
        <v>138</v>
      </c>
      <c r="M195" s="4" t="s">
        <v>40</v>
      </c>
      <c r="N195" s="4" t="s">
        <v>422</v>
      </c>
      <c r="O195" s="4" t="s">
        <v>582</v>
      </c>
      <c r="P195" s="4" t="s">
        <v>42</v>
      </c>
      <c r="Q195" s="50" t="s">
        <v>43</v>
      </c>
      <c r="R195" s="50"/>
      <c r="S195" s="50" t="s">
        <v>557</v>
      </c>
      <c r="T195" s="4" t="s">
        <v>43</v>
      </c>
      <c r="U195" s="4"/>
    </row>
    <row r="196" spans="3:21" hidden="1" x14ac:dyDescent="0.25">
      <c r="C196" s="4" t="s">
        <v>714</v>
      </c>
      <c r="D196" s="4" t="s">
        <v>715</v>
      </c>
      <c r="E196" s="4" t="s">
        <v>715</v>
      </c>
      <c r="F196" s="4">
        <v>5</v>
      </c>
      <c r="G196" s="4" t="s">
        <v>376</v>
      </c>
      <c r="H196" s="4" t="s">
        <v>46</v>
      </c>
      <c r="I196" s="4" t="s">
        <v>1031</v>
      </c>
      <c r="J196" s="4" t="s">
        <v>84</v>
      </c>
      <c r="K196" s="4" t="s">
        <v>440</v>
      </c>
      <c r="L196" s="4" t="s">
        <v>54</v>
      </c>
      <c r="M196" s="4" t="s">
        <v>55</v>
      </c>
      <c r="N196" s="4" t="s">
        <v>984</v>
      </c>
      <c r="O196" s="4" t="s">
        <v>714</v>
      </c>
      <c r="P196" s="4" t="s">
        <v>42</v>
      </c>
      <c r="Q196" s="50" t="s">
        <v>43</v>
      </c>
      <c r="R196" s="50"/>
      <c r="S196" s="50" t="s">
        <v>702</v>
      </c>
      <c r="T196" s="4" t="s">
        <v>43</v>
      </c>
      <c r="U196" s="4"/>
    </row>
    <row r="197" spans="3:21" hidden="1" x14ac:dyDescent="0.25">
      <c r="C197" s="4" t="s">
        <v>153</v>
      </c>
      <c r="D197" s="4" t="s">
        <v>154</v>
      </c>
      <c r="E197" s="4" t="s">
        <v>155</v>
      </c>
      <c r="F197" s="4" t="s">
        <v>36</v>
      </c>
      <c r="G197" s="4" t="s">
        <v>37</v>
      </c>
      <c r="H197" s="4" t="s">
        <v>81</v>
      </c>
      <c r="I197" s="4" t="s">
        <v>1030</v>
      </c>
      <c r="J197" s="4" t="s">
        <v>84</v>
      </c>
      <c r="K197" s="4"/>
      <c r="L197" s="4" t="s">
        <v>54</v>
      </c>
      <c r="M197" s="4" t="s">
        <v>55</v>
      </c>
      <c r="N197" s="4" t="s">
        <v>984</v>
      </c>
      <c r="O197" s="4" t="s">
        <v>153</v>
      </c>
      <c r="P197" s="4" t="s">
        <v>42</v>
      </c>
      <c r="Q197" s="50" t="s">
        <v>43</v>
      </c>
      <c r="R197" s="50"/>
      <c r="S197" s="50">
        <v>0</v>
      </c>
      <c r="T197" s="4" t="s">
        <v>43</v>
      </c>
      <c r="U197" s="4"/>
    </row>
    <row r="198" spans="3:21" hidden="1" x14ac:dyDescent="0.25">
      <c r="C198" s="4" t="s">
        <v>912</v>
      </c>
      <c r="D198" s="4" t="s">
        <v>913</v>
      </c>
      <c r="E198" s="4" t="s">
        <v>913</v>
      </c>
      <c r="F198" s="4">
        <v>5</v>
      </c>
      <c r="G198" s="4" t="s">
        <v>376</v>
      </c>
      <c r="H198" s="4" t="s">
        <v>81</v>
      </c>
      <c r="I198" s="4" t="s">
        <v>1030</v>
      </c>
      <c r="J198" s="4" t="s">
        <v>73</v>
      </c>
      <c r="K198" s="4" t="s">
        <v>43</v>
      </c>
      <c r="L198" s="4" t="s">
        <v>914</v>
      </c>
      <c r="M198" s="4" t="s">
        <v>40</v>
      </c>
      <c r="N198" s="4" t="s">
        <v>514</v>
      </c>
      <c r="O198" s="4" t="s">
        <v>912</v>
      </c>
      <c r="P198" s="4" t="s">
        <v>42</v>
      </c>
      <c r="Q198" s="50" t="s">
        <v>43</v>
      </c>
      <c r="R198" s="50"/>
      <c r="S198" s="50" t="s">
        <v>886</v>
      </c>
      <c r="T198" s="4" t="s">
        <v>43</v>
      </c>
      <c r="U198" s="4"/>
    </row>
    <row r="199" spans="3:21" hidden="1" x14ac:dyDescent="0.25">
      <c r="C199" s="4" t="s">
        <v>500</v>
      </c>
      <c r="D199" s="4" t="s">
        <v>501</v>
      </c>
      <c r="E199" s="4" t="s">
        <v>501</v>
      </c>
      <c r="F199" s="4">
        <v>5</v>
      </c>
      <c r="G199" s="4" t="s">
        <v>376</v>
      </c>
      <c r="H199" s="4" t="s">
        <v>46</v>
      </c>
      <c r="I199" s="4" t="s">
        <v>1030</v>
      </c>
      <c r="J199" s="4" t="s">
        <v>466</v>
      </c>
      <c r="K199" s="4" t="s">
        <v>43</v>
      </c>
      <c r="L199" s="4" t="s">
        <v>51</v>
      </c>
      <c r="M199" s="4" t="s">
        <v>40</v>
      </c>
      <c r="N199" s="4" t="s">
        <v>378</v>
      </c>
      <c r="O199" s="4" t="s">
        <v>500</v>
      </c>
      <c r="P199" s="4" t="s">
        <v>42</v>
      </c>
      <c r="Q199" s="50" t="s">
        <v>43</v>
      </c>
      <c r="R199" s="50"/>
      <c r="S199" s="50" t="s">
        <v>467</v>
      </c>
      <c r="T199" s="4" t="s">
        <v>43</v>
      </c>
      <c r="U199" s="4"/>
    </row>
    <row r="200" spans="3:21" hidden="1" x14ac:dyDescent="0.25">
      <c r="C200" s="4" t="s">
        <v>441</v>
      </c>
      <c r="D200" s="4" t="s">
        <v>442</v>
      </c>
      <c r="E200" s="4" t="s">
        <v>442</v>
      </c>
      <c r="F200" s="4">
        <v>5</v>
      </c>
      <c r="G200" s="4" t="s">
        <v>376</v>
      </c>
      <c r="H200" s="4" t="s">
        <v>46</v>
      </c>
      <c r="I200" s="4" t="s">
        <v>1030</v>
      </c>
      <c r="J200" s="4" t="s">
        <v>94</v>
      </c>
      <c r="K200" s="4" t="s">
        <v>43</v>
      </c>
      <c r="L200" s="4" t="s">
        <v>64</v>
      </c>
      <c r="M200" s="4" t="s">
        <v>40</v>
      </c>
      <c r="N200" s="4" t="s">
        <v>422</v>
      </c>
      <c r="O200" s="4" t="s">
        <v>441</v>
      </c>
      <c r="P200" s="4" t="s">
        <v>42</v>
      </c>
      <c r="Q200" s="50" t="s">
        <v>43</v>
      </c>
      <c r="R200" s="50"/>
      <c r="S200" s="50" t="s">
        <v>423</v>
      </c>
      <c r="T200" s="4" t="s">
        <v>43</v>
      </c>
      <c r="U200" s="4"/>
    </row>
    <row r="201" spans="3:21" hidden="1" x14ac:dyDescent="0.25">
      <c r="C201" s="4" t="s">
        <v>156</v>
      </c>
      <c r="D201" s="4" t="s">
        <v>157</v>
      </c>
      <c r="E201" s="4" t="s">
        <v>157</v>
      </c>
      <c r="F201" s="4" t="s">
        <v>36</v>
      </c>
      <c r="G201" s="4" t="s">
        <v>37</v>
      </c>
      <c r="H201" s="4" t="s">
        <v>46</v>
      </c>
      <c r="I201" s="4" t="s">
        <v>1030</v>
      </c>
      <c r="J201" s="4">
        <v>0</v>
      </c>
      <c r="K201" s="4"/>
      <c r="L201" s="4" t="s">
        <v>51</v>
      </c>
      <c r="M201" s="4" t="s">
        <v>40</v>
      </c>
      <c r="N201" s="4">
        <v>0</v>
      </c>
      <c r="O201" s="4" t="s">
        <v>156</v>
      </c>
      <c r="P201" s="4" t="s">
        <v>42</v>
      </c>
      <c r="Q201" s="50" t="s">
        <v>43</v>
      </c>
      <c r="R201" s="50"/>
      <c r="S201" s="50">
        <v>0</v>
      </c>
      <c r="T201" s="4" t="s">
        <v>43</v>
      </c>
      <c r="U201" s="4"/>
    </row>
    <row r="202" spans="3:21" hidden="1" x14ac:dyDescent="0.25">
      <c r="C202" s="4" t="s">
        <v>875</v>
      </c>
      <c r="D202" s="4" t="s">
        <v>876</v>
      </c>
      <c r="E202" s="4" t="s">
        <v>876</v>
      </c>
      <c r="F202" s="4">
        <v>3.93</v>
      </c>
      <c r="G202" s="4" t="s">
        <v>376</v>
      </c>
      <c r="H202" s="4" t="s">
        <v>81</v>
      </c>
      <c r="I202" s="4" t="s">
        <v>1030</v>
      </c>
      <c r="J202" s="4" t="s">
        <v>132</v>
      </c>
      <c r="K202" s="4" t="s">
        <v>43</v>
      </c>
      <c r="L202" s="4" t="s">
        <v>856</v>
      </c>
      <c r="M202" s="4" t="s">
        <v>40</v>
      </c>
      <c r="N202" s="4" t="s">
        <v>514</v>
      </c>
      <c r="O202" s="4" t="s">
        <v>875</v>
      </c>
      <c r="P202" s="4" t="s">
        <v>42</v>
      </c>
      <c r="Q202" s="50" t="s">
        <v>43</v>
      </c>
      <c r="R202" s="50"/>
      <c r="S202" s="50" t="s">
        <v>847</v>
      </c>
      <c r="T202" s="4" t="s">
        <v>43</v>
      </c>
      <c r="U202" s="4"/>
    </row>
    <row r="203" spans="3:21" hidden="1" x14ac:dyDescent="0.25">
      <c r="C203" s="4" t="s">
        <v>158</v>
      </c>
      <c r="D203" s="4" t="s">
        <v>159</v>
      </c>
      <c r="E203" s="4" t="s">
        <v>159</v>
      </c>
      <c r="F203" s="4" t="s">
        <v>36</v>
      </c>
      <c r="G203" s="4" t="s">
        <v>37</v>
      </c>
      <c r="H203" s="4" t="s">
        <v>81</v>
      </c>
      <c r="I203" s="4" t="s">
        <v>1030</v>
      </c>
      <c r="J203" s="4" t="s">
        <v>160</v>
      </c>
      <c r="K203" s="4"/>
      <c r="L203" s="4" t="s">
        <v>161</v>
      </c>
      <c r="M203" s="4" t="s">
        <v>55</v>
      </c>
      <c r="N203" s="4" t="s">
        <v>378</v>
      </c>
      <c r="O203" s="4" t="s">
        <v>158</v>
      </c>
      <c r="P203" s="4" t="s">
        <v>42</v>
      </c>
      <c r="Q203" s="50" t="s">
        <v>43</v>
      </c>
      <c r="R203" s="50"/>
      <c r="S203" s="50">
        <v>0</v>
      </c>
      <c r="T203" s="4" t="s">
        <v>43</v>
      </c>
      <c r="U203" s="4"/>
    </row>
    <row r="204" spans="3:21" hidden="1" x14ac:dyDescent="0.25">
      <c r="C204" s="4" t="s">
        <v>814</v>
      </c>
      <c r="D204" s="4" t="s">
        <v>815</v>
      </c>
      <c r="E204" s="4" t="s">
        <v>816</v>
      </c>
      <c r="F204" s="4">
        <v>5</v>
      </c>
      <c r="G204" s="4" t="s">
        <v>376</v>
      </c>
      <c r="H204" s="4" t="s">
        <v>81</v>
      </c>
      <c r="I204" s="4" t="s">
        <v>1030</v>
      </c>
      <c r="J204" s="4" t="s">
        <v>146</v>
      </c>
      <c r="K204" s="4" t="s">
        <v>43</v>
      </c>
      <c r="L204" s="4" t="s">
        <v>59</v>
      </c>
      <c r="M204" s="4" t="s">
        <v>40</v>
      </c>
      <c r="N204" s="4" t="s">
        <v>984</v>
      </c>
      <c r="O204" s="4" t="s">
        <v>814</v>
      </c>
      <c r="P204" s="4" t="s">
        <v>42</v>
      </c>
      <c r="Q204" s="50" t="s">
        <v>43</v>
      </c>
      <c r="R204" s="50"/>
      <c r="S204" s="50" t="s">
        <v>799</v>
      </c>
      <c r="T204" s="4" t="s">
        <v>43</v>
      </c>
      <c r="U204" s="4"/>
    </row>
    <row r="205" spans="3:21" hidden="1" x14ac:dyDescent="0.25">
      <c r="C205" s="4" t="s">
        <v>598</v>
      </c>
      <c r="D205" s="4" t="s">
        <v>599</v>
      </c>
      <c r="E205" s="4" t="s">
        <v>600</v>
      </c>
      <c r="F205" s="4">
        <v>5</v>
      </c>
      <c r="G205" s="4" t="s">
        <v>376</v>
      </c>
      <c r="H205" s="4" t="s">
        <v>81</v>
      </c>
      <c r="I205" s="4" t="s">
        <v>1030</v>
      </c>
      <c r="J205" s="4" t="s">
        <v>50</v>
      </c>
      <c r="K205" s="4" t="s">
        <v>43</v>
      </c>
      <c r="L205" s="4" t="s">
        <v>601</v>
      </c>
      <c r="M205" s="4" t="s">
        <v>40</v>
      </c>
      <c r="N205" s="4" t="s">
        <v>422</v>
      </c>
      <c r="O205" s="4" t="s">
        <v>598</v>
      </c>
      <c r="P205" s="4" t="s">
        <v>42</v>
      </c>
      <c r="Q205" s="50" t="s">
        <v>43</v>
      </c>
      <c r="R205" s="50"/>
      <c r="S205" s="50" t="s">
        <v>597</v>
      </c>
      <c r="T205" s="82" t="s">
        <v>440</v>
      </c>
      <c r="U205" s="4"/>
    </row>
    <row r="206" spans="3:21" hidden="1" x14ac:dyDescent="0.25">
      <c r="C206" s="4" t="s">
        <v>162</v>
      </c>
      <c r="D206" s="4" t="s">
        <v>163</v>
      </c>
      <c r="E206" s="4" t="s">
        <v>163</v>
      </c>
      <c r="F206" s="4" t="s">
        <v>36</v>
      </c>
      <c r="G206" s="4" t="s">
        <v>37</v>
      </c>
      <c r="H206" s="4" t="s">
        <v>88</v>
      </c>
      <c r="I206" s="4" t="s">
        <v>1030</v>
      </c>
      <c r="J206" s="4" t="s">
        <v>63</v>
      </c>
      <c r="K206" s="4"/>
      <c r="L206" s="4" t="s">
        <v>138</v>
      </c>
      <c r="M206" s="4" t="s">
        <v>40</v>
      </c>
      <c r="N206" s="4" t="s">
        <v>378</v>
      </c>
      <c r="O206" s="4" t="s">
        <v>162</v>
      </c>
      <c r="P206" s="4" t="s">
        <v>42</v>
      </c>
      <c r="Q206" s="50" t="s">
        <v>43</v>
      </c>
      <c r="R206" s="50"/>
      <c r="S206" s="50">
        <v>0</v>
      </c>
      <c r="T206" s="4" t="s">
        <v>43</v>
      </c>
      <c r="U206" s="4"/>
    </row>
    <row r="207" spans="3:21" hidden="1" x14ac:dyDescent="0.25">
      <c r="C207" s="4" t="s">
        <v>716</v>
      </c>
      <c r="D207" s="4" t="s">
        <v>717</v>
      </c>
      <c r="E207" s="4" t="s">
        <v>718</v>
      </c>
      <c r="F207" s="4">
        <v>5</v>
      </c>
      <c r="G207" s="4" t="s">
        <v>376</v>
      </c>
      <c r="H207" s="4" t="s">
        <v>46</v>
      </c>
      <c r="I207" s="4" t="s">
        <v>1031</v>
      </c>
      <c r="J207" s="4" t="s">
        <v>84</v>
      </c>
      <c r="K207" s="4" t="s">
        <v>440</v>
      </c>
      <c r="L207" s="4" t="s">
        <v>54</v>
      </c>
      <c r="M207" s="4" t="s">
        <v>55</v>
      </c>
      <c r="N207" s="4" t="s">
        <v>984</v>
      </c>
      <c r="O207" s="4" t="s">
        <v>716</v>
      </c>
      <c r="P207" s="4" t="s">
        <v>42</v>
      </c>
      <c r="Q207" s="50" t="s">
        <v>43</v>
      </c>
      <c r="R207" s="50"/>
      <c r="S207" s="50" t="s">
        <v>702</v>
      </c>
      <c r="T207" s="4" t="s">
        <v>43</v>
      </c>
      <c r="U207" s="4"/>
    </row>
    <row r="208" spans="3:21" hidden="1" x14ac:dyDescent="0.25">
      <c r="C208" s="4" t="s">
        <v>788</v>
      </c>
      <c r="D208" s="4" t="s">
        <v>789</v>
      </c>
      <c r="E208" s="4" t="s">
        <v>790</v>
      </c>
      <c r="F208" s="4">
        <v>5</v>
      </c>
      <c r="G208" s="4" t="s">
        <v>376</v>
      </c>
      <c r="H208" s="4" t="s">
        <v>81</v>
      </c>
      <c r="I208" s="4" t="s">
        <v>1031</v>
      </c>
      <c r="J208" s="4" t="s">
        <v>89</v>
      </c>
      <c r="K208" s="4" t="s">
        <v>43</v>
      </c>
      <c r="L208" s="4" t="s">
        <v>109</v>
      </c>
      <c r="M208" s="4" t="s">
        <v>91</v>
      </c>
      <c r="N208" s="4" t="s">
        <v>378</v>
      </c>
      <c r="O208" s="4" t="s">
        <v>788</v>
      </c>
      <c r="P208" s="4" t="s">
        <v>42</v>
      </c>
      <c r="Q208" s="50" t="s">
        <v>43</v>
      </c>
      <c r="R208" s="50"/>
      <c r="S208" s="50" t="s">
        <v>772</v>
      </c>
      <c r="T208" s="4" t="s">
        <v>43</v>
      </c>
      <c r="U208" s="4"/>
    </row>
    <row r="209" spans="3:21" hidden="1" x14ac:dyDescent="0.25">
      <c r="C209" s="4" t="s">
        <v>443</v>
      </c>
      <c r="D209" s="4" t="s">
        <v>444</v>
      </c>
      <c r="E209" s="4" t="s">
        <v>444</v>
      </c>
      <c r="F209" s="4">
        <v>5</v>
      </c>
      <c r="G209" s="4" t="s">
        <v>376</v>
      </c>
      <c r="H209" s="4" t="s">
        <v>81</v>
      </c>
      <c r="I209" s="4" t="s">
        <v>1030</v>
      </c>
      <c r="J209" s="4" t="s">
        <v>94</v>
      </c>
      <c r="K209" s="4" t="s">
        <v>43</v>
      </c>
      <c r="L209" s="4" t="s">
        <v>64</v>
      </c>
      <c r="M209" s="4" t="s">
        <v>40</v>
      </c>
      <c r="N209" s="4" t="s">
        <v>422</v>
      </c>
      <c r="O209" s="4" t="s">
        <v>443</v>
      </c>
      <c r="P209" s="4" t="s">
        <v>42</v>
      </c>
      <c r="Q209" s="50" t="s">
        <v>43</v>
      </c>
      <c r="R209" s="50"/>
      <c r="S209" s="50" t="s">
        <v>423</v>
      </c>
      <c r="T209" s="4" t="s">
        <v>43</v>
      </c>
      <c r="U209" s="4"/>
    </row>
    <row r="210" spans="3:21" hidden="1" x14ac:dyDescent="0.25">
      <c r="C210" s="4" t="s">
        <v>415</v>
      </c>
      <c r="D210" s="4" t="s">
        <v>416</v>
      </c>
      <c r="E210" s="4" t="s">
        <v>416</v>
      </c>
      <c r="F210" s="4">
        <v>5</v>
      </c>
      <c r="G210" s="4" t="s">
        <v>376</v>
      </c>
      <c r="H210" s="4" t="s">
        <v>81</v>
      </c>
      <c r="I210" s="4" t="s">
        <v>1031</v>
      </c>
      <c r="J210" s="4" t="s">
        <v>63</v>
      </c>
      <c r="K210" s="4" t="s">
        <v>43</v>
      </c>
      <c r="L210" s="4" t="s">
        <v>138</v>
      </c>
      <c r="M210" s="4" t="s">
        <v>40</v>
      </c>
      <c r="N210" s="4" t="s">
        <v>378</v>
      </c>
      <c r="O210" s="4" t="s">
        <v>415</v>
      </c>
      <c r="P210" s="4" t="s">
        <v>42</v>
      </c>
      <c r="Q210" s="50" t="s">
        <v>43</v>
      </c>
      <c r="R210" s="50"/>
      <c r="S210" s="50" t="s">
        <v>380</v>
      </c>
      <c r="T210" s="4" t="s">
        <v>43</v>
      </c>
      <c r="U210" s="4"/>
    </row>
    <row r="211" spans="3:21" hidden="1" x14ac:dyDescent="0.25">
      <c r="C211" s="4" t="s">
        <v>915</v>
      </c>
      <c r="D211" s="4" t="s">
        <v>916</v>
      </c>
      <c r="E211" s="4" t="s">
        <v>916</v>
      </c>
      <c r="F211" s="4">
        <v>5</v>
      </c>
      <c r="G211" s="4" t="s">
        <v>376</v>
      </c>
      <c r="H211" s="4" t="s">
        <v>81</v>
      </c>
      <c r="I211" s="4" t="s">
        <v>1030</v>
      </c>
      <c r="J211" s="4" t="s">
        <v>73</v>
      </c>
      <c r="K211" s="4" t="s">
        <v>43</v>
      </c>
      <c r="L211" s="4" t="s">
        <v>133</v>
      </c>
      <c r="M211" s="4" t="s">
        <v>40</v>
      </c>
      <c r="N211" s="4" t="s">
        <v>514</v>
      </c>
      <c r="O211" s="4" t="s">
        <v>915</v>
      </c>
      <c r="P211" s="4" t="s">
        <v>42</v>
      </c>
      <c r="Q211" s="50" t="s">
        <v>43</v>
      </c>
      <c r="R211" s="50"/>
      <c r="S211" s="50" t="s">
        <v>886</v>
      </c>
      <c r="T211" s="4" t="s">
        <v>43</v>
      </c>
      <c r="U211" s="4"/>
    </row>
    <row r="212" spans="3:21" hidden="1" x14ac:dyDescent="0.25">
      <c r="C212" s="4" t="s">
        <v>164</v>
      </c>
      <c r="D212" s="4" t="s">
        <v>165</v>
      </c>
      <c r="E212" s="4" t="s">
        <v>165</v>
      </c>
      <c r="F212" s="4" t="s">
        <v>36</v>
      </c>
      <c r="G212" s="4" t="s">
        <v>37</v>
      </c>
      <c r="H212" s="4" t="s">
        <v>46</v>
      </c>
      <c r="I212" s="4" t="s">
        <v>1030</v>
      </c>
      <c r="J212" s="4" t="s">
        <v>58</v>
      </c>
      <c r="K212" s="4"/>
      <c r="L212" s="4" t="s">
        <v>138</v>
      </c>
      <c r="M212" s="4" t="s">
        <v>40</v>
      </c>
      <c r="N212" s="4" t="s">
        <v>378</v>
      </c>
      <c r="O212" s="4" t="s">
        <v>164</v>
      </c>
      <c r="P212" s="4" t="s">
        <v>42</v>
      </c>
      <c r="Q212" s="50" t="s">
        <v>43</v>
      </c>
      <c r="R212" s="50"/>
      <c r="S212" s="50">
        <v>0</v>
      </c>
      <c r="T212" s="4" t="s">
        <v>43</v>
      </c>
      <c r="U212" s="4"/>
    </row>
    <row r="213" spans="3:21" hidden="1" x14ac:dyDescent="0.25">
      <c r="C213" s="4" t="s">
        <v>166</v>
      </c>
      <c r="D213" s="4" t="s">
        <v>167</v>
      </c>
      <c r="E213" s="4" t="s">
        <v>167</v>
      </c>
      <c r="F213" s="4" t="s">
        <v>36</v>
      </c>
      <c r="G213" s="4" t="s">
        <v>37</v>
      </c>
      <c r="H213" s="4" t="s">
        <v>81</v>
      </c>
      <c r="I213" s="4" t="s">
        <v>1030</v>
      </c>
      <c r="J213" s="4" t="s">
        <v>58</v>
      </c>
      <c r="K213" s="4"/>
      <c r="L213" s="4" t="s">
        <v>59</v>
      </c>
      <c r="M213" s="4" t="s">
        <v>40</v>
      </c>
      <c r="N213" s="4" t="s">
        <v>378</v>
      </c>
      <c r="O213" s="4" t="s">
        <v>166</v>
      </c>
      <c r="P213" s="4" t="s">
        <v>42</v>
      </c>
      <c r="Q213" s="50" t="s">
        <v>43</v>
      </c>
      <c r="R213" s="50"/>
      <c r="S213" s="50">
        <v>0</v>
      </c>
      <c r="T213" s="4" t="s">
        <v>43</v>
      </c>
      <c r="U213" s="4"/>
    </row>
    <row r="214" spans="3:21" hidden="1" x14ac:dyDescent="0.25">
      <c r="C214" s="4" t="s">
        <v>168</v>
      </c>
      <c r="D214" s="4" t="s">
        <v>169</v>
      </c>
      <c r="E214" s="4" t="s">
        <v>170</v>
      </c>
      <c r="F214" s="4" t="s">
        <v>36</v>
      </c>
      <c r="G214" s="4" t="s">
        <v>37</v>
      </c>
      <c r="H214" s="4" t="s">
        <v>46</v>
      </c>
      <c r="I214" s="4" t="s">
        <v>1030</v>
      </c>
      <c r="J214" s="4" t="s">
        <v>160</v>
      </c>
      <c r="K214" s="4"/>
      <c r="L214" s="4" t="s">
        <v>59</v>
      </c>
      <c r="M214" s="4" t="s">
        <v>40</v>
      </c>
      <c r="N214" s="4" t="s">
        <v>378</v>
      </c>
      <c r="O214" s="4" t="s">
        <v>168</v>
      </c>
      <c r="P214" s="4" t="s">
        <v>42</v>
      </c>
      <c r="Q214" s="50" t="s">
        <v>43</v>
      </c>
      <c r="R214" s="50"/>
      <c r="S214" s="50">
        <v>0</v>
      </c>
      <c r="T214" s="4" t="s">
        <v>43</v>
      </c>
      <c r="U214" s="4"/>
    </row>
    <row r="215" spans="3:21" hidden="1" x14ac:dyDescent="0.25">
      <c r="C215" s="4" t="s">
        <v>171</v>
      </c>
      <c r="D215" s="4" t="s">
        <v>172</v>
      </c>
      <c r="E215" s="4" t="s">
        <v>172</v>
      </c>
      <c r="F215" s="4" t="s">
        <v>36</v>
      </c>
      <c r="G215" s="4" t="s">
        <v>37</v>
      </c>
      <c r="H215" s="4" t="s">
        <v>81</v>
      </c>
      <c r="I215" s="4" t="s">
        <v>1030</v>
      </c>
      <c r="J215" s="4" t="s">
        <v>89</v>
      </c>
      <c r="K215" s="4"/>
      <c r="L215" s="4" t="s">
        <v>109</v>
      </c>
      <c r="M215" s="4" t="s">
        <v>91</v>
      </c>
      <c r="N215" s="4" t="s">
        <v>378</v>
      </c>
      <c r="O215" s="4" t="s">
        <v>171</v>
      </c>
      <c r="P215" s="4" t="s">
        <v>42</v>
      </c>
      <c r="Q215" s="50" t="s">
        <v>43</v>
      </c>
      <c r="R215" s="50"/>
      <c r="S215" s="50" t="s">
        <v>772</v>
      </c>
      <c r="T215" s="4" t="s">
        <v>43</v>
      </c>
      <c r="U215" s="4"/>
    </row>
    <row r="216" spans="3:21" hidden="1" x14ac:dyDescent="0.25">
      <c r="C216" s="4" t="s">
        <v>173</v>
      </c>
      <c r="D216" s="4" t="s">
        <v>174</v>
      </c>
      <c r="E216" s="4" t="s">
        <v>174</v>
      </c>
      <c r="F216" s="4" t="s">
        <v>36</v>
      </c>
      <c r="G216" s="4" t="s">
        <v>37</v>
      </c>
      <c r="H216" s="4" t="s">
        <v>46</v>
      </c>
      <c r="I216" s="4" t="s">
        <v>1030</v>
      </c>
      <c r="J216" s="4" t="s">
        <v>73</v>
      </c>
      <c r="K216" s="4"/>
      <c r="L216" s="4" t="s">
        <v>64</v>
      </c>
      <c r="M216" s="4" t="s">
        <v>40</v>
      </c>
      <c r="N216" s="4" t="s">
        <v>514</v>
      </c>
      <c r="O216" s="4" t="s">
        <v>173</v>
      </c>
      <c r="P216" s="4" t="s">
        <v>42</v>
      </c>
      <c r="Q216" s="50" t="s">
        <v>43</v>
      </c>
      <c r="R216" s="50"/>
      <c r="S216" s="50">
        <v>0</v>
      </c>
      <c r="T216" s="4" t="s">
        <v>43</v>
      </c>
      <c r="U216" s="4"/>
    </row>
    <row r="217" spans="3:21" hidden="1" x14ac:dyDescent="0.25">
      <c r="C217" s="4" t="s">
        <v>584</v>
      </c>
      <c r="D217" s="4" t="s">
        <v>585</v>
      </c>
      <c r="E217" s="4" t="s">
        <v>585</v>
      </c>
      <c r="F217" s="4">
        <v>5</v>
      </c>
      <c r="G217" s="4" t="s">
        <v>376</v>
      </c>
      <c r="H217" s="4" t="s">
        <v>46</v>
      </c>
      <c r="I217" s="4" t="s">
        <v>1030</v>
      </c>
      <c r="J217" s="4" t="s">
        <v>331</v>
      </c>
      <c r="K217" s="4" t="s">
        <v>43</v>
      </c>
      <c r="L217" s="4" t="s">
        <v>138</v>
      </c>
      <c r="M217" s="4" t="s">
        <v>40</v>
      </c>
      <c r="N217" s="4" t="s">
        <v>422</v>
      </c>
      <c r="O217" s="4" t="s">
        <v>584</v>
      </c>
      <c r="P217" s="4" t="s">
        <v>42</v>
      </c>
      <c r="Q217" s="50" t="s">
        <v>43</v>
      </c>
      <c r="R217" s="50"/>
      <c r="S217" s="50" t="s">
        <v>557</v>
      </c>
      <c r="T217" s="4" t="s">
        <v>43</v>
      </c>
      <c r="U217" s="4"/>
    </row>
    <row r="218" spans="3:21" hidden="1" x14ac:dyDescent="0.25">
      <c r="C218" s="4" t="s">
        <v>917</v>
      </c>
      <c r="D218" s="4" t="s">
        <v>918</v>
      </c>
      <c r="E218" s="4" t="s">
        <v>918</v>
      </c>
      <c r="F218" s="4">
        <v>5</v>
      </c>
      <c r="G218" s="4" t="s">
        <v>376</v>
      </c>
      <c r="H218" s="4" t="s">
        <v>46</v>
      </c>
      <c r="I218" s="4" t="s">
        <v>1030</v>
      </c>
      <c r="J218" s="4" t="s">
        <v>73</v>
      </c>
      <c r="K218" s="4" t="s">
        <v>43</v>
      </c>
      <c r="L218" s="4" t="s">
        <v>605</v>
      </c>
      <c r="M218" s="4" t="s">
        <v>40</v>
      </c>
      <c r="N218" s="4" t="s">
        <v>514</v>
      </c>
      <c r="O218" s="4" t="s">
        <v>917</v>
      </c>
      <c r="P218" s="4" t="s">
        <v>42</v>
      </c>
      <c r="Q218" s="50" t="s">
        <v>43</v>
      </c>
      <c r="R218" s="50"/>
      <c r="S218" s="50" t="s">
        <v>886</v>
      </c>
      <c r="T218" s="4" t="s">
        <v>43</v>
      </c>
      <c r="U218" s="4"/>
    </row>
    <row r="219" spans="3:21" hidden="1" x14ac:dyDescent="0.25">
      <c r="C219" s="4" t="s">
        <v>877</v>
      </c>
      <c r="D219" s="4" t="s">
        <v>878</v>
      </c>
      <c r="E219" s="4" t="s">
        <v>878</v>
      </c>
      <c r="F219" s="4">
        <v>5</v>
      </c>
      <c r="G219" s="4" t="s">
        <v>376</v>
      </c>
      <c r="H219" s="4" t="s">
        <v>81</v>
      </c>
      <c r="I219" s="4" t="s">
        <v>1030</v>
      </c>
      <c r="J219" s="4" t="s">
        <v>132</v>
      </c>
      <c r="K219" s="4" t="s">
        <v>43</v>
      </c>
      <c r="L219" s="4" t="s">
        <v>856</v>
      </c>
      <c r="M219" s="4" t="s">
        <v>40</v>
      </c>
      <c r="N219" s="4" t="s">
        <v>514</v>
      </c>
      <c r="O219" s="4" t="s">
        <v>877</v>
      </c>
      <c r="P219" s="4" t="s">
        <v>42</v>
      </c>
      <c r="Q219" s="50" t="s">
        <v>43</v>
      </c>
      <c r="R219" s="50"/>
      <c r="S219" s="50" t="s">
        <v>847</v>
      </c>
      <c r="T219" s="4" t="s">
        <v>43</v>
      </c>
      <c r="U219" s="4"/>
    </row>
    <row r="220" spans="3:21" hidden="1" x14ac:dyDescent="0.25">
      <c r="C220" s="4" t="s">
        <v>586</v>
      </c>
      <c r="D220" s="4" t="s">
        <v>587</v>
      </c>
      <c r="E220" s="4" t="s">
        <v>587</v>
      </c>
      <c r="F220" s="4">
        <v>5</v>
      </c>
      <c r="G220" s="4" t="s">
        <v>376</v>
      </c>
      <c r="H220" s="4" t="s">
        <v>46</v>
      </c>
      <c r="I220" s="4" t="s">
        <v>1030</v>
      </c>
      <c r="J220" s="4" t="s">
        <v>331</v>
      </c>
      <c r="K220" s="4" t="s">
        <v>43</v>
      </c>
      <c r="L220" s="4" t="s">
        <v>138</v>
      </c>
      <c r="M220" s="4" t="s">
        <v>40</v>
      </c>
      <c r="N220" s="4" t="s">
        <v>422</v>
      </c>
      <c r="O220" s="4" t="s">
        <v>586</v>
      </c>
      <c r="P220" s="4" t="s">
        <v>42</v>
      </c>
      <c r="Q220" s="50" t="s">
        <v>43</v>
      </c>
      <c r="R220" s="50"/>
      <c r="S220" s="50" t="s">
        <v>557</v>
      </c>
      <c r="T220" s="4" t="s">
        <v>43</v>
      </c>
      <c r="U220" s="4"/>
    </row>
    <row r="221" spans="3:21" hidden="1" x14ac:dyDescent="0.25">
      <c r="C221" s="4" t="s">
        <v>175</v>
      </c>
      <c r="D221" s="4" t="s">
        <v>176</v>
      </c>
      <c r="E221" s="4" t="s">
        <v>176</v>
      </c>
      <c r="F221" s="4" t="s">
        <v>36</v>
      </c>
      <c r="G221" s="4" t="s">
        <v>37</v>
      </c>
      <c r="H221" s="4" t="s">
        <v>46</v>
      </c>
      <c r="I221" s="4" t="s">
        <v>1030</v>
      </c>
      <c r="J221" s="4" t="s">
        <v>132</v>
      </c>
      <c r="K221" s="4"/>
      <c r="L221" s="4" t="s">
        <v>64</v>
      </c>
      <c r="M221" s="4" t="s">
        <v>40</v>
      </c>
      <c r="N221" s="4" t="s">
        <v>514</v>
      </c>
      <c r="O221" s="4" t="s">
        <v>175</v>
      </c>
      <c r="P221" s="4" t="s">
        <v>42</v>
      </c>
      <c r="Q221" s="50" t="s">
        <v>43</v>
      </c>
      <c r="R221" s="50"/>
      <c r="S221" s="50">
        <v>0</v>
      </c>
      <c r="T221" s="4" t="s">
        <v>43</v>
      </c>
      <c r="U221" s="4"/>
    </row>
    <row r="222" spans="3:21" hidden="1" x14ac:dyDescent="0.25">
      <c r="C222" s="4" t="s">
        <v>177</v>
      </c>
      <c r="D222" s="4" t="s">
        <v>178</v>
      </c>
      <c r="E222" s="4" t="s">
        <v>178</v>
      </c>
      <c r="F222" s="4" t="s">
        <v>36</v>
      </c>
      <c r="G222" s="4" t="s">
        <v>37</v>
      </c>
      <c r="H222" s="4" t="s">
        <v>81</v>
      </c>
      <c r="I222" s="4" t="s">
        <v>1030</v>
      </c>
      <c r="J222" s="4" t="s">
        <v>84</v>
      </c>
      <c r="K222" s="4"/>
      <c r="L222" s="4" t="s">
        <v>179</v>
      </c>
      <c r="M222" s="4" t="s">
        <v>55</v>
      </c>
      <c r="N222" s="4" t="s">
        <v>984</v>
      </c>
      <c r="O222" s="4" t="s">
        <v>177</v>
      </c>
      <c r="P222" s="4" t="s">
        <v>42</v>
      </c>
      <c r="Q222" s="50" t="s">
        <v>43</v>
      </c>
      <c r="R222" s="50"/>
      <c r="S222" s="50">
        <v>0</v>
      </c>
      <c r="T222" s="4" t="s">
        <v>43</v>
      </c>
      <c r="U222" s="4"/>
    </row>
    <row r="223" spans="3:21" hidden="1" x14ac:dyDescent="0.25">
      <c r="C223" s="4" t="s">
        <v>180</v>
      </c>
      <c r="D223" s="4" t="s">
        <v>181</v>
      </c>
      <c r="E223" s="4" t="s">
        <v>181</v>
      </c>
      <c r="F223" s="4" t="s">
        <v>36</v>
      </c>
      <c r="G223" s="4" t="s">
        <v>37</v>
      </c>
      <c r="H223" s="4" t="s">
        <v>81</v>
      </c>
      <c r="I223" s="4" t="s">
        <v>1030</v>
      </c>
      <c r="J223" s="4" t="s">
        <v>84</v>
      </c>
      <c r="K223" s="4"/>
      <c r="L223" s="4" t="s">
        <v>182</v>
      </c>
      <c r="M223" s="4" t="s">
        <v>55</v>
      </c>
      <c r="N223" s="4" t="s">
        <v>984</v>
      </c>
      <c r="O223" s="4" t="s">
        <v>180</v>
      </c>
      <c r="P223" s="4" t="s">
        <v>42</v>
      </c>
      <c r="Q223" s="50" t="s">
        <v>43</v>
      </c>
      <c r="R223" s="50"/>
      <c r="S223" s="50">
        <v>0</v>
      </c>
      <c r="T223" s="4" t="s">
        <v>43</v>
      </c>
      <c r="U223" s="4"/>
    </row>
    <row r="224" spans="3:21" hidden="1" x14ac:dyDescent="0.25">
      <c r="C224" s="4" t="s">
        <v>588</v>
      </c>
      <c r="D224" s="4" t="s">
        <v>589</v>
      </c>
      <c r="E224" s="4" t="s">
        <v>589</v>
      </c>
      <c r="F224" s="4">
        <v>5</v>
      </c>
      <c r="G224" s="4" t="s">
        <v>376</v>
      </c>
      <c r="H224" s="4" t="s">
        <v>46</v>
      </c>
      <c r="I224" s="4" t="s">
        <v>1030</v>
      </c>
      <c r="J224" s="4" t="s">
        <v>331</v>
      </c>
      <c r="K224" s="4" t="s">
        <v>43</v>
      </c>
      <c r="L224" s="4" t="s">
        <v>138</v>
      </c>
      <c r="M224" s="4" t="s">
        <v>40</v>
      </c>
      <c r="N224" s="4" t="s">
        <v>422</v>
      </c>
      <c r="O224" s="4" t="s">
        <v>588</v>
      </c>
      <c r="P224" s="4" t="s">
        <v>42</v>
      </c>
      <c r="Q224" s="50" t="s">
        <v>43</v>
      </c>
      <c r="R224" s="50"/>
      <c r="S224" s="50" t="s">
        <v>557</v>
      </c>
      <c r="T224" s="4" t="s">
        <v>43</v>
      </c>
      <c r="U224" s="4"/>
    </row>
    <row r="225" spans="3:21" hidden="1" x14ac:dyDescent="0.25">
      <c r="C225" s="4" t="s">
        <v>183</v>
      </c>
      <c r="D225" s="4" t="s">
        <v>184</v>
      </c>
      <c r="E225" s="4" t="s">
        <v>184</v>
      </c>
      <c r="F225" s="4" t="s">
        <v>36</v>
      </c>
      <c r="G225" s="4" t="s">
        <v>37</v>
      </c>
      <c r="H225" s="4" t="s">
        <v>81</v>
      </c>
      <c r="I225" s="4" t="s">
        <v>1030</v>
      </c>
      <c r="J225" s="4">
        <v>0</v>
      </c>
      <c r="K225" s="4"/>
      <c r="L225" s="4" t="s">
        <v>64</v>
      </c>
      <c r="M225" s="4" t="s">
        <v>40</v>
      </c>
      <c r="N225" s="4">
        <v>0</v>
      </c>
      <c r="O225" s="4" t="s">
        <v>183</v>
      </c>
      <c r="P225" s="4" t="s">
        <v>42</v>
      </c>
      <c r="Q225" s="50" t="s">
        <v>43</v>
      </c>
      <c r="R225" s="50"/>
      <c r="S225" s="50">
        <v>0</v>
      </c>
      <c r="T225" s="4" t="s">
        <v>43</v>
      </c>
      <c r="U225" s="4"/>
    </row>
    <row r="226" spans="3:21" hidden="1" x14ac:dyDescent="0.25">
      <c r="C226" s="4" t="s">
        <v>185</v>
      </c>
      <c r="D226" s="4" t="s">
        <v>186</v>
      </c>
      <c r="E226" s="4" t="s">
        <v>186</v>
      </c>
      <c r="F226" s="4" t="s">
        <v>36</v>
      </c>
      <c r="G226" s="4" t="s">
        <v>37</v>
      </c>
      <c r="H226" s="4" t="s">
        <v>46</v>
      </c>
      <c r="I226" s="4" t="s">
        <v>1030</v>
      </c>
      <c r="J226" s="4" t="s">
        <v>94</v>
      </c>
      <c r="K226" s="4"/>
      <c r="L226" s="4" t="s">
        <v>64</v>
      </c>
      <c r="M226" s="4" t="s">
        <v>40</v>
      </c>
      <c r="N226" s="4" t="s">
        <v>422</v>
      </c>
      <c r="O226" s="4" t="s">
        <v>185</v>
      </c>
      <c r="P226" s="4" t="s">
        <v>42</v>
      </c>
      <c r="Q226" s="50" t="s">
        <v>43</v>
      </c>
      <c r="R226" s="50"/>
      <c r="S226" s="50">
        <v>0</v>
      </c>
      <c r="T226" s="4" t="s">
        <v>43</v>
      </c>
      <c r="U226" s="4"/>
    </row>
    <row r="227" spans="3:21" hidden="1" x14ac:dyDescent="0.25">
      <c r="C227" s="4" t="s">
        <v>445</v>
      </c>
      <c r="D227" s="4" t="s">
        <v>446</v>
      </c>
      <c r="E227" s="4" t="s">
        <v>446</v>
      </c>
      <c r="F227" s="4">
        <v>5</v>
      </c>
      <c r="G227" s="4" t="s">
        <v>376</v>
      </c>
      <c r="H227" s="4" t="s">
        <v>46</v>
      </c>
      <c r="I227" s="4" t="s">
        <v>1030</v>
      </c>
      <c r="J227" s="4" t="s">
        <v>94</v>
      </c>
      <c r="K227" s="4" t="s">
        <v>43</v>
      </c>
      <c r="L227" s="4" t="s">
        <v>64</v>
      </c>
      <c r="M227" s="4" t="s">
        <v>40</v>
      </c>
      <c r="N227" s="4" t="s">
        <v>422</v>
      </c>
      <c r="O227" s="4" t="s">
        <v>445</v>
      </c>
      <c r="P227" s="4" t="s">
        <v>42</v>
      </c>
      <c r="Q227" s="50" t="s">
        <v>43</v>
      </c>
      <c r="R227" s="50"/>
      <c r="S227" s="50" t="s">
        <v>423</v>
      </c>
      <c r="T227" s="4" t="s">
        <v>43</v>
      </c>
      <c r="U227" s="4"/>
    </row>
    <row r="228" spans="3:21" hidden="1" x14ac:dyDescent="0.25">
      <c r="C228" s="4" t="s">
        <v>817</v>
      </c>
      <c r="D228" s="4" t="s">
        <v>818</v>
      </c>
      <c r="E228" s="4" t="s">
        <v>818</v>
      </c>
      <c r="F228" s="4">
        <v>5</v>
      </c>
      <c r="G228" s="4" t="s">
        <v>376</v>
      </c>
      <c r="H228" s="4" t="s">
        <v>46</v>
      </c>
      <c r="I228" s="4" t="s">
        <v>1030</v>
      </c>
      <c r="J228" s="4" t="s">
        <v>146</v>
      </c>
      <c r="K228" s="4" t="s">
        <v>43</v>
      </c>
      <c r="L228" s="4" t="s">
        <v>59</v>
      </c>
      <c r="M228" s="4" t="s">
        <v>40</v>
      </c>
      <c r="N228" s="4" t="s">
        <v>984</v>
      </c>
      <c r="O228" s="4" t="s">
        <v>817</v>
      </c>
      <c r="P228" s="4" t="s">
        <v>42</v>
      </c>
      <c r="Q228" s="50" t="s">
        <v>43</v>
      </c>
      <c r="R228" s="50"/>
      <c r="S228" s="50" t="s">
        <v>799</v>
      </c>
      <c r="T228" s="4" t="s">
        <v>43</v>
      </c>
      <c r="U228" s="4"/>
    </row>
    <row r="229" spans="3:21" hidden="1" x14ac:dyDescent="0.25">
      <c r="C229" s="4" t="s">
        <v>187</v>
      </c>
      <c r="D229" s="4" t="s">
        <v>188</v>
      </c>
      <c r="E229" s="4" t="s">
        <v>188</v>
      </c>
      <c r="F229" s="4" t="s">
        <v>36</v>
      </c>
      <c r="G229" s="4" t="s">
        <v>37</v>
      </c>
      <c r="H229" s="4" t="s">
        <v>81</v>
      </c>
      <c r="I229" s="4" t="s">
        <v>1030</v>
      </c>
      <c r="J229" s="4" t="s">
        <v>160</v>
      </c>
      <c r="K229" s="4"/>
      <c r="L229" s="4" t="s">
        <v>64</v>
      </c>
      <c r="M229" s="4" t="s">
        <v>40</v>
      </c>
      <c r="N229" s="4" t="s">
        <v>378</v>
      </c>
      <c r="O229" s="4" t="s">
        <v>187</v>
      </c>
      <c r="P229" s="4" t="s">
        <v>42</v>
      </c>
      <c r="Q229" s="50" t="s">
        <v>43</v>
      </c>
      <c r="R229" s="50"/>
      <c r="S229" s="50">
        <v>0</v>
      </c>
      <c r="T229" s="4" t="s">
        <v>43</v>
      </c>
      <c r="U229" s="4"/>
    </row>
    <row r="230" spans="3:21" hidden="1" x14ac:dyDescent="0.25">
      <c r="C230" s="4" t="s">
        <v>189</v>
      </c>
      <c r="D230" s="4" t="s">
        <v>190</v>
      </c>
      <c r="E230" s="4" t="s">
        <v>190</v>
      </c>
      <c r="F230" s="4" t="s">
        <v>36</v>
      </c>
      <c r="G230" s="4" t="s">
        <v>37</v>
      </c>
      <c r="H230" s="4" t="s">
        <v>81</v>
      </c>
      <c r="I230" s="4" t="s">
        <v>1030</v>
      </c>
      <c r="J230" s="4" t="s">
        <v>73</v>
      </c>
      <c r="K230" s="4"/>
      <c r="L230" s="4" t="s">
        <v>64</v>
      </c>
      <c r="M230" s="4" t="s">
        <v>40</v>
      </c>
      <c r="N230" s="4" t="s">
        <v>514</v>
      </c>
      <c r="O230" s="4" t="s">
        <v>189</v>
      </c>
      <c r="P230" s="4" t="s">
        <v>42</v>
      </c>
      <c r="Q230" s="50" t="s">
        <v>43</v>
      </c>
      <c r="R230" s="50"/>
      <c r="S230" s="50">
        <v>0</v>
      </c>
      <c r="T230" s="4" t="s">
        <v>43</v>
      </c>
      <c r="U230" s="4"/>
    </row>
    <row r="231" spans="3:21" hidden="1" x14ac:dyDescent="0.25">
      <c r="C231" s="4" t="s">
        <v>602</v>
      </c>
      <c r="D231" s="4" t="s">
        <v>603</v>
      </c>
      <c r="E231" s="4" t="s">
        <v>604</v>
      </c>
      <c r="F231" s="4">
        <v>5</v>
      </c>
      <c r="G231" s="4" t="s">
        <v>376</v>
      </c>
      <c r="H231" s="4" t="s">
        <v>81</v>
      </c>
      <c r="I231" s="4" t="s">
        <v>1030</v>
      </c>
      <c r="J231" s="4" t="s">
        <v>50</v>
      </c>
      <c r="K231" s="4" t="s">
        <v>43</v>
      </c>
      <c r="L231" s="4" t="s">
        <v>605</v>
      </c>
      <c r="M231" s="4" t="s">
        <v>40</v>
      </c>
      <c r="N231" s="4" t="s">
        <v>422</v>
      </c>
      <c r="O231" s="4" t="s">
        <v>602</v>
      </c>
      <c r="P231" s="4" t="s">
        <v>42</v>
      </c>
      <c r="Q231" s="50" t="s">
        <v>43</v>
      </c>
      <c r="R231" s="50"/>
      <c r="S231" s="50" t="s">
        <v>597</v>
      </c>
      <c r="T231" s="82" t="s">
        <v>440</v>
      </c>
      <c r="U231" s="4"/>
    </row>
    <row r="232" spans="3:21" hidden="1" x14ac:dyDescent="0.25">
      <c r="C232" s="4" t="s">
        <v>191</v>
      </c>
      <c r="D232" s="4" t="s">
        <v>192</v>
      </c>
      <c r="E232" s="4" t="s">
        <v>193</v>
      </c>
      <c r="F232" s="4" t="s">
        <v>36</v>
      </c>
      <c r="G232" s="4" t="s">
        <v>37</v>
      </c>
      <c r="H232" s="4" t="s">
        <v>81</v>
      </c>
      <c r="I232" s="4" t="s">
        <v>1030</v>
      </c>
      <c r="J232" s="4" t="s">
        <v>94</v>
      </c>
      <c r="K232" s="4"/>
      <c r="L232" s="4" t="s">
        <v>64</v>
      </c>
      <c r="M232" s="4" t="s">
        <v>40</v>
      </c>
      <c r="N232" s="4" t="s">
        <v>422</v>
      </c>
      <c r="O232" s="4" t="s">
        <v>191</v>
      </c>
      <c r="P232" s="4" t="s">
        <v>42</v>
      </c>
      <c r="Q232" s="50" t="s">
        <v>43</v>
      </c>
      <c r="R232" s="50"/>
      <c r="S232" s="50">
        <v>0</v>
      </c>
      <c r="T232" s="4" t="s">
        <v>43</v>
      </c>
      <c r="U232" s="4"/>
    </row>
    <row r="233" spans="3:21" hidden="1" x14ac:dyDescent="0.25">
      <c r="C233" s="4" t="s">
        <v>194</v>
      </c>
      <c r="D233" s="4" t="s">
        <v>195</v>
      </c>
      <c r="E233" s="4" t="s">
        <v>196</v>
      </c>
      <c r="F233" s="4" t="s">
        <v>36</v>
      </c>
      <c r="G233" s="4" t="s">
        <v>37</v>
      </c>
      <c r="H233" s="4" t="s">
        <v>88</v>
      </c>
      <c r="I233" s="4" t="s">
        <v>1030</v>
      </c>
      <c r="J233" s="4" t="s">
        <v>84</v>
      </c>
      <c r="K233" s="4"/>
      <c r="L233" s="4" t="s">
        <v>85</v>
      </c>
      <c r="M233" s="4" t="s">
        <v>55</v>
      </c>
      <c r="N233" s="4" t="s">
        <v>984</v>
      </c>
      <c r="O233" s="4" t="s">
        <v>194</v>
      </c>
      <c r="P233" s="4" t="s">
        <v>42</v>
      </c>
      <c r="Q233" s="50" t="s">
        <v>43</v>
      </c>
      <c r="R233" s="50"/>
      <c r="S233" s="50">
        <v>0</v>
      </c>
      <c r="T233" s="4" t="s">
        <v>43</v>
      </c>
      <c r="U233" s="4"/>
    </row>
    <row r="234" spans="3:21" hidden="1" x14ac:dyDescent="0.25">
      <c r="C234" s="4" t="s">
        <v>719</v>
      </c>
      <c r="D234" s="4" t="s">
        <v>720</v>
      </c>
      <c r="E234" s="4" t="s">
        <v>721</v>
      </c>
      <c r="F234" s="4">
        <v>5</v>
      </c>
      <c r="G234" s="4" t="s">
        <v>376</v>
      </c>
      <c r="H234" s="4" t="s">
        <v>81</v>
      </c>
      <c r="I234" s="4" t="s">
        <v>1031</v>
      </c>
      <c r="J234" s="4" t="s">
        <v>84</v>
      </c>
      <c r="K234" s="4" t="s">
        <v>440</v>
      </c>
      <c r="L234" s="4" t="s">
        <v>722</v>
      </c>
      <c r="M234" s="4" t="s">
        <v>55</v>
      </c>
      <c r="N234" s="4" t="s">
        <v>984</v>
      </c>
      <c r="O234" s="4" t="s">
        <v>719</v>
      </c>
      <c r="P234" s="4" t="s">
        <v>42</v>
      </c>
      <c r="Q234" s="50" t="s">
        <v>43</v>
      </c>
      <c r="R234" s="50"/>
      <c r="S234" s="50" t="s">
        <v>702</v>
      </c>
      <c r="T234" s="4" t="s">
        <v>43</v>
      </c>
      <c r="U234" s="4"/>
    </row>
    <row r="235" spans="3:21" hidden="1" x14ac:dyDescent="0.25">
      <c r="C235" s="4" t="s">
        <v>197</v>
      </c>
      <c r="D235" s="4" t="s">
        <v>198</v>
      </c>
      <c r="E235" s="4" t="s">
        <v>198</v>
      </c>
      <c r="F235" s="4" t="s">
        <v>36</v>
      </c>
      <c r="G235" s="4" t="s">
        <v>37</v>
      </c>
      <c r="H235" s="4" t="s">
        <v>46</v>
      </c>
      <c r="I235" s="4" t="s">
        <v>1030</v>
      </c>
      <c r="J235" s="4" t="s">
        <v>63</v>
      </c>
      <c r="K235" s="4"/>
      <c r="L235" s="4" t="s">
        <v>138</v>
      </c>
      <c r="M235" s="4" t="s">
        <v>40</v>
      </c>
      <c r="N235" s="4" t="s">
        <v>378</v>
      </c>
      <c r="O235" s="4" t="s">
        <v>197</v>
      </c>
      <c r="P235" s="4" t="s">
        <v>42</v>
      </c>
      <c r="Q235" s="50" t="s">
        <v>43</v>
      </c>
      <c r="R235" s="50"/>
      <c r="S235" s="50">
        <v>0</v>
      </c>
      <c r="T235" s="4" t="s">
        <v>43</v>
      </c>
      <c r="U235" s="4"/>
    </row>
    <row r="236" spans="3:21" hidden="1" x14ac:dyDescent="0.25">
      <c r="C236" s="4" t="s">
        <v>199</v>
      </c>
      <c r="D236" s="4" t="s">
        <v>200</v>
      </c>
      <c r="E236" s="4" t="s">
        <v>201</v>
      </c>
      <c r="F236" s="4" t="s">
        <v>36</v>
      </c>
      <c r="G236" s="4" t="s">
        <v>37</v>
      </c>
      <c r="H236" s="4" t="s">
        <v>202</v>
      </c>
      <c r="I236" s="4" t="s">
        <v>1030</v>
      </c>
      <c r="J236" s="4">
        <v>0</v>
      </c>
      <c r="K236" s="4"/>
      <c r="L236" s="4" t="s">
        <v>59</v>
      </c>
      <c r="M236" s="4" t="s">
        <v>40</v>
      </c>
      <c r="N236" s="4">
        <v>0</v>
      </c>
      <c r="O236" s="4" t="s">
        <v>199</v>
      </c>
      <c r="P236" s="4" t="s">
        <v>42</v>
      </c>
      <c r="Q236" s="50" t="s">
        <v>43</v>
      </c>
      <c r="R236" s="50"/>
      <c r="S236" s="50">
        <v>0</v>
      </c>
      <c r="T236" s="4" t="s">
        <v>43</v>
      </c>
      <c r="U236" s="4"/>
    </row>
    <row r="237" spans="3:21" hidden="1" x14ac:dyDescent="0.25">
      <c r="C237" s="4" t="s">
        <v>723</v>
      </c>
      <c r="D237" s="4" t="s">
        <v>724</v>
      </c>
      <c r="E237" s="4" t="s">
        <v>725</v>
      </c>
      <c r="F237" s="4">
        <v>5</v>
      </c>
      <c r="G237" s="4" t="s">
        <v>376</v>
      </c>
      <c r="H237" s="4" t="s">
        <v>46</v>
      </c>
      <c r="I237" s="4" t="s">
        <v>1031</v>
      </c>
      <c r="J237" s="4" t="s">
        <v>84</v>
      </c>
      <c r="K237" s="4" t="s">
        <v>440</v>
      </c>
      <c r="L237" s="4" t="s">
        <v>54</v>
      </c>
      <c r="M237" s="4" t="s">
        <v>55</v>
      </c>
      <c r="N237" s="4" t="s">
        <v>984</v>
      </c>
      <c r="O237" s="4" t="s">
        <v>723</v>
      </c>
      <c r="P237" s="4" t="s">
        <v>42</v>
      </c>
      <c r="Q237" s="50" t="s">
        <v>43</v>
      </c>
      <c r="R237" s="50"/>
      <c r="S237" s="50" t="s">
        <v>702</v>
      </c>
      <c r="T237" s="4" t="s">
        <v>43</v>
      </c>
      <c r="U237" s="4"/>
    </row>
    <row r="238" spans="3:21" hidden="1" x14ac:dyDescent="0.25">
      <c r="C238" s="4" t="s">
        <v>819</v>
      </c>
      <c r="D238" s="4" t="s">
        <v>820</v>
      </c>
      <c r="E238" s="4" t="s">
        <v>820</v>
      </c>
      <c r="F238" s="4">
        <v>6</v>
      </c>
      <c r="G238" s="4" t="s">
        <v>376</v>
      </c>
      <c r="H238" s="4" t="s">
        <v>46</v>
      </c>
      <c r="I238" s="4" t="s">
        <v>1030</v>
      </c>
      <c r="J238" s="4" t="s">
        <v>146</v>
      </c>
      <c r="K238" s="4" t="s">
        <v>43</v>
      </c>
      <c r="L238" s="4" t="s">
        <v>59</v>
      </c>
      <c r="M238" s="4" t="s">
        <v>40</v>
      </c>
      <c r="N238" s="4" t="s">
        <v>984</v>
      </c>
      <c r="O238" s="4" t="s">
        <v>819</v>
      </c>
      <c r="P238" s="4" t="s">
        <v>42</v>
      </c>
      <c r="Q238" s="50" t="s">
        <v>43</v>
      </c>
      <c r="R238" s="50"/>
      <c r="S238" s="50" t="s">
        <v>799</v>
      </c>
      <c r="T238" s="4" t="s">
        <v>43</v>
      </c>
      <c r="U238" s="4"/>
    </row>
    <row r="239" spans="3:21" hidden="1" x14ac:dyDescent="0.25">
      <c r="C239" s="4" t="s">
        <v>821</v>
      </c>
      <c r="D239" s="4" t="s">
        <v>822</v>
      </c>
      <c r="E239" s="4" t="s">
        <v>822</v>
      </c>
      <c r="F239" s="4">
        <f>5+0.56</f>
        <v>5.5600000000000005</v>
      </c>
      <c r="G239" s="4" t="s">
        <v>376</v>
      </c>
      <c r="H239" s="4" t="s">
        <v>46</v>
      </c>
      <c r="I239" s="4" t="s">
        <v>1030</v>
      </c>
      <c r="J239" s="4" t="s">
        <v>146</v>
      </c>
      <c r="K239" s="4" t="s">
        <v>43</v>
      </c>
      <c r="L239" s="4" t="s">
        <v>59</v>
      </c>
      <c r="M239" s="4" t="s">
        <v>40</v>
      </c>
      <c r="N239" s="4" t="s">
        <v>984</v>
      </c>
      <c r="O239" s="4" t="s">
        <v>821</v>
      </c>
      <c r="P239" s="4" t="s">
        <v>42</v>
      </c>
      <c r="Q239" s="50" t="s">
        <v>43</v>
      </c>
      <c r="R239" s="50"/>
      <c r="S239" s="50" t="s">
        <v>799</v>
      </c>
      <c r="T239" s="4" t="s">
        <v>43</v>
      </c>
      <c r="U239" s="4"/>
    </row>
    <row r="240" spans="3:21" hidden="1" x14ac:dyDescent="0.25">
      <c r="C240" s="4" t="s">
        <v>203</v>
      </c>
      <c r="D240" s="4" t="s">
        <v>204</v>
      </c>
      <c r="E240" s="4" t="s">
        <v>204</v>
      </c>
      <c r="F240" s="4" t="s">
        <v>36</v>
      </c>
      <c r="G240" s="4" t="s">
        <v>37</v>
      </c>
      <c r="H240" s="4" t="s">
        <v>46</v>
      </c>
      <c r="I240" s="4" t="s">
        <v>1030</v>
      </c>
      <c r="J240" s="4">
        <v>0</v>
      </c>
      <c r="K240" s="4"/>
      <c r="L240" s="4" t="s">
        <v>205</v>
      </c>
      <c r="M240" s="4" t="s">
        <v>40</v>
      </c>
      <c r="N240" s="4">
        <v>0</v>
      </c>
      <c r="O240" s="4" t="s">
        <v>203</v>
      </c>
      <c r="P240" s="4" t="s">
        <v>42</v>
      </c>
      <c r="Q240" s="50" t="s">
        <v>43</v>
      </c>
      <c r="R240" s="50"/>
      <c r="S240" s="50">
        <v>0</v>
      </c>
      <c r="T240" s="4" t="s">
        <v>43</v>
      </c>
      <c r="U240" s="4"/>
    </row>
    <row r="241" spans="3:21" hidden="1" x14ac:dyDescent="0.25">
      <c r="C241" s="4" t="s">
        <v>206</v>
      </c>
      <c r="D241" s="4" t="s">
        <v>207</v>
      </c>
      <c r="E241" s="4" t="s">
        <v>207</v>
      </c>
      <c r="F241" s="4" t="s">
        <v>36</v>
      </c>
      <c r="G241" s="4" t="s">
        <v>37</v>
      </c>
      <c r="H241" s="4" t="s">
        <v>46</v>
      </c>
      <c r="I241" s="4" t="s">
        <v>1030</v>
      </c>
      <c r="J241" s="4" t="s">
        <v>58</v>
      </c>
      <c r="K241" s="4"/>
      <c r="L241" s="4" t="s">
        <v>64</v>
      </c>
      <c r="M241" s="4" t="s">
        <v>40</v>
      </c>
      <c r="N241" s="4" t="s">
        <v>378</v>
      </c>
      <c r="O241" s="4" t="s">
        <v>206</v>
      </c>
      <c r="P241" s="4" t="s">
        <v>42</v>
      </c>
      <c r="Q241" s="50" t="s">
        <v>43</v>
      </c>
      <c r="R241" s="50"/>
      <c r="S241" s="50">
        <v>0</v>
      </c>
      <c r="T241" s="4" t="s">
        <v>43</v>
      </c>
      <c r="U241" s="4"/>
    </row>
    <row r="242" spans="3:21" hidden="1" x14ac:dyDescent="0.25">
      <c r="C242" s="4" t="s">
        <v>758</v>
      </c>
      <c r="D242" s="4" t="s">
        <v>759</v>
      </c>
      <c r="E242" s="4" t="s">
        <v>760</v>
      </c>
      <c r="F242" s="4">
        <v>5</v>
      </c>
      <c r="G242" s="4" t="s">
        <v>376</v>
      </c>
      <c r="H242" s="4" t="s">
        <v>81</v>
      </c>
      <c r="I242" s="4" t="s">
        <v>1031</v>
      </c>
      <c r="J242" s="4" t="s">
        <v>84</v>
      </c>
      <c r="K242" s="4" t="s">
        <v>440</v>
      </c>
      <c r="L242" s="4" t="s">
        <v>54</v>
      </c>
      <c r="M242" s="4" t="s">
        <v>55</v>
      </c>
      <c r="N242" s="4" t="s">
        <v>984</v>
      </c>
      <c r="O242" s="4" t="s">
        <v>758</v>
      </c>
      <c r="P242" s="4" t="s">
        <v>42</v>
      </c>
      <c r="Q242" s="50" t="s">
        <v>43</v>
      </c>
      <c r="R242" s="50"/>
      <c r="S242" s="50" t="s">
        <v>741</v>
      </c>
      <c r="T242" s="4" t="s">
        <v>43</v>
      </c>
      <c r="U242" s="4"/>
    </row>
    <row r="243" spans="3:21" hidden="1" x14ac:dyDescent="0.25">
      <c r="C243" s="4" t="s">
        <v>208</v>
      </c>
      <c r="D243" s="4" t="s">
        <v>209</v>
      </c>
      <c r="E243" s="4" t="s">
        <v>209</v>
      </c>
      <c r="F243" s="4" t="s">
        <v>36</v>
      </c>
      <c r="G243" s="4" t="s">
        <v>37</v>
      </c>
      <c r="H243" s="4" t="s">
        <v>81</v>
      </c>
      <c r="I243" s="4" t="s">
        <v>1030</v>
      </c>
      <c r="J243" s="4">
        <v>0</v>
      </c>
      <c r="K243" s="4"/>
      <c r="L243" s="4" t="s">
        <v>78</v>
      </c>
      <c r="M243" s="4" t="s">
        <v>40</v>
      </c>
      <c r="N243" s="4">
        <v>0</v>
      </c>
      <c r="O243" s="4" t="s">
        <v>208</v>
      </c>
      <c r="P243" s="4" t="s">
        <v>42</v>
      </c>
      <c r="Q243" s="50" t="s">
        <v>43</v>
      </c>
      <c r="R243" s="50"/>
      <c r="S243" s="50">
        <v>0</v>
      </c>
      <c r="T243" s="4" t="s">
        <v>43</v>
      </c>
      <c r="U243" s="4"/>
    </row>
    <row r="244" spans="3:21" hidden="1" x14ac:dyDescent="0.25">
      <c r="C244" s="4" t="s">
        <v>606</v>
      </c>
      <c r="D244" s="4" t="s">
        <v>607</v>
      </c>
      <c r="E244" s="4" t="s">
        <v>608</v>
      </c>
      <c r="F244" s="4">
        <v>5</v>
      </c>
      <c r="G244" s="4" t="s">
        <v>376</v>
      </c>
      <c r="H244" s="4" t="s">
        <v>46</v>
      </c>
      <c r="I244" s="4" t="s">
        <v>1030</v>
      </c>
      <c r="J244" s="4" t="s">
        <v>50</v>
      </c>
      <c r="K244" s="4" t="s">
        <v>43</v>
      </c>
      <c r="L244" s="4" t="s">
        <v>609</v>
      </c>
      <c r="M244" s="4" t="s">
        <v>40</v>
      </c>
      <c r="N244" s="4" t="s">
        <v>422</v>
      </c>
      <c r="O244" s="4" t="s">
        <v>606</v>
      </c>
      <c r="P244" s="4" t="s">
        <v>42</v>
      </c>
      <c r="Q244" s="50" t="s">
        <v>43</v>
      </c>
      <c r="R244" s="50"/>
      <c r="S244" s="50" t="s">
        <v>597</v>
      </c>
      <c r="T244" s="4" t="s">
        <v>43</v>
      </c>
      <c r="U244" s="4"/>
    </row>
    <row r="245" spans="3:21" hidden="1" x14ac:dyDescent="0.25">
      <c r="C245" s="4" t="s">
        <v>210</v>
      </c>
      <c r="D245" s="4" t="s">
        <v>211</v>
      </c>
      <c r="E245" s="4" t="s">
        <v>212</v>
      </c>
      <c r="F245" s="4" t="s">
        <v>36</v>
      </c>
      <c r="G245" s="4" t="s">
        <v>37</v>
      </c>
      <c r="H245" s="4" t="s">
        <v>46</v>
      </c>
      <c r="I245" s="4" t="s">
        <v>1030</v>
      </c>
      <c r="J245" s="4">
        <v>0</v>
      </c>
      <c r="K245" s="4"/>
      <c r="L245" s="4" t="s">
        <v>59</v>
      </c>
      <c r="M245" s="4" t="s">
        <v>40</v>
      </c>
      <c r="N245" s="4">
        <v>0</v>
      </c>
      <c r="O245" s="4" t="s">
        <v>210</v>
      </c>
      <c r="P245" s="4" t="s">
        <v>42</v>
      </c>
      <c r="Q245" s="50" t="s">
        <v>43</v>
      </c>
      <c r="R245" s="50"/>
      <c r="S245" s="50">
        <v>0</v>
      </c>
      <c r="T245" s="4" t="s">
        <v>43</v>
      </c>
      <c r="U245" s="4"/>
    </row>
    <row r="246" spans="3:21" hidden="1" x14ac:dyDescent="0.25">
      <c r="C246" s="4" t="s">
        <v>213</v>
      </c>
      <c r="D246" s="4" t="s">
        <v>214</v>
      </c>
      <c r="E246" s="4" t="s">
        <v>214</v>
      </c>
      <c r="F246" s="4" t="s">
        <v>36</v>
      </c>
      <c r="G246" s="4" t="s">
        <v>37</v>
      </c>
      <c r="H246" s="4" t="s">
        <v>202</v>
      </c>
      <c r="I246" s="4" t="s">
        <v>1030</v>
      </c>
      <c r="J246" s="4">
        <v>0</v>
      </c>
      <c r="K246" s="4"/>
      <c r="L246" s="4" t="s">
        <v>59</v>
      </c>
      <c r="M246" s="4" t="s">
        <v>40</v>
      </c>
      <c r="N246" s="4">
        <v>0</v>
      </c>
      <c r="O246" s="4" t="s">
        <v>213</v>
      </c>
      <c r="P246" s="4" t="s">
        <v>42</v>
      </c>
      <c r="Q246" s="50" t="s">
        <v>43</v>
      </c>
      <c r="R246" s="50"/>
      <c r="S246" s="50">
        <v>0</v>
      </c>
      <c r="T246" s="4" t="s">
        <v>43</v>
      </c>
      <c r="U246" s="4"/>
    </row>
    <row r="247" spans="3:21" hidden="1" x14ac:dyDescent="0.25">
      <c r="C247" s="4" t="s">
        <v>215</v>
      </c>
      <c r="D247" s="4" t="s">
        <v>216</v>
      </c>
      <c r="E247" s="4" t="s">
        <v>216</v>
      </c>
      <c r="F247" s="4" t="s">
        <v>36</v>
      </c>
      <c r="G247" s="4" t="s">
        <v>37</v>
      </c>
      <c r="H247" s="4" t="s">
        <v>81</v>
      </c>
      <c r="I247" s="4" t="s">
        <v>1030</v>
      </c>
      <c r="J247" s="4" t="s">
        <v>67</v>
      </c>
      <c r="K247" s="4"/>
      <c r="L247" s="4" t="s">
        <v>138</v>
      </c>
      <c r="M247" s="4" t="s">
        <v>40</v>
      </c>
      <c r="N247" s="4">
        <v>0</v>
      </c>
      <c r="O247" s="4" t="s">
        <v>215</v>
      </c>
      <c r="P247" s="4" t="s">
        <v>42</v>
      </c>
      <c r="Q247" s="50" t="s">
        <v>43</v>
      </c>
      <c r="R247" s="50"/>
      <c r="S247" s="50">
        <v>0</v>
      </c>
      <c r="T247" s="4" t="s">
        <v>43</v>
      </c>
      <c r="U247" s="4"/>
    </row>
    <row r="248" spans="3:21" hidden="1" x14ac:dyDescent="0.25">
      <c r="C248" s="4" t="s">
        <v>548</v>
      </c>
      <c r="D248" s="4" t="s">
        <v>549</v>
      </c>
      <c r="E248" s="4" t="s">
        <v>550</v>
      </c>
      <c r="F248" s="4">
        <v>5</v>
      </c>
      <c r="G248" s="4" t="s">
        <v>376</v>
      </c>
      <c r="H248" s="4" t="s">
        <v>81</v>
      </c>
      <c r="I248" s="4" t="s">
        <v>1030</v>
      </c>
      <c r="J248" s="4" t="s">
        <v>100</v>
      </c>
      <c r="K248" s="4" t="s">
        <v>43</v>
      </c>
      <c r="L248" s="4" t="s">
        <v>138</v>
      </c>
      <c r="M248" s="4" t="s">
        <v>40</v>
      </c>
      <c r="N248" s="4" t="s">
        <v>514</v>
      </c>
      <c r="O248" s="4" t="s">
        <v>548</v>
      </c>
      <c r="P248" s="4" t="s">
        <v>42</v>
      </c>
      <c r="Q248" s="50" t="s">
        <v>43</v>
      </c>
      <c r="R248" s="50"/>
      <c r="S248" s="50" t="s">
        <v>515</v>
      </c>
      <c r="T248" s="4" t="s">
        <v>43</v>
      </c>
      <c r="U248" s="4"/>
    </row>
    <row r="249" spans="3:21" hidden="1" x14ac:dyDescent="0.25">
      <c r="C249" s="4" t="s">
        <v>726</v>
      </c>
      <c r="D249" s="4" t="s">
        <v>727</v>
      </c>
      <c r="E249" s="4" t="s">
        <v>727</v>
      </c>
      <c r="F249" s="4">
        <v>5</v>
      </c>
      <c r="G249" s="4" t="s">
        <v>37</v>
      </c>
      <c r="H249" s="4" t="s">
        <v>81</v>
      </c>
      <c r="I249" s="4" t="s">
        <v>1030</v>
      </c>
      <c r="J249" s="4" t="s">
        <v>84</v>
      </c>
      <c r="K249" s="4"/>
      <c r="L249" s="4" t="s">
        <v>54</v>
      </c>
      <c r="M249" s="4" t="s">
        <v>55</v>
      </c>
      <c r="N249" s="4" t="s">
        <v>984</v>
      </c>
      <c r="O249" s="4" t="s">
        <v>726</v>
      </c>
      <c r="P249" s="4" t="s">
        <v>42</v>
      </c>
      <c r="Q249" s="50" t="s">
        <v>43</v>
      </c>
      <c r="R249" s="50"/>
      <c r="S249" s="50" t="s">
        <v>702</v>
      </c>
      <c r="T249" s="4" t="s">
        <v>43</v>
      </c>
      <c r="U249" s="4"/>
    </row>
    <row r="250" spans="3:21" hidden="1" x14ac:dyDescent="0.25">
      <c r="C250" s="4" t="s">
        <v>217</v>
      </c>
      <c r="D250" s="4" t="s">
        <v>218</v>
      </c>
      <c r="E250" s="4"/>
      <c r="F250" s="4" t="s">
        <v>36</v>
      </c>
      <c r="G250" s="4" t="s">
        <v>37</v>
      </c>
      <c r="H250" s="4" t="s">
        <v>81</v>
      </c>
      <c r="I250" s="4" t="s">
        <v>1030</v>
      </c>
      <c r="J250" s="4">
        <v>0</v>
      </c>
      <c r="K250" s="4"/>
      <c r="L250" s="4" t="s">
        <v>59</v>
      </c>
      <c r="M250" s="4" t="s">
        <v>40</v>
      </c>
      <c r="N250" s="4">
        <v>0</v>
      </c>
      <c r="O250" s="4" t="s">
        <v>217</v>
      </c>
      <c r="P250" s="4" t="s">
        <v>42</v>
      </c>
      <c r="Q250" s="50" t="s">
        <v>43</v>
      </c>
      <c r="R250" s="50"/>
      <c r="S250" s="50">
        <v>0</v>
      </c>
      <c r="T250" s="4" t="s">
        <v>43</v>
      </c>
      <c r="U250" s="4"/>
    </row>
    <row r="251" spans="3:21" hidden="1" x14ac:dyDescent="0.25">
      <c r="C251" s="4" t="s">
        <v>551</v>
      </c>
      <c r="D251" s="4" t="s">
        <v>552</v>
      </c>
      <c r="E251" s="4" t="s">
        <v>999</v>
      </c>
      <c r="F251" s="4">
        <v>5</v>
      </c>
      <c r="G251" s="4" t="s">
        <v>37</v>
      </c>
      <c r="H251" s="4" t="s">
        <v>46</v>
      </c>
      <c r="I251" s="4" t="s">
        <v>1030</v>
      </c>
      <c r="J251" s="4" t="s">
        <v>100</v>
      </c>
      <c r="K251" s="4"/>
      <c r="L251" s="4" t="s">
        <v>138</v>
      </c>
      <c r="M251" s="4" t="s">
        <v>40</v>
      </c>
      <c r="N251" s="4" t="s">
        <v>514</v>
      </c>
      <c r="O251" s="4" t="s">
        <v>551</v>
      </c>
      <c r="P251" s="4" t="s">
        <v>42</v>
      </c>
      <c r="Q251" s="50" t="s">
        <v>43</v>
      </c>
      <c r="R251" s="50"/>
      <c r="S251" s="50" t="s">
        <v>515</v>
      </c>
      <c r="T251" s="4" t="s">
        <v>43</v>
      </c>
      <c r="U251" s="4"/>
    </row>
    <row r="252" spans="3:21" hidden="1" x14ac:dyDescent="0.25">
      <c r="C252" s="4" t="s">
        <v>219</v>
      </c>
      <c r="D252" s="4" t="s">
        <v>220</v>
      </c>
      <c r="E252" s="4" t="s">
        <v>220</v>
      </c>
      <c r="F252" s="4" t="s">
        <v>36</v>
      </c>
      <c r="G252" s="4" t="s">
        <v>37</v>
      </c>
      <c r="H252" s="4" t="s">
        <v>38</v>
      </c>
      <c r="I252" s="4" t="s">
        <v>1030</v>
      </c>
      <c r="J252" s="4" t="s">
        <v>100</v>
      </c>
      <c r="K252" s="4"/>
      <c r="L252" s="4" t="s">
        <v>59</v>
      </c>
      <c r="M252" s="4" t="s">
        <v>40</v>
      </c>
      <c r="N252" s="4" t="s">
        <v>514</v>
      </c>
      <c r="O252" s="4" t="s">
        <v>219</v>
      </c>
      <c r="P252" s="4" t="s">
        <v>42</v>
      </c>
      <c r="Q252" s="50" t="s">
        <v>43</v>
      </c>
      <c r="R252" s="50"/>
      <c r="S252" s="50">
        <v>0</v>
      </c>
      <c r="T252" s="4" t="s">
        <v>43</v>
      </c>
      <c r="U252" s="4"/>
    </row>
    <row r="253" spans="3:21" hidden="1" x14ac:dyDescent="0.25">
      <c r="C253" s="4" t="s">
        <v>221</v>
      </c>
      <c r="D253" s="4" t="s">
        <v>222</v>
      </c>
      <c r="E253" s="4" t="s">
        <v>223</v>
      </c>
      <c r="F253" s="4" t="s">
        <v>36</v>
      </c>
      <c r="G253" s="4" t="s">
        <v>37</v>
      </c>
      <c r="H253" s="4" t="s">
        <v>38</v>
      </c>
      <c r="I253" s="4" t="s">
        <v>1030</v>
      </c>
      <c r="J253" s="4">
        <v>0</v>
      </c>
      <c r="K253" s="4"/>
      <c r="L253" s="4" t="s">
        <v>47</v>
      </c>
      <c r="M253" s="4" t="s">
        <v>40</v>
      </c>
      <c r="N253" s="4">
        <v>0</v>
      </c>
      <c r="O253" s="4" t="s">
        <v>221</v>
      </c>
      <c r="P253" s="4" t="s">
        <v>42</v>
      </c>
      <c r="Q253" s="50" t="s">
        <v>43</v>
      </c>
      <c r="R253" s="50"/>
      <c r="S253" s="50">
        <v>0</v>
      </c>
      <c r="T253" s="4" t="s">
        <v>43</v>
      </c>
      <c r="U253" s="4"/>
    </row>
    <row r="254" spans="3:21" hidden="1" x14ac:dyDescent="0.25">
      <c r="C254" s="4" t="s">
        <v>224</v>
      </c>
      <c r="D254" s="4" t="s">
        <v>225</v>
      </c>
      <c r="E254" s="4" t="s">
        <v>226</v>
      </c>
      <c r="F254" s="4" t="s">
        <v>36</v>
      </c>
      <c r="G254" s="4" t="s">
        <v>37</v>
      </c>
      <c r="H254" s="4" t="s">
        <v>38</v>
      </c>
      <c r="I254" s="4" t="s">
        <v>1030</v>
      </c>
      <c r="J254" s="4">
        <v>0</v>
      </c>
      <c r="K254" s="4"/>
      <c r="L254" s="4" t="s">
        <v>59</v>
      </c>
      <c r="M254" s="4" t="s">
        <v>40</v>
      </c>
      <c r="N254" s="4">
        <v>0</v>
      </c>
      <c r="O254" s="4" t="s">
        <v>224</v>
      </c>
      <c r="P254" s="4" t="s">
        <v>42</v>
      </c>
      <c r="Q254" s="50" t="s">
        <v>43</v>
      </c>
      <c r="R254" s="50"/>
      <c r="S254" s="50">
        <v>0</v>
      </c>
      <c r="T254" s="4" t="s">
        <v>43</v>
      </c>
      <c r="U254" s="4"/>
    </row>
    <row r="255" spans="3:21" hidden="1" x14ac:dyDescent="0.25">
      <c r="C255" s="4" t="s">
        <v>502</v>
      </c>
      <c r="D255" s="4" t="s">
        <v>503</v>
      </c>
      <c r="E255" s="4" t="s">
        <v>504</v>
      </c>
      <c r="F255" s="4">
        <v>5</v>
      </c>
      <c r="G255" s="4" t="s">
        <v>37</v>
      </c>
      <c r="H255" s="4" t="s">
        <v>46</v>
      </c>
      <c r="I255" s="4" t="s">
        <v>1030</v>
      </c>
      <c r="J255" s="4" t="s">
        <v>466</v>
      </c>
      <c r="K255" s="4" t="s">
        <v>43</v>
      </c>
      <c r="L255" s="4" t="s">
        <v>51</v>
      </c>
      <c r="M255" s="4" t="s">
        <v>40</v>
      </c>
      <c r="N255" s="4" t="s">
        <v>378</v>
      </c>
      <c r="O255" s="4" t="s">
        <v>502</v>
      </c>
      <c r="P255" s="4" t="s">
        <v>42</v>
      </c>
      <c r="Q255" s="50" t="s">
        <v>43</v>
      </c>
      <c r="R255" s="50"/>
      <c r="S255" s="50" t="s">
        <v>467</v>
      </c>
      <c r="T255" s="4" t="s">
        <v>43</v>
      </c>
      <c r="U255" s="4"/>
    </row>
    <row r="256" spans="3:21" hidden="1" x14ac:dyDescent="0.25">
      <c r="C256" s="4" t="s">
        <v>227</v>
      </c>
      <c r="D256" s="4" t="s">
        <v>228</v>
      </c>
      <c r="E256" s="4" t="s">
        <v>229</v>
      </c>
      <c r="F256" s="4" t="s">
        <v>36</v>
      </c>
      <c r="G256" s="4" t="s">
        <v>37</v>
      </c>
      <c r="H256" s="4" t="s">
        <v>38</v>
      </c>
      <c r="I256" s="4" t="s">
        <v>1030</v>
      </c>
      <c r="J256" s="4">
        <v>0</v>
      </c>
      <c r="K256" s="4"/>
      <c r="L256" s="4" t="s">
        <v>54</v>
      </c>
      <c r="M256" s="4" t="s">
        <v>55</v>
      </c>
      <c r="N256" s="4">
        <v>0</v>
      </c>
      <c r="O256" s="4" t="s">
        <v>227</v>
      </c>
      <c r="P256" s="4" t="s">
        <v>42</v>
      </c>
      <c r="Q256" s="50" t="s">
        <v>43</v>
      </c>
      <c r="R256" s="50"/>
      <c r="S256" s="50">
        <v>0</v>
      </c>
      <c r="T256" s="4" t="s">
        <v>43</v>
      </c>
      <c r="U256" s="4"/>
    </row>
    <row r="257" spans="3:21" hidden="1" x14ac:dyDescent="0.25">
      <c r="C257" s="4" t="s">
        <v>728</v>
      </c>
      <c r="D257" s="4" t="s">
        <v>729</v>
      </c>
      <c r="E257" s="4" t="s">
        <v>730</v>
      </c>
      <c r="F257" s="4">
        <v>5</v>
      </c>
      <c r="G257" s="4" t="s">
        <v>376</v>
      </c>
      <c r="H257" s="4" t="s">
        <v>46</v>
      </c>
      <c r="I257" s="4" t="s">
        <v>1031</v>
      </c>
      <c r="J257" s="4" t="s">
        <v>84</v>
      </c>
      <c r="K257" s="4" t="s">
        <v>440</v>
      </c>
      <c r="L257" s="4" t="s">
        <v>722</v>
      </c>
      <c r="M257" s="4" t="s">
        <v>55</v>
      </c>
      <c r="N257" s="4" t="s">
        <v>984</v>
      </c>
      <c r="O257" s="4" t="s">
        <v>728</v>
      </c>
      <c r="P257" s="4" t="s">
        <v>42</v>
      </c>
      <c r="Q257" s="50" t="s">
        <v>43</v>
      </c>
      <c r="R257" s="50"/>
      <c r="S257" s="50" t="s">
        <v>702</v>
      </c>
      <c r="T257" s="4" t="s">
        <v>43</v>
      </c>
      <c r="U257" s="4"/>
    </row>
    <row r="258" spans="3:21" hidden="1" x14ac:dyDescent="0.25">
      <c r="C258" s="4" t="s">
        <v>230</v>
      </c>
      <c r="D258" s="4" t="s">
        <v>231</v>
      </c>
      <c r="E258" s="4" t="s">
        <v>232</v>
      </c>
      <c r="F258" s="4" t="s">
        <v>36</v>
      </c>
      <c r="G258" s="4" t="s">
        <v>37</v>
      </c>
      <c r="H258" s="4" t="s">
        <v>38</v>
      </c>
      <c r="I258" s="4" t="s">
        <v>1030</v>
      </c>
      <c r="J258" s="4" t="s">
        <v>84</v>
      </c>
      <c r="K258" s="4"/>
      <c r="L258" s="4" t="s">
        <v>54</v>
      </c>
      <c r="M258" s="4" t="s">
        <v>55</v>
      </c>
      <c r="N258" s="4" t="s">
        <v>984</v>
      </c>
      <c r="O258" s="4" t="s">
        <v>230</v>
      </c>
      <c r="P258" s="4" t="s">
        <v>42</v>
      </c>
      <c r="Q258" s="50" t="s">
        <v>43</v>
      </c>
      <c r="R258" s="50"/>
      <c r="S258" s="50" t="s">
        <v>702</v>
      </c>
      <c r="T258" s="4" t="s">
        <v>43</v>
      </c>
      <c r="U258" s="4"/>
    </row>
    <row r="259" spans="3:21" hidden="1" x14ac:dyDescent="0.25">
      <c r="C259" s="4" t="s">
        <v>233</v>
      </c>
      <c r="D259" s="4" t="s">
        <v>234</v>
      </c>
      <c r="E259" s="4" t="s">
        <v>235</v>
      </c>
      <c r="F259" s="4" t="s">
        <v>36</v>
      </c>
      <c r="G259" s="4" t="s">
        <v>37</v>
      </c>
      <c r="H259" s="4" t="s">
        <v>38</v>
      </c>
      <c r="I259" s="4" t="s">
        <v>1030</v>
      </c>
      <c r="J259" s="4" t="s">
        <v>84</v>
      </c>
      <c r="K259" s="4"/>
      <c r="L259" s="4" t="s">
        <v>54</v>
      </c>
      <c r="M259" s="4" t="s">
        <v>55</v>
      </c>
      <c r="N259" s="4" t="s">
        <v>984</v>
      </c>
      <c r="O259" s="4" t="s">
        <v>233</v>
      </c>
      <c r="P259" s="4" t="s">
        <v>42</v>
      </c>
      <c r="Q259" s="50" t="s">
        <v>43</v>
      </c>
      <c r="R259" s="50"/>
      <c r="S259" s="50">
        <v>0</v>
      </c>
      <c r="T259" s="4" t="s">
        <v>43</v>
      </c>
      <c r="U259" s="4"/>
    </row>
    <row r="260" spans="3:21" hidden="1" x14ac:dyDescent="0.25">
      <c r="C260" s="4" t="s">
        <v>236</v>
      </c>
      <c r="D260" s="4" t="s">
        <v>237</v>
      </c>
      <c r="E260" s="4" t="s">
        <v>237</v>
      </c>
      <c r="F260" s="4" t="s">
        <v>36</v>
      </c>
      <c r="G260" s="4" t="s">
        <v>37</v>
      </c>
      <c r="H260" s="4" t="s">
        <v>38</v>
      </c>
      <c r="I260" s="4" t="s">
        <v>1030</v>
      </c>
      <c r="J260" s="4">
        <v>0</v>
      </c>
      <c r="K260" s="4"/>
      <c r="L260" s="4" t="s">
        <v>59</v>
      </c>
      <c r="M260" s="4" t="s">
        <v>40</v>
      </c>
      <c r="N260" s="4">
        <v>0</v>
      </c>
      <c r="O260" s="4" t="s">
        <v>236</v>
      </c>
      <c r="P260" s="4" t="s">
        <v>42</v>
      </c>
      <c r="Q260" s="50" t="s">
        <v>43</v>
      </c>
      <c r="R260" s="50"/>
      <c r="S260" s="50">
        <v>0</v>
      </c>
      <c r="T260" s="4" t="s">
        <v>43</v>
      </c>
      <c r="U260" s="4"/>
    </row>
    <row r="261" spans="3:21" hidden="1" x14ac:dyDescent="0.25">
      <c r="C261" s="4" t="s">
        <v>238</v>
      </c>
      <c r="D261" s="4" t="s">
        <v>239</v>
      </c>
      <c r="E261" s="4" t="s">
        <v>240</v>
      </c>
      <c r="F261" s="4" t="s">
        <v>36</v>
      </c>
      <c r="G261" s="4" t="s">
        <v>37</v>
      </c>
      <c r="H261" s="4" t="s">
        <v>38</v>
      </c>
      <c r="I261" s="4" t="s">
        <v>1030</v>
      </c>
      <c r="J261" s="4" t="s">
        <v>146</v>
      </c>
      <c r="K261" s="4"/>
      <c r="L261" s="4" t="s">
        <v>59</v>
      </c>
      <c r="M261" s="4" t="s">
        <v>40</v>
      </c>
      <c r="N261" s="4" t="s">
        <v>984</v>
      </c>
      <c r="O261" s="4" t="s">
        <v>238</v>
      </c>
      <c r="P261" s="4" t="s">
        <v>42</v>
      </c>
      <c r="Q261" s="50" t="s">
        <v>43</v>
      </c>
      <c r="R261" s="50"/>
      <c r="S261" s="50">
        <v>0</v>
      </c>
      <c r="T261" s="4" t="s">
        <v>43</v>
      </c>
      <c r="U261" s="4"/>
    </row>
    <row r="262" spans="3:21" hidden="1" x14ac:dyDescent="0.25">
      <c r="C262" s="4" t="s">
        <v>962</v>
      </c>
      <c r="D262" s="4" t="s">
        <v>963</v>
      </c>
      <c r="E262" s="4" t="s">
        <v>964</v>
      </c>
      <c r="F262" s="4">
        <v>5</v>
      </c>
      <c r="G262" s="4" t="s">
        <v>376</v>
      </c>
      <c r="H262" s="4" t="s">
        <v>46</v>
      </c>
      <c r="I262" s="4" t="s">
        <v>1030</v>
      </c>
      <c r="J262" s="4" t="s">
        <v>160</v>
      </c>
      <c r="K262" s="4" t="s">
        <v>43</v>
      </c>
      <c r="L262" s="4" t="s">
        <v>371</v>
      </c>
      <c r="M262" s="4" t="s">
        <v>40</v>
      </c>
      <c r="N262" s="4" t="s">
        <v>378</v>
      </c>
      <c r="O262" s="4" t="s">
        <v>962</v>
      </c>
      <c r="P262" s="4" t="s">
        <v>42</v>
      </c>
      <c r="Q262" s="50" t="s">
        <v>43</v>
      </c>
      <c r="R262" s="50"/>
      <c r="S262" s="50" t="s">
        <v>931</v>
      </c>
      <c r="T262" s="4" t="s">
        <v>43</v>
      </c>
      <c r="U262" s="4"/>
    </row>
    <row r="263" spans="3:21" hidden="1" x14ac:dyDescent="0.25">
      <c r="C263" s="4" t="s">
        <v>687</v>
      </c>
      <c r="D263" s="4" t="s">
        <v>688</v>
      </c>
      <c r="E263" s="4" t="s">
        <v>689</v>
      </c>
      <c r="F263" s="4">
        <v>6</v>
      </c>
      <c r="G263" s="4" t="s">
        <v>376</v>
      </c>
      <c r="H263" s="4" t="s">
        <v>46</v>
      </c>
      <c r="I263" s="4" t="s">
        <v>1030</v>
      </c>
      <c r="J263" s="4" t="s">
        <v>248</v>
      </c>
      <c r="K263" s="4" t="s">
        <v>43</v>
      </c>
      <c r="L263" s="4" t="s">
        <v>51</v>
      </c>
      <c r="M263" s="4" t="s">
        <v>40</v>
      </c>
      <c r="N263" s="4" t="s">
        <v>984</v>
      </c>
      <c r="O263" s="4" t="s">
        <v>687</v>
      </c>
      <c r="P263" s="4" t="s">
        <v>42</v>
      </c>
      <c r="Q263" s="50" t="s">
        <v>43</v>
      </c>
      <c r="R263" s="50"/>
      <c r="S263" s="50" t="s">
        <v>51</v>
      </c>
      <c r="T263" s="4" t="s">
        <v>43</v>
      </c>
      <c r="U263" s="4"/>
    </row>
    <row r="264" spans="3:21" hidden="1" x14ac:dyDescent="0.25">
      <c r="C264" s="4" t="s">
        <v>241</v>
      </c>
      <c r="D264" s="4" t="s">
        <v>242</v>
      </c>
      <c r="E264" s="4" t="s">
        <v>243</v>
      </c>
      <c r="F264" s="4" t="s">
        <v>36</v>
      </c>
      <c r="G264" s="4" t="s">
        <v>37</v>
      </c>
      <c r="H264" s="4" t="s">
        <v>38</v>
      </c>
      <c r="I264" s="4" t="s">
        <v>1030</v>
      </c>
      <c r="J264" s="4" t="s">
        <v>132</v>
      </c>
      <c r="K264" s="4"/>
      <c r="L264" s="4" t="s">
        <v>64</v>
      </c>
      <c r="M264" s="4" t="s">
        <v>40</v>
      </c>
      <c r="N264" s="4" t="s">
        <v>514</v>
      </c>
      <c r="O264" s="4" t="s">
        <v>241</v>
      </c>
      <c r="P264" s="4" t="s">
        <v>42</v>
      </c>
      <c r="Q264" s="50" t="s">
        <v>43</v>
      </c>
      <c r="R264" s="50"/>
      <c r="S264" s="50">
        <v>0</v>
      </c>
      <c r="T264" s="4" t="s">
        <v>43</v>
      </c>
      <c r="U264" s="4"/>
    </row>
    <row r="265" spans="3:21" hidden="1" x14ac:dyDescent="0.25">
      <c r="C265" s="4" t="s">
        <v>244</v>
      </c>
      <c r="D265" s="4" t="s">
        <v>245</v>
      </c>
      <c r="E265" s="4" t="s">
        <v>245</v>
      </c>
      <c r="F265" s="4" t="s">
        <v>36</v>
      </c>
      <c r="G265" s="4" t="s">
        <v>37</v>
      </c>
      <c r="H265" s="4" t="s">
        <v>81</v>
      </c>
      <c r="I265" s="4" t="s">
        <v>1030</v>
      </c>
      <c r="J265" s="4">
        <v>0</v>
      </c>
      <c r="K265" s="4"/>
      <c r="L265" s="4" t="s">
        <v>133</v>
      </c>
      <c r="M265" s="4" t="s">
        <v>40</v>
      </c>
      <c r="N265" s="4">
        <v>0</v>
      </c>
      <c r="O265" s="4" t="s">
        <v>244</v>
      </c>
      <c r="P265" s="4" t="s">
        <v>42</v>
      </c>
      <c r="Q265" s="50" t="s">
        <v>43</v>
      </c>
      <c r="R265" s="50"/>
      <c r="S265" s="50">
        <v>0</v>
      </c>
      <c r="T265" s="4" t="s">
        <v>43</v>
      </c>
      <c r="U265" s="4"/>
    </row>
    <row r="266" spans="3:21" hidden="1" x14ac:dyDescent="0.25">
      <c r="C266" s="4" t="s">
        <v>246</v>
      </c>
      <c r="D266" s="4" t="s">
        <v>247</v>
      </c>
      <c r="E266" s="4" t="s">
        <v>247</v>
      </c>
      <c r="F266" s="4" t="s">
        <v>36</v>
      </c>
      <c r="G266" s="4" t="s">
        <v>37</v>
      </c>
      <c r="H266" s="4" t="s">
        <v>38</v>
      </c>
      <c r="I266" s="4" t="s">
        <v>1030</v>
      </c>
      <c r="J266" s="4" t="s">
        <v>248</v>
      </c>
      <c r="K266" s="4"/>
      <c r="L266" s="4" t="s">
        <v>138</v>
      </c>
      <c r="M266" s="4" t="s">
        <v>40</v>
      </c>
      <c r="N266" s="4" t="s">
        <v>984</v>
      </c>
      <c r="O266" s="4" t="s">
        <v>246</v>
      </c>
      <c r="P266" s="4" t="s">
        <v>42</v>
      </c>
      <c r="Q266" s="50" t="s">
        <v>43</v>
      </c>
      <c r="R266" s="50"/>
      <c r="S266" s="50">
        <v>0</v>
      </c>
      <c r="T266" s="4" t="s">
        <v>43</v>
      </c>
      <c r="U266" s="4"/>
    </row>
    <row r="267" spans="3:21" hidden="1" x14ac:dyDescent="0.25">
      <c r="C267" s="4" t="s">
        <v>249</v>
      </c>
      <c r="D267" s="4" t="s">
        <v>250</v>
      </c>
      <c r="E267" s="4" t="s">
        <v>250</v>
      </c>
      <c r="F267" s="4" t="s">
        <v>36</v>
      </c>
      <c r="G267" s="4" t="s">
        <v>37</v>
      </c>
      <c r="H267" s="4" t="s">
        <v>38</v>
      </c>
      <c r="I267" s="4" t="s">
        <v>1030</v>
      </c>
      <c r="J267" s="4" t="s">
        <v>94</v>
      </c>
      <c r="K267" s="4"/>
      <c r="L267" s="4" t="s">
        <v>138</v>
      </c>
      <c r="M267" s="4" t="s">
        <v>40</v>
      </c>
      <c r="N267" s="4" t="s">
        <v>422</v>
      </c>
      <c r="O267" s="4" t="s">
        <v>249</v>
      </c>
      <c r="P267" s="4" t="s">
        <v>42</v>
      </c>
      <c r="Q267" s="50" t="s">
        <v>43</v>
      </c>
      <c r="R267" s="50"/>
      <c r="S267" s="50">
        <v>0</v>
      </c>
      <c r="T267" s="4" t="s">
        <v>43</v>
      </c>
      <c r="U267" s="4"/>
    </row>
    <row r="268" spans="3:21" hidden="1" x14ac:dyDescent="0.25">
      <c r="C268" s="4" t="s">
        <v>251</v>
      </c>
      <c r="D268" s="4" t="s">
        <v>252</v>
      </c>
      <c r="E268" s="4" t="s">
        <v>253</v>
      </c>
      <c r="F268" s="4" t="s">
        <v>36</v>
      </c>
      <c r="G268" s="4" t="s">
        <v>37</v>
      </c>
      <c r="H268" s="4" t="s">
        <v>38</v>
      </c>
      <c r="I268" s="4" t="s">
        <v>1030</v>
      </c>
      <c r="J268" s="4">
        <v>0</v>
      </c>
      <c r="K268" s="4"/>
      <c r="L268" s="4" t="s">
        <v>64</v>
      </c>
      <c r="M268" s="4" t="s">
        <v>40</v>
      </c>
      <c r="N268" s="4">
        <v>0</v>
      </c>
      <c r="O268" s="4" t="s">
        <v>251</v>
      </c>
      <c r="P268" s="4" t="s">
        <v>42</v>
      </c>
      <c r="Q268" s="50" t="s">
        <v>43</v>
      </c>
      <c r="R268" s="50"/>
      <c r="S268" s="50">
        <v>0</v>
      </c>
      <c r="T268" s="4" t="s">
        <v>43</v>
      </c>
      <c r="U268" s="4"/>
    </row>
    <row r="269" spans="3:21" hidden="1" x14ac:dyDescent="0.25">
      <c r="C269" s="4" t="s">
        <v>254</v>
      </c>
      <c r="D269" s="4" t="s">
        <v>255</v>
      </c>
      <c r="E269" s="4" t="s">
        <v>255</v>
      </c>
      <c r="F269" s="4" t="s">
        <v>36</v>
      </c>
      <c r="G269" s="4" t="s">
        <v>37</v>
      </c>
      <c r="H269" s="4" t="s">
        <v>38</v>
      </c>
      <c r="I269" s="4" t="s">
        <v>1030</v>
      </c>
      <c r="J269" s="4">
        <v>0</v>
      </c>
      <c r="K269" s="4"/>
      <c r="L269" s="4" t="s">
        <v>51</v>
      </c>
      <c r="M269" s="4" t="s">
        <v>40</v>
      </c>
      <c r="N269" s="4">
        <v>0</v>
      </c>
      <c r="O269" s="4" t="s">
        <v>254</v>
      </c>
      <c r="P269" s="4" t="s">
        <v>42</v>
      </c>
      <c r="Q269" s="50" t="s">
        <v>43</v>
      </c>
      <c r="R269" s="50"/>
      <c r="S269" s="50">
        <v>0</v>
      </c>
      <c r="T269" s="4" t="s">
        <v>43</v>
      </c>
      <c r="U269" s="4"/>
    </row>
    <row r="270" spans="3:21" hidden="1" x14ac:dyDescent="0.25">
      <c r="C270" s="4" t="s">
        <v>590</v>
      </c>
      <c r="D270" s="4" t="s">
        <v>591</v>
      </c>
      <c r="E270" s="4" t="s">
        <v>591</v>
      </c>
      <c r="F270" s="4">
        <v>5</v>
      </c>
      <c r="G270" s="4" t="s">
        <v>376</v>
      </c>
      <c r="H270" s="4" t="s">
        <v>46</v>
      </c>
      <c r="I270" s="4" t="s">
        <v>1030</v>
      </c>
      <c r="J270" s="4" t="s">
        <v>331</v>
      </c>
      <c r="K270" s="4" t="s">
        <v>43</v>
      </c>
      <c r="L270" s="4" t="s">
        <v>138</v>
      </c>
      <c r="M270" s="4" t="s">
        <v>40</v>
      </c>
      <c r="N270" s="4" t="s">
        <v>422</v>
      </c>
      <c r="O270" s="4" t="s">
        <v>590</v>
      </c>
      <c r="P270" s="4" t="s">
        <v>42</v>
      </c>
      <c r="Q270" s="50" t="s">
        <v>43</v>
      </c>
      <c r="R270" s="50"/>
      <c r="S270" s="50" t="s">
        <v>557</v>
      </c>
      <c r="T270" s="4" t="s">
        <v>43</v>
      </c>
      <c r="U270" s="4"/>
    </row>
    <row r="271" spans="3:21" hidden="1" x14ac:dyDescent="0.25">
      <c r="C271" s="4" t="s">
        <v>447</v>
      </c>
      <c r="D271" s="4" t="s">
        <v>448</v>
      </c>
      <c r="E271" s="4" t="s">
        <v>449</v>
      </c>
      <c r="F271" s="4">
        <v>6</v>
      </c>
      <c r="G271" s="4" t="s">
        <v>376</v>
      </c>
      <c r="H271" s="4" t="s">
        <v>46</v>
      </c>
      <c r="I271" s="4" t="s">
        <v>1030</v>
      </c>
      <c r="J271" s="4" t="s">
        <v>94</v>
      </c>
      <c r="K271" s="4" t="s">
        <v>43</v>
      </c>
      <c r="L271" s="4" t="s">
        <v>64</v>
      </c>
      <c r="M271" s="4" t="s">
        <v>40</v>
      </c>
      <c r="N271" s="4" t="s">
        <v>422</v>
      </c>
      <c r="O271" s="4" t="s">
        <v>447</v>
      </c>
      <c r="P271" s="4" t="s">
        <v>42</v>
      </c>
      <c r="Q271" s="50" t="s">
        <v>43</v>
      </c>
      <c r="R271" s="50"/>
      <c r="S271" s="50" t="s">
        <v>423</v>
      </c>
      <c r="T271" s="4" t="s">
        <v>43</v>
      </c>
      <c r="U271" s="4"/>
    </row>
    <row r="272" spans="3:21" hidden="1" x14ac:dyDescent="0.25">
      <c r="C272" s="4" t="s">
        <v>256</v>
      </c>
      <c r="D272" s="4" t="s">
        <v>257</v>
      </c>
      <c r="E272" s="4" t="s">
        <v>257</v>
      </c>
      <c r="F272" s="4" t="s">
        <v>36</v>
      </c>
      <c r="G272" s="4" t="s">
        <v>37</v>
      </c>
      <c r="H272" s="4" t="s">
        <v>38</v>
      </c>
      <c r="I272" s="4" t="s">
        <v>1030</v>
      </c>
      <c r="J272" s="4">
        <v>0</v>
      </c>
      <c r="K272" s="4"/>
      <c r="L272" s="4" t="s">
        <v>138</v>
      </c>
      <c r="M272" s="4" t="s">
        <v>40</v>
      </c>
      <c r="N272" s="4">
        <v>0</v>
      </c>
      <c r="O272" s="4" t="s">
        <v>256</v>
      </c>
      <c r="P272" s="4" t="s">
        <v>42</v>
      </c>
      <c r="Q272" s="50" t="s">
        <v>43</v>
      </c>
      <c r="R272" s="50"/>
      <c r="S272" s="50">
        <v>0</v>
      </c>
      <c r="T272" s="4" t="s">
        <v>43</v>
      </c>
      <c r="U272" s="4"/>
    </row>
    <row r="273" spans="3:21" hidden="1" x14ac:dyDescent="0.25">
      <c r="C273" s="4" t="s">
        <v>450</v>
      </c>
      <c r="D273" s="4" t="s">
        <v>451</v>
      </c>
      <c r="E273" s="4" t="s">
        <v>452</v>
      </c>
      <c r="F273" s="4">
        <v>5</v>
      </c>
      <c r="G273" s="4" t="s">
        <v>376</v>
      </c>
      <c r="H273" s="4" t="s">
        <v>46</v>
      </c>
      <c r="I273" s="4" t="s">
        <v>1030</v>
      </c>
      <c r="J273" s="4" t="s">
        <v>94</v>
      </c>
      <c r="K273" s="4" t="s">
        <v>43</v>
      </c>
      <c r="L273" s="4" t="s">
        <v>64</v>
      </c>
      <c r="M273" s="4" t="s">
        <v>40</v>
      </c>
      <c r="N273" s="4" t="s">
        <v>422</v>
      </c>
      <c r="O273" s="4" t="s">
        <v>450</v>
      </c>
      <c r="P273" s="4" t="s">
        <v>42</v>
      </c>
      <c r="Q273" s="50" t="s">
        <v>43</v>
      </c>
      <c r="R273" s="50"/>
      <c r="S273" s="50" t="s">
        <v>423</v>
      </c>
      <c r="T273" s="4" t="s">
        <v>43</v>
      </c>
      <c r="U273" s="4"/>
    </row>
    <row r="274" spans="3:21" hidden="1" x14ac:dyDescent="0.25">
      <c r="C274" s="4" t="s">
        <v>965</v>
      </c>
      <c r="D274" s="4" t="s">
        <v>966</v>
      </c>
      <c r="E274" s="4" t="s">
        <v>967</v>
      </c>
      <c r="F274" s="4">
        <v>5</v>
      </c>
      <c r="G274" s="4" t="s">
        <v>376</v>
      </c>
      <c r="H274" s="4" t="s">
        <v>46</v>
      </c>
      <c r="I274" s="4" t="s">
        <v>1030</v>
      </c>
      <c r="J274" s="4" t="s">
        <v>160</v>
      </c>
      <c r="K274" s="4" t="s">
        <v>43</v>
      </c>
      <c r="L274" s="4" t="s">
        <v>353</v>
      </c>
      <c r="M274" s="4" t="s">
        <v>40</v>
      </c>
      <c r="N274" s="4" t="s">
        <v>378</v>
      </c>
      <c r="O274" s="4" t="s">
        <v>965</v>
      </c>
      <c r="P274" s="4" t="s">
        <v>42</v>
      </c>
      <c r="Q274" s="50" t="s">
        <v>43</v>
      </c>
      <c r="R274" s="50"/>
      <c r="S274" s="50" t="s">
        <v>931</v>
      </c>
      <c r="T274" s="4" t="s">
        <v>43</v>
      </c>
      <c r="U274" s="4"/>
    </row>
    <row r="275" spans="3:21" hidden="1" x14ac:dyDescent="0.25">
      <c r="C275" s="4" t="s">
        <v>258</v>
      </c>
      <c r="D275" s="4" t="s">
        <v>259</v>
      </c>
      <c r="E275" s="4" t="s">
        <v>260</v>
      </c>
      <c r="F275" s="4" t="s">
        <v>36</v>
      </c>
      <c r="G275" s="4" t="s">
        <v>37</v>
      </c>
      <c r="H275" s="4" t="s">
        <v>38</v>
      </c>
      <c r="I275" s="4" t="s">
        <v>1030</v>
      </c>
      <c r="J275" s="4" t="s">
        <v>50</v>
      </c>
      <c r="K275" s="4"/>
      <c r="L275" s="4" t="s">
        <v>51</v>
      </c>
      <c r="M275" s="4" t="s">
        <v>40</v>
      </c>
      <c r="N275" s="4" t="s">
        <v>422</v>
      </c>
      <c r="O275" s="4" t="s">
        <v>258</v>
      </c>
      <c r="P275" s="4" t="s">
        <v>42</v>
      </c>
      <c r="Q275" s="50" t="s">
        <v>43</v>
      </c>
      <c r="R275" s="50"/>
      <c r="S275" s="50">
        <v>0</v>
      </c>
      <c r="T275" s="4" t="s">
        <v>43</v>
      </c>
      <c r="U275" s="4"/>
    </row>
    <row r="276" spans="3:21" hidden="1" x14ac:dyDescent="0.25">
      <c r="C276" s="4" t="s">
        <v>261</v>
      </c>
      <c r="D276" s="4" t="s">
        <v>262</v>
      </c>
      <c r="E276" s="4" t="s">
        <v>263</v>
      </c>
      <c r="F276" s="4" t="s">
        <v>36</v>
      </c>
      <c r="G276" s="4" t="s">
        <v>37</v>
      </c>
      <c r="H276" s="4" t="s">
        <v>38</v>
      </c>
      <c r="I276" s="4" t="s">
        <v>1030</v>
      </c>
      <c r="J276" s="4" t="s">
        <v>58</v>
      </c>
      <c r="K276" s="4"/>
      <c r="L276" s="4" t="s">
        <v>138</v>
      </c>
      <c r="M276" s="4" t="s">
        <v>40</v>
      </c>
      <c r="N276" s="4" t="s">
        <v>378</v>
      </c>
      <c r="O276" s="4" t="s">
        <v>261</v>
      </c>
      <c r="P276" s="4" t="s">
        <v>42</v>
      </c>
      <c r="Q276" s="50" t="s">
        <v>43</v>
      </c>
      <c r="R276" s="50"/>
      <c r="S276" s="50">
        <v>0</v>
      </c>
      <c r="T276" s="4" t="s">
        <v>43</v>
      </c>
      <c r="U276" s="4"/>
    </row>
    <row r="277" spans="3:21" hidden="1" x14ac:dyDescent="0.25">
      <c r="C277" s="4" t="s">
        <v>791</v>
      </c>
      <c r="D277" s="4" t="s">
        <v>793</v>
      </c>
      <c r="E277" s="4" t="s">
        <v>1000</v>
      </c>
      <c r="F277" s="4">
        <v>3.36</v>
      </c>
      <c r="G277" s="4" t="s">
        <v>376</v>
      </c>
      <c r="H277" s="4" t="s">
        <v>46</v>
      </c>
      <c r="I277" s="4" t="s">
        <v>1031</v>
      </c>
      <c r="J277" s="4" t="s">
        <v>89</v>
      </c>
      <c r="K277" s="4" t="s">
        <v>43</v>
      </c>
      <c r="L277" s="4" t="s">
        <v>109</v>
      </c>
      <c r="M277" s="4" t="s">
        <v>91</v>
      </c>
      <c r="N277" s="4" t="s">
        <v>378</v>
      </c>
      <c r="O277" s="4" t="s">
        <v>791</v>
      </c>
      <c r="P277" s="4" t="s">
        <v>42</v>
      </c>
      <c r="Q277" s="50" t="s">
        <v>43</v>
      </c>
      <c r="R277" s="50"/>
      <c r="S277" s="50" t="s">
        <v>772</v>
      </c>
      <c r="T277" s="4" t="s">
        <v>43</v>
      </c>
      <c r="U277" s="4" t="s">
        <v>32</v>
      </c>
    </row>
    <row r="278" spans="3:21" hidden="1" x14ac:dyDescent="0.25">
      <c r="C278" s="4" t="s">
        <v>264</v>
      </c>
      <c r="D278" s="4" t="s">
        <v>265</v>
      </c>
      <c r="E278" s="4" t="s">
        <v>266</v>
      </c>
      <c r="F278" s="4" t="s">
        <v>36</v>
      </c>
      <c r="G278" s="4" t="s">
        <v>37</v>
      </c>
      <c r="H278" s="4" t="s">
        <v>38</v>
      </c>
      <c r="I278" s="4" t="s">
        <v>1030</v>
      </c>
      <c r="J278" s="4">
        <v>0</v>
      </c>
      <c r="K278" s="4"/>
      <c r="L278" s="4" t="s">
        <v>51</v>
      </c>
      <c r="M278" s="4" t="s">
        <v>40</v>
      </c>
      <c r="N278" s="4">
        <v>0</v>
      </c>
      <c r="O278" s="4" t="s">
        <v>264</v>
      </c>
      <c r="P278" s="4" t="s">
        <v>42</v>
      </c>
      <c r="Q278" s="50" t="s">
        <v>43</v>
      </c>
      <c r="R278" s="50"/>
      <c r="S278" s="50">
        <v>0</v>
      </c>
      <c r="T278" s="4" t="s">
        <v>43</v>
      </c>
      <c r="U278" s="4"/>
    </row>
    <row r="279" spans="3:21" hidden="1" x14ac:dyDescent="0.25">
      <c r="C279" s="4" t="s">
        <v>267</v>
      </c>
      <c r="D279" s="4" t="s">
        <v>268</v>
      </c>
      <c r="E279" s="4" t="s">
        <v>269</v>
      </c>
      <c r="F279" s="4" t="s">
        <v>36</v>
      </c>
      <c r="G279" s="4" t="s">
        <v>37</v>
      </c>
      <c r="H279" s="4" t="s">
        <v>38</v>
      </c>
      <c r="I279" s="4" t="s">
        <v>1030</v>
      </c>
      <c r="J279" s="4">
        <v>0</v>
      </c>
      <c r="K279" s="4"/>
      <c r="L279" s="4" t="s">
        <v>51</v>
      </c>
      <c r="M279" s="4" t="s">
        <v>40</v>
      </c>
      <c r="N279" s="4">
        <v>0</v>
      </c>
      <c r="O279" s="4" t="s">
        <v>267</v>
      </c>
      <c r="P279" s="4" t="s">
        <v>42</v>
      </c>
      <c r="Q279" s="50" t="s">
        <v>43</v>
      </c>
      <c r="R279" s="50"/>
      <c r="S279" s="50">
        <v>0</v>
      </c>
      <c r="T279" s="4" t="s">
        <v>43</v>
      </c>
      <c r="U279" s="4"/>
    </row>
    <row r="280" spans="3:21" hidden="1" x14ac:dyDescent="0.25">
      <c r="C280" s="4" t="s">
        <v>270</v>
      </c>
      <c r="D280" s="4" t="s">
        <v>271</v>
      </c>
      <c r="E280" s="4" t="s">
        <v>271</v>
      </c>
      <c r="F280" s="4" t="s">
        <v>36</v>
      </c>
      <c r="G280" s="4" t="s">
        <v>37</v>
      </c>
      <c r="H280" s="4" t="s">
        <v>38</v>
      </c>
      <c r="I280" s="4" t="s">
        <v>1030</v>
      </c>
      <c r="J280" s="4" t="s">
        <v>100</v>
      </c>
      <c r="K280" s="4"/>
      <c r="L280" s="4" t="s">
        <v>59</v>
      </c>
      <c r="M280" s="4" t="s">
        <v>40</v>
      </c>
      <c r="N280" s="4" t="s">
        <v>514</v>
      </c>
      <c r="O280" s="4" t="s">
        <v>270</v>
      </c>
      <c r="P280" s="4" t="s">
        <v>42</v>
      </c>
      <c r="Q280" s="50" t="s">
        <v>43</v>
      </c>
      <c r="R280" s="50"/>
      <c r="S280" s="50">
        <v>0</v>
      </c>
      <c r="T280" s="4" t="s">
        <v>43</v>
      </c>
      <c r="U280" s="4"/>
    </row>
    <row r="281" spans="3:21" hidden="1" x14ac:dyDescent="0.25">
      <c r="C281" s="4" t="s">
        <v>631</v>
      </c>
      <c r="D281" s="4" t="s">
        <v>633</v>
      </c>
      <c r="E281" s="4" t="s">
        <v>1001</v>
      </c>
      <c r="F281" s="47">
        <v>5.6</v>
      </c>
      <c r="G281" s="4" t="s">
        <v>376</v>
      </c>
      <c r="H281" s="4" t="s">
        <v>46</v>
      </c>
      <c r="I281" s="4" t="s">
        <v>1030</v>
      </c>
      <c r="J281" s="4" t="s">
        <v>50</v>
      </c>
      <c r="K281" s="4" t="s">
        <v>43</v>
      </c>
      <c r="L281" s="4" t="s">
        <v>51</v>
      </c>
      <c r="M281" s="4" t="s">
        <v>40</v>
      </c>
      <c r="N281" s="4" t="s">
        <v>422</v>
      </c>
      <c r="O281" s="4" t="s">
        <v>631</v>
      </c>
      <c r="P281" s="4" t="s">
        <v>42</v>
      </c>
      <c r="Q281" s="50" t="s">
        <v>43</v>
      </c>
      <c r="R281" s="50"/>
      <c r="S281" s="50" t="s">
        <v>597</v>
      </c>
      <c r="T281" s="4" t="s">
        <v>43</v>
      </c>
      <c r="U281" s="4" t="s">
        <v>32</v>
      </c>
    </row>
    <row r="282" spans="3:21" hidden="1" x14ac:dyDescent="0.25">
      <c r="C282" s="4" t="s">
        <v>272</v>
      </c>
      <c r="D282" s="4" t="s">
        <v>273</v>
      </c>
      <c r="E282" s="4" t="s">
        <v>274</v>
      </c>
      <c r="F282" s="4" t="s">
        <v>36</v>
      </c>
      <c r="G282" s="4" t="s">
        <v>37</v>
      </c>
      <c r="H282" s="4" t="s">
        <v>38</v>
      </c>
      <c r="I282" s="4" t="s">
        <v>1030</v>
      </c>
      <c r="J282" s="4" t="s">
        <v>73</v>
      </c>
      <c r="K282" s="4"/>
      <c r="L282" s="4" t="s">
        <v>275</v>
      </c>
      <c r="M282" s="4" t="s">
        <v>40</v>
      </c>
      <c r="N282" s="4" t="s">
        <v>514</v>
      </c>
      <c r="O282" s="4" t="s">
        <v>272</v>
      </c>
      <c r="P282" s="4" t="s">
        <v>42</v>
      </c>
      <c r="Q282" s="50" t="s">
        <v>43</v>
      </c>
      <c r="R282" s="50"/>
      <c r="S282" s="50">
        <v>0</v>
      </c>
      <c r="T282" s="4" t="s">
        <v>43</v>
      </c>
      <c r="U282" s="4"/>
    </row>
    <row r="283" spans="3:21" hidden="1" x14ac:dyDescent="0.25">
      <c r="C283" s="4" t="s">
        <v>690</v>
      </c>
      <c r="D283" s="4" t="s">
        <v>691</v>
      </c>
      <c r="E283" s="4" t="s">
        <v>692</v>
      </c>
      <c r="F283" s="4">
        <v>5</v>
      </c>
      <c r="G283" s="4" t="s">
        <v>376</v>
      </c>
      <c r="H283" s="4" t="s">
        <v>46</v>
      </c>
      <c r="I283" s="4" t="s">
        <v>1030</v>
      </c>
      <c r="J283" s="4" t="s">
        <v>248</v>
      </c>
      <c r="K283" s="4" t="s">
        <v>43</v>
      </c>
      <c r="L283" s="4" t="s">
        <v>51</v>
      </c>
      <c r="M283" s="4" t="s">
        <v>40</v>
      </c>
      <c r="N283" s="4" t="s">
        <v>984</v>
      </c>
      <c r="O283" s="4" t="s">
        <v>690</v>
      </c>
      <c r="P283" s="4" t="s">
        <v>42</v>
      </c>
      <c r="Q283" s="50" t="s">
        <v>43</v>
      </c>
      <c r="R283" s="50"/>
      <c r="S283" s="50" t="s">
        <v>51</v>
      </c>
      <c r="T283" s="4" t="s">
        <v>43</v>
      </c>
      <c r="U283" s="4"/>
    </row>
    <row r="284" spans="3:21" hidden="1" x14ac:dyDescent="0.25">
      <c r="C284" s="4" t="s">
        <v>276</v>
      </c>
      <c r="D284" s="4" t="s">
        <v>277</v>
      </c>
      <c r="E284" s="4" t="s">
        <v>278</v>
      </c>
      <c r="F284" s="4" t="s">
        <v>36</v>
      </c>
      <c r="G284" s="4" t="s">
        <v>37</v>
      </c>
      <c r="H284" s="4" t="s">
        <v>38</v>
      </c>
      <c r="I284" s="4" t="s">
        <v>1030</v>
      </c>
      <c r="J284" s="4" t="s">
        <v>84</v>
      </c>
      <c r="K284" s="4"/>
      <c r="L284" s="4" t="s">
        <v>279</v>
      </c>
      <c r="M284" s="4" t="s">
        <v>55</v>
      </c>
      <c r="N284" s="4" t="s">
        <v>984</v>
      </c>
      <c r="O284" s="4" t="s">
        <v>276</v>
      </c>
      <c r="P284" s="4" t="s">
        <v>42</v>
      </c>
      <c r="Q284" s="50" t="s">
        <v>43</v>
      </c>
      <c r="R284" s="50"/>
      <c r="S284" s="50">
        <v>0</v>
      </c>
      <c r="T284" s="4" t="s">
        <v>43</v>
      </c>
      <c r="U284" s="4"/>
    </row>
    <row r="285" spans="3:21" hidden="1" x14ac:dyDescent="0.25">
      <c r="C285" s="4" t="s">
        <v>731</v>
      </c>
      <c r="D285" s="4" t="s">
        <v>732</v>
      </c>
      <c r="E285" s="4" t="s">
        <v>54</v>
      </c>
      <c r="F285" s="4">
        <v>5</v>
      </c>
      <c r="G285" s="4" t="s">
        <v>376</v>
      </c>
      <c r="H285" s="4" t="s">
        <v>46</v>
      </c>
      <c r="I285" s="4" t="s">
        <v>1031</v>
      </c>
      <c r="J285" s="4" t="s">
        <v>84</v>
      </c>
      <c r="K285" s="4" t="s">
        <v>440</v>
      </c>
      <c r="L285" s="4" t="s">
        <v>54</v>
      </c>
      <c r="M285" s="4" t="s">
        <v>55</v>
      </c>
      <c r="N285" s="4" t="s">
        <v>984</v>
      </c>
      <c r="O285" s="4" t="s">
        <v>731</v>
      </c>
      <c r="P285" s="4" t="s">
        <v>42</v>
      </c>
      <c r="Q285" s="50" t="s">
        <v>43</v>
      </c>
      <c r="R285" s="50"/>
      <c r="S285" s="50" t="s">
        <v>702</v>
      </c>
      <c r="T285" s="4" t="s">
        <v>43</v>
      </c>
      <c r="U285" s="4"/>
    </row>
    <row r="286" spans="3:21" hidden="1" x14ac:dyDescent="0.25">
      <c r="C286" s="4" t="s">
        <v>453</v>
      </c>
      <c r="D286" s="4" t="s">
        <v>454</v>
      </c>
      <c r="E286" s="4" t="s">
        <v>454</v>
      </c>
      <c r="F286" s="4">
        <v>5</v>
      </c>
      <c r="G286" s="4" t="s">
        <v>376</v>
      </c>
      <c r="H286" s="4" t="s">
        <v>46</v>
      </c>
      <c r="I286" s="4" t="s">
        <v>1030</v>
      </c>
      <c r="J286" s="4" t="s">
        <v>94</v>
      </c>
      <c r="K286" s="4" t="s">
        <v>43</v>
      </c>
      <c r="L286" s="4" t="s">
        <v>64</v>
      </c>
      <c r="M286" s="4" t="s">
        <v>40</v>
      </c>
      <c r="N286" s="4" t="s">
        <v>422</v>
      </c>
      <c r="O286" s="4" t="s">
        <v>453</v>
      </c>
      <c r="P286" s="4" t="s">
        <v>42</v>
      </c>
      <c r="Q286" s="50" t="s">
        <v>43</v>
      </c>
      <c r="R286" s="50"/>
      <c r="S286" s="50" t="s">
        <v>423</v>
      </c>
      <c r="T286" s="4" t="s">
        <v>43</v>
      </c>
      <c r="U286" s="4"/>
    </row>
    <row r="287" spans="3:21" hidden="1" x14ac:dyDescent="0.25">
      <c r="C287" s="4" t="s">
        <v>280</v>
      </c>
      <c r="D287" s="4" t="s">
        <v>281</v>
      </c>
      <c r="E287" s="4" t="s">
        <v>281</v>
      </c>
      <c r="F287" s="4" t="s">
        <v>36</v>
      </c>
      <c r="G287" s="4" t="s">
        <v>37</v>
      </c>
      <c r="H287" s="4" t="s">
        <v>38</v>
      </c>
      <c r="I287" s="4" t="s">
        <v>1030</v>
      </c>
      <c r="J287" s="4" t="s">
        <v>132</v>
      </c>
      <c r="K287" s="4"/>
      <c r="L287" s="4" t="s">
        <v>64</v>
      </c>
      <c r="M287" s="4" t="s">
        <v>40</v>
      </c>
      <c r="N287" s="4" t="s">
        <v>514</v>
      </c>
      <c r="O287" s="4" t="s">
        <v>280</v>
      </c>
      <c r="P287" s="4" t="s">
        <v>42</v>
      </c>
      <c r="Q287" s="50" t="s">
        <v>43</v>
      </c>
      <c r="R287" s="50"/>
      <c r="S287" s="50">
        <v>0</v>
      </c>
      <c r="T287" s="4" t="s">
        <v>43</v>
      </c>
      <c r="U287" s="4"/>
    </row>
    <row r="288" spans="3:21" hidden="1" x14ac:dyDescent="0.25">
      <c r="C288" s="4" t="s">
        <v>282</v>
      </c>
      <c r="D288" s="4" t="s">
        <v>283</v>
      </c>
      <c r="E288" s="4" t="s">
        <v>284</v>
      </c>
      <c r="F288" s="4" t="s">
        <v>36</v>
      </c>
      <c r="G288" s="4" t="s">
        <v>37</v>
      </c>
      <c r="H288" s="4" t="s">
        <v>38</v>
      </c>
      <c r="I288" s="4" t="s">
        <v>1030</v>
      </c>
      <c r="J288" s="4">
        <v>0</v>
      </c>
      <c r="K288" s="4"/>
      <c r="L288" s="4" t="s">
        <v>279</v>
      </c>
      <c r="M288" s="4" t="s">
        <v>55</v>
      </c>
      <c r="N288" s="4">
        <v>0</v>
      </c>
      <c r="O288" s="4" t="s">
        <v>282</v>
      </c>
      <c r="P288" s="4" t="s">
        <v>42</v>
      </c>
      <c r="Q288" s="50" t="s">
        <v>43</v>
      </c>
      <c r="R288" s="50"/>
      <c r="S288" s="50">
        <v>0</v>
      </c>
      <c r="T288" s="4" t="s">
        <v>43</v>
      </c>
      <c r="U288" s="4"/>
    </row>
    <row r="289" spans="3:21" hidden="1" x14ac:dyDescent="0.25">
      <c r="C289" s="4" t="s">
        <v>455</v>
      </c>
      <c r="D289" s="4" t="s">
        <v>456</v>
      </c>
      <c r="E289" s="4" t="s">
        <v>1002</v>
      </c>
      <c r="F289" s="4">
        <v>5</v>
      </c>
      <c r="G289" s="4" t="s">
        <v>376</v>
      </c>
      <c r="H289" s="4" t="s">
        <v>46</v>
      </c>
      <c r="I289" s="4" t="s">
        <v>1030</v>
      </c>
      <c r="J289" s="4" t="s">
        <v>94</v>
      </c>
      <c r="K289" s="4" t="s">
        <v>43</v>
      </c>
      <c r="L289" s="4" t="s">
        <v>64</v>
      </c>
      <c r="M289" s="4" t="s">
        <v>40</v>
      </c>
      <c r="N289" s="4" t="s">
        <v>422</v>
      </c>
      <c r="O289" s="4" t="s">
        <v>455</v>
      </c>
      <c r="P289" s="4" t="s">
        <v>42</v>
      </c>
      <c r="Q289" s="50" t="s">
        <v>43</v>
      </c>
      <c r="R289" s="50"/>
      <c r="S289" s="50" t="s">
        <v>423</v>
      </c>
      <c r="T289" s="4" t="s">
        <v>43</v>
      </c>
      <c r="U289" s="4"/>
    </row>
    <row r="290" spans="3:21" hidden="1" x14ac:dyDescent="0.25">
      <c r="C290" s="4" t="s">
        <v>285</v>
      </c>
      <c r="D290" s="4" t="s">
        <v>286</v>
      </c>
      <c r="E290" s="4" t="s">
        <v>287</v>
      </c>
      <c r="F290" s="4" t="s">
        <v>36</v>
      </c>
      <c r="G290" s="4" t="s">
        <v>37</v>
      </c>
      <c r="H290" s="4" t="s">
        <v>38</v>
      </c>
      <c r="I290" s="4" t="s">
        <v>1030</v>
      </c>
      <c r="J290" s="4">
        <v>0</v>
      </c>
      <c r="K290" s="4"/>
      <c r="L290" s="4" t="s">
        <v>51</v>
      </c>
      <c r="M290" s="4" t="s">
        <v>40</v>
      </c>
      <c r="N290" s="4">
        <v>0</v>
      </c>
      <c r="O290" s="4" t="s">
        <v>285</v>
      </c>
      <c r="P290" s="4" t="s">
        <v>42</v>
      </c>
      <c r="Q290" s="50" t="s">
        <v>43</v>
      </c>
      <c r="R290" s="50"/>
      <c r="S290" s="50">
        <v>0</v>
      </c>
      <c r="T290" s="4" t="s">
        <v>43</v>
      </c>
      <c r="U290" s="4"/>
    </row>
    <row r="291" spans="3:21" hidden="1" x14ac:dyDescent="0.25">
      <c r="C291" s="4" t="s">
        <v>288</v>
      </c>
      <c r="D291" s="4" t="s">
        <v>289</v>
      </c>
      <c r="E291" s="4" t="s">
        <v>290</v>
      </c>
      <c r="F291" s="4" t="s">
        <v>36</v>
      </c>
      <c r="G291" s="4" t="s">
        <v>37</v>
      </c>
      <c r="H291" s="4" t="s">
        <v>38</v>
      </c>
      <c r="I291" s="4" t="s">
        <v>1030</v>
      </c>
      <c r="J291" s="4">
        <v>0</v>
      </c>
      <c r="K291" s="4"/>
      <c r="L291" s="4" t="s">
        <v>59</v>
      </c>
      <c r="M291" s="4" t="s">
        <v>40</v>
      </c>
      <c r="N291" s="4">
        <v>0</v>
      </c>
      <c r="O291" s="4" t="s">
        <v>288</v>
      </c>
      <c r="P291" s="4" t="s">
        <v>42</v>
      </c>
      <c r="Q291" s="50" t="s">
        <v>43</v>
      </c>
      <c r="R291" s="50"/>
      <c r="S291" s="50">
        <v>0</v>
      </c>
      <c r="T291" s="4" t="s">
        <v>43</v>
      </c>
      <c r="U291" s="4"/>
    </row>
    <row r="292" spans="3:21" hidden="1" x14ac:dyDescent="0.25">
      <c r="C292" s="4" t="s">
        <v>291</v>
      </c>
      <c r="D292" s="4" t="s">
        <v>292</v>
      </c>
      <c r="E292" s="4" t="s">
        <v>292</v>
      </c>
      <c r="F292" s="4" t="s">
        <v>36</v>
      </c>
      <c r="G292" s="4" t="s">
        <v>37</v>
      </c>
      <c r="H292" s="4" t="s">
        <v>38</v>
      </c>
      <c r="I292" s="4" t="s">
        <v>1030</v>
      </c>
      <c r="J292" s="4" t="s">
        <v>94</v>
      </c>
      <c r="K292" s="4"/>
      <c r="L292" s="4" t="s">
        <v>51</v>
      </c>
      <c r="M292" s="4" t="s">
        <v>40</v>
      </c>
      <c r="N292" s="4" t="s">
        <v>422</v>
      </c>
      <c r="O292" s="4" t="s">
        <v>291</v>
      </c>
      <c r="P292" s="4" t="s">
        <v>42</v>
      </c>
      <c r="Q292" s="50" t="s">
        <v>43</v>
      </c>
      <c r="R292" s="50"/>
      <c r="S292" s="50">
        <v>0</v>
      </c>
      <c r="T292" s="4" t="s">
        <v>43</v>
      </c>
      <c r="U292" s="4"/>
    </row>
    <row r="293" spans="3:21" hidden="1" x14ac:dyDescent="0.25">
      <c r="C293" s="4" t="s">
        <v>293</v>
      </c>
      <c r="D293" s="4" t="s">
        <v>294</v>
      </c>
      <c r="E293" s="4" t="s">
        <v>294</v>
      </c>
      <c r="F293" s="4" t="s">
        <v>36</v>
      </c>
      <c r="G293" s="4" t="s">
        <v>37</v>
      </c>
      <c r="H293" s="4" t="s">
        <v>38</v>
      </c>
      <c r="I293" s="4" t="s">
        <v>1030</v>
      </c>
      <c r="J293" s="4" t="s">
        <v>73</v>
      </c>
      <c r="K293" s="4"/>
      <c r="L293" s="4" t="s">
        <v>64</v>
      </c>
      <c r="M293" s="4" t="s">
        <v>40</v>
      </c>
      <c r="N293" s="4" t="s">
        <v>514</v>
      </c>
      <c r="O293" s="4" t="s">
        <v>293</v>
      </c>
      <c r="P293" s="4" t="s">
        <v>42</v>
      </c>
      <c r="Q293" s="50" t="s">
        <v>43</v>
      </c>
      <c r="R293" s="50"/>
      <c r="S293" s="50">
        <v>0</v>
      </c>
      <c r="T293" s="4" t="s">
        <v>43</v>
      </c>
      <c r="U293" s="4"/>
    </row>
    <row r="294" spans="3:21" hidden="1" x14ac:dyDescent="0.25">
      <c r="C294" s="4" t="s">
        <v>295</v>
      </c>
      <c r="D294" s="4" t="s">
        <v>296</v>
      </c>
      <c r="E294" s="4" t="s">
        <v>297</v>
      </c>
      <c r="F294" s="4" t="s">
        <v>36</v>
      </c>
      <c r="G294" s="4" t="s">
        <v>37</v>
      </c>
      <c r="H294" s="4" t="s">
        <v>38</v>
      </c>
      <c r="I294" s="4" t="s">
        <v>1030</v>
      </c>
      <c r="J294" s="4" t="s">
        <v>94</v>
      </c>
      <c r="K294" s="4"/>
      <c r="L294" s="4" t="s">
        <v>64</v>
      </c>
      <c r="M294" s="4" t="s">
        <v>40</v>
      </c>
      <c r="N294" s="4" t="s">
        <v>422</v>
      </c>
      <c r="O294" s="4" t="s">
        <v>295</v>
      </c>
      <c r="P294" s="4" t="s">
        <v>42</v>
      </c>
      <c r="Q294" s="50" t="s">
        <v>43</v>
      </c>
      <c r="R294" s="50"/>
      <c r="S294" s="50">
        <v>0</v>
      </c>
      <c r="T294" s="4" t="s">
        <v>43</v>
      </c>
      <c r="U294" s="4"/>
    </row>
    <row r="295" spans="3:21" hidden="1" x14ac:dyDescent="0.25">
      <c r="C295" s="4" t="s">
        <v>298</v>
      </c>
      <c r="D295" s="4" t="s">
        <v>299</v>
      </c>
      <c r="E295" s="4" t="s">
        <v>300</v>
      </c>
      <c r="F295" s="4" t="s">
        <v>36</v>
      </c>
      <c r="G295" s="4" t="s">
        <v>37</v>
      </c>
      <c r="H295" s="4" t="s">
        <v>38</v>
      </c>
      <c r="I295" s="4" t="s">
        <v>1030</v>
      </c>
      <c r="J295" s="4" t="s">
        <v>58</v>
      </c>
      <c r="K295" s="4"/>
      <c r="L295" s="4" t="s">
        <v>59</v>
      </c>
      <c r="M295" s="4" t="s">
        <v>40</v>
      </c>
      <c r="N295" s="4" t="s">
        <v>378</v>
      </c>
      <c r="O295" s="4" t="s">
        <v>298</v>
      </c>
      <c r="P295" s="4" t="s">
        <v>42</v>
      </c>
      <c r="Q295" s="50" t="s">
        <v>43</v>
      </c>
      <c r="R295" s="50"/>
      <c r="S295" s="50">
        <v>0</v>
      </c>
      <c r="T295" s="4" t="s">
        <v>43</v>
      </c>
      <c r="U295" s="4"/>
    </row>
    <row r="296" spans="3:21" hidden="1" x14ac:dyDescent="0.25">
      <c r="C296" s="4" t="s">
        <v>794</v>
      </c>
      <c r="D296" s="4" t="s">
        <v>795</v>
      </c>
      <c r="E296" s="4" t="s">
        <v>795</v>
      </c>
      <c r="F296" s="4">
        <v>0</v>
      </c>
      <c r="G296" s="4" t="s">
        <v>37</v>
      </c>
      <c r="H296" s="4" t="s">
        <v>46</v>
      </c>
      <c r="I296" s="4" t="s">
        <v>1031</v>
      </c>
      <c r="J296" s="4" t="s">
        <v>89</v>
      </c>
      <c r="K296" s="4"/>
      <c r="L296" s="4" t="s">
        <v>109</v>
      </c>
      <c r="M296" s="4" t="s">
        <v>91</v>
      </c>
      <c r="N296" s="4" t="s">
        <v>378</v>
      </c>
      <c r="O296" s="4" t="s">
        <v>794</v>
      </c>
      <c r="P296" s="4" t="s">
        <v>42</v>
      </c>
      <c r="Q296" s="50" t="s">
        <v>43</v>
      </c>
      <c r="R296" s="50"/>
      <c r="S296" s="50" t="s">
        <v>772</v>
      </c>
      <c r="T296" s="4" t="s">
        <v>43</v>
      </c>
      <c r="U296" s="4"/>
    </row>
    <row r="297" spans="3:21" hidden="1" x14ac:dyDescent="0.25">
      <c r="C297" s="4" t="s">
        <v>620</v>
      </c>
      <c r="D297" s="4" t="s">
        <v>622</v>
      </c>
      <c r="E297" s="4" t="s">
        <v>622</v>
      </c>
      <c r="F297" s="4">
        <v>5.04</v>
      </c>
      <c r="G297" s="4" t="s">
        <v>376</v>
      </c>
      <c r="H297" s="4" t="s">
        <v>46</v>
      </c>
      <c r="I297" s="4" t="s">
        <v>1030</v>
      </c>
      <c r="J297" s="4" t="s">
        <v>50</v>
      </c>
      <c r="K297" s="4" t="s">
        <v>43</v>
      </c>
      <c r="L297" s="4" t="s">
        <v>59</v>
      </c>
      <c r="M297" s="4" t="s">
        <v>40</v>
      </c>
      <c r="N297" s="4" t="s">
        <v>422</v>
      </c>
      <c r="O297" s="4" t="s">
        <v>620</v>
      </c>
      <c r="P297" s="4" t="s">
        <v>42</v>
      </c>
      <c r="Q297" s="50" t="s">
        <v>43</v>
      </c>
      <c r="R297" s="50"/>
      <c r="S297" s="50" t="s">
        <v>597</v>
      </c>
      <c r="T297" s="4" t="s">
        <v>43</v>
      </c>
      <c r="U297" s="4" t="s">
        <v>32</v>
      </c>
    </row>
    <row r="298" spans="3:21" hidden="1" x14ac:dyDescent="0.25">
      <c r="C298" s="4" t="s">
        <v>733</v>
      </c>
      <c r="D298" s="4" t="s">
        <v>734</v>
      </c>
      <c r="E298" s="4" t="s">
        <v>735</v>
      </c>
      <c r="F298" s="4">
        <v>5</v>
      </c>
      <c r="G298" s="4" t="s">
        <v>376</v>
      </c>
      <c r="H298" s="4" t="s">
        <v>46</v>
      </c>
      <c r="I298" s="4" t="s">
        <v>1031</v>
      </c>
      <c r="J298" s="4" t="s">
        <v>84</v>
      </c>
      <c r="K298" s="4" t="s">
        <v>440</v>
      </c>
      <c r="L298" s="4" t="s">
        <v>54</v>
      </c>
      <c r="M298" s="4" t="s">
        <v>55</v>
      </c>
      <c r="N298" s="4" t="s">
        <v>984</v>
      </c>
      <c r="O298" s="4" t="s">
        <v>733</v>
      </c>
      <c r="P298" s="4" t="s">
        <v>42</v>
      </c>
      <c r="Q298" s="50" t="s">
        <v>43</v>
      </c>
      <c r="R298" s="50"/>
      <c r="S298" s="50" t="s">
        <v>702</v>
      </c>
      <c r="T298" s="4" t="s">
        <v>43</v>
      </c>
      <c r="U298" s="4"/>
    </row>
    <row r="299" spans="3:21" hidden="1" x14ac:dyDescent="0.25">
      <c r="C299" s="4" t="s">
        <v>301</v>
      </c>
      <c r="D299" s="4" t="s">
        <v>302</v>
      </c>
      <c r="E299" s="4" t="s">
        <v>303</v>
      </c>
      <c r="F299" s="4" t="s">
        <v>36</v>
      </c>
      <c r="G299" s="4" t="s">
        <v>37</v>
      </c>
      <c r="H299" s="4" t="s">
        <v>38</v>
      </c>
      <c r="I299" s="4" t="s">
        <v>1030</v>
      </c>
      <c r="J299" s="4" t="s">
        <v>132</v>
      </c>
      <c r="K299" s="4"/>
      <c r="L299" s="4" t="s">
        <v>133</v>
      </c>
      <c r="M299" s="4" t="s">
        <v>40</v>
      </c>
      <c r="N299" s="4" t="s">
        <v>514</v>
      </c>
      <c r="O299" s="4" t="s">
        <v>301</v>
      </c>
      <c r="P299" s="4" t="s">
        <v>42</v>
      </c>
      <c r="Q299" s="50" t="s">
        <v>43</v>
      </c>
      <c r="R299" s="50"/>
      <c r="S299" s="50">
        <v>0</v>
      </c>
      <c r="T299" s="4" t="s">
        <v>43</v>
      </c>
      <c r="U299" s="4"/>
    </row>
    <row r="300" spans="3:21" hidden="1" x14ac:dyDescent="0.25">
      <c r="C300" s="4" t="s">
        <v>505</v>
      </c>
      <c r="D300" s="4" t="s">
        <v>506</v>
      </c>
      <c r="E300" s="4" t="s">
        <v>506</v>
      </c>
      <c r="F300" s="4">
        <v>5</v>
      </c>
      <c r="G300" s="4" t="s">
        <v>376</v>
      </c>
      <c r="H300" s="4" t="s">
        <v>46</v>
      </c>
      <c r="I300" s="4" t="s">
        <v>1030</v>
      </c>
      <c r="J300" s="4" t="s">
        <v>466</v>
      </c>
      <c r="K300" s="4" t="s">
        <v>43</v>
      </c>
      <c r="L300" s="4" t="s">
        <v>51</v>
      </c>
      <c r="M300" s="4" t="s">
        <v>40</v>
      </c>
      <c r="N300" s="4" t="s">
        <v>378</v>
      </c>
      <c r="O300" s="4" t="s">
        <v>505</v>
      </c>
      <c r="P300" s="4" t="s">
        <v>42</v>
      </c>
      <c r="Q300" s="50" t="s">
        <v>43</v>
      </c>
      <c r="R300" s="50"/>
      <c r="S300" s="50" t="s">
        <v>467</v>
      </c>
      <c r="T300" s="4" t="s">
        <v>43</v>
      </c>
      <c r="U300" s="4"/>
    </row>
    <row r="301" spans="3:21" hidden="1" x14ac:dyDescent="0.25">
      <c r="C301" s="4" t="s">
        <v>304</v>
      </c>
      <c r="D301" s="4" t="s">
        <v>305</v>
      </c>
      <c r="E301" s="4" t="s">
        <v>305</v>
      </c>
      <c r="F301" s="4" t="s">
        <v>36</v>
      </c>
      <c r="G301" s="4" t="s">
        <v>37</v>
      </c>
      <c r="H301" s="4" t="s">
        <v>81</v>
      </c>
      <c r="I301" s="4" t="s">
        <v>1030</v>
      </c>
      <c r="J301" s="4" t="s">
        <v>132</v>
      </c>
      <c r="K301" s="4"/>
      <c r="L301" s="4" t="s">
        <v>51</v>
      </c>
      <c r="M301" s="4" t="s">
        <v>40</v>
      </c>
      <c r="N301" s="4" t="s">
        <v>514</v>
      </c>
      <c r="O301" s="4" t="s">
        <v>304</v>
      </c>
      <c r="P301" s="4" t="s">
        <v>42</v>
      </c>
      <c r="Q301" s="50" t="s">
        <v>43</v>
      </c>
      <c r="R301" s="50"/>
      <c r="S301" s="50">
        <v>0</v>
      </c>
      <c r="T301" s="4" t="s">
        <v>43</v>
      </c>
      <c r="U301" s="4"/>
    </row>
    <row r="302" spans="3:21" hidden="1" x14ac:dyDescent="0.25">
      <c r="C302" s="4" t="s">
        <v>306</v>
      </c>
      <c r="D302" s="4" t="s">
        <v>307</v>
      </c>
      <c r="E302" s="4" t="s">
        <v>307</v>
      </c>
      <c r="F302" s="4" t="s">
        <v>36</v>
      </c>
      <c r="G302" s="4" t="s">
        <v>37</v>
      </c>
      <c r="H302" s="4" t="s">
        <v>46</v>
      </c>
      <c r="I302" s="4" t="s">
        <v>1030</v>
      </c>
      <c r="J302" s="4">
        <v>0</v>
      </c>
      <c r="K302" s="4"/>
      <c r="L302" s="4" t="s">
        <v>138</v>
      </c>
      <c r="M302" s="4" t="s">
        <v>40</v>
      </c>
      <c r="N302" s="4">
        <v>0</v>
      </c>
      <c r="O302" s="4" t="s">
        <v>306</v>
      </c>
      <c r="P302" s="4" t="s">
        <v>42</v>
      </c>
      <c r="Q302" s="50" t="s">
        <v>43</v>
      </c>
      <c r="R302" s="50"/>
      <c r="S302" s="50">
        <v>0</v>
      </c>
      <c r="T302" s="4" t="s">
        <v>43</v>
      </c>
      <c r="U302" s="4"/>
    </row>
    <row r="303" spans="3:21" hidden="1" x14ac:dyDescent="0.25">
      <c r="C303" s="4" t="s">
        <v>308</v>
      </c>
      <c r="D303" s="4" t="s">
        <v>309</v>
      </c>
      <c r="E303" s="4" t="s">
        <v>309</v>
      </c>
      <c r="F303" s="4" t="s">
        <v>36</v>
      </c>
      <c r="G303" s="4" t="s">
        <v>37</v>
      </c>
      <c r="H303" s="4" t="s">
        <v>46</v>
      </c>
      <c r="I303" s="4" t="s">
        <v>1030</v>
      </c>
      <c r="J303" s="4">
        <v>0</v>
      </c>
      <c r="K303" s="4"/>
      <c r="L303" s="4" t="s">
        <v>279</v>
      </c>
      <c r="M303" s="4" t="s">
        <v>55</v>
      </c>
      <c r="N303" s="4">
        <v>0</v>
      </c>
      <c r="O303" s="4" t="s">
        <v>308</v>
      </c>
      <c r="P303" s="4" t="s">
        <v>42</v>
      </c>
      <c r="Q303" s="50" t="s">
        <v>43</v>
      </c>
      <c r="R303" s="50"/>
      <c r="S303" s="50">
        <v>0</v>
      </c>
      <c r="T303" s="4" t="s">
        <v>43</v>
      </c>
      <c r="U303" s="4"/>
    </row>
    <row r="304" spans="3:21" hidden="1" x14ac:dyDescent="0.25">
      <c r="C304" s="4" t="s">
        <v>310</v>
      </c>
      <c r="D304" s="4" t="s">
        <v>311</v>
      </c>
      <c r="E304" s="4" t="s">
        <v>312</v>
      </c>
      <c r="F304" s="4" t="s">
        <v>36</v>
      </c>
      <c r="G304" s="4" t="s">
        <v>37</v>
      </c>
      <c r="H304" s="4" t="s">
        <v>81</v>
      </c>
      <c r="I304" s="4" t="s">
        <v>1030</v>
      </c>
      <c r="J304" s="4" t="s">
        <v>160</v>
      </c>
      <c r="K304" s="4"/>
      <c r="L304" s="4" t="s">
        <v>64</v>
      </c>
      <c r="M304" s="4" t="s">
        <v>40</v>
      </c>
      <c r="N304" s="4" t="s">
        <v>378</v>
      </c>
      <c r="O304" s="4" t="s">
        <v>310</v>
      </c>
      <c r="P304" s="4" t="s">
        <v>42</v>
      </c>
      <c r="Q304" s="50" t="s">
        <v>43</v>
      </c>
      <c r="R304" s="50"/>
      <c r="S304" s="50">
        <v>0</v>
      </c>
      <c r="T304" s="4" t="s">
        <v>43</v>
      </c>
      <c r="U304" s="4"/>
    </row>
    <row r="305" spans="3:21" hidden="1" x14ac:dyDescent="0.25">
      <c r="C305" s="4" t="s">
        <v>968</v>
      </c>
      <c r="D305" s="4" t="s">
        <v>969</v>
      </c>
      <c r="E305" s="4" t="s">
        <v>969</v>
      </c>
      <c r="F305" s="4">
        <v>5</v>
      </c>
      <c r="G305" s="4" t="s">
        <v>376</v>
      </c>
      <c r="H305" s="4" t="s">
        <v>46</v>
      </c>
      <c r="I305" s="4" t="s">
        <v>1030</v>
      </c>
      <c r="J305" s="4" t="s">
        <v>160</v>
      </c>
      <c r="K305" s="4" t="s">
        <v>43</v>
      </c>
      <c r="L305" s="4" t="s">
        <v>39</v>
      </c>
      <c r="M305" s="4" t="s">
        <v>40</v>
      </c>
      <c r="N305" s="4" t="s">
        <v>378</v>
      </c>
      <c r="O305" s="4" t="s">
        <v>968</v>
      </c>
      <c r="P305" s="4" t="s">
        <v>42</v>
      </c>
      <c r="Q305" s="50" t="s">
        <v>43</v>
      </c>
      <c r="R305" s="50"/>
      <c r="S305" s="50" t="s">
        <v>931</v>
      </c>
      <c r="T305" s="4" t="s">
        <v>43</v>
      </c>
      <c r="U305" s="4"/>
    </row>
    <row r="306" spans="3:21" hidden="1" x14ac:dyDescent="0.25">
      <c r="C306" s="4" t="s">
        <v>313</v>
      </c>
      <c r="D306" s="4" t="s">
        <v>314</v>
      </c>
      <c r="E306" s="4" t="s">
        <v>314</v>
      </c>
      <c r="F306" s="4" t="s">
        <v>36</v>
      </c>
      <c r="G306" s="4" t="s">
        <v>37</v>
      </c>
      <c r="H306" s="4" t="s">
        <v>81</v>
      </c>
      <c r="I306" s="4" t="s">
        <v>1030</v>
      </c>
      <c r="J306" s="4">
        <v>0</v>
      </c>
      <c r="K306" s="4"/>
      <c r="L306" s="4" t="s">
        <v>315</v>
      </c>
      <c r="M306" s="4" t="s">
        <v>40</v>
      </c>
      <c r="N306" s="4">
        <v>0</v>
      </c>
      <c r="O306" s="4" t="s">
        <v>313</v>
      </c>
      <c r="P306" s="4" t="s">
        <v>42</v>
      </c>
      <c r="Q306" s="50" t="s">
        <v>43</v>
      </c>
      <c r="R306" s="50"/>
      <c r="S306" s="50">
        <v>0</v>
      </c>
      <c r="T306" s="4" t="s">
        <v>43</v>
      </c>
      <c r="U306" s="4"/>
    </row>
    <row r="307" spans="3:21" hidden="1" x14ac:dyDescent="0.25">
      <c r="C307" s="4" t="s">
        <v>823</v>
      </c>
      <c r="D307" s="4" t="s">
        <v>824</v>
      </c>
      <c r="E307" s="4" t="s">
        <v>824</v>
      </c>
      <c r="F307" s="4">
        <v>5</v>
      </c>
      <c r="G307" s="4" t="s">
        <v>376</v>
      </c>
      <c r="H307" s="4" t="s">
        <v>46</v>
      </c>
      <c r="I307" s="4" t="s">
        <v>1030</v>
      </c>
      <c r="J307" s="4" t="s">
        <v>146</v>
      </c>
      <c r="K307" s="4" t="s">
        <v>43</v>
      </c>
      <c r="L307" s="4" t="s">
        <v>59</v>
      </c>
      <c r="M307" s="4" t="s">
        <v>40</v>
      </c>
      <c r="N307" s="4" t="s">
        <v>984</v>
      </c>
      <c r="O307" s="4" t="s">
        <v>823</v>
      </c>
      <c r="P307" s="4" t="s">
        <v>42</v>
      </c>
      <c r="Q307" s="50" t="s">
        <v>43</v>
      </c>
      <c r="R307" s="50"/>
      <c r="S307" s="50" t="s">
        <v>799</v>
      </c>
      <c r="T307" s="4" t="s">
        <v>43</v>
      </c>
      <c r="U307" s="4"/>
    </row>
    <row r="308" spans="3:21" hidden="1" x14ac:dyDescent="0.25">
      <c r="C308" s="4" t="s">
        <v>316</v>
      </c>
      <c r="D308" s="4" t="s">
        <v>317</v>
      </c>
      <c r="E308" s="4" t="s">
        <v>318</v>
      </c>
      <c r="F308" s="4" t="s">
        <v>36</v>
      </c>
      <c r="G308" s="4" t="s">
        <v>37</v>
      </c>
      <c r="H308" s="4" t="s">
        <v>81</v>
      </c>
      <c r="I308" s="4" t="s">
        <v>1030</v>
      </c>
      <c r="J308" s="4" t="s">
        <v>67</v>
      </c>
      <c r="K308" s="4"/>
      <c r="L308" s="4" t="s">
        <v>59</v>
      </c>
      <c r="M308" s="4" t="s">
        <v>40</v>
      </c>
      <c r="N308" s="4">
        <v>0</v>
      </c>
      <c r="O308" s="4" t="s">
        <v>316</v>
      </c>
      <c r="P308" s="4" t="s">
        <v>42</v>
      </c>
      <c r="Q308" s="50" t="s">
        <v>43</v>
      </c>
      <c r="R308" s="50"/>
      <c r="S308" s="50">
        <v>0</v>
      </c>
      <c r="T308" s="4" t="s">
        <v>43</v>
      </c>
      <c r="U308" s="4"/>
    </row>
    <row r="309" spans="3:21" hidden="1" x14ac:dyDescent="0.25">
      <c r="C309" s="4" t="s">
        <v>319</v>
      </c>
      <c r="D309" s="4" t="s">
        <v>320</v>
      </c>
      <c r="E309" s="4" t="s">
        <v>320</v>
      </c>
      <c r="F309" s="4" t="s">
        <v>36</v>
      </c>
      <c r="G309" s="4" t="s">
        <v>37</v>
      </c>
      <c r="H309" s="4" t="s">
        <v>46</v>
      </c>
      <c r="I309" s="4" t="s">
        <v>1030</v>
      </c>
      <c r="J309" s="4">
        <v>0</v>
      </c>
      <c r="K309" s="4"/>
      <c r="L309" s="4" t="s">
        <v>97</v>
      </c>
      <c r="M309" s="4" t="s">
        <v>40</v>
      </c>
      <c r="N309" s="4">
        <v>0</v>
      </c>
      <c r="O309" s="4" t="s">
        <v>319</v>
      </c>
      <c r="P309" s="4" t="s">
        <v>42</v>
      </c>
      <c r="Q309" s="50" t="s">
        <v>43</v>
      </c>
      <c r="R309" s="50"/>
      <c r="S309" s="50">
        <v>0</v>
      </c>
      <c r="T309" s="4" t="s">
        <v>43</v>
      </c>
      <c r="U309" s="4"/>
    </row>
    <row r="310" spans="3:21" hidden="1" x14ac:dyDescent="0.25">
      <c r="C310" s="4" t="s">
        <v>321</v>
      </c>
      <c r="D310" s="4" t="s">
        <v>322</v>
      </c>
      <c r="E310" s="4" t="s">
        <v>322</v>
      </c>
      <c r="F310" s="4" t="s">
        <v>36</v>
      </c>
      <c r="G310" s="4" t="s">
        <v>37</v>
      </c>
      <c r="H310" s="4" t="s">
        <v>81</v>
      </c>
      <c r="I310" s="4" t="s">
        <v>1030</v>
      </c>
      <c r="J310" s="4" t="s">
        <v>50</v>
      </c>
      <c r="K310" s="4"/>
      <c r="L310" s="4" t="s">
        <v>51</v>
      </c>
      <c r="M310" s="4" t="s">
        <v>40</v>
      </c>
      <c r="N310" s="4" t="s">
        <v>422</v>
      </c>
      <c r="O310" s="4" t="s">
        <v>321</v>
      </c>
      <c r="P310" s="4" t="s">
        <v>42</v>
      </c>
      <c r="Q310" s="50" t="s">
        <v>43</v>
      </c>
      <c r="R310" s="50"/>
      <c r="S310" s="50">
        <v>0</v>
      </c>
      <c r="T310" s="4" t="s">
        <v>43</v>
      </c>
      <c r="U310" s="4"/>
    </row>
    <row r="311" spans="3:21" hidden="1" x14ac:dyDescent="0.25">
      <c r="C311" s="4" t="s">
        <v>457</v>
      </c>
      <c r="D311" s="4" t="s">
        <v>458</v>
      </c>
      <c r="E311" s="4" t="s">
        <v>458</v>
      </c>
      <c r="F311" s="4">
        <v>5</v>
      </c>
      <c r="G311" s="4" t="s">
        <v>376</v>
      </c>
      <c r="H311" s="4" t="s">
        <v>81</v>
      </c>
      <c r="I311" s="4" t="s">
        <v>1030</v>
      </c>
      <c r="J311" s="4" t="s">
        <v>94</v>
      </c>
      <c r="K311" s="4" t="s">
        <v>43</v>
      </c>
      <c r="L311" s="4" t="s">
        <v>205</v>
      </c>
      <c r="M311" s="4" t="s">
        <v>40</v>
      </c>
      <c r="N311" s="4" t="s">
        <v>422</v>
      </c>
      <c r="O311" s="4" t="s">
        <v>457</v>
      </c>
      <c r="P311" s="4" t="s">
        <v>42</v>
      </c>
      <c r="Q311" s="50" t="s">
        <v>43</v>
      </c>
      <c r="R311" s="50"/>
      <c r="S311" s="50" t="s">
        <v>423</v>
      </c>
      <c r="T311" s="4" t="s">
        <v>43</v>
      </c>
      <c r="U311" s="4"/>
    </row>
    <row r="312" spans="3:21" hidden="1" x14ac:dyDescent="0.25">
      <c r="C312" s="4" t="s">
        <v>323</v>
      </c>
      <c r="D312" s="4" t="s">
        <v>324</v>
      </c>
      <c r="E312" s="4" t="s">
        <v>324</v>
      </c>
      <c r="F312" s="4" t="s">
        <v>36</v>
      </c>
      <c r="G312" s="4" t="s">
        <v>37</v>
      </c>
      <c r="H312" s="4" t="s">
        <v>46</v>
      </c>
      <c r="I312" s="4" t="s">
        <v>1030</v>
      </c>
      <c r="J312" s="4" t="s">
        <v>58</v>
      </c>
      <c r="K312" s="4"/>
      <c r="L312" s="4" t="s">
        <v>138</v>
      </c>
      <c r="M312" s="4" t="s">
        <v>40</v>
      </c>
      <c r="N312" s="4" t="s">
        <v>378</v>
      </c>
      <c r="O312" s="4" t="s">
        <v>323</v>
      </c>
      <c r="P312" s="4" t="s">
        <v>42</v>
      </c>
      <c r="Q312" s="50" t="s">
        <v>43</v>
      </c>
      <c r="R312" s="50"/>
      <c r="S312" s="50">
        <v>0</v>
      </c>
      <c r="T312" s="4" t="s">
        <v>43</v>
      </c>
      <c r="U312" s="4"/>
    </row>
    <row r="313" spans="3:21" hidden="1" x14ac:dyDescent="0.25">
      <c r="C313" s="4" t="s">
        <v>325</v>
      </c>
      <c r="D313" s="4" t="s">
        <v>326</v>
      </c>
      <c r="E313" s="4" t="s">
        <v>326</v>
      </c>
      <c r="F313" s="4" t="s">
        <v>36</v>
      </c>
      <c r="G313" s="4" t="s">
        <v>37</v>
      </c>
      <c r="H313" s="4" t="s">
        <v>46</v>
      </c>
      <c r="I313" s="4" t="s">
        <v>1030</v>
      </c>
      <c r="J313" s="4" t="s">
        <v>67</v>
      </c>
      <c r="K313" s="4"/>
      <c r="L313" s="4" t="s">
        <v>59</v>
      </c>
      <c r="M313" s="4" t="s">
        <v>40</v>
      </c>
      <c r="N313" s="4">
        <v>0</v>
      </c>
      <c r="O313" s="4" t="s">
        <v>325</v>
      </c>
      <c r="P313" s="4" t="s">
        <v>42</v>
      </c>
      <c r="Q313" s="50" t="s">
        <v>43</v>
      </c>
      <c r="R313" s="50"/>
      <c r="S313" s="50">
        <v>0</v>
      </c>
      <c r="T313" s="4" t="s">
        <v>43</v>
      </c>
      <c r="U313" s="4"/>
    </row>
    <row r="314" spans="3:21" hidden="1" x14ac:dyDescent="0.25">
      <c r="C314" s="4" t="s">
        <v>459</v>
      </c>
      <c r="D314" s="4" t="s">
        <v>460</v>
      </c>
      <c r="E314" s="4" t="s">
        <v>460</v>
      </c>
      <c r="F314" s="4">
        <v>5</v>
      </c>
      <c r="G314" s="4" t="s">
        <v>376</v>
      </c>
      <c r="H314" s="4" t="s">
        <v>46</v>
      </c>
      <c r="I314" s="4" t="s">
        <v>1030</v>
      </c>
      <c r="J314" s="4" t="s">
        <v>94</v>
      </c>
      <c r="K314" s="4" t="s">
        <v>43</v>
      </c>
      <c r="L314" s="4" t="s">
        <v>64</v>
      </c>
      <c r="M314" s="4" t="s">
        <v>40</v>
      </c>
      <c r="N314" s="4" t="s">
        <v>422</v>
      </c>
      <c r="O314" s="4" t="s">
        <v>459</v>
      </c>
      <c r="P314" s="4" t="s">
        <v>42</v>
      </c>
      <c r="Q314" s="50" t="s">
        <v>43</v>
      </c>
      <c r="R314" s="50"/>
      <c r="S314" s="50" t="s">
        <v>423</v>
      </c>
      <c r="T314" s="4" t="s">
        <v>43</v>
      </c>
      <c r="U314" s="4"/>
    </row>
    <row r="315" spans="3:21" hidden="1" x14ac:dyDescent="0.25">
      <c r="C315" s="4" t="s">
        <v>919</v>
      </c>
      <c r="D315" s="4" t="s">
        <v>920</v>
      </c>
      <c r="E315" s="4" t="s">
        <v>920</v>
      </c>
      <c r="F315" s="4">
        <v>5</v>
      </c>
      <c r="G315" s="4" t="s">
        <v>376</v>
      </c>
      <c r="H315" s="4" t="s">
        <v>81</v>
      </c>
      <c r="I315" s="4" t="s">
        <v>1030</v>
      </c>
      <c r="J315" s="4" t="s">
        <v>73</v>
      </c>
      <c r="K315" s="4" t="s">
        <v>43</v>
      </c>
      <c r="L315" s="4" t="s">
        <v>315</v>
      </c>
      <c r="M315" s="4" t="s">
        <v>40</v>
      </c>
      <c r="N315" s="4" t="s">
        <v>514</v>
      </c>
      <c r="O315" s="4" t="s">
        <v>919</v>
      </c>
      <c r="P315" s="4" t="s">
        <v>42</v>
      </c>
      <c r="Q315" s="50" t="s">
        <v>43</v>
      </c>
      <c r="R315" s="50"/>
      <c r="S315" s="50" t="s">
        <v>886</v>
      </c>
      <c r="T315" s="4" t="s">
        <v>43</v>
      </c>
      <c r="U315" s="4"/>
    </row>
    <row r="316" spans="3:21" hidden="1" x14ac:dyDescent="0.25">
      <c r="C316" s="4" t="s">
        <v>610</v>
      </c>
      <c r="D316" s="4" t="s">
        <v>611</v>
      </c>
      <c r="E316" s="4" t="s">
        <v>611</v>
      </c>
      <c r="F316" s="4">
        <v>5</v>
      </c>
      <c r="G316" s="4" t="s">
        <v>376</v>
      </c>
      <c r="H316" s="4" t="s">
        <v>81</v>
      </c>
      <c r="I316" s="4" t="s">
        <v>1030</v>
      </c>
      <c r="J316" s="4" t="s">
        <v>50</v>
      </c>
      <c r="K316" s="4" t="s">
        <v>43</v>
      </c>
      <c r="L316" s="4" t="s">
        <v>59</v>
      </c>
      <c r="M316" s="4" t="s">
        <v>40</v>
      </c>
      <c r="N316" s="4" t="s">
        <v>422</v>
      </c>
      <c r="O316" s="4" t="s">
        <v>610</v>
      </c>
      <c r="P316" s="4" t="s">
        <v>42</v>
      </c>
      <c r="Q316" s="50" t="s">
        <v>43</v>
      </c>
      <c r="R316" s="50"/>
      <c r="S316" s="50" t="s">
        <v>597</v>
      </c>
      <c r="T316" s="4" t="s">
        <v>43</v>
      </c>
      <c r="U316" s="4"/>
    </row>
    <row r="317" spans="3:21" hidden="1" x14ac:dyDescent="0.25">
      <c r="C317" s="4" t="s">
        <v>461</v>
      </c>
      <c r="D317" s="4" t="s">
        <v>462</v>
      </c>
      <c r="E317" s="4" t="s">
        <v>462</v>
      </c>
      <c r="F317" s="4">
        <v>5</v>
      </c>
      <c r="G317" s="4" t="s">
        <v>376</v>
      </c>
      <c r="H317" s="4" t="s">
        <v>46</v>
      </c>
      <c r="I317" s="4" t="s">
        <v>1030</v>
      </c>
      <c r="J317" s="4" t="s">
        <v>94</v>
      </c>
      <c r="K317" s="4" t="s">
        <v>43</v>
      </c>
      <c r="L317" s="4" t="s">
        <v>64</v>
      </c>
      <c r="M317" s="4" t="s">
        <v>40</v>
      </c>
      <c r="N317" s="4" t="s">
        <v>422</v>
      </c>
      <c r="O317" s="4" t="s">
        <v>461</v>
      </c>
      <c r="P317" s="4" t="s">
        <v>42</v>
      </c>
      <c r="Q317" s="50" t="s">
        <v>43</v>
      </c>
      <c r="R317" s="50"/>
      <c r="S317" s="50" t="s">
        <v>423</v>
      </c>
      <c r="T317" s="4" t="s">
        <v>43</v>
      </c>
      <c r="U317" s="4"/>
    </row>
    <row r="318" spans="3:21" hidden="1" x14ac:dyDescent="0.25">
      <c r="C318" s="4" t="s">
        <v>639</v>
      </c>
      <c r="D318" s="4" t="s">
        <v>640</v>
      </c>
      <c r="E318" s="4" t="s">
        <v>641</v>
      </c>
      <c r="F318" s="4">
        <v>5</v>
      </c>
      <c r="G318" s="4" t="s">
        <v>376</v>
      </c>
      <c r="H318" s="4" t="s">
        <v>81</v>
      </c>
      <c r="I318" s="4" t="s">
        <v>1030</v>
      </c>
      <c r="J318" s="4" t="s">
        <v>50</v>
      </c>
      <c r="K318" s="4" t="s">
        <v>43</v>
      </c>
      <c r="L318" s="4" t="s">
        <v>64</v>
      </c>
      <c r="M318" s="4" t="s">
        <v>40</v>
      </c>
      <c r="N318" s="4" t="s">
        <v>422</v>
      </c>
      <c r="O318" s="4" t="s">
        <v>639</v>
      </c>
      <c r="P318" s="4" t="s">
        <v>42</v>
      </c>
      <c r="Q318" s="50" t="s">
        <v>43</v>
      </c>
      <c r="R318" s="50"/>
      <c r="S318" s="50" t="s">
        <v>597</v>
      </c>
      <c r="T318" s="4" t="s">
        <v>43</v>
      </c>
      <c r="U318" s="4"/>
    </row>
    <row r="319" spans="3:21" hidden="1" x14ac:dyDescent="0.25">
      <c r="C319" s="4" t="s">
        <v>327</v>
      </c>
      <c r="D319" s="4" t="s">
        <v>328</v>
      </c>
      <c r="E319" s="4" t="s">
        <v>328</v>
      </c>
      <c r="F319" s="4" t="s">
        <v>36</v>
      </c>
      <c r="G319" s="4" t="s">
        <v>37</v>
      </c>
      <c r="H319" s="4" t="s">
        <v>81</v>
      </c>
      <c r="I319" s="4" t="s">
        <v>1030</v>
      </c>
      <c r="J319" s="4" t="s">
        <v>63</v>
      </c>
      <c r="K319" s="4"/>
      <c r="L319" s="4" t="s">
        <v>138</v>
      </c>
      <c r="M319" s="4" t="s">
        <v>40</v>
      </c>
      <c r="N319" s="4" t="s">
        <v>378</v>
      </c>
      <c r="O319" s="4" t="s">
        <v>327</v>
      </c>
      <c r="P319" s="4" t="s">
        <v>42</v>
      </c>
      <c r="Q319" s="50" t="s">
        <v>43</v>
      </c>
      <c r="R319" s="50"/>
      <c r="S319" s="50">
        <v>0</v>
      </c>
      <c r="T319" s="4" t="s">
        <v>43</v>
      </c>
      <c r="U319" s="4"/>
    </row>
    <row r="320" spans="3:21" hidden="1" x14ac:dyDescent="0.25">
      <c r="C320" s="4" t="s">
        <v>329</v>
      </c>
      <c r="D320" s="4" t="s">
        <v>330</v>
      </c>
      <c r="E320" s="4" t="s">
        <v>330</v>
      </c>
      <c r="F320" s="4" t="s">
        <v>36</v>
      </c>
      <c r="G320" s="4" t="s">
        <v>37</v>
      </c>
      <c r="H320" s="4" t="s">
        <v>46</v>
      </c>
      <c r="I320" s="4" t="s">
        <v>1030</v>
      </c>
      <c r="J320" s="4" t="s">
        <v>331</v>
      </c>
      <c r="K320" s="4"/>
      <c r="L320" s="4" t="s">
        <v>138</v>
      </c>
      <c r="M320" s="4" t="s">
        <v>40</v>
      </c>
      <c r="N320" s="4" t="s">
        <v>422</v>
      </c>
      <c r="O320" s="4" t="s">
        <v>329</v>
      </c>
      <c r="P320" s="4" t="s">
        <v>42</v>
      </c>
      <c r="Q320" s="50" t="s">
        <v>43</v>
      </c>
      <c r="R320" s="50"/>
      <c r="S320" s="50">
        <v>0</v>
      </c>
      <c r="T320" s="4" t="s">
        <v>43</v>
      </c>
      <c r="U320" s="4"/>
    </row>
    <row r="321" spans="3:21" hidden="1" x14ac:dyDescent="0.25">
      <c r="C321" s="4" t="s">
        <v>332</v>
      </c>
      <c r="D321" s="4" t="s">
        <v>333</v>
      </c>
      <c r="E321" s="4" t="s">
        <v>333</v>
      </c>
      <c r="F321" s="4" t="s">
        <v>36</v>
      </c>
      <c r="G321" s="4" t="s">
        <v>37</v>
      </c>
      <c r="H321" s="4" t="s">
        <v>81</v>
      </c>
      <c r="I321" s="4" t="s">
        <v>1030</v>
      </c>
      <c r="J321" s="4">
        <v>0</v>
      </c>
      <c r="K321" s="4"/>
      <c r="L321" s="4" t="s">
        <v>59</v>
      </c>
      <c r="M321" s="4" t="s">
        <v>40</v>
      </c>
      <c r="N321" s="4">
        <v>0</v>
      </c>
      <c r="O321" s="4" t="s">
        <v>332</v>
      </c>
      <c r="P321" s="4" t="s">
        <v>42</v>
      </c>
      <c r="Q321" s="50" t="s">
        <v>43</v>
      </c>
      <c r="R321" s="50"/>
      <c r="S321" s="50">
        <v>0</v>
      </c>
      <c r="T321" s="4" t="s">
        <v>43</v>
      </c>
      <c r="U321" s="4"/>
    </row>
    <row r="322" spans="3:21" hidden="1" x14ac:dyDescent="0.25">
      <c r="C322" s="4" t="s">
        <v>334</v>
      </c>
      <c r="D322" s="4" t="s">
        <v>335</v>
      </c>
      <c r="E322" s="4" t="s">
        <v>336</v>
      </c>
      <c r="F322" s="4" t="s">
        <v>36</v>
      </c>
      <c r="G322" s="4" t="s">
        <v>37</v>
      </c>
      <c r="H322" s="4" t="s">
        <v>46</v>
      </c>
      <c r="I322" s="4" t="s">
        <v>1030</v>
      </c>
      <c r="J322" s="4">
        <v>0</v>
      </c>
      <c r="K322" s="4"/>
      <c r="L322" s="4" t="s">
        <v>47</v>
      </c>
      <c r="M322" s="4" t="s">
        <v>40</v>
      </c>
      <c r="N322" s="4">
        <v>0</v>
      </c>
      <c r="O322" s="4" t="s">
        <v>334</v>
      </c>
      <c r="P322" s="4" t="s">
        <v>42</v>
      </c>
      <c r="Q322" s="50" t="s">
        <v>43</v>
      </c>
      <c r="R322" s="50"/>
      <c r="S322" s="50">
        <v>0</v>
      </c>
      <c r="T322" s="4" t="s">
        <v>43</v>
      </c>
      <c r="U322" s="4"/>
    </row>
    <row r="323" spans="3:21" hidden="1" x14ac:dyDescent="0.25">
      <c r="C323" s="4" t="s">
        <v>507</v>
      </c>
      <c r="D323" s="4" t="s">
        <v>508</v>
      </c>
      <c r="E323" s="4" t="s">
        <v>508</v>
      </c>
      <c r="F323" s="4">
        <v>5</v>
      </c>
      <c r="G323" s="4" t="s">
        <v>376</v>
      </c>
      <c r="H323" s="4" t="s">
        <v>46</v>
      </c>
      <c r="I323" s="4" t="s">
        <v>1030</v>
      </c>
      <c r="J323" s="4" t="s">
        <v>466</v>
      </c>
      <c r="K323" s="4" t="s">
        <v>43</v>
      </c>
      <c r="L323" s="4" t="s">
        <v>51</v>
      </c>
      <c r="M323" s="4" t="s">
        <v>40</v>
      </c>
      <c r="N323" s="4" t="s">
        <v>378</v>
      </c>
      <c r="O323" s="4" t="s">
        <v>507</v>
      </c>
      <c r="P323" s="4" t="s">
        <v>42</v>
      </c>
      <c r="Q323" s="50" t="s">
        <v>43</v>
      </c>
      <c r="R323" s="50"/>
      <c r="S323" s="50" t="s">
        <v>467</v>
      </c>
      <c r="T323" s="4" t="s">
        <v>43</v>
      </c>
      <c r="U323" s="4"/>
    </row>
    <row r="324" spans="3:21" hidden="1" x14ac:dyDescent="0.25">
      <c r="C324" s="4" t="s">
        <v>417</v>
      </c>
      <c r="D324" s="4" t="s">
        <v>418</v>
      </c>
      <c r="E324" s="4" t="s">
        <v>418</v>
      </c>
      <c r="F324" s="4">
        <v>5</v>
      </c>
      <c r="G324" s="4" t="s">
        <v>376</v>
      </c>
      <c r="H324" s="4" t="s">
        <v>46</v>
      </c>
      <c r="I324" s="4" t="s">
        <v>1031</v>
      </c>
      <c r="J324" s="4" t="s">
        <v>63</v>
      </c>
      <c r="K324" s="4" t="s">
        <v>43</v>
      </c>
      <c r="L324" s="4" t="s">
        <v>138</v>
      </c>
      <c r="M324" s="4" t="s">
        <v>40</v>
      </c>
      <c r="N324" s="4" t="s">
        <v>378</v>
      </c>
      <c r="O324" s="4" t="s">
        <v>417</v>
      </c>
      <c r="P324" s="4" t="s">
        <v>42</v>
      </c>
      <c r="Q324" s="50" t="s">
        <v>43</v>
      </c>
      <c r="R324" s="50"/>
      <c r="S324" s="50" t="s">
        <v>380</v>
      </c>
      <c r="T324" s="4" t="s">
        <v>43</v>
      </c>
      <c r="U324" s="4"/>
    </row>
    <row r="325" spans="3:21" hidden="1" x14ac:dyDescent="0.25">
      <c r="C325" s="4" t="s">
        <v>337</v>
      </c>
      <c r="D325" s="4" t="s">
        <v>338</v>
      </c>
      <c r="E325" s="4" t="s">
        <v>338</v>
      </c>
      <c r="F325" s="4" t="s">
        <v>36</v>
      </c>
      <c r="G325" s="4" t="s">
        <v>37</v>
      </c>
      <c r="H325" s="4" t="s">
        <v>81</v>
      </c>
      <c r="I325" s="4" t="s">
        <v>1030</v>
      </c>
      <c r="J325" s="4" t="s">
        <v>89</v>
      </c>
      <c r="K325" s="4"/>
      <c r="L325" s="4" t="s">
        <v>109</v>
      </c>
      <c r="M325" s="4" t="s">
        <v>91</v>
      </c>
      <c r="N325" s="4" t="s">
        <v>378</v>
      </c>
      <c r="O325" s="4" t="s">
        <v>337</v>
      </c>
      <c r="P325" s="4" t="s">
        <v>42</v>
      </c>
      <c r="Q325" s="50" t="s">
        <v>43</v>
      </c>
      <c r="R325" s="50"/>
      <c r="S325" s="50">
        <v>0</v>
      </c>
      <c r="T325" s="4" t="s">
        <v>43</v>
      </c>
      <c r="U325" s="4"/>
    </row>
    <row r="326" spans="3:21" hidden="1" x14ac:dyDescent="0.25">
      <c r="C326" s="4" t="s">
        <v>339</v>
      </c>
      <c r="D326" s="4" t="s">
        <v>340</v>
      </c>
      <c r="E326" s="4" t="s">
        <v>341</v>
      </c>
      <c r="F326" s="4" t="s">
        <v>36</v>
      </c>
      <c r="G326" s="4" t="s">
        <v>37</v>
      </c>
      <c r="H326" s="4" t="s">
        <v>46</v>
      </c>
      <c r="I326" s="4" t="s">
        <v>1030</v>
      </c>
      <c r="J326" s="4">
        <v>0</v>
      </c>
      <c r="K326" s="4"/>
      <c r="L326" s="4" t="s">
        <v>47</v>
      </c>
      <c r="M326" s="4" t="s">
        <v>40</v>
      </c>
      <c r="N326" s="4">
        <v>0</v>
      </c>
      <c r="O326" s="4" t="s">
        <v>339</v>
      </c>
      <c r="P326" s="4" t="s">
        <v>42</v>
      </c>
      <c r="Q326" s="50" t="s">
        <v>43</v>
      </c>
      <c r="R326" s="50"/>
      <c r="S326" s="50">
        <v>0</v>
      </c>
      <c r="T326" s="4" t="s">
        <v>43</v>
      </c>
      <c r="U326" s="4"/>
    </row>
    <row r="327" spans="3:21" hidden="1" x14ac:dyDescent="0.25">
      <c r="C327" s="4" t="s">
        <v>825</v>
      </c>
      <c r="D327" s="4" t="s">
        <v>826</v>
      </c>
      <c r="E327" s="4" t="s">
        <v>827</v>
      </c>
      <c r="F327" s="4">
        <v>5</v>
      </c>
      <c r="G327" s="4" t="s">
        <v>376</v>
      </c>
      <c r="H327" s="4" t="s">
        <v>81</v>
      </c>
      <c r="I327" s="4" t="s">
        <v>1030</v>
      </c>
      <c r="J327" s="4" t="s">
        <v>146</v>
      </c>
      <c r="K327" s="4" t="s">
        <v>43</v>
      </c>
      <c r="L327" s="4" t="s">
        <v>59</v>
      </c>
      <c r="M327" s="4" t="s">
        <v>40</v>
      </c>
      <c r="N327" s="4" t="s">
        <v>984</v>
      </c>
      <c r="O327" s="4" t="s">
        <v>825</v>
      </c>
      <c r="P327" s="4" t="s">
        <v>42</v>
      </c>
      <c r="Q327" s="50" t="s">
        <v>43</v>
      </c>
      <c r="R327" s="50"/>
      <c r="S327" s="50" t="s">
        <v>799</v>
      </c>
      <c r="T327" s="4" t="s">
        <v>43</v>
      </c>
      <c r="U327" s="4"/>
    </row>
    <row r="328" spans="3:21" hidden="1" x14ac:dyDescent="0.25">
      <c r="C328" s="4" t="s">
        <v>828</v>
      </c>
      <c r="D328" s="4" t="s">
        <v>829</v>
      </c>
      <c r="E328" s="4" t="s">
        <v>829</v>
      </c>
      <c r="F328" s="4">
        <v>5.68</v>
      </c>
      <c r="G328" s="4" t="s">
        <v>376</v>
      </c>
      <c r="H328" s="4" t="s">
        <v>46</v>
      </c>
      <c r="I328" s="4" t="s">
        <v>1030</v>
      </c>
      <c r="J328" s="4" t="s">
        <v>146</v>
      </c>
      <c r="K328" s="4" t="s">
        <v>43</v>
      </c>
      <c r="L328" s="4" t="s">
        <v>59</v>
      </c>
      <c r="M328" s="4" t="s">
        <v>40</v>
      </c>
      <c r="N328" s="4" t="s">
        <v>984</v>
      </c>
      <c r="O328" s="4" t="s">
        <v>828</v>
      </c>
      <c r="P328" s="4" t="s">
        <v>42</v>
      </c>
      <c r="Q328" s="50" t="s">
        <v>43</v>
      </c>
      <c r="R328" s="50"/>
      <c r="S328" s="50" t="s">
        <v>799</v>
      </c>
      <c r="T328" s="4" t="s">
        <v>43</v>
      </c>
      <c r="U328" s="4"/>
    </row>
    <row r="329" spans="3:21" hidden="1" x14ac:dyDescent="0.25">
      <c r="C329" s="4" t="s">
        <v>342</v>
      </c>
      <c r="D329" s="4" t="s">
        <v>343</v>
      </c>
      <c r="E329" s="4" t="s">
        <v>343</v>
      </c>
      <c r="F329" s="4" t="s">
        <v>36</v>
      </c>
      <c r="G329" s="4" t="s">
        <v>37</v>
      </c>
      <c r="H329" s="4" t="s">
        <v>81</v>
      </c>
      <c r="I329" s="4" t="s">
        <v>1030</v>
      </c>
      <c r="J329" s="4" t="s">
        <v>132</v>
      </c>
      <c r="K329" s="4"/>
      <c r="L329" s="4" t="s">
        <v>51</v>
      </c>
      <c r="M329" s="4" t="s">
        <v>40</v>
      </c>
      <c r="N329" s="4" t="s">
        <v>514</v>
      </c>
      <c r="O329" s="4" t="s">
        <v>342</v>
      </c>
      <c r="P329" s="4" t="s">
        <v>42</v>
      </c>
      <c r="Q329" s="50" t="s">
        <v>43</v>
      </c>
      <c r="R329" s="50"/>
      <c r="S329" s="50">
        <v>0</v>
      </c>
      <c r="T329" s="4" t="s">
        <v>43</v>
      </c>
      <c r="U329" s="4"/>
    </row>
    <row r="330" spans="3:21" hidden="1" x14ac:dyDescent="0.25">
      <c r="C330" s="4" t="s">
        <v>830</v>
      </c>
      <c r="D330" s="4" t="s">
        <v>831</v>
      </c>
      <c r="E330" s="4" t="s">
        <v>832</v>
      </c>
      <c r="F330" s="4">
        <v>5</v>
      </c>
      <c r="G330" s="4" t="s">
        <v>376</v>
      </c>
      <c r="H330" s="4" t="s">
        <v>46</v>
      </c>
      <c r="I330" s="4" t="s">
        <v>1030</v>
      </c>
      <c r="J330" s="4" t="s">
        <v>146</v>
      </c>
      <c r="K330" s="4" t="s">
        <v>43</v>
      </c>
      <c r="L330" s="4" t="s">
        <v>59</v>
      </c>
      <c r="M330" s="4" t="s">
        <v>40</v>
      </c>
      <c r="N330" s="4" t="s">
        <v>984</v>
      </c>
      <c r="O330" s="4" t="s">
        <v>830</v>
      </c>
      <c r="P330" s="4" t="s">
        <v>42</v>
      </c>
      <c r="Q330" s="50" t="s">
        <v>43</v>
      </c>
      <c r="R330" s="50"/>
      <c r="S330" s="50" t="s">
        <v>799</v>
      </c>
      <c r="T330" s="4" t="s">
        <v>43</v>
      </c>
      <c r="U330" s="4"/>
    </row>
    <row r="331" spans="3:21" hidden="1" x14ac:dyDescent="0.25">
      <c r="C331" s="4" t="s">
        <v>921</v>
      </c>
      <c r="D331" s="4" t="s">
        <v>922</v>
      </c>
      <c r="E331" s="4" t="s">
        <v>911</v>
      </c>
      <c r="F331" s="4">
        <v>5</v>
      </c>
      <c r="G331" s="4" t="s">
        <v>376</v>
      </c>
      <c r="H331" s="4" t="s">
        <v>81</v>
      </c>
      <c r="I331" s="4" t="s">
        <v>1030</v>
      </c>
      <c r="J331" s="4" t="s">
        <v>73</v>
      </c>
      <c r="K331" s="4" t="s">
        <v>43</v>
      </c>
      <c r="L331" s="4" t="s">
        <v>911</v>
      </c>
      <c r="M331" s="4" t="s">
        <v>40</v>
      </c>
      <c r="N331" s="4" t="s">
        <v>514</v>
      </c>
      <c r="O331" s="4" t="s">
        <v>921</v>
      </c>
      <c r="P331" s="4" t="s">
        <v>42</v>
      </c>
      <c r="Q331" s="50" t="s">
        <v>43</v>
      </c>
      <c r="R331" s="50"/>
      <c r="S331" s="50" t="s">
        <v>886</v>
      </c>
      <c r="T331" s="4" t="s">
        <v>43</v>
      </c>
      <c r="U331" s="4"/>
    </row>
    <row r="332" spans="3:21" hidden="1" x14ac:dyDescent="0.25">
      <c r="C332" s="4" t="s">
        <v>970</v>
      </c>
      <c r="D332" s="4" t="s">
        <v>971</v>
      </c>
      <c r="E332" s="4" t="s">
        <v>972</v>
      </c>
      <c r="F332" s="4">
        <v>5</v>
      </c>
      <c r="G332" s="4" t="s">
        <v>376</v>
      </c>
      <c r="H332" s="4" t="s">
        <v>81</v>
      </c>
      <c r="I332" s="4" t="s">
        <v>1030</v>
      </c>
      <c r="J332" s="4" t="s">
        <v>160</v>
      </c>
      <c r="K332" s="4" t="s">
        <v>43</v>
      </c>
      <c r="L332" s="4" t="s">
        <v>353</v>
      </c>
      <c r="M332" s="4" t="s">
        <v>40</v>
      </c>
      <c r="N332" s="4" t="s">
        <v>378</v>
      </c>
      <c r="O332" s="4" t="s">
        <v>970</v>
      </c>
      <c r="P332" s="4" t="s">
        <v>42</v>
      </c>
      <c r="Q332" s="50" t="s">
        <v>43</v>
      </c>
      <c r="R332" s="50"/>
      <c r="S332" s="50" t="s">
        <v>931</v>
      </c>
      <c r="T332" s="4" t="s">
        <v>43</v>
      </c>
      <c r="U332" s="4"/>
    </row>
    <row r="333" spans="3:21" hidden="1" x14ac:dyDescent="0.25">
      <c r="C333" s="4" t="s">
        <v>344</v>
      </c>
      <c r="D333" s="4" t="s">
        <v>345</v>
      </c>
      <c r="E333" s="4" t="s">
        <v>345</v>
      </c>
      <c r="F333" s="4" t="s">
        <v>36</v>
      </c>
      <c r="G333" s="4" t="s">
        <v>37</v>
      </c>
      <c r="H333" s="4" t="s">
        <v>88</v>
      </c>
      <c r="I333" s="4" t="s">
        <v>1030</v>
      </c>
      <c r="J333" s="4">
        <v>0</v>
      </c>
      <c r="K333" s="4"/>
      <c r="L333" s="4" t="s">
        <v>346</v>
      </c>
      <c r="M333" s="4" t="s">
        <v>40</v>
      </c>
      <c r="N333" s="4">
        <v>0</v>
      </c>
      <c r="O333" s="4" t="s">
        <v>344</v>
      </c>
      <c r="P333" s="4" t="s">
        <v>42</v>
      </c>
      <c r="Q333" s="50" t="s">
        <v>43</v>
      </c>
      <c r="R333" s="50"/>
      <c r="S333" s="50">
        <v>0</v>
      </c>
      <c r="T333" s="4" t="s">
        <v>43</v>
      </c>
      <c r="U333" s="4"/>
    </row>
    <row r="334" spans="3:21" hidden="1" x14ac:dyDescent="0.25">
      <c r="C334" s="4" t="s">
        <v>879</v>
      </c>
      <c r="D334" s="4" t="s">
        <v>880</v>
      </c>
      <c r="E334" s="4" t="s">
        <v>880</v>
      </c>
      <c r="F334" s="4">
        <v>3.92</v>
      </c>
      <c r="G334" s="4" t="s">
        <v>376</v>
      </c>
      <c r="H334" s="4" t="s">
        <v>46</v>
      </c>
      <c r="I334" s="4" t="s">
        <v>1030</v>
      </c>
      <c r="J334" s="4" t="s">
        <v>132</v>
      </c>
      <c r="K334" s="4" t="s">
        <v>43</v>
      </c>
      <c r="L334" s="4" t="s">
        <v>138</v>
      </c>
      <c r="M334" s="4" t="s">
        <v>40</v>
      </c>
      <c r="N334" s="4" t="s">
        <v>514</v>
      </c>
      <c r="O334" s="4" t="s">
        <v>879</v>
      </c>
      <c r="P334" s="4" t="s">
        <v>42</v>
      </c>
      <c r="Q334" s="50" t="s">
        <v>43</v>
      </c>
      <c r="R334" s="50"/>
      <c r="S334" s="50" t="s">
        <v>847</v>
      </c>
      <c r="T334" s="4" t="s">
        <v>43</v>
      </c>
      <c r="U334" s="4" t="s">
        <v>32</v>
      </c>
    </row>
    <row r="335" spans="3:21" hidden="1" x14ac:dyDescent="0.25">
      <c r="C335" s="4" t="s">
        <v>553</v>
      </c>
      <c r="D335" s="4" t="s">
        <v>554</v>
      </c>
      <c r="E335" s="4" t="s">
        <v>554</v>
      </c>
      <c r="F335" s="4">
        <v>5</v>
      </c>
      <c r="G335" s="4" t="s">
        <v>376</v>
      </c>
      <c r="H335" s="4" t="s">
        <v>46</v>
      </c>
      <c r="I335" s="4" t="s">
        <v>1030</v>
      </c>
      <c r="J335" s="4" t="s">
        <v>100</v>
      </c>
      <c r="K335" s="4" t="s">
        <v>43</v>
      </c>
      <c r="L335" s="4" t="s">
        <v>138</v>
      </c>
      <c r="M335" s="4" t="s">
        <v>40</v>
      </c>
      <c r="N335" s="4" t="s">
        <v>514</v>
      </c>
      <c r="O335" s="4" t="s">
        <v>553</v>
      </c>
      <c r="P335" s="4" t="s">
        <v>42</v>
      </c>
      <c r="Q335" s="50" t="s">
        <v>43</v>
      </c>
      <c r="R335" s="50"/>
      <c r="S335" s="50" t="s">
        <v>515</v>
      </c>
      <c r="T335" s="4" t="s">
        <v>43</v>
      </c>
      <c r="U335" s="4"/>
    </row>
    <row r="336" spans="3:21" hidden="1" x14ac:dyDescent="0.25">
      <c r="C336" s="4" t="s">
        <v>923</v>
      </c>
      <c r="D336" s="4" t="s">
        <v>924</v>
      </c>
      <c r="E336" s="4" t="s">
        <v>924</v>
      </c>
      <c r="F336" s="4">
        <v>5</v>
      </c>
      <c r="G336" s="4" t="s">
        <v>376</v>
      </c>
      <c r="H336" s="4" t="s">
        <v>46</v>
      </c>
      <c r="I336" s="4" t="s">
        <v>1030</v>
      </c>
      <c r="J336" s="4" t="s">
        <v>73</v>
      </c>
      <c r="K336" s="4" t="s">
        <v>43</v>
      </c>
      <c r="L336" s="4" t="s">
        <v>133</v>
      </c>
      <c r="M336" s="4" t="s">
        <v>40</v>
      </c>
      <c r="N336" s="4" t="s">
        <v>514</v>
      </c>
      <c r="O336" s="4" t="s">
        <v>923</v>
      </c>
      <c r="P336" s="4" t="s">
        <v>42</v>
      </c>
      <c r="Q336" s="50" t="s">
        <v>43</v>
      </c>
      <c r="R336" s="50"/>
      <c r="S336" s="50" t="s">
        <v>886</v>
      </c>
      <c r="T336" s="4" t="s">
        <v>43</v>
      </c>
      <c r="U336" s="4"/>
    </row>
    <row r="337" spans="3:21" hidden="1" x14ac:dyDescent="0.25">
      <c r="C337" s="4" t="s">
        <v>761</v>
      </c>
      <c r="D337" s="4" t="s">
        <v>762</v>
      </c>
      <c r="E337" s="4" t="s">
        <v>762</v>
      </c>
      <c r="F337" s="4">
        <v>5</v>
      </c>
      <c r="G337" s="4" t="s">
        <v>376</v>
      </c>
      <c r="H337" s="4" t="s">
        <v>46</v>
      </c>
      <c r="I337" s="4" t="s">
        <v>1031</v>
      </c>
      <c r="J337" s="4" t="s">
        <v>84</v>
      </c>
      <c r="K337" s="4" t="s">
        <v>440</v>
      </c>
      <c r="L337" s="4" t="s">
        <v>54</v>
      </c>
      <c r="M337" s="4" t="s">
        <v>55</v>
      </c>
      <c r="N337" s="4" t="s">
        <v>984</v>
      </c>
      <c r="O337" s="4" t="s">
        <v>761</v>
      </c>
      <c r="P337" s="4" t="s">
        <v>42</v>
      </c>
      <c r="Q337" s="50" t="s">
        <v>43</v>
      </c>
      <c r="R337" s="50"/>
      <c r="S337" s="50" t="s">
        <v>741</v>
      </c>
      <c r="T337" s="4" t="s">
        <v>43</v>
      </c>
      <c r="U337" s="4"/>
    </row>
    <row r="338" spans="3:21" hidden="1" x14ac:dyDescent="0.25">
      <c r="C338" s="4" t="s">
        <v>509</v>
      </c>
      <c r="D338" s="4" t="s">
        <v>510</v>
      </c>
      <c r="E338" s="4" t="s">
        <v>510</v>
      </c>
      <c r="F338" s="4">
        <v>5</v>
      </c>
      <c r="G338" s="4" t="s">
        <v>376</v>
      </c>
      <c r="H338" s="4" t="s">
        <v>46</v>
      </c>
      <c r="I338" s="4" t="s">
        <v>1030</v>
      </c>
      <c r="J338" s="4" t="s">
        <v>466</v>
      </c>
      <c r="K338" s="4" t="s">
        <v>43</v>
      </c>
      <c r="L338" s="4" t="s">
        <v>51</v>
      </c>
      <c r="M338" s="4" t="s">
        <v>40</v>
      </c>
      <c r="N338" s="4" t="s">
        <v>378</v>
      </c>
      <c r="O338" s="4" t="s">
        <v>509</v>
      </c>
      <c r="P338" s="4" t="s">
        <v>42</v>
      </c>
      <c r="Q338" s="50" t="s">
        <v>43</v>
      </c>
      <c r="R338" s="50"/>
      <c r="S338" s="50" t="s">
        <v>467</v>
      </c>
      <c r="T338" s="4" t="s">
        <v>43</v>
      </c>
      <c r="U338" s="4"/>
    </row>
    <row r="339" spans="3:21" hidden="1" x14ac:dyDescent="0.25">
      <c r="C339" s="4" t="s">
        <v>347</v>
      </c>
      <c r="D339" s="4" t="s">
        <v>348</v>
      </c>
      <c r="E339" s="4" t="s">
        <v>348</v>
      </c>
      <c r="F339" s="4" t="s">
        <v>36</v>
      </c>
      <c r="G339" s="4" t="s">
        <v>37</v>
      </c>
      <c r="H339" s="4" t="s">
        <v>81</v>
      </c>
      <c r="I339" s="4" t="s">
        <v>1030</v>
      </c>
      <c r="J339" s="4" t="s">
        <v>58</v>
      </c>
      <c r="K339" s="4"/>
      <c r="L339" s="4" t="s">
        <v>59</v>
      </c>
      <c r="M339" s="4" t="s">
        <v>40</v>
      </c>
      <c r="N339" s="4" t="s">
        <v>378</v>
      </c>
      <c r="O339" s="4" t="s">
        <v>347</v>
      </c>
      <c r="P339" s="4" t="s">
        <v>42</v>
      </c>
      <c r="Q339" s="50" t="s">
        <v>43</v>
      </c>
      <c r="R339" s="50"/>
      <c r="S339" s="50">
        <v>0</v>
      </c>
      <c r="T339" s="4" t="s">
        <v>43</v>
      </c>
      <c r="U339" s="4"/>
    </row>
    <row r="340" spans="3:21" hidden="1" x14ac:dyDescent="0.25">
      <c r="C340" s="4" t="s">
        <v>973</v>
      </c>
      <c r="D340" s="4" t="s">
        <v>974</v>
      </c>
      <c r="E340" s="4" t="s">
        <v>974</v>
      </c>
      <c r="F340" s="4">
        <v>5</v>
      </c>
      <c r="G340" s="4" t="s">
        <v>376</v>
      </c>
      <c r="H340" s="4" t="s">
        <v>46</v>
      </c>
      <c r="I340" s="4" t="s">
        <v>1030</v>
      </c>
      <c r="J340" s="4" t="s">
        <v>160</v>
      </c>
      <c r="K340" s="4" t="s">
        <v>43</v>
      </c>
      <c r="L340" s="4" t="s">
        <v>39</v>
      </c>
      <c r="M340" s="4" t="s">
        <v>40</v>
      </c>
      <c r="N340" s="4" t="s">
        <v>378</v>
      </c>
      <c r="O340" s="4" t="s">
        <v>973</v>
      </c>
      <c r="P340" s="4" t="s">
        <v>42</v>
      </c>
      <c r="Q340" s="50" t="s">
        <v>43</v>
      </c>
      <c r="R340" s="50"/>
      <c r="S340" s="50" t="s">
        <v>931</v>
      </c>
      <c r="T340" s="4" t="s">
        <v>43</v>
      </c>
      <c r="U340" s="4"/>
    </row>
    <row r="341" spans="3:21" hidden="1" x14ac:dyDescent="0.25">
      <c r="C341" s="4" t="s">
        <v>349</v>
      </c>
      <c r="D341" s="4" t="s">
        <v>350</v>
      </c>
      <c r="E341" s="4" t="s">
        <v>350</v>
      </c>
      <c r="F341" s="4" t="s">
        <v>36</v>
      </c>
      <c r="G341" s="4" t="s">
        <v>37</v>
      </c>
      <c r="H341" s="4" t="s">
        <v>46</v>
      </c>
      <c r="I341" s="4" t="s">
        <v>1030</v>
      </c>
      <c r="J341" s="4">
        <v>0</v>
      </c>
      <c r="K341" s="4"/>
      <c r="L341" s="4" t="s">
        <v>138</v>
      </c>
      <c r="M341" s="4" t="s">
        <v>40</v>
      </c>
      <c r="N341" s="4">
        <v>0</v>
      </c>
      <c r="O341" s="4" t="s">
        <v>349</v>
      </c>
      <c r="P341" s="4" t="s">
        <v>42</v>
      </c>
      <c r="Q341" s="50" t="s">
        <v>43</v>
      </c>
      <c r="R341" s="50"/>
      <c r="S341" s="50">
        <v>0</v>
      </c>
      <c r="T341" s="4" t="s">
        <v>43</v>
      </c>
      <c r="U341" s="4"/>
    </row>
    <row r="342" spans="3:21" hidden="1" x14ac:dyDescent="0.25">
      <c r="C342" s="4" t="s">
        <v>351</v>
      </c>
      <c r="D342" s="4" t="s">
        <v>352</v>
      </c>
      <c r="E342" s="4" t="s">
        <v>352</v>
      </c>
      <c r="F342" s="4" t="s">
        <v>36</v>
      </c>
      <c r="G342" s="4" t="s">
        <v>37</v>
      </c>
      <c r="H342" s="4" t="s">
        <v>46</v>
      </c>
      <c r="I342" s="4" t="s">
        <v>1030</v>
      </c>
      <c r="J342" s="4" t="s">
        <v>331</v>
      </c>
      <c r="K342" s="4"/>
      <c r="L342" s="4" t="s">
        <v>353</v>
      </c>
      <c r="M342" s="4" t="s">
        <v>40</v>
      </c>
      <c r="N342" s="4" t="s">
        <v>422</v>
      </c>
      <c r="O342" s="4" t="s">
        <v>351</v>
      </c>
      <c r="P342" s="4" t="s">
        <v>42</v>
      </c>
      <c r="Q342" s="50" t="s">
        <v>43</v>
      </c>
      <c r="R342" s="50"/>
      <c r="S342" s="50">
        <v>0</v>
      </c>
      <c r="T342" s="4" t="s">
        <v>43</v>
      </c>
      <c r="U342" s="4"/>
    </row>
    <row r="343" spans="3:21" hidden="1" x14ac:dyDescent="0.25">
      <c r="C343" s="4" t="s">
        <v>833</v>
      </c>
      <c r="D343" s="4" t="s">
        <v>834</v>
      </c>
      <c r="E343" s="4" t="s">
        <v>835</v>
      </c>
      <c r="F343" s="4">
        <f>5+0.56</f>
        <v>5.5600000000000005</v>
      </c>
      <c r="G343" s="4" t="s">
        <v>376</v>
      </c>
      <c r="H343" s="4" t="s">
        <v>46</v>
      </c>
      <c r="I343" s="4" t="s">
        <v>1030</v>
      </c>
      <c r="J343" s="4" t="s">
        <v>146</v>
      </c>
      <c r="K343" s="4" t="s">
        <v>43</v>
      </c>
      <c r="L343" s="4" t="s">
        <v>59</v>
      </c>
      <c r="M343" s="4" t="s">
        <v>40</v>
      </c>
      <c r="N343" s="4" t="s">
        <v>984</v>
      </c>
      <c r="O343" s="4" t="s">
        <v>833</v>
      </c>
      <c r="P343" s="4" t="s">
        <v>42</v>
      </c>
      <c r="Q343" s="50" t="s">
        <v>43</v>
      </c>
      <c r="R343" s="50"/>
      <c r="S343" s="50" t="s">
        <v>799</v>
      </c>
      <c r="T343" s="4" t="s">
        <v>43</v>
      </c>
      <c r="U343" s="4"/>
    </row>
    <row r="344" spans="3:21" hidden="1" x14ac:dyDescent="0.25">
      <c r="C344" s="4" t="s">
        <v>354</v>
      </c>
      <c r="D344" s="4" t="s">
        <v>355</v>
      </c>
      <c r="E344" s="4" t="s">
        <v>355</v>
      </c>
      <c r="F344" s="4" t="s">
        <v>36</v>
      </c>
      <c r="G344" s="4" t="s">
        <v>37</v>
      </c>
      <c r="H344" s="4" t="s">
        <v>46</v>
      </c>
      <c r="I344" s="4" t="s">
        <v>1030</v>
      </c>
      <c r="J344" s="4" t="s">
        <v>67</v>
      </c>
      <c r="K344" s="4"/>
      <c r="L344" s="4" t="s">
        <v>59</v>
      </c>
      <c r="M344" s="4" t="s">
        <v>40</v>
      </c>
      <c r="N344" s="4">
        <v>0</v>
      </c>
      <c r="O344" s="4" t="s">
        <v>354</v>
      </c>
      <c r="P344" s="4" t="s">
        <v>42</v>
      </c>
      <c r="Q344" s="50" t="s">
        <v>43</v>
      </c>
      <c r="R344" s="50"/>
      <c r="S344" s="50">
        <v>0</v>
      </c>
      <c r="T344" s="4" t="s">
        <v>43</v>
      </c>
      <c r="U344" s="4"/>
    </row>
    <row r="345" spans="3:21" hidden="1" x14ac:dyDescent="0.25">
      <c r="C345" s="4" t="s">
        <v>693</v>
      </c>
      <c r="D345" s="4" t="s">
        <v>694</v>
      </c>
      <c r="E345" s="4" t="s">
        <v>694</v>
      </c>
      <c r="F345" s="4">
        <v>5</v>
      </c>
      <c r="G345" s="4" t="s">
        <v>376</v>
      </c>
      <c r="H345" s="4" t="s">
        <v>46</v>
      </c>
      <c r="I345" s="4" t="s">
        <v>1030</v>
      </c>
      <c r="J345" s="4" t="s">
        <v>248</v>
      </c>
      <c r="K345" s="4" t="s">
        <v>43</v>
      </c>
      <c r="L345" s="4" t="s">
        <v>51</v>
      </c>
      <c r="M345" s="4" t="s">
        <v>40</v>
      </c>
      <c r="N345" s="4" t="s">
        <v>984</v>
      </c>
      <c r="O345" s="4" t="s">
        <v>693</v>
      </c>
      <c r="P345" s="4" t="s">
        <v>42</v>
      </c>
      <c r="Q345" s="50" t="s">
        <v>43</v>
      </c>
      <c r="R345" s="50"/>
      <c r="S345" s="50" t="s">
        <v>51</v>
      </c>
      <c r="T345" s="4" t="s">
        <v>43</v>
      </c>
      <c r="U345" s="4"/>
    </row>
    <row r="346" spans="3:21" hidden="1" x14ac:dyDescent="0.25">
      <c r="C346" s="4" t="s">
        <v>356</v>
      </c>
      <c r="D346" s="4" t="s">
        <v>357</v>
      </c>
      <c r="E346" s="4" t="s">
        <v>357</v>
      </c>
      <c r="F346" s="4" t="s">
        <v>36</v>
      </c>
      <c r="G346" s="4" t="s">
        <v>37</v>
      </c>
      <c r="H346" s="4" t="s">
        <v>81</v>
      </c>
      <c r="I346" s="4" t="s">
        <v>1030</v>
      </c>
      <c r="J346" s="4" t="s">
        <v>89</v>
      </c>
      <c r="K346" s="4"/>
      <c r="L346" s="4" t="s">
        <v>109</v>
      </c>
      <c r="M346" s="4" t="s">
        <v>91</v>
      </c>
      <c r="N346" s="4" t="s">
        <v>378</v>
      </c>
      <c r="O346" s="4" t="s">
        <v>356</v>
      </c>
      <c r="P346" s="4" t="s">
        <v>42</v>
      </c>
      <c r="Q346" s="50" t="s">
        <v>43</v>
      </c>
      <c r="R346" s="50"/>
      <c r="S346" s="50">
        <v>0</v>
      </c>
      <c r="T346" s="4" t="s">
        <v>43</v>
      </c>
      <c r="U346" s="4"/>
    </row>
    <row r="347" spans="3:21" hidden="1" x14ac:dyDescent="0.25">
      <c r="C347" s="4" t="s">
        <v>925</v>
      </c>
      <c r="D347" s="4" t="s">
        <v>926</v>
      </c>
      <c r="E347" s="4" t="s">
        <v>927</v>
      </c>
      <c r="F347" s="4">
        <v>5</v>
      </c>
      <c r="G347" s="4" t="s">
        <v>376</v>
      </c>
      <c r="H347" s="4" t="s">
        <v>81</v>
      </c>
      <c r="I347" s="4" t="s">
        <v>1030</v>
      </c>
      <c r="J347" s="4" t="s">
        <v>73</v>
      </c>
      <c r="K347" s="4" t="s">
        <v>43</v>
      </c>
      <c r="L347" s="4" t="s">
        <v>928</v>
      </c>
      <c r="M347" s="4" t="s">
        <v>40</v>
      </c>
      <c r="N347" s="4" t="s">
        <v>514</v>
      </c>
      <c r="O347" s="4" t="s">
        <v>925</v>
      </c>
      <c r="P347" s="4" t="s">
        <v>42</v>
      </c>
      <c r="Q347" s="50" t="s">
        <v>43</v>
      </c>
      <c r="R347" s="50"/>
      <c r="S347" s="50" t="s">
        <v>886</v>
      </c>
      <c r="T347" s="4" t="s">
        <v>43</v>
      </c>
      <c r="U347" s="4"/>
    </row>
    <row r="348" spans="3:21" hidden="1" x14ac:dyDescent="0.25">
      <c r="C348" s="4" t="s">
        <v>358</v>
      </c>
      <c r="D348" s="4" t="s">
        <v>359</v>
      </c>
      <c r="E348" s="4" t="s">
        <v>359</v>
      </c>
      <c r="F348" s="4" t="s">
        <v>36</v>
      </c>
      <c r="G348" s="4" t="s">
        <v>37</v>
      </c>
      <c r="H348" s="4" t="s">
        <v>81</v>
      </c>
      <c r="I348" s="4" t="s">
        <v>1030</v>
      </c>
      <c r="J348" s="4" t="s">
        <v>248</v>
      </c>
      <c r="K348" s="4"/>
      <c r="L348" s="4" t="s">
        <v>138</v>
      </c>
      <c r="M348" s="4" t="s">
        <v>40</v>
      </c>
      <c r="N348" s="4" t="s">
        <v>984</v>
      </c>
      <c r="O348" s="4" t="s">
        <v>358</v>
      </c>
      <c r="P348" s="4" t="s">
        <v>42</v>
      </c>
      <c r="Q348" s="50" t="s">
        <v>43</v>
      </c>
      <c r="R348" s="50"/>
      <c r="S348" s="50">
        <v>0</v>
      </c>
      <c r="T348" s="4" t="s">
        <v>43</v>
      </c>
      <c r="U348" s="4"/>
    </row>
    <row r="349" spans="3:21" hidden="1" x14ac:dyDescent="0.25">
      <c r="C349" s="4" t="s">
        <v>695</v>
      </c>
      <c r="D349" s="4" t="s">
        <v>696</v>
      </c>
      <c r="E349" s="4" t="s">
        <v>696</v>
      </c>
      <c r="F349" s="4">
        <v>5</v>
      </c>
      <c r="G349" s="4" t="s">
        <v>376</v>
      </c>
      <c r="H349" s="4" t="s">
        <v>46</v>
      </c>
      <c r="I349" s="4" t="s">
        <v>1030</v>
      </c>
      <c r="J349" s="4" t="s">
        <v>248</v>
      </c>
      <c r="K349" s="4" t="s">
        <v>43</v>
      </c>
      <c r="L349" s="4" t="s">
        <v>51</v>
      </c>
      <c r="M349" s="4" t="s">
        <v>40</v>
      </c>
      <c r="N349" s="4" t="s">
        <v>984</v>
      </c>
      <c r="O349" s="4" t="s">
        <v>695</v>
      </c>
      <c r="P349" s="4" t="s">
        <v>42</v>
      </c>
      <c r="Q349" s="50" t="s">
        <v>43</v>
      </c>
      <c r="R349" s="50"/>
      <c r="S349" s="50" t="s">
        <v>51</v>
      </c>
      <c r="T349" s="4" t="s">
        <v>43</v>
      </c>
      <c r="U349" s="4"/>
    </row>
    <row r="350" spans="3:21" hidden="1" x14ac:dyDescent="0.25">
      <c r="C350" s="4" t="s">
        <v>360</v>
      </c>
      <c r="D350" s="4" t="s">
        <v>361</v>
      </c>
      <c r="E350" s="4" t="s">
        <v>361</v>
      </c>
      <c r="F350" s="4" t="s">
        <v>36</v>
      </c>
      <c r="G350" s="4" t="s">
        <v>37</v>
      </c>
      <c r="H350" s="4" t="s">
        <v>46</v>
      </c>
      <c r="I350" s="4" t="s">
        <v>1030</v>
      </c>
      <c r="J350" s="4" t="s">
        <v>67</v>
      </c>
      <c r="K350" s="4"/>
      <c r="L350" s="4" t="s">
        <v>59</v>
      </c>
      <c r="M350" s="4" t="s">
        <v>40</v>
      </c>
      <c r="N350" s="4">
        <v>0</v>
      </c>
      <c r="O350" s="4" t="s">
        <v>360</v>
      </c>
      <c r="P350" s="4" t="s">
        <v>42</v>
      </c>
      <c r="Q350" s="50" t="s">
        <v>43</v>
      </c>
      <c r="R350" s="50"/>
      <c r="S350" s="50">
        <v>0</v>
      </c>
      <c r="T350" s="4" t="s">
        <v>43</v>
      </c>
      <c r="U350" s="4"/>
    </row>
    <row r="351" spans="3:21" hidden="1" x14ac:dyDescent="0.25">
      <c r="C351" s="4" t="s">
        <v>362</v>
      </c>
      <c r="D351" s="4" t="s">
        <v>363</v>
      </c>
      <c r="E351" s="4" t="s">
        <v>363</v>
      </c>
      <c r="F351" s="4" t="s">
        <v>36</v>
      </c>
      <c r="G351" s="4" t="s">
        <v>37</v>
      </c>
      <c r="H351" s="4" t="s">
        <v>81</v>
      </c>
      <c r="I351" s="4" t="s">
        <v>1030</v>
      </c>
      <c r="J351" s="4" t="s">
        <v>73</v>
      </c>
      <c r="K351" s="4"/>
      <c r="L351" s="4" t="s">
        <v>364</v>
      </c>
      <c r="M351" s="4" t="s">
        <v>40</v>
      </c>
      <c r="N351" s="4" t="s">
        <v>514</v>
      </c>
      <c r="O351" s="4" t="s">
        <v>362</v>
      </c>
      <c r="P351" s="4" t="s">
        <v>42</v>
      </c>
      <c r="Q351" s="50" t="s">
        <v>43</v>
      </c>
      <c r="R351" s="50"/>
      <c r="S351" s="50">
        <v>0</v>
      </c>
      <c r="T351" s="4" t="s">
        <v>43</v>
      </c>
      <c r="U351" s="4"/>
    </row>
    <row r="352" spans="3:21" hidden="1" x14ac:dyDescent="0.25">
      <c r="C352" s="4" t="s">
        <v>592</v>
      </c>
      <c r="D352" s="4" t="s">
        <v>593</v>
      </c>
      <c r="E352" s="4" t="s">
        <v>593</v>
      </c>
      <c r="F352" s="4">
        <v>5</v>
      </c>
      <c r="G352" s="4" t="s">
        <v>376</v>
      </c>
      <c r="H352" s="4" t="s">
        <v>81</v>
      </c>
      <c r="I352" s="4" t="s">
        <v>1030</v>
      </c>
      <c r="J352" s="4" t="s">
        <v>331</v>
      </c>
      <c r="K352" s="4" t="s">
        <v>43</v>
      </c>
      <c r="L352" s="4" t="s">
        <v>138</v>
      </c>
      <c r="M352" s="4" t="s">
        <v>40</v>
      </c>
      <c r="N352" s="4" t="s">
        <v>422</v>
      </c>
      <c r="O352" s="4" t="s">
        <v>592</v>
      </c>
      <c r="P352" s="4" t="s">
        <v>42</v>
      </c>
      <c r="Q352" s="50" t="s">
        <v>43</v>
      </c>
      <c r="R352" s="50"/>
      <c r="S352" s="50" t="s">
        <v>557</v>
      </c>
      <c r="T352" s="4" t="s">
        <v>43</v>
      </c>
      <c r="U352" s="4"/>
    </row>
    <row r="353" spans="3:22" hidden="1" x14ac:dyDescent="0.25">
      <c r="C353" s="4" t="s">
        <v>365</v>
      </c>
      <c r="D353" s="4" t="s">
        <v>366</v>
      </c>
      <c r="E353" s="4" t="s">
        <v>367</v>
      </c>
      <c r="F353" s="4" t="s">
        <v>36</v>
      </c>
      <c r="G353" s="4" t="s">
        <v>37</v>
      </c>
      <c r="H353" s="4" t="s">
        <v>81</v>
      </c>
      <c r="I353" s="4" t="s">
        <v>1030</v>
      </c>
      <c r="J353" s="4" t="s">
        <v>146</v>
      </c>
      <c r="K353" s="4"/>
      <c r="L353" s="4" t="s">
        <v>59</v>
      </c>
      <c r="M353" s="4" t="s">
        <v>40</v>
      </c>
      <c r="N353" s="4" t="s">
        <v>984</v>
      </c>
      <c r="O353" s="4" t="s">
        <v>365</v>
      </c>
      <c r="P353" s="4" t="s">
        <v>42</v>
      </c>
      <c r="Q353" s="50" t="s">
        <v>43</v>
      </c>
      <c r="R353" s="50"/>
      <c r="S353" s="50">
        <v>0</v>
      </c>
      <c r="T353" s="4" t="s">
        <v>43</v>
      </c>
      <c r="U353" s="4"/>
    </row>
    <row r="354" spans="3:22" hidden="1" x14ac:dyDescent="0.25">
      <c r="C354" s="4" t="s">
        <v>763</v>
      </c>
      <c r="D354" s="4" t="s">
        <v>764</v>
      </c>
      <c r="E354" s="4" t="s">
        <v>765</v>
      </c>
      <c r="F354" s="4">
        <v>5</v>
      </c>
      <c r="G354" s="4" t="s">
        <v>376</v>
      </c>
      <c r="H354" s="4" t="s">
        <v>81</v>
      </c>
      <c r="I354" s="4" t="s">
        <v>1031</v>
      </c>
      <c r="J354" s="4" t="s">
        <v>84</v>
      </c>
      <c r="K354" s="4" t="s">
        <v>440</v>
      </c>
      <c r="L354" s="4" t="s">
        <v>279</v>
      </c>
      <c r="M354" s="4" t="s">
        <v>55</v>
      </c>
      <c r="N354" s="4" t="s">
        <v>984</v>
      </c>
      <c r="O354" s="4" t="s">
        <v>763</v>
      </c>
      <c r="P354" s="4" t="s">
        <v>42</v>
      </c>
      <c r="Q354" s="50" t="s">
        <v>43</v>
      </c>
      <c r="R354" s="50"/>
      <c r="S354" s="50" t="s">
        <v>741</v>
      </c>
      <c r="T354" s="4" t="s">
        <v>43</v>
      </c>
      <c r="U354" s="4"/>
    </row>
    <row r="355" spans="3:22" hidden="1" x14ac:dyDescent="0.25">
      <c r="C355" s="4" t="s">
        <v>836</v>
      </c>
      <c r="D355" s="4" t="s">
        <v>837</v>
      </c>
      <c r="E355" s="4" t="s">
        <v>838</v>
      </c>
      <c r="F355" s="4">
        <v>5</v>
      </c>
      <c r="G355" s="4" t="s">
        <v>376</v>
      </c>
      <c r="H355" s="4" t="s">
        <v>81</v>
      </c>
      <c r="I355" s="4" t="s">
        <v>1030</v>
      </c>
      <c r="J355" s="4" t="s">
        <v>146</v>
      </c>
      <c r="K355" s="4" t="s">
        <v>43</v>
      </c>
      <c r="L355" s="4" t="s">
        <v>59</v>
      </c>
      <c r="M355" s="4" t="s">
        <v>40</v>
      </c>
      <c r="N355" s="4" t="s">
        <v>984</v>
      </c>
      <c r="O355" s="4" t="s">
        <v>836</v>
      </c>
      <c r="P355" s="4" t="s">
        <v>42</v>
      </c>
      <c r="Q355" s="50" t="s">
        <v>43</v>
      </c>
      <c r="R355" s="50"/>
      <c r="S355" s="50" t="s">
        <v>799</v>
      </c>
      <c r="T355" s="4" t="s">
        <v>43</v>
      </c>
      <c r="U355" s="4"/>
    </row>
    <row r="356" spans="3:22" hidden="1" x14ac:dyDescent="0.25">
      <c r="C356" s="4" t="s">
        <v>975</v>
      </c>
      <c r="D356" s="4" t="s">
        <v>976</v>
      </c>
      <c r="E356" s="4" t="s">
        <v>976</v>
      </c>
      <c r="F356" s="4">
        <v>2.1</v>
      </c>
      <c r="G356" s="4" t="s">
        <v>376</v>
      </c>
      <c r="H356" s="4" t="s">
        <v>46</v>
      </c>
      <c r="I356" s="4" t="s">
        <v>1030</v>
      </c>
      <c r="J356" s="4" t="s">
        <v>160</v>
      </c>
      <c r="K356" s="4" t="s">
        <v>43</v>
      </c>
      <c r="L356" s="4" t="s">
        <v>39</v>
      </c>
      <c r="M356" s="4" t="s">
        <v>40</v>
      </c>
      <c r="N356" s="4" t="s">
        <v>378</v>
      </c>
      <c r="O356" s="4" t="s">
        <v>975</v>
      </c>
      <c r="P356" s="4" t="s">
        <v>42</v>
      </c>
      <c r="Q356" s="50" t="s">
        <v>43</v>
      </c>
      <c r="R356" s="50"/>
      <c r="S356" s="50" t="s">
        <v>931</v>
      </c>
      <c r="T356" s="4" t="s">
        <v>43</v>
      </c>
      <c r="U356" s="4"/>
      <c r="V356" s="3"/>
    </row>
    <row r="357" spans="3:22" hidden="1" x14ac:dyDescent="0.25">
      <c r="C357" s="4" t="s">
        <v>766</v>
      </c>
      <c r="D357" s="4" t="s">
        <v>767</v>
      </c>
      <c r="E357" s="4" t="s">
        <v>768</v>
      </c>
      <c r="F357" s="4">
        <v>4.4800000000000004</v>
      </c>
      <c r="G357" s="4" t="s">
        <v>376</v>
      </c>
      <c r="H357" s="4" t="s">
        <v>81</v>
      </c>
      <c r="I357" s="4" t="s">
        <v>1031</v>
      </c>
      <c r="J357" s="4" t="s">
        <v>84</v>
      </c>
      <c r="K357" s="4" t="s">
        <v>440</v>
      </c>
      <c r="L357" s="4" t="s">
        <v>54</v>
      </c>
      <c r="M357" s="4" t="s">
        <v>55</v>
      </c>
      <c r="N357" s="4" t="s">
        <v>984</v>
      </c>
      <c r="O357" s="4" t="s">
        <v>766</v>
      </c>
      <c r="P357" s="4" t="s">
        <v>42</v>
      </c>
      <c r="Q357" s="50" t="s">
        <v>43</v>
      </c>
      <c r="R357" s="50"/>
      <c r="S357" s="50" t="s">
        <v>741</v>
      </c>
      <c r="T357" s="82" t="s">
        <v>440</v>
      </c>
      <c r="U357" s="4" t="s">
        <v>32</v>
      </c>
    </row>
    <row r="358" spans="3:22" hidden="1" x14ac:dyDescent="0.25">
      <c r="C358" s="4" t="s">
        <v>368</v>
      </c>
      <c r="D358" s="4" t="s">
        <v>369</v>
      </c>
      <c r="E358" s="4" t="s">
        <v>370</v>
      </c>
      <c r="F358" s="4" t="s">
        <v>36</v>
      </c>
      <c r="G358" s="4" t="s">
        <v>37</v>
      </c>
      <c r="H358" s="4" t="s">
        <v>88</v>
      </c>
      <c r="I358" s="4" t="s">
        <v>1030</v>
      </c>
      <c r="J358" s="4" t="s">
        <v>160</v>
      </c>
      <c r="K358" s="4"/>
      <c r="L358" s="4" t="s">
        <v>371</v>
      </c>
      <c r="M358" s="4" t="s">
        <v>40</v>
      </c>
      <c r="N358" s="4" t="s">
        <v>378</v>
      </c>
      <c r="O358" s="4" t="s">
        <v>368</v>
      </c>
      <c r="P358" s="4" t="s">
        <v>42</v>
      </c>
      <c r="Q358" s="50" t="s">
        <v>43</v>
      </c>
      <c r="R358" s="50"/>
      <c r="S358" s="50">
        <v>0</v>
      </c>
      <c r="T358" s="4" t="s">
        <v>43</v>
      </c>
      <c r="U358" s="4"/>
    </row>
    <row r="359" spans="3:22" hidden="1" x14ac:dyDescent="0.25">
      <c r="C359" s="4" t="s">
        <v>736</v>
      </c>
      <c r="D359" s="4" t="s">
        <v>737</v>
      </c>
      <c r="E359" s="4" t="s">
        <v>738</v>
      </c>
      <c r="F359" s="4">
        <v>6</v>
      </c>
      <c r="G359" s="4" t="s">
        <v>376</v>
      </c>
      <c r="H359" s="4" t="s">
        <v>81</v>
      </c>
      <c r="I359" s="4" t="s">
        <v>1031</v>
      </c>
      <c r="J359" s="4" t="s">
        <v>84</v>
      </c>
      <c r="K359" s="4" t="s">
        <v>440</v>
      </c>
      <c r="L359" s="4" t="s">
        <v>722</v>
      </c>
      <c r="M359" s="4" t="s">
        <v>55</v>
      </c>
      <c r="N359" s="4" t="s">
        <v>984</v>
      </c>
      <c r="O359" s="4" t="s">
        <v>736</v>
      </c>
      <c r="P359" s="4">
        <v>0</v>
      </c>
      <c r="Q359" s="50" t="s">
        <v>43</v>
      </c>
      <c r="R359" s="50"/>
      <c r="S359" s="50" t="s">
        <v>702</v>
      </c>
      <c r="T359" s="82" t="s">
        <v>440</v>
      </c>
      <c r="U359" s="4"/>
    </row>
    <row r="360" spans="3:22" hidden="1" x14ac:dyDescent="0.25">
      <c r="C360" s="4" t="s">
        <v>612</v>
      </c>
      <c r="D360" s="4" t="s">
        <v>613</v>
      </c>
      <c r="E360" s="4" t="s">
        <v>613</v>
      </c>
      <c r="F360" s="4">
        <v>5</v>
      </c>
      <c r="G360" s="4" t="s">
        <v>376</v>
      </c>
      <c r="H360" s="4" t="s">
        <v>81</v>
      </c>
      <c r="I360" s="4" t="s">
        <v>1030</v>
      </c>
      <c r="J360" s="4" t="s">
        <v>50</v>
      </c>
      <c r="K360" s="4" t="s">
        <v>43</v>
      </c>
      <c r="L360" s="4" t="s">
        <v>364</v>
      </c>
      <c r="M360" s="4" t="s">
        <v>40</v>
      </c>
      <c r="N360" s="4" t="s">
        <v>422</v>
      </c>
      <c r="O360" s="4" t="s">
        <v>612</v>
      </c>
      <c r="P360" s="4" t="s">
        <v>42</v>
      </c>
      <c r="Q360" s="50" t="s">
        <v>43</v>
      </c>
      <c r="R360" s="50"/>
      <c r="S360" s="50" t="s">
        <v>597</v>
      </c>
      <c r="T360" s="82" t="s">
        <v>440</v>
      </c>
      <c r="U360" s="4"/>
    </row>
    <row r="361" spans="3:22" hidden="1" x14ac:dyDescent="0.25">
      <c r="C361" s="4" t="s">
        <v>614</v>
      </c>
      <c r="D361" s="4" t="s">
        <v>615</v>
      </c>
      <c r="E361" s="4" t="s">
        <v>615</v>
      </c>
      <c r="F361" s="4">
        <v>5</v>
      </c>
      <c r="G361" s="4" t="s">
        <v>376</v>
      </c>
      <c r="H361" s="4" t="s">
        <v>81</v>
      </c>
      <c r="I361" s="4" t="s">
        <v>1030</v>
      </c>
      <c r="J361" s="4" t="s">
        <v>50</v>
      </c>
      <c r="K361" s="4" t="s">
        <v>43</v>
      </c>
      <c r="L361" s="4" t="s">
        <v>64</v>
      </c>
      <c r="M361" s="4" t="s">
        <v>40</v>
      </c>
      <c r="N361" s="4" t="s">
        <v>422</v>
      </c>
      <c r="O361" s="4" t="s">
        <v>614</v>
      </c>
      <c r="P361" s="4" t="s">
        <v>42</v>
      </c>
      <c r="Q361" s="50" t="s">
        <v>43</v>
      </c>
      <c r="R361" s="50"/>
      <c r="S361" s="50" t="s">
        <v>597</v>
      </c>
      <c r="T361" s="82" t="s">
        <v>440</v>
      </c>
      <c r="U361" s="4"/>
    </row>
    <row r="362" spans="3:22" hidden="1" x14ac:dyDescent="0.25">
      <c r="C362" s="4" t="s">
        <v>372</v>
      </c>
      <c r="D362" s="4" t="s">
        <v>372</v>
      </c>
      <c r="E362" s="4" t="s">
        <v>372</v>
      </c>
      <c r="F362" s="4"/>
      <c r="G362" s="4" t="s">
        <v>372</v>
      </c>
      <c r="H362" s="4" t="s">
        <v>372</v>
      </c>
      <c r="I362" s="4" t="s">
        <v>372</v>
      </c>
      <c r="J362" s="4" t="s">
        <v>372</v>
      </c>
      <c r="K362" s="4"/>
      <c r="L362" s="4" t="s">
        <v>372</v>
      </c>
      <c r="M362" s="4" t="s">
        <v>372</v>
      </c>
      <c r="N362" s="4" t="s">
        <v>372</v>
      </c>
      <c r="O362" s="4" t="s">
        <v>372</v>
      </c>
      <c r="P362" s="4" t="s">
        <v>372</v>
      </c>
      <c r="Q362" s="4" t="s">
        <v>372</v>
      </c>
      <c r="R362" s="50"/>
      <c r="S362" s="4" t="s">
        <v>372</v>
      </c>
      <c r="T362" s="4" t="s">
        <v>43</v>
      </c>
      <c r="U362" s="4"/>
    </row>
    <row r="363" spans="3:22" hidden="1" x14ac:dyDescent="0.25">
      <c r="C363" s="4" t="s">
        <v>839</v>
      </c>
      <c r="D363" s="4" t="s">
        <v>840</v>
      </c>
      <c r="E363" s="4" t="s">
        <v>840</v>
      </c>
      <c r="F363" s="4">
        <v>5.6</v>
      </c>
      <c r="G363" s="4" t="s">
        <v>376</v>
      </c>
      <c r="H363" s="4" t="s">
        <v>81</v>
      </c>
      <c r="I363" s="4" t="s">
        <v>1030</v>
      </c>
      <c r="J363" s="4" t="s">
        <v>146</v>
      </c>
      <c r="K363" s="4" t="s">
        <v>43</v>
      </c>
      <c r="L363" s="4" t="s">
        <v>59</v>
      </c>
      <c r="M363" s="4" t="s">
        <v>40</v>
      </c>
      <c r="N363" s="4" t="s">
        <v>984</v>
      </c>
      <c r="O363" s="4" t="s">
        <v>839</v>
      </c>
      <c r="P363" s="4" t="s">
        <v>42</v>
      </c>
      <c r="Q363" s="4"/>
      <c r="R363" s="50"/>
      <c r="S363" s="4" t="s">
        <v>799</v>
      </c>
      <c r="T363" s="4" t="s">
        <v>43</v>
      </c>
      <c r="U363" s="4" t="s">
        <v>32</v>
      </c>
    </row>
    <row r="364" spans="3:22" hidden="1" x14ac:dyDescent="0.25">
      <c r="C364" s="4" t="s">
        <v>697</v>
      </c>
      <c r="D364" s="4" t="s">
        <v>698</v>
      </c>
      <c r="E364" s="4" t="s">
        <v>698</v>
      </c>
      <c r="F364" s="4">
        <v>5.6</v>
      </c>
      <c r="G364" s="4" t="s">
        <v>376</v>
      </c>
      <c r="H364" s="4" t="s">
        <v>81</v>
      </c>
      <c r="I364" s="4" t="s">
        <v>1030</v>
      </c>
      <c r="J364" s="4" t="s">
        <v>248</v>
      </c>
      <c r="K364" s="4" t="s">
        <v>43</v>
      </c>
      <c r="L364" s="4" t="s">
        <v>51</v>
      </c>
      <c r="M364" s="4" t="s">
        <v>40</v>
      </c>
      <c r="N364" s="4" t="s">
        <v>984</v>
      </c>
      <c r="O364" s="4" t="s">
        <v>697</v>
      </c>
      <c r="P364" s="4" t="s">
        <v>42</v>
      </c>
      <c r="Q364" s="50" t="s">
        <v>43</v>
      </c>
      <c r="R364" s="50"/>
      <c r="S364" s="50" t="s">
        <v>51</v>
      </c>
      <c r="T364" s="82" t="s">
        <v>440</v>
      </c>
      <c r="U364" s="4" t="s">
        <v>32</v>
      </c>
    </row>
    <row r="365" spans="3:22" hidden="1" x14ac:dyDescent="0.25">
      <c r="C365" s="4" t="s">
        <v>623</v>
      </c>
      <c r="D365" s="4" t="s">
        <v>625</v>
      </c>
      <c r="E365" s="4" t="s">
        <v>625</v>
      </c>
      <c r="F365" s="4">
        <v>5.04</v>
      </c>
      <c r="G365" s="4" t="s">
        <v>376</v>
      </c>
      <c r="H365" s="4" t="s">
        <v>81</v>
      </c>
      <c r="I365" s="4" t="s">
        <v>1030</v>
      </c>
      <c r="J365" s="4" t="s">
        <v>50</v>
      </c>
      <c r="K365" s="4"/>
      <c r="L365" s="4" t="s">
        <v>64</v>
      </c>
      <c r="M365" s="4" t="s">
        <v>40</v>
      </c>
      <c r="N365" s="4" t="s">
        <v>422</v>
      </c>
      <c r="O365" s="4" t="s">
        <v>623</v>
      </c>
      <c r="P365" s="4" t="s">
        <v>42</v>
      </c>
      <c r="Q365" s="50" t="s">
        <v>43</v>
      </c>
      <c r="R365" s="50"/>
      <c r="S365" s="50" t="s">
        <v>597</v>
      </c>
      <c r="T365" s="4" t="s">
        <v>43</v>
      </c>
      <c r="U365" s="4"/>
    </row>
    <row r="366" spans="3:22" hidden="1" x14ac:dyDescent="0.25">
      <c r="C366" s="4" t="s">
        <v>841</v>
      </c>
      <c r="D366" s="4" t="s">
        <v>842</v>
      </c>
      <c r="E366" s="4" t="s">
        <v>843</v>
      </c>
      <c r="F366" s="4">
        <v>5.6</v>
      </c>
      <c r="G366" s="4" t="s">
        <v>376</v>
      </c>
      <c r="H366" s="4" t="s">
        <v>38</v>
      </c>
      <c r="I366" s="4" t="s">
        <v>1030</v>
      </c>
      <c r="J366" s="4" t="s">
        <v>146</v>
      </c>
      <c r="K366" s="4" t="s">
        <v>43</v>
      </c>
      <c r="L366" s="4" t="s">
        <v>59</v>
      </c>
      <c r="M366" s="4" t="s">
        <v>40</v>
      </c>
      <c r="N366" s="4" t="s">
        <v>984</v>
      </c>
      <c r="O366" s="4" t="s">
        <v>841</v>
      </c>
      <c r="P366" s="4" t="s">
        <v>42</v>
      </c>
      <c r="Q366" s="50"/>
      <c r="R366" s="50"/>
      <c r="S366" s="50" t="s">
        <v>799</v>
      </c>
      <c r="T366" s="4" t="s">
        <v>43</v>
      </c>
      <c r="U366" s="4" t="s">
        <v>32</v>
      </c>
    </row>
    <row r="367" spans="3:22" ht="18" hidden="1" x14ac:dyDescent="0.25">
      <c r="F367" s="49">
        <f>SUM(F8:F361)</f>
        <v>1320.4500000000003</v>
      </c>
    </row>
    <row r="369" spans="3:6" x14ac:dyDescent="0.25">
      <c r="F369" s="48">
        <v>5700000</v>
      </c>
    </row>
    <row r="370" spans="3:6" x14ac:dyDescent="0.25">
      <c r="F370" s="48">
        <f>900000*3</f>
        <v>2700000</v>
      </c>
    </row>
    <row r="371" spans="3:6" x14ac:dyDescent="0.25">
      <c r="F371" s="48">
        <f>F369+F370</f>
        <v>8400000</v>
      </c>
    </row>
    <row r="373" spans="3:6" x14ac:dyDescent="0.25">
      <c r="F373" s="48">
        <v>1400000</v>
      </c>
    </row>
    <row r="374" spans="3:6" x14ac:dyDescent="0.25">
      <c r="F374" s="48">
        <f>F370-F373</f>
        <v>1300000</v>
      </c>
    </row>
    <row r="376" spans="3:6" ht="13" x14ac:dyDescent="0.25">
      <c r="E376" s="74" t="s">
        <v>8</v>
      </c>
      <c r="F376" s="74" t="s">
        <v>0</v>
      </c>
    </row>
    <row r="377" spans="3:6" x14ac:dyDescent="0.25">
      <c r="E377" s="4">
        <v>1</v>
      </c>
      <c r="F377" s="4" t="s">
        <v>1</v>
      </c>
    </row>
    <row r="378" spans="3:6" x14ac:dyDescent="0.25">
      <c r="E378" s="4">
        <v>1</v>
      </c>
      <c r="F378" s="4" t="s">
        <v>977</v>
      </c>
    </row>
    <row r="379" spans="3:6" x14ac:dyDescent="0.25">
      <c r="E379" s="4">
        <f>0.68*2</f>
        <v>1.36</v>
      </c>
      <c r="F379" s="4" t="s">
        <v>978</v>
      </c>
    </row>
    <row r="380" spans="3:6" x14ac:dyDescent="0.25">
      <c r="E380" s="4">
        <v>0.56000000000000005</v>
      </c>
      <c r="F380" s="4" t="s">
        <v>979</v>
      </c>
    </row>
    <row r="381" spans="3:6" x14ac:dyDescent="0.25">
      <c r="C381" s="4" t="s">
        <v>426</v>
      </c>
      <c r="E381" s="4">
        <f>0.34*3</f>
        <v>1.02</v>
      </c>
      <c r="F381" s="4" t="s">
        <v>980</v>
      </c>
    </row>
    <row r="382" spans="3:6" ht="13" x14ac:dyDescent="0.25">
      <c r="C382" s="4" t="s">
        <v>685</v>
      </c>
      <c r="E382" s="79">
        <f>SUM(E377:E381)</f>
        <v>4.9400000000000004</v>
      </c>
    </row>
    <row r="383" spans="3:6" x14ac:dyDescent="0.25">
      <c r="C383" s="4" t="s">
        <v>437</v>
      </c>
    </row>
    <row r="384" spans="3:6" x14ac:dyDescent="0.25">
      <c r="C384" s="4" t="s">
        <v>592</v>
      </c>
      <c r="E384" s="48" t="s">
        <v>1003</v>
      </c>
    </row>
    <row r="385" spans="4:9" x14ac:dyDescent="0.25">
      <c r="E385" s="80" t="s">
        <v>1004</v>
      </c>
      <c r="F385" s="80" t="s">
        <v>1005</v>
      </c>
    </row>
    <row r="387" spans="4:9" x14ac:dyDescent="0.25">
      <c r="F387" s="48" t="s">
        <v>1006</v>
      </c>
      <c r="G387" s="48" t="s">
        <v>1007</v>
      </c>
    </row>
    <row r="388" spans="4:9" x14ac:dyDescent="0.25">
      <c r="D388" s="98" t="s">
        <v>1008</v>
      </c>
      <c r="E388" s="48" t="s">
        <v>1009</v>
      </c>
      <c r="F388" s="48" t="s">
        <v>1010</v>
      </c>
      <c r="G388" s="48" t="s">
        <v>1011</v>
      </c>
      <c r="H388" s="48" t="s">
        <v>1012</v>
      </c>
      <c r="I388" s="98" t="s">
        <v>1013</v>
      </c>
    </row>
    <row r="389" spans="4:9" x14ac:dyDescent="0.25">
      <c r="D389" s="98"/>
      <c r="E389" s="48" t="s">
        <v>1014</v>
      </c>
      <c r="F389" s="48" t="s">
        <v>1015</v>
      </c>
      <c r="G389" s="48" t="s">
        <v>1016</v>
      </c>
      <c r="H389" s="48" t="s">
        <v>1012</v>
      </c>
      <c r="I389" s="98"/>
    </row>
    <row r="390" spans="4:9" x14ac:dyDescent="0.25">
      <c r="E390" s="48" t="s">
        <v>1009</v>
      </c>
      <c r="F390" s="48" t="s">
        <v>1015</v>
      </c>
      <c r="G390" s="48" t="s">
        <v>1016</v>
      </c>
      <c r="H390" s="48" t="s">
        <v>1017</v>
      </c>
      <c r="I390" s="98" t="s">
        <v>1013</v>
      </c>
    </row>
    <row r="391" spans="4:9" x14ac:dyDescent="0.25">
      <c r="E391" s="48" t="s">
        <v>1014</v>
      </c>
      <c r="F391" s="48" t="s">
        <v>1010</v>
      </c>
      <c r="G391" s="48" t="s">
        <v>1011</v>
      </c>
      <c r="H391" s="48" t="s">
        <v>1017</v>
      </c>
      <c r="I391" s="98"/>
    </row>
    <row r="396" spans="4:9" x14ac:dyDescent="0.25">
      <c r="F396" s="48">
        <v>5.9</v>
      </c>
    </row>
    <row r="398" spans="4:9" x14ac:dyDescent="0.25">
      <c r="F398" s="48">
        <v>1</v>
      </c>
      <c r="G398" s="48" t="s">
        <v>1</v>
      </c>
      <c r="H398" s="48" t="s">
        <v>1018</v>
      </c>
    </row>
    <row r="399" spans="4:9" x14ac:dyDescent="0.25">
      <c r="F399" s="48">
        <v>1</v>
      </c>
      <c r="G399" s="48" t="s">
        <v>977</v>
      </c>
      <c r="H399" s="48" t="s">
        <v>1018</v>
      </c>
    </row>
    <row r="400" spans="4:9" x14ac:dyDescent="0.25">
      <c r="F400" s="48">
        <v>3</v>
      </c>
      <c r="G400" s="48" t="s">
        <v>1019</v>
      </c>
      <c r="H400" s="48" t="s">
        <v>1020</v>
      </c>
      <c r="I400" s="48" t="s">
        <v>1021</v>
      </c>
    </row>
    <row r="401" spans="6:9" x14ac:dyDescent="0.25">
      <c r="F401" s="48">
        <v>2</v>
      </c>
      <c r="G401" s="48" t="s">
        <v>1022</v>
      </c>
      <c r="H401" s="48" t="s">
        <v>1023</v>
      </c>
      <c r="I401" s="48" t="s">
        <v>1024</v>
      </c>
    </row>
    <row r="403" spans="6:9" x14ac:dyDescent="0.25">
      <c r="F403" s="80">
        <v>5.9</v>
      </c>
      <c r="G403" s="48">
        <f>F403-1.45</f>
        <v>4.45</v>
      </c>
      <c r="H403" s="48">
        <v>4</v>
      </c>
      <c r="I403" s="52">
        <f>H403/G403</f>
        <v>0.898876404494382</v>
      </c>
    </row>
    <row r="406" spans="6:9" x14ac:dyDescent="0.25">
      <c r="F406" s="48">
        <v>1</v>
      </c>
      <c r="G406" s="48" t="s">
        <v>1</v>
      </c>
      <c r="H406" s="48">
        <v>1</v>
      </c>
    </row>
    <row r="407" spans="6:9" x14ac:dyDescent="0.25">
      <c r="F407" s="48">
        <v>1</v>
      </c>
      <c r="G407" s="48" t="s">
        <v>977</v>
      </c>
      <c r="H407" s="48">
        <v>1</v>
      </c>
    </row>
    <row r="408" spans="6:9" x14ac:dyDescent="0.25">
      <c r="F408" s="48">
        <v>2</v>
      </c>
      <c r="G408" s="48" t="s">
        <v>1025</v>
      </c>
      <c r="H408" s="48">
        <v>2</v>
      </c>
    </row>
    <row r="409" spans="6:9" x14ac:dyDescent="0.25">
      <c r="F409" s="48">
        <v>1</v>
      </c>
      <c r="G409" s="48" t="s">
        <v>1026</v>
      </c>
      <c r="H409" s="48">
        <f>RIGHT(G409,2)/44*F409</f>
        <v>0.68181818181818177</v>
      </c>
    </row>
    <row r="410" spans="6:9" x14ac:dyDescent="0.25">
      <c r="F410" s="48">
        <v>1</v>
      </c>
      <c r="G410" s="48" t="s">
        <v>1027</v>
      </c>
      <c r="H410" s="48">
        <f t="shared" ref="H410:H411" si="1">RIGHT(G410,2)/44*F410</f>
        <v>0.56818181818181823</v>
      </c>
      <c r="I410" s="48" t="s">
        <v>1028</v>
      </c>
    </row>
    <row r="411" spans="6:9" x14ac:dyDescent="0.25">
      <c r="F411" s="48">
        <v>2</v>
      </c>
      <c r="G411" s="48" t="s">
        <v>1029</v>
      </c>
      <c r="H411" s="48">
        <f t="shared" si="1"/>
        <v>0.68181818181818177</v>
      </c>
    </row>
    <row r="412" spans="6:9" ht="13" x14ac:dyDescent="0.25">
      <c r="H412" s="81">
        <f>SUM(H406:H411)</f>
        <v>5.9318181818181817</v>
      </c>
    </row>
  </sheetData>
  <autoFilter ref="C7:V367" xr:uid="{A48B08FD-E0C6-42CB-8444-1929FD0B231B}">
    <filterColumn colId="1">
      <filters>
        <filter val="HUECHURABA"/>
      </filters>
    </filterColumn>
  </autoFilter>
  <mergeCells count="3">
    <mergeCell ref="D388:D389"/>
    <mergeCell ref="I388:I389"/>
    <mergeCell ref="I390:I391"/>
  </mergeCells>
  <conditionalFormatting sqref="C8:C366">
    <cfRule type="duplicateValues" dxfId="30" priority="1"/>
  </conditionalFormatting>
  <pageMargins left="0.7" right="0.7" top="0.75" bottom="0.75" header="0.3" footer="0.3"/>
  <pageSetup paperSize="9" orientation="portrait" r:id="rId1"/>
  <headerFooter>
    <oddFooter>&amp;C_x000D_&amp;1#&amp;"Calibri"&amp;10&amp;K000000 OXXO | Uso Interno</oddFooter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E64E2-9D9D-42BC-A521-10481C686425}">
  <sheetPr filterMode="1"/>
  <dimension ref="C1:W384"/>
  <sheetViews>
    <sheetView topLeftCell="A7" zoomScale="70" zoomScaleNormal="70" workbookViewId="0">
      <selection activeCell="F368" sqref="F368"/>
    </sheetView>
  </sheetViews>
  <sheetFormatPr baseColWidth="10" defaultColWidth="10.81640625" defaultRowHeight="12.5" x14ac:dyDescent="0.25"/>
  <cols>
    <col min="1" max="1" width="6.453125" style="48" customWidth="1"/>
    <col min="2" max="2" width="5.26953125" style="48" customWidth="1"/>
    <col min="3" max="3" width="17.26953125" style="48" bestFit="1" customWidth="1"/>
    <col min="4" max="4" width="40.54296875" style="48" customWidth="1"/>
    <col min="5" max="5" width="42.54296875" style="48" customWidth="1"/>
    <col min="6" max="6" width="23" style="48" customWidth="1"/>
    <col min="7" max="9" width="23.54296875" style="48" customWidth="1"/>
    <col min="10" max="10" width="30" style="48" customWidth="1"/>
    <col min="11" max="11" width="39.81640625" style="48" customWidth="1"/>
    <col min="12" max="12" width="24.81640625" style="48" customWidth="1"/>
    <col min="13" max="15" width="31.453125" style="48" customWidth="1"/>
    <col min="16" max="16" width="10.81640625" style="48" customWidth="1"/>
    <col min="17" max="17" width="33.81640625" style="48" customWidth="1"/>
    <col min="18" max="18" width="23" style="48" customWidth="1"/>
    <col min="19" max="19" width="25.453125" style="48" customWidth="1"/>
    <col min="20" max="20" width="34.54296875" style="48" customWidth="1"/>
    <col min="21" max="21" width="16" style="48" customWidth="1"/>
    <col min="22" max="22" width="22.26953125" style="48" customWidth="1"/>
    <col min="23" max="23" width="39.1796875" style="48" bestFit="1" customWidth="1"/>
    <col min="24" max="16384" width="10.81640625" style="48"/>
  </cols>
  <sheetData>
    <row r="1" spans="3:23" x14ac:dyDescent="0.25">
      <c r="C1" s="53"/>
    </row>
    <row r="2" spans="3:23" x14ac:dyDescent="0.25">
      <c r="D2" s="48">
        <f>15/44</f>
        <v>0.34090909090909088</v>
      </c>
      <c r="E2" s="48">
        <v>10.58</v>
      </c>
      <c r="F2" s="48">
        <v>9.4499999999999993</v>
      </c>
      <c r="G2" s="48">
        <f>E2-F2</f>
        <v>1.1300000000000008</v>
      </c>
      <c r="H2" s="48">
        <f>25/44</f>
        <v>0.56818181818181823</v>
      </c>
    </row>
    <row r="3" spans="3:23" x14ac:dyDescent="0.25">
      <c r="F3" s="52"/>
    </row>
    <row r="5" spans="3:23" x14ac:dyDescent="0.25">
      <c r="D5" s="54"/>
      <c r="E5" s="55"/>
    </row>
    <row r="6" spans="3:23" s="78" customFormat="1" ht="29.5" x14ac:dyDescent="0.25">
      <c r="C6" s="78">
        <v>1</v>
      </c>
      <c r="D6" s="78">
        <f>C6+1</f>
        <v>2</v>
      </c>
      <c r="E6" s="78">
        <f t="shared" ref="E6:U6" si="0">D6+1</f>
        <v>3</v>
      </c>
      <c r="F6" s="78">
        <f t="shared" si="0"/>
        <v>4</v>
      </c>
      <c r="G6" s="78">
        <f t="shared" si="0"/>
        <v>5</v>
      </c>
      <c r="H6" s="78">
        <f t="shared" si="0"/>
        <v>6</v>
      </c>
      <c r="I6" s="78">
        <f t="shared" si="0"/>
        <v>7</v>
      </c>
      <c r="J6" s="78">
        <f t="shared" si="0"/>
        <v>8</v>
      </c>
      <c r="K6" s="78">
        <f t="shared" si="0"/>
        <v>9</v>
      </c>
      <c r="L6" s="78">
        <f t="shared" si="0"/>
        <v>10</v>
      </c>
      <c r="M6" s="78">
        <f t="shared" si="0"/>
        <v>11</v>
      </c>
      <c r="N6" s="78">
        <f t="shared" si="0"/>
        <v>12</v>
      </c>
      <c r="O6" s="78">
        <f t="shared" si="0"/>
        <v>13</v>
      </c>
      <c r="P6" s="78">
        <f t="shared" si="0"/>
        <v>14</v>
      </c>
      <c r="Q6" s="78">
        <f t="shared" si="0"/>
        <v>15</v>
      </c>
      <c r="R6" s="78">
        <f t="shared" si="0"/>
        <v>16</v>
      </c>
      <c r="S6" s="78">
        <f t="shared" si="0"/>
        <v>17</v>
      </c>
      <c r="T6" s="78">
        <f t="shared" si="0"/>
        <v>18</v>
      </c>
      <c r="U6" s="78">
        <f t="shared" si="0"/>
        <v>19</v>
      </c>
      <c r="V6" s="78">
        <v>20</v>
      </c>
    </row>
    <row r="7" spans="3:23" ht="13" x14ac:dyDescent="0.25">
      <c r="C7" s="1" t="s">
        <v>15</v>
      </c>
      <c r="D7" s="1" t="s">
        <v>16</v>
      </c>
      <c r="E7" s="1" t="s">
        <v>17</v>
      </c>
      <c r="F7" s="1" t="s">
        <v>18</v>
      </c>
      <c r="G7" s="1" t="s">
        <v>19</v>
      </c>
      <c r="H7" s="1" t="s">
        <v>1034</v>
      </c>
      <c r="I7" s="1" t="s">
        <v>20</v>
      </c>
      <c r="J7" s="1" t="s">
        <v>21</v>
      </c>
      <c r="K7" s="1" t="s">
        <v>22</v>
      </c>
      <c r="L7" s="73" t="s">
        <v>23</v>
      </c>
      <c r="M7" s="1" t="s">
        <v>24</v>
      </c>
      <c r="N7" s="1" t="s">
        <v>25</v>
      </c>
      <c r="O7" s="1" t="s">
        <v>26</v>
      </c>
      <c r="P7" s="1" t="s">
        <v>15</v>
      </c>
      <c r="Q7" s="1" t="s">
        <v>27</v>
      </c>
      <c r="R7" s="1" t="s">
        <v>28</v>
      </c>
      <c r="S7" s="1" t="s">
        <v>29</v>
      </c>
      <c r="T7" s="1" t="s">
        <v>30</v>
      </c>
      <c r="U7" s="1" t="s">
        <v>31</v>
      </c>
      <c r="V7" s="1" t="s">
        <v>32</v>
      </c>
      <c r="W7" s="76" t="s">
        <v>33</v>
      </c>
    </row>
    <row r="8" spans="3:23" hidden="1" x14ac:dyDescent="0.25">
      <c r="C8" s="4" t="s">
        <v>929</v>
      </c>
      <c r="D8" s="4" t="s">
        <v>930</v>
      </c>
      <c r="E8" s="4" t="s">
        <v>930</v>
      </c>
      <c r="F8" s="4">
        <v>11.68</v>
      </c>
      <c r="G8" s="4" t="s">
        <v>376</v>
      </c>
      <c r="H8" s="4" t="str">
        <f>VLOOKUP(C8,[1]MAESTRA!$I$5:$J$399,2,0)</f>
        <v>cl-franciscodeaguirre@tiendas.oxxo.com</v>
      </c>
      <c r="I8" s="4" t="s">
        <v>46</v>
      </c>
      <c r="J8" s="4" t="s">
        <v>1030</v>
      </c>
      <c r="K8" s="4" t="s">
        <v>160</v>
      </c>
      <c r="L8" s="4" t="s">
        <v>43</v>
      </c>
      <c r="M8" s="4" t="s">
        <v>353</v>
      </c>
      <c r="N8" s="4" t="s">
        <v>40</v>
      </c>
      <c r="O8" s="4" t="s">
        <v>984</v>
      </c>
      <c r="P8" s="4" t="s">
        <v>929</v>
      </c>
      <c r="Q8" s="4" t="s">
        <v>379</v>
      </c>
      <c r="R8" s="50" t="s">
        <v>43</v>
      </c>
      <c r="S8" s="50"/>
      <c r="T8" s="50" t="s">
        <v>931</v>
      </c>
      <c r="U8" s="4" t="s">
        <v>43</v>
      </c>
      <c r="V8" s="4"/>
    </row>
    <row r="9" spans="3:23" hidden="1" x14ac:dyDescent="0.25">
      <c r="C9" s="4" t="s">
        <v>651</v>
      </c>
      <c r="D9" s="4" t="s">
        <v>652</v>
      </c>
      <c r="E9" s="4" t="s">
        <v>652</v>
      </c>
      <c r="F9" s="4">
        <v>12</v>
      </c>
      <c r="G9" s="4" t="s">
        <v>376</v>
      </c>
      <c r="H9" s="4" t="str">
        <f>VLOOKUP(C9,[1]MAESTRA!$I$5:$J$399,2,0)</f>
        <v>cl-lyon@tiendas.oxxo.com</v>
      </c>
      <c r="I9" s="4" t="s">
        <v>46</v>
      </c>
      <c r="J9" s="4" t="s">
        <v>1030</v>
      </c>
      <c r="K9" s="4" t="s">
        <v>248</v>
      </c>
      <c r="L9" s="4" t="s">
        <v>43</v>
      </c>
      <c r="M9" s="4" t="s">
        <v>51</v>
      </c>
      <c r="N9" s="4" t="s">
        <v>40</v>
      </c>
      <c r="O9" s="4" t="s">
        <v>984</v>
      </c>
      <c r="P9" s="4" t="s">
        <v>651</v>
      </c>
      <c r="Q9" s="4" t="s">
        <v>379</v>
      </c>
      <c r="R9" s="50" t="s">
        <v>43</v>
      </c>
      <c r="S9" s="50"/>
      <c r="T9" s="50" t="s">
        <v>51</v>
      </c>
      <c r="U9" s="4" t="s">
        <v>43</v>
      </c>
      <c r="V9" s="4"/>
    </row>
    <row r="10" spans="3:23" hidden="1" x14ac:dyDescent="0.25">
      <c r="C10" s="4" t="s">
        <v>373</v>
      </c>
      <c r="D10" s="4" t="s">
        <v>374</v>
      </c>
      <c r="E10" s="4" t="s">
        <v>375</v>
      </c>
      <c r="F10" s="4">
        <v>11.68</v>
      </c>
      <c r="G10" s="4" t="s">
        <v>376</v>
      </c>
      <c r="H10" s="4" t="str">
        <f>VLOOKUP(C10,[1]MAESTRA!$I$5:$J$399,2,0)</f>
        <v>cl-sanpascual@tiendas.oxxo.com</v>
      </c>
      <c r="I10" s="4" t="s">
        <v>46</v>
      </c>
      <c r="J10" s="4" t="s">
        <v>1031</v>
      </c>
      <c r="K10" s="4" t="s">
        <v>63</v>
      </c>
      <c r="L10" s="4" t="s">
        <v>43</v>
      </c>
      <c r="M10" s="4" t="s">
        <v>138</v>
      </c>
      <c r="N10" s="4" t="s">
        <v>40</v>
      </c>
      <c r="O10" s="4" t="s">
        <v>378</v>
      </c>
      <c r="P10" s="4" t="s">
        <v>373</v>
      </c>
      <c r="Q10" s="4" t="s">
        <v>379</v>
      </c>
      <c r="R10" s="50" t="s">
        <v>43</v>
      </c>
      <c r="S10" s="50"/>
      <c r="T10" s="50" t="s">
        <v>380</v>
      </c>
      <c r="U10" s="4" t="s">
        <v>43</v>
      </c>
      <c r="V10" s="4"/>
    </row>
    <row r="11" spans="3:23" hidden="1" x14ac:dyDescent="0.25">
      <c r="C11" s="4" t="s">
        <v>699</v>
      </c>
      <c r="D11" s="4" t="s">
        <v>985</v>
      </c>
      <c r="E11" s="4" t="s">
        <v>701</v>
      </c>
      <c r="F11" s="4">
        <v>10</v>
      </c>
      <c r="G11" s="4" t="s">
        <v>376</v>
      </c>
      <c r="H11" s="4" t="str">
        <f>VLOOKUP(C11,[1]MAESTRA!$I$5:$J$399,2,0)</f>
        <v>cl-libertad2@tiendas.oxxo.com</v>
      </c>
      <c r="I11" s="4" t="s">
        <v>46</v>
      </c>
      <c r="J11" s="4" t="s">
        <v>1031</v>
      </c>
      <c r="K11" s="4" t="s">
        <v>84</v>
      </c>
      <c r="L11" s="4" t="s">
        <v>440</v>
      </c>
      <c r="M11" s="4" t="s">
        <v>54</v>
      </c>
      <c r="N11" s="4" t="s">
        <v>55</v>
      </c>
      <c r="O11" s="4" t="s">
        <v>378</v>
      </c>
      <c r="P11" s="4" t="s">
        <v>699</v>
      </c>
      <c r="Q11" s="4" t="s">
        <v>379</v>
      </c>
      <c r="R11" s="50" t="s">
        <v>43</v>
      </c>
      <c r="S11" s="50"/>
      <c r="T11" s="50" t="s">
        <v>702</v>
      </c>
      <c r="U11" s="4" t="s">
        <v>43</v>
      </c>
      <c r="V11" s="4"/>
    </row>
    <row r="12" spans="3:23" hidden="1" x14ac:dyDescent="0.25">
      <c r="C12" s="4" t="s">
        <v>739</v>
      </c>
      <c r="D12" s="4" t="s">
        <v>740</v>
      </c>
      <c r="E12" s="4" t="s">
        <v>740</v>
      </c>
      <c r="F12" s="4">
        <v>9</v>
      </c>
      <c r="G12" s="4" t="s">
        <v>376</v>
      </c>
      <c r="H12" s="4" t="str">
        <f>VLOOKUP(C12,[1]MAESTRA!$I$5:$J$399,2,0)</f>
        <v>cl-limacheviana@tiendas.oxxo.com</v>
      </c>
      <c r="I12" s="4" t="s">
        <v>46</v>
      </c>
      <c r="J12" s="4" t="s">
        <v>1031</v>
      </c>
      <c r="K12" s="4" t="s">
        <v>84</v>
      </c>
      <c r="L12" s="4" t="s">
        <v>440</v>
      </c>
      <c r="M12" s="4" t="s">
        <v>54</v>
      </c>
      <c r="N12" s="4" t="s">
        <v>55</v>
      </c>
      <c r="O12" s="4" t="s">
        <v>378</v>
      </c>
      <c r="P12" s="4" t="s">
        <v>739</v>
      </c>
      <c r="Q12" s="4" t="s">
        <v>379</v>
      </c>
      <c r="R12" s="50" t="s">
        <v>43</v>
      </c>
      <c r="S12" s="50"/>
      <c r="T12" s="50" t="s">
        <v>741</v>
      </c>
      <c r="U12" s="4" t="s">
        <v>43</v>
      </c>
      <c r="V12" s="4"/>
    </row>
    <row r="13" spans="3:23" hidden="1" x14ac:dyDescent="0.25">
      <c r="C13" s="4" t="s">
        <v>381</v>
      </c>
      <c r="D13" s="4" t="s">
        <v>382</v>
      </c>
      <c r="E13" s="4" t="s">
        <v>382</v>
      </c>
      <c r="F13" s="4">
        <v>8.4499999999999993</v>
      </c>
      <c r="G13" s="4" t="s">
        <v>376</v>
      </c>
      <c r="H13" s="4" t="str">
        <f>VLOOKUP(C13,[1]MAESTRA!$I$5:$J$399,2,0)</f>
        <v>cl-apoquindo7@tiendas.oxxo.com</v>
      </c>
      <c r="I13" s="4" t="s">
        <v>46</v>
      </c>
      <c r="J13" s="4" t="s">
        <v>1031</v>
      </c>
      <c r="K13" s="4" t="s">
        <v>63</v>
      </c>
      <c r="L13" s="4" t="s">
        <v>43</v>
      </c>
      <c r="M13" s="4" t="s">
        <v>138</v>
      </c>
      <c r="N13" s="4" t="s">
        <v>40</v>
      </c>
      <c r="O13" s="4" t="s">
        <v>378</v>
      </c>
      <c r="P13" s="4" t="s">
        <v>381</v>
      </c>
      <c r="Q13" s="4" t="s">
        <v>379</v>
      </c>
      <c r="R13" s="50" t="s">
        <v>43</v>
      </c>
      <c r="S13" s="50"/>
      <c r="T13" s="50" t="s">
        <v>380</v>
      </c>
      <c r="U13" s="4" t="s">
        <v>43</v>
      </c>
      <c r="V13" s="4"/>
    </row>
    <row r="14" spans="3:23" hidden="1" x14ac:dyDescent="0.25">
      <c r="C14" s="4" t="s">
        <v>511</v>
      </c>
      <c r="D14" s="4" t="s">
        <v>512</v>
      </c>
      <c r="E14" s="4" t="s">
        <v>513</v>
      </c>
      <c r="F14" s="4">
        <f>10.58</f>
        <v>10.58</v>
      </c>
      <c r="G14" s="4" t="s">
        <v>376</v>
      </c>
      <c r="H14" s="4" t="str">
        <f>VLOOKUP(C14,[1]MAESTRA!$I$5:$J$399,2,0)</f>
        <v>cl-manquehuesur@tiendas.oxxo.com</v>
      </c>
      <c r="I14" s="4" t="s">
        <v>46</v>
      </c>
      <c r="J14" s="4" t="s">
        <v>1030</v>
      </c>
      <c r="K14" s="4" t="s">
        <v>100</v>
      </c>
      <c r="L14" s="4" t="s">
        <v>43</v>
      </c>
      <c r="M14" s="4" t="s">
        <v>138</v>
      </c>
      <c r="N14" s="4" t="s">
        <v>40</v>
      </c>
      <c r="O14" s="4" t="s">
        <v>514</v>
      </c>
      <c r="P14" s="4" t="s">
        <v>511</v>
      </c>
      <c r="Q14" s="4" t="s">
        <v>379</v>
      </c>
      <c r="R14" s="50" t="s">
        <v>43</v>
      </c>
      <c r="S14" s="50"/>
      <c r="T14" s="50" t="s">
        <v>515</v>
      </c>
      <c r="U14" s="4" t="s">
        <v>43</v>
      </c>
      <c r="V14" s="4"/>
    </row>
    <row r="15" spans="3:23" hidden="1" x14ac:dyDescent="0.25">
      <c r="C15" s="4" t="s">
        <v>516</v>
      </c>
      <c r="D15" s="4" t="s">
        <v>517</v>
      </c>
      <c r="E15" s="4" t="s">
        <v>518</v>
      </c>
      <c r="F15" s="4">
        <v>10.130000000000001</v>
      </c>
      <c r="G15" s="4" t="s">
        <v>376</v>
      </c>
      <c r="H15" s="4" t="str">
        <f>VLOOKUP(C15,[1]MAESTRA!$I$5:$J$399,2,0)</f>
        <v>cl-manueldelalastra@tiendas.oxxo.com</v>
      </c>
      <c r="I15" s="4" t="s">
        <v>46</v>
      </c>
      <c r="J15" s="4" t="s">
        <v>1030</v>
      </c>
      <c r="K15" s="4" t="s">
        <v>100</v>
      </c>
      <c r="L15" s="4" t="s">
        <v>43</v>
      </c>
      <c r="M15" s="4" t="s">
        <v>205</v>
      </c>
      <c r="N15" s="4" t="s">
        <v>40</v>
      </c>
      <c r="O15" s="4" t="s">
        <v>514</v>
      </c>
      <c r="P15" s="4" t="s">
        <v>516</v>
      </c>
      <c r="Q15" s="4" t="s">
        <v>379</v>
      </c>
      <c r="R15" s="50" t="s">
        <v>43</v>
      </c>
      <c r="S15" s="50"/>
      <c r="T15" s="50" t="s">
        <v>515</v>
      </c>
      <c r="U15" s="4" t="s">
        <v>43</v>
      </c>
      <c r="V15" s="4"/>
    </row>
    <row r="16" spans="3:23" x14ac:dyDescent="0.25">
      <c r="C16" s="4" t="s">
        <v>796</v>
      </c>
      <c r="D16" s="4" t="s">
        <v>797</v>
      </c>
      <c r="E16" s="4" t="s">
        <v>797</v>
      </c>
      <c r="F16" s="4">
        <v>8</v>
      </c>
      <c r="G16" s="4" t="s">
        <v>376</v>
      </c>
      <c r="H16" s="4" t="str">
        <f>VLOOKUP(C16,[1]MAESTRA!$I$5:$J$399,2,0)</f>
        <v>cl-portugal@tiendas.oxxo.com</v>
      </c>
      <c r="I16" s="4" t="s">
        <v>81</v>
      </c>
      <c r="J16" s="4" t="s">
        <v>1030</v>
      </c>
      <c r="K16" s="4" t="s">
        <v>146</v>
      </c>
      <c r="L16" s="4" t="s">
        <v>43</v>
      </c>
      <c r="M16" s="4" t="s">
        <v>59</v>
      </c>
      <c r="N16" s="4" t="s">
        <v>40</v>
      </c>
      <c r="O16" s="4" t="s">
        <v>1035</v>
      </c>
      <c r="P16" s="4" t="s">
        <v>796</v>
      </c>
      <c r="Q16" s="4" t="s">
        <v>379</v>
      </c>
      <c r="R16" s="50" t="s">
        <v>43</v>
      </c>
      <c r="S16" s="50"/>
      <c r="T16" s="50" t="s">
        <v>799</v>
      </c>
      <c r="U16" s="4" t="s">
        <v>440</v>
      </c>
      <c r="V16" s="4"/>
    </row>
    <row r="17" spans="3:23" hidden="1" x14ac:dyDescent="0.25">
      <c r="C17" s="4" t="s">
        <v>463</v>
      </c>
      <c r="D17" s="4" t="s">
        <v>464</v>
      </c>
      <c r="E17" s="4" t="s">
        <v>465</v>
      </c>
      <c r="F17" s="4">
        <v>8.9</v>
      </c>
      <c r="G17" s="4" t="s">
        <v>376</v>
      </c>
      <c r="H17" s="4" t="str">
        <f>VLOOKUP(C17,[1]MAESTRA!$I$5:$J$399,2,0)</f>
        <v>cl-eliodoroyanez2@tiendas.oxxo.com</v>
      </c>
      <c r="I17" s="4" t="s">
        <v>46</v>
      </c>
      <c r="J17" s="4" t="s">
        <v>1030</v>
      </c>
      <c r="K17" s="4" t="s">
        <v>466</v>
      </c>
      <c r="L17" s="4" t="s">
        <v>43</v>
      </c>
      <c r="M17" s="4" t="s">
        <v>51</v>
      </c>
      <c r="N17" s="4" t="s">
        <v>40</v>
      </c>
      <c r="O17" s="4" t="s">
        <v>1035</v>
      </c>
      <c r="P17" s="4" t="s">
        <v>463</v>
      </c>
      <c r="Q17" s="4" t="s">
        <v>379</v>
      </c>
      <c r="R17" s="50" t="s">
        <v>43</v>
      </c>
      <c r="S17" s="50"/>
      <c r="T17" s="50" t="s">
        <v>467</v>
      </c>
      <c r="U17" s="4" t="s">
        <v>43</v>
      </c>
      <c r="V17" s="4"/>
    </row>
    <row r="18" spans="3:23" hidden="1" x14ac:dyDescent="0.25">
      <c r="C18" s="4" t="s">
        <v>383</v>
      </c>
      <c r="D18" s="4" t="s">
        <v>384</v>
      </c>
      <c r="E18" s="4" t="s">
        <v>384</v>
      </c>
      <c r="F18" s="4">
        <v>8</v>
      </c>
      <c r="G18" s="4" t="s">
        <v>376</v>
      </c>
      <c r="H18" s="4" t="str">
        <f>VLOOKUP(C18,[1]MAESTRA!$I$5:$J$399,2,0)</f>
        <v>cl-rosarionorte@tiendas.oxxo.com</v>
      </c>
      <c r="I18" s="4" t="s">
        <v>46</v>
      </c>
      <c r="J18" s="4" t="s">
        <v>1031</v>
      </c>
      <c r="K18" s="4" t="s">
        <v>63</v>
      </c>
      <c r="L18" s="4" t="s">
        <v>43</v>
      </c>
      <c r="M18" s="4" t="s">
        <v>138</v>
      </c>
      <c r="N18" s="4" t="s">
        <v>40</v>
      </c>
      <c r="O18" s="4" t="s">
        <v>378</v>
      </c>
      <c r="P18" s="4" t="s">
        <v>383</v>
      </c>
      <c r="Q18" s="4" t="s">
        <v>42</v>
      </c>
      <c r="R18" s="50" t="s">
        <v>43</v>
      </c>
      <c r="S18" s="50"/>
      <c r="T18" s="50" t="s">
        <v>380</v>
      </c>
      <c r="U18" s="4" t="s">
        <v>43</v>
      </c>
      <c r="V18" s="4"/>
    </row>
    <row r="19" spans="3:23" hidden="1" x14ac:dyDescent="0.25">
      <c r="C19" s="4" t="s">
        <v>646</v>
      </c>
      <c r="D19" s="4" t="s">
        <v>647</v>
      </c>
      <c r="E19" s="4" t="s">
        <v>647</v>
      </c>
      <c r="F19" s="4">
        <v>7</v>
      </c>
      <c r="G19" s="4" t="s">
        <v>376</v>
      </c>
      <c r="H19" s="4" t="str">
        <f>VLOOKUP(C19,[1]MAESTRA!$I$5:$J$399,2,0)</f>
        <v>cl-metrofranklin@tiendas.oxxo.com</v>
      </c>
      <c r="I19" s="4" t="s">
        <v>46</v>
      </c>
      <c r="J19" s="4" t="s">
        <v>1030</v>
      </c>
      <c r="K19" s="4" t="s">
        <v>50</v>
      </c>
      <c r="L19" s="4" t="s">
        <v>43</v>
      </c>
      <c r="M19" s="4" t="s">
        <v>59</v>
      </c>
      <c r="N19" s="4" t="s">
        <v>40</v>
      </c>
      <c r="O19" s="4" t="s">
        <v>514</v>
      </c>
      <c r="P19" s="4" t="s">
        <v>646</v>
      </c>
      <c r="Q19" s="4" t="s">
        <v>42</v>
      </c>
      <c r="R19" s="50" t="s">
        <v>43</v>
      </c>
      <c r="S19" s="50"/>
      <c r="T19" s="50" t="s">
        <v>597</v>
      </c>
      <c r="U19" s="4" t="s">
        <v>43</v>
      </c>
      <c r="V19" s="4"/>
    </row>
    <row r="20" spans="3:23" hidden="1" x14ac:dyDescent="0.25">
      <c r="C20" s="4" t="s">
        <v>648</v>
      </c>
      <c r="D20" s="4" t="s">
        <v>649</v>
      </c>
      <c r="E20" s="4" t="s">
        <v>650</v>
      </c>
      <c r="F20" s="4">
        <v>7.45</v>
      </c>
      <c r="G20" s="4" t="s">
        <v>376</v>
      </c>
      <c r="H20" s="4" t="str">
        <f>VLOOKUP(C20,[1]MAESTRA!$I$5:$J$399,2,0)</f>
        <v>cl-metronunoa@tiendas.oxxo.com</v>
      </c>
      <c r="I20" s="4" t="s">
        <v>46</v>
      </c>
      <c r="J20" s="4" t="s">
        <v>1030</v>
      </c>
      <c r="K20" s="4" t="s">
        <v>50</v>
      </c>
      <c r="L20" s="4" t="s">
        <v>43</v>
      </c>
      <c r="M20" s="4" t="s">
        <v>64</v>
      </c>
      <c r="N20" s="4" t="s">
        <v>40</v>
      </c>
      <c r="O20" s="4" t="s">
        <v>514</v>
      </c>
      <c r="P20" s="4" t="s">
        <v>648</v>
      </c>
      <c r="Q20" s="4" t="s">
        <v>42</v>
      </c>
      <c r="R20" s="50" t="s">
        <v>43</v>
      </c>
      <c r="S20" s="50"/>
      <c r="T20" s="50" t="s">
        <v>597</v>
      </c>
      <c r="U20" s="4" t="s">
        <v>43</v>
      </c>
      <c r="V20" s="4"/>
    </row>
    <row r="21" spans="3:23" hidden="1" x14ac:dyDescent="0.25">
      <c r="C21" s="4" t="s">
        <v>642</v>
      </c>
      <c r="D21" s="4" t="s">
        <v>643</v>
      </c>
      <c r="E21" s="4" t="s">
        <v>643</v>
      </c>
      <c r="F21" s="4">
        <v>6.16</v>
      </c>
      <c r="G21" s="4" t="s">
        <v>376</v>
      </c>
      <c r="H21" s="4" t="str">
        <f>VLOOKUP(C21,[1]MAESTRA!$I$5:$J$399,2,0)</f>
        <v>cl-metrolosleones@tiendas.oxxo.com</v>
      </c>
      <c r="I21" s="4" t="s">
        <v>46</v>
      </c>
      <c r="J21" s="4" t="s">
        <v>1030</v>
      </c>
      <c r="K21" s="4" t="s">
        <v>50</v>
      </c>
      <c r="L21" s="4" t="s">
        <v>43</v>
      </c>
      <c r="M21" s="4" t="s">
        <v>51</v>
      </c>
      <c r="N21" s="4" t="s">
        <v>40</v>
      </c>
      <c r="O21" s="4" t="s">
        <v>514</v>
      </c>
      <c r="P21" s="4" t="s">
        <v>642</v>
      </c>
      <c r="Q21" s="4" t="s">
        <v>42</v>
      </c>
      <c r="R21" s="50" t="s">
        <v>43</v>
      </c>
      <c r="S21" s="50"/>
      <c r="T21" s="50" t="s">
        <v>597</v>
      </c>
      <c r="U21" s="4" t="s">
        <v>43</v>
      </c>
      <c r="V21" s="4" t="s">
        <v>32</v>
      </c>
    </row>
    <row r="22" spans="3:23" hidden="1" x14ac:dyDescent="0.25">
      <c r="C22" s="4" t="s">
        <v>468</v>
      </c>
      <c r="D22" s="4" t="s">
        <v>469</v>
      </c>
      <c r="E22" s="4" t="s">
        <v>470</v>
      </c>
      <c r="F22" s="4">
        <v>8.4499999999999993</v>
      </c>
      <c r="G22" s="4" t="s">
        <v>376</v>
      </c>
      <c r="H22" s="4" t="str">
        <f>VLOOKUP(C22,[1]MAESTRA!$I$5:$J$399,2,0)</f>
        <v>cl-plazaitalia@tiendas.oxxo.com</v>
      </c>
      <c r="I22" s="4" t="s">
        <v>46</v>
      </c>
      <c r="J22" s="4" t="s">
        <v>1030</v>
      </c>
      <c r="K22" s="4" t="s">
        <v>466</v>
      </c>
      <c r="L22" s="4" t="s">
        <v>43</v>
      </c>
      <c r="M22" s="4" t="s">
        <v>51</v>
      </c>
      <c r="N22" s="4" t="s">
        <v>40</v>
      </c>
      <c r="O22" s="4" t="s">
        <v>1035</v>
      </c>
      <c r="P22" s="4" t="s">
        <v>468</v>
      </c>
      <c r="Q22" s="4" t="s">
        <v>42</v>
      </c>
      <c r="R22" s="50" t="s">
        <v>43</v>
      </c>
      <c r="S22" s="50"/>
      <c r="T22" s="50" t="s">
        <v>467</v>
      </c>
      <c r="U22" s="4" t="s">
        <v>43</v>
      </c>
      <c r="V22" s="4"/>
    </row>
    <row r="23" spans="3:23" hidden="1" x14ac:dyDescent="0.25">
      <c r="C23" s="4" t="s">
        <v>932</v>
      </c>
      <c r="D23" s="4" t="s">
        <v>933</v>
      </c>
      <c r="E23" s="4" t="s">
        <v>933</v>
      </c>
      <c r="F23" s="4">
        <v>7</v>
      </c>
      <c r="G23" s="4" t="s">
        <v>376</v>
      </c>
      <c r="H23" s="4" t="str">
        <f>VLOOKUP(C23,[1]MAESTRA!$I$5:$J$399,2,0)</f>
        <v>cl-luispasteur@tiendas.oxxo.com</v>
      </c>
      <c r="I23" s="4" t="s">
        <v>46</v>
      </c>
      <c r="J23" s="4" t="s">
        <v>1030</v>
      </c>
      <c r="K23" s="4" t="s">
        <v>160</v>
      </c>
      <c r="L23" s="4" t="s">
        <v>43</v>
      </c>
      <c r="M23" s="4" t="s">
        <v>353</v>
      </c>
      <c r="N23" s="4" t="s">
        <v>40</v>
      </c>
      <c r="O23" s="4" t="s">
        <v>984</v>
      </c>
      <c r="P23" s="4" t="s">
        <v>932</v>
      </c>
      <c r="Q23" s="4" t="s">
        <v>42</v>
      </c>
      <c r="R23" s="50" t="s">
        <v>43</v>
      </c>
      <c r="S23" s="50"/>
      <c r="T23" s="50" t="s">
        <v>931</v>
      </c>
      <c r="U23" s="4" t="s">
        <v>43</v>
      </c>
      <c r="V23" s="4"/>
    </row>
    <row r="24" spans="3:23" hidden="1" x14ac:dyDescent="0.25">
      <c r="C24" s="4" t="s">
        <v>390</v>
      </c>
      <c r="D24" s="4" t="s">
        <v>391</v>
      </c>
      <c r="E24" s="4" t="s">
        <v>391</v>
      </c>
      <c r="F24" s="4">
        <v>7</v>
      </c>
      <c r="G24" s="4" t="s">
        <v>376</v>
      </c>
      <c r="H24" s="4" t="str">
        <f>VLOOKUP(C24,[1]MAESTRA!$I$5:$J$399,2,0)</f>
        <v>cl-apoquindo2@tiendas.oxxo.com</v>
      </c>
      <c r="I24" s="4" t="s">
        <v>46</v>
      </c>
      <c r="J24" s="4" t="s">
        <v>1031</v>
      </c>
      <c r="K24" s="4" t="s">
        <v>63</v>
      </c>
      <c r="L24" s="4" t="s">
        <v>43</v>
      </c>
      <c r="M24" s="4" t="s">
        <v>138</v>
      </c>
      <c r="N24" s="4" t="s">
        <v>40</v>
      </c>
      <c r="O24" s="4" t="s">
        <v>378</v>
      </c>
      <c r="P24" s="4" t="s">
        <v>390</v>
      </c>
      <c r="Q24" s="4" t="s">
        <v>42</v>
      </c>
      <c r="R24" s="50" t="s">
        <v>43</v>
      </c>
      <c r="S24" s="50"/>
      <c r="T24" s="50" t="s">
        <v>380</v>
      </c>
      <c r="U24" s="4" t="s">
        <v>43</v>
      </c>
      <c r="V24" s="4"/>
    </row>
    <row r="25" spans="3:23" hidden="1" x14ac:dyDescent="0.25">
      <c r="C25" s="4" t="s">
        <v>883</v>
      </c>
      <c r="D25" s="4" t="s">
        <v>884</v>
      </c>
      <c r="E25" s="4" t="s">
        <v>986</v>
      </c>
      <c r="F25" s="77">
        <f>5.45</f>
        <v>5.45</v>
      </c>
      <c r="G25" s="4" t="s">
        <v>376</v>
      </c>
      <c r="H25" s="4" t="str">
        <f>VLOOKUP(C25,[1]MAESTRA!$I$5:$J$399,2,0)</f>
        <v>okm-araucomaipu@tiendas.oxxo.com</v>
      </c>
      <c r="I25" s="4" t="s">
        <v>46</v>
      </c>
      <c r="J25" s="4" t="s">
        <v>1030</v>
      </c>
      <c r="K25" s="4" t="s">
        <v>73</v>
      </c>
      <c r="L25" s="4" t="s">
        <v>43</v>
      </c>
      <c r="M25" s="4" t="s">
        <v>315</v>
      </c>
      <c r="N25" s="4" t="s">
        <v>40</v>
      </c>
      <c r="O25" s="4" t="s">
        <v>514</v>
      </c>
      <c r="P25" s="4" t="s">
        <v>883</v>
      </c>
      <c r="Q25" s="4" t="s">
        <v>42</v>
      </c>
      <c r="R25" s="50" t="s">
        <v>440</v>
      </c>
      <c r="S25" s="50"/>
      <c r="T25" s="50" t="s">
        <v>886</v>
      </c>
      <c r="U25" s="4" t="s">
        <v>43</v>
      </c>
      <c r="V25" s="4"/>
      <c r="W25" s="48" t="s">
        <v>1036</v>
      </c>
    </row>
    <row r="26" spans="3:23" hidden="1" x14ac:dyDescent="0.25">
      <c r="C26" s="4" t="s">
        <v>387</v>
      </c>
      <c r="D26" s="4" t="s">
        <v>388</v>
      </c>
      <c r="E26" s="4" t="s">
        <v>389</v>
      </c>
      <c r="F26" s="4">
        <v>6.68</v>
      </c>
      <c r="G26" s="4" t="s">
        <v>376</v>
      </c>
      <c r="H26" s="4" t="str">
        <f>VLOOKUP(C26,[1]MAESTRA!$I$5:$J$399,2,0)</f>
        <v>cl-badajoz@tiendas.oxxo.com</v>
      </c>
      <c r="I26" s="4" t="s">
        <v>46</v>
      </c>
      <c r="J26" s="4" t="s">
        <v>1031</v>
      </c>
      <c r="K26" s="4" t="s">
        <v>63</v>
      </c>
      <c r="L26" s="4" t="s">
        <v>43</v>
      </c>
      <c r="M26" s="4" t="s">
        <v>138</v>
      </c>
      <c r="N26" s="4" t="s">
        <v>40</v>
      </c>
      <c r="O26" s="4" t="s">
        <v>378</v>
      </c>
      <c r="P26" s="4" t="s">
        <v>387</v>
      </c>
      <c r="Q26" s="4" t="s">
        <v>42</v>
      </c>
      <c r="R26" s="50" t="s">
        <v>43</v>
      </c>
      <c r="S26" s="50"/>
      <c r="T26" s="50" t="s">
        <v>380</v>
      </c>
      <c r="U26" s="4" t="s">
        <v>43</v>
      </c>
      <c r="V26" s="4"/>
    </row>
    <row r="27" spans="3:23" hidden="1" x14ac:dyDescent="0.25">
      <c r="C27" s="4" t="s">
        <v>519</v>
      </c>
      <c r="D27" s="4" t="s">
        <v>520</v>
      </c>
      <c r="E27" s="4" t="s">
        <v>520</v>
      </c>
      <c r="F27" s="4">
        <v>7</v>
      </c>
      <c r="G27" s="4" t="s">
        <v>376</v>
      </c>
      <c r="H27" s="4" t="str">
        <f>VLOOKUP(C27,[1]MAESTRA!$I$5:$J$399,2,0)</f>
        <v>cl-alcantara@tiendas.oxxo.com</v>
      </c>
      <c r="I27" s="4" t="s">
        <v>46</v>
      </c>
      <c r="J27" s="4" t="s">
        <v>1030</v>
      </c>
      <c r="K27" s="4" t="s">
        <v>100</v>
      </c>
      <c r="L27" s="4" t="s">
        <v>43</v>
      </c>
      <c r="M27" s="4" t="s">
        <v>138</v>
      </c>
      <c r="N27" s="4" t="s">
        <v>40</v>
      </c>
      <c r="O27" s="4" t="s">
        <v>514</v>
      </c>
      <c r="P27" s="4" t="s">
        <v>519</v>
      </c>
      <c r="Q27" s="4" t="s">
        <v>42</v>
      </c>
      <c r="R27" s="50" t="s">
        <v>43</v>
      </c>
      <c r="S27" s="50"/>
      <c r="T27" s="50" t="s">
        <v>515</v>
      </c>
      <c r="U27" s="4" t="s">
        <v>43</v>
      </c>
      <c r="V27" s="4"/>
    </row>
    <row r="28" spans="3:23" hidden="1" x14ac:dyDescent="0.25">
      <c r="C28" s="4" t="s">
        <v>887</v>
      </c>
      <c r="D28" s="4" t="s">
        <v>275</v>
      </c>
      <c r="E28" s="4" t="s">
        <v>888</v>
      </c>
      <c r="F28" s="4">
        <v>8.68</v>
      </c>
      <c r="G28" s="4" t="s">
        <v>376</v>
      </c>
      <c r="H28" s="4" t="str">
        <f>VLOOKUP(C28,[1]MAESTRA!$I$5:$J$399,2,0)</f>
        <v>cl-macul@tiendas.oxxo.com</v>
      </c>
      <c r="I28" s="4" t="s">
        <v>46</v>
      </c>
      <c r="J28" s="4" t="s">
        <v>1030</v>
      </c>
      <c r="K28" s="4" t="s">
        <v>73</v>
      </c>
      <c r="L28" s="4" t="s">
        <v>43</v>
      </c>
      <c r="M28" s="4" t="s">
        <v>275</v>
      </c>
      <c r="N28" s="4" t="s">
        <v>40</v>
      </c>
      <c r="O28" s="4" t="s">
        <v>514</v>
      </c>
      <c r="P28" s="4" t="s">
        <v>887</v>
      </c>
      <c r="Q28" s="4" t="s">
        <v>42</v>
      </c>
      <c r="R28" s="50" t="s">
        <v>43</v>
      </c>
      <c r="S28" s="50"/>
      <c r="T28" s="50" t="s">
        <v>886</v>
      </c>
      <c r="U28" s="4" t="s">
        <v>43</v>
      </c>
      <c r="V28" s="4"/>
    </row>
    <row r="29" spans="3:23" hidden="1" x14ac:dyDescent="0.25">
      <c r="C29" s="4" t="s">
        <v>654</v>
      </c>
      <c r="D29" s="4" t="s">
        <v>655</v>
      </c>
      <c r="E29" s="4" t="s">
        <v>655</v>
      </c>
      <c r="F29" s="4">
        <v>7</v>
      </c>
      <c r="G29" s="4" t="s">
        <v>376</v>
      </c>
      <c r="H29" s="4" t="str">
        <f>VLOOKUP(C29,[1]MAESTRA!$I$5:$J$399,2,0)</f>
        <v>cl-lyon3@tiendas.oxxo.com</v>
      </c>
      <c r="I29" s="4" t="s">
        <v>46</v>
      </c>
      <c r="J29" s="4" t="s">
        <v>1030</v>
      </c>
      <c r="K29" s="4" t="s">
        <v>248</v>
      </c>
      <c r="L29" s="4" t="s">
        <v>43</v>
      </c>
      <c r="M29" s="4" t="s">
        <v>51</v>
      </c>
      <c r="N29" s="4" t="s">
        <v>40</v>
      </c>
      <c r="O29" s="4" t="s">
        <v>984</v>
      </c>
      <c r="P29" s="4" t="s">
        <v>654</v>
      </c>
      <c r="Q29" s="4" t="s">
        <v>42</v>
      </c>
      <c r="R29" s="50" t="s">
        <v>43</v>
      </c>
      <c r="S29" s="50"/>
      <c r="T29" s="50" t="s">
        <v>51</v>
      </c>
      <c r="U29" s="4" t="s">
        <v>43</v>
      </c>
      <c r="V29" s="4"/>
    </row>
    <row r="30" spans="3:23" hidden="1" x14ac:dyDescent="0.25">
      <c r="C30" s="4" t="s">
        <v>800</v>
      </c>
      <c r="D30" s="4" t="s">
        <v>801</v>
      </c>
      <c r="E30" s="4" t="s">
        <v>801</v>
      </c>
      <c r="F30" s="4">
        <v>7</v>
      </c>
      <c r="G30" s="4" t="s">
        <v>376</v>
      </c>
      <c r="H30" s="4" t="str">
        <f>VLOOKUP(C30,[1]MAESTRA!$I$5:$J$399,2,0)</f>
        <v>cl-ejercitoalameda@tiendas.oxxo.com</v>
      </c>
      <c r="I30" s="4" t="s">
        <v>46</v>
      </c>
      <c r="J30" s="4" t="s">
        <v>1030</v>
      </c>
      <c r="K30" s="4" t="s">
        <v>146</v>
      </c>
      <c r="L30" s="4" t="s">
        <v>440</v>
      </c>
      <c r="M30" s="4" t="s">
        <v>59</v>
      </c>
      <c r="N30" s="4" t="s">
        <v>40</v>
      </c>
      <c r="O30" s="4" t="s">
        <v>1035</v>
      </c>
      <c r="P30" s="4" t="s">
        <v>800</v>
      </c>
      <c r="Q30" s="4" t="s">
        <v>42</v>
      </c>
      <c r="R30" s="50" t="s">
        <v>43</v>
      </c>
      <c r="S30" s="50"/>
      <c r="T30" s="50" t="s">
        <v>799</v>
      </c>
      <c r="U30" s="4" t="s">
        <v>43</v>
      </c>
      <c r="V30" s="4"/>
    </row>
    <row r="31" spans="3:23" hidden="1" x14ac:dyDescent="0.25">
      <c r="C31" s="4" t="s">
        <v>385</v>
      </c>
      <c r="D31" s="4" t="s">
        <v>386</v>
      </c>
      <c r="E31" s="4" t="s">
        <v>386</v>
      </c>
      <c r="F31" s="4">
        <v>7</v>
      </c>
      <c r="G31" s="4" t="s">
        <v>376</v>
      </c>
      <c r="H31" s="4" t="str">
        <f>VLOOKUP(C31,[1]MAESTRA!$I$5:$J$399,2,0)</f>
        <v>cl-alcantara2@tiendas.oxxo.com</v>
      </c>
      <c r="I31" s="4" t="s">
        <v>46</v>
      </c>
      <c r="J31" s="4" t="s">
        <v>1031</v>
      </c>
      <c r="K31" s="4" t="s">
        <v>63</v>
      </c>
      <c r="L31" s="4" t="s">
        <v>43</v>
      </c>
      <c r="M31" s="4" t="s">
        <v>138</v>
      </c>
      <c r="N31" s="4" t="s">
        <v>40</v>
      </c>
      <c r="O31" s="4" t="s">
        <v>378</v>
      </c>
      <c r="P31" s="4" t="s">
        <v>385</v>
      </c>
      <c r="Q31" s="4" t="s">
        <v>42</v>
      </c>
      <c r="R31" s="50" t="s">
        <v>43</v>
      </c>
      <c r="S31" s="50"/>
      <c r="T31" s="50" t="s">
        <v>380</v>
      </c>
      <c r="U31" s="4" t="s">
        <v>43</v>
      </c>
      <c r="V31" s="4"/>
    </row>
    <row r="32" spans="3:23" hidden="1" x14ac:dyDescent="0.25">
      <c r="C32" s="4" t="s">
        <v>934</v>
      </c>
      <c r="D32" s="4" t="s">
        <v>935</v>
      </c>
      <c r="E32" s="4" t="s">
        <v>935</v>
      </c>
      <c r="F32" s="4">
        <v>7</v>
      </c>
      <c r="G32" s="4" t="s">
        <v>376</v>
      </c>
      <c r="H32" s="4" t="str">
        <f>VLOOKUP(C32,[1]MAESTRA!$I$5:$J$399,2,0)</f>
        <v>cl-luiscarrera@tiendas.oxxo.com</v>
      </c>
      <c r="I32" s="4" t="s">
        <v>46</v>
      </c>
      <c r="J32" s="4" t="s">
        <v>1030</v>
      </c>
      <c r="K32" s="4" t="s">
        <v>160</v>
      </c>
      <c r="L32" s="4" t="s">
        <v>43</v>
      </c>
      <c r="M32" s="4" t="s">
        <v>353</v>
      </c>
      <c r="N32" s="4" t="s">
        <v>40</v>
      </c>
      <c r="O32" s="4" t="s">
        <v>984</v>
      </c>
      <c r="P32" s="4" t="s">
        <v>934</v>
      </c>
      <c r="Q32" s="4" t="s">
        <v>42</v>
      </c>
      <c r="R32" s="50" t="s">
        <v>43</v>
      </c>
      <c r="S32" s="50"/>
      <c r="T32" s="50" t="s">
        <v>931</v>
      </c>
      <c r="U32" s="4" t="s">
        <v>43</v>
      </c>
      <c r="V32" s="4"/>
    </row>
    <row r="33" spans="3:22" hidden="1" x14ac:dyDescent="0.25">
      <c r="C33" s="4" t="s">
        <v>573</v>
      </c>
      <c r="D33" s="4" t="s">
        <v>574</v>
      </c>
      <c r="E33" s="4" t="s">
        <v>575</v>
      </c>
      <c r="F33" s="4">
        <v>7</v>
      </c>
      <c r="G33" s="4" t="s">
        <v>376</v>
      </c>
      <c r="H33" s="4" t="str">
        <f>VLOOKUP(C33,[1]MAESTRA!$I$5:$J$399,2,0)</f>
        <v>cl-tobalabaprovidencia@tiendas.oxxo.com</v>
      </c>
      <c r="I33" s="4" t="s">
        <v>46</v>
      </c>
      <c r="J33" s="4" t="s">
        <v>1030</v>
      </c>
      <c r="K33" s="4" t="s">
        <v>331</v>
      </c>
      <c r="L33" s="4" t="s">
        <v>43</v>
      </c>
      <c r="M33" s="4" t="s">
        <v>138</v>
      </c>
      <c r="N33" s="4" t="s">
        <v>40</v>
      </c>
      <c r="O33" s="4" t="s">
        <v>984</v>
      </c>
      <c r="P33" s="4" t="s">
        <v>573</v>
      </c>
      <c r="Q33" s="4" t="s">
        <v>42</v>
      </c>
      <c r="R33" s="50" t="s">
        <v>440</v>
      </c>
      <c r="S33" s="50"/>
      <c r="T33" s="50" t="s">
        <v>557</v>
      </c>
      <c r="U33" s="4" t="s">
        <v>43</v>
      </c>
      <c r="V33" s="4"/>
    </row>
    <row r="34" spans="3:22" hidden="1" x14ac:dyDescent="0.25">
      <c r="C34" s="4" t="s">
        <v>804</v>
      </c>
      <c r="D34" s="4" t="s">
        <v>805</v>
      </c>
      <c r="E34" s="4" t="s">
        <v>806</v>
      </c>
      <c r="F34" s="4">
        <v>7</v>
      </c>
      <c r="G34" s="4" t="s">
        <v>376</v>
      </c>
      <c r="H34" s="4" t="str">
        <f>VLOOKUP(C34,[1]MAESTRA!$I$5:$J$399,2,0)</f>
        <v>cl-alameda1@tiendas.oxxo.com</v>
      </c>
      <c r="I34" s="4" t="s">
        <v>46</v>
      </c>
      <c r="J34" s="4" t="s">
        <v>1030</v>
      </c>
      <c r="K34" s="4" t="s">
        <v>146</v>
      </c>
      <c r="L34" s="4" t="s">
        <v>43</v>
      </c>
      <c r="M34" s="4" t="s">
        <v>59</v>
      </c>
      <c r="N34" s="4" t="s">
        <v>40</v>
      </c>
      <c r="O34" s="4" t="s">
        <v>1035</v>
      </c>
      <c r="P34" s="4" t="s">
        <v>804</v>
      </c>
      <c r="Q34" s="4" t="s">
        <v>42</v>
      </c>
      <c r="R34" s="50" t="s">
        <v>43</v>
      </c>
      <c r="S34" s="50"/>
      <c r="T34" s="50" t="s">
        <v>799</v>
      </c>
      <c r="U34" s="4" t="s">
        <v>43</v>
      </c>
      <c r="V34" s="4" t="s">
        <v>32</v>
      </c>
    </row>
    <row r="35" spans="3:22" hidden="1" x14ac:dyDescent="0.25">
      <c r="C35" s="4" t="s">
        <v>618</v>
      </c>
      <c r="D35" s="4" t="s">
        <v>619</v>
      </c>
      <c r="E35" s="4" t="s">
        <v>619</v>
      </c>
      <c r="F35" s="4">
        <v>6.68</v>
      </c>
      <c r="G35" s="4" t="s">
        <v>1032</v>
      </c>
      <c r="H35" s="4" t="str">
        <f>VLOOKUP(C35,[1]MAESTRA!$I$5:$J$399,2,0)</f>
        <v>cl-metrouniversidaddechile@tiendas.oxxo.com</v>
      </c>
      <c r="I35" s="4" t="s">
        <v>46</v>
      </c>
      <c r="J35" s="4" t="s">
        <v>1030</v>
      </c>
      <c r="K35" s="4" t="s">
        <v>50</v>
      </c>
      <c r="L35" s="4"/>
      <c r="M35" s="4" t="s">
        <v>59</v>
      </c>
      <c r="N35" s="4" t="s">
        <v>40</v>
      </c>
      <c r="O35" s="4" t="s">
        <v>514</v>
      </c>
      <c r="P35" s="4" t="s">
        <v>618</v>
      </c>
      <c r="Q35" s="4" t="s">
        <v>42</v>
      </c>
      <c r="R35" s="50" t="s">
        <v>43</v>
      </c>
      <c r="S35" s="50"/>
      <c r="T35" s="50" t="s">
        <v>597</v>
      </c>
      <c r="U35" s="4" t="s">
        <v>43</v>
      </c>
      <c r="V35" s="4"/>
    </row>
    <row r="36" spans="3:22" hidden="1" x14ac:dyDescent="0.25">
      <c r="C36" s="4" t="s">
        <v>419</v>
      </c>
      <c r="D36" s="4" t="s">
        <v>420</v>
      </c>
      <c r="E36" s="4" t="s">
        <v>64</v>
      </c>
      <c r="F36" s="4">
        <v>6</v>
      </c>
      <c r="G36" s="4" t="s">
        <v>376</v>
      </c>
      <c r="H36" s="4" t="str">
        <f>VLOOKUP(C36,[1]MAESTRA!$I$5:$J$399,2,0)</f>
        <v>cl-nunoa@tiendas.oxxo.com</v>
      </c>
      <c r="I36" s="4" t="s">
        <v>46</v>
      </c>
      <c r="J36" s="4" t="s">
        <v>1030</v>
      </c>
      <c r="K36" s="4" t="s">
        <v>94</v>
      </c>
      <c r="L36" s="4" t="s">
        <v>43</v>
      </c>
      <c r="M36" s="4" t="s">
        <v>64</v>
      </c>
      <c r="N36" s="4" t="s">
        <v>40</v>
      </c>
      <c r="O36" s="4" t="s">
        <v>1035</v>
      </c>
      <c r="P36" s="4" t="s">
        <v>419</v>
      </c>
      <c r="Q36" s="4" t="s">
        <v>42</v>
      </c>
      <c r="R36" s="50" t="s">
        <v>43</v>
      </c>
      <c r="S36" s="50"/>
      <c r="T36" s="50" t="s">
        <v>423</v>
      </c>
      <c r="U36" s="4" t="s">
        <v>43</v>
      </c>
      <c r="V36" s="4"/>
    </row>
    <row r="37" spans="3:22" hidden="1" x14ac:dyDescent="0.25">
      <c r="C37" s="4" t="s">
        <v>521</v>
      </c>
      <c r="D37" s="4" t="s">
        <v>522</v>
      </c>
      <c r="E37" s="4" t="s">
        <v>522</v>
      </c>
      <c r="F37" s="4">
        <v>6</v>
      </c>
      <c r="G37" s="4" t="s">
        <v>376</v>
      </c>
      <c r="H37" s="4" t="str">
        <f>VLOOKUP(C37,[1]MAESTRA!$I$5:$J$399,2,0)</f>
        <v>cl-colon@tiendas.oxxo.com</v>
      </c>
      <c r="I37" s="4" t="s">
        <v>46</v>
      </c>
      <c r="J37" s="4" t="s">
        <v>1030</v>
      </c>
      <c r="K37" s="4" t="s">
        <v>100</v>
      </c>
      <c r="L37" s="4" t="s">
        <v>43</v>
      </c>
      <c r="M37" s="4" t="s">
        <v>138</v>
      </c>
      <c r="N37" s="4" t="s">
        <v>40</v>
      </c>
      <c r="O37" s="4" t="s">
        <v>514</v>
      </c>
      <c r="P37" s="4" t="s">
        <v>521</v>
      </c>
      <c r="Q37" s="4" t="s">
        <v>42</v>
      </c>
      <c r="R37" s="50" t="s">
        <v>43</v>
      </c>
      <c r="S37" s="50"/>
      <c r="T37" s="50" t="s">
        <v>515</v>
      </c>
      <c r="U37" s="4" t="s">
        <v>43</v>
      </c>
      <c r="V37" s="4"/>
    </row>
    <row r="38" spans="3:22" hidden="1" x14ac:dyDescent="0.25">
      <c r="C38" s="4" t="s">
        <v>844</v>
      </c>
      <c r="D38" s="4" t="s">
        <v>845</v>
      </c>
      <c r="E38" s="4" t="s">
        <v>846</v>
      </c>
      <c r="F38" s="4">
        <v>6</v>
      </c>
      <c r="G38" s="4" t="s">
        <v>376</v>
      </c>
      <c r="H38" s="4" t="str">
        <f>VLOOKUP(C38,[1]MAESTRA!$I$5:$J$399,2,0)</f>
        <v>cl-carlospena@tiendas.oxxo.com</v>
      </c>
      <c r="I38" s="4" t="s">
        <v>46</v>
      </c>
      <c r="J38" s="4" t="s">
        <v>1030</v>
      </c>
      <c r="K38" s="4" t="s">
        <v>132</v>
      </c>
      <c r="L38" s="4" t="s">
        <v>43</v>
      </c>
      <c r="M38" s="4" t="s">
        <v>138</v>
      </c>
      <c r="N38" s="4" t="s">
        <v>40</v>
      </c>
      <c r="O38" s="4" t="s">
        <v>1035</v>
      </c>
      <c r="P38" s="4" t="s">
        <v>844</v>
      </c>
      <c r="Q38" s="4" t="s">
        <v>42</v>
      </c>
      <c r="R38" s="50" t="s">
        <v>43</v>
      </c>
      <c r="S38" s="50"/>
      <c r="T38" s="50" t="s">
        <v>847</v>
      </c>
      <c r="U38" s="4" t="s">
        <v>43</v>
      </c>
      <c r="V38" s="4"/>
    </row>
    <row r="39" spans="3:22" hidden="1" x14ac:dyDescent="0.25">
      <c r="C39" s="4" t="s">
        <v>889</v>
      </c>
      <c r="D39" s="4" t="s">
        <v>890</v>
      </c>
      <c r="E39" s="4" t="s">
        <v>890</v>
      </c>
      <c r="F39" s="4">
        <v>6</v>
      </c>
      <c r="G39" s="4" t="s">
        <v>376</v>
      </c>
      <c r="H39" s="4" t="str">
        <f>VLOOKUP(C39,[1]MAESTRA!$I$5:$J$399,2,0)</f>
        <v>cl-hospitales@tiendas.oxxo.com</v>
      </c>
      <c r="I39" s="4" t="s">
        <v>46</v>
      </c>
      <c r="J39" s="4" t="s">
        <v>1030</v>
      </c>
      <c r="K39" s="4" t="s">
        <v>73</v>
      </c>
      <c r="L39" s="4" t="s">
        <v>43</v>
      </c>
      <c r="M39" s="4" t="s">
        <v>97</v>
      </c>
      <c r="N39" s="4" t="s">
        <v>40</v>
      </c>
      <c r="O39" s="4" t="s">
        <v>514</v>
      </c>
      <c r="P39" s="4" t="s">
        <v>889</v>
      </c>
      <c r="Q39" s="4" t="s">
        <v>42</v>
      </c>
      <c r="R39" s="50" t="s">
        <v>43</v>
      </c>
      <c r="S39" s="50"/>
      <c r="T39" s="50" t="s">
        <v>886</v>
      </c>
      <c r="U39" s="4" t="s">
        <v>43</v>
      </c>
      <c r="V39" s="4"/>
    </row>
    <row r="40" spans="3:22" hidden="1" x14ac:dyDescent="0.25">
      <c r="C40" s="4" t="s">
        <v>392</v>
      </c>
      <c r="D40" s="4" t="s">
        <v>393</v>
      </c>
      <c r="E40" s="4" t="s">
        <v>393</v>
      </c>
      <c r="F40" s="4">
        <v>5</v>
      </c>
      <c r="G40" s="4" t="s">
        <v>376</v>
      </c>
      <c r="H40" s="4" t="str">
        <f>VLOOKUP(C40,[1]MAESTRA!$I$5:$J$399,2,0)</f>
        <v>cl-elgolf@tiendas.oxxo.com</v>
      </c>
      <c r="I40" s="4" t="s">
        <v>46</v>
      </c>
      <c r="J40" s="4" t="s">
        <v>1031</v>
      </c>
      <c r="K40" s="4" t="s">
        <v>63</v>
      </c>
      <c r="L40" s="4" t="s">
        <v>43</v>
      </c>
      <c r="M40" s="4" t="s">
        <v>138</v>
      </c>
      <c r="N40" s="4" t="s">
        <v>40</v>
      </c>
      <c r="O40" s="4" t="s">
        <v>378</v>
      </c>
      <c r="P40" s="4" t="s">
        <v>392</v>
      </c>
      <c r="Q40" s="4" t="s">
        <v>42</v>
      </c>
      <c r="R40" s="50" t="s">
        <v>43</v>
      </c>
      <c r="S40" s="50"/>
      <c r="T40" s="50" t="s">
        <v>380</v>
      </c>
      <c r="U40" s="4" t="s">
        <v>43</v>
      </c>
      <c r="V40" s="4"/>
    </row>
    <row r="41" spans="3:22" hidden="1" x14ac:dyDescent="0.25">
      <c r="C41" s="4" t="s">
        <v>703</v>
      </c>
      <c r="D41" s="4" t="s">
        <v>704</v>
      </c>
      <c r="E41" s="4" t="s">
        <v>705</v>
      </c>
      <c r="F41" s="4">
        <v>5</v>
      </c>
      <c r="G41" s="4" t="s">
        <v>376</v>
      </c>
      <c r="H41" s="4" t="str">
        <f>VLOOKUP(C41,[1]MAESTRA!$I$5:$J$399,2,0)</f>
        <v>cl-cachagua@tiendas.oxxo.com</v>
      </c>
      <c r="I41" s="4" t="s">
        <v>46</v>
      </c>
      <c r="J41" s="4" t="s">
        <v>1031</v>
      </c>
      <c r="K41" s="4" t="s">
        <v>84</v>
      </c>
      <c r="L41" s="4" t="s">
        <v>440</v>
      </c>
      <c r="M41" s="4" t="s">
        <v>706</v>
      </c>
      <c r="N41" s="4" t="s">
        <v>55</v>
      </c>
      <c r="O41" s="4" t="s">
        <v>378</v>
      </c>
      <c r="P41" s="4" t="s">
        <v>703</v>
      </c>
      <c r="Q41" s="4" t="s">
        <v>42</v>
      </c>
      <c r="R41" s="50" t="s">
        <v>43</v>
      </c>
      <c r="S41" s="50"/>
      <c r="T41" s="50" t="s">
        <v>702</v>
      </c>
      <c r="U41" s="4" t="s">
        <v>43</v>
      </c>
      <c r="V41" s="4"/>
    </row>
    <row r="42" spans="3:22" hidden="1" x14ac:dyDescent="0.25">
      <c r="C42" s="4" t="s">
        <v>34</v>
      </c>
      <c r="D42" s="4" t="s">
        <v>35</v>
      </c>
      <c r="E42" s="4" t="s">
        <v>35</v>
      </c>
      <c r="F42" s="4" t="s">
        <v>36</v>
      </c>
      <c r="G42" s="4" t="s">
        <v>37</v>
      </c>
      <c r="H42" s="4" t="str">
        <f>VLOOKUP(C42,[1]MAESTRA!$I$5:$J$399,2,0)</f>
        <v>okm-ciudadempresarial@tiendas.oxxo.com</v>
      </c>
      <c r="I42" s="4" t="s">
        <v>38</v>
      </c>
      <c r="J42" s="4" t="s">
        <v>1030</v>
      </c>
      <c r="K42" s="4">
        <v>0</v>
      </c>
      <c r="L42" s="4"/>
      <c r="M42" s="4" t="s">
        <v>39</v>
      </c>
      <c r="N42" s="4" t="s">
        <v>40</v>
      </c>
      <c r="O42" s="4">
        <v>0</v>
      </c>
      <c r="P42" s="4" t="s">
        <v>34</v>
      </c>
      <c r="Q42" s="4" t="s">
        <v>42</v>
      </c>
      <c r="R42" s="50" t="s">
        <v>43</v>
      </c>
      <c r="S42" s="50"/>
      <c r="T42" s="50">
        <v>0</v>
      </c>
      <c r="U42" s="4" t="s">
        <v>36</v>
      </c>
      <c r="V42" s="4"/>
    </row>
    <row r="43" spans="3:22" hidden="1" x14ac:dyDescent="0.25">
      <c r="C43" s="4" t="s">
        <v>424</v>
      </c>
      <c r="D43" s="4" t="s">
        <v>425</v>
      </c>
      <c r="E43" s="4" t="s">
        <v>988</v>
      </c>
      <c r="F43" s="4">
        <v>6</v>
      </c>
      <c r="G43" s="4" t="s">
        <v>37</v>
      </c>
      <c r="H43" s="4" t="str">
        <f>VLOOKUP(C43,[1]MAESTRA!$I$5:$J$399,2,0)</f>
        <v>okm-irarrazaval@tiendas.oxxo.com</v>
      </c>
      <c r="I43" s="4" t="s">
        <v>46</v>
      </c>
      <c r="J43" s="4" t="s">
        <v>1030</v>
      </c>
      <c r="K43" s="4" t="s">
        <v>94</v>
      </c>
      <c r="L43" s="4"/>
      <c r="M43" s="4" t="s">
        <v>64</v>
      </c>
      <c r="N43" s="4" t="s">
        <v>40</v>
      </c>
      <c r="O43" s="4" t="s">
        <v>1035</v>
      </c>
      <c r="P43" s="4" t="s">
        <v>424</v>
      </c>
      <c r="Q43" s="4" t="s">
        <v>42</v>
      </c>
      <c r="R43" s="50" t="s">
        <v>43</v>
      </c>
      <c r="S43" s="50"/>
      <c r="T43" s="50" t="s">
        <v>423</v>
      </c>
      <c r="U43" s="4" t="s">
        <v>36</v>
      </c>
      <c r="V43" s="4"/>
    </row>
    <row r="44" spans="3:22" hidden="1" x14ac:dyDescent="0.25">
      <c r="C44" s="4" t="s">
        <v>471</v>
      </c>
      <c r="D44" s="4" t="s">
        <v>472</v>
      </c>
      <c r="E44" s="4" t="s">
        <v>473</v>
      </c>
      <c r="F44" s="4">
        <v>5</v>
      </c>
      <c r="G44" s="4" t="s">
        <v>376</v>
      </c>
      <c r="H44" s="4" t="str">
        <f>VLOOKUP(C44,[1]MAESTRA!$I$5:$J$399,2,0)</f>
        <v>cl-providenciacondell@tiendas.oxxo.com</v>
      </c>
      <c r="I44" s="4" t="s">
        <v>46</v>
      </c>
      <c r="J44" s="4" t="s">
        <v>1030</v>
      </c>
      <c r="K44" s="4" t="s">
        <v>466</v>
      </c>
      <c r="L44" s="4" t="s">
        <v>43</v>
      </c>
      <c r="M44" s="4" t="s">
        <v>51</v>
      </c>
      <c r="N44" s="4" t="s">
        <v>40</v>
      </c>
      <c r="O44" s="4" t="s">
        <v>1035</v>
      </c>
      <c r="P44" s="4" t="s">
        <v>471</v>
      </c>
      <c r="Q44" s="4" t="s">
        <v>42</v>
      </c>
      <c r="R44" s="50" t="s">
        <v>43</v>
      </c>
      <c r="S44" s="50"/>
      <c r="T44" s="50" t="s">
        <v>467</v>
      </c>
      <c r="U44" s="4" t="s">
        <v>43</v>
      </c>
      <c r="V44" s="4"/>
    </row>
    <row r="45" spans="3:22" hidden="1" x14ac:dyDescent="0.25">
      <c r="C45" s="4" t="s">
        <v>742</v>
      </c>
      <c r="D45" s="4" t="s">
        <v>744</v>
      </c>
      <c r="E45" s="51" t="s">
        <v>989</v>
      </c>
      <c r="F45" s="4">
        <v>6</v>
      </c>
      <c r="G45" s="4" t="s">
        <v>376</v>
      </c>
      <c r="H45" s="4" t="str">
        <f>VLOOKUP(C45,[1]MAESTRA!$I$5:$J$399,2,0)</f>
        <v>cl-quinta@tiendas.oxxo.com</v>
      </c>
      <c r="I45" s="4" t="s">
        <v>46</v>
      </c>
      <c r="J45" s="4" t="s">
        <v>1031</v>
      </c>
      <c r="K45" s="4" t="s">
        <v>84</v>
      </c>
      <c r="L45" s="4" t="s">
        <v>440</v>
      </c>
      <c r="M45" s="4" t="s">
        <v>54</v>
      </c>
      <c r="N45" s="4" t="s">
        <v>55</v>
      </c>
      <c r="O45" s="4" t="s">
        <v>378</v>
      </c>
      <c r="P45" s="4" t="s">
        <v>742</v>
      </c>
      <c r="Q45" s="4" t="s">
        <v>42</v>
      </c>
      <c r="R45" s="50" t="s">
        <v>440</v>
      </c>
      <c r="S45" s="50"/>
      <c r="T45" s="50" t="s">
        <v>741</v>
      </c>
      <c r="U45" s="4" t="s">
        <v>43</v>
      </c>
      <c r="V45" s="4"/>
    </row>
    <row r="46" spans="3:22" hidden="1" x14ac:dyDescent="0.25">
      <c r="C46" s="4" t="s">
        <v>707</v>
      </c>
      <c r="D46" s="4" t="s">
        <v>706</v>
      </c>
      <c r="E46" s="4" t="s">
        <v>708</v>
      </c>
      <c r="F46" s="4">
        <v>5</v>
      </c>
      <c r="G46" s="4" t="s">
        <v>376</v>
      </c>
      <c r="H46" s="4" t="e">
        <f>VLOOKUP(C46,[1]MAESTRA!$I$5:$J$399,2,0)</f>
        <v>#N/A</v>
      </c>
      <c r="I46" s="4" t="s">
        <v>46</v>
      </c>
      <c r="J46" s="4" t="s">
        <v>1031</v>
      </c>
      <c r="K46" s="4" t="s">
        <v>84</v>
      </c>
      <c r="L46" s="4" t="s">
        <v>440</v>
      </c>
      <c r="M46" s="4" t="s">
        <v>706</v>
      </c>
      <c r="N46" s="4" t="s">
        <v>55</v>
      </c>
      <c r="O46" s="4" t="s">
        <v>378</v>
      </c>
      <c r="P46" s="4" t="s">
        <v>707</v>
      </c>
      <c r="Q46" s="4" t="s">
        <v>42</v>
      </c>
      <c r="R46" s="50" t="s">
        <v>440</v>
      </c>
      <c r="S46" s="50"/>
      <c r="T46" s="50" t="s">
        <v>702</v>
      </c>
      <c r="U46" s="4" t="s">
        <v>43</v>
      </c>
      <c r="V46" s="4"/>
    </row>
    <row r="47" spans="3:22" hidden="1" x14ac:dyDescent="0.25">
      <c r="C47" s="4" t="s">
        <v>394</v>
      </c>
      <c r="D47" s="4" t="s">
        <v>395</v>
      </c>
      <c r="E47" s="4" t="s">
        <v>395</v>
      </c>
      <c r="F47" s="4">
        <v>6</v>
      </c>
      <c r="G47" s="4" t="s">
        <v>376</v>
      </c>
      <c r="H47" s="4" t="str">
        <f>VLOOKUP(C47,[1]MAESTRA!$I$5:$J$399,2,0)</f>
        <v>cl-apoquindo4@tiendas.oxxo.com</v>
      </c>
      <c r="I47" s="4" t="s">
        <v>46</v>
      </c>
      <c r="J47" s="4" t="s">
        <v>1031</v>
      </c>
      <c r="K47" s="4" t="s">
        <v>63</v>
      </c>
      <c r="L47" s="4" t="s">
        <v>43</v>
      </c>
      <c r="M47" s="4" t="s">
        <v>138</v>
      </c>
      <c r="N47" s="4" t="s">
        <v>40</v>
      </c>
      <c r="O47" s="4" t="s">
        <v>378</v>
      </c>
      <c r="P47" s="4" t="s">
        <v>394</v>
      </c>
      <c r="Q47" s="4" t="s">
        <v>42</v>
      </c>
      <c r="R47" s="50" t="s">
        <v>43</v>
      </c>
      <c r="S47" s="50"/>
      <c r="T47" s="50" t="s">
        <v>380</v>
      </c>
      <c r="U47" s="4" t="s">
        <v>43</v>
      </c>
      <c r="V47" s="4"/>
    </row>
    <row r="48" spans="3:22" hidden="1" x14ac:dyDescent="0.25">
      <c r="C48" s="4" t="s">
        <v>396</v>
      </c>
      <c r="D48" s="4" t="s">
        <v>397</v>
      </c>
      <c r="E48" s="4" t="s">
        <v>397</v>
      </c>
      <c r="F48" s="4">
        <v>6</v>
      </c>
      <c r="G48" s="4" t="s">
        <v>376</v>
      </c>
      <c r="H48" s="4" t="str">
        <f>VLOOKUP(C48,[1]MAESTRA!$I$5:$J$399,2,0)</f>
        <v>cl-apoquindo1@tiendas.oxxo.com</v>
      </c>
      <c r="I48" s="4" t="s">
        <v>46</v>
      </c>
      <c r="J48" s="4" t="s">
        <v>1031</v>
      </c>
      <c r="K48" s="4" t="s">
        <v>63</v>
      </c>
      <c r="L48" s="4" t="s">
        <v>43</v>
      </c>
      <c r="M48" s="4" t="s">
        <v>138</v>
      </c>
      <c r="N48" s="4" t="s">
        <v>40</v>
      </c>
      <c r="O48" s="4" t="s">
        <v>378</v>
      </c>
      <c r="P48" s="4" t="s">
        <v>396</v>
      </c>
      <c r="Q48" s="4" t="s">
        <v>42</v>
      </c>
      <c r="R48" s="50" t="s">
        <v>43</v>
      </c>
      <c r="S48" s="50"/>
      <c r="T48" s="50" t="s">
        <v>380</v>
      </c>
      <c r="U48" s="4" t="s">
        <v>43</v>
      </c>
      <c r="V48" s="4"/>
    </row>
    <row r="49" spans="3:22" hidden="1" x14ac:dyDescent="0.25">
      <c r="C49" s="4" t="s">
        <v>848</v>
      </c>
      <c r="D49" s="4" t="s">
        <v>849</v>
      </c>
      <c r="E49" s="4" t="s">
        <v>849</v>
      </c>
      <c r="F49" s="4">
        <v>8.34</v>
      </c>
      <c r="G49" s="4" t="s">
        <v>376</v>
      </c>
      <c r="H49" s="4" t="str">
        <f>VLOOKUP(C49,[1]MAESTRA!$I$5:$J$399,2,0)</f>
        <v>cl-sandamian@tiendas.oxxo.com</v>
      </c>
      <c r="I49" s="4" t="s">
        <v>46</v>
      </c>
      <c r="J49" s="4" t="s">
        <v>1030</v>
      </c>
      <c r="K49" s="4" t="s">
        <v>132</v>
      </c>
      <c r="L49" s="4" t="s">
        <v>43</v>
      </c>
      <c r="M49" s="4" t="s">
        <v>138</v>
      </c>
      <c r="N49" s="4" t="s">
        <v>40</v>
      </c>
      <c r="O49" s="4" t="s">
        <v>1035</v>
      </c>
      <c r="P49" s="4" t="s">
        <v>848</v>
      </c>
      <c r="Q49" s="4" t="s">
        <v>42</v>
      </c>
      <c r="R49" s="50" t="s">
        <v>43</v>
      </c>
      <c r="S49" s="50"/>
      <c r="T49" s="50" t="s">
        <v>847</v>
      </c>
      <c r="U49" s="4" t="s">
        <v>43</v>
      </c>
      <c r="V49" s="4"/>
    </row>
    <row r="50" spans="3:22" hidden="1" x14ac:dyDescent="0.25">
      <c r="C50" s="4" t="s">
        <v>936</v>
      </c>
      <c r="D50" s="4" t="s">
        <v>937</v>
      </c>
      <c r="E50" s="4" t="s">
        <v>938</v>
      </c>
      <c r="F50" s="4">
        <v>5.56</v>
      </c>
      <c r="G50" s="4" t="s">
        <v>376</v>
      </c>
      <c r="H50" s="4" t="str">
        <f>VLOOKUP(C50,[1]MAESTRA!$I$5:$J$399,2,0)</f>
        <v>cl-vitacurariesco@tiendas.oxxo.com</v>
      </c>
      <c r="I50" s="4" t="s">
        <v>46</v>
      </c>
      <c r="J50" s="4" t="s">
        <v>1030</v>
      </c>
      <c r="K50" s="4" t="s">
        <v>160</v>
      </c>
      <c r="L50" s="4" t="s">
        <v>43</v>
      </c>
      <c r="M50" s="4" t="s">
        <v>138</v>
      </c>
      <c r="N50" s="4" t="s">
        <v>40</v>
      </c>
      <c r="O50" s="4" t="s">
        <v>984</v>
      </c>
      <c r="P50" s="4" t="s">
        <v>936</v>
      </c>
      <c r="Q50" s="4" t="s">
        <v>42</v>
      </c>
      <c r="R50" s="72" t="s">
        <v>43</v>
      </c>
      <c r="S50" s="72"/>
      <c r="T50" s="72" t="s">
        <v>931</v>
      </c>
      <c r="U50" s="4" t="s">
        <v>43</v>
      </c>
      <c r="V50" s="4"/>
    </row>
    <row r="51" spans="3:22" hidden="1" x14ac:dyDescent="0.25">
      <c r="C51" s="4" t="s">
        <v>939</v>
      </c>
      <c r="D51" s="4" t="s">
        <v>39</v>
      </c>
      <c r="E51" s="4" t="s">
        <v>39</v>
      </c>
      <c r="F51" s="4">
        <f>6.45+0.56</f>
        <v>7.01</v>
      </c>
      <c r="G51" s="4" t="s">
        <v>376</v>
      </c>
      <c r="H51" s="4" t="str">
        <f>VLOOKUP(C51,[1]MAESTRA!$I$5:$J$399,2,0)</f>
        <v>cl-huechuraba@tiendas.oxxo.com</v>
      </c>
      <c r="I51" s="4" t="s">
        <v>46</v>
      </c>
      <c r="J51" s="4" t="s">
        <v>1030</v>
      </c>
      <c r="K51" s="4" t="s">
        <v>160</v>
      </c>
      <c r="L51" s="4" t="s">
        <v>43</v>
      </c>
      <c r="M51" s="4" t="s">
        <v>39</v>
      </c>
      <c r="N51" s="4" t="s">
        <v>40</v>
      </c>
      <c r="O51" s="4" t="s">
        <v>984</v>
      </c>
      <c r="P51" s="4" t="s">
        <v>939</v>
      </c>
      <c r="Q51" s="4" t="s">
        <v>42</v>
      </c>
      <c r="R51" s="72" t="s">
        <v>43</v>
      </c>
      <c r="S51" s="72"/>
      <c r="T51" s="72" t="s">
        <v>931</v>
      </c>
      <c r="U51" s="4" t="s">
        <v>43</v>
      </c>
      <c r="V51" s="4"/>
    </row>
    <row r="52" spans="3:22" hidden="1" x14ac:dyDescent="0.25">
      <c r="C52" s="4" t="s">
        <v>44</v>
      </c>
      <c r="D52" s="4" t="s">
        <v>45</v>
      </c>
      <c r="E52" s="4" t="s">
        <v>45</v>
      </c>
      <c r="F52" s="4" t="s">
        <v>36</v>
      </c>
      <c r="G52" s="4" t="s">
        <v>37</v>
      </c>
      <c r="H52" s="4" t="str">
        <f>VLOOKUP(C52,[1]MAESTRA!$I$5:$J$399,2,0)</f>
        <v>cl-ecuadorpurisima@tiendas.oxxo.com</v>
      </c>
      <c r="I52" s="4" t="s">
        <v>46</v>
      </c>
      <c r="J52" s="4" t="s">
        <v>1030</v>
      </c>
      <c r="K52" s="4">
        <v>0</v>
      </c>
      <c r="L52" s="4"/>
      <c r="M52" s="4" t="s">
        <v>47</v>
      </c>
      <c r="N52" s="4" t="s">
        <v>40</v>
      </c>
      <c r="O52" s="4">
        <v>0</v>
      </c>
      <c r="P52" s="4" t="s">
        <v>44</v>
      </c>
      <c r="Q52" s="4" t="s">
        <v>42</v>
      </c>
      <c r="R52" s="50" t="s">
        <v>43</v>
      </c>
      <c r="S52" s="50"/>
      <c r="T52" s="50">
        <v>0</v>
      </c>
      <c r="U52" s="4" t="s">
        <v>36</v>
      </c>
      <c r="V52" s="4"/>
    </row>
    <row r="53" spans="3:22" hidden="1" x14ac:dyDescent="0.25">
      <c r="C53" s="4" t="s">
        <v>940</v>
      </c>
      <c r="D53" s="4" t="s">
        <v>941</v>
      </c>
      <c r="E53" s="4" t="s">
        <v>941</v>
      </c>
      <c r="F53" s="4">
        <v>10</v>
      </c>
      <c r="G53" s="4" t="s">
        <v>376</v>
      </c>
      <c r="H53" s="4" t="str">
        <f>VLOOKUP(C53,[1]MAESTRA!$I$5:$J$399,2,0)</f>
        <v>cl-lasbrisas@tiendas.oxxo.com</v>
      </c>
      <c r="I53" s="4" t="s">
        <v>46</v>
      </c>
      <c r="J53" s="4" t="s">
        <v>1030</v>
      </c>
      <c r="K53" s="4" t="s">
        <v>160</v>
      </c>
      <c r="L53" s="4" t="s">
        <v>43</v>
      </c>
      <c r="M53" s="4" t="s">
        <v>371</v>
      </c>
      <c r="N53" s="4" t="s">
        <v>40</v>
      </c>
      <c r="O53" s="4" t="s">
        <v>984</v>
      </c>
      <c r="P53" s="4" t="s">
        <v>940</v>
      </c>
      <c r="Q53" s="4" t="s">
        <v>379</v>
      </c>
      <c r="R53" s="72" t="s">
        <v>43</v>
      </c>
      <c r="S53" s="72"/>
      <c r="T53" s="72" t="s">
        <v>931</v>
      </c>
      <c r="U53" s="4" t="s">
        <v>43</v>
      </c>
      <c r="V53" s="4"/>
    </row>
    <row r="54" spans="3:22" hidden="1" x14ac:dyDescent="0.25">
      <c r="C54" s="4" t="s">
        <v>850</v>
      </c>
      <c r="D54" s="4" t="s">
        <v>851</v>
      </c>
      <c r="E54" s="4" t="s">
        <v>851</v>
      </c>
      <c r="F54" s="4">
        <v>6</v>
      </c>
      <c r="G54" s="4" t="s">
        <v>376</v>
      </c>
      <c r="H54" s="4" t="str">
        <f>VLOOKUP(C54,[1]MAESTRA!$I$5:$J$399,2,0)</f>
        <v>cl-clinicalascondes@tiendas.oxxo.com</v>
      </c>
      <c r="I54" s="4" t="s">
        <v>46</v>
      </c>
      <c r="J54" s="4" t="s">
        <v>1030</v>
      </c>
      <c r="K54" s="4" t="s">
        <v>132</v>
      </c>
      <c r="L54" s="4" t="s">
        <v>43</v>
      </c>
      <c r="M54" s="4" t="s">
        <v>138</v>
      </c>
      <c r="N54" s="4" t="s">
        <v>40</v>
      </c>
      <c r="O54" s="4" t="s">
        <v>1035</v>
      </c>
      <c r="P54" s="4" t="s">
        <v>850</v>
      </c>
      <c r="Q54" s="4" t="s">
        <v>42</v>
      </c>
      <c r="R54" s="50" t="s">
        <v>43</v>
      </c>
      <c r="S54" s="50"/>
      <c r="T54" s="50" t="s">
        <v>847</v>
      </c>
      <c r="U54" s="4" t="s">
        <v>43</v>
      </c>
      <c r="V54" s="4"/>
    </row>
    <row r="55" spans="3:22" hidden="1" x14ac:dyDescent="0.25">
      <c r="C55" s="4" t="s">
        <v>474</v>
      </c>
      <c r="D55" s="4" t="s">
        <v>475</v>
      </c>
      <c r="E55" s="4" t="s">
        <v>475</v>
      </c>
      <c r="F55" s="4">
        <v>6</v>
      </c>
      <c r="G55" s="4" t="s">
        <v>376</v>
      </c>
      <c r="H55" s="4" t="str">
        <f>VLOOKUP(C55,[1]MAESTRA!$I$5:$J$399,2,0)</f>
        <v>cl-marchantpereira@tiendas.oxxo.com</v>
      </c>
      <c r="I55" s="4" t="s">
        <v>46</v>
      </c>
      <c r="J55" s="4" t="s">
        <v>1030</v>
      </c>
      <c r="K55" s="4" t="s">
        <v>466</v>
      </c>
      <c r="L55" s="4" t="s">
        <v>43</v>
      </c>
      <c r="M55" s="4" t="s">
        <v>51</v>
      </c>
      <c r="N55" s="4" t="s">
        <v>40</v>
      </c>
      <c r="O55" s="4">
        <v>0</v>
      </c>
      <c r="P55" s="4" t="s">
        <v>474</v>
      </c>
      <c r="Q55" s="4" t="s">
        <v>42</v>
      </c>
      <c r="R55" s="50" t="s">
        <v>43</v>
      </c>
      <c r="S55" s="50"/>
      <c r="T55" s="50" t="s">
        <v>467</v>
      </c>
      <c r="U55" s="4" t="s">
        <v>43</v>
      </c>
      <c r="V55" s="4"/>
    </row>
    <row r="56" spans="3:22" hidden="1" x14ac:dyDescent="0.25">
      <c r="C56" s="4" t="s">
        <v>555</v>
      </c>
      <c r="D56" s="4" t="s">
        <v>556</v>
      </c>
      <c r="E56" s="4" t="s">
        <v>556</v>
      </c>
      <c r="F56" s="4">
        <v>5</v>
      </c>
      <c r="G56" s="4" t="s">
        <v>376</v>
      </c>
      <c r="H56" s="4" t="str">
        <f>VLOOKUP(C56,[1]MAESTRA!$I$5:$J$399,2,0)</f>
        <v>cl-hendaya@tiendas.oxxo.com</v>
      </c>
      <c r="I56" s="4" t="s">
        <v>46</v>
      </c>
      <c r="J56" s="4" t="s">
        <v>1030</v>
      </c>
      <c r="K56" s="4" t="s">
        <v>331</v>
      </c>
      <c r="L56" s="4" t="s">
        <v>43</v>
      </c>
      <c r="M56" s="4" t="s">
        <v>138</v>
      </c>
      <c r="N56" s="4" t="s">
        <v>40</v>
      </c>
      <c r="O56" s="4" t="s">
        <v>984</v>
      </c>
      <c r="P56" s="4" t="s">
        <v>555</v>
      </c>
      <c r="Q56" s="4" t="s">
        <v>42</v>
      </c>
      <c r="R56" s="50" t="s">
        <v>43</v>
      </c>
      <c r="S56" s="50"/>
      <c r="T56" s="50" t="s">
        <v>557</v>
      </c>
      <c r="U56" s="4" t="s">
        <v>43</v>
      </c>
      <c r="V56" s="4"/>
    </row>
    <row r="57" spans="3:22" hidden="1" x14ac:dyDescent="0.25">
      <c r="C57" s="4" t="s">
        <v>745</v>
      </c>
      <c r="D57" s="4" t="s">
        <v>746</v>
      </c>
      <c r="E57" s="4" t="s">
        <v>746</v>
      </c>
      <c r="F57" s="4">
        <v>9</v>
      </c>
      <c r="G57" s="4" t="s">
        <v>376</v>
      </c>
      <c r="H57" s="4" t="str">
        <f>VLOOKUP(C57,[1]MAESTRA!$I$5:$J$399,2,0)</f>
        <v>cl-sotomayor@tiendas.oxxo.com</v>
      </c>
      <c r="I57" s="4" t="s">
        <v>46</v>
      </c>
      <c r="J57" s="4" t="s">
        <v>1031</v>
      </c>
      <c r="K57" s="4" t="s">
        <v>84</v>
      </c>
      <c r="L57" s="4" t="s">
        <v>440</v>
      </c>
      <c r="M57" s="4" t="s">
        <v>279</v>
      </c>
      <c r="N57" s="4" t="s">
        <v>55</v>
      </c>
      <c r="O57" s="4" t="s">
        <v>378</v>
      </c>
      <c r="P57" s="4" t="s">
        <v>745</v>
      </c>
      <c r="Q57" s="4" t="s">
        <v>379</v>
      </c>
      <c r="R57" s="50" t="s">
        <v>43</v>
      </c>
      <c r="S57" s="50"/>
      <c r="T57" s="50" t="s">
        <v>741</v>
      </c>
      <c r="U57" s="4" t="s">
        <v>43</v>
      </c>
      <c r="V57" s="4"/>
    </row>
    <row r="58" spans="3:22" hidden="1" x14ac:dyDescent="0.25">
      <c r="C58" s="4" t="s">
        <v>656</v>
      </c>
      <c r="D58" s="4" t="s">
        <v>657</v>
      </c>
      <c r="E58" s="4" t="s">
        <v>658</v>
      </c>
      <c r="F58" s="4">
        <v>5</v>
      </c>
      <c r="G58" s="4" t="s">
        <v>376</v>
      </c>
      <c r="H58" s="4" t="str">
        <f>VLOOKUP(C58,[1]MAESTRA!$I$5:$J$399,2,0)</f>
        <v>cl-bilbaomontt@tiendas.oxxo.com</v>
      </c>
      <c r="I58" s="4" t="s">
        <v>46</v>
      </c>
      <c r="J58" s="4" t="s">
        <v>1030</v>
      </c>
      <c r="K58" s="4" t="s">
        <v>248</v>
      </c>
      <c r="L58" s="4" t="s">
        <v>43</v>
      </c>
      <c r="M58" s="4" t="s">
        <v>51</v>
      </c>
      <c r="N58" s="4" t="s">
        <v>40</v>
      </c>
      <c r="O58" s="4" t="s">
        <v>984</v>
      </c>
      <c r="P58" s="4" t="s">
        <v>656</v>
      </c>
      <c r="Q58" s="4" t="s">
        <v>42</v>
      </c>
      <c r="R58" s="50" t="s">
        <v>43</v>
      </c>
      <c r="S58" s="50"/>
      <c r="T58" s="50" t="s">
        <v>51</v>
      </c>
      <c r="U58" s="4" t="s">
        <v>43</v>
      </c>
      <c r="V58" s="4"/>
    </row>
    <row r="59" spans="3:22" hidden="1" x14ac:dyDescent="0.25">
      <c r="C59" s="4" t="s">
        <v>523</v>
      </c>
      <c r="D59" s="4" t="s">
        <v>524</v>
      </c>
      <c r="E59" s="4" t="s">
        <v>524</v>
      </c>
      <c r="F59" s="4">
        <v>6</v>
      </c>
      <c r="G59" s="4" t="s">
        <v>376</v>
      </c>
      <c r="H59" s="4" t="str">
        <f>VLOOKUP(C59,[1]MAESTRA!$I$5:$J$399,2,0)</f>
        <v>cl-noruega@tiendas.oxxo.com</v>
      </c>
      <c r="I59" s="4" t="s">
        <v>46</v>
      </c>
      <c r="J59" s="4" t="s">
        <v>1030</v>
      </c>
      <c r="K59" s="4" t="s">
        <v>100</v>
      </c>
      <c r="L59" s="4" t="s">
        <v>43</v>
      </c>
      <c r="M59" s="4" t="s">
        <v>138</v>
      </c>
      <c r="N59" s="4" t="s">
        <v>40</v>
      </c>
      <c r="O59" s="4" t="s">
        <v>514</v>
      </c>
      <c r="P59" s="4" t="s">
        <v>523</v>
      </c>
      <c r="Q59" s="4" t="s">
        <v>42</v>
      </c>
      <c r="R59" s="50" t="s">
        <v>43</v>
      </c>
      <c r="S59" s="50"/>
      <c r="T59" s="50" t="s">
        <v>515</v>
      </c>
      <c r="U59" s="4" t="s">
        <v>43</v>
      </c>
      <c r="V59" s="4"/>
    </row>
    <row r="60" spans="3:22" hidden="1" x14ac:dyDescent="0.25">
      <c r="C60" s="4" t="s">
        <v>476</v>
      </c>
      <c r="D60" s="4" t="s">
        <v>477</v>
      </c>
      <c r="E60" s="4" t="s">
        <v>477</v>
      </c>
      <c r="F60" s="4">
        <v>5</v>
      </c>
      <c r="G60" s="4" t="s">
        <v>376</v>
      </c>
      <c r="H60" s="4" t="str">
        <f>VLOOKUP(C60,[1]MAESTRA!$I$5:$J$399,2,0)</f>
        <v>cl-guardiavieja@tiendas.oxxo.com</v>
      </c>
      <c r="I60" s="4" t="s">
        <v>46</v>
      </c>
      <c r="J60" s="4" t="s">
        <v>1030</v>
      </c>
      <c r="K60" s="4" t="s">
        <v>466</v>
      </c>
      <c r="L60" s="4" t="s">
        <v>43</v>
      </c>
      <c r="M60" s="4" t="s">
        <v>51</v>
      </c>
      <c r="N60" s="4" t="s">
        <v>40</v>
      </c>
      <c r="O60" s="4" t="s">
        <v>1035</v>
      </c>
      <c r="P60" s="4" t="s">
        <v>476</v>
      </c>
      <c r="Q60" s="4" t="s">
        <v>42</v>
      </c>
      <c r="R60" s="50" t="s">
        <v>43</v>
      </c>
      <c r="S60" s="50"/>
      <c r="T60" s="50" t="s">
        <v>467</v>
      </c>
      <c r="U60" s="4" t="s">
        <v>43</v>
      </c>
      <c r="V60" s="4"/>
    </row>
    <row r="61" spans="3:22" hidden="1" x14ac:dyDescent="0.25">
      <c r="C61" s="4" t="s">
        <v>659</v>
      </c>
      <c r="D61" s="4" t="s">
        <v>660</v>
      </c>
      <c r="E61" s="4" t="s">
        <v>661</v>
      </c>
      <c r="F61" s="4">
        <v>6</v>
      </c>
      <c r="G61" s="4" t="s">
        <v>376</v>
      </c>
      <c r="H61" s="4" t="str">
        <f>VLOOKUP(C61,[1]MAESTRA!$I$5:$J$399,2,0)</f>
        <v>cl-matteperez@tiendas.oxxo.com</v>
      </c>
      <c r="I61" s="4" t="s">
        <v>46</v>
      </c>
      <c r="J61" s="4" t="s">
        <v>1030</v>
      </c>
      <c r="K61" s="4" t="s">
        <v>248</v>
      </c>
      <c r="L61" s="4" t="s">
        <v>43</v>
      </c>
      <c r="M61" s="4" t="s">
        <v>51</v>
      </c>
      <c r="N61" s="4" t="s">
        <v>40</v>
      </c>
      <c r="O61" s="4" t="s">
        <v>984</v>
      </c>
      <c r="P61" s="4" t="s">
        <v>659</v>
      </c>
      <c r="Q61" s="4" t="s">
        <v>42</v>
      </c>
      <c r="R61" s="50" t="s">
        <v>43</v>
      </c>
      <c r="S61" s="50"/>
      <c r="T61" s="50" t="s">
        <v>51</v>
      </c>
      <c r="U61" s="4" t="s">
        <v>43</v>
      </c>
      <c r="V61" s="4"/>
    </row>
    <row r="62" spans="3:22" hidden="1" x14ac:dyDescent="0.25">
      <c r="C62" s="4" t="s">
        <v>644</v>
      </c>
      <c r="D62" s="4" t="s">
        <v>645</v>
      </c>
      <c r="E62" s="4" t="s">
        <v>645</v>
      </c>
      <c r="F62" s="4">
        <v>6.16</v>
      </c>
      <c r="G62" s="4" t="s">
        <v>376</v>
      </c>
      <c r="H62" s="4" t="str">
        <f>VLOOKUP(C62,[1]MAESTRA!$I$5:$J$399,2,0)</f>
        <v>cl-metrotobalaba@tiendas.oxxo.com</v>
      </c>
      <c r="I62" s="4" t="s">
        <v>81</v>
      </c>
      <c r="J62" s="4" t="s">
        <v>1030</v>
      </c>
      <c r="K62" s="4" t="s">
        <v>50</v>
      </c>
      <c r="L62" s="4" t="s">
        <v>43</v>
      </c>
      <c r="M62" s="4" t="s">
        <v>51</v>
      </c>
      <c r="N62" s="4" t="s">
        <v>40</v>
      </c>
      <c r="O62" s="4" t="s">
        <v>514</v>
      </c>
      <c r="P62" s="4" t="s">
        <v>644</v>
      </c>
      <c r="Q62" s="4" t="s">
        <v>42</v>
      </c>
      <c r="R62" s="50" t="s">
        <v>43</v>
      </c>
      <c r="S62" s="50"/>
      <c r="T62" s="50" t="s">
        <v>597</v>
      </c>
      <c r="U62" s="4" t="s">
        <v>43</v>
      </c>
      <c r="V62" s="4" t="s">
        <v>32</v>
      </c>
    </row>
    <row r="63" spans="3:22" hidden="1" x14ac:dyDescent="0.25">
      <c r="C63" s="4" t="s">
        <v>398</v>
      </c>
      <c r="D63" s="4" t="s">
        <v>399</v>
      </c>
      <c r="E63" s="4" t="s">
        <v>399</v>
      </c>
      <c r="F63" s="4">
        <v>5</v>
      </c>
      <c r="G63" s="4" t="s">
        <v>376</v>
      </c>
      <c r="H63" s="4" t="str">
        <f>VLOOKUP(C63,[1]MAESTRA!$I$5:$J$399,2,0)</f>
        <v>cl-enriquefoster@tiendas.oxxo.com</v>
      </c>
      <c r="I63" s="4" t="s">
        <v>46</v>
      </c>
      <c r="J63" s="4" t="s">
        <v>1031</v>
      </c>
      <c r="K63" s="4" t="s">
        <v>63</v>
      </c>
      <c r="L63" s="4" t="s">
        <v>43</v>
      </c>
      <c r="M63" s="4" t="s">
        <v>138</v>
      </c>
      <c r="N63" s="4" t="s">
        <v>40</v>
      </c>
      <c r="O63" s="4" t="s">
        <v>378</v>
      </c>
      <c r="P63" s="4" t="s">
        <v>398</v>
      </c>
      <c r="Q63" s="4" t="s">
        <v>42</v>
      </c>
      <c r="R63" s="50" t="s">
        <v>43</v>
      </c>
      <c r="S63" s="50"/>
      <c r="T63" s="50" t="s">
        <v>380</v>
      </c>
      <c r="U63" s="4" t="s">
        <v>43</v>
      </c>
      <c r="V63" s="4"/>
    </row>
    <row r="64" spans="3:22" hidden="1" x14ac:dyDescent="0.25">
      <c r="C64" s="4" t="s">
        <v>634</v>
      </c>
      <c r="D64" s="4" t="s">
        <v>635</v>
      </c>
      <c r="E64" s="4" t="s">
        <v>635</v>
      </c>
      <c r="F64" s="4">
        <v>6</v>
      </c>
      <c r="G64" s="4" t="s">
        <v>376</v>
      </c>
      <c r="H64" s="4" t="str">
        <f>VLOOKUP(C64,[1]MAESTRA!$I$5:$J$399,2,0)</f>
        <v>cl-metrocalycanto@tiendas.oxxo.com</v>
      </c>
      <c r="I64" s="4" t="s">
        <v>46</v>
      </c>
      <c r="J64" s="4" t="s">
        <v>1030</v>
      </c>
      <c r="K64" s="4" t="s">
        <v>50</v>
      </c>
      <c r="L64" s="4" t="s">
        <v>43</v>
      </c>
      <c r="M64" s="4" t="s">
        <v>59</v>
      </c>
      <c r="N64" s="4" t="s">
        <v>40</v>
      </c>
      <c r="O64" s="4" t="s">
        <v>514</v>
      </c>
      <c r="P64" s="4" t="s">
        <v>634</v>
      </c>
      <c r="Q64" s="4" t="s">
        <v>42</v>
      </c>
      <c r="R64" s="50" t="s">
        <v>43</v>
      </c>
      <c r="S64" s="50"/>
      <c r="T64" s="50" t="s">
        <v>597</v>
      </c>
      <c r="U64" s="4" t="s">
        <v>43</v>
      </c>
      <c r="V64" s="4"/>
    </row>
    <row r="65" spans="3:23" hidden="1" x14ac:dyDescent="0.25">
      <c r="C65" s="4" t="s">
        <v>558</v>
      </c>
      <c r="D65" s="4" t="s">
        <v>559</v>
      </c>
      <c r="E65" s="4" t="s">
        <v>560</v>
      </c>
      <c r="F65" s="4">
        <v>6</v>
      </c>
      <c r="G65" s="4" t="s">
        <v>376</v>
      </c>
      <c r="H65" s="4" t="str">
        <f>VLOOKUP(C65,[1]MAESTRA!$I$5:$J$399,2,0)</f>
        <v>cl-nuevalascondes2@tiendas.oxxo.com</v>
      </c>
      <c r="I65" s="4" t="s">
        <v>46</v>
      </c>
      <c r="J65" s="4" t="s">
        <v>1030</v>
      </c>
      <c r="K65" s="4" t="s">
        <v>331</v>
      </c>
      <c r="L65" s="4" t="s">
        <v>43</v>
      </c>
      <c r="M65" s="4" t="s">
        <v>138</v>
      </c>
      <c r="N65" s="4" t="s">
        <v>40</v>
      </c>
      <c r="O65" s="4" t="s">
        <v>984</v>
      </c>
      <c r="P65" s="4" t="s">
        <v>558</v>
      </c>
      <c r="Q65" s="4" t="s">
        <v>42</v>
      </c>
      <c r="R65" s="50" t="s">
        <v>43</v>
      </c>
      <c r="S65" s="50"/>
      <c r="T65" s="50" t="s">
        <v>557</v>
      </c>
      <c r="U65" s="4" t="s">
        <v>43</v>
      </c>
      <c r="V65" s="4"/>
    </row>
    <row r="66" spans="3:23" hidden="1" x14ac:dyDescent="0.25">
      <c r="C66" s="4" t="s">
        <v>561</v>
      </c>
      <c r="D66" s="4" t="s">
        <v>562</v>
      </c>
      <c r="E66" s="4" t="s">
        <v>563</v>
      </c>
      <c r="F66" s="4">
        <v>6</v>
      </c>
      <c r="G66" s="4" t="s">
        <v>376</v>
      </c>
      <c r="H66" s="4" t="str">
        <f>VLOOKUP(C66,[1]MAESTRA!$I$5:$J$399,2,0)</f>
        <v>cl-rosarionorte2@tiendas.oxxo.com</v>
      </c>
      <c r="I66" s="4" t="s">
        <v>46</v>
      </c>
      <c r="J66" s="4" t="s">
        <v>1030</v>
      </c>
      <c r="K66" s="4" t="s">
        <v>331</v>
      </c>
      <c r="L66" s="4" t="s">
        <v>43</v>
      </c>
      <c r="M66" s="4" t="s">
        <v>138</v>
      </c>
      <c r="N66" s="4" t="s">
        <v>40</v>
      </c>
      <c r="O66" s="4" t="s">
        <v>984</v>
      </c>
      <c r="P66" s="4" t="s">
        <v>561</v>
      </c>
      <c r="Q66" s="4" t="s">
        <v>42</v>
      </c>
      <c r="R66" s="50" t="s">
        <v>43</v>
      </c>
      <c r="S66" s="50"/>
      <c r="T66" s="50" t="s">
        <v>557</v>
      </c>
      <c r="U66" s="4" t="s">
        <v>43</v>
      </c>
      <c r="V66" s="4"/>
    </row>
    <row r="67" spans="3:23" hidden="1" x14ac:dyDescent="0.25">
      <c r="C67" s="4" t="s">
        <v>478</v>
      </c>
      <c r="D67" s="4" t="s">
        <v>479</v>
      </c>
      <c r="E67" s="4" t="s">
        <v>479</v>
      </c>
      <c r="F67" s="4">
        <v>5</v>
      </c>
      <c r="G67" s="4" t="s">
        <v>376</v>
      </c>
      <c r="H67" s="4" t="str">
        <f>VLOOKUP(C67,[1]MAESTRA!$I$5:$J$399,2,0)</f>
        <v>cl-patiobellavista@tiendas.oxxo.com</v>
      </c>
      <c r="I67" s="4" t="s">
        <v>46</v>
      </c>
      <c r="J67" s="4" t="s">
        <v>1030</v>
      </c>
      <c r="K67" s="4" t="s">
        <v>466</v>
      </c>
      <c r="L67" s="4" t="s">
        <v>43</v>
      </c>
      <c r="M67" s="4" t="s">
        <v>51</v>
      </c>
      <c r="N67" s="4" t="s">
        <v>40</v>
      </c>
      <c r="O67" s="4" t="s">
        <v>1035</v>
      </c>
      <c r="P67" s="4" t="s">
        <v>478</v>
      </c>
      <c r="Q67" s="4" t="s">
        <v>42</v>
      </c>
      <c r="R67" s="50" t="s">
        <v>43</v>
      </c>
      <c r="S67" s="50"/>
      <c r="T67" s="50" t="s">
        <v>467</v>
      </c>
      <c r="U67" s="4" t="s">
        <v>43</v>
      </c>
      <c r="V67" s="4"/>
    </row>
    <row r="68" spans="3:23" hidden="1" x14ac:dyDescent="0.25">
      <c r="C68" s="4" t="s">
        <v>852</v>
      </c>
      <c r="D68" s="4" t="s">
        <v>853</v>
      </c>
      <c r="E68" s="4" t="s">
        <v>853</v>
      </c>
      <c r="F68" s="4">
        <v>5</v>
      </c>
      <c r="G68" s="4" t="s">
        <v>376</v>
      </c>
      <c r="H68" s="4" t="str">
        <f>VLOOKUP(C68,[1]MAESTRA!$I$5:$J$399,2,0)</f>
        <v>cl-laplaza@tiendas.oxxo.com</v>
      </c>
      <c r="I68" s="4" t="s">
        <v>46</v>
      </c>
      <c r="J68" s="4" t="s">
        <v>1030</v>
      </c>
      <c r="K68" s="4" t="s">
        <v>132</v>
      </c>
      <c r="L68" s="4" t="s">
        <v>43</v>
      </c>
      <c r="M68" s="4" t="s">
        <v>138</v>
      </c>
      <c r="N68" s="4" t="s">
        <v>40</v>
      </c>
      <c r="O68" s="4" t="s">
        <v>1035</v>
      </c>
      <c r="P68" s="4" t="s">
        <v>852</v>
      </c>
      <c r="Q68" s="4" t="s">
        <v>42</v>
      </c>
      <c r="R68" s="50" t="s">
        <v>43</v>
      </c>
      <c r="S68" s="50"/>
      <c r="T68" s="50" t="s">
        <v>847</v>
      </c>
      <c r="U68" s="4" t="s">
        <v>43</v>
      </c>
      <c r="V68" s="4"/>
    </row>
    <row r="69" spans="3:23" hidden="1" x14ac:dyDescent="0.25">
      <c r="C69" s="4" t="s">
        <v>426</v>
      </c>
      <c r="D69" s="4" t="s">
        <v>427</v>
      </c>
      <c r="E69" s="4" t="s">
        <v>428</v>
      </c>
      <c r="F69" s="4">
        <v>5</v>
      </c>
      <c r="G69" s="4" t="s">
        <v>376</v>
      </c>
      <c r="H69" s="4" t="str">
        <f>VLOOKUP(C69,[1]MAESTRA!$I$5:$J$399,2,0)</f>
        <v>cl-brownnorte@tiendas.oxxo.com</v>
      </c>
      <c r="I69" s="4" t="s">
        <v>46</v>
      </c>
      <c r="J69" s="4" t="s">
        <v>1030</v>
      </c>
      <c r="K69" s="4" t="s">
        <v>94</v>
      </c>
      <c r="L69" s="4" t="s">
        <v>43</v>
      </c>
      <c r="M69" s="4" t="s">
        <v>64</v>
      </c>
      <c r="N69" s="4" t="s">
        <v>40</v>
      </c>
      <c r="O69" s="4" t="s">
        <v>1035</v>
      </c>
      <c r="P69" s="4" t="s">
        <v>426</v>
      </c>
      <c r="Q69" s="4" t="s">
        <v>42</v>
      </c>
      <c r="R69" s="50" t="s">
        <v>43</v>
      </c>
      <c r="S69" s="50"/>
      <c r="T69" s="50" t="s">
        <v>423</v>
      </c>
      <c r="U69" s="4" t="s">
        <v>43</v>
      </c>
      <c r="V69" s="4"/>
    </row>
    <row r="70" spans="3:23" hidden="1" x14ac:dyDescent="0.25">
      <c r="C70" s="4" t="s">
        <v>769</v>
      </c>
      <c r="D70" s="4" t="s">
        <v>771</v>
      </c>
      <c r="E70" s="4" t="s">
        <v>771</v>
      </c>
      <c r="F70" s="4">
        <v>5.04</v>
      </c>
      <c r="G70" s="4" t="s">
        <v>376</v>
      </c>
      <c r="H70" s="4" t="str">
        <f>VLOOKUP(C70,[1]MAESTRA!$I$5:$J$399,2,0)</f>
        <v>cl-chacabuco@tiendas.oxxo.com</v>
      </c>
      <c r="I70" s="4" t="s">
        <v>46</v>
      </c>
      <c r="J70" s="4" t="s">
        <v>1031</v>
      </c>
      <c r="K70" s="4" t="s">
        <v>89</v>
      </c>
      <c r="L70" s="4"/>
      <c r="M70" s="4" t="s">
        <v>109</v>
      </c>
      <c r="N70" s="4" t="s">
        <v>91</v>
      </c>
      <c r="O70" s="4" t="s">
        <v>378</v>
      </c>
      <c r="P70" s="4" t="s">
        <v>769</v>
      </c>
      <c r="Q70" s="4" t="s">
        <v>42</v>
      </c>
      <c r="R70" s="50" t="s">
        <v>440</v>
      </c>
      <c r="S70" s="50"/>
      <c r="T70" s="50" t="s">
        <v>772</v>
      </c>
      <c r="U70" s="4" t="s">
        <v>43</v>
      </c>
      <c r="V70" s="4"/>
    </row>
    <row r="71" spans="3:23" hidden="1" x14ac:dyDescent="0.25">
      <c r="C71" s="4" t="s">
        <v>942</v>
      </c>
      <c r="D71" s="4" t="s">
        <v>944</v>
      </c>
      <c r="E71" s="4" t="s">
        <v>944</v>
      </c>
      <c r="F71" s="4">
        <f>5.04+0.56</f>
        <v>5.6</v>
      </c>
      <c r="G71" s="4" t="s">
        <v>376</v>
      </c>
      <c r="H71" s="4" t="str">
        <f>VLOOKUP(C71,[1]MAESTRA!$I$5:$J$399,2,0)</f>
        <v>cl-chicureo@tiendas.oxxo.com</v>
      </c>
      <c r="I71" s="4" t="s">
        <v>46</v>
      </c>
      <c r="J71" s="4" t="s">
        <v>1030</v>
      </c>
      <c r="K71" s="4" t="s">
        <v>160</v>
      </c>
      <c r="L71" s="4" t="s">
        <v>43</v>
      </c>
      <c r="M71" s="4" t="s">
        <v>371</v>
      </c>
      <c r="N71" s="4" t="s">
        <v>40</v>
      </c>
      <c r="O71" s="4" t="s">
        <v>984</v>
      </c>
      <c r="P71" s="4" t="s">
        <v>942</v>
      </c>
      <c r="Q71" s="4" t="s">
        <v>42</v>
      </c>
      <c r="R71" s="72" t="s">
        <v>43</v>
      </c>
      <c r="S71" s="72"/>
      <c r="T71" s="72" t="s">
        <v>931</v>
      </c>
      <c r="U71" s="4" t="s">
        <v>43</v>
      </c>
      <c r="V71" s="4" t="s">
        <v>32</v>
      </c>
    </row>
    <row r="72" spans="3:23" hidden="1" x14ac:dyDescent="0.25">
      <c r="C72" s="4" t="s">
        <v>525</v>
      </c>
      <c r="D72" s="4" t="s">
        <v>526</v>
      </c>
      <c r="E72" s="4" t="s">
        <v>527</v>
      </c>
      <c r="F72" s="4">
        <f>5.9+0.68</f>
        <v>6.58</v>
      </c>
      <c r="G72" s="4" t="s">
        <v>376</v>
      </c>
      <c r="H72" s="4" t="str">
        <f>VLOOKUP(C72,[1]MAESTRA!$I$5:$J$399,2,0)</f>
        <v>cl-chesterton2@tiendas.oxxo.com</v>
      </c>
      <c r="I72" s="4" t="s">
        <v>46</v>
      </c>
      <c r="J72" s="4" t="s">
        <v>1030</v>
      </c>
      <c r="K72" s="4" t="s">
        <v>100</v>
      </c>
      <c r="L72" s="4" t="s">
        <v>43</v>
      </c>
      <c r="M72" s="4" t="s">
        <v>138</v>
      </c>
      <c r="N72" s="4" t="s">
        <v>40</v>
      </c>
      <c r="O72" s="4" t="s">
        <v>514</v>
      </c>
      <c r="P72" s="4" t="s">
        <v>525</v>
      </c>
      <c r="Q72" s="4" t="s">
        <v>42</v>
      </c>
      <c r="R72" s="50" t="s">
        <v>440</v>
      </c>
      <c r="S72" s="50"/>
      <c r="T72" s="50" t="s">
        <v>515</v>
      </c>
      <c r="U72" s="4" t="s">
        <v>43</v>
      </c>
      <c r="V72" s="4"/>
    </row>
    <row r="73" spans="3:23" hidden="1" x14ac:dyDescent="0.25">
      <c r="C73" s="4" t="s">
        <v>48</v>
      </c>
      <c r="D73" s="4" t="s">
        <v>49</v>
      </c>
      <c r="E73" s="4" t="s">
        <v>49</v>
      </c>
      <c r="F73" s="4" t="s">
        <v>36</v>
      </c>
      <c r="G73" s="4" t="s">
        <v>37</v>
      </c>
      <c r="H73" s="4" t="str">
        <f>VLOOKUP(C73,[1]MAESTRA!$I$5:$J$399,2,0)</f>
        <v>okm-diegodealmagro@tiendas.oxxo.com</v>
      </c>
      <c r="I73" s="4" t="s">
        <v>38</v>
      </c>
      <c r="J73" s="4" t="s">
        <v>1030</v>
      </c>
      <c r="K73" s="4" t="s">
        <v>50</v>
      </c>
      <c r="L73" s="4"/>
      <c r="M73" s="4" t="s">
        <v>51</v>
      </c>
      <c r="N73" s="4" t="s">
        <v>40</v>
      </c>
      <c r="O73" s="4">
        <v>0</v>
      </c>
      <c r="P73" s="4" t="s">
        <v>48</v>
      </c>
      <c r="Q73" s="4" t="s">
        <v>42</v>
      </c>
      <c r="R73" s="50" t="s">
        <v>43</v>
      </c>
      <c r="S73" s="50"/>
      <c r="T73" s="50">
        <v>0</v>
      </c>
      <c r="U73" s="4" t="s">
        <v>36</v>
      </c>
      <c r="V73" s="4"/>
    </row>
    <row r="74" spans="3:23" hidden="1" x14ac:dyDescent="0.25">
      <c r="C74" s="4" t="s">
        <v>52</v>
      </c>
      <c r="D74" s="4" t="s">
        <v>53</v>
      </c>
      <c r="E74" s="4" t="s">
        <v>53</v>
      </c>
      <c r="F74" s="4" t="s">
        <v>36</v>
      </c>
      <c r="G74" s="4" t="s">
        <v>987</v>
      </c>
      <c r="H74" s="4" t="str">
        <f>VLOOKUP(C74,[1]MAESTRA!$I$5:$J$399,2,0)</f>
        <v>okm-diegoportales@tiendas.oxxo.com</v>
      </c>
      <c r="I74" s="4" t="s">
        <v>38</v>
      </c>
      <c r="J74" s="4" t="s">
        <v>1030</v>
      </c>
      <c r="K74" s="4">
        <v>0</v>
      </c>
      <c r="L74" s="4"/>
      <c r="M74" s="4" t="s">
        <v>54</v>
      </c>
      <c r="N74" s="4" t="s">
        <v>55</v>
      </c>
      <c r="O74" s="4">
        <v>0</v>
      </c>
      <c r="P74" s="4" t="s">
        <v>52</v>
      </c>
      <c r="Q74" s="4" t="s">
        <v>42</v>
      </c>
      <c r="R74" s="50" t="s">
        <v>43</v>
      </c>
      <c r="S74" s="50"/>
      <c r="T74" s="50">
        <v>0</v>
      </c>
      <c r="U74" s="4" t="s">
        <v>36</v>
      </c>
      <c r="V74" s="4"/>
    </row>
    <row r="75" spans="3:23" hidden="1" x14ac:dyDescent="0.25">
      <c r="C75" s="4" t="s">
        <v>528</v>
      </c>
      <c r="D75" s="4" t="s">
        <v>530</v>
      </c>
      <c r="E75" s="4" t="s">
        <v>530</v>
      </c>
      <c r="F75" s="4">
        <v>6.28</v>
      </c>
      <c r="G75" s="4" t="s">
        <v>376</v>
      </c>
      <c r="H75" s="4" t="str">
        <f>VLOOKUP(C75,[1]MAESTRA!$I$5:$J$399,2,0)</f>
        <v>cl-eliecerparadatob@tiendas.oxxo.com</v>
      </c>
      <c r="I75" s="4" t="s">
        <v>46</v>
      </c>
      <c r="J75" s="4" t="s">
        <v>1030</v>
      </c>
      <c r="K75" s="4" t="s">
        <v>100</v>
      </c>
      <c r="L75" s="4" t="s">
        <v>43</v>
      </c>
      <c r="M75" s="4" t="s">
        <v>64</v>
      </c>
      <c r="N75" s="4" t="s">
        <v>40</v>
      </c>
      <c r="O75" s="4" t="s">
        <v>514</v>
      </c>
      <c r="P75" s="4" t="s">
        <v>528</v>
      </c>
      <c r="Q75" s="4" t="s">
        <v>42</v>
      </c>
      <c r="R75" s="50" t="s">
        <v>440</v>
      </c>
      <c r="S75" s="50"/>
      <c r="T75" s="50" t="s">
        <v>515</v>
      </c>
      <c r="U75" s="4" t="s">
        <v>43</v>
      </c>
      <c r="V75" s="4" t="s">
        <v>32</v>
      </c>
    </row>
    <row r="76" spans="3:23" hidden="1" x14ac:dyDescent="0.25">
      <c r="C76" s="4" t="s">
        <v>854</v>
      </c>
      <c r="D76" s="4" t="s">
        <v>982</v>
      </c>
      <c r="E76" s="4" t="s">
        <v>990</v>
      </c>
      <c r="F76" s="4">
        <v>6.45</v>
      </c>
      <c r="G76" s="4" t="s">
        <v>376</v>
      </c>
      <c r="H76" s="4" t="str">
        <f>VLOOKUP(C76,[1]MAESTRA!$I$5:$J$399,2,0)</f>
        <v>cl-elrodeo@tiendas.oxxo.com</v>
      </c>
      <c r="I76" s="4" t="s">
        <v>46</v>
      </c>
      <c r="J76" s="4" t="s">
        <v>1030</v>
      </c>
      <c r="K76" s="4" t="s">
        <v>132</v>
      </c>
      <c r="L76" s="4" t="s">
        <v>43</v>
      </c>
      <c r="M76" s="4" t="s">
        <v>856</v>
      </c>
      <c r="N76" s="4" t="s">
        <v>40</v>
      </c>
      <c r="O76" s="4" t="s">
        <v>1035</v>
      </c>
      <c r="P76" s="4" t="s">
        <v>854</v>
      </c>
      <c r="Q76" s="4" t="s">
        <v>42</v>
      </c>
      <c r="R76" s="50" t="s">
        <v>440</v>
      </c>
      <c r="S76" s="50"/>
      <c r="T76" s="50" t="s">
        <v>847</v>
      </c>
      <c r="U76" s="4" t="s">
        <v>43</v>
      </c>
      <c r="V76" s="4"/>
    </row>
    <row r="77" spans="3:23" hidden="1" x14ac:dyDescent="0.25">
      <c r="C77" s="4" t="s">
        <v>531</v>
      </c>
      <c r="D77" s="4" t="s">
        <v>533</v>
      </c>
      <c r="E77" s="4" t="s">
        <v>991</v>
      </c>
      <c r="F77" s="4">
        <v>5.45</v>
      </c>
      <c r="G77" s="4" t="s">
        <v>376</v>
      </c>
      <c r="H77" s="4" t="str">
        <f>VLOOKUP(C77,[1]MAESTRA!$I$5:$J$399,2,0)</f>
        <v>cl-hernandodemagallanes@tiendas.oxxo.com</v>
      </c>
      <c r="I77" s="4" t="s">
        <v>46</v>
      </c>
      <c r="J77" s="4" t="s">
        <v>1030</v>
      </c>
      <c r="K77" s="4" t="s">
        <v>100</v>
      </c>
      <c r="L77" s="4" t="s">
        <v>43</v>
      </c>
      <c r="M77" s="4" t="s">
        <v>138</v>
      </c>
      <c r="N77" s="4" t="s">
        <v>40</v>
      </c>
      <c r="O77" s="4" t="s">
        <v>514</v>
      </c>
      <c r="P77" s="4" t="s">
        <v>531</v>
      </c>
      <c r="Q77" s="4" t="s">
        <v>42</v>
      </c>
      <c r="R77" s="50" t="s">
        <v>440</v>
      </c>
      <c r="S77" s="50"/>
      <c r="T77" s="50" t="s">
        <v>515</v>
      </c>
      <c r="U77" s="4" t="s">
        <v>43</v>
      </c>
      <c r="V77" s="4"/>
    </row>
    <row r="78" spans="3:23" hidden="1" x14ac:dyDescent="0.25">
      <c r="C78" s="4" t="s">
        <v>945</v>
      </c>
      <c r="D78" s="4" t="s">
        <v>946</v>
      </c>
      <c r="E78" s="4" t="s">
        <v>947</v>
      </c>
      <c r="F78" s="75">
        <v>5.9</v>
      </c>
      <c r="G78" s="4" t="s">
        <v>376</v>
      </c>
      <c r="H78" s="4" t="str">
        <f>VLOOKUP(C78,[1]MAESTRA!$I$5:$J$399,2,0)</f>
        <v>cl-losingleses@tiendas.oxxo.com</v>
      </c>
      <c r="I78" s="4" t="s">
        <v>46</v>
      </c>
      <c r="J78" s="4" t="s">
        <v>1030</v>
      </c>
      <c r="K78" s="4" t="s">
        <v>160</v>
      </c>
      <c r="L78" s="4" t="s">
        <v>43</v>
      </c>
      <c r="M78" s="4" t="s">
        <v>371</v>
      </c>
      <c r="N78" s="4" t="s">
        <v>40</v>
      </c>
      <c r="O78" s="4" t="s">
        <v>984</v>
      </c>
      <c r="P78" s="4" t="s">
        <v>945</v>
      </c>
      <c r="Q78" s="4" t="s">
        <v>42</v>
      </c>
      <c r="R78" s="50" t="s">
        <v>440</v>
      </c>
      <c r="S78" s="50"/>
      <c r="T78" s="50" t="s">
        <v>931</v>
      </c>
      <c r="U78" s="4" t="s">
        <v>43</v>
      </c>
      <c r="V78" s="4"/>
      <c r="W78" s="4" t="s">
        <v>1037</v>
      </c>
    </row>
    <row r="79" spans="3:23" hidden="1" x14ac:dyDescent="0.25">
      <c r="C79" s="4" t="s">
        <v>773</v>
      </c>
      <c r="D79" s="4" t="s">
        <v>775</v>
      </c>
      <c r="E79" s="4" t="s">
        <v>775</v>
      </c>
      <c r="F79" s="4">
        <v>5.04</v>
      </c>
      <c r="G79" s="4" t="s">
        <v>376</v>
      </c>
      <c r="H79" s="4" t="str">
        <f>VLOOKUP(C79,[1]MAESTRA!$I$5:$J$399,2,0)</f>
        <v>cl-acacios@tiendas.oxxo.com</v>
      </c>
      <c r="I79" s="4" t="s">
        <v>46</v>
      </c>
      <c r="J79" s="4" t="s">
        <v>1031</v>
      </c>
      <c r="K79" s="4" t="s">
        <v>89</v>
      </c>
      <c r="L79" s="4" t="s">
        <v>43</v>
      </c>
      <c r="M79" s="4" t="s">
        <v>776</v>
      </c>
      <c r="N79" s="4" t="s">
        <v>91</v>
      </c>
      <c r="O79" s="4" t="s">
        <v>378</v>
      </c>
      <c r="P79" s="4" t="s">
        <v>773</v>
      </c>
      <c r="Q79" s="4" t="s">
        <v>42</v>
      </c>
      <c r="R79" s="50" t="s">
        <v>440</v>
      </c>
      <c r="S79" s="50"/>
      <c r="T79" s="50" t="s">
        <v>772</v>
      </c>
      <c r="U79" s="4" t="s">
        <v>43</v>
      </c>
      <c r="V79" s="4" t="s">
        <v>32</v>
      </c>
    </row>
    <row r="80" spans="3:23" hidden="1" x14ac:dyDescent="0.25">
      <c r="C80" s="4" t="s">
        <v>662</v>
      </c>
      <c r="D80" s="4" t="s">
        <v>664</v>
      </c>
      <c r="E80" s="4" t="s">
        <v>992</v>
      </c>
      <c r="F80" s="4">
        <v>5.6</v>
      </c>
      <c r="G80" s="4" t="s">
        <v>376</v>
      </c>
      <c r="H80" s="4" t="str">
        <f>VLOOKUP(C80,[1]MAESTRA!$I$5:$J$399,2,0)</f>
        <v>cl-suecia-lota@tiendas.oxxo.com</v>
      </c>
      <c r="I80" s="4" t="s">
        <v>46</v>
      </c>
      <c r="J80" s="4" t="s">
        <v>1030</v>
      </c>
      <c r="K80" s="4" t="s">
        <v>248</v>
      </c>
      <c r="L80" s="4" t="s">
        <v>43</v>
      </c>
      <c r="M80" s="4" t="s">
        <v>51</v>
      </c>
      <c r="N80" s="4" t="s">
        <v>40</v>
      </c>
      <c r="O80" s="4" t="s">
        <v>984</v>
      </c>
      <c r="P80" s="4" t="s">
        <v>662</v>
      </c>
      <c r="Q80" s="4" t="s">
        <v>42</v>
      </c>
      <c r="R80" s="50" t="s">
        <v>43</v>
      </c>
      <c r="S80" s="50"/>
      <c r="T80" s="50" t="s">
        <v>51</v>
      </c>
      <c r="U80" s="4" t="s">
        <v>43</v>
      </c>
      <c r="V80" s="4" t="s">
        <v>32</v>
      </c>
    </row>
    <row r="81" spans="3:23" hidden="1" x14ac:dyDescent="0.25">
      <c r="C81" s="4" t="s">
        <v>56</v>
      </c>
      <c r="D81" s="4" t="s">
        <v>57</v>
      </c>
      <c r="E81" s="4" t="s">
        <v>57</v>
      </c>
      <c r="F81" s="4" t="s">
        <v>36</v>
      </c>
      <c r="G81" s="4" t="s">
        <v>37</v>
      </c>
      <c r="H81" s="4" t="str">
        <f>VLOOKUP(C81,[1]MAESTRA!$I$5:$J$399,2,0)</f>
        <v>okm-morande@tiendas.oxxo.com</v>
      </c>
      <c r="I81" s="4" t="s">
        <v>38</v>
      </c>
      <c r="J81" s="4" t="s">
        <v>1030</v>
      </c>
      <c r="K81" s="4" t="s">
        <v>58</v>
      </c>
      <c r="L81" s="4"/>
      <c r="M81" s="4" t="s">
        <v>59</v>
      </c>
      <c r="N81" s="4" t="s">
        <v>40</v>
      </c>
      <c r="O81" s="4">
        <v>0</v>
      </c>
      <c r="P81" s="4" t="s">
        <v>56</v>
      </c>
      <c r="Q81" s="4" t="s">
        <v>42</v>
      </c>
      <c r="R81" s="50" t="s">
        <v>43</v>
      </c>
      <c r="S81" s="50"/>
      <c r="T81" s="50">
        <v>0</v>
      </c>
      <c r="U81" s="4" t="s">
        <v>36</v>
      </c>
      <c r="V81" s="4"/>
    </row>
    <row r="82" spans="3:23" hidden="1" x14ac:dyDescent="0.25">
      <c r="C82" s="4" t="s">
        <v>534</v>
      </c>
      <c r="D82" s="4" t="s">
        <v>535</v>
      </c>
      <c r="E82" s="4" t="s">
        <v>536</v>
      </c>
      <c r="F82" s="4">
        <v>5.45</v>
      </c>
      <c r="G82" s="4" t="s">
        <v>376</v>
      </c>
      <c r="H82" s="4" t="str">
        <f>VLOOKUP(C82,[1]MAESTRA!$I$5:$J$399,2,0)</f>
        <v>cl-martindezamora@tiendas.oxxo.com</v>
      </c>
      <c r="I82" s="4" t="s">
        <v>46</v>
      </c>
      <c r="J82" s="4" t="s">
        <v>1030</v>
      </c>
      <c r="K82" s="4" t="s">
        <v>100</v>
      </c>
      <c r="L82" s="4" t="s">
        <v>43</v>
      </c>
      <c r="M82" s="4" t="s">
        <v>138</v>
      </c>
      <c r="N82" s="4" t="s">
        <v>40</v>
      </c>
      <c r="O82" s="4" t="s">
        <v>514</v>
      </c>
      <c r="P82" s="4" t="s">
        <v>534</v>
      </c>
      <c r="Q82" s="4" t="s">
        <v>42</v>
      </c>
      <c r="R82" s="50" t="s">
        <v>43</v>
      </c>
      <c r="S82" s="50"/>
      <c r="T82" s="50" t="s">
        <v>515</v>
      </c>
      <c r="U82" s="4" t="s">
        <v>43</v>
      </c>
      <c r="V82" s="4"/>
    </row>
    <row r="83" spans="3:23" hidden="1" x14ac:dyDescent="0.25">
      <c r="C83" s="4" t="s">
        <v>636</v>
      </c>
      <c r="D83" s="4" t="s">
        <v>637</v>
      </c>
      <c r="E83" s="4" t="s">
        <v>638</v>
      </c>
      <c r="F83" s="4">
        <v>6</v>
      </c>
      <c r="G83" s="4" t="s">
        <v>376</v>
      </c>
      <c r="H83" s="4" t="str">
        <f>VLOOKUP(C83,[1]MAESTRA!$I$5:$J$399,2,0)</f>
        <v>okm-metroplazamaipu@tiendas.oxxo.com</v>
      </c>
      <c r="I83" s="4" t="s">
        <v>46</v>
      </c>
      <c r="J83" s="4" t="s">
        <v>1030</v>
      </c>
      <c r="K83" s="4" t="s">
        <v>50</v>
      </c>
      <c r="L83" s="4" t="s">
        <v>43</v>
      </c>
      <c r="M83" s="4" t="s">
        <v>315</v>
      </c>
      <c r="N83" s="4" t="s">
        <v>40</v>
      </c>
      <c r="O83" s="4" t="s">
        <v>514</v>
      </c>
      <c r="P83" s="4" t="s">
        <v>636</v>
      </c>
      <c r="Q83" s="4" t="s">
        <v>42</v>
      </c>
      <c r="R83" s="50" t="s">
        <v>43</v>
      </c>
      <c r="S83" s="50"/>
      <c r="T83" s="50" t="s">
        <v>597</v>
      </c>
      <c r="U83" s="4" t="s">
        <v>43</v>
      </c>
      <c r="V83" s="4"/>
    </row>
    <row r="84" spans="3:23" hidden="1" x14ac:dyDescent="0.25">
      <c r="C84" s="4" t="s">
        <v>857</v>
      </c>
      <c r="D84" s="4" t="s">
        <v>859</v>
      </c>
      <c r="E84" s="4" t="s">
        <v>993</v>
      </c>
      <c r="F84" s="4">
        <v>6.9</v>
      </c>
      <c r="G84" s="4" t="s">
        <v>376</v>
      </c>
      <c r="H84" s="4" t="str">
        <f>VLOOKUP(C84,[1]MAESTRA!$I$5:$J$399,2,0)</f>
        <v>cl-quinchamali@tiendas.oxxo.com</v>
      </c>
      <c r="I84" s="4" t="s">
        <v>46</v>
      </c>
      <c r="J84" s="4" t="s">
        <v>1030</v>
      </c>
      <c r="K84" s="4" t="s">
        <v>132</v>
      </c>
      <c r="L84" s="4" t="s">
        <v>43</v>
      </c>
      <c r="M84" s="4" t="s">
        <v>138</v>
      </c>
      <c r="N84" s="4" t="s">
        <v>40</v>
      </c>
      <c r="O84" s="4" t="s">
        <v>1035</v>
      </c>
      <c r="P84" s="4" t="s">
        <v>857</v>
      </c>
      <c r="Q84" s="4" t="s">
        <v>42</v>
      </c>
      <c r="R84" s="50" t="s">
        <v>43</v>
      </c>
      <c r="S84" s="50"/>
      <c r="T84" s="50" t="s">
        <v>847</v>
      </c>
      <c r="U84" s="4" t="s">
        <v>43</v>
      </c>
      <c r="V84" s="4"/>
    </row>
    <row r="85" spans="3:23" hidden="1" x14ac:dyDescent="0.25">
      <c r="C85" s="4" t="s">
        <v>747</v>
      </c>
      <c r="D85" s="4" t="s">
        <v>994</v>
      </c>
      <c r="E85" s="4" t="s">
        <v>749</v>
      </c>
      <c r="F85" s="4">
        <v>6.9</v>
      </c>
      <c r="G85" s="4" t="s">
        <v>376</v>
      </c>
      <c r="H85" s="4" t="str">
        <f>VLOOKUP(C85,[1]MAESTRA!$I$5:$J$399,2,0)</f>
        <v>cl-recreo@tiendas.oxxo.com</v>
      </c>
      <c r="I85" s="4" t="s">
        <v>46</v>
      </c>
      <c r="J85" s="4" t="s">
        <v>1031</v>
      </c>
      <c r="K85" s="4" t="s">
        <v>84</v>
      </c>
      <c r="L85" s="4" t="s">
        <v>440</v>
      </c>
      <c r="M85" s="4" t="s">
        <v>54</v>
      </c>
      <c r="N85" s="4" t="s">
        <v>55</v>
      </c>
      <c r="O85" s="4" t="s">
        <v>378</v>
      </c>
      <c r="P85" s="4" t="s">
        <v>747</v>
      </c>
      <c r="Q85" s="4" t="s">
        <v>42</v>
      </c>
      <c r="R85" s="50" t="s">
        <v>43</v>
      </c>
      <c r="S85" s="50"/>
      <c r="T85" s="50" t="s">
        <v>741</v>
      </c>
      <c r="U85" s="4" t="s">
        <v>43</v>
      </c>
      <c r="V85" s="4"/>
    </row>
    <row r="86" spans="3:23" hidden="1" x14ac:dyDescent="0.25">
      <c r="C86" s="4" t="s">
        <v>564</v>
      </c>
      <c r="D86" s="4" t="s">
        <v>565</v>
      </c>
      <c r="E86" s="4" t="s">
        <v>566</v>
      </c>
      <c r="F86" s="4">
        <v>5.9</v>
      </c>
      <c r="G86" s="4" t="s">
        <v>1032</v>
      </c>
      <c r="H86" s="4" t="str">
        <f>VLOOKUP(C86,[1]MAESTRA!$I$5:$J$399,2,0)</f>
        <v>cl-riesco2@tiendas.oxxo.com</v>
      </c>
      <c r="I86" s="4" t="s">
        <v>46</v>
      </c>
      <c r="J86" s="4" t="s">
        <v>1030</v>
      </c>
      <c r="K86" s="4" t="s">
        <v>331</v>
      </c>
      <c r="L86" s="4"/>
      <c r="M86" s="4" t="s">
        <v>138</v>
      </c>
      <c r="N86" s="4" t="s">
        <v>40</v>
      </c>
      <c r="O86" s="4" t="s">
        <v>984</v>
      </c>
      <c r="P86" s="4" t="s">
        <v>564</v>
      </c>
      <c r="Q86" s="4" t="s">
        <v>42</v>
      </c>
      <c r="R86" s="50" t="s">
        <v>440</v>
      </c>
      <c r="S86" s="50"/>
      <c r="T86" s="50" t="s">
        <v>557</v>
      </c>
      <c r="U86" s="4" t="s">
        <v>43</v>
      </c>
      <c r="V86" s="4"/>
    </row>
    <row r="87" spans="3:23" hidden="1" x14ac:dyDescent="0.25">
      <c r="C87" s="4" t="s">
        <v>709</v>
      </c>
      <c r="D87" s="4" t="s">
        <v>710</v>
      </c>
      <c r="E87" s="4" t="s">
        <v>711</v>
      </c>
      <c r="F87" s="4">
        <v>8</v>
      </c>
      <c r="G87" s="4" t="s">
        <v>376</v>
      </c>
      <c r="H87" s="4" t="str">
        <f>VLOOKUP(C87,[1]MAESTRA!$I$5:$J$399,2,0)</f>
        <v>cl-renaca@tiendas.oxxo.com</v>
      </c>
      <c r="I87" s="4" t="s">
        <v>46</v>
      </c>
      <c r="J87" s="4" t="s">
        <v>1031</v>
      </c>
      <c r="K87" s="4" t="s">
        <v>84</v>
      </c>
      <c r="L87" s="4" t="s">
        <v>440</v>
      </c>
      <c r="M87" s="4" t="s">
        <v>54</v>
      </c>
      <c r="N87" s="4" t="s">
        <v>55</v>
      </c>
      <c r="O87" s="4" t="s">
        <v>378</v>
      </c>
      <c r="P87" s="4" t="s">
        <v>709</v>
      </c>
      <c r="Q87" s="4" t="s">
        <v>379</v>
      </c>
      <c r="R87" s="50" t="s">
        <v>440</v>
      </c>
      <c r="S87" s="50"/>
      <c r="T87" s="50" t="s">
        <v>702</v>
      </c>
      <c r="U87" s="4" t="s">
        <v>43</v>
      </c>
      <c r="V87" s="4"/>
    </row>
    <row r="88" spans="3:23" hidden="1" x14ac:dyDescent="0.25">
      <c r="C88" s="4" t="s">
        <v>60</v>
      </c>
      <c r="D88" s="4" t="s">
        <v>61</v>
      </c>
      <c r="E88" s="4" t="s">
        <v>62</v>
      </c>
      <c r="F88" s="4" t="s">
        <v>36</v>
      </c>
      <c r="G88" s="4" t="s">
        <v>37</v>
      </c>
      <c r="H88" s="4" t="str">
        <f>VLOOKUP(C88,[1]MAESTRA!$I$5:$J$399,2,0)</f>
        <v>cl-simonbolivar2@tiendas.oxxo.com</v>
      </c>
      <c r="I88" s="4" t="s">
        <v>38</v>
      </c>
      <c r="J88" s="4" t="s">
        <v>1030</v>
      </c>
      <c r="K88" s="4" t="s">
        <v>63</v>
      </c>
      <c r="L88" s="4"/>
      <c r="M88" s="4" t="s">
        <v>64</v>
      </c>
      <c r="N88" s="4" t="s">
        <v>40</v>
      </c>
      <c r="O88" s="4">
        <v>0</v>
      </c>
      <c r="P88" s="4" t="s">
        <v>60</v>
      </c>
      <c r="Q88" s="4" t="s">
        <v>42</v>
      </c>
      <c r="R88" s="50" t="s">
        <v>43</v>
      </c>
      <c r="S88" s="50"/>
      <c r="T88" s="50">
        <v>0</v>
      </c>
      <c r="U88" s="4" t="s">
        <v>36</v>
      </c>
      <c r="V88" s="4"/>
    </row>
    <row r="89" spans="3:23" hidden="1" x14ac:dyDescent="0.25">
      <c r="C89" s="4" t="s">
        <v>861</v>
      </c>
      <c r="D89" s="4" t="s">
        <v>983</v>
      </c>
      <c r="E89" s="4" t="s">
        <v>995</v>
      </c>
      <c r="F89" s="4">
        <v>7.9</v>
      </c>
      <c r="G89" s="4" t="s">
        <v>376</v>
      </c>
      <c r="H89" s="4" t="str">
        <f>VLOOKUP(C89,[1]MAESTRA!$I$5:$J$399,2,0)</f>
        <v>cl-santablanca@tiendas.oxxo.com</v>
      </c>
      <c r="I89" s="4" t="s">
        <v>46</v>
      </c>
      <c r="J89" s="4" t="s">
        <v>1030</v>
      </c>
      <c r="K89" s="4" t="s">
        <v>132</v>
      </c>
      <c r="L89" s="4" t="s">
        <v>43</v>
      </c>
      <c r="M89" s="4" t="s">
        <v>856</v>
      </c>
      <c r="N89" s="4" t="s">
        <v>40</v>
      </c>
      <c r="O89" s="4" t="s">
        <v>1035</v>
      </c>
      <c r="P89" s="4" t="s">
        <v>861</v>
      </c>
      <c r="Q89" s="4" t="s">
        <v>379</v>
      </c>
      <c r="R89" s="50" t="s">
        <v>440</v>
      </c>
      <c r="S89" s="50"/>
      <c r="T89" s="50" t="s">
        <v>847</v>
      </c>
      <c r="U89" s="4" t="s">
        <v>43</v>
      </c>
      <c r="V89" s="4"/>
    </row>
    <row r="90" spans="3:23" hidden="1" x14ac:dyDescent="0.25">
      <c r="C90" s="4" t="s">
        <v>616</v>
      </c>
      <c r="D90" s="4" t="s">
        <v>617</v>
      </c>
      <c r="E90" s="4" t="s">
        <v>617</v>
      </c>
      <c r="F90" s="4">
        <v>5.45</v>
      </c>
      <c r="G90" s="4" t="s">
        <v>376</v>
      </c>
      <c r="H90" s="4" t="str">
        <f>VLOOKUP(C90,[1]MAESTRA!$I$5:$J$399,2,0)</f>
        <v>okm-subcentro@tiendas.oxxo.com</v>
      </c>
      <c r="I90" s="4" t="s">
        <v>46</v>
      </c>
      <c r="J90" s="4" t="s">
        <v>1030</v>
      </c>
      <c r="K90" s="4" t="s">
        <v>50</v>
      </c>
      <c r="L90" s="4" t="s">
        <v>43</v>
      </c>
      <c r="M90" s="4" t="s">
        <v>138</v>
      </c>
      <c r="N90" s="4" t="s">
        <v>40</v>
      </c>
      <c r="O90" s="4" t="s">
        <v>514</v>
      </c>
      <c r="P90" s="4" t="s">
        <v>616</v>
      </c>
      <c r="Q90" s="4" t="s">
        <v>42</v>
      </c>
      <c r="R90" s="50" t="s">
        <v>440</v>
      </c>
      <c r="S90" s="50"/>
      <c r="T90" s="50" t="s">
        <v>597</v>
      </c>
      <c r="U90" s="4" t="s">
        <v>43</v>
      </c>
      <c r="V90" s="4"/>
    </row>
    <row r="91" spans="3:23" hidden="1" x14ac:dyDescent="0.25">
      <c r="C91" s="4" t="s">
        <v>891</v>
      </c>
      <c r="D91" s="4" t="s">
        <v>892</v>
      </c>
      <c r="E91" s="4" t="s">
        <v>893</v>
      </c>
      <c r="F91" s="4">
        <v>5</v>
      </c>
      <c r="G91" s="4" t="s">
        <v>376</v>
      </c>
      <c r="H91" s="4" t="str">
        <f>VLOOKUP(C91,[1]MAESTRA!$I$5:$J$399,2,0)</f>
        <v>cl-terminalalameda@tiendas.oxxo.com</v>
      </c>
      <c r="I91" s="4" t="s">
        <v>46</v>
      </c>
      <c r="J91" s="4" t="s">
        <v>1030</v>
      </c>
      <c r="K91" s="4" t="s">
        <v>73</v>
      </c>
      <c r="L91" s="4" t="s">
        <v>43</v>
      </c>
      <c r="M91" s="4" t="s">
        <v>47</v>
      </c>
      <c r="N91" s="4" t="s">
        <v>40</v>
      </c>
      <c r="O91" s="4" t="s">
        <v>514</v>
      </c>
      <c r="P91" s="4" t="s">
        <v>891</v>
      </c>
      <c r="Q91" s="4" t="s">
        <v>42</v>
      </c>
      <c r="R91" s="50" t="s">
        <v>43</v>
      </c>
      <c r="S91" s="50"/>
      <c r="T91" s="50" t="s">
        <v>886</v>
      </c>
      <c r="U91" s="4" t="s">
        <v>43</v>
      </c>
      <c r="V91" s="4"/>
    </row>
    <row r="92" spans="3:23" hidden="1" x14ac:dyDescent="0.25">
      <c r="C92" s="4" t="s">
        <v>65</v>
      </c>
      <c r="D92" s="4" t="s">
        <v>66</v>
      </c>
      <c r="E92" s="4" t="s">
        <v>66</v>
      </c>
      <c r="F92" s="4" t="s">
        <v>36</v>
      </c>
      <c r="G92" s="4" t="s">
        <v>37</v>
      </c>
      <c r="H92" s="4" t="str">
        <f>VLOOKUP(C92,[1]MAESTRA!$I$5:$J$399,2,0)</f>
        <v>okm-toesca@tiendas.oxxo.com</v>
      </c>
      <c r="I92" s="4" t="s">
        <v>38</v>
      </c>
      <c r="J92" s="4" t="s">
        <v>1030</v>
      </c>
      <c r="K92" s="4" t="s">
        <v>67</v>
      </c>
      <c r="L92" s="4"/>
      <c r="M92" s="4" t="s">
        <v>59</v>
      </c>
      <c r="N92" s="4" t="s">
        <v>40</v>
      </c>
      <c r="O92" s="4">
        <v>0</v>
      </c>
      <c r="P92" s="4" t="s">
        <v>65</v>
      </c>
      <c r="Q92" s="4" t="s">
        <v>42</v>
      </c>
      <c r="R92" s="50" t="s">
        <v>43</v>
      </c>
      <c r="S92" s="50"/>
      <c r="T92" s="50">
        <v>0</v>
      </c>
      <c r="U92" s="4" t="s">
        <v>36</v>
      </c>
      <c r="V92" s="4"/>
    </row>
    <row r="93" spans="3:23" hidden="1" x14ac:dyDescent="0.25">
      <c r="C93" s="4" t="s">
        <v>777</v>
      </c>
      <c r="D93" s="4" t="s">
        <v>779</v>
      </c>
      <c r="E93" s="4" t="s">
        <v>779</v>
      </c>
      <c r="F93" s="75">
        <v>6</v>
      </c>
      <c r="G93" s="4" t="s">
        <v>376</v>
      </c>
      <c r="H93" s="4" t="str">
        <f>VLOOKUP(C93,[1]MAESTRA!$I$5:$J$399,2,0)</f>
        <v>cl-villuco@tiendas.oxxo.com</v>
      </c>
      <c r="I93" s="4" t="s">
        <v>46</v>
      </c>
      <c r="J93" s="4" t="s">
        <v>1031</v>
      </c>
      <c r="K93" s="4" t="s">
        <v>89</v>
      </c>
      <c r="L93" s="4"/>
      <c r="M93" s="4" t="s">
        <v>90</v>
      </c>
      <c r="N93" s="4" t="s">
        <v>91</v>
      </c>
      <c r="O93" s="4" t="s">
        <v>378</v>
      </c>
      <c r="P93" s="4" t="s">
        <v>777</v>
      </c>
      <c r="Q93" s="4" t="s">
        <v>42</v>
      </c>
      <c r="R93" s="50" t="s">
        <v>440</v>
      </c>
      <c r="S93" s="50"/>
      <c r="T93" s="50" t="s">
        <v>772</v>
      </c>
      <c r="U93" s="4" t="s">
        <v>43</v>
      </c>
      <c r="V93" s="4"/>
      <c r="W93" s="48" t="s">
        <v>1038</v>
      </c>
    </row>
    <row r="94" spans="3:23" hidden="1" x14ac:dyDescent="0.25">
      <c r="C94" s="4" t="s">
        <v>480</v>
      </c>
      <c r="D94" s="4" t="s">
        <v>481</v>
      </c>
      <c r="E94" s="4" t="s">
        <v>482</v>
      </c>
      <c r="F94" s="4">
        <v>5</v>
      </c>
      <c r="G94" s="4" t="s">
        <v>376</v>
      </c>
      <c r="H94" s="4" t="str">
        <f>VLOOKUP(C94,[1]MAESTRA!$I$5:$J$399,2,0)</f>
        <v>cl-josefinaedwards@tiendas.oxxo.com </v>
      </c>
      <c r="I94" s="4" t="s">
        <v>46</v>
      </c>
      <c r="J94" s="4" t="s">
        <v>1030</v>
      </c>
      <c r="K94" s="4" t="s">
        <v>466</v>
      </c>
      <c r="L94" s="4" t="s">
        <v>43</v>
      </c>
      <c r="M94" s="4" t="s">
        <v>51</v>
      </c>
      <c r="N94" s="4" t="s">
        <v>40</v>
      </c>
      <c r="O94" s="4" t="s">
        <v>1035</v>
      </c>
      <c r="P94" s="4" t="s">
        <v>480</v>
      </c>
      <c r="Q94" s="4" t="s">
        <v>42</v>
      </c>
      <c r="R94" s="50" t="s">
        <v>43</v>
      </c>
      <c r="S94" s="50"/>
      <c r="T94" s="50" t="s">
        <v>467</v>
      </c>
      <c r="U94" s="4" t="s">
        <v>43</v>
      </c>
      <c r="V94" s="4"/>
    </row>
    <row r="95" spans="3:23" hidden="1" x14ac:dyDescent="0.25">
      <c r="C95" s="4" t="s">
        <v>807</v>
      </c>
      <c r="D95" s="4" t="s">
        <v>808</v>
      </c>
      <c r="E95" s="4" t="s">
        <v>809</v>
      </c>
      <c r="F95" s="4">
        <v>7</v>
      </c>
      <c r="G95" s="4" t="s">
        <v>376</v>
      </c>
      <c r="H95" s="4" t="str">
        <f>VLOOKUP(C95,[1]MAESTRA!$I$5:$J$399,2,0)</f>
        <v>cl-republica@tiendas.oxxo.com</v>
      </c>
      <c r="I95" s="4" t="s">
        <v>46</v>
      </c>
      <c r="J95" s="4" t="s">
        <v>1030</v>
      </c>
      <c r="K95" s="4" t="s">
        <v>146</v>
      </c>
      <c r="L95" s="4" t="s">
        <v>440</v>
      </c>
      <c r="M95" s="4" t="s">
        <v>59</v>
      </c>
      <c r="N95" s="4" t="s">
        <v>40</v>
      </c>
      <c r="O95" s="4" t="s">
        <v>1035</v>
      </c>
      <c r="P95" s="4" t="s">
        <v>807</v>
      </c>
      <c r="Q95" s="4" t="s">
        <v>42</v>
      </c>
      <c r="R95" s="50" t="s">
        <v>440</v>
      </c>
      <c r="S95" s="50"/>
      <c r="T95" s="50" t="s">
        <v>799</v>
      </c>
      <c r="U95" s="4" t="s">
        <v>43</v>
      </c>
      <c r="V95" s="4"/>
    </row>
    <row r="96" spans="3:23" hidden="1" x14ac:dyDescent="0.25">
      <c r="C96" s="4" t="s">
        <v>400</v>
      </c>
      <c r="D96" s="4" t="s">
        <v>401</v>
      </c>
      <c r="E96" s="4" t="s">
        <v>401</v>
      </c>
      <c r="F96" s="4">
        <v>5.45</v>
      </c>
      <c r="G96" s="4" t="s">
        <v>376</v>
      </c>
      <c r="H96" s="4" t="str">
        <f>VLOOKUP(C96,[1]MAESTRA!$I$5:$J$399,2,0)</f>
        <v>cl-santamagdalena@tiendas.oxxo.com</v>
      </c>
      <c r="I96" s="4" t="s">
        <v>46</v>
      </c>
      <c r="J96" s="4" t="s">
        <v>1031</v>
      </c>
      <c r="K96" s="4" t="s">
        <v>63</v>
      </c>
      <c r="L96" s="4" t="s">
        <v>43</v>
      </c>
      <c r="M96" s="4" t="s">
        <v>138</v>
      </c>
      <c r="N96" s="4" t="s">
        <v>40</v>
      </c>
      <c r="O96" s="4" t="s">
        <v>378</v>
      </c>
      <c r="P96" s="4" t="s">
        <v>400</v>
      </c>
      <c r="Q96" s="4" t="s">
        <v>42</v>
      </c>
      <c r="R96" s="50" t="s">
        <v>43</v>
      </c>
      <c r="S96" s="50"/>
      <c r="T96" s="50" t="s">
        <v>380</v>
      </c>
      <c r="U96" s="4" t="s">
        <v>43</v>
      </c>
      <c r="V96" s="4"/>
    </row>
    <row r="97" spans="3:22" hidden="1" x14ac:dyDescent="0.25">
      <c r="C97" s="4" t="s">
        <v>402</v>
      </c>
      <c r="D97" s="4" t="s">
        <v>403</v>
      </c>
      <c r="E97" s="4" t="s">
        <v>403</v>
      </c>
      <c r="F97" s="4">
        <v>5.45</v>
      </c>
      <c r="G97" s="4" t="s">
        <v>376</v>
      </c>
      <c r="H97" s="4" t="str">
        <f>VLOOKUP(C97,[1]MAESTRA!$I$5:$J$399,2,0)</f>
        <v>cl-apoquindo6@tiendas.oxxo.com</v>
      </c>
      <c r="I97" s="4" t="s">
        <v>46</v>
      </c>
      <c r="J97" s="4" t="s">
        <v>1031</v>
      </c>
      <c r="K97" s="4" t="s">
        <v>63</v>
      </c>
      <c r="L97" s="4" t="s">
        <v>43</v>
      </c>
      <c r="M97" s="4" t="s">
        <v>138</v>
      </c>
      <c r="N97" s="4" t="s">
        <v>40</v>
      </c>
      <c r="O97" s="4" t="s">
        <v>378</v>
      </c>
      <c r="P97" s="4" t="s">
        <v>402</v>
      </c>
      <c r="Q97" s="4" t="s">
        <v>42</v>
      </c>
      <c r="R97" s="50" t="s">
        <v>43</v>
      </c>
      <c r="S97" s="50"/>
      <c r="T97" s="50" t="s">
        <v>380</v>
      </c>
      <c r="U97" s="4" t="s">
        <v>43</v>
      </c>
      <c r="V97" s="4"/>
    </row>
    <row r="98" spans="3:22" hidden="1" x14ac:dyDescent="0.25">
      <c r="C98" s="4" t="s">
        <v>665</v>
      </c>
      <c r="D98" s="4" t="s">
        <v>666</v>
      </c>
      <c r="E98" s="4" t="s">
        <v>666</v>
      </c>
      <c r="F98" s="4">
        <v>6</v>
      </c>
      <c r="G98" s="4" t="s">
        <v>376</v>
      </c>
      <c r="H98" s="4" t="str">
        <f>VLOOKUP(C98,[1]MAESTRA!$I$5:$J$399,2,0)</f>
        <v>cl-hernandodeaguirre@tiendas.oxxo.com</v>
      </c>
      <c r="I98" s="4" t="s">
        <v>46</v>
      </c>
      <c r="J98" s="4" t="s">
        <v>1030</v>
      </c>
      <c r="K98" s="4" t="s">
        <v>248</v>
      </c>
      <c r="L98" s="4" t="s">
        <v>43</v>
      </c>
      <c r="M98" s="4" t="s">
        <v>51</v>
      </c>
      <c r="N98" s="4" t="s">
        <v>40</v>
      </c>
      <c r="O98" s="4" t="s">
        <v>984</v>
      </c>
      <c r="P98" s="4" t="s">
        <v>665</v>
      </c>
      <c r="Q98" s="4" t="s">
        <v>42</v>
      </c>
      <c r="R98" s="50" t="s">
        <v>43</v>
      </c>
      <c r="S98" s="50"/>
      <c r="T98" s="50" t="s">
        <v>51</v>
      </c>
      <c r="U98" s="4" t="s">
        <v>43</v>
      </c>
      <c r="V98" s="4"/>
    </row>
    <row r="99" spans="3:22" hidden="1" x14ac:dyDescent="0.25">
      <c r="C99" s="4" t="s">
        <v>404</v>
      </c>
      <c r="D99" s="4" t="s">
        <v>405</v>
      </c>
      <c r="E99" s="4" t="s">
        <v>405</v>
      </c>
      <c r="F99" s="4">
        <v>5</v>
      </c>
      <c r="G99" s="4" t="s">
        <v>376</v>
      </c>
      <c r="H99" s="4" t="str">
        <f>VLOOKUP(C99,[1]MAESTRA!$I$5:$J$399,2,0)</f>
        <v>cl-lascondes1@tiendas.oxxo.com</v>
      </c>
      <c r="I99" s="4" t="s">
        <v>46</v>
      </c>
      <c r="J99" s="4" t="s">
        <v>1031</v>
      </c>
      <c r="K99" s="4" t="s">
        <v>63</v>
      </c>
      <c r="L99" s="4" t="s">
        <v>43</v>
      </c>
      <c r="M99" s="4" t="s">
        <v>138</v>
      </c>
      <c r="N99" s="4" t="s">
        <v>40</v>
      </c>
      <c r="O99" s="4" t="s">
        <v>378</v>
      </c>
      <c r="P99" s="4" t="s">
        <v>404</v>
      </c>
      <c r="Q99" s="4" t="s">
        <v>42</v>
      </c>
      <c r="R99" s="50" t="s">
        <v>43</v>
      </c>
      <c r="S99" s="50"/>
      <c r="T99" s="50" t="s">
        <v>380</v>
      </c>
      <c r="U99" s="4" t="s">
        <v>43</v>
      </c>
      <c r="V99" s="4"/>
    </row>
    <row r="100" spans="3:22" hidden="1" x14ac:dyDescent="0.25">
      <c r="C100" s="4" t="s">
        <v>948</v>
      </c>
      <c r="D100" s="4" t="s">
        <v>949</v>
      </c>
      <c r="E100" s="4" t="s">
        <v>949</v>
      </c>
      <c r="F100" s="4">
        <v>5.45</v>
      </c>
      <c r="G100" s="4" t="s">
        <v>376</v>
      </c>
      <c r="H100" s="4" t="str">
        <f>VLOOKUP(C100,[1]MAESTRA!$I$5:$J$399,2,0)</f>
        <v>cl-loscoligues@tiendas.oxxo.com</v>
      </c>
      <c r="I100" s="4" t="s">
        <v>46</v>
      </c>
      <c r="J100" s="4" t="s">
        <v>1030</v>
      </c>
      <c r="K100" s="4" t="s">
        <v>160</v>
      </c>
      <c r="L100" s="4" t="s">
        <v>43</v>
      </c>
      <c r="M100" s="4" t="s">
        <v>353</v>
      </c>
      <c r="N100" s="4" t="s">
        <v>40</v>
      </c>
      <c r="O100" s="4" t="s">
        <v>984</v>
      </c>
      <c r="P100" s="4" t="s">
        <v>948</v>
      </c>
      <c r="Q100" s="50" t="s">
        <v>42</v>
      </c>
      <c r="R100" s="50" t="s">
        <v>43</v>
      </c>
      <c r="S100" s="50"/>
      <c r="T100" s="4" t="s">
        <v>931</v>
      </c>
      <c r="U100" s="48" t="s">
        <v>43</v>
      </c>
      <c r="V100" s="4"/>
    </row>
    <row r="101" spans="3:22" hidden="1" x14ac:dyDescent="0.25">
      <c r="C101" s="4" t="s">
        <v>667</v>
      </c>
      <c r="D101" s="4" t="s">
        <v>668</v>
      </c>
      <c r="E101" s="4" t="s">
        <v>668</v>
      </c>
      <c r="F101" s="4">
        <v>6</v>
      </c>
      <c r="G101" s="4" t="s">
        <v>376</v>
      </c>
      <c r="H101" s="4" t="str">
        <f>VLOOKUP(C101,[1]MAESTRA!$I$5:$J$399,2,0)</f>
        <v>cl-pedrodevaldivia3@tiendas.oxxo.com</v>
      </c>
      <c r="I101" s="4" t="s">
        <v>46</v>
      </c>
      <c r="J101" s="4" t="s">
        <v>1030</v>
      </c>
      <c r="K101" s="4" t="s">
        <v>248</v>
      </c>
      <c r="L101" s="4" t="s">
        <v>43</v>
      </c>
      <c r="M101" s="4" t="s">
        <v>51</v>
      </c>
      <c r="N101" s="4" t="s">
        <v>40</v>
      </c>
      <c r="O101" s="4" t="s">
        <v>984</v>
      </c>
      <c r="P101" s="4" t="s">
        <v>667</v>
      </c>
      <c r="Q101" s="4" t="s">
        <v>42</v>
      </c>
      <c r="R101" s="50" t="s">
        <v>43</v>
      </c>
      <c r="S101" s="50"/>
      <c r="T101" s="50" t="s">
        <v>51</v>
      </c>
      <c r="U101" s="4" t="s">
        <v>43</v>
      </c>
      <c r="V101" s="4"/>
    </row>
    <row r="102" spans="3:22" hidden="1" x14ac:dyDescent="0.25">
      <c r="C102" s="4" t="s">
        <v>669</v>
      </c>
      <c r="D102" s="4" t="s">
        <v>670</v>
      </c>
      <c r="E102" s="4" t="s">
        <v>670</v>
      </c>
      <c r="F102" s="4">
        <v>5.45</v>
      </c>
      <c r="G102" s="4" t="s">
        <v>376</v>
      </c>
      <c r="H102" s="4" t="str">
        <f>VLOOKUP(C102,[1]MAESTRA!$I$5:$J$399,2,0)</f>
        <v>cl-luisthayerojeda@tiendas.oxxo.com</v>
      </c>
      <c r="I102" s="4" t="s">
        <v>46</v>
      </c>
      <c r="J102" s="4" t="s">
        <v>1030</v>
      </c>
      <c r="K102" s="4" t="s">
        <v>248</v>
      </c>
      <c r="L102" s="4" t="s">
        <v>43</v>
      </c>
      <c r="M102" s="4" t="s">
        <v>51</v>
      </c>
      <c r="N102" s="4" t="s">
        <v>40</v>
      </c>
      <c r="O102" s="4" t="s">
        <v>984</v>
      </c>
      <c r="P102" s="4" t="s">
        <v>669</v>
      </c>
      <c r="Q102" s="4" t="s">
        <v>42</v>
      </c>
      <c r="R102" s="50" t="s">
        <v>43</v>
      </c>
      <c r="S102" s="50"/>
      <c r="T102" s="50" t="s">
        <v>51</v>
      </c>
      <c r="U102" s="4" t="s">
        <v>43</v>
      </c>
      <c r="V102" s="4"/>
    </row>
    <row r="103" spans="3:22" hidden="1" x14ac:dyDescent="0.25">
      <c r="C103" s="4" t="s">
        <v>894</v>
      </c>
      <c r="D103" s="4" t="s">
        <v>895</v>
      </c>
      <c r="E103" s="4" t="s">
        <v>895</v>
      </c>
      <c r="F103" s="4">
        <v>5</v>
      </c>
      <c r="G103" s="4" t="s">
        <v>376</v>
      </c>
      <c r="H103" s="4" t="str">
        <f>VLOOKUP(C103,[1]MAESTRA!$I$5:$J$399,2,0)</f>
        <v>cl-tristanmatta@tiendas.oxxo.com</v>
      </c>
      <c r="I103" s="4" t="s">
        <v>46</v>
      </c>
      <c r="J103" s="4" t="s">
        <v>1030</v>
      </c>
      <c r="K103" s="4" t="s">
        <v>73</v>
      </c>
      <c r="L103" s="4" t="s">
        <v>43</v>
      </c>
      <c r="M103" s="4" t="s">
        <v>609</v>
      </c>
      <c r="N103" s="4" t="s">
        <v>40</v>
      </c>
      <c r="O103" s="4" t="s">
        <v>514</v>
      </c>
      <c r="P103" s="4" t="s">
        <v>894</v>
      </c>
      <c r="Q103" s="4" t="s">
        <v>42</v>
      </c>
      <c r="R103" s="50" t="s">
        <v>43</v>
      </c>
      <c r="S103" s="50"/>
      <c r="T103" s="50" t="s">
        <v>886</v>
      </c>
      <c r="U103" s="4" t="s">
        <v>43</v>
      </c>
      <c r="V103" s="4"/>
    </row>
    <row r="104" spans="3:22" hidden="1" x14ac:dyDescent="0.25">
      <c r="C104" s="4" t="s">
        <v>537</v>
      </c>
      <c r="D104" s="4" t="s">
        <v>538</v>
      </c>
      <c r="E104" s="4" t="s">
        <v>538</v>
      </c>
      <c r="F104" s="4">
        <v>6.13</v>
      </c>
      <c r="G104" s="4" t="s">
        <v>376</v>
      </c>
      <c r="H104" s="4" t="str">
        <f>VLOOKUP(C104,[1]MAESTRA!$I$5:$J$399,2,0)</f>
        <v>cl-hamburgo@tiendas.oxxo.com</v>
      </c>
      <c r="I104" s="4" t="s">
        <v>46</v>
      </c>
      <c r="J104" s="4" t="s">
        <v>1030</v>
      </c>
      <c r="K104" s="4" t="s">
        <v>100</v>
      </c>
      <c r="L104" s="4" t="s">
        <v>43</v>
      </c>
      <c r="M104" s="4" t="s">
        <v>64</v>
      </c>
      <c r="N104" s="4" t="s">
        <v>40</v>
      </c>
      <c r="O104" s="4" t="s">
        <v>514</v>
      </c>
      <c r="P104" s="4" t="s">
        <v>537</v>
      </c>
      <c r="Q104" s="4" t="s">
        <v>42</v>
      </c>
      <c r="R104" s="50" t="s">
        <v>43</v>
      </c>
      <c r="S104" s="50"/>
      <c r="T104" s="50" t="s">
        <v>515</v>
      </c>
      <c r="U104" s="4" t="s">
        <v>43</v>
      </c>
      <c r="V104" s="4"/>
    </row>
    <row r="105" spans="3:22" hidden="1" x14ac:dyDescent="0.25">
      <c r="C105" s="4" t="s">
        <v>863</v>
      </c>
      <c r="D105" s="4" t="s">
        <v>864</v>
      </c>
      <c r="E105" s="4" t="s">
        <v>864</v>
      </c>
      <c r="F105" s="4">
        <v>5</v>
      </c>
      <c r="G105" s="4" t="s">
        <v>376</v>
      </c>
      <c r="H105" s="4" t="str">
        <f>VLOOKUP(C105,[1]MAESTRA!$I$5:$J$399,2,0)</f>
        <v>cl-caminoelalba@tiendas.oxxo.com</v>
      </c>
      <c r="I105" s="4" t="s">
        <v>46</v>
      </c>
      <c r="J105" s="4" t="s">
        <v>1030</v>
      </c>
      <c r="K105" s="4" t="s">
        <v>132</v>
      </c>
      <c r="L105" s="4" t="s">
        <v>43</v>
      </c>
      <c r="M105" s="4" t="s">
        <v>138</v>
      </c>
      <c r="N105" s="4" t="s">
        <v>40</v>
      </c>
      <c r="O105" s="4" t="s">
        <v>1035</v>
      </c>
      <c r="P105" s="4" t="s">
        <v>863</v>
      </c>
      <c r="Q105" s="4" t="s">
        <v>42</v>
      </c>
      <c r="R105" s="50" t="s">
        <v>43</v>
      </c>
      <c r="S105" s="50"/>
      <c r="T105" s="50" t="s">
        <v>847</v>
      </c>
      <c r="U105" s="4" t="s">
        <v>43</v>
      </c>
      <c r="V105" s="4"/>
    </row>
    <row r="106" spans="3:22" hidden="1" x14ac:dyDescent="0.25">
      <c r="C106" s="4" t="s">
        <v>896</v>
      </c>
      <c r="D106" s="4" t="s">
        <v>897</v>
      </c>
      <c r="E106" s="4" t="s">
        <v>897</v>
      </c>
      <c r="F106" s="4">
        <v>5</v>
      </c>
      <c r="G106" s="4" t="s">
        <v>376</v>
      </c>
      <c r="H106" s="4" t="str">
        <f>VLOOKUP(C106,[1]MAESTRA!$I$5:$J$399,2,0)</f>
        <v>cl-outletlaflorida@tiendas.oxxo.com</v>
      </c>
      <c r="I106" s="4" t="s">
        <v>46</v>
      </c>
      <c r="J106" s="4" t="s">
        <v>1030</v>
      </c>
      <c r="K106" s="4" t="s">
        <v>73</v>
      </c>
      <c r="L106" s="4" t="s">
        <v>43</v>
      </c>
      <c r="M106" s="4" t="s">
        <v>133</v>
      </c>
      <c r="N106" s="4" t="s">
        <v>40</v>
      </c>
      <c r="O106" s="4" t="s">
        <v>514</v>
      </c>
      <c r="P106" s="4" t="s">
        <v>896</v>
      </c>
      <c r="Q106" s="4" t="s">
        <v>42</v>
      </c>
      <c r="R106" s="50" t="s">
        <v>43</v>
      </c>
      <c r="S106" s="50"/>
      <c r="T106" s="50" t="s">
        <v>886</v>
      </c>
      <c r="U106" s="4" t="s">
        <v>43</v>
      </c>
      <c r="V106" s="4"/>
    </row>
    <row r="107" spans="3:22" hidden="1" x14ac:dyDescent="0.25">
      <c r="C107" s="4" t="s">
        <v>898</v>
      </c>
      <c r="D107" s="4" t="s">
        <v>899</v>
      </c>
      <c r="E107" s="4" t="s">
        <v>899</v>
      </c>
      <c r="F107" s="4">
        <v>5.45</v>
      </c>
      <c r="G107" s="4" t="s">
        <v>376</v>
      </c>
      <c r="H107" s="4" t="str">
        <f>VLOOKUP(C107,[1]MAESTRA!$I$5:$J$399,2,0)</f>
        <v>cl-plazamaipu@tiendas.oxxo.com</v>
      </c>
      <c r="I107" s="4" t="s">
        <v>46</v>
      </c>
      <c r="J107" s="4" t="s">
        <v>1030</v>
      </c>
      <c r="K107" s="4" t="s">
        <v>73</v>
      </c>
      <c r="L107" s="4" t="s">
        <v>43</v>
      </c>
      <c r="M107" s="4" t="s">
        <v>315</v>
      </c>
      <c r="N107" s="4" t="s">
        <v>40</v>
      </c>
      <c r="O107" s="4" t="s">
        <v>514</v>
      </c>
      <c r="P107" s="4" t="s">
        <v>898</v>
      </c>
      <c r="Q107" s="4" t="s">
        <v>42</v>
      </c>
      <c r="R107" s="50" t="s">
        <v>440</v>
      </c>
      <c r="S107" s="50"/>
      <c r="T107" s="50" t="s">
        <v>886</v>
      </c>
      <c r="U107" s="4" t="s">
        <v>43</v>
      </c>
      <c r="V107" s="4"/>
    </row>
    <row r="108" spans="3:22" hidden="1" x14ac:dyDescent="0.25">
      <c r="C108" s="4" t="s">
        <v>950</v>
      </c>
      <c r="D108" s="4" t="s">
        <v>951</v>
      </c>
      <c r="E108" s="4" t="s">
        <v>951</v>
      </c>
      <c r="F108" s="4">
        <v>5.45</v>
      </c>
      <c r="G108" s="4" t="s">
        <v>376</v>
      </c>
      <c r="H108" s="4" t="str">
        <f>VLOOKUP(C108,[1]MAESTRA!$I$5:$J$399,2,0)</f>
        <v>cl-pioxi@tiendas.oxxo.com</v>
      </c>
      <c r="I108" s="4" t="s">
        <v>46</v>
      </c>
      <c r="J108" s="4" t="s">
        <v>1030</v>
      </c>
      <c r="K108" s="4" t="s">
        <v>160</v>
      </c>
      <c r="L108" s="4" t="s">
        <v>43</v>
      </c>
      <c r="M108" s="4" t="s">
        <v>353</v>
      </c>
      <c r="N108" s="4" t="s">
        <v>40</v>
      </c>
      <c r="O108" s="4" t="s">
        <v>984</v>
      </c>
      <c r="P108" s="4" t="s">
        <v>950</v>
      </c>
      <c r="Q108" s="4" t="s">
        <v>42</v>
      </c>
      <c r="R108" s="50" t="s">
        <v>43</v>
      </c>
      <c r="S108" s="50"/>
      <c r="T108" s="50" t="s">
        <v>931</v>
      </c>
      <c r="U108" s="4" t="s">
        <v>43</v>
      </c>
      <c r="V108" s="4"/>
    </row>
    <row r="109" spans="3:22" hidden="1" x14ac:dyDescent="0.25">
      <c r="C109" s="4" t="s">
        <v>406</v>
      </c>
      <c r="D109" s="4" t="s">
        <v>407</v>
      </c>
      <c r="E109" s="4" t="s">
        <v>407</v>
      </c>
      <c r="F109" s="4">
        <v>5.45</v>
      </c>
      <c r="G109" s="4" t="s">
        <v>376</v>
      </c>
      <c r="H109" s="4" t="str">
        <f>VLOOKUP(C109,[1]MAESTRA!$I$5:$J$399,2,0)</f>
        <v>cl-elfaro@tiendas.oxxo.com</v>
      </c>
      <c r="I109" s="4" t="s">
        <v>46</v>
      </c>
      <c r="J109" s="4" t="s">
        <v>1031</v>
      </c>
      <c r="K109" s="4" t="s">
        <v>63</v>
      </c>
      <c r="L109" s="4" t="s">
        <v>43</v>
      </c>
      <c r="M109" s="4" t="s">
        <v>138</v>
      </c>
      <c r="N109" s="4" t="s">
        <v>40</v>
      </c>
      <c r="O109" s="4" t="s">
        <v>378</v>
      </c>
      <c r="P109" s="4" t="s">
        <v>406</v>
      </c>
      <c r="Q109" s="4" t="s">
        <v>42</v>
      </c>
      <c r="R109" s="50" t="s">
        <v>43</v>
      </c>
      <c r="S109" s="50"/>
      <c r="T109" s="50" t="s">
        <v>380</v>
      </c>
      <c r="U109" s="4" t="s">
        <v>43</v>
      </c>
      <c r="V109" s="4"/>
    </row>
    <row r="110" spans="3:22" hidden="1" x14ac:dyDescent="0.25">
      <c r="C110" s="4" t="s">
        <v>429</v>
      </c>
      <c r="D110" s="4" t="s">
        <v>430</v>
      </c>
      <c r="E110" s="4" t="s">
        <v>431</v>
      </c>
      <c r="F110" s="4">
        <v>6</v>
      </c>
      <c r="G110" s="4" t="s">
        <v>376</v>
      </c>
      <c r="H110" s="4" t="str">
        <f>VLOOKUP(C110,[1]MAESTRA!$I$5:$J$399,2,0)</f>
        <v>cl-antoniovaras@tiendas.oxxo.com</v>
      </c>
      <c r="I110" s="4" t="s">
        <v>46</v>
      </c>
      <c r="J110" s="4" t="s">
        <v>1030</v>
      </c>
      <c r="K110" s="4" t="s">
        <v>94</v>
      </c>
      <c r="L110" s="4" t="s">
        <v>43</v>
      </c>
      <c r="M110" s="4" t="s">
        <v>64</v>
      </c>
      <c r="N110" s="4" t="s">
        <v>40</v>
      </c>
      <c r="O110" s="4" t="s">
        <v>1035</v>
      </c>
      <c r="P110" s="4" t="s">
        <v>429</v>
      </c>
      <c r="Q110" s="4" t="s">
        <v>42</v>
      </c>
      <c r="R110" s="50" t="s">
        <v>43</v>
      </c>
      <c r="S110" s="50"/>
      <c r="T110" s="50" t="s">
        <v>423</v>
      </c>
      <c r="U110" s="4" t="s">
        <v>43</v>
      </c>
      <c r="V110" s="4"/>
    </row>
    <row r="111" spans="3:22" hidden="1" x14ac:dyDescent="0.25">
      <c r="C111" s="4" t="s">
        <v>483</v>
      </c>
      <c r="D111" s="4" t="s">
        <v>484</v>
      </c>
      <c r="E111" s="4" t="s">
        <v>485</v>
      </c>
      <c r="F111" s="4">
        <v>5</v>
      </c>
      <c r="G111" s="4" t="s">
        <v>376</v>
      </c>
      <c r="H111" s="4" t="str">
        <f>VLOOKUP(C111,[1]MAESTRA!$I$5:$J$399,2,0)</f>
        <v>cl-generaldelcanto@tiendas.oxxo.com</v>
      </c>
      <c r="I111" s="4" t="s">
        <v>46</v>
      </c>
      <c r="J111" s="4" t="s">
        <v>1030</v>
      </c>
      <c r="K111" s="4" t="s">
        <v>466</v>
      </c>
      <c r="L111" s="4" t="s">
        <v>43</v>
      </c>
      <c r="M111" s="4" t="s">
        <v>51</v>
      </c>
      <c r="N111" s="4" t="s">
        <v>40</v>
      </c>
      <c r="O111" s="4" t="s">
        <v>1035</v>
      </c>
      <c r="P111" s="4" t="s">
        <v>483</v>
      </c>
      <c r="Q111" s="4" t="s">
        <v>42</v>
      </c>
      <c r="R111" s="50" t="s">
        <v>43</v>
      </c>
      <c r="S111" s="50"/>
      <c r="T111" s="50" t="s">
        <v>467</v>
      </c>
      <c r="U111" s="4" t="s">
        <v>43</v>
      </c>
      <c r="V111" s="4"/>
    </row>
    <row r="112" spans="3:22" hidden="1" x14ac:dyDescent="0.25">
      <c r="C112" s="4" t="s">
        <v>539</v>
      </c>
      <c r="D112" s="4" t="s">
        <v>540</v>
      </c>
      <c r="E112" s="4" t="s">
        <v>541</v>
      </c>
      <c r="F112" s="4">
        <v>6.13</v>
      </c>
      <c r="G112" s="4" t="s">
        <v>376</v>
      </c>
      <c r="H112" s="4" t="str">
        <f>VLOOKUP(C112,[1]MAESTRA!$I$5:$J$399,2,0)</f>
        <v>cl-jorgematte@tiendas.oxxo.com</v>
      </c>
      <c r="I112" s="4" t="s">
        <v>46</v>
      </c>
      <c r="J112" s="4" t="s">
        <v>1030</v>
      </c>
      <c r="K112" s="4" t="s">
        <v>100</v>
      </c>
      <c r="L112" s="4" t="s">
        <v>43</v>
      </c>
      <c r="M112" s="4" t="s">
        <v>51</v>
      </c>
      <c r="N112" s="4" t="s">
        <v>40</v>
      </c>
      <c r="O112" s="4" t="s">
        <v>514</v>
      </c>
      <c r="P112" s="4" t="s">
        <v>539</v>
      </c>
      <c r="Q112" s="4" t="s">
        <v>42</v>
      </c>
      <c r="R112" s="50" t="s">
        <v>43</v>
      </c>
      <c r="S112" s="50"/>
      <c r="T112" s="50" t="s">
        <v>515</v>
      </c>
      <c r="U112" s="4" t="s">
        <v>43</v>
      </c>
      <c r="V112" s="4"/>
    </row>
    <row r="113" spans="3:22" hidden="1" x14ac:dyDescent="0.25">
      <c r="C113" s="4" t="s">
        <v>432</v>
      </c>
      <c r="D113" s="4" t="s">
        <v>433</v>
      </c>
      <c r="E113" s="4" t="s">
        <v>434</v>
      </c>
      <c r="F113" s="4">
        <v>5.45</v>
      </c>
      <c r="G113" s="4" t="s">
        <v>376</v>
      </c>
      <c r="H113" s="4" t="str">
        <f>VLOOKUP(C113,[1]MAESTRA!$I$5:$J$399,2,0)</f>
        <v>cl-striplarrain@tiendas.oxxo.com</v>
      </c>
      <c r="I113" s="4" t="s">
        <v>46</v>
      </c>
      <c r="J113" s="4" t="s">
        <v>1030</v>
      </c>
      <c r="K113" s="4" t="s">
        <v>94</v>
      </c>
      <c r="L113" s="4" t="s">
        <v>43</v>
      </c>
      <c r="M113" s="4" t="s">
        <v>205</v>
      </c>
      <c r="N113" s="4" t="s">
        <v>40</v>
      </c>
      <c r="O113" s="4" t="s">
        <v>1035</v>
      </c>
      <c r="P113" s="4" t="s">
        <v>432</v>
      </c>
      <c r="Q113" s="4" t="s">
        <v>42</v>
      </c>
      <c r="R113" s="50" t="s">
        <v>43</v>
      </c>
      <c r="S113" s="50"/>
      <c r="T113" s="50" t="s">
        <v>423</v>
      </c>
      <c r="U113" s="4" t="s">
        <v>43</v>
      </c>
      <c r="V113" s="4"/>
    </row>
    <row r="114" spans="3:22" hidden="1" x14ac:dyDescent="0.25">
      <c r="C114" s="4" t="s">
        <v>671</v>
      </c>
      <c r="D114" s="4" t="s">
        <v>672</v>
      </c>
      <c r="E114" s="4" t="s">
        <v>672</v>
      </c>
      <c r="F114" s="4">
        <v>5</v>
      </c>
      <c r="G114" s="4" t="s">
        <v>376</v>
      </c>
      <c r="H114" s="4" t="str">
        <f>VLOOKUP(C114,[1]MAESTRA!$I$5:$J$399,2,0)</f>
        <v>cl-lyon2@tiendas.oxxo.com</v>
      </c>
      <c r="I114" s="4" t="s">
        <v>46</v>
      </c>
      <c r="J114" s="4" t="s">
        <v>1030</v>
      </c>
      <c r="K114" s="4" t="s">
        <v>248</v>
      </c>
      <c r="L114" s="4" t="s">
        <v>43</v>
      </c>
      <c r="M114" s="4" t="s">
        <v>51</v>
      </c>
      <c r="N114" s="4" t="s">
        <v>40</v>
      </c>
      <c r="O114" s="4" t="s">
        <v>984</v>
      </c>
      <c r="P114" s="4" t="s">
        <v>671</v>
      </c>
      <c r="Q114" s="4" t="s">
        <v>42</v>
      </c>
      <c r="R114" s="50" t="s">
        <v>43</v>
      </c>
      <c r="S114" s="50"/>
      <c r="T114" s="50" t="s">
        <v>51</v>
      </c>
      <c r="U114" s="4" t="s">
        <v>43</v>
      </c>
      <c r="V114" s="4"/>
    </row>
    <row r="115" spans="3:22" hidden="1" x14ac:dyDescent="0.25">
      <c r="C115" s="4" t="s">
        <v>567</v>
      </c>
      <c r="D115" s="4" t="s">
        <v>568</v>
      </c>
      <c r="E115" s="4" t="s">
        <v>568</v>
      </c>
      <c r="F115" s="4">
        <v>5</v>
      </c>
      <c r="G115" s="4" t="s">
        <v>376</v>
      </c>
      <c r="H115" s="4" t="str">
        <f>VLOOKUP(C115,[1]MAESTRA!$I$5:$J$399,2,0)</f>
        <v>cl-isidora@tiendas.oxxo.com</v>
      </c>
      <c r="I115" s="4" t="s">
        <v>46</v>
      </c>
      <c r="J115" s="4" t="s">
        <v>1030</v>
      </c>
      <c r="K115" s="4" t="s">
        <v>331</v>
      </c>
      <c r="L115" s="4" t="s">
        <v>43</v>
      </c>
      <c r="M115" s="4" t="s">
        <v>138</v>
      </c>
      <c r="N115" s="4" t="s">
        <v>40</v>
      </c>
      <c r="O115" s="4" t="s">
        <v>984</v>
      </c>
      <c r="P115" s="4" t="s">
        <v>567</v>
      </c>
      <c r="Q115" s="4" t="s">
        <v>42</v>
      </c>
      <c r="R115" s="50" t="s">
        <v>43</v>
      </c>
      <c r="S115" s="50"/>
      <c r="T115" s="50" t="s">
        <v>557</v>
      </c>
      <c r="U115" s="4" t="s">
        <v>43</v>
      </c>
      <c r="V115" s="4"/>
    </row>
    <row r="116" spans="3:22" hidden="1" x14ac:dyDescent="0.25">
      <c r="C116" s="4" t="s">
        <v>435</v>
      </c>
      <c r="D116" s="4" t="s">
        <v>436</v>
      </c>
      <c r="E116" s="4" t="s">
        <v>436</v>
      </c>
      <c r="F116" s="4">
        <v>5</v>
      </c>
      <c r="G116" s="4" t="s">
        <v>376</v>
      </c>
      <c r="H116" s="4" t="str">
        <f>VLOOKUP(C116,[1]MAESTRA!$I$5:$J$399,2,0)</f>
        <v>cl-simonbolivar@tiendas.oxxo.com</v>
      </c>
      <c r="I116" s="4" t="s">
        <v>46</v>
      </c>
      <c r="J116" s="4" t="s">
        <v>1030</v>
      </c>
      <c r="K116" s="4" t="s">
        <v>94</v>
      </c>
      <c r="L116" s="4" t="s">
        <v>43</v>
      </c>
      <c r="M116" s="4" t="s">
        <v>64</v>
      </c>
      <c r="N116" s="4" t="s">
        <v>40</v>
      </c>
      <c r="O116" s="4" t="s">
        <v>1035</v>
      </c>
      <c r="P116" s="4" t="s">
        <v>435</v>
      </c>
      <c r="Q116" s="4" t="s">
        <v>42</v>
      </c>
      <c r="R116" s="50" t="s">
        <v>43</v>
      </c>
      <c r="S116" s="50"/>
      <c r="T116" s="50" t="s">
        <v>423</v>
      </c>
      <c r="U116" s="4" t="s">
        <v>43</v>
      </c>
      <c r="V116" s="4"/>
    </row>
    <row r="117" spans="3:22" hidden="1" x14ac:dyDescent="0.25">
      <c r="C117" s="4" t="s">
        <v>865</v>
      </c>
      <c r="D117" s="4" t="s">
        <v>866</v>
      </c>
      <c r="E117" s="4" t="s">
        <v>866</v>
      </c>
      <c r="F117" s="4">
        <v>6</v>
      </c>
      <c r="G117" s="4" t="s">
        <v>376</v>
      </c>
      <c r="H117" s="4" t="str">
        <f>VLOOKUP(C117,[1]MAESTRA!$I$5:$J$399,2,0)</f>
        <v>cl-lostrapenses@tiendas.oxxo.com</v>
      </c>
      <c r="I117" s="4" t="s">
        <v>46</v>
      </c>
      <c r="J117" s="4" t="s">
        <v>1030</v>
      </c>
      <c r="K117" s="4" t="s">
        <v>132</v>
      </c>
      <c r="L117" s="4" t="s">
        <v>43</v>
      </c>
      <c r="M117" s="4" t="s">
        <v>856</v>
      </c>
      <c r="N117" s="4" t="s">
        <v>40</v>
      </c>
      <c r="O117" s="4" t="s">
        <v>1035</v>
      </c>
      <c r="P117" s="4" t="s">
        <v>865</v>
      </c>
      <c r="Q117" s="4" t="s">
        <v>42</v>
      </c>
      <c r="R117" s="50" t="s">
        <v>43</v>
      </c>
      <c r="S117" s="50"/>
      <c r="T117" s="50" t="s">
        <v>847</v>
      </c>
      <c r="U117" s="4" t="s">
        <v>43</v>
      </c>
      <c r="V117" s="4"/>
    </row>
    <row r="118" spans="3:22" hidden="1" x14ac:dyDescent="0.25">
      <c r="C118" s="4" t="s">
        <v>486</v>
      </c>
      <c r="D118" s="4" t="s">
        <v>487</v>
      </c>
      <c r="E118" s="4" t="s">
        <v>487</v>
      </c>
      <c r="F118" s="4">
        <v>5</v>
      </c>
      <c r="G118" s="4" t="s">
        <v>376</v>
      </c>
      <c r="H118" s="4" t="str">
        <f>VLOOKUP(C118,[1]MAESTRA!$I$5:$J$399,2,0)</f>
        <v>cl-laconcepcion@tiendas.oxxo.com</v>
      </c>
      <c r="I118" s="4" t="s">
        <v>46</v>
      </c>
      <c r="J118" s="4" t="s">
        <v>1030</v>
      </c>
      <c r="K118" s="4" t="s">
        <v>466</v>
      </c>
      <c r="L118" s="4" t="s">
        <v>43</v>
      </c>
      <c r="M118" s="4" t="s">
        <v>51</v>
      </c>
      <c r="N118" s="4" t="s">
        <v>40</v>
      </c>
      <c r="O118" s="4" t="s">
        <v>1035</v>
      </c>
      <c r="P118" s="4" t="s">
        <v>486</v>
      </c>
      <c r="Q118" s="4" t="s">
        <v>42</v>
      </c>
      <c r="R118" s="50" t="s">
        <v>43</v>
      </c>
      <c r="S118" s="50"/>
      <c r="T118" s="50" t="s">
        <v>467</v>
      </c>
      <c r="U118" s="4" t="s">
        <v>43</v>
      </c>
      <c r="V118" s="4"/>
    </row>
    <row r="119" spans="3:22" hidden="1" x14ac:dyDescent="0.25">
      <c r="C119" s="4" t="s">
        <v>673</v>
      </c>
      <c r="D119" s="4" t="s">
        <v>674</v>
      </c>
      <c r="E119" s="4" t="s">
        <v>674</v>
      </c>
      <c r="F119" s="4">
        <v>5.45</v>
      </c>
      <c r="G119" s="4" t="s">
        <v>376</v>
      </c>
      <c r="H119" s="4" t="str">
        <f>VLOOKUP(C119,[1]MAESTRA!$I$5:$J$399,2,0)</f>
        <v>cl-manuelmontt@tiendas.oxxo.com</v>
      </c>
      <c r="I119" s="4" t="s">
        <v>46</v>
      </c>
      <c r="J119" s="4" t="s">
        <v>1030</v>
      </c>
      <c r="K119" s="4" t="s">
        <v>248</v>
      </c>
      <c r="L119" s="4" t="s">
        <v>43</v>
      </c>
      <c r="M119" s="4" t="s">
        <v>51</v>
      </c>
      <c r="N119" s="4" t="s">
        <v>40</v>
      </c>
      <c r="O119" s="4" t="s">
        <v>984</v>
      </c>
      <c r="P119" s="4" t="s">
        <v>673</v>
      </c>
      <c r="Q119" s="4" t="s">
        <v>42</v>
      </c>
      <c r="R119" s="50" t="s">
        <v>43</v>
      </c>
      <c r="S119" s="50"/>
      <c r="T119" s="50" t="s">
        <v>51</v>
      </c>
      <c r="U119" s="4" t="s">
        <v>43</v>
      </c>
      <c r="V119" s="4"/>
    </row>
    <row r="120" spans="3:22" hidden="1" x14ac:dyDescent="0.25">
      <c r="C120" s="4" t="s">
        <v>569</v>
      </c>
      <c r="D120" s="4" t="s">
        <v>570</v>
      </c>
      <c r="E120" s="4" t="s">
        <v>570</v>
      </c>
      <c r="F120" s="4">
        <v>5.45</v>
      </c>
      <c r="G120" s="4" t="s">
        <v>376</v>
      </c>
      <c r="H120" s="4" t="str">
        <f>VLOOKUP(C120,[1]MAESTRA!$I$5:$J$399,2,0)</f>
        <v>cl-losmilitares@tiendas.oxxo.com</v>
      </c>
      <c r="I120" s="4" t="s">
        <v>46</v>
      </c>
      <c r="J120" s="4" t="s">
        <v>1030</v>
      </c>
      <c r="K120" s="4" t="s">
        <v>331</v>
      </c>
      <c r="L120" s="4" t="s">
        <v>43</v>
      </c>
      <c r="M120" s="4" t="s">
        <v>138</v>
      </c>
      <c r="N120" s="4" t="s">
        <v>40</v>
      </c>
      <c r="O120" s="4" t="s">
        <v>984</v>
      </c>
      <c r="P120" s="4" t="s">
        <v>569</v>
      </c>
      <c r="Q120" s="4" t="s">
        <v>42</v>
      </c>
      <c r="R120" s="50" t="s">
        <v>43</v>
      </c>
      <c r="S120" s="50"/>
      <c r="T120" s="50" t="s">
        <v>557</v>
      </c>
      <c r="U120" s="4" t="s">
        <v>43</v>
      </c>
      <c r="V120" s="4"/>
    </row>
    <row r="121" spans="3:22" hidden="1" x14ac:dyDescent="0.25">
      <c r="C121" s="4" t="s">
        <v>750</v>
      </c>
      <c r="D121" s="4" t="s">
        <v>751</v>
      </c>
      <c r="E121" s="4" t="s">
        <v>751</v>
      </c>
      <c r="F121" s="4">
        <v>5</v>
      </c>
      <c r="G121" s="4" t="s">
        <v>376</v>
      </c>
      <c r="H121" s="4" t="str">
        <f>VLOOKUP(C121,[1]MAESTRA!$I$5:$J$399,2,0)</f>
        <v>cl-plazavergara@tiendas.oxxo.com</v>
      </c>
      <c r="I121" s="4" t="s">
        <v>46</v>
      </c>
      <c r="J121" s="4" t="s">
        <v>1031</v>
      </c>
      <c r="K121" s="4" t="s">
        <v>84</v>
      </c>
      <c r="L121" s="4" t="s">
        <v>440</v>
      </c>
      <c r="M121" s="4" t="s">
        <v>54</v>
      </c>
      <c r="N121" s="4" t="s">
        <v>55</v>
      </c>
      <c r="O121" s="4" t="s">
        <v>378</v>
      </c>
      <c r="P121" s="4" t="s">
        <v>750</v>
      </c>
      <c r="Q121" s="4" t="s">
        <v>42</v>
      </c>
      <c r="R121" s="50" t="s">
        <v>43</v>
      </c>
      <c r="S121" s="50"/>
      <c r="T121" s="50" t="s">
        <v>741</v>
      </c>
      <c r="U121" s="4" t="s">
        <v>43</v>
      </c>
      <c r="V121" s="4"/>
    </row>
    <row r="122" spans="3:22" hidden="1" x14ac:dyDescent="0.25">
      <c r="C122" s="4" t="s">
        <v>488</v>
      </c>
      <c r="D122" s="4" t="s">
        <v>489</v>
      </c>
      <c r="E122" s="4" t="s">
        <v>490</v>
      </c>
      <c r="F122" s="4">
        <v>5</v>
      </c>
      <c r="G122" s="4" t="s">
        <v>376</v>
      </c>
      <c r="H122" s="4" t="str">
        <f>VLOOKUP(C122,[1]MAESTRA!$I$5:$J$399,2,0)</f>
        <v>cl-barrosborgono@tiendas.oxxo.com</v>
      </c>
      <c r="I122" s="4" t="s">
        <v>46</v>
      </c>
      <c r="J122" s="4" t="s">
        <v>1030</v>
      </c>
      <c r="K122" s="4" t="s">
        <v>466</v>
      </c>
      <c r="L122" s="4" t="s">
        <v>43</v>
      </c>
      <c r="M122" s="4" t="s">
        <v>51</v>
      </c>
      <c r="N122" s="4" t="s">
        <v>40</v>
      </c>
      <c r="O122" s="4" t="s">
        <v>1035</v>
      </c>
      <c r="P122" s="4" t="s">
        <v>488</v>
      </c>
      <c r="Q122" s="4" t="s">
        <v>42</v>
      </c>
      <c r="R122" s="50" t="s">
        <v>43</v>
      </c>
      <c r="S122" s="50"/>
      <c r="T122" s="50" t="s">
        <v>467</v>
      </c>
      <c r="U122" s="4" t="s">
        <v>43</v>
      </c>
      <c r="V122" s="4"/>
    </row>
    <row r="123" spans="3:22" hidden="1" x14ac:dyDescent="0.25">
      <c r="C123" s="4" t="s">
        <v>952</v>
      </c>
      <c r="D123" s="4" t="s">
        <v>953</v>
      </c>
      <c r="E123" s="4" t="s">
        <v>953</v>
      </c>
      <c r="F123" s="4">
        <v>5.45</v>
      </c>
      <c r="G123" s="4" t="s">
        <v>376</v>
      </c>
      <c r="H123" s="4" t="str">
        <f>VLOOKUP(C123,[1]MAESTRA!$I$5:$J$399,2,0)</f>
        <v>cl-priedraroja@tiendas.oxxo.com</v>
      </c>
      <c r="I123" s="4" t="s">
        <v>46</v>
      </c>
      <c r="J123" s="4" t="s">
        <v>1030</v>
      </c>
      <c r="K123" s="4" t="s">
        <v>160</v>
      </c>
      <c r="L123" s="4" t="s">
        <v>43</v>
      </c>
      <c r="M123" s="4" t="s">
        <v>371</v>
      </c>
      <c r="N123" s="4" t="s">
        <v>40</v>
      </c>
      <c r="O123" s="4" t="s">
        <v>984</v>
      </c>
      <c r="P123" s="4" t="s">
        <v>952</v>
      </c>
      <c r="Q123" s="4" t="s">
        <v>42</v>
      </c>
      <c r="R123" s="50" t="s">
        <v>43</v>
      </c>
      <c r="S123" s="50"/>
      <c r="T123" s="50" t="s">
        <v>931</v>
      </c>
      <c r="U123" s="4" t="s">
        <v>43</v>
      </c>
      <c r="V123" s="4"/>
    </row>
    <row r="124" spans="3:22" hidden="1" x14ac:dyDescent="0.25">
      <c r="C124" s="4" t="s">
        <v>675</v>
      </c>
      <c r="D124" s="4" t="s">
        <v>676</v>
      </c>
      <c r="E124" s="4" t="s">
        <v>676</v>
      </c>
      <c r="F124" s="4">
        <v>5</v>
      </c>
      <c r="G124" s="4" t="s">
        <v>376</v>
      </c>
      <c r="H124" s="4" t="str">
        <f>VLOOKUP(C124,[1]MAESTRA!$I$5:$J$399,2,0)</f>
        <v>cl-pedrodevaldivia9@tiendas.oxxo.com</v>
      </c>
      <c r="I124" s="4" t="s">
        <v>81</v>
      </c>
      <c r="J124" s="4" t="s">
        <v>1030</v>
      </c>
      <c r="K124" s="4" t="s">
        <v>248</v>
      </c>
      <c r="L124" s="4" t="s">
        <v>43</v>
      </c>
      <c r="M124" s="4" t="s">
        <v>51</v>
      </c>
      <c r="N124" s="4" t="s">
        <v>40</v>
      </c>
      <c r="O124" s="4" t="s">
        <v>984</v>
      </c>
      <c r="P124" s="4" t="s">
        <v>675</v>
      </c>
      <c r="Q124" s="4" t="s">
        <v>42</v>
      </c>
      <c r="R124" s="50" t="s">
        <v>43</v>
      </c>
      <c r="S124" s="50"/>
      <c r="T124" s="50" t="s">
        <v>51</v>
      </c>
      <c r="U124" s="4" t="s">
        <v>43</v>
      </c>
      <c r="V124" s="4"/>
    </row>
    <row r="125" spans="3:22" hidden="1" x14ac:dyDescent="0.25">
      <c r="C125" s="4" t="s">
        <v>780</v>
      </c>
      <c r="D125" s="4" t="s">
        <v>781</v>
      </c>
      <c r="E125" s="4" t="s">
        <v>781</v>
      </c>
      <c r="F125" s="4">
        <v>5.45</v>
      </c>
      <c r="G125" s="4" t="s">
        <v>376</v>
      </c>
      <c r="H125" s="4" t="str">
        <f>VLOOKUP(C125,[1]MAESTRA!$I$5:$J$399,2,0)</f>
        <v>cl-barrosarana@tiendas.oxxo.com</v>
      </c>
      <c r="I125" s="4" t="s">
        <v>46</v>
      </c>
      <c r="J125" s="4" t="s">
        <v>1031</v>
      </c>
      <c r="K125" s="4" t="s">
        <v>89</v>
      </c>
      <c r="L125" s="4" t="s">
        <v>43</v>
      </c>
      <c r="M125" s="4" t="s">
        <v>109</v>
      </c>
      <c r="N125" s="4" t="s">
        <v>91</v>
      </c>
      <c r="O125" s="4" t="s">
        <v>378</v>
      </c>
      <c r="P125" s="4" t="s">
        <v>780</v>
      </c>
      <c r="Q125" s="4" t="s">
        <v>42</v>
      </c>
      <c r="R125" s="50" t="s">
        <v>43</v>
      </c>
      <c r="S125" s="50"/>
      <c r="T125" s="50" t="s">
        <v>772</v>
      </c>
      <c r="U125" s="4" t="s">
        <v>43</v>
      </c>
      <c r="V125" s="4"/>
    </row>
    <row r="126" spans="3:22" hidden="1" x14ac:dyDescent="0.25">
      <c r="C126" s="4" t="s">
        <v>628</v>
      </c>
      <c r="D126" s="4" t="s">
        <v>996</v>
      </c>
      <c r="E126" s="4" t="s">
        <v>630</v>
      </c>
      <c r="F126" s="4">
        <v>5.6</v>
      </c>
      <c r="G126" s="4" t="s">
        <v>376</v>
      </c>
      <c r="H126" s="4" t="str">
        <f>VLOOKUP(C126,[1]MAESTRA!$I$5:$J$399,2,0)</f>
        <v>cl-metrochileespana@tiendas.oxxo.com</v>
      </c>
      <c r="I126" s="4" t="s">
        <v>46</v>
      </c>
      <c r="J126" s="4" t="s">
        <v>1030</v>
      </c>
      <c r="K126" s="4" t="s">
        <v>50</v>
      </c>
      <c r="L126" s="4" t="s">
        <v>43</v>
      </c>
      <c r="M126" s="4" t="s">
        <v>64</v>
      </c>
      <c r="N126" s="4" t="s">
        <v>40</v>
      </c>
      <c r="O126" s="4" t="s">
        <v>514</v>
      </c>
      <c r="P126" s="4" t="s">
        <v>628</v>
      </c>
      <c r="Q126" s="4" t="s">
        <v>42</v>
      </c>
      <c r="R126" s="50" t="s">
        <v>43</v>
      </c>
      <c r="S126" s="50"/>
      <c r="T126" s="50" t="s">
        <v>597</v>
      </c>
      <c r="U126" s="4" t="s">
        <v>43</v>
      </c>
      <c r="V126" s="4" t="s">
        <v>32</v>
      </c>
    </row>
    <row r="127" spans="3:22" hidden="1" x14ac:dyDescent="0.25">
      <c r="C127" s="4" t="s">
        <v>408</v>
      </c>
      <c r="D127" s="4" t="s">
        <v>409</v>
      </c>
      <c r="E127" s="4" t="s">
        <v>410</v>
      </c>
      <c r="F127" s="4">
        <v>5</v>
      </c>
      <c r="G127" s="4" t="s">
        <v>376</v>
      </c>
      <c r="H127" s="4" t="str">
        <f>VLOOKUP(C127,[1]MAESTRA!$I$5:$J$399,2,0)</f>
        <v>cl-rosariosur2@tiendas.oxxo.com</v>
      </c>
      <c r="I127" s="4" t="s">
        <v>46</v>
      </c>
      <c r="J127" s="4" t="s">
        <v>1031</v>
      </c>
      <c r="K127" s="4" t="s">
        <v>63</v>
      </c>
      <c r="L127" s="4" t="s">
        <v>43</v>
      </c>
      <c r="M127" s="4" t="s">
        <v>138</v>
      </c>
      <c r="N127" s="4" t="s">
        <v>40</v>
      </c>
      <c r="O127" s="4" t="s">
        <v>378</v>
      </c>
      <c r="P127" s="4" t="s">
        <v>408</v>
      </c>
      <c r="Q127" s="4" t="s">
        <v>42</v>
      </c>
      <c r="R127" s="50" t="s">
        <v>43</v>
      </c>
      <c r="S127" s="50"/>
      <c r="T127" s="50" t="s">
        <v>380</v>
      </c>
      <c r="U127" s="4" t="s">
        <v>43</v>
      </c>
      <c r="V127" s="4"/>
    </row>
    <row r="128" spans="3:22" hidden="1" x14ac:dyDescent="0.25">
      <c r="C128" s="4" t="s">
        <v>677</v>
      </c>
      <c r="D128" s="4" t="s">
        <v>678</v>
      </c>
      <c r="E128" s="4" t="s">
        <v>679</v>
      </c>
      <c r="F128" s="4">
        <v>5</v>
      </c>
      <c r="G128" s="4" t="s">
        <v>376</v>
      </c>
      <c r="H128" s="4" t="str">
        <f>VLOOKUP(C128,[1]MAESTRA!$I$5:$J$399,2,0)</f>
        <v>cl-toledo@tiendas.oxxo.com</v>
      </c>
      <c r="I128" s="4" t="s">
        <v>46</v>
      </c>
      <c r="J128" s="4" t="s">
        <v>1030</v>
      </c>
      <c r="K128" s="4" t="s">
        <v>248</v>
      </c>
      <c r="L128" s="4" t="s">
        <v>43</v>
      </c>
      <c r="M128" s="4" t="s">
        <v>51</v>
      </c>
      <c r="N128" s="4" t="s">
        <v>40</v>
      </c>
      <c r="O128" s="4" t="s">
        <v>984</v>
      </c>
      <c r="P128" s="4" t="s">
        <v>677</v>
      </c>
      <c r="Q128" s="4" t="s">
        <v>42</v>
      </c>
      <c r="R128" s="50" t="s">
        <v>43</v>
      </c>
      <c r="S128" s="50"/>
      <c r="T128" s="50" t="s">
        <v>51</v>
      </c>
      <c r="U128" s="4" t="s">
        <v>43</v>
      </c>
      <c r="V128" s="4"/>
    </row>
    <row r="129" spans="3:22" hidden="1" x14ac:dyDescent="0.25">
      <c r="C129" s="4" t="s">
        <v>571</v>
      </c>
      <c r="D129" s="4" t="s">
        <v>572</v>
      </c>
      <c r="E129" s="4" t="s">
        <v>572</v>
      </c>
      <c r="F129" s="4">
        <v>6</v>
      </c>
      <c r="G129" s="4" t="s">
        <v>376</v>
      </c>
      <c r="H129" s="4" t="str">
        <f>VLOOKUP(C129,[1]MAESTRA!$I$5:$J$399,2,0)</f>
        <v>cl-napoleon@tiendas.oxxo.com</v>
      </c>
      <c r="I129" s="4" t="s">
        <v>46</v>
      </c>
      <c r="J129" s="4" t="s">
        <v>1030</v>
      </c>
      <c r="K129" s="4" t="s">
        <v>331</v>
      </c>
      <c r="L129" s="4" t="s">
        <v>43</v>
      </c>
      <c r="M129" s="4" t="s">
        <v>138</v>
      </c>
      <c r="N129" s="4" t="s">
        <v>40</v>
      </c>
      <c r="O129" s="4" t="s">
        <v>984</v>
      </c>
      <c r="P129" s="4" t="s">
        <v>571</v>
      </c>
      <c r="Q129" s="4" t="s">
        <v>42</v>
      </c>
      <c r="R129" s="50" t="s">
        <v>43</v>
      </c>
      <c r="S129" s="50"/>
      <c r="T129" s="50" t="s">
        <v>557</v>
      </c>
      <c r="U129" s="4" t="s">
        <v>43</v>
      </c>
      <c r="V129" s="4"/>
    </row>
    <row r="130" spans="3:22" hidden="1" x14ac:dyDescent="0.25">
      <c r="C130" s="4" t="s">
        <v>752</v>
      </c>
      <c r="D130" s="4" t="s">
        <v>753</v>
      </c>
      <c r="E130" s="4" t="s">
        <v>753</v>
      </c>
      <c r="F130" s="4">
        <v>8</v>
      </c>
      <c r="G130" s="4" t="s">
        <v>376</v>
      </c>
      <c r="H130" s="4" t="str">
        <f>VLOOKUP(C130,[1]MAESTRA!$I$5:$J$399,2,0)</f>
        <v>cl-vonschroeder@tiendas.oxxo.com</v>
      </c>
      <c r="I130" s="4" t="s">
        <v>46</v>
      </c>
      <c r="J130" s="4" t="s">
        <v>1031</v>
      </c>
      <c r="K130" s="4" t="s">
        <v>84</v>
      </c>
      <c r="L130" s="4" t="s">
        <v>440</v>
      </c>
      <c r="M130" s="4" t="s">
        <v>54</v>
      </c>
      <c r="N130" s="4" t="s">
        <v>55</v>
      </c>
      <c r="O130" s="4" t="s">
        <v>378</v>
      </c>
      <c r="P130" s="4" t="s">
        <v>752</v>
      </c>
      <c r="Q130" s="4" t="s">
        <v>379</v>
      </c>
      <c r="R130" s="50" t="s">
        <v>43</v>
      </c>
      <c r="S130" s="50"/>
      <c r="T130" s="50" t="s">
        <v>741</v>
      </c>
      <c r="U130" s="4" t="s">
        <v>43</v>
      </c>
      <c r="V130" s="4"/>
    </row>
    <row r="131" spans="3:22" hidden="1" x14ac:dyDescent="0.25">
      <c r="C131" s="4" t="s">
        <v>680</v>
      </c>
      <c r="D131" s="4" t="s">
        <v>681</v>
      </c>
      <c r="E131" s="4" t="s">
        <v>682</v>
      </c>
      <c r="F131" s="4">
        <v>5</v>
      </c>
      <c r="G131" s="4" t="s">
        <v>376</v>
      </c>
      <c r="H131" s="4" t="str">
        <f>VLOOKUP(C131,[1]MAESTRA!$I$5:$J$399,2,0)</f>
        <v>cl-eliodoroyanez@tiendas.oxxo.com</v>
      </c>
      <c r="I131" s="4" t="s">
        <v>46</v>
      </c>
      <c r="J131" s="4" t="s">
        <v>1030</v>
      </c>
      <c r="K131" s="4" t="s">
        <v>248</v>
      </c>
      <c r="L131" s="4" t="s">
        <v>43</v>
      </c>
      <c r="M131" s="4" t="s">
        <v>51</v>
      </c>
      <c r="N131" s="4" t="s">
        <v>40</v>
      </c>
      <c r="O131" s="4" t="s">
        <v>984</v>
      </c>
      <c r="P131" s="4" t="s">
        <v>680</v>
      </c>
      <c r="Q131" s="4" t="s">
        <v>42</v>
      </c>
      <c r="R131" s="50" t="s">
        <v>440</v>
      </c>
      <c r="S131" s="50"/>
      <c r="T131" s="50" t="s">
        <v>51</v>
      </c>
      <c r="U131" s="4" t="s">
        <v>43</v>
      </c>
      <c r="V131" s="4"/>
    </row>
    <row r="132" spans="3:22" hidden="1" x14ac:dyDescent="0.25">
      <c r="C132" s="4" t="s">
        <v>954</v>
      </c>
      <c r="D132" s="4" t="s">
        <v>955</v>
      </c>
      <c r="E132" s="4" t="s">
        <v>956</v>
      </c>
      <c r="F132" s="4">
        <v>5</v>
      </c>
      <c r="G132" s="4" t="s">
        <v>376</v>
      </c>
      <c r="H132" s="4" t="str">
        <f>VLOOKUP(C132,[1]MAESTRA!$I$5:$J$399,2,0)</f>
        <v>cl-armandojaramillo@tiendas.oxxo.com</v>
      </c>
      <c r="I132" s="4" t="s">
        <v>46</v>
      </c>
      <c r="J132" s="4" t="s">
        <v>1030</v>
      </c>
      <c r="K132" s="4" t="s">
        <v>160</v>
      </c>
      <c r="L132" s="4" t="s">
        <v>43</v>
      </c>
      <c r="M132" s="4" t="s">
        <v>353</v>
      </c>
      <c r="N132" s="4" t="s">
        <v>40</v>
      </c>
      <c r="O132" s="4" t="s">
        <v>984</v>
      </c>
      <c r="P132" s="4" t="s">
        <v>954</v>
      </c>
      <c r="Q132" s="4" t="s">
        <v>42</v>
      </c>
      <c r="R132" s="50" t="s">
        <v>440</v>
      </c>
      <c r="S132" s="50"/>
      <c r="T132" s="50" t="s">
        <v>931</v>
      </c>
      <c r="U132" s="4" t="s">
        <v>43</v>
      </c>
      <c r="V132" s="4"/>
    </row>
    <row r="133" spans="3:22" hidden="1" x14ac:dyDescent="0.25">
      <c r="C133" s="4" t="s">
        <v>68</v>
      </c>
      <c r="D133" s="4" t="s">
        <v>69</v>
      </c>
      <c r="E133" s="4" t="s">
        <v>70</v>
      </c>
      <c r="F133" s="4" t="s">
        <v>36</v>
      </c>
      <c r="G133" s="4" t="s">
        <v>37</v>
      </c>
      <c r="H133" s="4" t="str">
        <f>VLOOKUP(C133,[1]MAESTRA!$I$5:$J$399,2,0)</f>
        <v>cl-hamburgo2@tiendas.oxxo.com</v>
      </c>
      <c r="I133" s="4" t="s">
        <v>38</v>
      </c>
      <c r="J133" s="4" t="s">
        <v>1030</v>
      </c>
      <c r="K133" s="4" t="s">
        <v>58</v>
      </c>
      <c r="L133" s="4"/>
      <c r="M133" s="4" t="s">
        <v>64</v>
      </c>
      <c r="N133" s="4" t="s">
        <v>40</v>
      </c>
      <c r="O133" s="4">
        <v>0</v>
      </c>
      <c r="P133" s="4" t="s">
        <v>68</v>
      </c>
      <c r="Q133" s="4" t="s">
        <v>42</v>
      </c>
      <c r="R133" s="50" t="s">
        <v>43</v>
      </c>
      <c r="S133" s="50"/>
      <c r="T133" s="50">
        <v>0</v>
      </c>
      <c r="U133" s="4" t="s">
        <v>36</v>
      </c>
      <c r="V133" s="4"/>
    </row>
    <row r="134" spans="3:22" hidden="1" x14ac:dyDescent="0.25">
      <c r="C134" s="4" t="s">
        <v>867</v>
      </c>
      <c r="D134" s="4" t="s">
        <v>997</v>
      </c>
      <c r="E134" s="4" t="s">
        <v>869</v>
      </c>
      <c r="F134" s="4">
        <v>5.04</v>
      </c>
      <c r="G134" s="4" t="s">
        <v>376</v>
      </c>
      <c r="H134" s="4" t="str">
        <f>VLOOKUP(C134,[1]MAESTRA!$I$5:$J$399,2,0)</f>
        <v>cl-huinganalii@tiendas.oxxo.com</v>
      </c>
      <c r="I134" s="4" t="s">
        <v>46</v>
      </c>
      <c r="J134" s="4" t="s">
        <v>1030</v>
      </c>
      <c r="K134" s="4" t="s">
        <v>132</v>
      </c>
      <c r="L134" s="4" t="s">
        <v>43</v>
      </c>
      <c r="M134" s="4" t="s">
        <v>856</v>
      </c>
      <c r="N134" s="4" t="s">
        <v>40</v>
      </c>
      <c r="O134" s="4" t="s">
        <v>1035</v>
      </c>
      <c r="P134" s="4" t="s">
        <v>867</v>
      </c>
      <c r="Q134" s="4" t="s">
        <v>42</v>
      </c>
      <c r="R134" s="50" t="s">
        <v>440</v>
      </c>
      <c r="S134" s="50"/>
      <c r="T134" s="50" t="s">
        <v>847</v>
      </c>
      <c r="U134" s="4" t="s">
        <v>43</v>
      </c>
      <c r="V134" s="4" t="s">
        <v>32</v>
      </c>
    </row>
    <row r="135" spans="3:22" hidden="1" x14ac:dyDescent="0.25">
      <c r="C135" s="4" t="s">
        <v>71</v>
      </c>
      <c r="D135" s="4" t="s">
        <v>72</v>
      </c>
      <c r="E135" s="4" t="s">
        <v>72</v>
      </c>
      <c r="F135" s="4">
        <v>0</v>
      </c>
      <c r="G135" s="4" t="s">
        <v>37</v>
      </c>
      <c r="H135" s="4" t="str">
        <f>VLOOKUP(C135,[1]MAESTRA!$I$5:$J$399,2,0)</f>
        <v>okm-mallplazaoeste@tiendas.oxxo.com</v>
      </c>
      <c r="I135" s="4" t="s">
        <v>46</v>
      </c>
      <c r="J135" s="4" t="s">
        <v>1030</v>
      </c>
      <c r="K135" s="4" t="s">
        <v>73</v>
      </c>
      <c r="L135" s="4"/>
      <c r="M135" s="4" t="s">
        <v>74</v>
      </c>
      <c r="N135" s="4" t="s">
        <v>40</v>
      </c>
      <c r="O135" s="4">
        <v>0</v>
      </c>
      <c r="P135" s="4" t="s">
        <v>71</v>
      </c>
      <c r="Q135" s="4" t="s">
        <v>42</v>
      </c>
      <c r="R135" s="50" t="s">
        <v>43</v>
      </c>
      <c r="S135" s="50"/>
      <c r="T135" s="50">
        <v>0</v>
      </c>
      <c r="U135" s="4" t="s">
        <v>36</v>
      </c>
      <c r="V135" s="4"/>
    </row>
    <row r="136" spans="3:22" hidden="1" x14ac:dyDescent="0.25">
      <c r="C136" s="4" t="s">
        <v>802</v>
      </c>
      <c r="D136" s="4" t="s">
        <v>803</v>
      </c>
      <c r="E136" s="4" t="s">
        <v>803</v>
      </c>
      <c r="F136" s="4">
        <v>7</v>
      </c>
      <c r="G136" s="4" t="s">
        <v>376</v>
      </c>
      <c r="H136" s="4" t="str">
        <f>VLOOKUP(C136,[1]MAESTRA!$I$5:$J$399,2,0)</f>
        <v>cl-natanielcox@tiendas.oxxo.com</v>
      </c>
      <c r="I136" s="4" t="s">
        <v>46</v>
      </c>
      <c r="J136" s="4" t="s">
        <v>1030</v>
      </c>
      <c r="K136" s="4" t="s">
        <v>146</v>
      </c>
      <c r="L136" s="4" t="s">
        <v>43</v>
      </c>
      <c r="M136" s="4" t="s">
        <v>59</v>
      </c>
      <c r="N136" s="4" t="s">
        <v>40</v>
      </c>
      <c r="O136" s="4" t="s">
        <v>1035</v>
      </c>
      <c r="P136" s="4" t="s">
        <v>802</v>
      </c>
      <c r="Q136" s="4" t="s">
        <v>42</v>
      </c>
      <c r="R136" s="50" t="s">
        <v>43</v>
      </c>
      <c r="S136" s="50"/>
      <c r="T136" s="50" t="s">
        <v>799</v>
      </c>
      <c r="U136" s="4" t="s">
        <v>43</v>
      </c>
      <c r="V136" s="4"/>
    </row>
    <row r="137" spans="3:22" hidden="1" x14ac:dyDescent="0.25">
      <c r="C137" s="4" t="s">
        <v>957</v>
      </c>
      <c r="D137" s="4" t="s">
        <v>959</v>
      </c>
      <c r="E137" s="4" t="s">
        <v>998</v>
      </c>
      <c r="F137" s="4">
        <v>5.45</v>
      </c>
      <c r="G137" s="4" t="s">
        <v>376</v>
      </c>
      <c r="H137" s="4" t="str">
        <f>VLOOKUP(C137,[1]MAESTRA!$I$5:$J$399,2,0)</f>
        <v>cl-elparquecempre2@tiendas.oxxo.com</v>
      </c>
      <c r="I137" s="4" t="s">
        <v>46</v>
      </c>
      <c r="J137" s="4" t="s">
        <v>1030</v>
      </c>
      <c r="K137" s="4" t="s">
        <v>160</v>
      </c>
      <c r="L137" s="4" t="s">
        <v>43</v>
      </c>
      <c r="M137" s="4" t="s">
        <v>39</v>
      </c>
      <c r="N137" s="4" t="s">
        <v>40</v>
      </c>
      <c r="O137" s="4" t="s">
        <v>984</v>
      </c>
      <c r="P137" s="4" t="s">
        <v>957</v>
      </c>
      <c r="Q137" s="4" t="s">
        <v>42</v>
      </c>
      <c r="R137" s="50" t="s">
        <v>43</v>
      </c>
      <c r="S137" s="50"/>
      <c r="T137" s="50" t="s">
        <v>931</v>
      </c>
      <c r="U137" s="4" t="s">
        <v>43</v>
      </c>
      <c r="V137" s="4"/>
    </row>
    <row r="138" spans="3:22" hidden="1" x14ac:dyDescent="0.25">
      <c r="C138" s="4" t="s">
        <v>75</v>
      </c>
      <c r="D138" s="4" t="s">
        <v>76</v>
      </c>
      <c r="E138" s="4" t="s">
        <v>77</v>
      </c>
      <c r="F138" s="4" t="s">
        <v>36</v>
      </c>
      <c r="G138" s="4" t="s">
        <v>37</v>
      </c>
      <c r="H138" s="4" t="str">
        <f>VLOOKUP(C138,[1]MAESTRA!$I$5:$J$399,2,0)</f>
        <v>cl-avenidaperu@tiendas.oxxo.com</v>
      </c>
      <c r="I138" s="4" t="s">
        <v>38</v>
      </c>
      <c r="J138" s="4" t="s">
        <v>1030</v>
      </c>
      <c r="K138" s="4">
        <v>0</v>
      </c>
      <c r="L138" s="4"/>
      <c r="M138" s="4" t="s">
        <v>78</v>
      </c>
      <c r="N138" s="4" t="s">
        <v>40</v>
      </c>
      <c r="O138" s="4">
        <v>0</v>
      </c>
      <c r="P138" s="4" t="s">
        <v>75</v>
      </c>
      <c r="Q138" s="4" t="s">
        <v>42</v>
      </c>
      <c r="R138" s="50" t="s">
        <v>43</v>
      </c>
      <c r="S138" s="50"/>
      <c r="T138" s="50">
        <v>0</v>
      </c>
      <c r="U138" s="4" t="s">
        <v>36</v>
      </c>
      <c r="V138" s="4"/>
    </row>
    <row r="139" spans="3:22" hidden="1" x14ac:dyDescent="0.25">
      <c r="C139" s="4" t="s">
        <v>491</v>
      </c>
      <c r="D139" s="4" t="s">
        <v>493</v>
      </c>
      <c r="E139" s="4" t="s">
        <v>493</v>
      </c>
      <c r="F139" s="4">
        <v>5</v>
      </c>
      <c r="G139" s="4" t="s">
        <v>1032</v>
      </c>
      <c r="H139" s="4" t="str">
        <f>VLOOKUP(C139,[1]MAESTRA!$I$5:$J$399,2,0)</f>
        <v>cl-santabeatriz@tiendas.oxxo.com</v>
      </c>
      <c r="I139" s="4" t="s">
        <v>46</v>
      </c>
      <c r="J139" s="4" t="s">
        <v>1030</v>
      </c>
      <c r="K139" s="4" t="s">
        <v>466</v>
      </c>
      <c r="L139" s="4" t="s">
        <v>43</v>
      </c>
      <c r="M139" s="4" t="s">
        <v>51</v>
      </c>
      <c r="N139" s="4" t="s">
        <v>40</v>
      </c>
      <c r="O139" s="4" t="s">
        <v>1035</v>
      </c>
      <c r="P139" s="4" t="s">
        <v>491</v>
      </c>
      <c r="Q139" s="4" t="s">
        <v>42</v>
      </c>
      <c r="R139" s="50" t="s">
        <v>43</v>
      </c>
      <c r="S139" s="50"/>
      <c r="T139" s="50" t="s">
        <v>467</v>
      </c>
      <c r="U139" s="4" t="s">
        <v>43</v>
      </c>
      <c r="V139" s="4"/>
    </row>
    <row r="140" spans="3:22" hidden="1" x14ac:dyDescent="0.25">
      <c r="C140" s="4" t="s">
        <v>494</v>
      </c>
      <c r="D140" s="4" t="s">
        <v>495</v>
      </c>
      <c r="E140" s="4" t="s">
        <v>496</v>
      </c>
      <c r="F140" s="4">
        <v>5.04</v>
      </c>
      <c r="G140" s="4" t="s">
        <v>376</v>
      </c>
      <c r="H140" s="4" t="str">
        <f>VLOOKUP(C140,[1]MAESTRA!$I$5:$J$399,2,0)</f>
        <v>cl-luisthayerojeda2@tiendas.oxxo.com</v>
      </c>
      <c r="I140" s="4" t="s">
        <v>46</v>
      </c>
      <c r="J140" s="4" t="s">
        <v>1030</v>
      </c>
      <c r="K140" s="4" t="s">
        <v>466</v>
      </c>
      <c r="L140" s="4" t="s">
        <v>43</v>
      </c>
      <c r="M140" s="4" t="s">
        <v>51</v>
      </c>
      <c r="N140" s="4" t="s">
        <v>40</v>
      </c>
      <c r="O140" s="4" t="s">
        <v>1035</v>
      </c>
      <c r="P140" s="4" t="s">
        <v>494</v>
      </c>
      <c r="Q140" s="4" t="s">
        <v>42</v>
      </c>
      <c r="R140" s="50" t="s">
        <v>43</v>
      </c>
      <c r="S140" s="50"/>
      <c r="T140" s="50" t="s">
        <v>467</v>
      </c>
      <c r="U140" s="4" t="s">
        <v>43</v>
      </c>
      <c r="V140" s="4" t="s">
        <v>32</v>
      </c>
    </row>
    <row r="141" spans="3:22" hidden="1" x14ac:dyDescent="0.25">
      <c r="C141" s="4" t="s">
        <v>542</v>
      </c>
      <c r="D141" s="4" t="s">
        <v>543</v>
      </c>
      <c r="E141" s="4" t="s">
        <v>543</v>
      </c>
      <c r="F141" s="4">
        <v>6</v>
      </c>
      <c r="G141" s="4" t="s">
        <v>376</v>
      </c>
      <c r="H141" s="4" t="str">
        <f>VLOOKUP(C141,[1]MAESTRA!$I$5:$J$399,2,0)</f>
        <v>cl-colon2@tiendas.oxxo.com</v>
      </c>
      <c r="I141" s="4" t="s">
        <v>46</v>
      </c>
      <c r="J141" s="4" t="s">
        <v>1030</v>
      </c>
      <c r="K141" s="4" t="s">
        <v>100</v>
      </c>
      <c r="L141" s="4" t="s">
        <v>43</v>
      </c>
      <c r="M141" s="4" t="s">
        <v>138</v>
      </c>
      <c r="N141" s="4" t="s">
        <v>40</v>
      </c>
      <c r="O141" s="4" t="s">
        <v>514</v>
      </c>
      <c r="P141" s="4" t="s">
        <v>542</v>
      </c>
      <c r="Q141" s="4" t="s">
        <v>42</v>
      </c>
      <c r="R141" s="50" t="s">
        <v>43</v>
      </c>
      <c r="S141" s="50"/>
      <c r="T141" s="50" t="s">
        <v>515</v>
      </c>
      <c r="U141" s="4" t="s">
        <v>43</v>
      </c>
      <c r="V141" s="4"/>
    </row>
    <row r="142" spans="3:22" hidden="1" x14ac:dyDescent="0.25">
      <c r="C142" s="4" t="s">
        <v>544</v>
      </c>
      <c r="D142" s="4" t="s">
        <v>545</v>
      </c>
      <c r="E142" s="4" t="s">
        <v>545</v>
      </c>
      <c r="F142" s="4">
        <v>5</v>
      </c>
      <c r="G142" s="4" t="s">
        <v>376</v>
      </c>
      <c r="H142" s="4" t="str">
        <f>VLOOKUP(C142,[1]MAESTRA!$I$5:$J$399,2,0)</f>
        <v>cl-colonpontevedra@tiendas.oxxo.com</v>
      </c>
      <c r="I142" s="4" t="s">
        <v>46</v>
      </c>
      <c r="J142" s="4" t="s">
        <v>1030</v>
      </c>
      <c r="K142" s="4" t="s">
        <v>100</v>
      </c>
      <c r="L142" s="4" t="s">
        <v>43</v>
      </c>
      <c r="M142" s="4" t="s">
        <v>138</v>
      </c>
      <c r="N142" s="4" t="s">
        <v>40</v>
      </c>
      <c r="O142" s="4" t="s">
        <v>514</v>
      </c>
      <c r="P142" s="4" t="s">
        <v>544</v>
      </c>
      <c r="Q142" s="4" t="s">
        <v>42</v>
      </c>
      <c r="R142" s="50" t="s">
        <v>43</v>
      </c>
      <c r="S142" s="50"/>
      <c r="T142" s="50" t="s">
        <v>515</v>
      </c>
      <c r="U142" s="4" t="s">
        <v>43</v>
      </c>
      <c r="V142" s="4"/>
    </row>
    <row r="143" spans="3:22" hidden="1" x14ac:dyDescent="0.25">
      <c r="C143" s="4" t="s">
        <v>810</v>
      </c>
      <c r="D143" s="4" t="s">
        <v>811</v>
      </c>
      <c r="E143" s="4" t="s">
        <v>811</v>
      </c>
      <c r="F143" s="4">
        <v>5</v>
      </c>
      <c r="G143" s="4" t="s">
        <v>376</v>
      </c>
      <c r="H143" s="4" t="str">
        <f>VLOOKUP(C143,[1]MAESTRA!$I$5:$J$399,2,0)</f>
        <v>cl-amunategui@tiendas.oxxo.com</v>
      </c>
      <c r="I143" s="4" t="s">
        <v>46</v>
      </c>
      <c r="J143" s="4" t="s">
        <v>1030</v>
      </c>
      <c r="K143" s="4" t="s">
        <v>146</v>
      </c>
      <c r="L143" s="4" t="s">
        <v>43</v>
      </c>
      <c r="M143" s="4" t="s">
        <v>59</v>
      </c>
      <c r="N143" s="4" t="s">
        <v>40</v>
      </c>
      <c r="O143" s="4" t="s">
        <v>1035</v>
      </c>
      <c r="P143" s="4" t="s">
        <v>810</v>
      </c>
      <c r="Q143" s="4" t="s">
        <v>42</v>
      </c>
      <c r="R143" s="50" t="s">
        <v>43</v>
      </c>
      <c r="S143" s="50"/>
      <c r="T143" s="50" t="s">
        <v>799</v>
      </c>
      <c r="U143" s="4" t="s">
        <v>43</v>
      </c>
      <c r="V143" s="4"/>
    </row>
    <row r="144" spans="3:22" hidden="1" x14ac:dyDescent="0.25">
      <c r="C144" s="4" t="s">
        <v>79</v>
      </c>
      <c r="D144" s="4" t="s">
        <v>80</v>
      </c>
      <c r="E144" s="4" t="s">
        <v>80</v>
      </c>
      <c r="F144" s="4" t="s">
        <v>36</v>
      </c>
      <c r="G144" s="4" t="s">
        <v>37</v>
      </c>
      <c r="H144" s="4" t="str">
        <f>VLOOKUP(C144,[1]MAESTRA!$I$5:$J$399,2,0)</f>
        <v>cl-torreamunategui@tiendas.oxxo.com</v>
      </c>
      <c r="I144" s="4" t="s">
        <v>81</v>
      </c>
      <c r="J144" s="4" t="s">
        <v>1030</v>
      </c>
      <c r="K144" s="4">
        <v>0</v>
      </c>
      <c r="L144" s="4"/>
      <c r="M144" s="4" t="s">
        <v>59</v>
      </c>
      <c r="N144" s="4" t="s">
        <v>40</v>
      </c>
      <c r="O144" s="4">
        <v>0</v>
      </c>
      <c r="P144" s="4" t="s">
        <v>79</v>
      </c>
      <c r="Q144" s="4" t="s">
        <v>42</v>
      </c>
      <c r="R144" s="50" t="s">
        <v>43</v>
      </c>
      <c r="S144" s="50"/>
      <c r="T144" s="50">
        <v>0</v>
      </c>
      <c r="U144" s="4" t="s">
        <v>36</v>
      </c>
      <c r="V144" s="4"/>
    </row>
    <row r="145" spans="3:22" hidden="1" x14ac:dyDescent="0.25">
      <c r="C145" s="4" t="s">
        <v>870</v>
      </c>
      <c r="D145" s="4" t="s">
        <v>871</v>
      </c>
      <c r="E145" s="4" t="s">
        <v>871</v>
      </c>
      <c r="F145" s="4">
        <v>5</v>
      </c>
      <c r="G145" s="4" t="s">
        <v>376</v>
      </c>
      <c r="H145" s="4" t="str">
        <f>VLOOKUP(C145,[1]MAESTRA!$I$5:$J$399,2,0)</f>
        <v>cl-sanjosedelasierra@tiendas.oxxo.com</v>
      </c>
      <c r="I145" s="4" t="s">
        <v>46</v>
      </c>
      <c r="J145" s="4" t="s">
        <v>1030</v>
      </c>
      <c r="K145" s="4" t="s">
        <v>132</v>
      </c>
      <c r="L145" s="4" t="s">
        <v>43</v>
      </c>
      <c r="M145" s="4" t="s">
        <v>856</v>
      </c>
      <c r="N145" s="4" t="s">
        <v>40</v>
      </c>
      <c r="O145" s="4" t="s">
        <v>1035</v>
      </c>
      <c r="P145" s="4" t="s">
        <v>870</v>
      </c>
      <c r="Q145" s="4" t="s">
        <v>42</v>
      </c>
      <c r="R145" s="50" t="s">
        <v>43</v>
      </c>
      <c r="S145" s="50"/>
      <c r="T145" s="50" t="s">
        <v>847</v>
      </c>
      <c r="U145" s="4" t="s">
        <v>43</v>
      </c>
      <c r="V145" s="4"/>
    </row>
    <row r="146" spans="3:22" hidden="1" x14ac:dyDescent="0.25">
      <c r="C146" s="4">
        <v>50096</v>
      </c>
      <c r="D146" s="4" t="s">
        <v>683</v>
      </c>
      <c r="E146" s="4" t="s">
        <v>684</v>
      </c>
      <c r="F146" s="4">
        <v>5</v>
      </c>
      <c r="G146" s="4" t="s">
        <v>376</v>
      </c>
      <c r="H146" s="4" t="str">
        <f>VLOOKUP(C146,[1]MAESTRA!$I$5:$J$399,2,0)</f>
        <v>cl-infante@tiendas.oxxo.com</v>
      </c>
      <c r="I146" s="4" t="s">
        <v>81</v>
      </c>
      <c r="J146" s="4" t="s">
        <v>1030</v>
      </c>
      <c r="K146" s="4" t="s">
        <v>248</v>
      </c>
      <c r="L146" s="4" t="s">
        <v>43</v>
      </c>
      <c r="M146" s="4" t="s">
        <v>51</v>
      </c>
      <c r="N146" s="4" t="s">
        <v>40</v>
      </c>
      <c r="O146" s="4" t="s">
        <v>984</v>
      </c>
      <c r="P146" s="4">
        <v>50096</v>
      </c>
      <c r="Q146" s="4" t="s">
        <v>42</v>
      </c>
      <c r="R146" s="50" t="s">
        <v>43</v>
      </c>
      <c r="S146" s="50"/>
      <c r="T146" s="50" t="s">
        <v>51</v>
      </c>
      <c r="U146" s="4" t="s">
        <v>43</v>
      </c>
      <c r="V146" s="4"/>
    </row>
    <row r="147" spans="3:22" hidden="1" x14ac:dyDescent="0.25">
      <c r="C147" s="4">
        <v>50724</v>
      </c>
      <c r="D147" s="4" t="s">
        <v>900</v>
      </c>
      <c r="E147" s="4" t="s">
        <v>900</v>
      </c>
      <c r="F147" s="4">
        <v>5</v>
      </c>
      <c r="G147" s="4" t="s">
        <v>376</v>
      </c>
      <c r="H147" s="4" t="str">
        <f>VLOOKUP(C147,[1]MAESTRA!$I$5:$J$399,2,0)</f>
        <v>cl-llico@tiendas.oxxo.com</v>
      </c>
      <c r="I147" s="4" t="s">
        <v>46</v>
      </c>
      <c r="J147" s="4" t="s">
        <v>1030</v>
      </c>
      <c r="K147" s="4" t="s">
        <v>73</v>
      </c>
      <c r="L147" s="4" t="s">
        <v>43</v>
      </c>
      <c r="M147" s="4" t="s">
        <v>609</v>
      </c>
      <c r="N147" s="4" t="s">
        <v>40</v>
      </c>
      <c r="O147" s="4" t="s">
        <v>514</v>
      </c>
      <c r="P147" s="4">
        <v>50724</v>
      </c>
      <c r="Q147" s="4" t="s">
        <v>42</v>
      </c>
      <c r="R147" s="50" t="s">
        <v>43</v>
      </c>
      <c r="S147" s="50"/>
      <c r="T147" s="50" t="s">
        <v>886</v>
      </c>
      <c r="U147" s="4" t="s">
        <v>43</v>
      </c>
      <c r="V147" s="4"/>
    </row>
    <row r="148" spans="3:22" hidden="1" x14ac:dyDescent="0.25">
      <c r="C148" s="4">
        <v>50863</v>
      </c>
      <c r="D148" s="4" t="s">
        <v>901</v>
      </c>
      <c r="E148" s="4" t="s">
        <v>902</v>
      </c>
      <c r="F148" s="4">
        <v>5</v>
      </c>
      <c r="G148" s="4" t="s">
        <v>376</v>
      </c>
      <c r="H148" s="4" t="str">
        <f>VLOOKUP(C148,[1]MAESTRA!$I$5:$J$399,2,0)</f>
        <v>cl-conchaytoro@tiendas.oxxo.com</v>
      </c>
      <c r="I148" s="4" t="s">
        <v>81</v>
      </c>
      <c r="J148" s="4" t="s">
        <v>1030</v>
      </c>
      <c r="K148" s="4" t="s">
        <v>73</v>
      </c>
      <c r="L148" s="4" t="s">
        <v>43</v>
      </c>
      <c r="M148" s="4" t="s">
        <v>364</v>
      </c>
      <c r="N148" s="4" t="s">
        <v>40</v>
      </c>
      <c r="O148" s="4" t="s">
        <v>514</v>
      </c>
      <c r="P148" s="4">
        <v>50863</v>
      </c>
      <c r="Q148" s="4" t="s">
        <v>42</v>
      </c>
      <c r="R148" s="50" t="s">
        <v>43</v>
      </c>
      <c r="S148" s="50"/>
      <c r="T148" s="50" t="s">
        <v>886</v>
      </c>
      <c r="U148" s="4" t="s">
        <v>43</v>
      </c>
      <c r="V148" s="4"/>
    </row>
    <row r="149" spans="3:22" hidden="1" x14ac:dyDescent="0.25">
      <c r="C149" s="4" t="s">
        <v>82</v>
      </c>
      <c r="D149" s="4" t="s">
        <v>83</v>
      </c>
      <c r="E149" s="4" t="s">
        <v>83</v>
      </c>
      <c r="F149" s="4" t="s">
        <v>36</v>
      </c>
      <c r="G149" s="4" t="s">
        <v>37</v>
      </c>
      <c r="H149" s="4" t="str">
        <f>VLOOKUP(C149,[1]MAESTRA!$I$5:$J$399,2,0)</f>
        <v>cl-jjperez@tiendas.oxxo.com</v>
      </c>
      <c r="I149" s="4" t="s">
        <v>81</v>
      </c>
      <c r="J149" s="4" t="s">
        <v>1030</v>
      </c>
      <c r="K149" s="4" t="s">
        <v>84</v>
      </c>
      <c r="L149" s="4"/>
      <c r="M149" s="4" t="s">
        <v>85</v>
      </c>
      <c r="N149" s="4" t="s">
        <v>55</v>
      </c>
      <c r="O149" s="4">
        <v>0</v>
      </c>
      <c r="P149" s="4" t="s">
        <v>82</v>
      </c>
      <c r="Q149" s="4" t="s">
        <v>42</v>
      </c>
      <c r="R149" s="50" t="s">
        <v>43</v>
      </c>
      <c r="S149" s="50"/>
      <c r="T149" s="50">
        <v>0</v>
      </c>
      <c r="U149" s="4" t="s">
        <v>36</v>
      </c>
      <c r="V149" s="4"/>
    </row>
    <row r="150" spans="3:22" hidden="1" x14ac:dyDescent="0.25">
      <c r="C150" s="4" t="s">
        <v>86</v>
      </c>
      <c r="D150" s="4" t="s">
        <v>87</v>
      </c>
      <c r="E150" s="4" t="s">
        <v>87</v>
      </c>
      <c r="F150" s="4" t="s">
        <v>36</v>
      </c>
      <c r="G150" s="4" t="s">
        <v>37</v>
      </c>
      <c r="H150" s="4" t="str">
        <f>VLOOKUP(C150,[1]MAESTRA!$I$5:$J$399,2,0)</f>
        <v>cl-chiguayante@tiendas.oxxo.com</v>
      </c>
      <c r="I150" s="4" t="s">
        <v>88</v>
      </c>
      <c r="J150" s="4" t="s">
        <v>1030</v>
      </c>
      <c r="K150" s="4" t="s">
        <v>89</v>
      </c>
      <c r="L150" s="4"/>
      <c r="M150" s="4" t="s">
        <v>90</v>
      </c>
      <c r="N150" s="4" t="s">
        <v>91</v>
      </c>
      <c r="O150" s="4">
        <v>0</v>
      </c>
      <c r="P150" s="4" t="s">
        <v>86</v>
      </c>
      <c r="Q150" s="4" t="s">
        <v>42</v>
      </c>
      <c r="R150" s="50" t="s">
        <v>43</v>
      </c>
      <c r="S150" s="50"/>
      <c r="T150" s="50">
        <v>0</v>
      </c>
      <c r="U150" s="4" t="s">
        <v>36</v>
      </c>
      <c r="V150" s="4"/>
    </row>
    <row r="151" spans="3:22" hidden="1" x14ac:dyDescent="0.25">
      <c r="C151" s="4" t="s">
        <v>576</v>
      </c>
      <c r="D151" s="4" t="s">
        <v>577</v>
      </c>
      <c r="E151" s="4" t="s">
        <v>577</v>
      </c>
      <c r="F151" s="4">
        <v>5</v>
      </c>
      <c r="G151" s="4" t="s">
        <v>376</v>
      </c>
      <c r="H151" s="4" t="str">
        <f>VLOOKUP(C151,[1]MAESTRA!$I$5:$J$399,2,0)</f>
        <v>cl-losmilitares2@tiendas.oxxo.com</v>
      </c>
      <c r="I151" s="4" t="s">
        <v>46</v>
      </c>
      <c r="J151" s="4" t="s">
        <v>1030</v>
      </c>
      <c r="K151" s="4" t="s">
        <v>331</v>
      </c>
      <c r="L151" s="4" t="s">
        <v>43</v>
      </c>
      <c r="M151" s="4" t="s">
        <v>138</v>
      </c>
      <c r="N151" s="4" t="s">
        <v>40</v>
      </c>
      <c r="O151" s="4" t="s">
        <v>984</v>
      </c>
      <c r="P151" s="4" t="s">
        <v>576</v>
      </c>
      <c r="Q151" s="4" t="s">
        <v>42</v>
      </c>
      <c r="R151" s="50" t="s">
        <v>43</v>
      </c>
      <c r="S151" s="50"/>
      <c r="T151" s="50" t="s">
        <v>557</v>
      </c>
      <c r="U151" s="4" t="s">
        <v>43</v>
      </c>
      <c r="V151" s="4"/>
    </row>
    <row r="152" spans="3:22" hidden="1" x14ac:dyDescent="0.25">
      <c r="C152" s="4" t="s">
        <v>92</v>
      </c>
      <c r="D152" s="4" t="s">
        <v>93</v>
      </c>
      <c r="E152" s="4" t="s">
        <v>93</v>
      </c>
      <c r="F152" s="4" t="s">
        <v>36</v>
      </c>
      <c r="G152" s="4" t="s">
        <v>37</v>
      </c>
      <c r="H152" s="4" t="str">
        <f>VLOOKUP(C152,[1]MAESTRA!$I$5:$J$399,2,0)</f>
        <v>cl-irarrazabal1@tiendas.oxxo.com</v>
      </c>
      <c r="I152" s="4" t="s">
        <v>81</v>
      </c>
      <c r="J152" s="4" t="s">
        <v>1030</v>
      </c>
      <c r="K152" s="4" t="s">
        <v>94</v>
      </c>
      <c r="L152" s="4"/>
      <c r="M152" s="4" t="s">
        <v>64</v>
      </c>
      <c r="N152" s="4" t="s">
        <v>40</v>
      </c>
      <c r="O152" s="4">
        <v>0</v>
      </c>
      <c r="P152" s="4" t="s">
        <v>92</v>
      </c>
      <c r="Q152" s="4" t="s">
        <v>42</v>
      </c>
      <c r="R152" s="50" t="s">
        <v>43</v>
      </c>
      <c r="S152" s="50"/>
      <c r="T152" s="50">
        <v>0</v>
      </c>
      <c r="U152" s="4" t="s">
        <v>36</v>
      </c>
      <c r="V152" s="4"/>
    </row>
    <row r="153" spans="3:22" hidden="1" x14ac:dyDescent="0.25">
      <c r="C153" s="4" t="s">
        <v>782</v>
      </c>
      <c r="D153" s="4" t="s">
        <v>783</v>
      </c>
      <c r="E153" s="4" t="s">
        <v>783</v>
      </c>
      <c r="F153" s="4">
        <v>5</v>
      </c>
      <c r="G153" s="4" t="s">
        <v>376</v>
      </c>
      <c r="H153" s="4" t="str">
        <f>VLOOKUP(C153,[1]MAESTRA!$I$5:$J$399,2,0)</f>
        <v>cl-talca1@tiendas.oxxo.com</v>
      </c>
      <c r="I153" s="4" t="s">
        <v>81</v>
      </c>
      <c r="J153" s="4" t="s">
        <v>1031</v>
      </c>
      <c r="K153" s="4" t="s">
        <v>89</v>
      </c>
      <c r="L153" s="4" t="s">
        <v>43</v>
      </c>
      <c r="M153" s="4" t="s">
        <v>103</v>
      </c>
      <c r="N153" s="4" t="s">
        <v>104</v>
      </c>
      <c r="O153" s="4" t="s">
        <v>378</v>
      </c>
      <c r="P153" s="4" t="s">
        <v>782</v>
      </c>
      <c r="Q153" s="4" t="s">
        <v>42</v>
      </c>
      <c r="R153" s="50" t="s">
        <v>43</v>
      </c>
      <c r="S153" s="50"/>
      <c r="T153" s="50" t="s">
        <v>772</v>
      </c>
      <c r="U153" s="4" t="s">
        <v>43</v>
      </c>
      <c r="V153" s="4"/>
    </row>
    <row r="154" spans="3:22" hidden="1" x14ac:dyDescent="0.25">
      <c r="C154" s="4" t="s">
        <v>95</v>
      </c>
      <c r="D154" s="4" t="s">
        <v>96</v>
      </c>
      <c r="E154" s="4" t="s">
        <v>96</v>
      </c>
      <c r="F154" s="4" t="s">
        <v>36</v>
      </c>
      <c r="G154" s="4" t="s">
        <v>37</v>
      </c>
      <c r="H154" s="4" t="str">
        <f>VLOOKUP(C154,[1]MAESTRA!$I$5:$J$399,2,0)</f>
        <v>cl-independencia2@tiendas.oxxo.com</v>
      </c>
      <c r="I154" s="4" t="s">
        <v>81</v>
      </c>
      <c r="J154" s="4" t="s">
        <v>1030</v>
      </c>
      <c r="K154" s="4">
        <v>0</v>
      </c>
      <c r="L154" s="4"/>
      <c r="M154" s="4" t="s">
        <v>97</v>
      </c>
      <c r="N154" s="4" t="s">
        <v>40</v>
      </c>
      <c r="O154" s="4">
        <v>0</v>
      </c>
      <c r="P154" s="4" t="s">
        <v>95</v>
      </c>
      <c r="Q154" s="4" t="s">
        <v>42</v>
      </c>
      <c r="R154" s="50" t="s">
        <v>43</v>
      </c>
      <c r="S154" s="50"/>
      <c r="T154" s="50">
        <v>0</v>
      </c>
      <c r="U154" s="4" t="s">
        <v>36</v>
      </c>
      <c r="V154" s="4"/>
    </row>
    <row r="155" spans="3:22" hidden="1" x14ac:dyDescent="0.25">
      <c r="C155" s="4" t="s">
        <v>98</v>
      </c>
      <c r="D155" s="4" t="s">
        <v>99</v>
      </c>
      <c r="E155" s="4" t="s">
        <v>99</v>
      </c>
      <c r="F155" s="4" t="s">
        <v>36</v>
      </c>
      <c r="G155" s="4" t="s">
        <v>37</v>
      </c>
      <c r="H155" s="4" t="str">
        <f>VLOOKUP(C155,[1]MAESTRA!$I$5:$J$399,2,0)</f>
        <v>cl-miraflores@tiendas.oxxo.com</v>
      </c>
      <c r="I155" s="4" t="s">
        <v>81</v>
      </c>
      <c r="J155" s="4" t="s">
        <v>1030</v>
      </c>
      <c r="K155" s="4" t="s">
        <v>100</v>
      </c>
      <c r="L155" s="4"/>
      <c r="M155" s="4" t="s">
        <v>59</v>
      </c>
      <c r="N155" s="4" t="s">
        <v>40</v>
      </c>
      <c r="O155" s="4">
        <v>0</v>
      </c>
      <c r="P155" s="4" t="s">
        <v>98</v>
      </c>
      <c r="Q155" s="4" t="s">
        <v>42</v>
      </c>
      <c r="R155" s="50" t="s">
        <v>43</v>
      </c>
      <c r="S155" s="50"/>
      <c r="T155" s="50">
        <v>0</v>
      </c>
      <c r="U155" s="4" t="s">
        <v>36</v>
      </c>
      <c r="V155" s="4"/>
    </row>
    <row r="156" spans="3:22" hidden="1" x14ac:dyDescent="0.25">
      <c r="C156" s="4" t="s">
        <v>712</v>
      </c>
      <c r="D156" s="4" t="s">
        <v>713</v>
      </c>
      <c r="E156" s="4" t="s">
        <v>713</v>
      </c>
      <c r="F156" s="4">
        <v>5</v>
      </c>
      <c r="G156" s="4" t="s">
        <v>376</v>
      </c>
      <c r="H156" s="4" t="str">
        <f>VLOOKUP(C156,[1]MAESTRA!$I$5:$J$399,2,0)</f>
        <v>cl-edmundoeluchans@tiendas.oxxo.com</v>
      </c>
      <c r="I156" s="4" t="s">
        <v>46</v>
      </c>
      <c r="J156" s="4" t="s">
        <v>1031</v>
      </c>
      <c r="K156" s="4" t="s">
        <v>84</v>
      </c>
      <c r="L156" s="4" t="s">
        <v>440</v>
      </c>
      <c r="M156" s="4" t="s">
        <v>54</v>
      </c>
      <c r="N156" s="4" t="s">
        <v>55</v>
      </c>
      <c r="O156" s="4" t="s">
        <v>378</v>
      </c>
      <c r="P156" s="4" t="s">
        <v>712</v>
      </c>
      <c r="Q156" s="4" t="s">
        <v>42</v>
      </c>
      <c r="R156" s="50" t="s">
        <v>43</v>
      </c>
      <c r="S156" s="50"/>
      <c r="T156" s="50" t="s">
        <v>702</v>
      </c>
      <c r="U156" s="4" t="s">
        <v>43</v>
      </c>
      <c r="V156" s="4"/>
    </row>
    <row r="157" spans="3:22" hidden="1" x14ac:dyDescent="0.25">
      <c r="C157" s="4" t="s">
        <v>101</v>
      </c>
      <c r="D157" s="4" t="s">
        <v>102</v>
      </c>
      <c r="E157" s="4" t="s">
        <v>102</v>
      </c>
      <c r="F157" s="4" t="s">
        <v>36</v>
      </c>
      <c r="G157" s="4" t="s">
        <v>37</v>
      </c>
      <c r="H157" s="4" t="str">
        <f>VLOOKUP(C157,[1]MAESTRA!$I$5:$J$399,2,0)</f>
        <v>cl-talca2@tiendas.oxxo.com</v>
      </c>
      <c r="I157" s="4" t="s">
        <v>81</v>
      </c>
      <c r="J157" s="4" t="s">
        <v>1030</v>
      </c>
      <c r="K157" s="4" t="s">
        <v>73</v>
      </c>
      <c r="L157" s="4"/>
      <c r="M157" s="4" t="s">
        <v>103</v>
      </c>
      <c r="N157" s="4" t="s">
        <v>104</v>
      </c>
      <c r="O157" s="4">
        <v>0</v>
      </c>
      <c r="P157" s="4" t="s">
        <v>101</v>
      </c>
      <c r="Q157" s="4" t="s">
        <v>42</v>
      </c>
      <c r="R157" s="50" t="s">
        <v>43</v>
      </c>
      <c r="S157" s="50"/>
      <c r="T157" s="50">
        <v>0</v>
      </c>
      <c r="U157" s="4" t="s">
        <v>36</v>
      </c>
      <c r="V157" s="4"/>
    </row>
    <row r="158" spans="3:22" hidden="1" x14ac:dyDescent="0.25">
      <c r="C158" s="4" t="s">
        <v>105</v>
      </c>
      <c r="D158" s="4" t="s">
        <v>106</v>
      </c>
      <c r="E158" s="4" t="s">
        <v>106</v>
      </c>
      <c r="F158" s="4" t="s">
        <v>36</v>
      </c>
      <c r="G158" s="4" t="s">
        <v>37</v>
      </c>
      <c r="H158" s="4" t="str">
        <f>VLOOKUP(C158,[1]MAESTRA!$I$5:$J$399,2,0)</f>
        <v>cl-sandiego2@tiendas.oxxo.com</v>
      </c>
      <c r="I158" s="4" t="s">
        <v>81</v>
      </c>
      <c r="J158" s="4" t="s">
        <v>1030</v>
      </c>
      <c r="K158" s="4" t="s">
        <v>100</v>
      </c>
      <c r="L158" s="4"/>
      <c r="M158" s="4" t="s">
        <v>59</v>
      </c>
      <c r="N158" s="4" t="s">
        <v>40</v>
      </c>
      <c r="O158" s="4">
        <v>0</v>
      </c>
      <c r="P158" s="4" t="s">
        <v>105</v>
      </c>
      <c r="Q158" s="4" t="s">
        <v>42</v>
      </c>
      <c r="R158" s="50" t="s">
        <v>43</v>
      </c>
      <c r="S158" s="50"/>
      <c r="T158" s="50">
        <v>0</v>
      </c>
      <c r="U158" s="4" t="s">
        <v>36</v>
      </c>
      <c r="V158" s="4"/>
    </row>
    <row r="159" spans="3:22" hidden="1" x14ac:dyDescent="0.25">
      <c r="C159" s="4" t="s">
        <v>903</v>
      </c>
      <c r="D159" s="4" t="s">
        <v>904</v>
      </c>
      <c r="E159" s="4" t="s">
        <v>904</v>
      </c>
      <c r="F159" s="4">
        <v>5</v>
      </c>
      <c r="G159" s="4" t="s">
        <v>376</v>
      </c>
      <c r="H159" s="4" t="str">
        <f>VLOOKUP(C159,[1]MAESTRA!$I$5:$J$399,2,0)</f>
        <v>cl-terminaldebuses2@tiendas.oxxo.com</v>
      </c>
      <c r="I159" s="4" t="s">
        <v>46</v>
      </c>
      <c r="J159" s="4" t="s">
        <v>1030</v>
      </c>
      <c r="K159" s="4" t="s">
        <v>73</v>
      </c>
      <c r="L159" s="4" t="s">
        <v>43</v>
      </c>
      <c r="M159" s="4" t="s">
        <v>47</v>
      </c>
      <c r="N159" s="4" t="s">
        <v>40</v>
      </c>
      <c r="O159" s="4" t="s">
        <v>514</v>
      </c>
      <c r="P159" s="4" t="s">
        <v>903</v>
      </c>
      <c r="Q159" s="4" t="s">
        <v>42</v>
      </c>
      <c r="R159" s="50" t="s">
        <v>43</v>
      </c>
      <c r="S159" s="50"/>
      <c r="T159" s="50" t="s">
        <v>886</v>
      </c>
      <c r="U159" s="4" t="s">
        <v>43</v>
      </c>
      <c r="V159" s="4"/>
    </row>
    <row r="160" spans="3:22" hidden="1" x14ac:dyDescent="0.25">
      <c r="C160" s="4" t="s">
        <v>107</v>
      </c>
      <c r="D160" s="4" t="s">
        <v>108</v>
      </c>
      <c r="E160" s="4" t="s">
        <v>108</v>
      </c>
      <c r="F160" s="4" t="s">
        <v>36</v>
      </c>
      <c r="G160" s="4" t="s">
        <v>37</v>
      </c>
      <c r="H160" s="4" t="str">
        <f>VLOOKUP(C160,[1]MAESTRA!$I$5:$J$399,2,0)</f>
        <v>cl-ohigginsangol@tiendas.oxxo.com</v>
      </c>
      <c r="I160" s="4" t="s">
        <v>81</v>
      </c>
      <c r="J160" s="4" t="s">
        <v>1030</v>
      </c>
      <c r="K160" s="4" t="s">
        <v>89</v>
      </c>
      <c r="L160" s="4"/>
      <c r="M160" s="4" t="s">
        <v>109</v>
      </c>
      <c r="N160" s="4" t="s">
        <v>91</v>
      </c>
      <c r="O160" s="4">
        <v>0</v>
      </c>
      <c r="P160" s="4" t="s">
        <v>107</v>
      </c>
      <c r="Q160" s="4" t="s">
        <v>42</v>
      </c>
      <c r="R160" s="50" t="s">
        <v>43</v>
      </c>
      <c r="S160" s="50"/>
      <c r="T160" s="50" t="s">
        <v>772</v>
      </c>
      <c r="U160" s="4" t="s">
        <v>36</v>
      </c>
      <c r="V160" s="4"/>
    </row>
    <row r="161" spans="3:22" hidden="1" x14ac:dyDescent="0.25">
      <c r="C161" s="4" t="s">
        <v>110</v>
      </c>
      <c r="D161" s="4" t="s">
        <v>111</v>
      </c>
      <c r="E161" s="4" t="s">
        <v>111</v>
      </c>
      <c r="F161" s="4" t="s">
        <v>36</v>
      </c>
      <c r="G161" s="4" t="s">
        <v>37</v>
      </c>
      <c r="H161" s="4" t="str">
        <f>VLOOKUP(C161,[1]MAESTRA!$I$5:$J$399,2,0)</f>
        <v>cl-bandera2@tiendas.oxxo.com</v>
      </c>
      <c r="I161" s="4" t="s">
        <v>81</v>
      </c>
      <c r="J161" s="4" t="s">
        <v>1030</v>
      </c>
      <c r="K161" s="4" t="s">
        <v>58</v>
      </c>
      <c r="L161" s="4"/>
      <c r="M161" s="4" t="s">
        <v>59</v>
      </c>
      <c r="N161" s="4" t="s">
        <v>40</v>
      </c>
      <c r="O161" s="4">
        <v>0</v>
      </c>
      <c r="P161" s="4" t="s">
        <v>110</v>
      </c>
      <c r="Q161" s="4" t="s">
        <v>42</v>
      </c>
      <c r="R161" s="50" t="s">
        <v>43</v>
      </c>
      <c r="S161" s="50"/>
      <c r="T161" s="50">
        <v>0</v>
      </c>
      <c r="U161" s="4" t="s">
        <v>36</v>
      </c>
      <c r="V161" s="4"/>
    </row>
    <row r="162" spans="3:22" hidden="1" x14ac:dyDescent="0.25">
      <c r="C162" s="4" t="s">
        <v>112</v>
      </c>
      <c r="D162" s="4" t="s">
        <v>113</v>
      </c>
      <c r="E162" s="4" t="s">
        <v>114</v>
      </c>
      <c r="F162" s="4" t="s">
        <v>36</v>
      </c>
      <c r="G162" s="4" t="s">
        <v>37</v>
      </c>
      <c r="H162" s="4" t="str">
        <f>VLOOKUP(C162,[1]MAESTRA!$I$5:$J$399,2,0)</f>
        <v>cl-mallpatiorancagua@tiendas.oxxo.com</v>
      </c>
      <c r="I162" s="4" t="s">
        <v>81</v>
      </c>
      <c r="J162" s="4" t="s">
        <v>1031</v>
      </c>
      <c r="K162" s="4" t="s">
        <v>73</v>
      </c>
      <c r="L162" s="4"/>
      <c r="M162" s="4" t="s">
        <v>115</v>
      </c>
      <c r="N162" s="4" t="s">
        <v>116</v>
      </c>
      <c r="O162" s="4">
        <v>0</v>
      </c>
      <c r="P162" s="4" t="s">
        <v>112</v>
      </c>
      <c r="Q162" s="4" t="s">
        <v>42</v>
      </c>
      <c r="R162" s="50" t="s">
        <v>43</v>
      </c>
      <c r="S162" s="50"/>
      <c r="T162" s="50">
        <v>0</v>
      </c>
      <c r="U162" s="4" t="s">
        <v>36</v>
      </c>
      <c r="V162" s="4"/>
    </row>
    <row r="163" spans="3:22" hidden="1" x14ac:dyDescent="0.25">
      <c r="C163" s="4" t="s">
        <v>905</v>
      </c>
      <c r="D163" s="4" t="s">
        <v>906</v>
      </c>
      <c r="E163" s="4" t="s">
        <v>906</v>
      </c>
      <c r="F163" s="4">
        <v>5</v>
      </c>
      <c r="G163" s="4" t="s">
        <v>376</v>
      </c>
      <c r="H163" s="4" t="str">
        <f>VLOOKUP(C163,[1]MAESTRA!$I$5:$J$399,2,0)</f>
        <v>cl-outletlafabrica@tiendas.oxxo.com</v>
      </c>
      <c r="I163" s="4" t="s">
        <v>81</v>
      </c>
      <c r="J163" s="4" t="s">
        <v>1030</v>
      </c>
      <c r="K163" s="4" t="s">
        <v>73</v>
      </c>
      <c r="L163" s="4" t="s">
        <v>43</v>
      </c>
      <c r="M163" s="4" t="s">
        <v>907</v>
      </c>
      <c r="N163" s="4" t="s">
        <v>40</v>
      </c>
      <c r="O163" s="4" t="s">
        <v>514</v>
      </c>
      <c r="P163" s="4" t="s">
        <v>905</v>
      </c>
      <c r="Q163" s="4" t="s">
        <v>42</v>
      </c>
      <c r="R163" s="50" t="s">
        <v>43</v>
      </c>
      <c r="S163" s="50"/>
      <c r="T163" s="50" t="s">
        <v>886</v>
      </c>
      <c r="U163" s="4" t="s">
        <v>43</v>
      </c>
      <c r="V163" s="4"/>
    </row>
    <row r="164" spans="3:22" hidden="1" x14ac:dyDescent="0.25">
      <c r="C164" s="4" t="s">
        <v>685</v>
      </c>
      <c r="D164" s="4" t="s">
        <v>686</v>
      </c>
      <c r="E164" s="4" t="s">
        <v>686</v>
      </c>
      <c r="F164" s="4">
        <v>5</v>
      </c>
      <c r="G164" s="4" t="s">
        <v>376</v>
      </c>
      <c r="H164" s="4" t="str">
        <f>VLOOKUP(C164,[1]MAESTRA!$I$5:$J$399,2,0)</f>
        <v>cl-patiolosleones@tiendas.oxxo.com</v>
      </c>
      <c r="I164" s="4" t="s">
        <v>81</v>
      </c>
      <c r="J164" s="4" t="s">
        <v>1030</v>
      </c>
      <c r="K164" s="4" t="s">
        <v>248</v>
      </c>
      <c r="L164" s="4" t="s">
        <v>43</v>
      </c>
      <c r="M164" s="4" t="s">
        <v>51</v>
      </c>
      <c r="N164" s="4" t="s">
        <v>40</v>
      </c>
      <c r="O164" s="4" t="s">
        <v>984</v>
      </c>
      <c r="P164" s="4" t="s">
        <v>685</v>
      </c>
      <c r="Q164" s="4" t="s">
        <v>42</v>
      </c>
      <c r="R164" s="50" t="s">
        <v>43</v>
      </c>
      <c r="S164" s="50"/>
      <c r="T164" s="50" t="s">
        <v>51</v>
      </c>
      <c r="U164" s="4" t="s">
        <v>440</v>
      </c>
      <c r="V164" s="4"/>
    </row>
    <row r="165" spans="3:22" hidden="1" x14ac:dyDescent="0.25">
      <c r="C165" s="4" t="s">
        <v>960</v>
      </c>
      <c r="D165" s="4" t="s">
        <v>961</v>
      </c>
      <c r="E165" s="4" t="s">
        <v>961</v>
      </c>
      <c r="F165" s="4">
        <v>5</v>
      </c>
      <c r="G165" s="4" t="s">
        <v>376</v>
      </c>
      <c r="H165" s="4" t="str">
        <f>VLOOKUP(C165,[1]MAESTRA!$I$5:$J$399,2,0)</f>
        <v>cl-partenonbotilleria@tiendas.oxxo.com</v>
      </c>
      <c r="I165" s="4" t="s">
        <v>81</v>
      </c>
      <c r="J165" s="4" t="s">
        <v>1030</v>
      </c>
      <c r="K165" s="4" t="s">
        <v>160</v>
      </c>
      <c r="L165" s="4" t="s">
        <v>43</v>
      </c>
      <c r="M165" s="4" t="s">
        <v>353</v>
      </c>
      <c r="N165" s="4" t="s">
        <v>40</v>
      </c>
      <c r="O165" s="4" t="s">
        <v>984</v>
      </c>
      <c r="P165" s="4" t="s">
        <v>960</v>
      </c>
      <c r="Q165" s="4" t="s">
        <v>42</v>
      </c>
      <c r="R165" s="50" t="s">
        <v>43</v>
      </c>
      <c r="S165" s="50"/>
      <c r="T165" s="50" t="s">
        <v>931</v>
      </c>
      <c r="U165" s="4" t="s">
        <v>43</v>
      </c>
      <c r="V165" s="4"/>
    </row>
    <row r="166" spans="3:22" hidden="1" x14ac:dyDescent="0.25">
      <c r="C166" s="4" t="s">
        <v>754</v>
      </c>
      <c r="D166" s="4" t="s">
        <v>755</v>
      </c>
      <c r="E166" s="4" t="s">
        <v>755</v>
      </c>
      <c r="F166" s="4">
        <v>5</v>
      </c>
      <c r="G166" s="4" t="s">
        <v>376</v>
      </c>
      <c r="H166" s="4" t="str">
        <f>VLOOKUP(C166,[1]MAESTRA!$I$5:$J$399,2,0)</f>
        <v>cl-plazavictoria@tiendas.oxxo.com</v>
      </c>
      <c r="I166" s="4" t="s">
        <v>81</v>
      </c>
      <c r="J166" s="4" t="s">
        <v>1031</v>
      </c>
      <c r="K166" s="4" t="s">
        <v>84</v>
      </c>
      <c r="L166" s="4" t="s">
        <v>440</v>
      </c>
      <c r="M166" s="4" t="s">
        <v>279</v>
      </c>
      <c r="N166" s="4" t="s">
        <v>55</v>
      </c>
      <c r="O166" s="4" t="s">
        <v>378</v>
      </c>
      <c r="P166" s="4" t="s">
        <v>754</v>
      </c>
      <c r="Q166" s="4" t="s">
        <v>42</v>
      </c>
      <c r="R166" s="50" t="s">
        <v>43</v>
      </c>
      <c r="S166" s="50"/>
      <c r="T166" s="50" t="s">
        <v>741</v>
      </c>
      <c r="U166" s="4" t="s">
        <v>43</v>
      </c>
      <c r="V166" s="4"/>
    </row>
    <row r="167" spans="3:22" hidden="1" x14ac:dyDescent="0.25">
      <c r="C167" s="4" t="s">
        <v>872</v>
      </c>
      <c r="D167" s="4" t="s">
        <v>873</v>
      </c>
      <c r="E167" s="4" t="s">
        <v>874</v>
      </c>
      <c r="F167" s="44">
        <v>3.93</v>
      </c>
      <c r="G167" s="4" t="s">
        <v>376</v>
      </c>
      <c r="H167" s="4" t="str">
        <f>VLOOKUP(C167,[1]MAESTRA!$I$5:$J$399,2,0)</f>
        <v>cl-cantagallo@tiendas.oxxo.com</v>
      </c>
      <c r="I167" s="4" t="s">
        <v>81</v>
      </c>
      <c r="J167" s="4" t="s">
        <v>1030</v>
      </c>
      <c r="K167" s="4" t="s">
        <v>132</v>
      </c>
      <c r="L167" s="4" t="s">
        <v>43</v>
      </c>
      <c r="M167" s="4" t="s">
        <v>138</v>
      </c>
      <c r="N167" s="4" t="s">
        <v>40</v>
      </c>
      <c r="O167" s="4" t="s">
        <v>1035</v>
      </c>
      <c r="P167" s="4" t="s">
        <v>872</v>
      </c>
      <c r="Q167" s="4" t="s">
        <v>42</v>
      </c>
      <c r="R167" s="50" t="s">
        <v>43</v>
      </c>
      <c r="S167" s="50"/>
      <c r="T167" s="50" t="s">
        <v>847</v>
      </c>
      <c r="U167" s="4" t="s">
        <v>43</v>
      </c>
      <c r="V167" s="4"/>
    </row>
    <row r="168" spans="3:22" hidden="1" x14ac:dyDescent="0.25">
      <c r="C168" s="4" t="s">
        <v>117</v>
      </c>
      <c r="D168" s="4" t="s">
        <v>118</v>
      </c>
      <c r="E168" s="4" t="s">
        <v>118</v>
      </c>
      <c r="F168" s="4" t="s">
        <v>36</v>
      </c>
      <c r="G168" s="4" t="s">
        <v>37</v>
      </c>
      <c r="H168" s="4" t="str">
        <f>VLOOKUP(C168,[1]MAESTRA!$I$5:$J$399,2,0)</f>
        <v>cl-abatemolina@tiendas.oxxo.com</v>
      </c>
      <c r="I168" s="4" t="s">
        <v>81</v>
      </c>
      <c r="J168" s="4" t="s">
        <v>1030</v>
      </c>
      <c r="K168" s="4">
        <v>0</v>
      </c>
      <c r="L168" s="4"/>
      <c r="M168" s="4" t="s">
        <v>59</v>
      </c>
      <c r="N168" s="4" t="s">
        <v>40</v>
      </c>
      <c r="O168" s="4">
        <v>0</v>
      </c>
      <c r="P168" s="4" t="s">
        <v>117</v>
      </c>
      <c r="Q168" s="4" t="s">
        <v>42</v>
      </c>
      <c r="R168" s="50" t="s">
        <v>43</v>
      </c>
      <c r="S168" s="50"/>
      <c r="T168" s="50">
        <v>0</v>
      </c>
      <c r="U168" s="4" t="s">
        <v>36</v>
      </c>
      <c r="V168" s="4"/>
    </row>
    <row r="169" spans="3:22" hidden="1" x14ac:dyDescent="0.25">
      <c r="C169" s="4" t="s">
        <v>594</v>
      </c>
      <c r="D169" s="4" t="s">
        <v>595</v>
      </c>
      <c r="E169" s="4" t="s">
        <v>595</v>
      </c>
      <c r="F169" s="4">
        <v>5</v>
      </c>
      <c r="G169" s="4" t="s">
        <v>376</v>
      </c>
      <c r="H169" s="4" t="str">
        <f>VLOOKUP(C169,[1]MAESTRA!$I$5:$J$399,2,0)</f>
        <v>cl-metrolacisterna@tiendas.oxxo.com</v>
      </c>
      <c r="I169" s="4" t="s">
        <v>81</v>
      </c>
      <c r="J169" s="4" t="s">
        <v>1030</v>
      </c>
      <c r="K169" s="4" t="s">
        <v>50</v>
      </c>
      <c r="L169" s="4" t="s">
        <v>43</v>
      </c>
      <c r="M169" s="4" t="s">
        <v>596</v>
      </c>
      <c r="N169" s="4" t="s">
        <v>40</v>
      </c>
      <c r="O169" s="4" t="s">
        <v>514</v>
      </c>
      <c r="P169" s="4" t="s">
        <v>594</v>
      </c>
      <c r="Q169" s="4" t="s">
        <v>42</v>
      </c>
      <c r="R169" s="50" t="s">
        <v>43</v>
      </c>
      <c r="S169" s="50"/>
      <c r="T169" s="50" t="s">
        <v>597</v>
      </c>
      <c r="U169" s="4" t="s">
        <v>440</v>
      </c>
      <c r="V169" s="4"/>
    </row>
    <row r="170" spans="3:22" hidden="1" x14ac:dyDescent="0.25">
      <c r="C170" s="4" t="s">
        <v>119</v>
      </c>
      <c r="D170" s="4" t="s">
        <v>120</v>
      </c>
      <c r="E170" s="4" t="s">
        <v>120</v>
      </c>
      <c r="F170" s="4" t="s">
        <v>36</v>
      </c>
      <c r="G170" s="4" t="s">
        <v>37</v>
      </c>
      <c r="H170" s="4" t="str">
        <f>VLOOKUP(C170,[1]MAESTRA!$I$5:$J$399,2,0)</f>
        <v>cl-pedrotorres@tiendas.oxxo.com</v>
      </c>
      <c r="I170" s="4" t="s">
        <v>81</v>
      </c>
      <c r="J170" s="4" t="s">
        <v>1030</v>
      </c>
      <c r="K170" s="4" t="s">
        <v>63</v>
      </c>
      <c r="L170" s="4"/>
      <c r="M170" s="4" t="s">
        <v>64</v>
      </c>
      <c r="N170" s="4" t="s">
        <v>40</v>
      </c>
      <c r="O170" s="4">
        <v>0</v>
      </c>
      <c r="P170" s="4" t="s">
        <v>119</v>
      </c>
      <c r="Q170" s="4" t="s">
        <v>42</v>
      </c>
      <c r="R170" s="50" t="s">
        <v>43</v>
      </c>
      <c r="S170" s="50"/>
      <c r="T170" s="50">
        <v>0</v>
      </c>
      <c r="U170" s="4" t="s">
        <v>36</v>
      </c>
      <c r="V170" s="4"/>
    </row>
    <row r="171" spans="3:22" hidden="1" x14ac:dyDescent="0.25">
      <c r="C171" s="4" t="s">
        <v>121</v>
      </c>
      <c r="D171" s="4" t="s">
        <v>122</v>
      </c>
      <c r="E171" s="4" t="s">
        <v>123</v>
      </c>
      <c r="F171" s="4" t="s">
        <v>36</v>
      </c>
      <c r="G171" s="4" t="s">
        <v>37</v>
      </c>
      <c r="H171" s="4" t="str">
        <f>VLOOKUP(C171,[1]MAESTRA!$I$5:$J$399,2,0)</f>
        <v>cl-linares1@tiendas.oxxo.com</v>
      </c>
      <c r="I171" s="4" t="s">
        <v>81</v>
      </c>
      <c r="J171" s="4" t="s">
        <v>1030</v>
      </c>
      <c r="K171" s="4" t="s">
        <v>73</v>
      </c>
      <c r="L171" s="4"/>
      <c r="M171" s="4" t="s">
        <v>122</v>
      </c>
      <c r="N171" s="4" t="s">
        <v>104</v>
      </c>
      <c r="O171" s="4">
        <v>0</v>
      </c>
      <c r="P171" s="4" t="s">
        <v>121</v>
      </c>
      <c r="Q171" s="4" t="s">
        <v>42</v>
      </c>
      <c r="R171" s="50" t="s">
        <v>43</v>
      </c>
      <c r="S171" s="50"/>
      <c r="T171" s="50">
        <v>0</v>
      </c>
      <c r="U171" s="4" t="s">
        <v>36</v>
      </c>
      <c r="V171" s="4"/>
    </row>
    <row r="172" spans="3:22" hidden="1" x14ac:dyDescent="0.25">
      <c r="C172" s="4" t="s">
        <v>124</v>
      </c>
      <c r="D172" s="4" t="s">
        <v>125</v>
      </c>
      <c r="E172" s="4" t="s">
        <v>125</v>
      </c>
      <c r="F172" s="4" t="s">
        <v>36</v>
      </c>
      <c r="G172" s="4" t="s">
        <v>37</v>
      </c>
      <c r="H172" s="4" t="str">
        <f>VLOOKUP(C172,[1]MAESTRA!$I$5:$J$399,2,0)</f>
        <v>cl-holanda3@tiendas.oxxo.com</v>
      </c>
      <c r="I172" s="4" t="s">
        <v>81</v>
      </c>
      <c r="J172" s="4" t="s">
        <v>1030</v>
      </c>
      <c r="K172" s="4">
        <v>0</v>
      </c>
      <c r="L172" s="4"/>
      <c r="M172" s="4" t="s">
        <v>51</v>
      </c>
      <c r="N172" s="4" t="s">
        <v>40</v>
      </c>
      <c r="O172" s="4">
        <v>0</v>
      </c>
      <c r="P172" s="4" t="s">
        <v>124</v>
      </c>
      <c r="Q172" s="4" t="s">
        <v>42</v>
      </c>
      <c r="R172" s="50" t="s">
        <v>43</v>
      </c>
      <c r="S172" s="50"/>
      <c r="T172" s="50">
        <v>0</v>
      </c>
      <c r="U172" s="4" t="s">
        <v>36</v>
      </c>
      <c r="V172" s="4"/>
    </row>
    <row r="173" spans="3:22" hidden="1" x14ac:dyDescent="0.25">
      <c r="C173" s="4" t="s">
        <v>126</v>
      </c>
      <c r="D173" s="4" t="s">
        <v>127</v>
      </c>
      <c r="E173" s="4" t="s">
        <v>128</v>
      </c>
      <c r="F173" s="4" t="s">
        <v>36</v>
      </c>
      <c r="G173" s="4" t="s">
        <v>37</v>
      </c>
      <c r="H173" s="4" t="str">
        <f>VLOOKUP(C173,[1]MAESTRA!$I$5:$J$399,2,0)</f>
        <v>cl-machalisewel@tiendas.oxxo.com</v>
      </c>
      <c r="I173" s="4" t="s">
        <v>81</v>
      </c>
      <c r="J173" s="4" t="s">
        <v>1030</v>
      </c>
      <c r="K173" s="4" t="s">
        <v>73</v>
      </c>
      <c r="L173" s="4"/>
      <c r="M173" s="4" t="s">
        <v>129</v>
      </c>
      <c r="N173" s="4" t="s">
        <v>116</v>
      </c>
      <c r="O173" s="4">
        <v>0</v>
      </c>
      <c r="P173" s="4" t="s">
        <v>126</v>
      </c>
      <c r="Q173" s="4" t="s">
        <v>42</v>
      </c>
      <c r="R173" s="50" t="s">
        <v>43</v>
      </c>
      <c r="S173" s="50"/>
      <c r="T173" s="50">
        <v>0</v>
      </c>
      <c r="U173" s="4" t="s">
        <v>36</v>
      </c>
      <c r="V173" s="4"/>
    </row>
    <row r="174" spans="3:22" hidden="1" x14ac:dyDescent="0.25">
      <c r="C174" s="4" t="s">
        <v>546</v>
      </c>
      <c r="D174" s="4" t="s">
        <v>547</v>
      </c>
      <c r="E174" s="4" t="s">
        <v>547</v>
      </c>
      <c r="F174" s="4">
        <v>5</v>
      </c>
      <c r="G174" s="4" t="s">
        <v>376</v>
      </c>
      <c r="H174" s="4" t="str">
        <f>VLOOKUP(C174,[1]MAESTRA!$I$5:$J$399,2,0)</f>
        <v>cl-plazadelinca@tiendas.oxxo.com</v>
      </c>
      <c r="I174" s="4" t="s">
        <v>46</v>
      </c>
      <c r="J174" s="4" t="s">
        <v>1030</v>
      </c>
      <c r="K174" s="4" t="s">
        <v>100</v>
      </c>
      <c r="L174" s="4" t="s">
        <v>43</v>
      </c>
      <c r="M174" s="4" t="s">
        <v>138</v>
      </c>
      <c r="N174" s="4" t="s">
        <v>40</v>
      </c>
      <c r="O174" s="4" t="s">
        <v>514</v>
      </c>
      <c r="P174" s="4" t="s">
        <v>546</v>
      </c>
      <c r="Q174" s="4" t="s">
        <v>42</v>
      </c>
      <c r="R174" s="50" t="s">
        <v>43</v>
      </c>
      <c r="S174" s="50"/>
      <c r="T174" s="50" t="s">
        <v>515</v>
      </c>
      <c r="U174" s="4" t="s">
        <v>43</v>
      </c>
      <c r="V174" s="4"/>
    </row>
    <row r="175" spans="3:22" hidden="1" x14ac:dyDescent="0.25">
      <c r="C175" s="4" t="s">
        <v>130</v>
      </c>
      <c r="D175" s="4" t="s">
        <v>131</v>
      </c>
      <c r="E175" s="4" t="s">
        <v>131</v>
      </c>
      <c r="F175" s="4" t="s">
        <v>36</v>
      </c>
      <c r="G175" s="4" t="s">
        <v>37</v>
      </c>
      <c r="H175" s="4" t="str">
        <f>VLOOKUP(C175,[1]MAESTRA!$I$5:$J$399,2,0)</f>
        <v>cl-santaamalia@tiendas.oxxo.com</v>
      </c>
      <c r="I175" s="4" t="s">
        <v>81</v>
      </c>
      <c r="J175" s="4" t="s">
        <v>1030</v>
      </c>
      <c r="K175" s="4" t="s">
        <v>132</v>
      </c>
      <c r="L175" s="4"/>
      <c r="M175" s="4" t="s">
        <v>133</v>
      </c>
      <c r="N175" s="4" t="s">
        <v>40</v>
      </c>
      <c r="O175" s="4">
        <v>0</v>
      </c>
      <c r="P175" s="4" t="s">
        <v>130</v>
      </c>
      <c r="Q175" s="4" t="s">
        <v>42</v>
      </c>
      <c r="R175" s="50" t="s">
        <v>43</v>
      </c>
      <c r="S175" s="50"/>
      <c r="T175" s="50">
        <v>0</v>
      </c>
      <c r="U175" s="4" t="s">
        <v>36</v>
      </c>
      <c r="V175" s="4"/>
    </row>
    <row r="176" spans="3:22" hidden="1" x14ac:dyDescent="0.25">
      <c r="C176" s="4" t="s">
        <v>134</v>
      </c>
      <c r="D176" s="4" t="s">
        <v>135</v>
      </c>
      <c r="E176" s="4" t="s">
        <v>135</v>
      </c>
      <c r="F176" s="4" t="s">
        <v>36</v>
      </c>
      <c r="G176" s="4" t="s">
        <v>37</v>
      </c>
      <c r="H176" s="4" t="str">
        <f>VLOOKUP(C176,[1]MAESTRA!$I$5:$J$399,2,0)</f>
        <v>cl-elaguilucho@tiendas.oxxo.com</v>
      </c>
      <c r="I176" s="4" t="s">
        <v>81</v>
      </c>
      <c r="J176" s="4" t="s">
        <v>1030</v>
      </c>
      <c r="K176" s="4" t="s">
        <v>132</v>
      </c>
      <c r="L176" s="4"/>
      <c r="M176" s="4" t="s">
        <v>51</v>
      </c>
      <c r="N176" s="4" t="s">
        <v>40</v>
      </c>
      <c r="O176" s="4">
        <v>0</v>
      </c>
      <c r="P176" s="4" t="s">
        <v>134</v>
      </c>
      <c r="Q176" s="4" t="s">
        <v>42</v>
      </c>
      <c r="R176" s="50" t="s">
        <v>43</v>
      </c>
      <c r="S176" s="50"/>
      <c r="T176" s="50">
        <v>0</v>
      </c>
      <c r="U176" s="4" t="s">
        <v>36</v>
      </c>
      <c r="V176" s="4"/>
    </row>
    <row r="177" spans="3:22" hidden="1" x14ac:dyDescent="0.25">
      <c r="C177" s="4" t="s">
        <v>136</v>
      </c>
      <c r="D177" s="4" t="s">
        <v>137</v>
      </c>
      <c r="E177" s="4" t="s">
        <v>137</v>
      </c>
      <c r="F177" s="4" t="s">
        <v>36</v>
      </c>
      <c r="G177" s="4" t="s">
        <v>37</v>
      </c>
      <c r="H177" s="4" t="str">
        <f>VLOOKUP(C177,[1]MAESTRA!$I$5:$J$399,2,0)</f>
        <v>cl-castellana@tiendas.oxxo.com</v>
      </c>
      <c r="I177" s="4" t="s">
        <v>88</v>
      </c>
      <c r="J177" s="4" t="s">
        <v>1030</v>
      </c>
      <c r="K177" s="4" t="s">
        <v>58</v>
      </c>
      <c r="L177" s="4"/>
      <c r="M177" s="4" t="s">
        <v>138</v>
      </c>
      <c r="N177" s="4" t="s">
        <v>40</v>
      </c>
      <c r="O177" s="4">
        <v>0</v>
      </c>
      <c r="P177" s="4" t="s">
        <v>136</v>
      </c>
      <c r="Q177" s="4" t="s">
        <v>42</v>
      </c>
      <c r="R177" s="50" t="s">
        <v>43</v>
      </c>
      <c r="S177" s="50"/>
      <c r="T177" s="50">
        <v>0</v>
      </c>
      <c r="U177" s="4" t="s">
        <v>36</v>
      </c>
      <c r="V177" s="4"/>
    </row>
    <row r="178" spans="3:22" hidden="1" x14ac:dyDescent="0.25">
      <c r="C178" s="4" t="s">
        <v>139</v>
      </c>
      <c r="D178" s="4" t="s">
        <v>140</v>
      </c>
      <c r="E178" s="4" t="s">
        <v>140</v>
      </c>
      <c r="F178" s="4" t="s">
        <v>36</v>
      </c>
      <c r="G178" s="4" t="s">
        <v>37</v>
      </c>
      <c r="H178" s="4" t="str">
        <f>VLOOKUP(C178,[1]MAESTRA!$I$5:$J$399,2,0)</f>
        <v>cl-anibalpinto@tiendas.oxxo.com</v>
      </c>
      <c r="I178" s="4" t="s">
        <v>88</v>
      </c>
      <c r="J178" s="4" t="s">
        <v>1030</v>
      </c>
      <c r="K178" s="4" t="s">
        <v>89</v>
      </c>
      <c r="L178" s="4"/>
      <c r="M178" s="4" t="s">
        <v>109</v>
      </c>
      <c r="N178" s="4" t="s">
        <v>91</v>
      </c>
      <c r="O178" s="4">
        <v>0</v>
      </c>
      <c r="P178" s="4" t="s">
        <v>139</v>
      </c>
      <c r="Q178" s="4" t="s">
        <v>42</v>
      </c>
      <c r="R178" s="50" t="s">
        <v>43</v>
      </c>
      <c r="S178" s="50"/>
      <c r="T178" s="50">
        <v>0</v>
      </c>
      <c r="U178" s="4" t="s">
        <v>36</v>
      </c>
      <c r="V178" s="4"/>
    </row>
    <row r="179" spans="3:22" hidden="1" x14ac:dyDescent="0.25">
      <c r="C179" s="4" t="s">
        <v>411</v>
      </c>
      <c r="D179" s="4" t="s">
        <v>412</v>
      </c>
      <c r="E179" s="4" t="s">
        <v>412</v>
      </c>
      <c r="F179" s="4">
        <v>5</v>
      </c>
      <c r="G179" s="4" t="s">
        <v>376</v>
      </c>
      <c r="H179" s="4" t="str">
        <f>VLOOKUP(C179,[1]MAESTRA!$I$5:$J$399,2,0)</f>
        <v>cl-apoquindolosmilitares@tiendas.oxxo.com</v>
      </c>
      <c r="I179" s="4" t="s">
        <v>46</v>
      </c>
      <c r="J179" s="4" t="s">
        <v>1031</v>
      </c>
      <c r="K179" s="4" t="s">
        <v>63</v>
      </c>
      <c r="L179" s="4" t="s">
        <v>43</v>
      </c>
      <c r="M179" s="4" t="s">
        <v>138</v>
      </c>
      <c r="N179" s="4" t="s">
        <v>40</v>
      </c>
      <c r="O179" s="4" t="s">
        <v>378</v>
      </c>
      <c r="P179" s="4" t="s">
        <v>411</v>
      </c>
      <c r="Q179" s="4" t="s">
        <v>42</v>
      </c>
      <c r="R179" s="50" t="s">
        <v>440</v>
      </c>
      <c r="S179" s="50"/>
      <c r="T179" s="50" t="s">
        <v>380</v>
      </c>
      <c r="U179" s="4" t="s">
        <v>43</v>
      </c>
      <c r="V179" s="4"/>
    </row>
    <row r="180" spans="3:22" hidden="1" x14ac:dyDescent="0.25">
      <c r="C180" s="4" t="s">
        <v>578</v>
      </c>
      <c r="D180" s="4" t="s">
        <v>579</v>
      </c>
      <c r="E180" s="4" t="s">
        <v>579</v>
      </c>
      <c r="F180" s="4">
        <v>5</v>
      </c>
      <c r="G180" s="4" t="s">
        <v>376</v>
      </c>
      <c r="H180" s="4" t="str">
        <f>VLOOKUP(C180,[1]MAESTRA!$I$5:$J$399,2,0)</f>
        <v>cl-balmoral@tiendas.oxxo.com</v>
      </c>
      <c r="I180" s="4" t="s">
        <v>46</v>
      </c>
      <c r="J180" s="4" t="s">
        <v>1030</v>
      </c>
      <c r="K180" s="4" t="s">
        <v>331</v>
      </c>
      <c r="L180" s="4" t="s">
        <v>43</v>
      </c>
      <c r="M180" s="4" t="s">
        <v>138</v>
      </c>
      <c r="N180" s="4" t="s">
        <v>40</v>
      </c>
      <c r="O180" s="4" t="s">
        <v>984</v>
      </c>
      <c r="P180" s="4" t="s">
        <v>578</v>
      </c>
      <c r="Q180" s="4" t="s">
        <v>42</v>
      </c>
      <c r="R180" s="50" t="s">
        <v>43</v>
      </c>
      <c r="S180" s="50"/>
      <c r="T180" s="50" t="s">
        <v>557</v>
      </c>
      <c r="U180" s="4" t="s">
        <v>43</v>
      </c>
      <c r="V180" s="4"/>
    </row>
    <row r="181" spans="3:22" hidden="1" x14ac:dyDescent="0.25">
      <c r="C181" s="4" t="s">
        <v>908</v>
      </c>
      <c r="D181" s="4" t="s">
        <v>909</v>
      </c>
      <c r="E181" s="4" t="s">
        <v>910</v>
      </c>
      <c r="F181" s="4">
        <v>5</v>
      </c>
      <c r="G181" s="4" t="s">
        <v>37</v>
      </c>
      <c r="H181" s="4" t="str">
        <f>VLOOKUP(C181,[1]MAESTRA!$I$5:$J$399,2,0)</f>
        <v>cl-patioquilicura@tiendas.oxxo.com</v>
      </c>
      <c r="I181" s="4" t="s">
        <v>81</v>
      </c>
      <c r="J181" s="4" t="s">
        <v>1030</v>
      </c>
      <c r="K181" s="4" t="s">
        <v>73</v>
      </c>
      <c r="L181" s="4"/>
      <c r="M181" s="4" t="s">
        <v>911</v>
      </c>
      <c r="N181" s="4" t="s">
        <v>40</v>
      </c>
      <c r="O181" s="4" t="s">
        <v>514</v>
      </c>
      <c r="P181" s="4" t="s">
        <v>908</v>
      </c>
      <c r="Q181" s="4" t="s">
        <v>42</v>
      </c>
      <c r="R181" s="50" t="s">
        <v>43</v>
      </c>
      <c r="S181" s="50"/>
      <c r="T181" s="50" t="s">
        <v>886</v>
      </c>
      <c r="U181" s="4" t="s">
        <v>36</v>
      </c>
      <c r="V181" s="4"/>
    </row>
    <row r="182" spans="3:22" hidden="1" x14ac:dyDescent="0.25">
      <c r="C182" s="4" t="s">
        <v>413</v>
      </c>
      <c r="D182" s="4" t="s">
        <v>414</v>
      </c>
      <c r="E182" s="4" t="s">
        <v>414</v>
      </c>
      <c r="F182" s="4">
        <v>5</v>
      </c>
      <c r="G182" s="4" t="s">
        <v>376</v>
      </c>
      <c r="H182" s="4" t="str">
        <f>VLOOKUP(C182,[1]MAESTRA!$I$5:$J$399,2,0)</f>
        <v>cl-apoquindo8@tiendas.oxxo.com</v>
      </c>
      <c r="I182" s="4" t="s">
        <v>46</v>
      </c>
      <c r="J182" s="4" t="s">
        <v>1031</v>
      </c>
      <c r="K182" s="4" t="s">
        <v>63</v>
      </c>
      <c r="L182" s="4" t="s">
        <v>43</v>
      </c>
      <c r="M182" s="4" t="s">
        <v>138</v>
      </c>
      <c r="N182" s="4" t="s">
        <v>40</v>
      </c>
      <c r="O182" s="4" t="s">
        <v>378</v>
      </c>
      <c r="P182" s="4" t="s">
        <v>413</v>
      </c>
      <c r="Q182" s="4" t="s">
        <v>42</v>
      </c>
      <c r="R182" s="50" t="s">
        <v>43</v>
      </c>
      <c r="S182" s="50"/>
      <c r="T182" s="50" t="s">
        <v>380</v>
      </c>
      <c r="U182" s="4" t="s">
        <v>43</v>
      </c>
      <c r="V182" s="4"/>
    </row>
    <row r="183" spans="3:22" hidden="1" x14ac:dyDescent="0.25">
      <c r="C183" s="4" t="s">
        <v>580</v>
      </c>
      <c r="D183" s="4" t="s">
        <v>581</v>
      </c>
      <c r="E183" s="4" t="s">
        <v>581</v>
      </c>
      <c r="F183" s="4">
        <v>5</v>
      </c>
      <c r="G183" s="4" t="s">
        <v>376</v>
      </c>
      <c r="H183" s="4" t="str">
        <f>VLOOKUP(C183,[1]MAESTRA!$I$5:$J$399,2,0)</f>
        <v>cl-ebro@tiendas.oxxo.com</v>
      </c>
      <c r="I183" s="4" t="s">
        <v>46</v>
      </c>
      <c r="J183" s="4" t="s">
        <v>1030</v>
      </c>
      <c r="K183" s="4" t="s">
        <v>331</v>
      </c>
      <c r="L183" s="4" t="s">
        <v>43</v>
      </c>
      <c r="M183" s="4" t="s">
        <v>138</v>
      </c>
      <c r="N183" s="4" t="s">
        <v>40</v>
      </c>
      <c r="O183" s="4" t="s">
        <v>984</v>
      </c>
      <c r="P183" s="4" t="s">
        <v>580</v>
      </c>
      <c r="Q183" s="4" t="s">
        <v>42</v>
      </c>
      <c r="R183" s="50" t="s">
        <v>43</v>
      </c>
      <c r="S183" s="50"/>
      <c r="T183" s="50" t="s">
        <v>557</v>
      </c>
      <c r="U183" s="4" t="s">
        <v>43</v>
      </c>
      <c r="V183" s="4"/>
    </row>
    <row r="184" spans="3:22" hidden="1" x14ac:dyDescent="0.25">
      <c r="C184" s="4" t="s">
        <v>756</v>
      </c>
      <c r="D184" s="4" t="s">
        <v>757</v>
      </c>
      <c r="E184" s="4" t="s">
        <v>757</v>
      </c>
      <c r="F184" s="4">
        <v>5</v>
      </c>
      <c r="G184" s="4" t="s">
        <v>376</v>
      </c>
      <c r="H184" s="4" t="str">
        <f>VLOOKUP(C184,[1]MAESTRA!$I$5:$J$399,2,0)</f>
        <v>cl-arleguivina@tiendas.oxxo.com</v>
      </c>
      <c r="I184" s="4" t="s">
        <v>46</v>
      </c>
      <c r="J184" s="4" t="s">
        <v>1031</v>
      </c>
      <c r="K184" s="4" t="s">
        <v>84</v>
      </c>
      <c r="L184" s="4" t="s">
        <v>440</v>
      </c>
      <c r="M184" s="4" t="s">
        <v>54</v>
      </c>
      <c r="N184" s="4" t="s">
        <v>55</v>
      </c>
      <c r="O184" s="4" t="s">
        <v>378</v>
      </c>
      <c r="P184" s="4" t="s">
        <v>756</v>
      </c>
      <c r="Q184" s="4" t="s">
        <v>42</v>
      </c>
      <c r="R184" s="50" t="s">
        <v>43</v>
      </c>
      <c r="S184" s="50"/>
      <c r="T184" s="50" t="s">
        <v>741</v>
      </c>
      <c r="U184" s="4" t="s">
        <v>43</v>
      </c>
      <c r="V184" s="4"/>
    </row>
    <row r="185" spans="3:22" hidden="1" x14ac:dyDescent="0.25">
      <c r="C185" s="4" t="s">
        <v>812</v>
      </c>
      <c r="D185" s="4" t="s">
        <v>813</v>
      </c>
      <c r="E185" s="4" t="s">
        <v>813</v>
      </c>
      <c r="F185" s="4">
        <v>5</v>
      </c>
      <c r="G185" s="4" t="s">
        <v>376</v>
      </c>
      <c r="H185" s="4" t="str">
        <f>VLOOKUP(C185,[1]MAESTRA!$I$5:$J$399,2,0)</f>
        <v>cl-sandiegocoquimbo@tiendas.oxxo.com</v>
      </c>
      <c r="I185" s="4" t="s">
        <v>46</v>
      </c>
      <c r="J185" s="4" t="s">
        <v>1030</v>
      </c>
      <c r="K185" s="4" t="s">
        <v>146</v>
      </c>
      <c r="L185" s="4" t="s">
        <v>43</v>
      </c>
      <c r="M185" s="4" t="s">
        <v>59</v>
      </c>
      <c r="N185" s="4" t="s">
        <v>40</v>
      </c>
      <c r="O185" s="4" t="s">
        <v>1035</v>
      </c>
      <c r="P185" s="4" t="s">
        <v>812</v>
      </c>
      <c r="Q185" s="4" t="s">
        <v>42</v>
      </c>
      <c r="R185" s="50" t="s">
        <v>43</v>
      </c>
      <c r="S185" s="50"/>
      <c r="T185" s="50" t="s">
        <v>799</v>
      </c>
      <c r="U185" s="4" t="s">
        <v>43</v>
      </c>
      <c r="V185" s="4"/>
    </row>
    <row r="186" spans="3:22" hidden="1" x14ac:dyDescent="0.25">
      <c r="C186" s="4" t="s">
        <v>141</v>
      </c>
      <c r="D186" s="4" t="s">
        <v>142</v>
      </c>
      <c r="E186" s="4" t="s">
        <v>142</v>
      </c>
      <c r="F186" s="4" t="s">
        <v>36</v>
      </c>
      <c r="G186" s="4" t="s">
        <v>37</v>
      </c>
      <c r="H186" s="4" t="str">
        <f>VLOOKUP(C186,[1]MAESTRA!$I$5:$J$399,2,0)</f>
        <v>cl-sanpablo2@tiendas.oxxo.com</v>
      </c>
      <c r="I186" s="4" t="s">
        <v>81</v>
      </c>
      <c r="J186" s="4" t="s">
        <v>1030</v>
      </c>
      <c r="K186" s="4">
        <v>0</v>
      </c>
      <c r="L186" s="4"/>
      <c r="M186" s="4" t="s">
        <v>143</v>
      </c>
      <c r="N186" s="4" t="s">
        <v>40</v>
      </c>
      <c r="O186" s="4">
        <v>0</v>
      </c>
      <c r="P186" s="4" t="s">
        <v>141</v>
      </c>
      <c r="Q186" s="4" t="s">
        <v>42</v>
      </c>
      <c r="R186" s="50" t="s">
        <v>43</v>
      </c>
      <c r="S186" s="50"/>
      <c r="T186" s="50">
        <v>0</v>
      </c>
      <c r="U186" s="4" t="s">
        <v>36</v>
      </c>
      <c r="V186" s="4"/>
    </row>
    <row r="187" spans="3:22" hidden="1" x14ac:dyDescent="0.25">
      <c r="C187" s="4" t="s">
        <v>437</v>
      </c>
      <c r="D187" s="4" t="s">
        <v>438</v>
      </c>
      <c r="E187" s="4" t="s">
        <v>439</v>
      </c>
      <c r="F187" s="4">
        <v>5</v>
      </c>
      <c r="G187" s="4" t="s">
        <v>376</v>
      </c>
      <c r="H187" s="4" t="str">
        <f>VLOOKUP(C187,[1]MAESTRA!$I$5:$J$399,2,0)</f>
        <v>cl-lostalaveras@tiendas.oxxo.com</v>
      </c>
      <c r="I187" s="4" t="s">
        <v>81</v>
      </c>
      <c r="J187" s="4" t="s">
        <v>1030</v>
      </c>
      <c r="K187" s="4" t="s">
        <v>94</v>
      </c>
      <c r="L187" s="4" t="s">
        <v>43</v>
      </c>
      <c r="M187" s="4" t="s">
        <v>64</v>
      </c>
      <c r="N187" s="4" t="s">
        <v>40</v>
      </c>
      <c r="O187" s="4" t="s">
        <v>1035</v>
      </c>
      <c r="P187" s="4" t="s">
        <v>437</v>
      </c>
      <c r="Q187" s="4" t="s">
        <v>42</v>
      </c>
      <c r="R187" s="50" t="s">
        <v>43</v>
      </c>
      <c r="S187" s="50"/>
      <c r="T187" s="50" t="s">
        <v>423</v>
      </c>
      <c r="U187" s="4" t="s">
        <v>440</v>
      </c>
      <c r="V187" s="4"/>
    </row>
    <row r="188" spans="3:22" hidden="1" x14ac:dyDescent="0.25">
      <c r="C188" s="4" t="s">
        <v>497</v>
      </c>
      <c r="D188" s="4" t="s">
        <v>498</v>
      </c>
      <c r="E188" s="4" t="s">
        <v>499</v>
      </c>
      <c r="F188" s="4">
        <v>5</v>
      </c>
      <c r="G188" s="4" t="s">
        <v>376</v>
      </c>
      <c r="H188" s="4" t="str">
        <f>VLOOKUP(C188,[1]MAESTRA!$I$5:$J$399,2,0)</f>
        <v>cl-alfredobarrosarrazuriz@tiendas.oxxo.com</v>
      </c>
      <c r="I188" s="4" t="s">
        <v>46</v>
      </c>
      <c r="J188" s="4" t="s">
        <v>1030</v>
      </c>
      <c r="K188" s="4" t="s">
        <v>466</v>
      </c>
      <c r="L188" s="4" t="s">
        <v>43</v>
      </c>
      <c r="M188" s="4" t="s">
        <v>51</v>
      </c>
      <c r="N188" s="4" t="s">
        <v>40</v>
      </c>
      <c r="O188" s="4" t="s">
        <v>1035</v>
      </c>
      <c r="P188" s="4" t="s">
        <v>497</v>
      </c>
      <c r="Q188" s="4" t="s">
        <v>42</v>
      </c>
      <c r="R188" s="50" t="s">
        <v>43</v>
      </c>
      <c r="S188" s="50"/>
      <c r="T188" s="50" t="s">
        <v>467</v>
      </c>
      <c r="U188" s="4" t="s">
        <v>43</v>
      </c>
      <c r="V188" s="4"/>
    </row>
    <row r="189" spans="3:22" hidden="1" x14ac:dyDescent="0.25">
      <c r="C189" s="4" t="s">
        <v>144</v>
      </c>
      <c r="D189" s="4" t="s">
        <v>145</v>
      </c>
      <c r="E189" s="4" t="s">
        <v>145</v>
      </c>
      <c r="F189" s="4" t="s">
        <v>36</v>
      </c>
      <c r="G189" s="4" t="s">
        <v>37</v>
      </c>
      <c r="H189" s="4" t="str">
        <f>VLOOKUP(C189,[1]MAESTRA!$I$5:$J$399,2,0)</f>
        <v>cl-elbergantin@tiendas.oxxo.com</v>
      </c>
      <c r="I189" s="4" t="s">
        <v>46</v>
      </c>
      <c r="J189" s="4" t="s">
        <v>1030</v>
      </c>
      <c r="K189" s="4" t="s">
        <v>146</v>
      </c>
      <c r="L189" s="4"/>
      <c r="M189" s="4" t="s">
        <v>138</v>
      </c>
      <c r="N189" s="4" t="s">
        <v>40</v>
      </c>
      <c r="O189" s="4">
        <v>0</v>
      </c>
      <c r="P189" s="4" t="s">
        <v>144</v>
      </c>
      <c r="Q189" s="4" t="s">
        <v>42</v>
      </c>
      <c r="R189" s="50" t="s">
        <v>43</v>
      </c>
      <c r="S189" s="50"/>
      <c r="T189" s="50">
        <v>0</v>
      </c>
      <c r="U189" s="4" t="s">
        <v>36</v>
      </c>
      <c r="V189" s="4"/>
    </row>
    <row r="190" spans="3:22" hidden="1" x14ac:dyDescent="0.25">
      <c r="C190" s="4" t="s">
        <v>784</v>
      </c>
      <c r="D190" s="4" t="s">
        <v>785</v>
      </c>
      <c r="E190" s="4" t="s">
        <v>785</v>
      </c>
      <c r="F190" s="4">
        <v>5.45</v>
      </c>
      <c r="G190" s="4" t="s">
        <v>376</v>
      </c>
      <c r="H190" s="4" t="str">
        <f>VLOOKUP(C190,[1]MAESTRA!$I$5:$J$399,2,0)</f>
        <v>cl-sanmartincaupolican@tiendas.oxxo.com</v>
      </c>
      <c r="I190" s="4" t="s">
        <v>46</v>
      </c>
      <c r="J190" s="4" t="s">
        <v>1031</v>
      </c>
      <c r="K190" s="4" t="s">
        <v>89</v>
      </c>
      <c r="L190" s="4" t="s">
        <v>43</v>
      </c>
      <c r="M190" s="4" t="s">
        <v>109</v>
      </c>
      <c r="N190" s="4" t="s">
        <v>91</v>
      </c>
      <c r="O190" s="4" t="s">
        <v>378</v>
      </c>
      <c r="P190" s="4" t="s">
        <v>784</v>
      </c>
      <c r="Q190" s="4" t="s">
        <v>42</v>
      </c>
      <c r="R190" s="50" t="s">
        <v>43</v>
      </c>
      <c r="S190" s="50"/>
      <c r="T190" s="50" t="s">
        <v>772</v>
      </c>
      <c r="U190" s="4" t="s">
        <v>43</v>
      </c>
      <c r="V190" s="4"/>
    </row>
    <row r="191" spans="3:22" hidden="1" x14ac:dyDescent="0.25">
      <c r="C191" s="4" t="s">
        <v>147</v>
      </c>
      <c r="D191" s="4" t="s">
        <v>148</v>
      </c>
      <c r="E191" s="4" t="s">
        <v>148</v>
      </c>
      <c r="F191" s="4" t="s">
        <v>36</v>
      </c>
      <c r="G191" s="4" t="s">
        <v>37</v>
      </c>
      <c r="H191" s="4" t="str">
        <f>VLOOKUP(C191,[1]MAESTRA!$I$5:$J$399,2,0)</f>
        <v>cl-bilbaolosleones@tiendas.oxxo.com</v>
      </c>
      <c r="I191" s="4" t="s">
        <v>46</v>
      </c>
      <c r="J191" s="4" t="s">
        <v>1030</v>
      </c>
      <c r="K191" s="4" t="s">
        <v>50</v>
      </c>
      <c r="L191" s="4"/>
      <c r="M191" s="4" t="s">
        <v>51</v>
      </c>
      <c r="N191" s="4" t="s">
        <v>40</v>
      </c>
      <c r="O191" s="4">
        <v>0</v>
      </c>
      <c r="P191" s="4" t="s">
        <v>147</v>
      </c>
      <c r="Q191" s="4" t="s">
        <v>42</v>
      </c>
      <c r="R191" s="50" t="s">
        <v>43</v>
      </c>
      <c r="S191" s="50"/>
      <c r="T191" s="50">
        <v>0</v>
      </c>
      <c r="U191" s="4" t="s">
        <v>36</v>
      </c>
      <c r="V191" s="4"/>
    </row>
    <row r="192" spans="3:22" hidden="1" x14ac:dyDescent="0.25">
      <c r="C192" s="4" t="s">
        <v>149</v>
      </c>
      <c r="D192" s="4" t="s">
        <v>150</v>
      </c>
      <c r="E192" s="4" t="s">
        <v>150</v>
      </c>
      <c r="F192" s="4" t="s">
        <v>36</v>
      </c>
      <c r="G192" s="4" t="s">
        <v>37</v>
      </c>
      <c r="H192" s="4" t="str">
        <f>VLOOKUP(C192,[1]MAESTRA!$I$5:$J$399,2,0)</f>
        <v>cl-santodomingo@tiendas.oxxo.com </v>
      </c>
      <c r="I192" s="4" t="s">
        <v>81</v>
      </c>
      <c r="J192" s="4" t="s">
        <v>1030</v>
      </c>
      <c r="K192" s="4" t="s">
        <v>100</v>
      </c>
      <c r="L192" s="4"/>
      <c r="M192" s="4" t="s">
        <v>59</v>
      </c>
      <c r="N192" s="4" t="s">
        <v>40</v>
      </c>
      <c r="O192" s="4">
        <v>0</v>
      </c>
      <c r="P192" s="4" t="s">
        <v>149</v>
      </c>
      <c r="Q192" s="4" t="s">
        <v>42</v>
      </c>
      <c r="R192" s="50" t="s">
        <v>43</v>
      </c>
      <c r="S192" s="50"/>
      <c r="T192" s="50">
        <v>0</v>
      </c>
      <c r="U192" s="4" t="s">
        <v>36</v>
      </c>
      <c r="V192" s="4"/>
    </row>
    <row r="193" spans="3:22" hidden="1" x14ac:dyDescent="0.25">
      <c r="C193" s="4" t="s">
        <v>151</v>
      </c>
      <c r="D193" s="4" t="s">
        <v>152</v>
      </c>
      <c r="E193" s="4" t="s">
        <v>152</v>
      </c>
      <c r="F193" s="4" t="s">
        <v>36</v>
      </c>
      <c r="G193" s="4" t="s">
        <v>37</v>
      </c>
      <c r="H193" s="4" t="str">
        <f>VLOOKUP(C193,[1]MAESTRA!$I$5:$J$399,2,0)</f>
        <v>cl-barcelona@tiendas.oxxo.com</v>
      </c>
      <c r="I193" s="4" t="s">
        <v>88</v>
      </c>
      <c r="J193" s="4" t="s">
        <v>1030</v>
      </c>
      <c r="K193" s="4" t="s">
        <v>132</v>
      </c>
      <c r="L193" s="4"/>
      <c r="M193" s="4" t="s">
        <v>133</v>
      </c>
      <c r="N193" s="4" t="s">
        <v>40</v>
      </c>
      <c r="O193" s="4">
        <v>0</v>
      </c>
      <c r="P193" s="4" t="s">
        <v>151</v>
      </c>
      <c r="Q193" s="4" t="s">
        <v>42</v>
      </c>
      <c r="R193" s="50" t="s">
        <v>43</v>
      </c>
      <c r="S193" s="50"/>
      <c r="T193" s="50">
        <v>0</v>
      </c>
      <c r="U193" s="4" t="s">
        <v>36</v>
      </c>
      <c r="V193" s="4"/>
    </row>
    <row r="194" spans="3:22" hidden="1" x14ac:dyDescent="0.25">
      <c r="C194" s="4" t="s">
        <v>786</v>
      </c>
      <c r="D194" s="4" t="s">
        <v>787</v>
      </c>
      <c r="E194" s="4" t="s">
        <v>787</v>
      </c>
      <c r="F194" s="4">
        <v>5</v>
      </c>
      <c r="G194" s="4" t="s">
        <v>376</v>
      </c>
      <c r="H194" s="4" t="str">
        <f>VLOOKUP(C194,[1]MAESTRA!$I$5:$J$399,2,0)</f>
        <v>cl-lomassansebastian@tiendas.oxxo.com</v>
      </c>
      <c r="I194" s="4" t="s">
        <v>81</v>
      </c>
      <c r="J194" s="4" t="s">
        <v>1031</v>
      </c>
      <c r="K194" s="4" t="s">
        <v>89</v>
      </c>
      <c r="L194" s="4" t="s">
        <v>43</v>
      </c>
      <c r="M194" s="4" t="s">
        <v>109</v>
      </c>
      <c r="N194" s="4" t="s">
        <v>91</v>
      </c>
      <c r="O194" s="4" t="s">
        <v>378</v>
      </c>
      <c r="P194" s="4" t="s">
        <v>786</v>
      </c>
      <c r="Q194" s="4" t="s">
        <v>42</v>
      </c>
      <c r="R194" s="50" t="s">
        <v>43</v>
      </c>
      <c r="S194" s="50"/>
      <c r="T194" s="50" t="s">
        <v>772</v>
      </c>
      <c r="U194" s="4" t="s">
        <v>440</v>
      </c>
      <c r="V194" s="4" t="s">
        <v>32</v>
      </c>
    </row>
    <row r="195" spans="3:22" hidden="1" x14ac:dyDescent="0.25">
      <c r="C195" s="4" t="s">
        <v>582</v>
      </c>
      <c r="D195" s="4" t="s">
        <v>583</v>
      </c>
      <c r="E195" s="4" t="s">
        <v>583</v>
      </c>
      <c r="F195" s="4">
        <v>5</v>
      </c>
      <c r="G195" s="4" t="s">
        <v>376</v>
      </c>
      <c r="H195" s="4" t="str">
        <f>VLOOKUP(C195,[1]MAESTRA!$I$5:$J$399,2,0)</f>
        <v>cl-cerrocolorado@tiendas.oxxo.com</v>
      </c>
      <c r="I195" s="4" t="s">
        <v>46</v>
      </c>
      <c r="J195" s="4" t="s">
        <v>1030</v>
      </c>
      <c r="K195" s="4" t="s">
        <v>331</v>
      </c>
      <c r="L195" s="4" t="s">
        <v>43</v>
      </c>
      <c r="M195" s="4" t="s">
        <v>138</v>
      </c>
      <c r="N195" s="4" t="s">
        <v>40</v>
      </c>
      <c r="O195" s="4" t="s">
        <v>984</v>
      </c>
      <c r="P195" s="4" t="s">
        <v>582</v>
      </c>
      <c r="Q195" s="4" t="s">
        <v>42</v>
      </c>
      <c r="R195" s="50" t="s">
        <v>43</v>
      </c>
      <c r="S195" s="50"/>
      <c r="T195" s="50" t="s">
        <v>557</v>
      </c>
      <c r="U195" s="4" t="s">
        <v>43</v>
      </c>
      <c r="V195" s="4"/>
    </row>
    <row r="196" spans="3:22" hidden="1" x14ac:dyDescent="0.25">
      <c r="C196" s="4" t="s">
        <v>714</v>
      </c>
      <c r="D196" s="4" t="s">
        <v>715</v>
      </c>
      <c r="E196" s="4" t="s">
        <v>715</v>
      </c>
      <c r="F196" s="4">
        <v>5</v>
      </c>
      <c r="G196" s="4" t="s">
        <v>376</v>
      </c>
      <c r="H196" s="4" t="str">
        <f>VLOOKUP(C196,[1]MAESTRA!$I$5:$J$399,2,0)</f>
        <v>cl-cinconorte@tiendas.oxxo.com</v>
      </c>
      <c r="I196" s="4" t="s">
        <v>46</v>
      </c>
      <c r="J196" s="4" t="s">
        <v>1031</v>
      </c>
      <c r="K196" s="4" t="s">
        <v>84</v>
      </c>
      <c r="L196" s="4" t="s">
        <v>440</v>
      </c>
      <c r="M196" s="4" t="s">
        <v>54</v>
      </c>
      <c r="N196" s="4" t="s">
        <v>55</v>
      </c>
      <c r="O196" s="4" t="s">
        <v>378</v>
      </c>
      <c r="P196" s="4" t="s">
        <v>714</v>
      </c>
      <c r="Q196" s="4" t="s">
        <v>42</v>
      </c>
      <c r="R196" s="50" t="s">
        <v>43</v>
      </c>
      <c r="S196" s="50"/>
      <c r="T196" s="50" t="s">
        <v>702</v>
      </c>
      <c r="U196" s="4" t="s">
        <v>43</v>
      </c>
      <c r="V196" s="4"/>
    </row>
    <row r="197" spans="3:22" hidden="1" x14ac:dyDescent="0.25">
      <c r="C197" s="4" t="s">
        <v>153</v>
      </c>
      <c r="D197" s="4" t="s">
        <v>154</v>
      </c>
      <c r="E197" s="4" t="s">
        <v>155</v>
      </c>
      <c r="F197" s="4" t="s">
        <v>36</v>
      </c>
      <c r="G197" s="4" t="s">
        <v>37</v>
      </c>
      <c r="H197" s="4" t="str">
        <f>VLOOKUP(C197,[1]MAESTRA!$I$5:$J$399,2,0)</f>
        <v>cl-renaca1@tiendas.oxxo.com</v>
      </c>
      <c r="I197" s="4" t="s">
        <v>81</v>
      </c>
      <c r="J197" s="4" t="s">
        <v>1030</v>
      </c>
      <c r="K197" s="4" t="s">
        <v>84</v>
      </c>
      <c r="L197" s="4"/>
      <c r="M197" s="4" t="s">
        <v>54</v>
      </c>
      <c r="N197" s="4" t="s">
        <v>55</v>
      </c>
      <c r="O197" s="4">
        <v>0</v>
      </c>
      <c r="P197" s="4" t="s">
        <v>153</v>
      </c>
      <c r="Q197" s="4" t="s">
        <v>42</v>
      </c>
      <c r="R197" s="50" t="s">
        <v>43</v>
      </c>
      <c r="S197" s="50"/>
      <c r="T197" s="50">
        <v>0</v>
      </c>
      <c r="U197" s="4" t="s">
        <v>36</v>
      </c>
      <c r="V197" s="4"/>
    </row>
    <row r="198" spans="3:22" hidden="1" x14ac:dyDescent="0.25">
      <c r="C198" s="4" t="s">
        <v>912</v>
      </c>
      <c r="D198" s="4" t="s">
        <v>913</v>
      </c>
      <c r="E198" s="4" t="s">
        <v>913</v>
      </c>
      <c r="F198" s="4">
        <v>5</v>
      </c>
      <c r="G198" s="4" t="s">
        <v>376</v>
      </c>
      <c r="H198" s="4" t="str">
        <f>VLOOKUP(C198,[1]MAESTRA!$I$5:$J$399,2,0)</f>
        <v>cl-felixbulnes@tiendas.oxxo.com</v>
      </c>
      <c r="I198" s="4" t="s">
        <v>81</v>
      </c>
      <c r="J198" s="4" t="s">
        <v>1030</v>
      </c>
      <c r="K198" s="4" t="s">
        <v>73</v>
      </c>
      <c r="L198" s="4" t="s">
        <v>43</v>
      </c>
      <c r="M198" s="4" t="s">
        <v>914</v>
      </c>
      <c r="N198" s="4" t="s">
        <v>40</v>
      </c>
      <c r="O198" s="4" t="s">
        <v>514</v>
      </c>
      <c r="P198" s="4" t="s">
        <v>912</v>
      </c>
      <c r="Q198" s="4" t="s">
        <v>42</v>
      </c>
      <c r="R198" s="50" t="s">
        <v>43</v>
      </c>
      <c r="S198" s="50"/>
      <c r="T198" s="50" t="s">
        <v>886</v>
      </c>
      <c r="U198" s="4" t="s">
        <v>43</v>
      </c>
      <c r="V198" s="4"/>
    </row>
    <row r="199" spans="3:22" hidden="1" x14ac:dyDescent="0.25">
      <c r="C199" s="4" t="s">
        <v>500</v>
      </c>
      <c r="D199" s="4" t="s">
        <v>501</v>
      </c>
      <c r="E199" s="4" t="s">
        <v>501</v>
      </c>
      <c r="F199" s="4">
        <v>5</v>
      </c>
      <c r="G199" s="4" t="s">
        <v>376</v>
      </c>
      <c r="H199" s="4" t="str">
        <f>VLOOKUP(C199,[1]MAESTRA!$I$5:$J$399,2,0)</f>
        <v>cl-padremariano@tiendas.oxxo.com</v>
      </c>
      <c r="I199" s="4" t="s">
        <v>46</v>
      </c>
      <c r="J199" s="4" t="s">
        <v>1030</v>
      </c>
      <c r="K199" s="4" t="s">
        <v>466</v>
      </c>
      <c r="L199" s="4" t="s">
        <v>43</v>
      </c>
      <c r="M199" s="4" t="s">
        <v>51</v>
      </c>
      <c r="N199" s="4" t="s">
        <v>40</v>
      </c>
      <c r="O199" s="4" t="s">
        <v>1035</v>
      </c>
      <c r="P199" s="4" t="s">
        <v>500</v>
      </c>
      <c r="Q199" s="4" t="s">
        <v>42</v>
      </c>
      <c r="R199" s="50" t="s">
        <v>43</v>
      </c>
      <c r="S199" s="50"/>
      <c r="T199" s="50" t="s">
        <v>467</v>
      </c>
      <c r="U199" s="4" t="s">
        <v>43</v>
      </c>
      <c r="V199" s="4"/>
    </row>
    <row r="200" spans="3:22" hidden="1" x14ac:dyDescent="0.25">
      <c r="C200" s="4" t="s">
        <v>441</v>
      </c>
      <c r="D200" s="4" t="s">
        <v>442</v>
      </c>
      <c r="E200" s="4" t="s">
        <v>442</v>
      </c>
      <c r="F200" s="4">
        <v>5</v>
      </c>
      <c r="G200" s="4" t="s">
        <v>376</v>
      </c>
      <c r="H200" s="4" t="str">
        <f>VLOOKUP(C200,[1]MAESTRA!$I$5:$J$399,2,0)</f>
        <v>cl-irarrazavalsanjorge@tiendas.oxxo.com</v>
      </c>
      <c r="I200" s="4" t="s">
        <v>46</v>
      </c>
      <c r="J200" s="4" t="s">
        <v>1030</v>
      </c>
      <c r="K200" s="4" t="s">
        <v>94</v>
      </c>
      <c r="L200" s="4" t="s">
        <v>43</v>
      </c>
      <c r="M200" s="4" t="s">
        <v>64</v>
      </c>
      <c r="N200" s="4" t="s">
        <v>40</v>
      </c>
      <c r="O200" s="4" t="s">
        <v>1035</v>
      </c>
      <c r="P200" s="4" t="s">
        <v>441</v>
      </c>
      <c r="Q200" s="4" t="s">
        <v>42</v>
      </c>
      <c r="R200" s="50" t="s">
        <v>440</v>
      </c>
      <c r="S200" s="50"/>
      <c r="T200" s="50" t="s">
        <v>423</v>
      </c>
      <c r="U200" s="4" t="s">
        <v>43</v>
      </c>
      <c r="V200" s="4"/>
    </row>
    <row r="201" spans="3:22" hidden="1" x14ac:dyDescent="0.25">
      <c r="C201" s="4" t="s">
        <v>156</v>
      </c>
      <c r="D201" s="4" t="s">
        <v>157</v>
      </c>
      <c r="E201" s="4" t="s">
        <v>157</v>
      </c>
      <c r="F201" s="4" t="s">
        <v>36</v>
      </c>
      <c r="G201" s="4" t="s">
        <v>37</v>
      </c>
      <c r="H201" s="4" t="str">
        <f>VLOOKUP(C201,[1]MAESTRA!$I$5:$J$399,2,0)</f>
        <v>cl-providencia@tiendas.oxxo.com</v>
      </c>
      <c r="I201" s="4" t="s">
        <v>46</v>
      </c>
      <c r="J201" s="4" t="s">
        <v>1030</v>
      </c>
      <c r="K201" s="4">
        <v>0</v>
      </c>
      <c r="L201" s="4"/>
      <c r="M201" s="4" t="s">
        <v>51</v>
      </c>
      <c r="N201" s="4" t="s">
        <v>40</v>
      </c>
      <c r="O201" s="4">
        <v>0</v>
      </c>
      <c r="P201" s="4" t="s">
        <v>156</v>
      </c>
      <c r="Q201" s="4" t="s">
        <v>42</v>
      </c>
      <c r="R201" s="50" t="s">
        <v>43</v>
      </c>
      <c r="S201" s="50"/>
      <c r="T201" s="50">
        <v>0</v>
      </c>
      <c r="U201" s="4" t="s">
        <v>36</v>
      </c>
      <c r="V201" s="4"/>
    </row>
    <row r="202" spans="3:22" hidden="1" x14ac:dyDescent="0.25">
      <c r="C202" s="4" t="s">
        <v>875</v>
      </c>
      <c r="D202" s="4" t="s">
        <v>876</v>
      </c>
      <c r="E202" s="4" t="s">
        <v>876</v>
      </c>
      <c r="F202" s="44">
        <v>3.93</v>
      </c>
      <c r="G202" s="4" t="s">
        <v>376</v>
      </c>
      <c r="H202" s="4" t="str">
        <f>VLOOKUP(C202,[1]MAESTRA!$I$5:$J$399,2,0)</f>
        <v>cl-placaladehesa@tiendas.oxxo.com</v>
      </c>
      <c r="I202" s="4" t="s">
        <v>81</v>
      </c>
      <c r="J202" s="4" t="s">
        <v>1030</v>
      </c>
      <c r="K202" s="4" t="s">
        <v>132</v>
      </c>
      <c r="L202" s="4" t="s">
        <v>43</v>
      </c>
      <c r="M202" s="4" t="s">
        <v>856</v>
      </c>
      <c r="N202" s="4" t="s">
        <v>40</v>
      </c>
      <c r="O202" s="4" t="s">
        <v>1035</v>
      </c>
      <c r="P202" s="4" t="s">
        <v>875</v>
      </c>
      <c r="Q202" s="4" t="s">
        <v>42</v>
      </c>
      <c r="R202" s="50" t="s">
        <v>43</v>
      </c>
      <c r="S202" s="50"/>
      <c r="T202" s="50" t="s">
        <v>847</v>
      </c>
      <c r="U202" s="4" t="s">
        <v>43</v>
      </c>
      <c r="V202" s="4"/>
    </row>
    <row r="203" spans="3:22" hidden="1" x14ac:dyDescent="0.25">
      <c r="C203" s="4" t="s">
        <v>158</v>
      </c>
      <c r="D203" s="4" t="s">
        <v>159</v>
      </c>
      <c r="E203" s="4" t="s">
        <v>159</v>
      </c>
      <c r="F203" s="4" t="s">
        <v>36</v>
      </c>
      <c r="G203" s="4" t="s">
        <v>37</v>
      </c>
      <c r="H203" s="4" t="str">
        <f>VLOOKUP(C203,[1]MAESTRA!$I$5:$J$399,2,0)</f>
        <v>cl-pratsalinas@tiendas.oxxo.com</v>
      </c>
      <c r="I203" s="4" t="s">
        <v>81</v>
      </c>
      <c r="J203" s="4" t="s">
        <v>1030</v>
      </c>
      <c r="K203" s="4" t="s">
        <v>160</v>
      </c>
      <c r="L203" s="4"/>
      <c r="M203" s="4" t="s">
        <v>161</v>
      </c>
      <c r="N203" s="4" t="s">
        <v>55</v>
      </c>
      <c r="O203" s="4">
        <v>0</v>
      </c>
      <c r="P203" s="4" t="s">
        <v>158</v>
      </c>
      <c r="Q203" s="4" t="s">
        <v>42</v>
      </c>
      <c r="R203" s="50" t="s">
        <v>43</v>
      </c>
      <c r="S203" s="50"/>
      <c r="T203" s="50">
        <v>0</v>
      </c>
      <c r="U203" s="4" t="s">
        <v>36</v>
      </c>
      <c r="V203" s="4"/>
    </row>
    <row r="204" spans="3:22" hidden="1" x14ac:dyDescent="0.25">
      <c r="C204" s="4" t="s">
        <v>814</v>
      </c>
      <c r="D204" s="4" t="s">
        <v>815</v>
      </c>
      <c r="E204" s="4" t="s">
        <v>816</v>
      </c>
      <c r="F204" s="4">
        <v>5</v>
      </c>
      <c r="G204" s="4" t="s">
        <v>376</v>
      </c>
      <c r="H204" s="4" t="str">
        <f>VLOOKUP(C204,[1]MAESTRA!$I$5:$J$399,2,0)</f>
        <v>cl-sanantonio@tiendas.oxxo.com</v>
      </c>
      <c r="I204" s="4" t="s">
        <v>81</v>
      </c>
      <c r="J204" s="4" t="s">
        <v>1030</v>
      </c>
      <c r="K204" s="4" t="s">
        <v>146</v>
      </c>
      <c r="L204" s="4" t="s">
        <v>43</v>
      </c>
      <c r="M204" s="4" t="s">
        <v>59</v>
      </c>
      <c r="N204" s="4" t="s">
        <v>40</v>
      </c>
      <c r="O204" s="4" t="s">
        <v>1035</v>
      </c>
      <c r="P204" s="4" t="s">
        <v>814</v>
      </c>
      <c r="Q204" s="4" t="s">
        <v>42</v>
      </c>
      <c r="R204" s="50" t="s">
        <v>43</v>
      </c>
      <c r="S204" s="50"/>
      <c r="T204" s="50" t="s">
        <v>799</v>
      </c>
      <c r="U204" s="4" t="s">
        <v>43</v>
      </c>
      <c r="V204" s="4"/>
    </row>
    <row r="205" spans="3:22" hidden="1" x14ac:dyDescent="0.25">
      <c r="C205" s="4" t="s">
        <v>598</v>
      </c>
      <c r="D205" s="4" t="s">
        <v>599</v>
      </c>
      <c r="E205" s="4" t="s">
        <v>600</v>
      </c>
      <c r="F205" s="4">
        <v>5</v>
      </c>
      <c r="G205" s="4" t="s">
        <v>376</v>
      </c>
      <c r="H205" s="4" t="str">
        <f>VLOOKUP(C205,[1]MAESTRA!$I$5:$J$399,2,0)</f>
        <v>cl-metrogrutadelourdes@tiendas.oxxo.com</v>
      </c>
      <c r="I205" s="4" t="s">
        <v>81</v>
      </c>
      <c r="J205" s="4" t="s">
        <v>1030</v>
      </c>
      <c r="K205" s="4" t="s">
        <v>50</v>
      </c>
      <c r="L205" s="4" t="s">
        <v>43</v>
      </c>
      <c r="M205" s="4" t="s">
        <v>601</v>
      </c>
      <c r="N205" s="4" t="s">
        <v>40</v>
      </c>
      <c r="O205" s="4" t="s">
        <v>514</v>
      </c>
      <c r="P205" s="4" t="s">
        <v>598</v>
      </c>
      <c r="Q205" s="4" t="s">
        <v>42</v>
      </c>
      <c r="R205" s="50" t="s">
        <v>43</v>
      </c>
      <c r="S205" s="50"/>
      <c r="T205" s="50" t="s">
        <v>597</v>
      </c>
      <c r="U205" s="4" t="s">
        <v>440</v>
      </c>
      <c r="V205" s="4"/>
    </row>
    <row r="206" spans="3:22" hidden="1" x14ac:dyDescent="0.25">
      <c r="C206" s="4" t="s">
        <v>162</v>
      </c>
      <c r="D206" s="4" t="s">
        <v>163</v>
      </c>
      <c r="E206" s="4" t="s">
        <v>163</v>
      </c>
      <c r="F206" s="4" t="s">
        <v>36</v>
      </c>
      <c r="G206" s="4" t="s">
        <v>37</v>
      </c>
      <c r="H206" s="4" t="str">
        <f>VLOOKUP(C206,[1]MAESTRA!$I$5:$J$399,2,0)</f>
        <v>cl-lasverbenas@tiendas.oxxo.com</v>
      </c>
      <c r="I206" s="4" t="s">
        <v>88</v>
      </c>
      <c r="J206" s="4" t="s">
        <v>1030</v>
      </c>
      <c r="K206" s="4" t="s">
        <v>63</v>
      </c>
      <c r="L206" s="4"/>
      <c r="M206" s="4" t="s">
        <v>138</v>
      </c>
      <c r="N206" s="4" t="s">
        <v>40</v>
      </c>
      <c r="O206" s="4">
        <v>0</v>
      </c>
      <c r="P206" s="4" t="s">
        <v>162</v>
      </c>
      <c r="Q206" s="4" t="s">
        <v>42</v>
      </c>
      <c r="R206" s="50" t="s">
        <v>43</v>
      </c>
      <c r="S206" s="50"/>
      <c r="T206" s="50">
        <v>0</v>
      </c>
      <c r="U206" s="4" t="s">
        <v>36</v>
      </c>
      <c r="V206" s="4"/>
    </row>
    <row r="207" spans="3:22" hidden="1" x14ac:dyDescent="0.25">
      <c r="C207" s="4" t="s">
        <v>716</v>
      </c>
      <c r="D207" s="4" t="s">
        <v>717</v>
      </c>
      <c r="E207" s="4" t="s">
        <v>718</v>
      </c>
      <c r="F207" s="4">
        <v>5</v>
      </c>
      <c r="G207" s="4" t="s">
        <v>376</v>
      </c>
      <c r="H207" s="4" t="str">
        <f>VLOOKUP(C207,[1]MAESTRA!$I$5:$J$399,2,0)</f>
        <v>cl-laforesta@tiendas.oxxo.com</v>
      </c>
      <c r="I207" s="4" t="s">
        <v>46</v>
      </c>
      <c r="J207" s="4" t="s">
        <v>1031</v>
      </c>
      <c r="K207" s="4" t="s">
        <v>84</v>
      </c>
      <c r="L207" s="4" t="s">
        <v>440</v>
      </c>
      <c r="M207" s="4" t="s">
        <v>54</v>
      </c>
      <c r="N207" s="4" t="s">
        <v>55</v>
      </c>
      <c r="O207" s="4" t="s">
        <v>378</v>
      </c>
      <c r="P207" s="4" t="s">
        <v>716</v>
      </c>
      <c r="Q207" s="4" t="s">
        <v>42</v>
      </c>
      <c r="R207" s="50" t="s">
        <v>440</v>
      </c>
      <c r="S207" s="50"/>
      <c r="T207" s="50" t="s">
        <v>702</v>
      </c>
      <c r="U207" s="4" t="s">
        <v>43</v>
      </c>
      <c r="V207" s="4"/>
    </row>
    <row r="208" spans="3:22" hidden="1" x14ac:dyDescent="0.25">
      <c r="C208" s="4" t="s">
        <v>788</v>
      </c>
      <c r="D208" s="4" t="s">
        <v>789</v>
      </c>
      <c r="E208" s="4" t="s">
        <v>790</v>
      </c>
      <c r="F208" s="4">
        <v>5</v>
      </c>
      <c r="G208" s="4" t="s">
        <v>376</v>
      </c>
      <c r="H208" s="4" t="str">
        <f>VLOOKUP(C208,[1]MAESTRA!$I$5:$J$399,2,0)</f>
        <v>cl-ohiggins@tiendas.oxxo.com</v>
      </c>
      <c r="I208" s="4" t="s">
        <v>81</v>
      </c>
      <c r="J208" s="4" t="s">
        <v>1031</v>
      </c>
      <c r="K208" s="4" t="s">
        <v>89</v>
      </c>
      <c r="L208" s="4" t="s">
        <v>43</v>
      </c>
      <c r="M208" s="4" t="s">
        <v>109</v>
      </c>
      <c r="N208" s="4" t="s">
        <v>91</v>
      </c>
      <c r="O208" s="4" t="s">
        <v>378</v>
      </c>
      <c r="P208" s="4" t="s">
        <v>788</v>
      </c>
      <c r="Q208" s="4" t="s">
        <v>42</v>
      </c>
      <c r="R208" s="50" t="s">
        <v>43</v>
      </c>
      <c r="S208" s="50"/>
      <c r="T208" s="50" t="s">
        <v>772</v>
      </c>
      <c r="U208" s="4" t="s">
        <v>43</v>
      </c>
      <c r="V208" s="4"/>
    </row>
    <row r="209" spans="3:22" hidden="1" x14ac:dyDescent="0.25">
      <c r="C209" s="4" t="s">
        <v>443</v>
      </c>
      <c r="D209" s="4" t="s">
        <v>444</v>
      </c>
      <c r="E209" s="4" t="s">
        <v>444</v>
      </c>
      <c r="F209" s="4">
        <v>5</v>
      </c>
      <c r="G209" s="4" t="s">
        <v>376</v>
      </c>
      <c r="H209" s="4" t="str">
        <f>VLOOKUP(C209,[1]MAESTRA!$I$5:$J$399,2,0)</f>
        <v>cl-saneugenio@tiendas.oxxo.com</v>
      </c>
      <c r="I209" s="4" t="s">
        <v>81</v>
      </c>
      <c r="J209" s="4" t="s">
        <v>1030</v>
      </c>
      <c r="K209" s="4" t="s">
        <v>94</v>
      </c>
      <c r="L209" s="4" t="s">
        <v>43</v>
      </c>
      <c r="M209" s="4" t="s">
        <v>64</v>
      </c>
      <c r="N209" s="4" t="s">
        <v>40</v>
      </c>
      <c r="O209" s="4" t="s">
        <v>1035</v>
      </c>
      <c r="P209" s="4" t="s">
        <v>443</v>
      </c>
      <c r="Q209" s="4" t="s">
        <v>42</v>
      </c>
      <c r="R209" s="50" t="s">
        <v>43</v>
      </c>
      <c r="S209" s="50"/>
      <c r="T209" s="50" t="s">
        <v>423</v>
      </c>
      <c r="U209" s="4" t="s">
        <v>43</v>
      </c>
      <c r="V209" s="4"/>
    </row>
    <row r="210" spans="3:22" hidden="1" x14ac:dyDescent="0.25">
      <c r="C210" s="4" t="s">
        <v>415</v>
      </c>
      <c r="D210" s="4" t="s">
        <v>416</v>
      </c>
      <c r="E210" s="4" t="s">
        <v>416</v>
      </c>
      <c r="F210" s="4">
        <v>5</v>
      </c>
      <c r="G210" s="4" t="s">
        <v>376</v>
      </c>
      <c r="H210" s="4" t="str">
        <f>VLOOKUP(C210,[1]MAESTRA!$I$5:$J$399,2,0)</f>
        <v>cl-asturias@tiendas.oxxo.com</v>
      </c>
      <c r="I210" s="4" t="s">
        <v>81</v>
      </c>
      <c r="J210" s="4" t="s">
        <v>1031</v>
      </c>
      <c r="K210" s="4" t="s">
        <v>63</v>
      </c>
      <c r="L210" s="4" t="s">
        <v>43</v>
      </c>
      <c r="M210" s="4" t="s">
        <v>138</v>
      </c>
      <c r="N210" s="4" t="s">
        <v>40</v>
      </c>
      <c r="O210" s="4" t="s">
        <v>378</v>
      </c>
      <c r="P210" s="4" t="s">
        <v>415</v>
      </c>
      <c r="Q210" s="4" t="s">
        <v>42</v>
      </c>
      <c r="R210" s="50" t="s">
        <v>43</v>
      </c>
      <c r="S210" s="50"/>
      <c r="T210" s="50" t="s">
        <v>380</v>
      </c>
      <c r="U210" s="4" t="s">
        <v>43</v>
      </c>
      <c r="V210" s="4"/>
    </row>
    <row r="211" spans="3:22" hidden="1" x14ac:dyDescent="0.25">
      <c r="C211" s="4" t="s">
        <v>915</v>
      </c>
      <c r="D211" s="4" t="s">
        <v>916</v>
      </c>
      <c r="E211" s="4" t="s">
        <v>916</v>
      </c>
      <c r="F211" s="4">
        <v>5</v>
      </c>
      <c r="G211" s="4" t="s">
        <v>376</v>
      </c>
      <c r="H211" s="4" t="str">
        <f>VLOOKUP(C211,[1]MAESTRA!$I$5:$J$399,2,0)</f>
        <v>cl-miradorazul@tiendas.oxxo.com</v>
      </c>
      <c r="I211" s="4" t="s">
        <v>81</v>
      </c>
      <c r="J211" s="4" t="s">
        <v>1030</v>
      </c>
      <c r="K211" s="4" t="s">
        <v>73</v>
      </c>
      <c r="L211" s="4" t="s">
        <v>43</v>
      </c>
      <c r="M211" s="4" t="s">
        <v>133</v>
      </c>
      <c r="N211" s="4" t="s">
        <v>40</v>
      </c>
      <c r="O211" s="4" t="s">
        <v>514</v>
      </c>
      <c r="P211" s="4" t="s">
        <v>915</v>
      </c>
      <c r="Q211" s="4" t="s">
        <v>42</v>
      </c>
      <c r="R211" s="50" t="s">
        <v>43</v>
      </c>
      <c r="S211" s="50"/>
      <c r="T211" s="50" t="s">
        <v>886</v>
      </c>
      <c r="U211" s="4" t="s">
        <v>43</v>
      </c>
      <c r="V211" s="4"/>
    </row>
    <row r="212" spans="3:22" hidden="1" x14ac:dyDescent="0.25">
      <c r="C212" s="4" t="s">
        <v>164</v>
      </c>
      <c r="D212" s="4" t="s">
        <v>165</v>
      </c>
      <c r="E212" s="4" t="s">
        <v>165</v>
      </c>
      <c r="F212" s="4" t="s">
        <v>36</v>
      </c>
      <c r="G212" s="4" t="s">
        <v>37</v>
      </c>
      <c r="H212" s="4" t="str">
        <f>VLOOKUP(C212,[1]MAESTRA!$I$5:$J$399,2,0)</f>
        <v>cl-sanpascual@tiendas.oxxo.com</v>
      </c>
      <c r="I212" s="4" t="s">
        <v>46</v>
      </c>
      <c r="J212" s="4" t="s">
        <v>1030</v>
      </c>
      <c r="K212" s="4" t="s">
        <v>58</v>
      </c>
      <c r="L212" s="4"/>
      <c r="M212" s="4" t="s">
        <v>138</v>
      </c>
      <c r="N212" s="4" t="s">
        <v>40</v>
      </c>
      <c r="O212" s="4">
        <v>0</v>
      </c>
      <c r="P212" s="4" t="s">
        <v>164</v>
      </c>
      <c r="Q212" s="4" t="s">
        <v>42</v>
      </c>
      <c r="R212" s="50" t="s">
        <v>43</v>
      </c>
      <c r="S212" s="50"/>
      <c r="T212" s="50">
        <v>0</v>
      </c>
      <c r="U212" s="4" t="s">
        <v>36</v>
      </c>
      <c r="V212" s="4"/>
    </row>
    <row r="213" spans="3:22" hidden="1" x14ac:dyDescent="0.25">
      <c r="C213" s="4" t="s">
        <v>166</v>
      </c>
      <c r="D213" s="4" t="s">
        <v>167</v>
      </c>
      <c r="E213" s="4" t="s">
        <v>167</v>
      </c>
      <c r="F213" s="4" t="s">
        <v>36</v>
      </c>
      <c r="G213" s="4" t="s">
        <v>37</v>
      </c>
      <c r="H213" s="4" t="str">
        <f>VLOOKUP(C213,[1]MAESTRA!$I$5:$J$399,2,0)</f>
        <v>cl-agustinassnmartin2@tiendas.oxxo.com</v>
      </c>
      <c r="I213" s="4" t="s">
        <v>81</v>
      </c>
      <c r="J213" s="4" t="s">
        <v>1030</v>
      </c>
      <c r="K213" s="4" t="s">
        <v>58</v>
      </c>
      <c r="L213" s="4"/>
      <c r="M213" s="4" t="s">
        <v>59</v>
      </c>
      <c r="N213" s="4" t="s">
        <v>40</v>
      </c>
      <c r="O213" s="4">
        <v>0</v>
      </c>
      <c r="P213" s="4" t="s">
        <v>166</v>
      </c>
      <c r="Q213" s="4" t="s">
        <v>42</v>
      </c>
      <c r="R213" s="50" t="s">
        <v>43</v>
      </c>
      <c r="S213" s="50"/>
      <c r="T213" s="50">
        <v>0</v>
      </c>
      <c r="U213" s="4" t="s">
        <v>36</v>
      </c>
      <c r="V213" s="4"/>
    </row>
    <row r="214" spans="3:22" hidden="1" x14ac:dyDescent="0.25">
      <c r="C214" s="4" t="s">
        <v>168</v>
      </c>
      <c r="D214" s="4" t="s">
        <v>169</v>
      </c>
      <c r="E214" s="4" t="s">
        <v>170</v>
      </c>
      <c r="F214" s="4" t="s">
        <v>36</v>
      </c>
      <c r="G214" s="4" t="s">
        <v>37</v>
      </c>
      <c r="H214" s="4" t="str">
        <f>VLOOKUP(C214,[1]MAESTRA!$I$5:$J$399,2,0)</f>
        <v>cl-sanpablomorande@tiendas.oxxo.com</v>
      </c>
      <c r="I214" s="4" t="s">
        <v>46</v>
      </c>
      <c r="J214" s="4" t="s">
        <v>1030</v>
      </c>
      <c r="K214" s="4" t="s">
        <v>160</v>
      </c>
      <c r="L214" s="4"/>
      <c r="M214" s="4" t="s">
        <v>59</v>
      </c>
      <c r="N214" s="4" t="s">
        <v>40</v>
      </c>
      <c r="O214" s="4">
        <v>0</v>
      </c>
      <c r="P214" s="4" t="s">
        <v>168</v>
      </c>
      <c r="Q214" s="4" t="s">
        <v>42</v>
      </c>
      <c r="R214" s="50" t="s">
        <v>43</v>
      </c>
      <c r="S214" s="50"/>
      <c r="T214" s="50">
        <v>0</v>
      </c>
      <c r="U214" s="4" t="s">
        <v>36</v>
      </c>
      <c r="V214" s="4"/>
    </row>
    <row r="215" spans="3:22" hidden="1" x14ac:dyDescent="0.25">
      <c r="C215" s="4" t="s">
        <v>171</v>
      </c>
      <c r="D215" s="4" t="s">
        <v>172</v>
      </c>
      <c r="E215" s="4" t="s">
        <v>172</v>
      </c>
      <c r="F215" s="4" t="s">
        <v>36</v>
      </c>
      <c r="G215" s="4" t="s">
        <v>37</v>
      </c>
      <c r="H215" s="4" t="str">
        <f>VLOOKUP(C215,[1]MAESTRA!$I$5:$J$399,2,0)</f>
        <v>cl-orompello@tiendas.oxxo.com</v>
      </c>
      <c r="I215" s="4" t="s">
        <v>81</v>
      </c>
      <c r="J215" s="4" t="s">
        <v>1030</v>
      </c>
      <c r="K215" s="4" t="s">
        <v>89</v>
      </c>
      <c r="L215" s="4"/>
      <c r="M215" s="4" t="s">
        <v>109</v>
      </c>
      <c r="N215" s="4" t="s">
        <v>91</v>
      </c>
      <c r="O215" s="4">
        <v>0</v>
      </c>
      <c r="P215" s="4" t="s">
        <v>171</v>
      </c>
      <c r="Q215" s="4" t="s">
        <v>42</v>
      </c>
      <c r="R215" s="50" t="s">
        <v>43</v>
      </c>
      <c r="S215" s="50"/>
      <c r="T215" s="50" t="s">
        <v>772</v>
      </c>
      <c r="U215" s="4" t="s">
        <v>36</v>
      </c>
      <c r="V215" s="4"/>
    </row>
    <row r="216" spans="3:22" hidden="1" x14ac:dyDescent="0.25">
      <c r="C216" s="4" t="s">
        <v>173</v>
      </c>
      <c r="D216" s="4" t="s">
        <v>174</v>
      </c>
      <c r="E216" s="4" t="s">
        <v>174</v>
      </c>
      <c r="F216" s="4" t="s">
        <v>36</v>
      </c>
      <c r="G216" s="4" t="s">
        <v>37</v>
      </c>
      <c r="H216" s="4" t="str">
        <f>VLOOKUP(C216,[1]MAESTRA!$I$5:$J$399,2,0)</f>
        <v>cl-greciaexequiel@tiendas.oxxo.com</v>
      </c>
      <c r="I216" s="4" t="s">
        <v>46</v>
      </c>
      <c r="J216" s="4" t="s">
        <v>1030</v>
      </c>
      <c r="K216" s="4" t="s">
        <v>73</v>
      </c>
      <c r="L216" s="4"/>
      <c r="M216" s="4" t="s">
        <v>64</v>
      </c>
      <c r="N216" s="4" t="s">
        <v>40</v>
      </c>
      <c r="O216" s="4">
        <v>0</v>
      </c>
      <c r="P216" s="4" t="s">
        <v>173</v>
      </c>
      <c r="Q216" s="4" t="s">
        <v>42</v>
      </c>
      <c r="R216" s="50" t="s">
        <v>43</v>
      </c>
      <c r="S216" s="50"/>
      <c r="T216" s="50">
        <v>0</v>
      </c>
      <c r="U216" s="4" t="s">
        <v>36</v>
      </c>
      <c r="V216" s="4"/>
    </row>
    <row r="217" spans="3:22" hidden="1" x14ac:dyDescent="0.25">
      <c r="C217" s="4" t="s">
        <v>584</v>
      </c>
      <c r="D217" s="4" t="s">
        <v>585</v>
      </c>
      <c r="E217" s="4" t="s">
        <v>585</v>
      </c>
      <c r="F217" s="4">
        <v>5</v>
      </c>
      <c r="G217" s="4" t="s">
        <v>376</v>
      </c>
      <c r="H217" s="4" t="str">
        <f>VLOOKUP(C217,[1]MAESTRA!$I$5:$J$399,2,0)</f>
        <v>cl-renatosanchez@tiendas.oxxo.com</v>
      </c>
      <c r="I217" s="4" t="s">
        <v>46</v>
      </c>
      <c r="J217" s="4" t="s">
        <v>1030</v>
      </c>
      <c r="K217" s="4" t="s">
        <v>331</v>
      </c>
      <c r="L217" s="4" t="s">
        <v>43</v>
      </c>
      <c r="M217" s="4" t="s">
        <v>138</v>
      </c>
      <c r="N217" s="4" t="s">
        <v>40</v>
      </c>
      <c r="O217" s="4" t="s">
        <v>984</v>
      </c>
      <c r="P217" s="4" t="s">
        <v>584</v>
      </c>
      <c r="Q217" s="4" t="s">
        <v>42</v>
      </c>
      <c r="R217" s="50" t="s">
        <v>43</v>
      </c>
      <c r="S217" s="50"/>
      <c r="T217" s="50" t="s">
        <v>557</v>
      </c>
      <c r="U217" s="4" t="s">
        <v>43</v>
      </c>
      <c r="V217" s="4"/>
    </row>
    <row r="218" spans="3:22" hidden="1" x14ac:dyDescent="0.25">
      <c r="C218" s="4" t="s">
        <v>917</v>
      </c>
      <c r="D218" s="4" t="s">
        <v>918</v>
      </c>
      <c r="E218" s="4" t="s">
        <v>918</v>
      </c>
      <c r="F218" s="4">
        <v>5</v>
      </c>
      <c r="G218" s="4" t="s">
        <v>376</v>
      </c>
      <c r="H218" s="4" t="str">
        <f>VLOOKUP(C218,[1]MAESTRA!$I$5:$J$399,2,0)</f>
        <v>cl-mallpaseosanbernardo@tiendas.oxxo.com</v>
      </c>
      <c r="I218" s="4" t="s">
        <v>46</v>
      </c>
      <c r="J218" s="4" t="s">
        <v>1030</v>
      </c>
      <c r="K218" s="4" t="s">
        <v>73</v>
      </c>
      <c r="L218" s="4" t="s">
        <v>43</v>
      </c>
      <c r="M218" s="4" t="s">
        <v>605</v>
      </c>
      <c r="N218" s="4" t="s">
        <v>40</v>
      </c>
      <c r="O218" s="4" t="s">
        <v>514</v>
      </c>
      <c r="P218" s="4" t="s">
        <v>917</v>
      </c>
      <c r="Q218" s="4" t="s">
        <v>42</v>
      </c>
      <c r="R218" s="50" t="s">
        <v>43</v>
      </c>
      <c r="S218" s="50"/>
      <c r="T218" s="50" t="s">
        <v>886</v>
      </c>
      <c r="U218" s="4" t="s">
        <v>43</v>
      </c>
      <c r="V218" s="4"/>
    </row>
    <row r="219" spans="3:22" hidden="1" x14ac:dyDescent="0.25">
      <c r="C219" s="4" t="s">
        <v>877</v>
      </c>
      <c r="D219" s="4" t="s">
        <v>878</v>
      </c>
      <c r="E219" s="4" t="s">
        <v>878</v>
      </c>
      <c r="F219" s="4">
        <v>5</v>
      </c>
      <c r="G219" s="4" t="s">
        <v>376</v>
      </c>
      <c r="H219" s="4" t="str">
        <f>VLOOKUP(C219,[1]MAESTRA!$I$5:$J$399,2,0)</f>
        <v>cl-workladehesa@tiendas.oxxo.com</v>
      </c>
      <c r="I219" s="4" t="s">
        <v>81</v>
      </c>
      <c r="J219" s="4" t="s">
        <v>1030</v>
      </c>
      <c r="K219" s="4" t="s">
        <v>132</v>
      </c>
      <c r="L219" s="4" t="s">
        <v>43</v>
      </c>
      <c r="M219" s="4" t="s">
        <v>856</v>
      </c>
      <c r="N219" s="4" t="s">
        <v>40</v>
      </c>
      <c r="O219" s="4" t="s">
        <v>1035</v>
      </c>
      <c r="P219" s="4" t="s">
        <v>877</v>
      </c>
      <c r="Q219" s="4" t="s">
        <v>42</v>
      </c>
      <c r="R219" s="50" t="s">
        <v>43</v>
      </c>
      <c r="S219" s="50"/>
      <c r="T219" s="50" t="s">
        <v>847</v>
      </c>
      <c r="U219" s="4" t="s">
        <v>43</v>
      </c>
      <c r="V219" s="4"/>
    </row>
    <row r="220" spans="3:22" hidden="1" x14ac:dyDescent="0.25">
      <c r="C220" s="4" t="s">
        <v>586</v>
      </c>
      <c r="D220" s="4" t="s">
        <v>587</v>
      </c>
      <c r="E220" s="4" t="s">
        <v>587</v>
      </c>
      <c r="F220" s="4">
        <v>5</v>
      </c>
      <c r="G220" s="4" t="s">
        <v>376</v>
      </c>
      <c r="H220" s="4" t="str">
        <f>VLOOKUP(C220,[1]MAESTRA!$I$5:$J$399,2,0)</f>
        <v>cl-worldtradecenter@tiendas.oxxo.com</v>
      </c>
      <c r="I220" s="4" t="s">
        <v>46</v>
      </c>
      <c r="J220" s="4" t="s">
        <v>1030</v>
      </c>
      <c r="K220" s="4" t="s">
        <v>331</v>
      </c>
      <c r="L220" s="4" t="s">
        <v>43</v>
      </c>
      <c r="M220" s="4" t="s">
        <v>138</v>
      </c>
      <c r="N220" s="4" t="s">
        <v>40</v>
      </c>
      <c r="O220" s="4" t="s">
        <v>984</v>
      </c>
      <c r="P220" s="4" t="s">
        <v>586</v>
      </c>
      <c r="Q220" s="4" t="s">
        <v>42</v>
      </c>
      <c r="R220" s="50" t="s">
        <v>43</v>
      </c>
      <c r="S220" s="50"/>
      <c r="T220" s="50" t="s">
        <v>557</v>
      </c>
      <c r="U220" s="4" t="s">
        <v>43</v>
      </c>
      <c r="V220" s="4"/>
    </row>
    <row r="221" spans="3:22" hidden="1" x14ac:dyDescent="0.25">
      <c r="C221" s="4" t="s">
        <v>175</v>
      </c>
      <c r="D221" s="4" t="s">
        <v>176</v>
      </c>
      <c r="E221" s="4" t="s">
        <v>176</v>
      </c>
      <c r="F221" s="4" t="s">
        <v>36</v>
      </c>
      <c r="G221" s="4" t="s">
        <v>37</v>
      </c>
      <c r="H221" s="4" t="str">
        <f>VLOOKUP(C221,[1]MAESTRA!$I$5:$J$399,2,0)</f>
        <v>cl-irarrazavalantoniovaras@tiendas.oxxo.com</v>
      </c>
      <c r="I221" s="4" t="s">
        <v>46</v>
      </c>
      <c r="J221" s="4" t="s">
        <v>1030</v>
      </c>
      <c r="K221" s="4" t="s">
        <v>132</v>
      </c>
      <c r="L221" s="4"/>
      <c r="M221" s="4" t="s">
        <v>64</v>
      </c>
      <c r="N221" s="4" t="s">
        <v>40</v>
      </c>
      <c r="O221" s="4">
        <v>0</v>
      </c>
      <c r="P221" s="4" t="s">
        <v>175</v>
      </c>
      <c r="Q221" s="4" t="s">
        <v>42</v>
      </c>
      <c r="R221" s="50" t="s">
        <v>43</v>
      </c>
      <c r="S221" s="50"/>
      <c r="T221" s="50">
        <v>0</v>
      </c>
      <c r="U221" s="4" t="s">
        <v>36</v>
      </c>
      <c r="V221" s="4"/>
    </row>
    <row r="222" spans="3:22" hidden="1" x14ac:dyDescent="0.25">
      <c r="C222" s="4" t="s">
        <v>177</v>
      </c>
      <c r="D222" s="4" t="s">
        <v>178</v>
      </c>
      <c r="E222" s="4" t="s">
        <v>178</v>
      </c>
      <c r="F222" s="4" t="s">
        <v>36</v>
      </c>
      <c r="G222" s="4" t="s">
        <v>37</v>
      </c>
      <c r="H222" s="4" t="str">
        <f>VLOOKUP(C222,[1]MAESTRA!$I$5:$J$399,2,0)</f>
        <v>cl-villaalemana2@tiendas.oxxo.com</v>
      </c>
      <c r="I222" s="4" t="s">
        <v>81</v>
      </c>
      <c r="J222" s="4" t="s">
        <v>1030</v>
      </c>
      <c r="K222" s="4" t="s">
        <v>84</v>
      </c>
      <c r="L222" s="4"/>
      <c r="M222" s="4" t="s">
        <v>179</v>
      </c>
      <c r="N222" s="4" t="s">
        <v>55</v>
      </c>
      <c r="O222" s="4">
        <v>0</v>
      </c>
      <c r="P222" s="4" t="s">
        <v>177</v>
      </c>
      <c r="Q222" s="4" t="s">
        <v>42</v>
      </c>
      <c r="R222" s="50" t="s">
        <v>43</v>
      </c>
      <c r="S222" s="50"/>
      <c r="T222" s="50">
        <v>0</v>
      </c>
      <c r="U222" s="4" t="s">
        <v>36</v>
      </c>
      <c r="V222" s="4"/>
    </row>
    <row r="223" spans="3:22" hidden="1" x14ac:dyDescent="0.25">
      <c r="C223" s="4" t="s">
        <v>180</v>
      </c>
      <c r="D223" s="4" t="s">
        <v>181</v>
      </c>
      <c r="E223" s="4" t="s">
        <v>181</v>
      </c>
      <c r="F223" s="4" t="s">
        <v>36</v>
      </c>
      <c r="G223" s="4" t="s">
        <v>37</v>
      </c>
      <c r="H223" s="4" t="str">
        <f>VLOOKUP(C223,[1]MAESTRA!$I$5:$J$399,2,0)</f>
        <v>cl-quillota1@tiendas.oxxo.com</v>
      </c>
      <c r="I223" s="4" t="s">
        <v>81</v>
      </c>
      <c r="J223" s="4" t="s">
        <v>1030</v>
      </c>
      <c r="K223" s="4" t="s">
        <v>84</v>
      </c>
      <c r="L223" s="4"/>
      <c r="M223" s="4" t="s">
        <v>182</v>
      </c>
      <c r="N223" s="4" t="s">
        <v>55</v>
      </c>
      <c r="O223" s="4">
        <v>0</v>
      </c>
      <c r="P223" s="4" t="s">
        <v>180</v>
      </c>
      <c r="Q223" s="4" t="s">
        <v>42</v>
      </c>
      <c r="R223" s="50" t="s">
        <v>43</v>
      </c>
      <c r="S223" s="50"/>
      <c r="T223" s="50">
        <v>0</v>
      </c>
      <c r="U223" s="4" t="s">
        <v>36</v>
      </c>
      <c r="V223" s="4"/>
    </row>
    <row r="224" spans="3:22" hidden="1" x14ac:dyDescent="0.25">
      <c r="C224" s="4" t="s">
        <v>588</v>
      </c>
      <c r="D224" s="4" t="s">
        <v>589</v>
      </c>
      <c r="E224" s="4" t="s">
        <v>589</v>
      </c>
      <c r="F224" s="4">
        <v>5</v>
      </c>
      <c r="G224" s="4" t="s">
        <v>376</v>
      </c>
      <c r="H224" s="4" t="str">
        <f>VLOOKUP(C224,[1]MAESTRA!$I$5:$J$399,2,0)</f>
        <v>cl-isidora2@tiendas.oxxo.com</v>
      </c>
      <c r="I224" s="4" t="s">
        <v>46</v>
      </c>
      <c r="J224" s="4" t="s">
        <v>1030</v>
      </c>
      <c r="K224" s="4" t="s">
        <v>331</v>
      </c>
      <c r="L224" s="4" t="s">
        <v>43</v>
      </c>
      <c r="M224" s="4" t="s">
        <v>138</v>
      </c>
      <c r="N224" s="4" t="s">
        <v>40</v>
      </c>
      <c r="O224" s="4" t="s">
        <v>984</v>
      </c>
      <c r="P224" s="4" t="s">
        <v>588</v>
      </c>
      <c r="Q224" s="4" t="s">
        <v>42</v>
      </c>
      <c r="R224" s="50" t="s">
        <v>43</v>
      </c>
      <c r="S224" s="50"/>
      <c r="T224" s="50" t="s">
        <v>557</v>
      </c>
      <c r="U224" s="4" t="s">
        <v>43</v>
      </c>
      <c r="V224" s="4"/>
    </row>
    <row r="225" spans="3:22" hidden="1" x14ac:dyDescent="0.25">
      <c r="C225" s="4" t="s">
        <v>183</v>
      </c>
      <c r="D225" s="4" t="s">
        <v>184</v>
      </c>
      <c r="E225" s="4" t="s">
        <v>184</v>
      </c>
      <c r="F225" s="4" t="s">
        <v>36</v>
      </c>
      <c r="G225" s="4" t="s">
        <v>37</v>
      </c>
      <c r="H225" s="4" t="str">
        <f>VLOOKUP(C225,[1]MAESTRA!$I$5:$J$399,2,0)</f>
        <v>cl-irarrazavalsuecia@tiendas.oxxo.com</v>
      </c>
      <c r="I225" s="4" t="s">
        <v>81</v>
      </c>
      <c r="J225" s="4" t="s">
        <v>1030</v>
      </c>
      <c r="K225" s="4">
        <v>0</v>
      </c>
      <c r="L225" s="4"/>
      <c r="M225" s="4" t="s">
        <v>64</v>
      </c>
      <c r="N225" s="4" t="s">
        <v>40</v>
      </c>
      <c r="O225" s="4">
        <v>0</v>
      </c>
      <c r="P225" s="4" t="s">
        <v>183</v>
      </c>
      <c r="Q225" s="4" t="s">
        <v>42</v>
      </c>
      <c r="R225" s="50" t="s">
        <v>43</v>
      </c>
      <c r="S225" s="50"/>
      <c r="T225" s="50">
        <v>0</v>
      </c>
      <c r="U225" s="4" t="s">
        <v>36</v>
      </c>
      <c r="V225" s="4"/>
    </row>
    <row r="226" spans="3:22" hidden="1" x14ac:dyDescent="0.25">
      <c r="C226" s="4" t="s">
        <v>185</v>
      </c>
      <c r="D226" s="4" t="s">
        <v>186</v>
      </c>
      <c r="E226" s="4" t="s">
        <v>186</v>
      </c>
      <c r="F226" s="4" t="s">
        <v>36</v>
      </c>
      <c r="G226" s="4" t="s">
        <v>37</v>
      </c>
      <c r="H226" s="4" t="str">
        <f>VLOOKUP(C226,[1]MAESTRA!$I$5:$J$399,2,0)</f>
        <v>cl-irarrazavalitalia@tiendas.oxxo.com</v>
      </c>
      <c r="I226" s="4" t="s">
        <v>46</v>
      </c>
      <c r="J226" s="4" t="s">
        <v>1030</v>
      </c>
      <c r="K226" s="4" t="s">
        <v>94</v>
      </c>
      <c r="L226" s="4"/>
      <c r="M226" s="4" t="s">
        <v>64</v>
      </c>
      <c r="N226" s="4" t="s">
        <v>40</v>
      </c>
      <c r="O226" s="4">
        <v>0</v>
      </c>
      <c r="P226" s="4" t="s">
        <v>185</v>
      </c>
      <c r="Q226" s="4" t="s">
        <v>42</v>
      </c>
      <c r="R226" s="50" t="s">
        <v>43</v>
      </c>
      <c r="S226" s="50"/>
      <c r="T226" s="50">
        <v>0</v>
      </c>
      <c r="U226" s="4" t="s">
        <v>36</v>
      </c>
      <c r="V226" s="4"/>
    </row>
    <row r="227" spans="3:22" hidden="1" x14ac:dyDescent="0.25">
      <c r="C227" s="4" t="s">
        <v>445</v>
      </c>
      <c r="D227" s="4" t="s">
        <v>446</v>
      </c>
      <c r="E227" s="4" t="s">
        <v>446</v>
      </c>
      <c r="F227" s="4">
        <v>5</v>
      </c>
      <c r="G227" s="4" t="s">
        <v>376</v>
      </c>
      <c r="H227" s="4" t="str">
        <f>VLOOKUP(C227,[1]MAESTRA!$I$5:$J$399,2,0)</f>
        <v>cl-irarrazavalbustamante@tiendas.oxxo.com</v>
      </c>
      <c r="I227" s="4" t="s">
        <v>46</v>
      </c>
      <c r="J227" s="4" t="s">
        <v>1030</v>
      </c>
      <c r="K227" s="4" t="s">
        <v>94</v>
      </c>
      <c r="L227" s="4" t="s">
        <v>43</v>
      </c>
      <c r="M227" s="4" t="s">
        <v>64</v>
      </c>
      <c r="N227" s="4" t="s">
        <v>40</v>
      </c>
      <c r="O227" s="4" t="s">
        <v>1035</v>
      </c>
      <c r="P227" s="4" t="s">
        <v>445</v>
      </c>
      <c r="Q227" s="4" t="s">
        <v>42</v>
      </c>
      <c r="R227" s="50" t="s">
        <v>43</v>
      </c>
      <c r="S227" s="50"/>
      <c r="T227" s="50" t="s">
        <v>423</v>
      </c>
      <c r="U227" s="4" t="s">
        <v>43</v>
      </c>
      <c r="V227" s="4"/>
    </row>
    <row r="228" spans="3:22" hidden="1" x14ac:dyDescent="0.25">
      <c r="C228" s="4" t="s">
        <v>817</v>
      </c>
      <c r="D228" s="4" t="s">
        <v>818</v>
      </c>
      <c r="E228" s="4" t="s">
        <v>818</v>
      </c>
      <c r="F228" s="4">
        <v>5</v>
      </c>
      <c r="G228" s="4" t="s">
        <v>376</v>
      </c>
      <c r="H228" s="4" t="str">
        <f>VLOOKUP(C228,[1]MAESTRA!$I$5:$J$399,2,0)</f>
        <v>cl-santavictoria@tiendas.oxxo.com</v>
      </c>
      <c r="I228" s="4" t="s">
        <v>46</v>
      </c>
      <c r="J228" s="4" t="s">
        <v>1030</v>
      </c>
      <c r="K228" s="4" t="s">
        <v>146</v>
      </c>
      <c r="L228" s="4" t="s">
        <v>43</v>
      </c>
      <c r="M228" s="4" t="s">
        <v>59</v>
      </c>
      <c r="N228" s="4" t="s">
        <v>40</v>
      </c>
      <c r="O228" s="4" t="s">
        <v>1035</v>
      </c>
      <c r="P228" s="4" t="s">
        <v>817</v>
      </c>
      <c r="Q228" s="4" t="s">
        <v>42</v>
      </c>
      <c r="R228" s="50" t="s">
        <v>43</v>
      </c>
      <c r="S228" s="50"/>
      <c r="T228" s="50" t="s">
        <v>799</v>
      </c>
      <c r="U228" s="4" t="s">
        <v>43</v>
      </c>
      <c r="V228" s="4"/>
    </row>
    <row r="229" spans="3:22" hidden="1" x14ac:dyDescent="0.25">
      <c r="C229" s="4" t="s">
        <v>187</v>
      </c>
      <c r="D229" s="4" t="s">
        <v>188</v>
      </c>
      <c r="E229" s="4" t="s">
        <v>188</v>
      </c>
      <c r="F229" s="4" t="s">
        <v>36</v>
      </c>
      <c r="G229" s="4" t="s">
        <v>37</v>
      </c>
      <c r="H229" s="4" t="str">
        <f>VLOOKUP(C229,[1]MAESTRA!$I$5:$J$399,2,0)</f>
        <v>cl-pedrodevaldivia5@tiendas.oxxo.com</v>
      </c>
      <c r="I229" s="4" t="s">
        <v>81</v>
      </c>
      <c r="J229" s="4" t="s">
        <v>1030</v>
      </c>
      <c r="K229" s="4" t="s">
        <v>160</v>
      </c>
      <c r="L229" s="4"/>
      <c r="M229" s="4" t="s">
        <v>64</v>
      </c>
      <c r="N229" s="4" t="s">
        <v>40</v>
      </c>
      <c r="O229" s="4">
        <v>0</v>
      </c>
      <c r="P229" s="4" t="s">
        <v>187</v>
      </c>
      <c r="Q229" s="4" t="s">
        <v>42</v>
      </c>
      <c r="R229" s="50" t="s">
        <v>43</v>
      </c>
      <c r="S229" s="50"/>
      <c r="T229" s="50">
        <v>0</v>
      </c>
      <c r="U229" s="4" t="s">
        <v>36</v>
      </c>
      <c r="V229" s="4"/>
    </row>
    <row r="230" spans="3:22" hidden="1" x14ac:dyDescent="0.25">
      <c r="C230" s="4" t="s">
        <v>189</v>
      </c>
      <c r="D230" s="4" t="s">
        <v>190</v>
      </c>
      <c r="E230" s="4" t="s">
        <v>190</v>
      </c>
      <c r="F230" s="4" t="s">
        <v>36</v>
      </c>
      <c r="G230" s="4" t="s">
        <v>37</v>
      </c>
      <c r="H230" s="4" t="str">
        <f>VLOOKUP(C230,[1]MAESTRA!$I$5:$J$399,2,0)</f>
        <v>cl-doctorjohow@tiendas.oxxo.com</v>
      </c>
      <c r="I230" s="4" t="s">
        <v>81</v>
      </c>
      <c r="J230" s="4" t="s">
        <v>1030</v>
      </c>
      <c r="K230" s="4" t="s">
        <v>73</v>
      </c>
      <c r="L230" s="4"/>
      <c r="M230" s="4" t="s">
        <v>64</v>
      </c>
      <c r="N230" s="4" t="s">
        <v>40</v>
      </c>
      <c r="O230" s="4">
        <v>0</v>
      </c>
      <c r="P230" s="4" t="s">
        <v>189</v>
      </c>
      <c r="Q230" s="4" t="s">
        <v>42</v>
      </c>
      <c r="R230" s="50" t="s">
        <v>43</v>
      </c>
      <c r="S230" s="50"/>
      <c r="T230" s="50">
        <v>0</v>
      </c>
      <c r="U230" s="4" t="s">
        <v>36</v>
      </c>
      <c r="V230" s="4"/>
    </row>
    <row r="231" spans="3:22" hidden="1" x14ac:dyDescent="0.25">
      <c r="C231" s="4" t="s">
        <v>602</v>
      </c>
      <c r="D231" s="4" t="s">
        <v>603</v>
      </c>
      <c r="E231" s="4" t="s">
        <v>604</v>
      </c>
      <c r="F231" s="4">
        <v>5</v>
      </c>
      <c r="G231" s="4" t="s">
        <v>376</v>
      </c>
      <c r="H231" s="4" t="str">
        <f>VLOOKUP(C231,[1]MAESTRA!$I$5:$J$399,2,0)</f>
        <v>cl-metrohospitalelpino@tiendas.oxxo.com</v>
      </c>
      <c r="I231" s="4" t="s">
        <v>81</v>
      </c>
      <c r="J231" s="4" t="s">
        <v>1030</v>
      </c>
      <c r="K231" s="4" t="s">
        <v>50</v>
      </c>
      <c r="L231" s="4" t="s">
        <v>43</v>
      </c>
      <c r="M231" s="4" t="s">
        <v>605</v>
      </c>
      <c r="N231" s="4" t="s">
        <v>40</v>
      </c>
      <c r="O231" s="4" t="s">
        <v>514</v>
      </c>
      <c r="P231" s="4" t="s">
        <v>602</v>
      </c>
      <c r="Q231" s="4" t="s">
        <v>42</v>
      </c>
      <c r="R231" s="50" t="s">
        <v>43</v>
      </c>
      <c r="S231" s="50"/>
      <c r="T231" s="50" t="s">
        <v>597</v>
      </c>
      <c r="U231" s="4" t="s">
        <v>440</v>
      </c>
      <c r="V231" s="4"/>
    </row>
    <row r="232" spans="3:22" hidden="1" x14ac:dyDescent="0.25">
      <c r="C232" s="4" t="s">
        <v>191</v>
      </c>
      <c r="D232" s="4" t="s">
        <v>192</v>
      </c>
      <c r="E232" s="4" t="s">
        <v>193</v>
      </c>
      <c r="F232" s="4" t="s">
        <v>36</v>
      </c>
      <c r="G232" s="4" t="s">
        <v>37</v>
      </c>
      <c r="H232" s="4" t="str">
        <f>VLOOKUP(C232,[1]MAESTRA!$I$5:$J$399,2,0)</f>
        <v>cl-pedroona@tiendas.oxxo.com</v>
      </c>
      <c r="I232" s="4" t="s">
        <v>81</v>
      </c>
      <c r="J232" s="4" t="s">
        <v>1030</v>
      </c>
      <c r="K232" s="4" t="s">
        <v>94</v>
      </c>
      <c r="L232" s="4"/>
      <c r="M232" s="4" t="s">
        <v>64</v>
      </c>
      <c r="N232" s="4" t="s">
        <v>40</v>
      </c>
      <c r="O232" s="4">
        <v>0</v>
      </c>
      <c r="P232" s="4" t="s">
        <v>191</v>
      </c>
      <c r="Q232" s="4" t="s">
        <v>42</v>
      </c>
      <c r="R232" s="50" t="s">
        <v>43</v>
      </c>
      <c r="S232" s="50"/>
      <c r="T232" s="50">
        <v>0</v>
      </c>
      <c r="U232" s="4" t="s">
        <v>36</v>
      </c>
      <c r="V232" s="4"/>
    </row>
    <row r="233" spans="3:22" hidden="1" x14ac:dyDescent="0.25">
      <c r="C233" s="4" t="s">
        <v>194</v>
      </c>
      <c r="D233" s="4" t="s">
        <v>195</v>
      </c>
      <c r="E233" s="4" t="s">
        <v>196</v>
      </c>
      <c r="F233" s="4" t="s">
        <v>36</v>
      </c>
      <c r="G233" s="4" t="s">
        <v>37</v>
      </c>
      <c r="H233" s="4" t="str">
        <f>VLOOKUP(C233,[1]MAESTRA!$I$5:$J$399,2,0)</f>
        <v>cl-plazacalera@tiendas.oxxo.com</v>
      </c>
      <c r="I233" s="4" t="s">
        <v>88</v>
      </c>
      <c r="J233" s="4" t="s">
        <v>1030</v>
      </c>
      <c r="K233" s="4" t="s">
        <v>84</v>
      </c>
      <c r="L233" s="4"/>
      <c r="M233" s="4" t="s">
        <v>85</v>
      </c>
      <c r="N233" s="4" t="s">
        <v>55</v>
      </c>
      <c r="O233" s="4">
        <v>0</v>
      </c>
      <c r="P233" s="4" t="s">
        <v>194</v>
      </c>
      <c r="Q233" s="4" t="s">
        <v>42</v>
      </c>
      <c r="R233" s="50" t="s">
        <v>43</v>
      </c>
      <c r="S233" s="50"/>
      <c r="T233" s="50">
        <v>0</v>
      </c>
      <c r="U233" s="4" t="s">
        <v>36</v>
      </c>
      <c r="V233" s="4"/>
    </row>
    <row r="234" spans="3:22" hidden="1" x14ac:dyDescent="0.25">
      <c r="C234" s="4" t="s">
        <v>719</v>
      </c>
      <c r="D234" s="4" t="s">
        <v>720</v>
      </c>
      <c r="E234" s="4" t="s">
        <v>721</v>
      </c>
      <c r="F234" s="4">
        <v>5</v>
      </c>
      <c r="G234" s="4" t="s">
        <v>376</v>
      </c>
      <c r="H234" s="4" t="str">
        <f>VLOOKUP(C234,[1]MAESTRA!$I$5:$J$399,2,0)</f>
        <v>cl-conconrenaca@tiendas.oxxo.com</v>
      </c>
      <c r="I234" s="4" t="s">
        <v>81</v>
      </c>
      <c r="J234" s="4" t="s">
        <v>1031</v>
      </c>
      <c r="K234" s="4" t="s">
        <v>84</v>
      </c>
      <c r="L234" s="4" t="s">
        <v>440</v>
      </c>
      <c r="M234" s="4" t="s">
        <v>722</v>
      </c>
      <c r="N234" s="4" t="s">
        <v>55</v>
      </c>
      <c r="O234" s="4" t="s">
        <v>378</v>
      </c>
      <c r="P234" s="4" t="s">
        <v>719</v>
      </c>
      <c r="Q234" s="4" t="s">
        <v>42</v>
      </c>
      <c r="R234" s="50" t="s">
        <v>43</v>
      </c>
      <c r="S234" s="50"/>
      <c r="T234" s="50" t="s">
        <v>702</v>
      </c>
      <c r="U234" s="4" t="s">
        <v>43</v>
      </c>
      <c r="V234" s="4"/>
    </row>
    <row r="235" spans="3:22" hidden="1" x14ac:dyDescent="0.25">
      <c r="C235" s="4" t="s">
        <v>197</v>
      </c>
      <c r="D235" s="4" t="s">
        <v>198</v>
      </c>
      <c r="E235" s="4" t="s">
        <v>198</v>
      </c>
      <c r="F235" s="4" t="s">
        <v>36</v>
      </c>
      <c r="G235" s="4" t="s">
        <v>37</v>
      </c>
      <c r="H235" s="4" t="str">
        <f>VLOOKUP(C235,[1]MAESTRA!$I$5:$J$399,2,0)</f>
        <v>cl-losbarbechos@tiendas.oxxo.com</v>
      </c>
      <c r="I235" s="4" t="s">
        <v>46</v>
      </c>
      <c r="J235" s="4" t="s">
        <v>1030</v>
      </c>
      <c r="K235" s="4" t="s">
        <v>63</v>
      </c>
      <c r="L235" s="4"/>
      <c r="M235" s="4" t="s">
        <v>138</v>
      </c>
      <c r="N235" s="4" t="s">
        <v>40</v>
      </c>
      <c r="O235" s="4">
        <v>0</v>
      </c>
      <c r="P235" s="4" t="s">
        <v>197</v>
      </c>
      <c r="Q235" s="4" t="s">
        <v>42</v>
      </c>
      <c r="R235" s="50" t="s">
        <v>43</v>
      </c>
      <c r="S235" s="50"/>
      <c r="T235" s="50">
        <v>0</v>
      </c>
      <c r="U235" s="4" t="s">
        <v>36</v>
      </c>
      <c r="V235" s="4"/>
    </row>
    <row r="236" spans="3:22" hidden="1" x14ac:dyDescent="0.25">
      <c r="C236" s="4" t="s">
        <v>199</v>
      </c>
      <c r="D236" s="4" t="s">
        <v>200</v>
      </c>
      <c r="E236" s="4" t="s">
        <v>201</v>
      </c>
      <c r="F236" s="4" t="s">
        <v>36</v>
      </c>
      <c r="G236" s="4" t="s">
        <v>37</v>
      </c>
      <c r="H236" s="4" t="str">
        <f>VLOOKUP(C236,[1]MAESTRA!$I$5:$J$399,2,0)</f>
        <v>cl-liracurico@tiendas.oxxo.com</v>
      </c>
      <c r="I236" s="4" t="s">
        <v>202</v>
      </c>
      <c r="J236" s="4" t="s">
        <v>1030</v>
      </c>
      <c r="K236" s="4">
        <v>0</v>
      </c>
      <c r="L236" s="4"/>
      <c r="M236" s="4" t="s">
        <v>59</v>
      </c>
      <c r="N236" s="4" t="s">
        <v>40</v>
      </c>
      <c r="O236" s="4">
        <v>0</v>
      </c>
      <c r="P236" s="4" t="s">
        <v>199</v>
      </c>
      <c r="Q236" s="4" t="s">
        <v>42</v>
      </c>
      <c r="R236" s="50" t="s">
        <v>43</v>
      </c>
      <c r="S236" s="50"/>
      <c r="T236" s="50">
        <v>0</v>
      </c>
      <c r="U236" s="4" t="s">
        <v>36</v>
      </c>
      <c r="V236" s="4"/>
    </row>
    <row r="237" spans="3:22" hidden="1" x14ac:dyDescent="0.25">
      <c r="C237" s="4" t="s">
        <v>723</v>
      </c>
      <c r="D237" s="4" t="s">
        <v>724</v>
      </c>
      <c r="E237" s="4" t="s">
        <v>725</v>
      </c>
      <c r="F237" s="4">
        <v>5</v>
      </c>
      <c r="G237" s="4" t="s">
        <v>376</v>
      </c>
      <c r="H237" s="4" t="str">
        <f>VLOOKUP(C237,[1]MAESTRA!$I$5:$J$399,2,0)</f>
        <v>cl-libertad1@tiendas.oxxo.com</v>
      </c>
      <c r="I237" s="4" t="s">
        <v>46</v>
      </c>
      <c r="J237" s="4" t="s">
        <v>1031</v>
      </c>
      <c r="K237" s="4" t="s">
        <v>84</v>
      </c>
      <c r="L237" s="4" t="s">
        <v>440</v>
      </c>
      <c r="M237" s="4" t="s">
        <v>54</v>
      </c>
      <c r="N237" s="4" t="s">
        <v>55</v>
      </c>
      <c r="O237" s="4" t="s">
        <v>378</v>
      </c>
      <c r="P237" s="4" t="s">
        <v>723</v>
      </c>
      <c r="Q237" s="4" t="s">
        <v>42</v>
      </c>
      <c r="R237" s="50" t="s">
        <v>440</v>
      </c>
      <c r="S237" s="50"/>
      <c r="T237" s="50" t="s">
        <v>702</v>
      </c>
      <c r="U237" s="4" t="s">
        <v>43</v>
      </c>
      <c r="V237" s="4"/>
    </row>
    <row r="238" spans="3:22" hidden="1" x14ac:dyDescent="0.25">
      <c r="C238" s="4" t="s">
        <v>819</v>
      </c>
      <c r="D238" s="4" t="s">
        <v>820</v>
      </c>
      <c r="E238" s="4" t="s">
        <v>820</v>
      </c>
      <c r="F238" s="4">
        <v>6</v>
      </c>
      <c r="G238" s="4" t="s">
        <v>376</v>
      </c>
      <c r="H238" s="4" t="str">
        <f>VLOOKUP(C238,[1]MAESTRA!$I$5:$J$399,2,0)</f>
        <v>cl-huerfanos@tiendas.oxxo.com</v>
      </c>
      <c r="I238" s="4" t="s">
        <v>46</v>
      </c>
      <c r="J238" s="4" t="s">
        <v>1030</v>
      </c>
      <c r="K238" s="4" t="s">
        <v>146</v>
      </c>
      <c r="L238" s="4" t="s">
        <v>43</v>
      </c>
      <c r="M238" s="4" t="s">
        <v>59</v>
      </c>
      <c r="N238" s="4" t="s">
        <v>40</v>
      </c>
      <c r="O238" s="4" t="s">
        <v>1035</v>
      </c>
      <c r="P238" s="4" t="s">
        <v>819</v>
      </c>
      <c r="Q238" s="4" t="s">
        <v>42</v>
      </c>
      <c r="R238" s="50" t="s">
        <v>43</v>
      </c>
      <c r="S238" s="50"/>
      <c r="T238" s="50" t="s">
        <v>799</v>
      </c>
      <c r="U238" s="4" t="s">
        <v>43</v>
      </c>
      <c r="V238" s="4"/>
    </row>
    <row r="239" spans="3:22" hidden="1" x14ac:dyDescent="0.25">
      <c r="C239" s="4" t="s">
        <v>821</v>
      </c>
      <c r="D239" s="4" t="s">
        <v>822</v>
      </c>
      <c r="E239" s="4" t="s">
        <v>822</v>
      </c>
      <c r="F239" s="44">
        <f>5+0.56</f>
        <v>5.5600000000000005</v>
      </c>
      <c r="G239" s="4" t="s">
        <v>376</v>
      </c>
      <c r="H239" s="4" t="str">
        <f>VLOOKUP(C239,[1]MAESTRA!$I$5:$J$399,2,0)</f>
        <v>cl-liralira@tiendas.oxxo.com</v>
      </c>
      <c r="I239" s="4" t="s">
        <v>46</v>
      </c>
      <c r="J239" s="4" t="s">
        <v>1030</v>
      </c>
      <c r="K239" s="4" t="s">
        <v>146</v>
      </c>
      <c r="L239" s="4" t="s">
        <v>43</v>
      </c>
      <c r="M239" s="4" t="s">
        <v>59</v>
      </c>
      <c r="N239" s="4" t="s">
        <v>40</v>
      </c>
      <c r="O239" s="4" t="s">
        <v>1035</v>
      </c>
      <c r="P239" s="4" t="s">
        <v>821</v>
      </c>
      <c r="Q239" s="4" t="s">
        <v>42</v>
      </c>
      <c r="R239" s="50" t="s">
        <v>43</v>
      </c>
      <c r="S239" s="50"/>
      <c r="T239" s="50" t="s">
        <v>799</v>
      </c>
      <c r="U239" s="4" t="s">
        <v>43</v>
      </c>
      <c r="V239" s="4"/>
    </row>
    <row r="240" spans="3:22" hidden="1" x14ac:dyDescent="0.25">
      <c r="C240" s="4" t="s">
        <v>203</v>
      </c>
      <c r="D240" s="4" t="s">
        <v>204</v>
      </c>
      <c r="E240" s="4" t="s">
        <v>204</v>
      </c>
      <c r="F240" s="4" t="s">
        <v>36</v>
      </c>
      <c r="G240" s="4" t="s">
        <v>37</v>
      </c>
      <c r="H240" s="4" t="str">
        <f>VLOOKUP(C240,[1]MAESTRA!$I$5:$J$399,2,0)</f>
        <v>cl-larrain@tiendas.oxxo.com</v>
      </c>
      <c r="I240" s="4" t="s">
        <v>46</v>
      </c>
      <c r="J240" s="4" t="s">
        <v>1030</v>
      </c>
      <c r="K240" s="4">
        <v>0</v>
      </c>
      <c r="L240" s="4"/>
      <c r="M240" s="4" t="s">
        <v>205</v>
      </c>
      <c r="N240" s="4" t="s">
        <v>40</v>
      </c>
      <c r="O240" s="4">
        <v>0</v>
      </c>
      <c r="P240" s="4" t="s">
        <v>203</v>
      </c>
      <c r="Q240" s="4" t="s">
        <v>42</v>
      </c>
      <c r="R240" s="50" t="s">
        <v>43</v>
      </c>
      <c r="S240" s="50"/>
      <c r="T240" s="50">
        <v>0</v>
      </c>
      <c r="U240" s="4" t="s">
        <v>36</v>
      </c>
      <c r="V240" s="4"/>
    </row>
    <row r="241" spans="3:22" hidden="1" x14ac:dyDescent="0.25">
      <c r="C241" s="4" t="s">
        <v>206</v>
      </c>
      <c r="D241" s="4" t="s">
        <v>207</v>
      </c>
      <c r="E241" s="4" t="s">
        <v>207</v>
      </c>
      <c r="F241" s="4" t="s">
        <v>36</v>
      </c>
      <c r="G241" s="4" t="s">
        <v>37</v>
      </c>
      <c r="H241" s="4" t="str">
        <f>VLOOKUP(C241,[1]MAESTRA!$I$5:$J$399,2,0)</f>
        <v>cl-emiliatellez@tiendas.oxxo.com</v>
      </c>
      <c r="I241" s="4" t="s">
        <v>46</v>
      </c>
      <c r="J241" s="4" t="s">
        <v>1030</v>
      </c>
      <c r="K241" s="4" t="s">
        <v>58</v>
      </c>
      <c r="L241" s="4"/>
      <c r="M241" s="4" t="s">
        <v>64</v>
      </c>
      <c r="N241" s="4" t="s">
        <v>40</v>
      </c>
      <c r="O241" s="4">
        <v>0</v>
      </c>
      <c r="P241" s="4" t="s">
        <v>206</v>
      </c>
      <c r="Q241" s="4" t="s">
        <v>42</v>
      </c>
      <c r="R241" s="50" t="s">
        <v>43</v>
      </c>
      <c r="S241" s="50"/>
      <c r="T241" s="50">
        <v>0</v>
      </c>
      <c r="U241" s="4" t="s">
        <v>36</v>
      </c>
      <c r="V241" s="4"/>
    </row>
    <row r="242" spans="3:22" hidden="1" x14ac:dyDescent="0.25">
      <c r="C242" s="4" t="s">
        <v>758</v>
      </c>
      <c r="D242" s="4" t="s">
        <v>759</v>
      </c>
      <c r="E242" s="4" t="s">
        <v>760</v>
      </c>
      <c r="F242" s="4">
        <v>5</v>
      </c>
      <c r="G242" s="4" t="s">
        <v>376</v>
      </c>
      <c r="H242" s="4" t="str">
        <f>VLOOKUP(C242,[1]MAESTRA!$I$5:$J$399,2,0)</f>
        <v>cl-sanmartin6pte@tiendas.oxxo.com</v>
      </c>
      <c r="I242" s="4" t="s">
        <v>81</v>
      </c>
      <c r="J242" s="4" t="s">
        <v>1031</v>
      </c>
      <c r="K242" s="4" t="s">
        <v>84</v>
      </c>
      <c r="L242" s="4" t="s">
        <v>440</v>
      </c>
      <c r="M242" s="4" t="s">
        <v>54</v>
      </c>
      <c r="N242" s="4" t="s">
        <v>55</v>
      </c>
      <c r="O242" s="4" t="s">
        <v>378</v>
      </c>
      <c r="P242" s="4" t="s">
        <v>758</v>
      </c>
      <c r="Q242" s="4" t="s">
        <v>42</v>
      </c>
      <c r="R242" s="50" t="s">
        <v>43</v>
      </c>
      <c r="S242" s="50"/>
      <c r="T242" s="50" t="s">
        <v>741</v>
      </c>
      <c r="U242" s="4" t="s">
        <v>43</v>
      </c>
      <c r="V242" s="4"/>
    </row>
    <row r="243" spans="3:22" hidden="1" x14ac:dyDescent="0.25">
      <c r="C243" s="4" t="s">
        <v>208</v>
      </c>
      <c r="D243" s="4" t="s">
        <v>209</v>
      </c>
      <c r="E243" s="4" t="s">
        <v>209</v>
      </c>
      <c r="F243" s="4" t="s">
        <v>36</v>
      </c>
      <c r="G243" s="4" t="s">
        <v>37</v>
      </c>
      <c r="H243" s="4" t="str">
        <f>VLOOKUP(C243,[1]MAESTRA!$I$5:$J$399,2,0)</f>
        <v>cl-elmanzano@tiendas.oxxo.com</v>
      </c>
      <c r="I243" s="4" t="s">
        <v>81</v>
      </c>
      <c r="J243" s="4" t="s">
        <v>1030</v>
      </c>
      <c r="K243" s="4">
        <v>0</v>
      </c>
      <c r="L243" s="4"/>
      <c r="M243" s="4" t="s">
        <v>78</v>
      </c>
      <c r="N243" s="4" t="s">
        <v>40</v>
      </c>
      <c r="O243" s="4">
        <v>0</v>
      </c>
      <c r="P243" s="4" t="s">
        <v>208</v>
      </c>
      <c r="Q243" s="4" t="s">
        <v>42</v>
      </c>
      <c r="R243" s="50" t="s">
        <v>43</v>
      </c>
      <c r="S243" s="50"/>
      <c r="T243" s="50">
        <v>0</v>
      </c>
      <c r="U243" s="4" t="s">
        <v>36</v>
      </c>
      <c r="V243" s="4"/>
    </row>
    <row r="244" spans="3:22" hidden="1" x14ac:dyDescent="0.25">
      <c r="C244" s="4" t="s">
        <v>606</v>
      </c>
      <c r="D244" s="4" t="s">
        <v>607</v>
      </c>
      <c r="E244" s="4" t="s">
        <v>608</v>
      </c>
      <c r="F244" s="4">
        <v>5</v>
      </c>
      <c r="G244" s="4" t="s">
        <v>376</v>
      </c>
      <c r="H244" s="4" t="str">
        <f>VLOOKUP(C244,[1]MAESTRA!$I$5:$J$399,2,0)</f>
        <v>cl-metrobiobio@tiendas.oxxo.com</v>
      </c>
      <c r="I244" s="4" t="s">
        <v>46</v>
      </c>
      <c r="J244" s="4" t="s">
        <v>1030</v>
      </c>
      <c r="K244" s="4" t="s">
        <v>50</v>
      </c>
      <c r="L244" s="4" t="s">
        <v>43</v>
      </c>
      <c r="M244" s="4" t="s">
        <v>609</v>
      </c>
      <c r="N244" s="4" t="s">
        <v>40</v>
      </c>
      <c r="O244" s="4" t="s">
        <v>514</v>
      </c>
      <c r="P244" s="4" t="s">
        <v>606</v>
      </c>
      <c r="Q244" s="4" t="s">
        <v>42</v>
      </c>
      <c r="R244" s="50" t="s">
        <v>43</v>
      </c>
      <c r="S244" s="50"/>
      <c r="T244" s="50" t="s">
        <v>597</v>
      </c>
      <c r="U244" s="4" t="s">
        <v>43</v>
      </c>
      <c r="V244" s="4"/>
    </row>
    <row r="245" spans="3:22" hidden="1" x14ac:dyDescent="0.25">
      <c r="C245" s="4" t="s">
        <v>210</v>
      </c>
      <c r="D245" s="4" t="s">
        <v>211</v>
      </c>
      <c r="E245" s="4" t="s">
        <v>212</v>
      </c>
      <c r="F245" s="4" t="s">
        <v>36</v>
      </c>
      <c r="G245" s="4" t="s">
        <v>37</v>
      </c>
      <c r="H245" s="4" t="str">
        <f>VLOOKUP(C245,[1]MAESTRA!$I$5:$J$399,2,0)</f>
        <v>cl-matucana@tiendas.oxxo.com</v>
      </c>
      <c r="I245" s="4" t="s">
        <v>46</v>
      </c>
      <c r="J245" s="4" t="s">
        <v>1030</v>
      </c>
      <c r="K245" s="4">
        <v>0</v>
      </c>
      <c r="L245" s="4"/>
      <c r="M245" s="4" t="s">
        <v>59</v>
      </c>
      <c r="N245" s="4" t="s">
        <v>40</v>
      </c>
      <c r="O245" s="4">
        <v>0</v>
      </c>
      <c r="P245" s="4" t="s">
        <v>210</v>
      </c>
      <c r="Q245" s="4" t="s">
        <v>42</v>
      </c>
      <c r="R245" s="50" t="s">
        <v>43</v>
      </c>
      <c r="S245" s="50"/>
      <c r="T245" s="50">
        <v>0</v>
      </c>
      <c r="U245" s="4" t="s">
        <v>36</v>
      </c>
      <c r="V245" s="4"/>
    </row>
    <row r="246" spans="3:22" hidden="1" x14ac:dyDescent="0.25">
      <c r="C246" s="4" t="s">
        <v>213</v>
      </c>
      <c r="D246" s="4" t="s">
        <v>214</v>
      </c>
      <c r="E246" s="4" t="s">
        <v>214</v>
      </c>
      <c r="F246" s="4" t="s">
        <v>36</v>
      </c>
      <c r="G246" s="4" t="s">
        <v>37</v>
      </c>
      <c r="H246" s="4" t="str">
        <f>VLOOKUP(C246,[1]MAESTRA!$I$5:$J$399,2,0)</f>
        <v>cl-huerfanos2@tiendas.oxxo.com</v>
      </c>
      <c r="I246" s="4" t="s">
        <v>202</v>
      </c>
      <c r="J246" s="4" t="s">
        <v>1030</v>
      </c>
      <c r="K246" s="4">
        <v>0</v>
      </c>
      <c r="L246" s="4"/>
      <c r="M246" s="4" t="s">
        <v>59</v>
      </c>
      <c r="N246" s="4" t="s">
        <v>40</v>
      </c>
      <c r="O246" s="4">
        <v>0</v>
      </c>
      <c r="P246" s="4" t="s">
        <v>213</v>
      </c>
      <c r="Q246" s="4" t="s">
        <v>42</v>
      </c>
      <c r="R246" s="50" t="s">
        <v>43</v>
      </c>
      <c r="S246" s="50"/>
      <c r="T246" s="50">
        <v>0</v>
      </c>
      <c r="U246" s="4" t="s">
        <v>36</v>
      </c>
      <c r="V246" s="4"/>
    </row>
    <row r="247" spans="3:22" hidden="1" x14ac:dyDescent="0.25">
      <c r="C247" s="4" t="s">
        <v>215</v>
      </c>
      <c r="D247" s="4" t="s">
        <v>216</v>
      </c>
      <c r="E247" s="4" t="s">
        <v>216</v>
      </c>
      <c r="F247" s="4" t="s">
        <v>36</v>
      </c>
      <c r="G247" s="4" t="s">
        <v>37</v>
      </c>
      <c r="H247" s="4" t="str">
        <f>VLOOKUP(C247,[1]MAESTRA!$I$5:$J$399,2,0)</f>
        <v>cl-mdzamoramanquehue@tiendas.oxxo.com</v>
      </c>
      <c r="I247" s="4" t="s">
        <v>81</v>
      </c>
      <c r="J247" s="4" t="s">
        <v>1030</v>
      </c>
      <c r="K247" s="4" t="s">
        <v>67</v>
      </c>
      <c r="L247" s="4"/>
      <c r="M247" s="4" t="s">
        <v>138</v>
      </c>
      <c r="N247" s="4" t="s">
        <v>40</v>
      </c>
      <c r="O247" s="4">
        <v>0</v>
      </c>
      <c r="P247" s="4" t="s">
        <v>215</v>
      </c>
      <c r="Q247" s="4" t="s">
        <v>42</v>
      </c>
      <c r="R247" s="50" t="s">
        <v>43</v>
      </c>
      <c r="S247" s="50"/>
      <c r="T247" s="50">
        <v>0</v>
      </c>
      <c r="U247" s="4" t="s">
        <v>36</v>
      </c>
      <c r="V247" s="4"/>
    </row>
    <row r="248" spans="3:22" hidden="1" x14ac:dyDescent="0.25">
      <c r="C248" s="4" t="s">
        <v>548</v>
      </c>
      <c r="D248" s="4" t="s">
        <v>549</v>
      </c>
      <c r="E248" s="4" t="s">
        <v>550</v>
      </c>
      <c r="F248" s="4">
        <v>5</v>
      </c>
      <c r="G248" s="4" t="s">
        <v>376</v>
      </c>
      <c r="H248" s="4" t="str">
        <f>VLOOKUP(C248,[1]MAESTRA!$I$5:$J$399,2,0)</f>
        <v>cl-manquehuenorte@tiendas.oxxo.com</v>
      </c>
      <c r="I248" s="4" t="s">
        <v>81</v>
      </c>
      <c r="J248" s="4" t="s">
        <v>1030</v>
      </c>
      <c r="K248" s="4" t="s">
        <v>100</v>
      </c>
      <c r="L248" s="4" t="s">
        <v>43</v>
      </c>
      <c r="M248" s="4" t="s">
        <v>138</v>
      </c>
      <c r="N248" s="4" t="s">
        <v>40</v>
      </c>
      <c r="O248" s="4" t="s">
        <v>514</v>
      </c>
      <c r="P248" s="4" t="s">
        <v>548</v>
      </c>
      <c r="Q248" s="4" t="s">
        <v>42</v>
      </c>
      <c r="R248" s="50" t="s">
        <v>43</v>
      </c>
      <c r="S248" s="50"/>
      <c r="T248" s="50" t="s">
        <v>515</v>
      </c>
      <c r="U248" s="4" t="s">
        <v>43</v>
      </c>
      <c r="V248" s="4"/>
    </row>
    <row r="249" spans="3:22" hidden="1" x14ac:dyDescent="0.25">
      <c r="C249" s="4" t="s">
        <v>726</v>
      </c>
      <c r="D249" s="4" t="s">
        <v>727</v>
      </c>
      <c r="E249" s="4" t="s">
        <v>727</v>
      </c>
      <c r="F249" s="4">
        <v>5</v>
      </c>
      <c r="G249" s="4" t="s">
        <v>37</v>
      </c>
      <c r="H249" s="4" t="str">
        <f>VLOOKUP(C249,[1]MAESTRA!$I$5:$J$399,2,0)</f>
        <v>cl-13norte@tiendas.oxxo.com</v>
      </c>
      <c r="I249" s="4" t="s">
        <v>81</v>
      </c>
      <c r="J249" s="4" t="s">
        <v>1030</v>
      </c>
      <c r="K249" s="4" t="s">
        <v>84</v>
      </c>
      <c r="L249" s="4"/>
      <c r="M249" s="4" t="s">
        <v>54</v>
      </c>
      <c r="N249" s="4" t="s">
        <v>55</v>
      </c>
      <c r="O249" s="4" t="s">
        <v>378</v>
      </c>
      <c r="P249" s="4" t="s">
        <v>726</v>
      </c>
      <c r="Q249" s="4" t="s">
        <v>42</v>
      </c>
      <c r="R249" s="50" t="s">
        <v>43</v>
      </c>
      <c r="S249" s="50"/>
      <c r="T249" s="50" t="s">
        <v>702</v>
      </c>
      <c r="U249" s="4" t="s">
        <v>43</v>
      </c>
      <c r="V249" s="4"/>
    </row>
    <row r="250" spans="3:22" hidden="1" x14ac:dyDescent="0.25">
      <c r="C250" s="4" t="s">
        <v>217</v>
      </c>
      <c r="D250" s="4" t="s">
        <v>218</v>
      </c>
      <c r="E250" s="4"/>
      <c r="F250" s="4" t="s">
        <v>36</v>
      </c>
      <c r="G250" s="4" t="s">
        <v>37</v>
      </c>
      <c r="H250" s="4" t="str">
        <f>VLOOKUP(C250,[1]MAESTRA!$I$5:$J$399,2,0)</f>
        <v>cl-nataniel2@tiendas.oxxo.com</v>
      </c>
      <c r="I250" s="4" t="s">
        <v>81</v>
      </c>
      <c r="J250" s="4" t="s">
        <v>1030</v>
      </c>
      <c r="K250" s="4">
        <v>0</v>
      </c>
      <c r="L250" s="4"/>
      <c r="M250" s="4" t="s">
        <v>59</v>
      </c>
      <c r="N250" s="4" t="s">
        <v>40</v>
      </c>
      <c r="O250" s="4">
        <v>0</v>
      </c>
      <c r="P250" s="4" t="s">
        <v>217</v>
      </c>
      <c r="Q250" s="4" t="s">
        <v>42</v>
      </c>
      <c r="R250" s="50" t="s">
        <v>43</v>
      </c>
      <c r="S250" s="50"/>
      <c r="T250" s="50">
        <v>0</v>
      </c>
      <c r="U250" s="4" t="s">
        <v>36</v>
      </c>
      <c r="V250" s="4"/>
    </row>
    <row r="251" spans="3:22" hidden="1" x14ac:dyDescent="0.25">
      <c r="C251" s="4" t="s">
        <v>551</v>
      </c>
      <c r="D251" s="4" t="s">
        <v>552</v>
      </c>
      <c r="E251" s="4" t="s">
        <v>999</v>
      </c>
      <c r="F251" s="4">
        <v>5</v>
      </c>
      <c r="G251" s="4" t="s">
        <v>37</v>
      </c>
      <c r="H251" s="4" t="str">
        <f>VLOOKUP(C251,[1]MAESTRA!$I$5:$J$399,2,0)</f>
        <v>okm-alonsodecamargo@tiendas.oxxo.com</v>
      </c>
      <c r="I251" s="4" t="s">
        <v>46</v>
      </c>
      <c r="J251" s="4" t="s">
        <v>1030</v>
      </c>
      <c r="K251" s="4" t="s">
        <v>100</v>
      </c>
      <c r="L251" s="4"/>
      <c r="M251" s="4" t="s">
        <v>138</v>
      </c>
      <c r="N251" s="4" t="s">
        <v>40</v>
      </c>
      <c r="O251" s="4" t="s">
        <v>514</v>
      </c>
      <c r="P251" s="4" t="s">
        <v>551</v>
      </c>
      <c r="Q251" s="4" t="s">
        <v>42</v>
      </c>
      <c r="R251" s="50" t="s">
        <v>440</v>
      </c>
      <c r="S251" s="50"/>
      <c r="T251" s="50" t="s">
        <v>515</v>
      </c>
      <c r="U251" s="4" t="s">
        <v>43</v>
      </c>
      <c r="V251" s="4"/>
    </row>
    <row r="252" spans="3:22" hidden="1" x14ac:dyDescent="0.25">
      <c r="C252" s="4" t="s">
        <v>219</v>
      </c>
      <c r="D252" s="4" t="s">
        <v>220</v>
      </c>
      <c r="E252" s="4" t="s">
        <v>220</v>
      </c>
      <c r="F252" s="4" t="s">
        <v>36</v>
      </c>
      <c r="G252" s="4" t="s">
        <v>37</v>
      </c>
      <c r="H252" s="4" t="str">
        <f>VLOOKUP(C252,[1]MAESTRA!$I$5:$J$399,2,0)</f>
        <v>okm-abdoncifuentes@tiendas.oxxo.com</v>
      </c>
      <c r="I252" s="4" t="s">
        <v>38</v>
      </c>
      <c r="J252" s="4" t="s">
        <v>1030</v>
      </c>
      <c r="K252" s="4" t="s">
        <v>100</v>
      </c>
      <c r="L252" s="4"/>
      <c r="M252" s="4" t="s">
        <v>59</v>
      </c>
      <c r="N252" s="4" t="s">
        <v>40</v>
      </c>
      <c r="O252" s="4">
        <v>0</v>
      </c>
      <c r="P252" s="4" t="s">
        <v>219</v>
      </c>
      <c r="Q252" s="4" t="s">
        <v>42</v>
      </c>
      <c r="R252" s="50" t="s">
        <v>43</v>
      </c>
      <c r="S252" s="50"/>
      <c r="T252" s="50">
        <v>0</v>
      </c>
      <c r="U252" s="4" t="s">
        <v>36</v>
      </c>
      <c r="V252" s="4"/>
    </row>
    <row r="253" spans="3:22" hidden="1" x14ac:dyDescent="0.25">
      <c r="C253" s="4" t="s">
        <v>221</v>
      </c>
      <c r="D253" s="4" t="s">
        <v>222</v>
      </c>
      <c r="E253" s="4" t="s">
        <v>223</v>
      </c>
      <c r="F253" s="4" t="s">
        <v>36</v>
      </c>
      <c r="G253" s="4" t="s">
        <v>37</v>
      </c>
      <c r="H253" s="4" t="str">
        <f>VLOOKUP(C253,[1]MAESTRA!$I$5:$J$399,2,0)</f>
        <v>cl-araucoestacion@tiendas.oxxo.com</v>
      </c>
      <c r="I253" s="4" t="s">
        <v>38</v>
      </c>
      <c r="J253" s="4" t="s">
        <v>1030</v>
      </c>
      <c r="K253" s="4">
        <v>0</v>
      </c>
      <c r="L253" s="4"/>
      <c r="M253" s="4" t="s">
        <v>47</v>
      </c>
      <c r="N253" s="4" t="s">
        <v>40</v>
      </c>
      <c r="O253" s="4">
        <v>0</v>
      </c>
      <c r="P253" s="4" t="s">
        <v>221</v>
      </c>
      <c r="Q253" s="4" t="s">
        <v>42</v>
      </c>
      <c r="R253" s="50" t="s">
        <v>43</v>
      </c>
      <c r="S253" s="50"/>
      <c r="T253" s="50">
        <v>0</v>
      </c>
      <c r="U253" s="4" t="s">
        <v>36</v>
      </c>
      <c r="V253" s="4"/>
    </row>
    <row r="254" spans="3:22" hidden="1" x14ac:dyDescent="0.25">
      <c r="C254" s="4" t="s">
        <v>224</v>
      </c>
      <c r="D254" s="4" t="s">
        <v>225</v>
      </c>
      <c r="E254" s="4" t="s">
        <v>226</v>
      </c>
      <c r="F254" s="4" t="s">
        <v>36</v>
      </c>
      <c r="G254" s="4" t="s">
        <v>37</v>
      </c>
      <c r="H254" s="4" t="str">
        <f>VLOOKUP(C254,[1]MAESTRA!$I$5:$J$399,2,0)</f>
        <v>cl-aiepgrajales@tiendas.oxxo.com</v>
      </c>
      <c r="I254" s="4" t="s">
        <v>38</v>
      </c>
      <c r="J254" s="4" t="s">
        <v>1030</v>
      </c>
      <c r="K254" s="4">
        <v>0</v>
      </c>
      <c r="L254" s="4"/>
      <c r="M254" s="4" t="s">
        <v>59</v>
      </c>
      <c r="N254" s="4" t="s">
        <v>40</v>
      </c>
      <c r="O254" s="4">
        <v>0</v>
      </c>
      <c r="P254" s="4" t="s">
        <v>224</v>
      </c>
      <c r="Q254" s="4" t="s">
        <v>42</v>
      </c>
      <c r="R254" s="50" t="s">
        <v>43</v>
      </c>
      <c r="S254" s="50"/>
      <c r="T254" s="50">
        <v>0</v>
      </c>
      <c r="U254" s="4" t="s">
        <v>36</v>
      </c>
      <c r="V254" s="4"/>
    </row>
    <row r="255" spans="3:22" hidden="1" x14ac:dyDescent="0.25">
      <c r="C255" s="4" t="s">
        <v>502</v>
      </c>
      <c r="D255" s="4" t="s">
        <v>503</v>
      </c>
      <c r="E255" s="4" t="s">
        <v>504</v>
      </c>
      <c r="F255" s="4">
        <v>5</v>
      </c>
      <c r="G255" s="4" t="s">
        <v>376</v>
      </c>
      <c r="H255" s="4" t="str">
        <f>VLOOKUP(C255,[1]MAESTRA!$I$5:$J$399,2,0)</f>
        <v>cl-almirantepastene@tiendas.oxxo.com</v>
      </c>
      <c r="I255" s="4" t="s">
        <v>46</v>
      </c>
      <c r="J255" s="4" t="s">
        <v>1030</v>
      </c>
      <c r="K255" s="4" t="s">
        <v>466</v>
      </c>
      <c r="L255" s="4" t="s">
        <v>43</v>
      </c>
      <c r="M255" s="4" t="s">
        <v>51</v>
      </c>
      <c r="N255" s="4" t="s">
        <v>40</v>
      </c>
      <c r="O255" s="4" t="s">
        <v>1035</v>
      </c>
      <c r="P255" s="4" t="s">
        <v>502</v>
      </c>
      <c r="Q255" s="4" t="s">
        <v>42</v>
      </c>
      <c r="R255" s="50" t="s">
        <v>43</v>
      </c>
      <c r="S255" s="50"/>
      <c r="T255" s="50" t="s">
        <v>467</v>
      </c>
      <c r="U255" s="4" t="s">
        <v>43</v>
      </c>
      <c r="V255" s="4"/>
    </row>
    <row r="256" spans="3:22" hidden="1" x14ac:dyDescent="0.25">
      <c r="C256" s="4" t="s">
        <v>227</v>
      </c>
      <c r="D256" s="4" t="s">
        <v>228</v>
      </c>
      <c r="E256" s="4" t="s">
        <v>229</v>
      </c>
      <c r="F256" s="4" t="s">
        <v>36</v>
      </c>
      <c r="G256" s="4" t="s">
        <v>37</v>
      </c>
      <c r="H256" s="4" t="str">
        <f>VLOOKUP(C256,[1]MAESTRA!$I$5:$J$399,2,0)</f>
        <v>cl-alvarez@tiendas.oxxo.com</v>
      </c>
      <c r="I256" s="4" t="s">
        <v>38</v>
      </c>
      <c r="J256" s="4" t="s">
        <v>1030</v>
      </c>
      <c r="K256" s="4">
        <v>0</v>
      </c>
      <c r="L256" s="4"/>
      <c r="M256" s="4" t="s">
        <v>54</v>
      </c>
      <c r="N256" s="4" t="s">
        <v>55</v>
      </c>
      <c r="O256" s="4">
        <v>0</v>
      </c>
      <c r="P256" s="4" t="s">
        <v>227</v>
      </c>
      <c r="Q256" s="4" t="s">
        <v>42</v>
      </c>
      <c r="R256" s="50" t="s">
        <v>43</v>
      </c>
      <c r="S256" s="50"/>
      <c r="T256" s="50">
        <v>0</v>
      </c>
      <c r="U256" s="4" t="s">
        <v>36</v>
      </c>
      <c r="V256" s="4"/>
    </row>
    <row r="257" spans="3:22" hidden="1" x14ac:dyDescent="0.25">
      <c r="C257" s="4" t="s">
        <v>728</v>
      </c>
      <c r="D257" s="4" t="s">
        <v>729</v>
      </c>
      <c r="E257" s="4" t="s">
        <v>730</v>
      </c>
      <c r="F257" s="4">
        <v>5</v>
      </c>
      <c r="G257" s="4" t="s">
        <v>376</v>
      </c>
      <c r="H257" s="4" t="str">
        <f>VLOOKUP(C257,[1]MAESTRA!$I$5:$J$399,2,0)</f>
        <v>cl-bosquesdemontemar@tiendas.oxxo.com</v>
      </c>
      <c r="I257" s="4" t="s">
        <v>46</v>
      </c>
      <c r="J257" s="4" t="s">
        <v>1031</v>
      </c>
      <c r="K257" s="4" t="s">
        <v>84</v>
      </c>
      <c r="L257" s="4" t="s">
        <v>440</v>
      </c>
      <c r="M257" s="4" t="s">
        <v>722</v>
      </c>
      <c r="N257" s="4" t="s">
        <v>55</v>
      </c>
      <c r="O257" s="4" t="s">
        <v>378</v>
      </c>
      <c r="P257" s="4" t="s">
        <v>728</v>
      </c>
      <c r="Q257" s="4" t="s">
        <v>42</v>
      </c>
      <c r="R257" s="50" t="s">
        <v>440</v>
      </c>
      <c r="S257" s="50"/>
      <c r="T257" s="50" t="s">
        <v>702</v>
      </c>
      <c r="U257" s="4" t="s">
        <v>43</v>
      </c>
      <c r="V257" s="4"/>
    </row>
    <row r="258" spans="3:22" hidden="1" x14ac:dyDescent="0.25">
      <c r="C258" s="4" t="s">
        <v>230</v>
      </c>
      <c r="D258" s="4" t="s">
        <v>231</v>
      </c>
      <c r="E258" s="4" t="s">
        <v>232</v>
      </c>
      <c r="F258" s="4" t="s">
        <v>36</v>
      </c>
      <c r="G258" s="4" t="s">
        <v>37</v>
      </c>
      <c r="H258" s="4" t="str">
        <f>VLOOKUP(C258,[1]MAESTRA!$I$5:$J$399,2,0)</f>
        <v>cl-borgono@tiendas.oxxo.com</v>
      </c>
      <c r="I258" s="4" t="s">
        <v>38</v>
      </c>
      <c r="J258" s="4" t="s">
        <v>1030</v>
      </c>
      <c r="K258" s="4" t="s">
        <v>84</v>
      </c>
      <c r="L258" s="4"/>
      <c r="M258" s="4" t="s">
        <v>54</v>
      </c>
      <c r="N258" s="4" t="s">
        <v>55</v>
      </c>
      <c r="O258" s="4">
        <v>0</v>
      </c>
      <c r="P258" s="4" t="s">
        <v>230</v>
      </c>
      <c r="Q258" s="4" t="s">
        <v>42</v>
      </c>
      <c r="R258" s="50" t="s">
        <v>43</v>
      </c>
      <c r="S258" s="50"/>
      <c r="T258" s="50" t="s">
        <v>702</v>
      </c>
      <c r="U258" s="4" t="s">
        <v>36</v>
      </c>
      <c r="V258" s="4"/>
    </row>
    <row r="259" spans="3:22" hidden="1" x14ac:dyDescent="0.25">
      <c r="C259" s="4" t="s">
        <v>233</v>
      </c>
      <c r="D259" s="4" t="s">
        <v>234</v>
      </c>
      <c r="E259" s="4" t="s">
        <v>235</v>
      </c>
      <c r="F259" s="4" t="s">
        <v>36</v>
      </c>
      <c r="G259" s="4" t="s">
        <v>37</v>
      </c>
      <c r="H259" s="4" t="str">
        <f>VLOOKUP(C259,[1]MAESTRA!$I$5:$J$399,2,0)</f>
        <v>cl-boulevarddelsol@tiendas.oxxo.com</v>
      </c>
      <c r="I259" s="4" t="s">
        <v>38</v>
      </c>
      <c r="J259" s="4" t="s">
        <v>1030</v>
      </c>
      <c r="K259" s="4" t="s">
        <v>84</v>
      </c>
      <c r="L259" s="4"/>
      <c r="M259" s="4" t="s">
        <v>54</v>
      </c>
      <c r="N259" s="4" t="s">
        <v>55</v>
      </c>
      <c r="O259" s="4">
        <v>0</v>
      </c>
      <c r="P259" s="4" t="s">
        <v>233</v>
      </c>
      <c r="Q259" s="4" t="s">
        <v>42</v>
      </c>
      <c r="R259" s="50" t="s">
        <v>43</v>
      </c>
      <c r="S259" s="50"/>
      <c r="T259" s="50">
        <v>0</v>
      </c>
      <c r="U259" s="4" t="s">
        <v>36</v>
      </c>
      <c r="V259" s="4"/>
    </row>
    <row r="260" spans="3:22" hidden="1" x14ac:dyDescent="0.25">
      <c r="C260" s="4" t="s">
        <v>236</v>
      </c>
      <c r="D260" s="4" t="s">
        <v>237</v>
      </c>
      <c r="E260" s="4" t="s">
        <v>237</v>
      </c>
      <c r="F260" s="4" t="s">
        <v>36</v>
      </c>
      <c r="G260" s="4" t="s">
        <v>37</v>
      </c>
      <c r="H260" s="4" t="str">
        <f>VLOOKUP(C260,[1]MAESTRA!$I$5:$J$399,2,0)</f>
        <v>okm-catedral@tiendas.oxxo.com</v>
      </c>
      <c r="I260" s="4" t="s">
        <v>38</v>
      </c>
      <c r="J260" s="4" t="s">
        <v>1030</v>
      </c>
      <c r="K260" s="4">
        <v>0</v>
      </c>
      <c r="L260" s="4"/>
      <c r="M260" s="4" t="s">
        <v>59</v>
      </c>
      <c r="N260" s="4" t="s">
        <v>40</v>
      </c>
      <c r="O260" s="4">
        <v>0</v>
      </c>
      <c r="P260" s="4" t="s">
        <v>236</v>
      </c>
      <c r="Q260" s="4" t="s">
        <v>42</v>
      </c>
      <c r="R260" s="50" t="s">
        <v>43</v>
      </c>
      <c r="S260" s="50"/>
      <c r="T260" s="50">
        <v>0</v>
      </c>
      <c r="U260" s="4" t="s">
        <v>36</v>
      </c>
      <c r="V260" s="4"/>
    </row>
    <row r="261" spans="3:22" hidden="1" x14ac:dyDescent="0.25">
      <c r="C261" s="4" t="s">
        <v>238</v>
      </c>
      <c r="D261" s="4" t="s">
        <v>239</v>
      </c>
      <c r="E261" s="4" t="s">
        <v>240</v>
      </c>
      <c r="F261" s="4" t="s">
        <v>36</v>
      </c>
      <c r="G261" s="4" t="s">
        <v>37</v>
      </c>
      <c r="H261" s="4" t="str">
        <f>VLOOKUP(C261,[1]MAESTRA!$I$5:$J$399,2,0)</f>
        <v>cl-carmenstaisabel@tiendas.oxxo.com</v>
      </c>
      <c r="I261" s="4" t="s">
        <v>38</v>
      </c>
      <c r="J261" s="4" t="s">
        <v>1030</v>
      </c>
      <c r="K261" s="4" t="s">
        <v>146</v>
      </c>
      <c r="L261" s="4"/>
      <c r="M261" s="4" t="s">
        <v>59</v>
      </c>
      <c r="N261" s="4" t="s">
        <v>40</v>
      </c>
      <c r="O261" s="4">
        <v>0</v>
      </c>
      <c r="P261" s="4" t="s">
        <v>238</v>
      </c>
      <c r="Q261" s="4" t="s">
        <v>42</v>
      </c>
      <c r="R261" s="50" t="s">
        <v>43</v>
      </c>
      <c r="S261" s="50"/>
      <c r="T261" s="50">
        <v>0</v>
      </c>
      <c r="U261" s="4" t="s">
        <v>36</v>
      </c>
      <c r="V261" s="4"/>
    </row>
    <row r="262" spans="3:22" hidden="1" x14ac:dyDescent="0.25">
      <c r="C262" s="4" t="s">
        <v>962</v>
      </c>
      <c r="D262" s="4" t="s">
        <v>963</v>
      </c>
      <c r="E262" s="4" t="s">
        <v>964</v>
      </c>
      <c r="F262" s="4">
        <v>5</v>
      </c>
      <c r="G262" s="4" t="s">
        <v>376</v>
      </c>
      <c r="H262" s="4" t="str">
        <f>VLOOKUP(C262,[1]MAESTRA!$I$5:$J$399,2,0)</f>
        <v>cl-chamisero@tiendas.oxxo.com</v>
      </c>
      <c r="I262" s="4" t="s">
        <v>46</v>
      </c>
      <c r="J262" s="4" t="s">
        <v>1030</v>
      </c>
      <c r="K262" s="4" t="s">
        <v>160</v>
      </c>
      <c r="L262" s="4" t="s">
        <v>43</v>
      </c>
      <c r="M262" s="4" t="s">
        <v>371</v>
      </c>
      <c r="N262" s="4" t="s">
        <v>40</v>
      </c>
      <c r="O262" s="4" t="s">
        <v>984</v>
      </c>
      <c r="P262" s="4" t="s">
        <v>962</v>
      </c>
      <c r="Q262" s="4" t="s">
        <v>42</v>
      </c>
      <c r="R262" s="50" t="s">
        <v>440</v>
      </c>
      <c r="S262" s="50"/>
      <c r="T262" s="50" t="s">
        <v>931</v>
      </c>
      <c r="U262" s="4" t="s">
        <v>43</v>
      </c>
      <c r="V262" s="4"/>
    </row>
    <row r="263" spans="3:22" hidden="1" x14ac:dyDescent="0.25">
      <c r="C263" s="4" t="s">
        <v>687</v>
      </c>
      <c r="D263" s="4" t="s">
        <v>688</v>
      </c>
      <c r="E263" s="4" t="s">
        <v>689</v>
      </c>
      <c r="F263" s="4">
        <v>6</v>
      </c>
      <c r="G263" s="4" t="s">
        <v>376</v>
      </c>
      <c r="H263" s="4" t="str">
        <f>VLOOKUP(C263,[1]MAESTRA!$I$5:$J$399,2,0)</f>
        <v>cl-carmensilva@tiendas.oxxo.com</v>
      </c>
      <c r="I263" s="4" t="s">
        <v>46</v>
      </c>
      <c r="J263" s="4" t="s">
        <v>1030</v>
      </c>
      <c r="K263" s="4" t="s">
        <v>248</v>
      </c>
      <c r="L263" s="4" t="s">
        <v>43</v>
      </c>
      <c r="M263" s="4" t="s">
        <v>51</v>
      </c>
      <c r="N263" s="4" t="s">
        <v>40</v>
      </c>
      <c r="O263" s="4" t="s">
        <v>984</v>
      </c>
      <c r="P263" s="4" t="s">
        <v>687</v>
      </c>
      <c r="Q263" s="4" t="s">
        <v>42</v>
      </c>
      <c r="R263" s="50" t="s">
        <v>440</v>
      </c>
      <c r="S263" s="50"/>
      <c r="T263" s="50" t="s">
        <v>51</v>
      </c>
      <c r="U263" s="4" t="s">
        <v>43</v>
      </c>
      <c r="V263" s="4"/>
    </row>
    <row r="264" spans="3:22" hidden="1" x14ac:dyDescent="0.25">
      <c r="C264" s="4" t="s">
        <v>241</v>
      </c>
      <c r="D264" s="4" t="s">
        <v>242</v>
      </c>
      <c r="E264" s="4" t="s">
        <v>243</v>
      </c>
      <c r="F264" s="4" t="s">
        <v>36</v>
      </c>
      <c r="G264" s="4" t="s">
        <v>37</v>
      </c>
      <c r="H264" s="4" t="str">
        <f>VLOOKUP(C264,[1]MAESTRA!$I$5:$J$399,2,0)</f>
        <v>okm-edocastillovelasco@tiendas.oxxo.com</v>
      </c>
      <c r="I264" s="4" t="s">
        <v>38</v>
      </c>
      <c r="J264" s="4" t="s">
        <v>1030</v>
      </c>
      <c r="K264" s="4" t="s">
        <v>132</v>
      </c>
      <c r="L264" s="4"/>
      <c r="M264" s="4" t="s">
        <v>64</v>
      </c>
      <c r="N264" s="4" t="s">
        <v>40</v>
      </c>
      <c r="O264" s="4">
        <v>0</v>
      </c>
      <c r="P264" s="4" t="s">
        <v>241</v>
      </c>
      <c r="Q264" s="4" t="s">
        <v>42</v>
      </c>
      <c r="R264" s="50" t="s">
        <v>43</v>
      </c>
      <c r="S264" s="50"/>
      <c r="T264" s="50">
        <v>0</v>
      </c>
      <c r="U264" s="4" t="s">
        <v>36</v>
      </c>
      <c r="V264" s="4"/>
    </row>
    <row r="265" spans="3:22" hidden="1" x14ac:dyDescent="0.25">
      <c r="C265" s="4" t="s">
        <v>244</v>
      </c>
      <c r="D265" s="4" t="s">
        <v>245</v>
      </c>
      <c r="E265" s="4" t="s">
        <v>245</v>
      </c>
      <c r="F265" s="4" t="s">
        <v>36</v>
      </c>
      <c r="G265" s="4" t="s">
        <v>37</v>
      </c>
      <c r="H265" s="4" t="str">
        <f>VLOOKUP(C265,[1]MAESTRA!$I$5:$J$399,2,0)</f>
        <v>cl-inglaterra@tiendas.oxxo.com</v>
      </c>
      <c r="I265" s="4" t="s">
        <v>81</v>
      </c>
      <c r="J265" s="4" t="s">
        <v>1030</v>
      </c>
      <c r="K265" s="4">
        <v>0</v>
      </c>
      <c r="L265" s="4"/>
      <c r="M265" s="4" t="s">
        <v>133</v>
      </c>
      <c r="N265" s="4" t="s">
        <v>40</v>
      </c>
      <c r="O265" s="4">
        <v>0</v>
      </c>
      <c r="P265" s="4" t="s">
        <v>244</v>
      </c>
      <c r="Q265" s="4" t="s">
        <v>42</v>
      </c>
      <c r="R265" s="50" t="s">
        <v>43</v>
      </c>
      <c r="S265" s="50"/>
      <c r="T265" s="50">
        <v>0</v>
      </c>
      <c r="U265" s="4" t="s">
        <v>36</v>
      </c>
      <c r="V265" s="4"/>
    </row>
    <row r="266" spans="3:22" hidden="1" x14ac:dyDescent="0.25">
      <c r="C266" s="4" t="s">
        <v>246</v>
      </c>
      <c r="D266" s="4" t="s">
        <v>247</v>
      </c>
      <c r="E266" s="4" t="s">
        <v>247</v>
      </c>
      <c r="F266" s="4" t="s">
        <v>36</v>
      </c>
      <c r="G266" s="4" t="s">
        <v>37</v>
      </c>
      <c r="H266" s="4" t="str">
        <f>VLOOKUP(C266,[1]MAESTRA!$I$5:$J$399,2,0)</f>
        <v>okm-elbosque@tiendas.oxxo.com</v>
      </c>
      <c r="I266" s="4" t="s">
        <v>38</v>
      </c>
      <c r="J266" s="4" t="s">
        <v>1030</v>
      </c>
      <c r="K266" s="4" t="s">
        <v>248</v>
      </c>
      <c r="L266" s="4"/>
      <c r="M266" s="4" t="s">
        <v>138</v>
      </c>
      <c r="N266" s="4" t="s">
        <v>40</v>
      </c>
      <c r="O266" s="4">
        <v>0</v>
      </c>
      <c r="P266" s="4" t="s">
        <v>246</v>
      </c>
      <c r="Q266" s="4" t="s">
        <v>42</v>
      </c>
      <c r="R266" s="50" t="s">
        <v>43</v>
      </c>
      <c r="S266" s="50"/>
      <c r="T266" s="50">
        <v>0</v>
      </c>
      <c r="U266" s="4" t="s">
        <v>36</v>
      </c>
      <c r="V266" s="4"/>
    </row>
    <row r="267" spans="3:22" hidden="1" x14ac:dyDescent="0.25">
      <c r="C267" s="4" t="s">
        <v>249</v>
      </c>
      <c r="D267" s="4" t="s">
        <v>250</v>
      </c>
      <c r="E267" s="4" t="s">
        <v>250</v>
      </c>
      <c r="F267" s="4" t="s">
        <v>36</v>
      </c>
      <c r="G267" s="4" t="s">
        <v>37</v>
      </c>
      <c r="H267" s="4" t="str">
        <f>VLOOKUP(C267,[1]MAESTRA!$I$5:$J$399,2,0)</f>
        <v>okm-encomenderos@tiendas.oxxo.com</v>
      </c>
      <c r="I267" s="4" t="s">
        <v>38</v>
      </c>
      <c r="J267" s="4" t="s">
        <v>1030</v>
      </c>
      <c r="K267" s="4" t="s">
        <v>94</v>
      </c>
      <c r="L267" s="4"/>
      <c r="M267" s="4" t="s">
        <v>138</v>
      </c>
      <c r="N267" s="4" t="s">
        <v>40</v>
      </c>
      <c r="O267" s="4">
        <v>0</v>
      </c>
      <c r="P267" s="4" t="s">
        <v>249</v>
      </c>
      <c r="Q267" s="4" t="s">
        <v>42</v>
      </c>
      <c r="R267" s="50" t="s">
        <v>43</v>
      </c>
      <c r="S267" s="50"/>
      <c r="T267" s="50">
        <v>0</v>
      </c>
      <c r="U267" s="4" t="s">
        <v>36</v>
      </c>
      <c r="V267" s="4"/>
    </row>
    <row r="268" spans="3:22" hidden="1" x14ac:dyDescent="0.25">
      <c r="C268" s="4" t="s">
        <v>251</v>
      </c>
      <c r="D268" s="4" t="s">
        <v>252</v>
      </c>
      <c r="E268" s="4" t="s">
        <v>253</v>
      </c>
      <c r="F268" s="4" t="s">
        <v>36</v>
      </c>
      <c r="G268" s="4" t="s">
        <v>37</v>
      </c>
      <c r="H268" s="4" t="str">
        <f>VLOOKUP(C268,[1]MAESTRA!$I$5:$J$399,2,0)</f>
        <v>cl-exequielfernandez@tiendas.oxxo.com</v>
      </c>
      <c r="I268" s="4" t="s">
        <v>38</v>
      </c>
      <c r="J268" s="4" t="s">
        <v>1030</v>
      </c>
      <c r="K268" s="4">
        <v>0</v>
      </c>
      <c r="L268" s="4"/>
      <c r="M268" s="4" t="s">
        <v>64</v>
      </c>
      <c r="N268" s="4" t="s">
        <v>40</v>
      </c>
      <c r="O268" s="4">
        <v>0</v>
      </c>
      <c r="P268" s="4" t="s">
        <v>251</v>
      </c>
      <c r="Q268" s="4" t="s">
        <v>42</v>
      </c>
      <c r="R268" s="50" t="s">
        <v>43</v>
      </c>
      <c r="S268" s="50"/>
      <c r="T268" s="50">
        <v>0</v>
      </c>
      <c r="U268" s="4" t="s">
        <v>36</v>
      </c>
      <c r="V268" s="4"/>
    </row>
    <row r="269" spans="3:22" hidden="1" x14ac:dyDescent="0.25">
      <c r="C269" s="4" t="s">
        <v>254</v>
      </c>
      <c r="D269" s="4" t="s">
        <v>255</v>
      </c>
      <c r="E269" s="4" t="s">
        <v>255</v>
      </c>
      <c r="F269" s="4" t="s">
        <v>36</v>
      </c>
      <c r="G269" s="4" t="s">
        <v>37</v>
      </c>
      <c r="H269" s="4" t="str">
        <f>VLOOKUP(C269,[1]MAESTRA!$I$5:$J$399,2,0)</f>
        <v>okm-francisconoguera@tiendas.oxxo.com</v>
      </c>
      <c r="I269" s="4" t="s">
        <v>38</v>
      </c>
      <c r="J269" s="4" t="s">
        <v>1030</v>
      </c>
      <c r="K269" s="4">
        <v>0</v>
      </c>
      <c r="L269" s="4"/>
      <c r="M269" s="4" t="s">
        <v>51</v>
      </c>
      <c r="N269" s="4" t="s">
        <v>40</v>
      </c>
      <c r="O269" s="4">
        <v>0</v>
      </c>
      <c r="P269" s="4" t="s">
        <v>254</v>
      </c>
      <c r="Q269" s="4" t="s">
        <v>42</v>
      </c>
      <c r="R269" s="50" t="s">
        <v>43</v>
      </c>
      <c r="S269" s="50"/>
      <c r="T269" s="50">
        <v>0</v>
      </c>
      <c r="U269" s="4" t="s">
        <v>36</v>
      </c>
      <c r="V269" s="4"/>
    </row>
    <row r="270" spans="3:22" hidden="1" x14ac:dyDescent="0.25">
      <c r="C270" s="4" t="s">
        <v>590</v>
      </c>
      <c r="D270" s="4" t="s">
        <v>591</v>
      </c>
      <c r="E270" s="4" t="s">
        <v>591</v>
      </c>
      <c r="F270" s="4">
        <v>5</v>
      </c>
      <c r="G270" s="4" t="s">
        <v>376</v>
      </c>
      <c r="H270" s="4" t="str">
        <f>VLOOKUP(C270,[1]MAESTRA!$I$5:$J$399,2,0)</f>
        <v>cl-bosquenorteoxxo@tiendas.oxxo.com</v>
      </c>
      <c r="I270" s="4" t="s">
        <v>46</v>
      </c>
      <c r="J270" s="4" t="s">
        <v>1030</v>
      </c>
      <c r="K270" s="4" t="s">
        <v>331</v>
      </c>
      <c r="L270" s="4" t="s">
        <v>43</v>
      </c>
      <c r="M270" s="4" t="s">
        <v>138</v>
      </c>
      <c r="N270" s="4" t="s">
        <v>40</v>
      </c>
      <c r="O270" s="4" t="s">
        <v>984</v>
      </c>
      <c r="P270" s="4" t="s">
        <v>590</v>
      </c>
      <c r="Q270" s="4" t="s">
        <v>42</v>
      </c>
      <c r="R270" s="50" t="s">
        <v>43</v>
      </c>
      <c r="S270" s="50"/>
      <c r="T270" s="50" t="s">
        <v>557</v>
      </c>
      <c r="U270" s="4" t="s">
        <v>43</v>
      </c>
      <c r="V270" s="4"/>
    </row>
    <row r="271" spans="3:22" hidden="1" x14ac:dyDescent="0.25">
      <c r="C271" s="4" t="s">
        <v>447</v>
      </c>
      <c r="D271" s="4" t="s">
        <v>448</v>
      </c>
      <c r="E271" s="4" t="s">
        <v>449</v>
      </c>
      <c r="F271" s="4">
        <v>6</v>
      </c>
      <c r="G271" s="4" t="s">
        <v>376</v>
      </c>
      <c r="H271" s="4" t="str">
        <f>VLOOKUP(C271,[1]MAESTRA!$I$5:$J$399,2,0)</f>
        <v>cl-juanmoya@tiendas.oxxo.com</v>
      </c>
      <c r="I271" s="4" t="s">
        <v>46</v>
      </c>
      <c r="J271" s="4" t="s">
        <v>1030</v>
      </c>
      <c r="K271" s="4" t="s">
        <v>94</v>
      </c>
      <c r="L271" s="4" t="s">
        <v>43</v>
      </c>
      <c r="M271" s="4" t="s">
        <v>64</v>
      </c>
      <c r="N271" s="4" t="s">
        <v>40</v>
      </c>
      <c r="O271" s="4" t="s">
        <v>1035</v>
      </c>
      <c r="P271" s="4" t="s">
        <v>447</v>
      </c>
      <c r="Q271" s="4" t="s">
        <v>42</v>
      </c>
      <c r="R271" s="50" t="s">
        <v>440</v>
      </c>
      <c r="S271" s="50"/>
      <c r="T271" s="50" t="s">
        <v>423</v>
      </c>
      <c r="U271" s="4" t="s">
        <v>43</v>
      </c>
      <c r="V271" s="4"/>
    </row>
    <row r="272" spans="3:22" hidden="1" x14ac:dyDescent="0.25">
      <c r="C272" s="4" t="s">
        <v>256</v>
      </c>
      <c r="D272" s="4" t="s">
        <v>257</v>
      </c>
      <c r="E272" s="4" t="s">
        <v>257</v>
      </c>
      <c r="F272" s="4" t="s">
        <v>36</v>
      </c>
      <c r="G272" s="4" t="s">
        <v>37</v>
      </c>
      <c r="H272" s="4" t="str">
        <f>VLOOKUP(C272,[1]MAESTRA!$I$5:$J$399,2,0)</f>
        <v>okm-isabellacatolica@tiendas.oxxo.com</v>
      </c>
      <c r="I272" s="4" t="s">
        <v>38</v>
      </c>
      <c r="J272" s="4" t="s">
        <v>1030</v>
      </c>
      <c r="K272" s="4">
        <v>0</v>
      </c>
      <c r="L272" s="4"/>
      <c r="M272" s="4" t="s">
        <v>138</v>
      </c>
      <c r="N272" s="4" t="s">
        <v>40</v>
      </c>
      <c r="O272" s="4">
        <v>0</v>
      </c>
      <c r="P272" s="4" t="s">
        <v>256</v>
      </c>
      <c r="Q272" s="4" t="s">
        <v>42</v>
      </c>
      <c r="R272" s="50" t="s">
        <v>43</v>
      </c>
      <c r="S272" s="50"/>
      <c r="T272" s="50">
        <v>0</v>
      </c>
      <c r="U272" s="4" t="s">
        <v>36</v>
      </c>
      <c r="V272" s="4"/>
    </row>
    <row r="273" spans="3:22" hidden="1" x14ac:dyDescent="0.25">
      <c r="C273" s="4" t="s">
        <v>450</v>
      </c>
      <c r="D273" s="4" t="s">
        <v>451</v>
      </c>
      <c r="E273" s="4" t="s">
        <v>452</v>
      </c>
      <c r="F273" s="4">
        <v>5</v>
      </c>
      <c r="G273" s="4" t="s">
        <v>376</v>
      </c>
      <c r="H273" s="4" t="str">
        <f>VLOOKUP(C273,[1]MAESTRA!$I$5:$J$399,2,0)</f>
        <v>cl-josedomingocanas@tiendas.oxxo.com</v>
      </c>
      <c r="I273" s="4" t="s">
        <v>46</v>
      </c>
      <c r="J273" s="4" t="s">
        <v>1030</v>
      </c>
      <c r="K273" s="4" t="s">
        <v>94</v>
      </c>
      <c r="L273" s="4" t="s">
        <v>43</v>
      </c>
      <c r="M273" s="4" t="s">
        <v>64</v>
      </c>
      <c r="N273" s="4" t="s">
        <v>40</v>
      </c>
      <c r="O273" s="4" t="s">
        <v>1035</v>
      </c>
      <c r="P273" s="4" t="s">
        <v>450</v>
      </c>
      <c r="Q273" s="4" t="s">
        <v>42</v>
      </c>
      <c r="R273" s="50" t="s">
        <v>43</v>
      </c>
      <c r="S273" s="50"/>
      <c r="T273" s="50" t="s">
        <v>423</v>
      </c>
      <c r="U273" s="4" t="s">
        <v>43</v>
      </c>
      <c r="V273" s="4"/>
    </row>
    <row r="274" spans="3:22" hidden="1" x14ac:dyDescent="0.25">
      <c r="C274" s="4" t="s">
        <v>965</v>
      </c>
      <c r="D274" s="4" t="s">
        <v>966</v>
      </c>
      <c r="E274" s="4" t="s">
        <v>967</v>
      </c>
      <c r="F274" s="4">
        <v>5</v>
      </c>
      <c r="G274" s="4" t="s">
        <v>376</v>
      </c>
      <c r="H274" s="4" t="str">
        <f>VLOOKUP(C274,[1]MAESTRA!$I$5:$J$399,2,0)</f>
        <v>cl-lashualtatas@tiendas.oxxo.com</v>
      </c>
      <c r="I274" s="4" t="s">
        <v>46</v>
      </c>
      <c r="J274" s="4" t="s">
        <v>1030</v>
      </c>
      <c r="K274" s="4" t="s">
        <v>160</v>
      </c>
      <c r="L274" s="4" t="s">
        <v>43</v>
      </c>
      <c r="M274" s="4" t="s">
        <v>353</v>
      </c>
      <c r="N274" s="4" t="s">
        <v>40</v>
      </c>
      <c r="O274" s="4" t="s">
        <v>984</v>
      </c>
      <c r="P274" s="4" t="s">
        <v>965</v>
      </c>
      <c r="Q274" s="4" t="s">
        <v>42</v>
      </c>
      <c r="R274" s="50" t="s">
        <v>43</v>
      </c>
      <c r="S274" s="50"/>
      <c r="T274" s="50" t="s">
        <v>931</v>
      </c>
      <c r="U274" s="4" t="s">
        <v>43</v>
      </c>
      <c r="V274" s="4"/>
    </row>
    <row r="275" spans="3:22" hidden="1" x14ac:dyDescent="0.25">
      <c r="C275" s="4" t="s">
        <v>258</v>
      </c>
      <c r="D275" s="4" t="s">
        <v>259</v>
      </c>
      <c r="E275" s="4" t="s">
        <v>260</v>
      </c>
      <c r="F275" s="4" t="s">
        <v>36</v>
      </c>
      <c r="G275" s="4" t="s">
        <v>37</v>
      </c>
      <c r="H275" s="4" t="str">
        <f>VLOOKUP(C275,[1]MAESTRA!$I$5:$J$399,2,0)</f>
        <v>cl-laslilas@tiendas.oxxo.com</v>
      </c>
      <c r="I275" s="4" t="s">
        <v>38</v>
      </c>
      <c r="J275" s="4" t="s">
        <v>1030</v>
      </c>
      <c r="K275" s="4" t="s">
        <v>50</v>
      </c>
      <c r="L275" s="4"/>
      <c r="M275" s="4" t="s">
        <v>51</v>
      </c>
      <c r="N275" s="4" t="s">
        <v>40</v>
      </c>
      <c r="O275" s="4">
        <v>0</v>
      </c>
      <c r="P275" s="4" t="s">
        <v>258</v>
      </c>
      <c r="Q275" s="4" t="s">
        <v>42</v>
      </c>
      <c r="R275" s="50" t="s">
        <v>43</v>
      </c>
      <c r="S275" s="50"/>
      <c r="T275" s="50">
        <v>0</v>
      </c>
      <c r="U275" s="4" t="s">
        <v>36</v>
      </c>
      <c r="V275" s="4"/>
    </row>
    <row r="276" spans="3:22" hidden="1" x14ac:dyDescent="0.25">
      <c r="C276" s="4" t="s">
        <v>261</v>
      </c>
      <c r="D276" s="4" t="s">
        <v>262</v>
      </c>
      <c r="E276" s="4" t="s">
        <v>263</v>
      </c>
      <c r="F276" s="4" t="s">
        <v>36</v>
      </c>
      <c r="G276" s="4" t="s">
        <v>37</v>
      </c>
      <c r="H276" s="4" t="str">
        <f>VLOOKUP(C276,[1]MAESTRA!$I$5:$J$399,2,0)</f>
        <v>cl-escuelamilitar@tiendas.oxxo.com</v>
      </c>
      <c r="I276" s="4" t="s">
        <v>38</v>
      </c>
      <c r="J276" s="4" t="s">
        <v>1030</v>
      </c>
      <c r="K276" s="4" t="s">
        <v>58</v>
      </c>
      <c r="L276" s="4"/>
      <c r="M276" s="4" t="s">
        <v>138</v>
      </c>
      <c r="N276" s="4" t="s">
        <v>40</v>
      </c>
      <c r="O276" s="4">
        <v>0</v>
      </c>
      <c r="P276" s="4" t="s">
        <v>261</v>
      </c>
      <c r="Q276" s="4" t="s">
        <v>42</v>
      </c>
      <c r="R276" s="50" t="s">
        <v>43</v>
      </c>
      <c r="S276" s="50"/>
      <c r="T276" s="50">
        <v>0</v>
      </c>
      <c r="U276" s="4" t="s">
        <v>36</v>
      </c>
      <c r="V276" s="4"/>
    </row>
    <row r="277" spans="3:22" hidden="1" x14ac:dyDescent="0.25">
      <c r="C277" s="4" t="s">
        <v>791</v>
      </c>
      <c r="D277" s="4" t="s">
        <v>793</v>
      </c>
      <c r="E277" s="4" t="s">
        <v>1000</v>
      </c>
      <c r="F277" s="4">
        <v>3.36</v>
      </c>
      <c r="G277" s="4" t="s">
        <v>376</v>
      </c>
      <c r="H277" s="4" t="str">
        <f>VLOOKUP(C277,[1]MAESTRA!$I$5:$J$399,2,0)</f>
        <v>cl-lincoyan2@tiendas.oxxo.com</v>
      </c>
      <c r="I277" s="4" t="s">
        <v>46</v>
      </c>
      <c r="J277" s="4" t="s">
        <v>1031</v>
      </c>
      <c r="K277" s="4" t="s">
        <v>89</v>
      </c>
      <c r="L277" s="4" t="s">
        <v>43</v>
      </c>
      <c r="M277" s="4" t="s">
        <v>109</v>
      </c>
      <c r="N277" s="4" t="s">
        <v>91</v>
      </c>
      <c r="O277" s="4" t="s">
        <v>378</v>
      </c>
      <c r="P277" s="4" t="s">
        <v>791</v>
      </c>
      <c r="Q277" s="4" t="s">
        <v>42</v>
      </c>
      <c r="R277" s="50" t="s">
        <v>43</v>
      </c>
      <c r="S277" s="50"/>
      <c r="T277" s="50" t="s">
        <v>772</v>
      </c>
      <c r="U277" s="4" t="s">
        <v>43</v>
      </c>
      <c r="V277" s="4" t="s">
        <v>32</v>
      </c>
    </row>
    <row r="278" spans="3:22" hidden="1" x14ac:dyDescent="0.25">
      <c r="C278" s="4" t="s">
        <v>264</v>
      </c>
      <c r="D278" s="4" t="s">
        <v>265</v>
      </c>
      <c r="E278" s="4" t="s">
        <v>266</v>
      </c>
      <c r="F278" s="4" t="s">
        <v>36</v>
      </c>
      <c r="G278" s="4" t="s">
        <v>37</v>
      </c>
      <c r="H278" s="4" t="str">
        <f>VLOOKUP(C278,[1]MAESTRA!$I$5:$J$399,2,0)</f>
        <v>cl-middleton@tiendas.oxxo.com</v>
      </c>
      <c r="I278" s="4" t="s">
        <v>38</v>
      </c>
      <c r="J278" s="4" t="s">
        <v>1030</v>
      </c>
      <c r="K278" s="4">
        <v>0</v>
      </c>
      <c r="L278" s="4"/>
      <c r="M278" s="4" t="s">
        <v>51</v>
      </c>
      <c r="N278" s="4" t="s">
        <v>40</v>
      </c>
      <c r="O278" s="4">
        <v>0</v>
      </c>
      <c r="P278" s="4" t="s">
        <v>264</v>
      </c>
      <c r="Q278" s="4" t="s">
        <v>42</v>
      </c>
      <c r="R278" s="50" t="s">
        <v>43</v>
      </c>
      <c r="S278" s="50"/>
      <c r="T278" s="50">
        <v>0</v>
      </c>
      <c r="U278" s="4" t="s">
        <v>36</v>
      </c>
      <c r="V278" s="4"/>
    </row>
    <row r="279" spans="3:22" hidden="1" x14ac:dyDescent="0.25">
      <c r="C279" s="4" t="s">
        <v>267</v>
      </c>
      <c r="D279" s="4" t="s">
        <v>268</v>
      </c>
      <c r="E279" s="4" t="s">
        <v>269</v>
      </c>
      <c r="F279" s="4" t="s">
        <v>36</v>
      </c>
      <c r="G279" s="4" t="s">
        <v>37</v>
      </c>
      <c r="H279" s="4" t="str">
        <f>VLOOKUP(C279,[1]MAESTRA!$I$5:$J$399,2,0)</f>
        <v>cl-marchantpereira2@tiendas.oxxo.com</v>
      </c>
      <c r="I279" s="4" t="s">
        <v>38</v>
      </c>
      <c r="J279" s="4" t="s">
        <v>1030</v>
      </c>
      <c r="K279" s="4">
        <v>0</v>
      </c>
      <c r="L279" s="4"/>
      <c r="M279" s="4" t="s">
        <v>51</v>
      </c>
      <c r="N279" s="4" t="s">
        <v>40</v>
      </c>
      <c r="O279" s="4">
        <v>0</v>
      </c>
      <c r="P279" s="4" t="s">
        <v>267</v>
      </c>
      <c r="Q279" s="4" t="s">
        <v>42</v>
      </c>
      <c r="R279" s="50" t="s">
        <v>43</v>
      </c>
      <c r="S279" s="50"/>
      <c r="T279" s="50">
        <v>0</v>
      </c>
      <c r="U279" s="4" t="s">
        <v>36</v>
      </c>
      <c r="V279" s="4"/>
    </row>
    <row r="280" spans="3:22" hidden="1" x14ac:dyDescent="0.25">
      <c r="C280" s="4" t="s">
        <v>270</v>
      </c>
      <c r="D280" s="4" t="s">
        <v>271</v>
      </c>
      <c r="E280" s="4" t="s">
        <v>271</v>
      </c>
      <c r="F280" s="4" t="s">
        <v>36</v>
      </c>
      <c r="G280" s="4" t="s">
        <v>37</v>
      </c>
      <c r="H280" s="4" t="str">
        <f>VLOOKUP(C280,[1]MAESTRA!$I$5:$J$399,2,0)</f>
        <v>okm-mirafloresmerced@tiendas.oxxo.com</v>
      </c>
      <c r="I280" s="4" t="s">
        <v>38</v>
      </c>
      <c r="J280" s="4" t="s">
        <v>1030</v>
      </c>
      <c r="K280" s="4" t="s">
        <v>100</v>
      </c>
      <c r="L280" s="4"/>
      <c r="M280" s="4" t="s">
        <v>59</v>
      </c>
      <c r="N280" s="4" t="s">
        <v>40</v>
      </c>
      <c r="O280" s="4">
        <v>0</v>
      </c>
      <c r="P280" s="4" t="s">
        <v>270</v>
      </c>
      <c r="Q280" s="4" t="s">
        <v>42</v>
      </c>
      <c r="R280" s="50" t="s">
        <v>43</v>
      </c>
      <c r="S280" s="50"/>
      <c r="T280" s="50">
        <v>0</v>
      </c>
      <c r="U280" s="4" t="s">
        <v>36</v>
      </c>
      <c r="V280" s="4"/>
    </row>
    <row r="281" spans="3:22" hidden="1" x14ac:dyDescent="0.25">
      <c r="C281" s="4" t="s">
        <v>631</v>
      </c>
      <c r="D281" s="4" t="s">
        <v>633</v>
      </c>
      <c r="E281" s="4" t="s">
        <v>1001</v>
      </c>
      <c r="F281" s="47">
        <v>5.6</v>
      </c>
      <c r="G281" s="4" t="s">
        <v>376</v>
      </c>
      <c r="H281" s="4" t="str">
        <f>VLOOKUP(C281,[1]MAESTRA!$I$5:$J$399,2,0)</f>
        <v>cl-metrolosleones2@tiendas.oxxo.com</v>
      </c>
      <c r="I281" s="4" t="s">
        <v>46</v>
      </c>
      <c r="J281" s="4" t="s">
        <v>1030</v>
      </c>
      <c r="K281" s="4" t="s">
        <v>50</v>
      </c>
      <c r="L281" s="4" t="s">
        <v>43</v>
      </c>
      <c r="M281" s="4" t="s">
        <v>51</v>
      </c>
      <c r="N281" s="4" t="s">
        <v>40</v>
      </c>
      <c r="O281" s="4" t="s">
        <v>514</v>
      </c>
      <c r="P281" s="4" t="s">
        <v>631</v>
      </c>
      <c r="Q281" s="4" t="s">
        <v>42</v>
      </c>
      <c r="R281" s="50" t="s">
        <v>43</v>
      </c>
      <c r="S281" s="50"/>
      <c r="T281" s="50" t="s">
        <v>597</v>
      </c>
      <c r="U281" s="4" t="s">
        <v>43</v>
      </c>
      <c r="V281" s="4" t="s">
        <v>32</v>
      </c>
    </row>
    <row r="282" spans="3:22" hidden="1" x14ac:dyDescent="0.25">
      <c r="C282" s="4" t="s">
        <v>272</v>
      </c>
      <c r="D282" s="4" t="s">
        <v>273</v>
      </c>
      <c r="E282" s="4" t="s">
        <v>274</v>
      </c>
      <c r="F282" s="4" t="s">
        <v>36</v>
      </c>
      <c r="G282" s="4" t="s">
        <v>37</v>
      </c>
      <c r="H282" s="4" t="str">
        <f>VLOOKUP(C282,[1]MAESTRA!$I$5:$J$399,2,0)</f>
        <v>cl-maculmayorabe@tiendas.oxxo.com</v>
      </c>
      <c r="I282" s="4" t="s">
        <v>38</v>
      </c>
      <c r="J282" s="4" t="s">
        <v>1030</v>
      </c>
      <c r="K282" s="4" t="s">
        <v>73</v>
      </c>
      <c r="L282" s="4"/>
      <c r="M282" s="4" t="s">
        <v>275</v>
      </c>
      <c r="N282" s="4" t="s">
        <v>40</v>
      </c>
      <c r="O282" s="4">
        <v>0</v>
      </c>
      <c r="P282" s="4" t="s">
        <v>272</v>
      </c>
      <c r="Q282" s="4" t="s">
        <v>42</v>
      </c>
      <c r="R282" s="50" t="s">
        <v>43</v>
      </c>
      <c r="S282" s="50"/>
      <c r="T282" s="50">
        <v>0</v>
      </c>
      <c r="U282" s="4" t="s">
        <v>36</v>
      </c>
      <c r="V282" s="4"/>
    </row>
    <row r="283" spans="3:22" hidden="1" x14ac:dyDescent="0.25">
      <c r="C283" s="4" t="s">
        <v>690</v>
      </c>
      <c r="D283" s="4" t="s">
        <v>691</v>
      </c>
      <c r="E283" s="4" t="s">
        <v>692</v>
      </c>
      <c r="F283" s="4">
        <v>5</v>
      </c>
      <c r="G283" s="4" t="s">
        <v>376</v>
      </c>
      <c r="H283" s="4" t="str">
        <f>VLOOKUP(C283,[1]MAESTRA!$I$5:$J$399,2,0)</f>
        <v>cl-manuelmontt2@tiendas.oxxo.com</v>
      </c>
      <c r="I283" s="4" t="s">
        <v>46</v>
      </c>
      <c r="J283" s="4" t="s">
        <v>1030</v>
      </c>
      <c r="K283" s="4" t="s">
        <v>248</v>
      </c>
      <c r="L283" s="4" t="s">
        <v>43</v>
      </c>
      <c r="M283" s="4" t="s">
        <v>51</v>
      </c>
      <c r="N283" s="4" t="s">
        <v>40</v>
      </c>
      <c r="O283" s="4" t="s">
        <v>984</v>
      </c>
      <c r="P283" s="4" t="s">
        <v>690</v>
      </c>
      <c r="Q283" s="4" t="s">
        <v>42</v>
      </c>
      <c r="R283" s="50" t="s">
        <v>440</v>
      </c>
      <c r="S283" s="50"/>
      <c r="T283" s="50" t="s">
        <v>51</v>
      </c>
      <c r="U283" s="4" t="s">
        <v>43</v>
      </c>
      <c r="V283" s="4"/>
    </row>
    <row r="284" spans="3:22" hidden="1" x14ac:dyDescent="0.25">
      <c r="C284" s="4" t="s">
        <v>276</v>
      </c>
      <c r="D284" s="4" t="s">
        <v>277</v>
      </c>
      <c r="E284" s="4" t="s">
        <v>278</v>
      </c>
      <c r="F284" s="4" t="s">
        <v>36</v>
      </c>
      <c r="G284" s="4" t="s">
        <v>37</v>
      </c>
      <c r="H284" s="4" t="str">
        <f>VLOOKUP(C284,[1]MAESTRA!$I$5:$J$399,2,0)</f>
        <v>cl-maitencillo@tiendas.oxxo.com</v>
      </c>
      <c r="I284" s="4" t="s">
        <v>38</v>
      </c>
      <c r="J284" s="4" t="s">
        <v>1030</v>
      </c>
      <c r="K284" s="4" t="s">
        <v>84</v>
      </c>
      <c r="L284" s="4"/>
      <c r="M284" s="4" t="s">
        <v>279</v>
      </c>
      <c r="N284" s="4" t="s">
        <v>55</v>
      </c>
      <c r="O284" s="4">
        <v>0</v>
      </c>
      <c r="P284" s="4" t="s">
        <v>276</v>
      </c>
      <c r="Q284" s="4" t="s">
        <v>42</v>
      </c>
      <c r="R284" s="50" t="s">
        <v>43</v>
      </c>
      <c r="S284" s="50"/>
      <c r="T284" s="50">
        <v>0</v>
      </c>
      <c r="U284" s="4" t="s">
        <v>36</v>
      </c>
      <c r="V284" s="4"/>
    </row>
    <row r="285" spans="3:22" hidden="1" x14ac:dyDescent="0.25">
      <c r="C285" s="4" t="s">
        <v>731</v>
      </c>
      <c r="D285" s="4" t="s">
        <v>732</v>
      </c>
      <c r="E285" s="4" t="s">
        <v>54</v>
      </c>
      <c r="F285" s="4">
        <v>5</v>
      </c>
      <c r="G285" s="4" t="s">
        <v>376</v>
      </c>
      <c r="H285" s="4" t="str">
        <f>VLOOKUP(C285,[1]MAESTRA!$I$5:$J$399,2,0)</f>
        <v>cl-vinadelmar@tiendas.oxxo.com</v>
      </c>
      <c r="I285" s="4" t="s">
        <v>46</v>
      </c>
      <c r="J285" s="4" t="s">
        <v>1031</v>
      </c>
      <c r="K285" s="4" t="s">
        <v>84</v>
      </c>
      <c r="L285" s="4" t="s">
        <v>440</v>
      </c>
      <c r="M285" s="4" t="s">
        <v>54</v>
      </c>
      <c r="N285" s="4" t="s">
        <v>55</v>
      </c>
      <c r="O285" s="4" t="s">
        <v>378</v>
      </c>
      <c r="P285" s="4" t="s">
        <v>731</v>
      </c>
      <c r="Q285" s="4" t="s">
        <v>42</v>
      </c>
      <c r="R285" s="50" t="s">
        <v>440</v>
      </c>
      <c r="S285" s="50"/>
      <c r="T285" s="50" t="s">
        <v>702</v>
      </c>
      <c r="U285" s="4" t="s">
        <v>43</v>
      </c>
      <c r="V285" s="4"/>
    </row>
    <row r="286" spans="3:22" hidden="1" x14ac:dyDescent="0.25">
      <c r="C286" s="4" t="s">
        <v>453</v>
      </c>
      <c r="D286" s="4" t="s">
        <v>454</v>
      </c>
      <c r="E286" s="4" t="s">
        <v>454</v>
      </c>
      <c r="F286" s="4">
        <v>5</v>
      </c>
      <c r="G286" s="4" t="s">
        <v>376</v>
      </c>
      <c r="H286" s="4" t="str">
        <f>VLOOKUP(C286,[1]MAESTRA!$I$5:$J$399,2,0)</f>
        <v>cl-plazaegana2@tiendas.oxxo.com</v>
      </c>
      <c r="I286" s="4" t="s">
        <v>46</v>
      </c>
      <c r="J286" s="4" t="s">
        <v>1030</v>
      </c>
      <c r="K286" s="4" t="s">
        <v>94</v>
      </c>
      <c r="L286" s="4" t="s">
        <v>43</v>
      </c>
      <c r="M286" s="4" t="s">
        <v>64</v>
      </c>
      <c r="N286" s="4" t="s">
        <v>40</v>
      </c>
      <c r="O286" s="4" t="s">
        <v>1035</v>
      </c>
      <c r="P286" s="4" t="s">
        <v>453</v>
      </c>
      <c r="Q286" s="4" t="s">
        <v>42</v>
      </c>
      <c r="R286" s="50" t="s">
        <v>440</v>
      </c>
      <c r="S286" s="50"/>
      <c r="T286" s="50" t="s">
        <v>423</v>
      </c>
      <c r="U286" s="4" t="s">
        <v>43</v>
      </c>
      <c r="V286" s="4"/>
    </row>
    <row r="287" spans="3:22" hidden="1" x14ac:dyDescent="0.25">
      <c r="C287" s="4" t="s">
        <v>280</v>
      </c>
      <c r="D287" s="4" t="s">
        <v>281</v>
      </c>
      <c r="E287" s="4" t="s">
        <v>281</v>
      </c>
      <c r="F287" s="4" t="s">
        <v>36</v>
      </c>
      <c r="G287" s="4" t="s">
        <v>37</v>
      </c>
      <c r="H287" s="4" t="str">
        <f>VLOOKUP(C287,[1]MAESTRA!$I$5:$J$399,2,0)</f>
        <v>okm-pedrodevaldivia@tiendas.oxxo.com</v>
      </c>
      <c r="I287" s="4" t="s">
        <v>38</v>
      </c>
      <c r="J287" s="4" t="s">
        <v>1030</v>
      </c>
      <c r="K287" s="4" t="s">
        <v>132</v>
      </c>
      <c r="L287" s="4"/>
      <c r="M287" s="4" t="s">
        <v>64</v>
      </c>
      <c r="N287" s="4" t="s">
        <v>40</v>
      </c>
      <c r="O287" s="4">
        <v>0</v>
      </c>
      <c r="P287" s="4" t="s">
        <v>280</v>
      </c>
      <c r="Q287" s="4" t="s">
        <v>42</v>
      </c>
      <c r="R287" s="50" t="s">
        <v>43</v>
      </c>
      <c r="S287" s="50"/>
      <c r="T287" s="50">
        <v>0</v>
      </c>
      <c r="U287" s="4" t="s">
        <v>36</v>
      </c>
      <c r="V287" s="4"/>
    </row>
    <row r="288" spans="3:22" hidden="1" x14ac:dyDescent="0.25">
      <c r="C288" s="4" t="s">
        <v>282</v>
      </c>
      <c r="D288" s="4" t="s">
        <v>283</v>
      </c>
      <c r="E288" s="4" t="s">
        <v>284</v>
      </c>
      <c r="F288" s="4" t="s">
        <v>36</v>
      </c>
      <c r="G288" s="4" t="s">
        <v>37</v>
      </c>
      <c r="H288" s="4" t="str">
        <f>VLOOKUP(C288,[1]MAESTRA!$I$5:$J$399,2,0)</f>
        <v>cl-caminoreal@tiendas.oxxo.com</v>
      </c>
      <c r="I288" s="4" t="s">
        <v>38</v>
      </c>
      <c r="J288" s="4" t="s">
        <v>1030</v>
      </c>
      <c r="K288" s="4">
        <v>0</v>
      </c>
      <c r="L288" s="4"/>
      <c r="M288" s="4" t="s">
        <v>279</v>
      </c>
      <c r="N288" s="4" t="s">
        <v>55</v>
      </c>
      <c r="O288" s="4">
        <v>0</v>
      </c>
      <c r="P288" s="4" t="s">
        <v>282</v>
      </c>
      <c r="Q288" s="4" t="s">
        <v>42</v>
      </c>
      <c r="R288" s="50" t="s">
        <v>43</v>
      </c>
      <c r="S288" s="50"/>
      <c r="T288" s="50">
        <v>0</v>
      </c>
      <c r="U288" s="4" t="s">
        <v>36</v>
      </c>
      <c r="V288" s="4"/>
    </row>
    <row r="289" spans="3:22" hidden="1" x14ac:dyDescent="0.25">
      <c r="C289" s="4" t="s">
        <v>455</v>
      </c>
      <c r="D289" s="4" t="s">
        <v>456</v>
      </c>
      <c r="E289" s="4" t="s">
        <v>1002</v>
      </c>
      <c r="F289" s="4">
        <v>5</v>
      </c>
      <c r="G289" s="4" t="s">
        <v>376</v>
      </c>
      <c r="H289" s="4" t="str">
        <f>VLOOKUP(C289,[1]MAESTRA!$I$5:$J$399,2,0)</f>
        <v>cl-capitanorella@tiendas.oxxo.com</v>
      </c>
      <c r="I289" s="4" t="s">
        <v>46</v>
      </c>
      <c r="J289" s="4" t="s">
        <v>1030</v>
      </c>
      <c r="K289" s="4" t="s">
        <v>94</v>
      </c>
      <c r="L289" s="4" t="s">
        <v>43</v>
      </c>
      <c r="M289" s="4" t="s">
        <v>64</v>
      </c>
      <c r="N289" s="4" t="s">
        <v>40</v>
      </c>
      <c r="O289" s="4" t="s">
        <v>1035</v>
      </c>
      <c r="P289" s="4" t="s">
        <v>455</v>
      </c>
      <c r="Q289" s="4" t="s">
        <v>42</v>
      </c>
      <c r="R289" s="50" t="s">
        <v>440</v>
      </c>
      <c r="S289" s="50"/>
      <c r="T289" s="50" t="s">
        <v>423</v>
      </c>
      <c r="U289" s="4" t="s">
        <v>43</v>
      </c>
      <c r="V289" s="4"/>
    </row>
    <row r="290" spans="3:22" hidden="1" x14ac:dyDescent="0.25">
      <c r="C290" s="4" t="s">
        <v>285</v>
      </c>
      <c r="D290" s="4" t="s">
        <v>286</v>
      </c>
      <c r="E290" s="4" t="s">
        <v>287</v>
      </c>
      <c r="F290" s="4" t="s">
        <v>36</v>
      </c>
      <c r="G290" s="4" t="s">
        <v>37</v>
      </c>
      <c r="H290" s="4" t="str">
        <f>VLOOKUP(C290,[1]MAESTRA!$I$5:$J$399,2,0)</f>
        <v>okm-lyoncl@tiendas.oxxo.com</v>
      </c>
      <c r="I290" s="4" t="s">
        <v>38</v>
      </c>
      <c r="J290" s="4" t="s">
        <v>1030</v>
      </c>
      <c r="K290" s="4">
        <v>0</v>
      </c>
      <c r="L290" s="4"/>
      <c r="M290" s="4" t="s">
        <v>51</v>
      </c>
      <c r="N290" s="4" t="s">
        <v>40</v>
      </c>
      <c r="O290" s="4">
        <v>0</v>
      </c>
      <c r="P290" s="4" t="s">
        <v>285</v>
      </c>
      <c r="Q290" s="4" t="s">
        <v>42</v>
      </c>
      <c r="R290" s="50" t="s">
        <v>43</v>
      </c>
      <c r="S290" s="50"/>
      <c r="T290" s="50">
        <v>0</v>
      </c>
      <c r="U290" s="4" t="s">
        <v>36</v>
      </c>
      <c r="V290" s="4"/>
    </row>
    <row r="291" spans="3:22" hidden="1" x14ac:dyDescent="0.25">
      <c r="C291" s="4" t="s">
        <v>288</v>
      </c>
      <c r="D291" s="4" t="s">
        <v>289</v>
      </c>
      <c r="E291" s="4" t="s">
        <v>290</v>
      </c>
      <c r="F291" s="4" t="s">
        <v>36</v>
      </c>
      <c r="G291" s="4" t="s">
        <v>37</v>
      </c>
      <c r="H291" s="4" t="str">
        <f>VLOOKUP(C291,[1]MAESTRA!$I$5:$J$399,2,0)</f>
        <v>okm-sanfranciscostaisabel@tiendas.oxxo.com</v>
      </c>
      <c r="I291" s="4" t="s">
        <v>38</v>
      </c>
      <c r="J291" s="4" t="s">
        <v>1030</v>
      </c>
      <c r="K291" s="4">
        <v>0</v>
      </c>
      <c r="L291" s="4"/>
      <c r="M291" s="4" t="s">
        <v>59</v>
      </c>
      <c r="N291" s="4" t="s">
        <v>40</v>
      </c>
      <c r="O291" s="4">
        <v>0</v>
      </c>
      <c r="P291" s="4" t="s">
        <v>288</v>
      </c>
      <c r="Q291" s="4" t="s">
        <v>42</v>
      </c>
      <c r="R291" s="50" t="s">
        <v>43</v>
      </c>
      <c r="S291" s="50"/>
      <c r="T291" s="50">
        <v>0</v>
      </c>
      <c r="U291" s="4" t="s">
        <v>36</v>
      </c>
      <c r="V291" s="4"/>
    </row>
    <row r="292" spans="3:22" hidden="1" x14ac:dyDescent="0.25">
      <c r="C292" s="4" t="s">
        <v>291</v>
      </c>
      <c r="D292" s="4" t="s">
        <v>292</v>
      </c>
      <c r="E292" s="4" t="s">
        <v>292</v>
      </c>
      <c r="F292" s="4" t="s">
        <v>36</v>
      </c>
      <c r="G292" s="4" t="s">
        <v>37</v>
      </c>
      <c r="H292" s="4" t="str">
        <f>VLOOKUP(C292,[1]MAESTRA!$I$5:$J$399,2,0)</f>
        <v>okm-santaisabel@tiendas.oxxo.com</v>
      </c>
      <c r="I292" s="4" t="s">
        <v>38</v>
      </c>
      <c r="J292" s="4" t="s">
        <v>1030</v>
      </c>
      <c r="K292" s="4" t="s">
        <v>94</v>
      </c>
      <c r="L292" s="4"/>
      <c r="M292" s="4" t="s">
        <v>51</v>
      </c>
      <c r="N292" s="4" t="s">
        <v>40</v>
      </c>
      <c r="O292" s="4">
        <v>0</v>
      </c>
      <c r="P292" s="4" t="s">
        <v>291</v>
      </c>
      <c r="Q292" s="4" t="s">
        <v>42</v>
      </c>
      <c r="R292" s="50" t="s">
        <v>43</v>
      </c>
      <c r="S292" s="50"/>
      <c r="T292" s="50">
        <v>0</v>
      </c>
      <c r="U292" s="4" t="s">
        <v>36</v>
      </c>
      <c r="V292" s="4"/>
    </row>
    <row r="293" spans="3:22" hidden="1" x14ac:dyDescent="0.25">
      <c r="C293" s="4" t="s">
        <v>293</v>
      </c>
      <c r="D293" s="4" t="s">
        <v>294</v>
      </c>
      <c r="E293" s="4" t="s">
        <v>294</v>
      </c>
      <c r="F293" s="4" t="s">
        <v>36</v>
      </c>
      <c r="G293" s="4" t="s">
        <v>37</v>
      </c>
      <c r="H293" s="4" t="str">
        <f>VLOOKUP(C293,[1]MAESTRA!$I$5:$J$399,2,0)</f>
        <v>okm-stripossa@tiendas.oxxo.com</v>
      </c>
      <c r="I293" s="4" t="s">
        <v>38</v>
      </c>
      <c r="J293" s="4" t="s">
        <v>1030</v>
      </c>
      <c r="K293" s="4" t="s">
        <v>73</v>
      </c>
      <c r="L293" s="4"/>
      <c r="M293" s="4" t="s">
        <v>64</v>
      </c>
      <c r="N293" s="4" t="s">
        <v>40</v>
      </c>
      <c r="O293" s="4">
        <v>0</v>
      </c>
      <c r="P293" s="4" t="s">
        <v>293</v>
      </c>
      <c r="Q293" s="4" t="s">
        <v>42</v>
      </c>
      <c r="R293" s="50" t="s">
        <v>43</v>
      </c>
      <c r="S293" s="50"/>
      <c r="T293" s="50">
        <v>0</v>
      </c>
      <c r="U293" s="4" t="s">
        <v>36</v>
      </c>
      <c r="V293" s="4"/>
    </row>
    <row r="294" spans="3:22" hidden="1" x14ac:dyDescent="0.25">
      <c r="C294" s="4" t="s">
        <v>295</v>
      </c>
      <c r="D294" s="4" t="s">
        <v>296</v>
      </c>
      <c r="E294" s="4" t="s">
        <v>297</v>
      </c>
      <c r="F294" s="4" t="s">
        <v>36</v>
      </c>
      <c r="G294" s="4" t="s">
        <v>37</v>
      </c>
      <c r="H294" s="4" t="str">
        <f>VLOOKUP(C294,[1]MAESTRA!$I$5:$J$399,2,0)</f>
        <v>cl-sucre@tiendas.oxxo.com</v>
      </c>
      <c r="I294" s="4" t="s">
        <v>38</v>
      </c>
      <c r="J294" s="4" t="s">
        <v>1030</v>
      </c>
      <c r="K294" s="4" t="s">
        <v>94</v>
      </c>
      <c r="L294" s="4"/>
      <c r="M294" s="4" t="s">
        <v>64</v>
      </c>
      <c r="N294" s="4" t="s">
        <v>40</v>
      </c>
      <c r="O294" s="4">
        <v>0</v>
      </c>
      <c r="P294" s="4" t="s">
        <v>295</v>
      </c>
      <c r="Q294" s="4" t="s">
        <v>42</v>
      </c>
      <c r="R294" s="50" t="s">
        <v>43</v>
      </c>
      <c r="S294" s="50"/>
      <c r="T294" s="50">
        <v>0</v>
      </c>
      <c r="U294" s="4" t="s">
        <v>36</v>
      </c>
      <c r="V294" s="4"/>
    </row>
    <row r="295" spans="3:22" hidden="1" x14ac:dyDescent="0.25">
      <c r="C295" s="4" t="s">
        <v>298</v>
      </c>
      <c r="D295" s="4" t="s">
        <v>299</v>
      </c>
      <c r="E295" s="4" t="s">
        <v>300</v>
      </c>
      <c r="F295" s="4" t="s">
        <v>36</v>
      </c>
      <c r="G295" s="4" t="s">
        <v>37</v>
      </c>
      <c r="H295" s="4" t="str">
        <f>VLOOKUP(C295,[1]MAESTRA!$I$5:$J$399,2,0)</f>
        <v>cl-teatinos@tiendas.oxxo.com</v>
      </c>
      <c r="I295" s="4" t="s">
        <v>38</v>
      </c>
      <c r="J295" s="4" t="s">
        <v>1030</v>
      </c>
      <c r="K295" s="4" t="s">
        <v>58</v>
      </c>
      <c r="L295" s="4"/>
      <c r="M295" s="4" t="s">
        <v>59</v>
      </c>
      <c r="N295" s="4" t="s">
        <v>40</v>
      </c>
      <c r="O295" s="4">
        <v>0</v>
      </c>
      <c r="P295" s="4" t="s">
        <v>298</v>
      </c>
      <c r="Q295" s="4" t="s">
        <v>42</v>
      </c>
      <c r="R295" s="50" t="s">
        <v>43</v>
      </c>
      <c r="S295" s="50"/>
      <c r="T295" s="50">
        <v>0</v>
      </c>
      <c r="U295" s="4" t="s">
        <v>36</v>
      </c>
      <c r="V295" s="4"/>
    </row>
    <row r="296" spans="3:22" hidden="1" x14ac:dyDescent="0.25">
      <c r="C296" s="4" t="s">
        <v>794</v>
      </c>
      <c r="D296" s="4" t="s">
        <v>795</v>
      </c>
      <c r="E296" s="4" t="s">
        <v>795</v>
      </c>
      <c r="F296" s="4">
        <v>0</v>
      </c>
      <c r="G296" s="4" t="s">
        <v>37</v>
      </c>
      <c r="H296" s="4" t="str">
        <f>VLOOKUP(C296,[1]MAESTRA!$I$5:$J$399,2,0)</f>
        <v>okm-inmaculadacl@tiendas.oxxo.com</v>
      </c>
      <c r="I296" s="4" t="s">
        <v>46</v>
      </c>
      <c r="J296" s="4" t="s">
        <v>1031</v>
      </c>
      <c r="K296" s="4" t="s">
        <v>89</v>
      </c>
      <c r="L296" s="4"/>
      <c r="M296" s="4" t="s">
        <v>109</v>
      </c>
      <c r="N296" s="4" t="s">
        <v>91</v>
      </c>
      <c r="O296" s="4" t="s">
        <v>378</v>
      </c>
      <c r="P296" s="4" t="s">
        <v>794</v>
      </c>
      <c r="Q296" s="4" t="s">
        <v>42</v>
      </c>
      <c r="R296" s="50" t="s">
        <v>43</v>
      </c>
      <c r="S296" s="50"/>
      <c r="T296" s="50" t="s">
        <v>772</v>
      </c>
      <c r="U296" s="4" t="s">
        <v>36</v>
      </c>
      <c r="V296" s="4"/>
    </row>
    <row r="297" spans="3:22" hidden="1" x14ac:dyDescent="0.25">
      <c r="C297" s="4" t="s">
        <v>620</v>
      </c>
      <c r="D297" s="4" t="s">
        <v>622</v>
      </c>
      <c r="E297" s="4" t="s">
        <v>622</v>
      </c>
      <c r="F297" s="4">
        <v>5.04</v>
      </c>
      <c r="G297" s="4" t="s">
        <v>376</v>
      </c>
      <c r="H297" s="4" t="str">
        <f>VLOOKUP(C297,[1]MAESTRA!$I$5:$J$399,2,0)</f>
        <v>cl-metromatta@tiendas.oxxo.com</v>
      </c>
      <c r="I297" s="4" t="s">
        <v>46</v>
      </c>
      <c r="J297" s="4" t="s">
        <v>1030</v>
      </c>
      <c r="K297" s="4" t="s">
        <v>50</v>
      </c>
      <c r="L297" s="4" t="s">
        <v>43</v>
      </c>
      <c r="M297" s="4" t="s">
        <v>59</v>
      </c>
      <c r="N297" s="4" t="s">
        <v>40</v>
      </c>
      <c r="O297" s="4" t="s">
        <v>514</v>
      </c>
      <c r="P297" s="4" t="s">
        <v>620</v>
      </c>
      <c r="Q297" s="4" t="s">
        <v>42</v>
      </c>
      <c r="R297" s="50" t="s">
        <v>43</v>
      </c>
      <c r="S297" s="50"/>
      <c r="T297" s="50" t="s">
        <v>597</v>
      </c>
      <c r="U297" s="4" t="s">
        <v>43</v>
      </c>
      <c r="V297" s="4" t="s">
        <v>32</v>
      </c>
    </row>
    <row r="298" spans="3:22" hidden="1" x14ac:dyDescent="0.25">
      <c r="C298" s="4" t="s">
        <v>733</v>
      </c>
      <c r="D298" s="4" t="s">
        <v>734</v>
      </c>
      <c r="E298" s="4" t="s">
        <v>735</v>
      </c>
      <c r="F298" s="4">
        <v>6</v>
      </c>
      <c r="G298" s="4" t="s">
        <v>376</v>
      </c>
      <c r="H298" s="4" t="str">
        <f>VLOOKUP(C298,[1]MAESTRA!$I$5:$J$399,2,0)</f>
        <v>cl-unabvina@tiendas.oxxo.com</v>
      </c>
      <c r="I298" s="4" t="s">
        <v>46</v>
      </c>
      <c r="J298" s="4" t="s">
        <v>1031</v>
      </c>
      <c r="K298" s="4" t="s">
        <v>84</v>
      </c>
      <c r="L298" s="4" t="s">
        <v>440</v>
      </c>
      <c r="M298" s="4" t="s">
        <v>54</v>
      </c>
      <c r="N298" s="4" t="s">
        <v>55</v>
      </c>
      <c r="O298" s="4" t="s">
        <v>378</v>
      </c>
      <c r="P298" s="4" t="s">
        <v>733</v>
      </c>
      <c r="Q298" s="4" t="s">
        <v>42</v>
      </c>
      <c r="R298" s="50" t="s">
        <v>43</v>
      </c>
      <c r="S298" s="50"/>
      <c r="T298" s="50" t="s">
        <v>702</v>
      </c>
      <c r="U298" s="4" t="s">
        <v>43</v>
      </c>
      <c r="V298" s="4"/>
    </row>
    <row r="299" spans="3:22" hidden="1" x14ac:dyDescent="0.25">
      <c r="C299" s="4" t="s">
        <v>301</v>
      </c>
      <c r="D299" s="4" t="s">
        <v>302</v>
      </c>
      <c r="E299" s="4" t="s">
        <v>303</v>
      </c>
      <c r="F299" s="4" t="s">
        <v>36</v>
      </c>
      <c r="G299" s="4" t="s">
        <v>37</v>
      </c>
      <c r="H299" s="4" t="str">
        <f>VLOOKUP(C299,[1]MAESTRA!$I$5:$J$399,2,0)</f>
        <v>cl-vicunamackenna@tiendas.oxxo.com</v>
      </c>
      <c r="I299" s="4" t="s">
        <v>38</v>
      </c>
      <c r="J299" s="4" t="s">
        <v>1030</v>
      </c>
      <c r="K299" s="4" t="s">
        <v>132</v>
      </c>
      <c r="L299" s="4"/>
      <c r="M299" s="4" t="s">
        <v>133</v>
      </c>
      <c r="N299" s="4" t="s">
        <v>40</v>
      </c>
      <c r="O299" s="4">
        <v>0</v>
      </c>
      <c r="P299" s="4" t="s">
        <v>301</v>
      </c>
      <c r="Q299" s="4" t="s">
        <v>42</v>
      </c>
      <c r="R299" s="50" t="s">
        <v>43</v>
      </c>
      <c r="S299" s="50"/>
      <c r="T299" s="50">
        <v>0</v>
      </c>
      <c r="U299" s="4" t="s">
        <v>36</v>
      </c>
      <c r="V299" s="4"/>
    </row>
    <row r="300" spans="3:22" hidden="1" x14ac:dyDescent="0.25">
      <c r="C300" s="4" t="s">
        <v>505</v>
      </c>
      <c r="D300" s="4" t="s">
        <v>506</v>
      </c>
      <c r="E300" s="4" t="s">
        <v>506</v>
      </c>
      <c r="F300" s="4">
        <v>5</v>
      </c>
      <c r="G300" s="4" t="s">
        <v>376</v>
      </c>
      <c r="H300" s="4" t="str">
        <f>VLOOKUP(C300,[1]MAESTRA!$I$5:$J$399,2,0)</f>
        <v>cl-antoniobellet@tiendas.oxxo.com</v>
      </c>
      <c r="I300" s="4" t="s">
        <v>46</v>
      </c>
      <c r="J300" s="4" t="s">
        <v>1030</v>
      </c>
      <c r="K300" s="4" t="s">
        <v>466</v>
      </c>
      <c r="L300" s="4" t="s">
        <v>43</v>
      </c>
      <c r="M300" s="4" t="s">
        <v>51</v>
      </c>
      <c r="N300" s="4" t="s">
        <v>40</v>
      </c>
      <c r="O300" s="4" t="s">
        <v>1035</v>
      </c>
      <c r="P300" s="4" t="s">
        <v>505</v>
      </c>
      <c r="Q300" s="4" t="s">
        <v>42</v>
      </c>
      <c r="R300" s="50" t="s">
        <v>43</v>
      </c>
      <c r="S300" s="50"/>
      <c r="T300" s="50" t="s">
        <v>467</v>
      </c>
      <c r="U300" s="4" t="s">
        <v>43</v>
      </c>
      <c r="V300" s="4"/>
    </row>
    <row r="301" spans="3:22" hidden="1" x14ac:dyDescent="0.25">
      <c r="C301" s="4" t="s">
        <v>304</v>
      </c>
      <c r="D301" s="4" t="s">
        <v>305</v>
      </c>
      <c r="E301" s="4" t="s">
        <v>305</v>
      </c>
      <c r="F301" s="4" t="s">
        <v>36</v>
      </c>
      <c r="G301" s="4" t="s">
        <v>37</v>
      </c>
      <c r="H301" s="4" t="str">
        <f>VLOOKUP(C301,[1]MAESTRA!$I$5:$J$399,2,0)</f>
        <v>cl-pedrodevaldivia6@tiendas.oxxo.com</v>
      </c>
      <c r="I301" s="4" t="s">
        <v>81</v>
      </c>
      <c r="J301" s="4" t="s">
        <v>1030</v>
      </c>
      <c r="K301" s="4" t="s">
        <v>132</v>
      </c>
      <c r="L301" s="4"/>
      <c r="M301" s="4" t="s">
        <v>51</v>
      </c>
      <c r="N301" s="4" t="s">
        <v>40</v>
      </c>
      <c r="O301" s="4">
        <v>0</v>
      </c>
      <c r="P301" s="4" t="s">
        <v>304</v>
      </c>
      <c r="Q301" s="4" t="s">
        <v>42</v>
      </c>
      <c r="R301" s="50" t="s">
        <v>43</v>
      </c>
      <c r="S301" s="50"/>
      <c r="T301" s="50">
        <v>0</v>
      </c>
      <c r="U301" s="4" t="s">
        <v>36</v>
      </c>
      <c r="V301" s="4"/>
    </row>
    <row r="302" spans="3:22" hidden="1" x14ac:dyDescent="0.25">
      <c r="C302" s="4" t="s">
        <v>306</v>
      </c>
      <c r="D302" s="4" t="s">
        <v>307</v>
      </c>
      <c r="E302" s="4" t="s">
        <v>307</v>
      </c>
      <c r="F302" s="4" t="s">
        <v>36</v>
      </c>
      <c r="G302" s="4" t="s">
        <v>37</v>
      </c>
      <c r="H302" s="4" t="str">
        <f>VLOOKUP(C302,[1]MAESTRA!$I$5:$J$399,2,0)</f>
        <v>cl-plazaasis@tiendas.oxxo.com</v>
      </c>
      <c r="I302" s="4" t="s">
        <v>46</v>
      </c>
      <c r="J302" s="4" t="s">
        <v>1030</v>
      </c>
      <c r="K302" s="4">
        <v>0</v>
      </c>
      <c r="L302" s="4"/>
      <c r="M302" s="4" t="s">
        <v>138</v>
      </c>
      <c r="N302" s="4" t="s">
        <v>40</v>
      </c>
      <c r="O302" s="4">
        <v>0</v>
      </c>
      <c r="P302" s="4" t="s">
        <v>306</v>
      </c>
      <c r="Q302" s="4" t="s">
        <v>42</v>
      </c>
      <c r="R302" s="50" t="s">
        <v>43</v>
      </c>
      <c r="S302" s="50"/>
      <c r="T302" s="50">
        <v>0</v>
      </c>
      <c r="U302" s="4" t="s">
        <v>36</v>
      </c>
      <c r="V302" s="4"/>
    </row>
    <row r="303" spans="3:22" hidden="1" x14ac:dyDescent="0.25">
      <c r="C303" s="4" t="s">
        <v>308</v>
      </c>
      <c r="D303" s="4" t="s">
        <v>309</v>
      </c>
      <c r="E303" s="4" t="s">
        <v>309</v>
      </c>
      <c r="F303" s="4" t="s">
        <v>36</v>
      </c>
      <c r="G303" s="4" t="s">
        <v>37</v>
      </c>
      <c r="H303" s="4" t="str">
        <f>VLOOKUP(C303,[1]MAESTRA!$I$5:$J$399,2,0)</f>
        <v>cl-condell@tiendas.oxxo.com</v>
      </c>
      <c r="I303" s="4" t="s">
        <v>46</v>
      </c>
      <c r="J303" s="4" t="s">
        <v>1030</v>
      </c>
      <c r="K303" s="4">
        <v>0</v>
      </c>
      <c r="L303" s="4"/>
      <c r="M303" s="4" t="s">
        <v>279</v>
      </c>
      <c r="N303" s="4" t="s">
        <v>55</v>
      </c>
      <c r="O303" s="4">
        <v>0</v>
      </c>
      <c r="P303" s="4" t="s">
        <v>308</v>
      </c>
      <c r="Q303" s="4" t="s">
        <v>42</v>
      </c>
      <c r="R303" s="50" t="s">
        <v>43</v>
      </c>
      <c r="S303" s="50"/>
      <c r="T303" s="50">
        <v>0</v>
      </c>
      <c r="U303" s="4" t="s">
        <v>36</v>
      </c>
      <c r="V303" s="4"/>
    </row>
    <row r="304" spans="3:22" hidden="1" x14ac:dyDescent="0.25">
      <c r="C304" s="4" t="s">
        <v>310</v>
      </c>
      <c r="D304" s="4" t="s">
        <v>311</v>
      </c>
      <c r="E304" s="4" t="s">
        <v>312</v>
      </c>
      <c r="F304" s="4" t="s">
        <v>36</v>
      </c>
      <c r="G304" s="4" t="s">
        <v>37</v>
      </c>
      <c r="H304" s="4" t="str">
        <f>VLOOKUP(C304,[1]MAESTRA!$I$5:$J$399,2,0)</f>
        <v>cl-pedrodevaldivia4@tiendas.oxxo.com</v>
      </c>
      <c r="I304" s="4" t="s">
        <v>81</v>
      </c>
      <c r="J304" s="4" t="s">
        <v>1030</v>
      </c>
      <c r="K304" s="4" t="s">
        <v>160</v>
      </c>
      <c r="L304" s="4"/>
      <c r="M304" s="4" t="s">
        <v>64</v>
      </c>
      <c r="N304" s="4" t="s">
        <v>40</v>
      </c>
      <c r="O304" s="4">
        <v>0</v>
      </c>
      <c r="P304" s="4" t="s">
        <v>310</v>
      </c>
      <c r="Q304" s="4" t="s">
        <v>42</v>
      </c>
      <c r="R304" s="50" t="s">
        <v>43</v>
      </c>
      <c r="S304" s="50"/>
      <c r="T304" s="50">
        <v>0</v>
      </c>
      <c r="U304" s="4" t="s">
        <v>36</v>
      </c>
      <c r="V304" s="4"/>
    </row>
    <row r="305" spans="3:22" hidden="1" x14ac:dyDescent="0.25">
      <c r="C305" s="4" t="s">
        <v>968</v>
      </c>
      <c r="D305" s="4" t="s">
        <v>969</v>
      </c>
      <c r="E305" s="4" t="s">
        <v>969</v>
      </c>
      <c r="F305" s="4">
        <v>5</v>
      </c>
      <c r="G305" s="4" t="s">
        <v>376</v>
      </c>
      <c r="H305" s="4" t="str">
        <f>VLOOKUP(C305,[1]MAESTRA!$I$5:$J$399,2,0)</f>
        <v>cl-pedrofontova@tiendas.oxxo.com</v>
      </c>
      <c r="I305" s="4" t="s">
        <v>46</v>
      </c>
      <c r="J305" s="4" t="s">
        <v>1030</v>
      </c>
      <c r="K305" s="4" t="s">
        <v>160</v>
      </c>
      <c r="L305" s="4" t="s">
        <v>43</v>
      </c>
      <c r="M305" s="4" t="s">
        <v>39</v>
      </c>
      <c r="N305" s="4" t="s">
        <v>40</v>
      </c>
      <c r="O305" s="4" t="s">
        <v>984</v>
      </c>
      <c r="P305" s="4" t="s">
        <v>968</v>
      </c>
      <c r="Q305" s="4" t="s">
        <v>42</v>
      </c>
      <c r="R305" s="50" t="s">
        <v>440</v>
      </c>
      <c r="S305" s="50"/>
      <c r="T305" s="50" t="s">
        <v>931</v>
      </c>
      <c r="U305" s="4" t="s">
        <v>43</v>
      </c>
      <c r="V305" s="4"/>
    </row>
    <row r="306" spans="3:22" hidden="1" x14ac:dyDescent="0.25">
      <c r="C306" s="4" t="s">
        <v>313</v>
      </c>
      <c r="D306" s="4" t="s">
        <v>314</v>
      </c>
      <c r="E306" s="4" t="s">
        <v>314</v>
      </c>
      <c r="F306" s="4" t="s">
        <v>36</v>
      </c>
      <c r="G306" s="4" t="s">
        <v>37</v>
      </c>
      <c r="H306" s="4" t="str">
        <f>VLOOKUP(C306,[1]MAESTRA!$I$5:$J$399,2,0)</f>
        <v>cl-monumentochacabuco@tiendas.oxxo.com</v>
      </c>
      <c r="I306" s="4" t="s">
        <v>81</v>
      </c>
      <c r="J306" s="4" t="s">
        <v>1030</v>
      </c>
      <c r="K306" s="4">
        <v>0</v>
      </c>
      <c r="L306" s="4"/>
      <c r="M306" s="4" t="s">
        <v>315</v>
      </c>
      <c r="N306" s="4" t="s">
        <v>40</v>
      </c>
      <c r="O306" s="4">
        <v>0</v>
      </c>
      <c r="P306" s="4" t="s">
        <v>313</v>
      </c>
      <c r="Q306" s="4" t="s">
        <v>42</v>
      </c>
      <c r="R306" s="50" t="s">
        <v>43</v>
      </c>
      <c r="S306" s="50"/>
      <c r="T306" s="50">
        <v>0</v>
      </c>
      <c r="U306" s="4" t="s">
        <v>36</v>
      </c>
      <c r="V306" s="4"/>
    </row>
    <row r="307" spans="3:22" hidden="1" x14ac:dyDescent="0.25">
      <c r="C307" s="4" t="s">
        <v>823</v>
      </c>
      <c r="D307" s="4" t="s">
        <v>824</v>
      </c>
      <c r="E307" s="4" t="s">
        <v>824</v>
      </c>
      <c r="F307" s="4">
        <v>5</v>
      </c>
      <c r="G307" s="4" t="s">
        <v>376</v>
      </c>
      <c r="H307" s="4" t="str">
        <f>VLOOKUP(C307,[1]MAESTRA!$I$5:$J$399,2,0)</f>
        <v>cl-agustinasanmartin@tiendas.oxxo.com</v>
      </c>
      <c r="I307" s="4" t="s">
        <v>46</v>
      </c>
      <c r="J307" s="4" t="s">
        <v>1030</v>
      </c>
      <c r="K307" s="4" t="s">
        <v>146</v>
      </c>
      <c r="L307" s="4" t="s">
        <v>43</v>
      </c>
      <c r="M307" s="4" t="s">
        <v>59</v>
      </c>
      <c r="N307" s="4" t="s">
        <v>40</v>
      </c>
      <c r="O307" s="4" t="s">
        <v>1035</v>
      </c>
      <c r="P307" s="4" t="s">
        <v>823</v>
      </c>
      <c r="Q307" s="4" t="s">
        <v>42</v>
      </c>
      <c r="R307" s="50" t="s">
        <v>43</v>
      </c>
      <c r="S307" s="50"/>
      <c r="T307" s="50" t="s">
        <v>799</v>
      </c>
      <c r="U307" s="4" t="s">
        <v>43</v>
      </c>
      <c r="V307" s="4"/>
    </row>
    <row r="308" spans="3:22" hidden="1" x14ac:dyDescent="0.25">
      <c r="C308" s="4" t="s">
        <v>316</v>
      </c>
      <c r="D308" s="4" t="s">
        <v>317</v>
      </c>
      <c r="E308" s="4" t="s">
        <v>318</v>
      </c>
      <c r="F308" s="4" t="s">
        <v>36</v>
      </c>
      <c r="G308" s="4" t="s">
        <v>37</v>
      </c>
      <c r="H308" s="4" t="str">
        <f>VLOOKUP(C308,[1]MAESTRA!$I$5:$J$399,2,0)</f>
        <v>cl-nataniel1@tiendas.oxxo.com</v>
      </c>
      <c r="I308" s="4" t="s">
        <v>81</v>
      </c>
      <c r="J308" s="4" t="s">
        <v>1030</v>
      </c>
      <c r="K308" s="4" t="s">
        <v>67</v>
      </c>
      <c r="L308" s="4"/>
      <c r="M308" s="4" t="s">
        <v>59</v>
      </c>
      <c r="N308" s="4" t="s">
        <v>40</v>
      </c>
      <c r="O308" s="4">
        <v>0</v>
      </c>
      <c r="P308" s="4" t="s">
        <v>316</v>
      </c>
      <c r="Q308" s="4" t="s">
        <v>42</v>
      </c>
      <c r="R308" s="50" t="s">
        <v>43</v>
      </c>
      <c r="S308" s="50"/>
      <c r="T308" s="50">
        <v>0</v>
      </c>
      <c r="U308" s="4" t="s">
        <v>36</v>
      </c>
      <c r="V308" s="4"/>
    </row>
    <row r="309" spans="3:22" hidden="1" x14ac:dyDescent="0.25">
      <c r="C309" s="4" t="s">
        <v>319</v>
      </c>
      <c r="D309" s="4" t="s">
        <v>320</v>
      </c>
      <c r="E309" s="4" t="s">
        <v>320</v>
      </c>
      <c r="F309" s="4" t="s">
        <v>36</v>
      </c>
      <c r="G309" s="4" t="s">
        <v>37</v>
      </c>
      <c r="H309" s="4" t="str">
        <f>VLOOKUP(C309,[1]MAESTRA!$I$5:$J$399,2,0)</f>
        <v>cl-plazachacabuco@tiendas.oxxo.com</v>
      </c>
      <c r="I309" s="4" t="s">
        <v>46</v>
      </c>
      <c r="J309" s="4" t="s">
        <v>1030</v>
      </c>
      <c r="K309" s="4">
        <v>0</v>
      </c>
      <c r="L309" s="4"/>
      <c r="M309" s="4" t="s">
        <v>97</v>
      </c>
      <c r="N309" s="4" t="s">
        <v>40</v>
      </c>
      <c r="O309" s="4">
        <v>0</v>
      </c>
      <c r="P309" s="4" t="s">
        <v>319</v>
      </c>
      <c r="Q309" s="4" t="s">
        <v>42</v>
      </c>
      <c r="R309" s="50" t="s">
        <v>43</v>
      </c>
      <c r="S309" s="50"/>
      <c r="T309" s="50">
        <v>0</v>
      </c>
      <c r="U309" s="4" t="s">
        <v>36</v>
      </c>
      <c r="V309" s="4"/>
    </row>
    <row r="310" spans="3:22" hidden="1" x14ac:dyDescent="0.25">
      <c r="C310" s="4" t="s">
        <v>321</v>
      </c>
      <c r="D310" s="4" t="s">
        <v>322</v>
      </c>
      <c r="E310" s="4" t="s">
        <v>322</v>
      </c>
      <c r="F310" s="4" t="s">
        <v>36</v>
      </c>
      <c r="G310" s="4" t="s">
        <v>37</v>
      </c>
      <c r="H310" s="4" t="str">
        <f>VLOOKUP(C310,[1]MAESTRA!$I$5:$J$399,2,0)</f>
        <v>cl-plazainesdesuarez@tiendas.oxxo.com</v>
      </c>
      <c r="I310" s="4" t="s">
        <v>81</v>
      </c>
      <c r="J310" s="4" t="s">
        <v>1030</v>
      </c>
      <c r="K310" s="4" t="s">
        <v>50</v>
      </c>
      <c r="L310" s="4"/>
      <c r="M310" s="4" t="s">
        <v>51</v>
      </c>
      <c r="N310" s="4" t="s">
        <v>40</v>
      </c>
      <c r="O310" s="4">
        <v>0</v>
      </c>
      <c r="P310" s="4" t="s">
        <v>321</v>
      </c>
      <c r="Q310" s="4" t="s">
        <v>42</v>
      </c>
      <c r="R310" s="50" t="s">
        <v>43</v>
      </c>
      <c r="S310" s="50"/>
      <c r="T310" s="50">
        <v>0</v>
      </c>
      <c r="U310" s="4" t="s">
        <v>36</v>
      </c>
      <c r="V310" s="4"/>
    </row>
    <row r="311" spans="3:22" hidden="1" x14ac:dyDescent="0.25">
      <c r="C311" s="4" t="s">
        <v>457</v>
      </c>
      <c r="D311" s="4" t="s">
        <v>458</v>
      </c>
      <c r="E311" s="4" t="s">
        <v>458</v>
      </c>
      <c r="F311" s="4">
        <v>5</v>
      </c>
      <c r="G311" s="4" t="s">
        <v>376</v>
      </c>
      <c r="H311" s="4" t="str">
        <f>VLOOKUP(C311,[1]MAESTRA!$I$5:$J$399,2,0)</f>
        <v>cl-mallplazaegana2@tiendas.oxxo.com</v>
      </c>
      <c r="I311" s="4" t="s">
        <v>81</v>
      </c>
      <c r="J311" s="4" t="s">
        <v>1030</v>
      </c>
      <c r="K311" s="4" t="s">
        <v>94</v>
      </c>
      <c r="L311" s="4" t="s">
        <v>43</v>
      </c>
      <c r="M311" s="4" t="s">
        <v>205</v>
      </c>
      <c r="N311" s="4" t="s">
        <v>40</v>
      </c>
      <c r="O311" s="4" t="s">
        <v>1035</v>
      </c>
      <c r="P311" s="4" t="s">
        <v>457</v>
      </c>
      <c r="Q311" s="4" t="s">
        <v>42</v>
      </c>
      <c r="R311" s="50" t="s">
        <v>43</v>
      </c>
      <c r="S311" s="50"/>
      <c r="T311" s="50" t="s">
        <v>423</v>
      </c>
      <c r="U311" s="4" t="s">
        <v>440</v>
      </c>
      <c r="V311" s="4"/>
    </row>
    <row r="312" spans="3:22" hidden="1" x14ac:dyDescent="0.25">
      <c r="C312" s="4" t="s">
        <v>323</v>
      </c>
      <c r="D312" s="4" t="s">
        <v>324</v>
      </c>
      <c r="E312" s="4" t="s">
        <v>324</v>
      </c>
      <c r="F312" s="4" t="s">
        <v>36</v>
      </c>
      <c r="G312" s="4" t="s">
        <v>37</v>
      </c>
      <c r="H312" s="4" t="str">
        <f>VLOOKUP(C312,[1]MAESTRA!$I$5:$J$399,2,0)</f>
        <v>cl-rosariosur@tiendas.oxxo.com</v>
      </c>
      <c r="I312" s="4" t="s">
        <v>46</v>
      </c>
      <c r="J312" s="4" t="s">
        <v>1030</v>
      </c>
      <c r="K312" s="4" t="s">
        <v>58</v>
      </c>
      <c r="L312" s="4"/>
      <c r="M312" s="4" t="s">
        <v>138</v>
      </c>
      <c r="N312" s="4" t="s">
        <v>40</v>
      </c>
      <c r="O312" s="4">
        <v>0</v>
      </c>
      <c r="P312" s="4" t="s">
        <v>323</v>
      </c>
      <c r="Q312" s="4" t="s">
        <v>42</v>
      </c>
      <c r="R312" s="50" t="s">
        <v>43</v>
      </c>
      <c r="S312" s="50"/>
      <c r="T312" s="50">
        <v>0</v>
      </c>
      <c r="U312" s="4" t="s">
        <v>36</v>
      </c>
      <c r="V312" s="4"/>
    </row>
    <row r="313" spans="3:22" hidden="1" x14ac:dyDescent="0.25">
      <c r="C313" s="4" t="s">
        <v>325</v>
      </c>
      <c r="D313" s="4" t="s">
        <v>326</v>
      </c>
      <c r="E313" s="4" t="s">
        <v>326</v>
      </c>
      <c r="F313" s="4" t="s">
        <v>36</v>
      </c>
      <c r="G313" s="4" t="s">
        <v>37</v>
      </c>
      <c r="H313" s="4" t="str">
        <f>VLOOKUP(C313,[1]MAESTRA!$I$5:$J$399,2,0)</f>
        <v>cl-eleuterionataniel@tiendas.oxxo.com</v>
      </c>
      <c r="I313" s="4" t="s">
        <v>46</v>
      </c>
      <c r="J313" s="4" t="s">
        <v>1030</v>
      </c>
      <c r="K313" s="4" t="s">
        <v>67</v>
      </c>
      <c r="L313" s="4"/>
      <c r="M313" s="4" t="s">
        <v>59</v>
      </c>
      <c r="N313" s="4" t="s">
        <v>40</v>
      </c>
      <c r="O313" s="4">
        <v>0</v>
      </c>
      <c r="P313" s="4" t="s">
        <v>325</v>
      </c>
      <c r="Q313" s="4" t="s">
        <v>42</v>
      </c>
      <c r="R313" s="50" t="s">
        <v>43</v>
      </c>
      <c r="S313" s="50"/>
      <c r="T313" s="50">
        <v>0</v>
      </c>
      <c r="U313" s="4" t="s">
        <v>36</v>
      </c>
      <c r="V313" s="4"/>
    </row>
    <row r="314" spans="3:22" hidden="1" x14ac:dyDescent="0.25">
      <c r="C314" s="4" t="s">
        <v>459</v>
      </c>
      <c r="D314" s="4" t="s">
        <v>460</v>
      </c>
      <c r="E314" s="4" t="s">
        <v>460</v>
      </c>
      <c r="F314" s="4">
        <v>5</v>
      </c>
      <c r="G314" s="4" t="s">
        <v>376</v>
      </c>
      <c r="H314" s="4" t="str">
        <f>VLOOKUP(C314,[1]MAESTRA!$I$5:$J$399,2,0)</f>
        <v>cl-pedrodevaldivia2@tiendas.oxxo.com</v>
      </c>
      <c r="I314" s="4" t="s">
        <v>46</v>
      </c>
      <c r="J314" s="4" t="s">
        <v>1030</v>
      </c>
      <c r="K314" s="4" t="s">
        <v>94</v>
      </c>
      <c r="L314" s="4" t="s">
        <v>43</v>
      </c>
      <c r="M314" s="4" t="s">
        <v>64</v>
      </c>
      <c r="N314" s="4" t="s">
        <v>40</v>
      </c>
      <c r="O314" s="4" t="s">
        <v>1035</v>
      </c>
      <c r="P314" s="4" t="s">
        <v>459</v>
      </c>
      <c r="Q314" s="4" t="s">
        <v>42</v>
      </c>
      <c r="R314" s="50" t="s">
        <v>43</v>
      </c>
      <c r="S314" s="50"/>
      <c r="T314" s="50" t="s">
        <v>423</v>
      </c>
      <c r="U314" s="4" t="s">
        <v>43</v>
      </c>
      <c r="V314" s="4"/>
    </row>
    <row r="315" spans="3:22" hidden="1" x14ac:dyDescent="0.25">
      <c r="C315" s="4" t="s">
        <v>919</v>
      </c>
      <c r="D315" s="4" t="s">
        <v>920</v>
      </c>
      <c r="E315" s="4" t="s">
        <v>920</v>
      </c>
      <c r="F315" s="4">
        <v>5</v>
      </c>
      <c r="G315" s="4" t="s">
        <v>376</v>
      </c>
      <c r="H315" s="4" t="str">
        <f>VLOOKUP(C315,[1]MAESTRA!$I$5:$J$399,2,0)</f>
        <v>cl-outletpatiomaipu@tiendas.oxxo.com</v>
      </c>
      <c r="I315" s="4" t="s">
        <v>81</v>
      </c>
      <c r="J315" s="4" t="s">
        <v>1030</v>
      </c>
      <c r="K315" s="4" t="s">
        <v>73</v>
      </c>
      <c r="L315" s="4" t="s">
        <v>43</v>
      </c>
      <c r="M315" s="4" t="s">
        <v>315</v>
      </c>
      <c r="N315" s="4" t="s">
        <v>40</v>
      </c>
      <c r="O315" s="4" t="s">
        <v>514</v>
      </c>
      <c r="P315" s="4" t="s">
        <v>919</v>
      </c>
      <c r="Q315" s="4" t="s">
        <v>42</v>
      </c>
      <c r="R315" s="50" t="s">
        <v>43</v>
      </c>
      <c r="S315" s="50"/>
      <c r="T315" s="50" t="s">
        <v>886</v>
      </c>
      <c r="U315" s="4" t="s">
        <v>43</v>
      </c>
      <c r="V315" s="4"/>
    </row>
    <row r="316" spans="3:22" hidden="1" x14ac:dyDescent="0.25">
      <c r="C316" s="4" t="s">
        <v>610</v>
      </c>
      <c r="D316" s="4" t="s">
        <v>611</v>
      </c>
      <c r="E316" s="4" t="s">
        <v>611</v>
      </c>
      <c r="F316" s="4">
        <v>5</v>
      </c>
      <c r="G316" s="4" t="s">
        <v>376</v>
      </c>
      <c r="H316" s="4" t="str">
        <f>VLOOKUP(C316,[1]MAESTRA!$I$5:$J$399,2,0)</f>
        <v>cl-metromoneda@tiendas.oxxo.com</v>
      </c>
      <c r="I316" s="4" t="s">
        <v>81</v>
      </c>
      <c r="J316" s="4" t="s">
        <v>1030</v>
      </c>
      <c r="K316" s="4" t="s">
        <v>50</v>
      </c>
      <c r="L316" s="4" t="s">
        <v>43</v>
      </c>
      <c r="M316" s="4" t="s">
        <v>59</v>
      </c>
      <c r="N316" s="4" t="s">
        <v>40</v>
      </c>
      <c r="O316" s="4" t="s">
        <v>514</v>
      </c>
      <c r="P316" s="4" t="s">
        <v>610</v>
      </c>
      <c r="Q316" s="4" t="s">
        <v>42</v>
      </c>
      <c r="R316" s="50" t="s">
        <v>43</v>
      </c>
      <c r="S316" s="50"/>
      <c r="T316" s="50" t="s">
        <v>597</v>
      </c>
      <c r="U316" s="4" t="s">
        <v>43</v>
      </c>
      <c r="V316" s="4"/>
    </row>
    <row r="317" spans="3:22" hidden="1" x14ac:dyDescent="0.25">
      <c r="C317" s="4" t="s">
        <v>461</v>
      </c>
      <c r="D317" s="4" t="s">
        <v>462</v>
      </c>
      <c r="E317" s="4" t="s">
        <v>462</v>
      </c>
      <c r="F317" s="4">
        <v>5</v>
      </c>
      <c r="G317" s="4" t="s">
        <v>376</v>
      </c>
      <c r="H317" s="4" t="str">
        <f>VLOOKUP(C317,[1]MAESTRA!$I$5:$J$399,2,0)</f>
        <v>cl-seminario@tiendas.oxxo.com</v>
      </c>
      <c r="I317" s="4" t="s">
        <v>46</v>
      </c>
      <c r="J317" s="4" t="s">
        <v>1030</v>
      </c>
      <c r="K317" s="4" t="s">
        <v>94</v>
      </c>
      <c r="L317" s="4" t="s">
        <v>43</v>
      </c>
      <c r="M317" s="4" t="s">
        <v>64</v>
      </c>
      <c r="N317" s="4" t="s">
        <v>40</v>
      </c>
      <c r="O317" s="4" t="s">
        <v>1035</v>
      </c>
      <c r="P317" s="4" t="s">
        <v>461</v>
      </c>
      <c r="Q317" s="4" t="s">
        <v>42</v>
      </c>
      <c r="R317" s="50" t="s">
        <v>440</v>
      </c>
      <c r="S317" s="50"/>
      <c r="T317" s="50" t="s">
        <v>423</v>
      </c>
      <c r="U317" s="4" t="s">
        <v>43</v>
      </c>
      <c r="V317" s="4"/>
    </row>
    <row r="318" spans="3:22" hidden="1" x14ac:dyDescent="0.25">
      <c r="C318" s="4" t="s">
        <v>639</v>
      </c>
      <c r="D318" s="4" t="s">
        <v>640</v>
      </c>
      <c r="E318" s="4" t="s">
        <v>641</v>
      </c>
      <c r="F318" s="4">
        <v>5</v>
      </c>
      <c r="G318" s="4" t="s">
        <v>376</v>
      </c>
      <c r="H318" s="4" t="str">
        <f>VLOOKUP(C318,[1]MAESTRA!$I$5:$J$399,2,0)</f>
        <v>cl-metroplazaegana@tiendas.oxxo.com</v>
      </c>
      <c r="I318" s="4" t="s">
        <v>81</v>
      </c>
      <c r="J318" s="4" t="s">
        <v>1030</v>
      </c>
      <c r="K318" s="4" t="s">
        <v>50</v>
      </c>
      <c r="L318" s="4" t="s">
        <v>43</v>
      </c>
      <c r="M318" s="4" t="s">
        <v>64</v>
      </c>
      <c r="N318" s="4" t="s">
        <v>40</v>
      </c>
      <c r="O318" s="4" t="s">
        <v>514</v>
      </c>
      <c r="P318" s="4" t="s">
        <v>639</v>
      </c>
      <c r="Q318" s="4" t="s">
        <v>42</v>
      </c>
      <c r="R318" s="50" t="s">
        <v>43</v>
      </c>
      <c r="S318" s="50"/>
      <c r="T318" s="50" t="s">
        <v>597</v>
      </c>
      <c r="U318" s="4" t="s">
        <v>440</v>
      </c>
      <c r="V318" s="4"/>
    </row>
    <row r="319" spans="3:22" hidden="1" x14ac:dyDescent="0.25">
      <c r="C319" s="4" t="s">
        <v>327</v>
      </c>
      <c r="D319" s="4" t="s">
        <v>328</v>
      </c>
      <c r="E319" s="4" t="s">
        <v>328</v>
      </c>
      <c r="F319" s="4" t="s">
        <v>36</v>
      </c>
      <c r="G319" s="4" t="s">
        <v>37</v>
      </c>
      <c r="H319" s="4" t="str">
        <f>VLOOKUP(C319,[1]MAESTRA!$I$5:$J$399,2,0)</f>
        <v>cl-augustagerona@tiendas.oxxo.com</v>
      </c>
      <c r="I319" s="4" t="s">
        <v>81</v>
      </c>
      <c r="J319" s="4" t="s">
        <v>1030</v>
      </c>
      <c r="K319" s="4" t="s">
        <v>63</v>
      </c>
      <c r="L319" s="4"/>
      <c r="M319" s="4" t="s">
        <v>138</v>
      </c>
      <c r="N319" s="4" t="s">
        <v>40</v>
      </c>
      <c r="O319" s="4">
        <v>0</v>
      </c>
      <c r="P319" s="4" t="s">
        <v>327</v>
      </c>
      <c r="Q319" s="4" t="s">
        <v>42</v>
      </c>
      <c r="R319" s="50" t="s">
        <v>43</v>
      </c>
      <c r="S319" s="50"/>
      <c r="T319" s="50">
        <v>0</v>
      </c>
      <c r="U319" s="4" t="s">
        <v>36</v>
      </c>
      <c r="V319" s="4"/>
    </row>
    <row r="320" spans="3:22" hidden="1" x14ac:dyDescent="0.25">
      <c r="C320" s="4" t="s">
        <v>329</v>
      </c>
      <c r="D320" s="4" t="s">
        <v>330</v>
      </c>
      <c r="E320" s="4" t="s">
        <v>330</v>
      </c>
      <c r="F320" s="4" t="s">
        <v>36</v>
      </c>
      <c r="G320" s="4" t="s">
        <v>37</v>
      </c>
      <c r="H320" s="4" t="str">
        <f>VLOOKUP(C320,[1]MAESTRA!$I$5:$J$399,2,0)</f>
        <v>cl-nuevatajamar@tiendas.oxxo.com</v>
      </c>
      <c r="I320" s="4" t="s">
        <v>46</v>
      </c>
      <c r="J320" s="4" t="s">
        <v>1030</v>
      </c>
      <c r="K320" s="4" t="s">
        <v>331</v>
      </c>
      <c r="L320" s="4"/>
      <c r="M320" s="4" t="s">
        <v>138</v>
      </c>
      <c r="N320" s="4" t="s">
        <v>40</v>
      </c>
      <c r="O320" s="4">
        <v>0</v>
      </c>
      <c r="P320" s="4" t="s">
        <v>329</v>
      </c>
      <c r="Q320" s="4" t="s">
        <v>42</v>
      </c>
      <c r="R320" s="50" t="s">
        <v>43</v>
      </c>
      <c r="S320" s="50"/>
      <c r="T320" s="50">
        <v>0</v>
      </c>
      <c r="U320" s="4" t="s">
        <v>36</v>
      </c>
      <c r="V320" s="4"/>
    </row>
    <row r="321" spans="3:22" hidden="1" x14ac:dyDescent="0.25">
      <c r="C321" s="4" t="s">
        <v>332</v>
      </c>
      <c r="D321" s="4" t="s">
        <v>333</v>
      </c>
      <c r="E321" s="4" t="s">
        <v>333</v>
      </c>
      <c r="F321" s="4" t="s">
        <v>36</v>
      </c>
      <c r="G321" s="4" t="s">
        <v>37</v>
      </c>
      <c r="H321" s="4" t="str">
        <f>VLOOKUP(C321,[1]MAESTRA!$I$5:$J$399,2,0)</f>
        <v>cl-matucanasd@tiendas.oxxo.com</v>
      </c>
      <c r="I321" s="4" t="s">
        <v>81</v>
      </c>
      <c r="J321" s="4" t="s">
        <v>1030</v>
      </c>
      <c r="K321" s="4">
        <v>0</v>
      </c>
      <c r="L321" s="4"/>
      <c r="M321" s="4" t="s">
        <v>59</v>
      </c>
      <c r="N321" s="4" t="s">
        <v>40</v>
      </c>
      <c r="O321" s="4">
        <v>0</v>
      </c>
      <c r="P321" s="4" t="s">
        <v>332</v>
      </c>
      <c r="Q321" s="4" t="s">
        <v>42</v>
      </c>
      <c r="R321" s="50" t="s">
        <v>43</v>
      </c>
      <c r="S321" s="50"/>
      <c r="T321" s="50">
        <v>0</v>
      </c>
      <c r="U321" s="4" t="s">
        <v>36</v>
      </c>
      <c r="V321" s="4"/>
    </row>
    <row r="322" spans="3:22" hidden="1" x14ac:dyDescent="0.25">
      <c r="C322" s="4" t="s">
        <v>334</v>
      </c>
      <c r="D322" s="4" t="s">
        <v>335</v>
      </c>
      <c r="E322" s="4" t="s">
        <v>336</v>
      </c>
      <c r="F322" s="4" t="s">
        <v>36</v>
      </c>
      <c r="G322" s="4" t="s">
        <v>37</v>
      </c>
      <c r="H322" s="4" t="str">
        <f>VLOOKUP(C322,[1]MAESTRA!$I$5:$J$399,2,0)</f>
        <v>cl-terminaldebuses@tiendas.oxxo.com</v>
      </c>
      <c r="I322" s="4" t="s">
        <v>46</v>
      </c>
      <c r="J322" s="4" t="s">
        <v>1030</v>
      </c>
      <c r="K322" s="4">
        <v>0</v>
      </c>
      <c r="L322" s="4"/>
      <c r="M322" s="4" t="s">
        <v>47</v>
      </c>
      <c r="N322" s="4" t="s">
        <v>40</v>
      </c>
      <c r="O322" s="4">
        <v>0</v>
      </c>
      <c r="P322" s="4" t="s">
        <v>334</v>
      </c>
      <c r="Q322" s="4" t="s">
        <v>42</v>
      </c>
      <c r="R322" s="50" t="s">
        <v>43</v>
      </c>
      <c r="S322" s="50"/>
      <c r="T322" s="50">
        <v>0</v>
      </c>
      <c r="U322" s="4" t="s">
        <v>36</v>
      </c>
      <c r="V322" s="4"/>
    </row>
    <row r="323" spans="3:22" hidden="1" x14ac:dyDescent="0.25">
      <c r="C323" s="4" t="s">
        <v>507</v>
      </c>
      <c r="D323" s="4" t="s">
        <v>508</v>
      </c>
      <c r="E323" s="4" t="s">
        <v>508</v>
      </c>
      <c r="F323" s="4">
        <v>5</v>
      </c>
      <c r="G323" s="4" t="s">
        <v>376</v>
      </c>
      <c r="H323" s="4" t="str">
        <f>VLOOKUP(C323,[1]MAESTRA!$I$5:$J$399,2,0)</f>
        <v>cl-mardoqueofernandez@tiendas.oxxo.com</v>
      </c>
      <c r="I323" s="4" t="s">
        <v>46</v>
      </c>
      <c r="J323" s="4" t="s">
        <v>1030</v>
      </c>
      <c r="K323" s="4" t="s">
        <v>466</v>
      </c>
      <c r="L323" s="4" t="s">
        <v>43</v>
      </c>
      <c r="M323" s="4" t="s">
        <v>51</v>
      </c>
      <c r="N323" s="4" t="s">
        <v>40</v>
      </c>
      <c r="O323" s="4" t="s">
        <v>1035</v>
      </c>
      <c r="P323" s="4" t="s">
        <v>507</v>
      </c>
      <c r="Q323" s="4" t="s">
        <v>42</v>
      </c>
      <c r="R323" s="50" t="s">
        <v>43</v>
      </c>
      <c r="S323" s="50"/>
      <c r="T323" s="50" t="s">
        <v>467</v>
      </c>
      <c r="U323" s="4" t="s">
        <v>43</v>
      </c>
      <c r="V323" s="4"/>
    </row>
    <row r="324" spans="3:22" hidden="1" x14ac:dyDescent="0.25">
      <c r="C324" s="4" t="s">
        <v>417</v>
      </c>
      <c r="D324" s="4" t="s">
        <v>418</v>
      </c>
      <c r="E324" s="4" t="s">
        <v>418</v>
      </c>
      <c r="F324" s="4">
        <v>5</v>
      </c>
      <c r="G324" s="4" t="s">
        <v>376</v>
      </c>
      <c r="H324" s="4" t="str">
        <f>VLOOKUP(C324,[1]MAESTRA!$I$5:$J$399,2,0)</f>
        <v>cl-chesterton1@tiendas.oxxo.com</v>
      </c>
      <c r="I324" s="4" t="s">
        <v>46</v>
      </c>
      <c r="J324" s="4" t="s">
        <v>1031</v>
      </c>
      <c r="K324" s="4" t="s">
        <v>63</v>
      </c>
      <c r="L324" s="4" t="s">
        <v>43</v>
      </c>
      <c r="M324" s="4" t="s">
        <v>138</v>
      </c>
      <c r="N324" s="4" t="s">
        <v>40</v>
      </c>
      <c r="O324" s="4" t="s">
        <v>378</v>
      </c>
      <c r="P324" s="4" t="s">
        <v>417</v>
      </c>
      <c r="Q324" s="4" t="s">
        <v>42</v>
      </c>
      <c r="R324" s="50" t="s">
        <v>43</v>
      </c>
      <c r="S324" s="50"/>
      <c r="T324" s="50" t="s">
        <v>380</v>
      </c>
      <c r="U324" s="4" t="s">
        <v>43</v>
      </c>
      <c r="V324" s="4"/>
    </row>
    <row r="325" spans="3:22" hidden="1" x14ac:dyDescent="0.25">
      <c r="C325" s="4" t="s">
        <v>337</v>
      </c>
      <c r="D325" s="4" t="s">
        <v>338</v>
      </c>
      <c r="E325" s="4" t="s">
        <v>338</v>
      </c>
      <c r="F325" s="4" t="s">
        <v>36</v>
      </c>
      <c r="G325" s="4" t="s">
        <v>37</v>
      </c>
      <c r="H325" s="4" t="str">
        <f>VLOOKUP(C325,[1]MAESTRA!$I$5:$J$399,2,0)</f>
        <v>cl-rengofreire@tiendas.oxxo.com</v>
      </c>
      <c r="I325" s="4" t="s">
        <v>81</v>
      </c>
      <c r="J325" s="4" t="s">
        <v>1030</v>
      </c>
      <c r="K325" s="4" t="s">
        <v>89</v>
      </c>
      <c r="L325" s="4"/>
      <c r="M325" s="4" t="s">
        <v>109</v>
      </c>
      <c r="N325" s="4" t="s">
        <v>91</v>
      </c>
      <c r="O325" s="4">
        <v>0</v>
      </c>
      <c r="P325" s="4" t="s">
        <v>337</v>
      </c>
      <c r="Q325" s="4" t="s">
        <v>42</v>
      </c>
      <c r="R325" s="50" t="s">
        <v>43</v>
      </c>
      <c r="S325" s="50"/>
      <c r="T325" s="50">
        <v>0</v>
      </c>
      <c r="U325" s="4" t="s">
        <v>36</v>
      </c>
      <c r="V325" s="4"/>
    </row>
    <row r="326" spans="3:22" hidden="1" x14ac:dyDescent="0.25">
      <c r="C326" s="4" t="s">
        <v>339</v>
      </c>
      <c r="D326" s="4" t="s">
        <v>340</v>
      </c>
      <c r="E326" s="4" t="s">
        <v>341</v>
      </c>
      <c r="F326" s="4" t="s">
        <v>36</v>
      </c>
      <c r="G326" s="4" t="s">
        <v>37</v>
      </c>
      <c r="H326" s="4" t="str">
        <f>VLOOKUP(C326,[1]MAESTRA!$I$5:$J$399,2,0)</f>
        <v>cl-toromazotte@tiendas.oxxo.com</v>
      </c>
      <c r="I326" s="4" t="s">
        <v>46</v>
      </c>
      <c r="J326" s="4" t="s">
        <v>1030</v>
      </c>
      <c r="K326" s="4">
        <v>0</v>
      </c>
      <c r="L326" s="4"/>
      <c r="M326" s="4" t="s">
        <v>47</v>
      </c>
      <c r="N326" s="4" t="s">
        <v>40</v>
      </c>
      <c r="O326" s="4">
        <v>0</v>
      </c>
      <c r="P326" s="4" t="s">
        <v>339</v>
      </c>
      <c r="Q326" s="4" t="s">
        <v>42</v>
      </c>
      <c r="R326" s="50" t="s">
        <v>43</v>
      </c>
      <c r="S326" s="50"/>
      <c r="T326" s="50">
        <v>0</v>
      </c>
      <c r="U326" s="4" t="s">
        <v>36</v>
      </c>
      <c r="V326" s="4"/>
    </row>
    <row r="327" spans="3:22" hidden="1" x14ac:dyDescent="0.25">
      <c r="C327" s="4" t="s">
        <v>825</v>
      </c>
      <c r="D327" s="4" t="s">
        <v>826</v>
      </c>
      <c r="E327" s="4" t="s">
        <v>827</v>
      </c>
      <c r="F327" s="4">
        <v>5</v>
      </c>
      <c r="G327" s="4" t="s">
        <v>376</v>
      </c>
      <c r="H327" s="4" t="str">
        <f>VLOOKUP(C327,[1]MAESTRA!$I$5:$J$399,2,0)</f>
        <v>cl-paseoestadomoneda@tiendas.oxxo.com</v>
      </c>
      <c r="I327" s="4" t="s">
        <v>81</v>
      </c>
      <c r="J327" s="4" t="s">
        <v>1030</v>
      </c>
      <c r="K327" s="4" t="s">
        <v>146</v>
      </c>
      <c r="L327" s="4" t="s">
        <v>43</v>
      </c>
      <c r="M327" s="4" t="s">
        <v>59</v>
      </c>
      <c r="N327" s="4" t="s">
        <v>40</v>
      </c>
      <c r="O327" s="4" t="s">
        <v>1035</v>
      </c>
      <c r="P327" s="4" t="s">
        <v>825</v>
      </c>
      <c r="Q327" s="4" t="s">
        <v>42</v>
      </c>
      <c r="R327" s="50" t="s">
        <v>43</v>
      </c>
      <c r="S327" s="50"/>
      <c r="T327" s="50" t="s">
        <v>799</v>
      </c>
      <c r="U327" s="4" t="s">
        <v>440</v>
      </c>
      <c r="V327" s="4"/>
    </row>
    <row r="328" spans="3:22" hidden="1" x14ac:dyDescent="0.25">
      <c r="C328" s="4" t="s">
        <v>828</v>
      </c>
      <c r="D328" s="4" t="s">
        <v>829</v>
      </c>
      <c r="E328" s="4" t="s">
        <v>829</v>
      </c>
      <c r="F328" s="4">
        <v>5.68</v>
      </c>
      <c r="G328" s="4" t="s">
        <v>376</v>
      </c>
      <c r="H328" s="4" t="str">
        <f>VLOOKUP(C328,[1]MAESTRA!$I$5:$J$399,2,0)</f>
        <v>cl-bandera@tiendas.oxxo.com</v>
      </c>
      <c r="I328" s="4" t="s">
        <v>46</v>
      </c>
      <c r="J328" s="4" t="s">
        <v>1030</v>
      </c>
      <c r="K328" s="4" t="s">
        <v>146</v>
      </c>
      <c r="L328" s="4" t="s">
        <v>43</v>
      </c>
      <c r="M328" s="4" t="s">
        <v>59</v>
      </c>
      <c r="N328" s="4" t="s">
        <v>40</v>
      </c>
      <c r="O328" s="4" t="s">
        <v>1035</v>
      </c>
      <c r="P328" s="4" t="s">
        <v>828</v>
      </c>
      <c r="Q328" s="4" t="s">
        <v>42</v>
      </c>
      <c r="R328" s="50" t="s">
        <v>43</v>
      </c>
      <c r="S328" s="50"/>
      <c r="T328" s="50" t="s">
        <v>799</v>
      </c>
      <c r="U328" s="4" t="s">
        <v>43</v>
      </c>
      <c r="V328" s="4"/>
    </row>
    <row r="329" spans="3:22" hidden="1" x14ac:dyDescent="0.25">
      <c r="C329" s="4" t="s">
        <v>342</v>
      </c>
      <c r="D329" s="4" t="s">
        <v>343</v>
      </c>
      <c r="E329" s="4" t="s">
        <v>343</v>
      </c>
      <c r="F329" s="4" t="s">
        <v>36</v>
      </c>
      <c r="G329" s="4" t="s">
        <v>37</v>
      </c>
      <c r="H329" s="4" t="str">
        <f>VLOOKUP(C329,[1]MAESTRA!$I$5:$J$399,2,0)</f>
        <v>cl-lautaroferrer@tiendas.oxxo.com</v>
      </c>
      <c r="I329" s="4" t="s">
        <v>81</v>
      </c>
      <c r="J329" s="4" t="s">
        <v>1030</v>
      </c>
      <c r="K329" s="4" t="s">
        <v>132</v>
      </c>
      <c r="L329" s="4"/>
      <c r="M329" s="4" t="s">
        <v>51</v>
      </c>
      <c r="N329" s="4" t="s">
        <v>40</v>
      </c>
      <c r="O329" s="4">
        <v>0</v>
      </c>
      <c r="P329" s="4" t="s">
        <v>342</v>
      </c>
      <c r="Q329" s="4" t="s">
        <v>42</v>
      </c>
      <c r="R329" s="50" t="s">
        <v>43</v>
      </c>
      <c r="S329" s="50"/>
      <c r="T329" s="50">
        <v>0</v>
      </c>
      <c r="U329" s="4" t="s">
        <v>36</v>
      </c>
      <c r="V329" s="4"/>
    </row>
    <row r="330" spans="3:22" hidden="1" x14ac:dyDescent="0.25">
      <c r="C330" s="4" t="s">
        <v>830</v>
      </c>
      <c r="D330" s="4" t="s">
        <v>831</v>
      </c>
      <c r="E330" s="4" t="s">
        <v>832</v>
      </c>
      <c r="F330" s="4">
        <v>5</v>
      </c>
      <c r="G330" s="4" t="s">
        <v>376</v>
      </c>
      <c r="H330" s="4" t="str">
        <f>VLOOKUP(C330,[1]MAESTRA!$I$5:$J$399,2,0)</f>
        <v>cl-bulnes@tiendas.oxxo.com</v>
      </c>
      <c r="I330" s="4" t="s">
        <v>46</v>
      </c>
      <c r="J330" s="4" t="s">
        <v>1030</v>
      </c>
      <c r="K330" s="4" t="s">
        <v>146</v>
      </c>
      <c r="L330" s="4" t="s">
        <v>43</v>
      </c>
      <c r="M330" s="4" t="s">
        <v>59</v>
      </c>
      <c r="N330" s="4" t="s">
        <v>40</v>
      </c>
      <c r="O330" s="4" t="s">
        <v>1035</v>
      </c>
      <c r="P330" s="4" t="s">
        <v>830</v>
      </c>
      <c r="Q330" s="4" t="s">
        <v>42</v>
      </c>
      <c r="R330" s="50" t="s">
        <v>43</v>
      </c>
      <c r="S330" s="50"/>
      <c r="T330" s="50" t="s">
        <v>799</v>
      </c>
      <c r="U330" s="4" t="s">
        <v>43</v>
      </c>
      <c r="V330" s="4"/>
    </row>
    <row r="331" spans="3:22" hidden="1" x14ac:dyDescent="0.25">
      <c r="C331" s="4" t="s">
        <v>921</v>
      </c>
      <c r="D331" s="4" t="s">
        <v>922</v>
      </c>
      <c r="E331" s="4" t="s">
        <v>911</v>
      </c>
      <c r="F331" s="4">
        <v>5</v>
      </c>
      <c r="G331" s="4" t="s">
        <v>376</v>
      </c>
      <c r="H331" s="4" t="str">
        <f>VLOOKUP(C331,[1]MAESTRA!$I$5:$J$399,2,0)</f>
        <v>cl-quilicura1@tiendas.oxxo.com</v>
      </c>
      <c r="I331" s="4" t="s">
        <v>81</v>
      </c>
      <c r="J331" s="4" t="s">
        <v>1030</v>
      </c>
      <c r="K331" s="4" t="s">
        <v>73</v>
      </c>
      <c r="L331" s="4" t="s">
        <v>43</v>
      </c>
      <c r="M331" s="4" t="s">
        <v>911</v>
      </c>
      <c r="N331" s="4" t="s">
        <v>40</v>
      </c>
      <c r="O331" s="4" t="s">
        <v>514</v>
      </c>
      <c r="P331" s="4" t="s">
        <v>921</v>
      </c>
      <c r="Q331" s="4" t="s">
        <v>42</v>
      </c>
      <c r="R331" s="50" t="s">
        <v>43</v>
      </c>
      <c r="S331" s="50"/>
      <c r="T331" s="50" t="s">
        <v>886</v>
      </c>
      <c r="U331" s="4" t="s">
        <v>43</v>
      </c>
      <c r="V331" s="4"/>
    </row>
    <row r="332" spans="3:22" hidden="1" x14ac:dyDescent="0.25">
      <c r="C332" s="4" t="s">
        <v>970</v>
      </c>
      <c r="D332" s="4" t="s">
        <v>971</v>
      </c>
      <c r="E332" s="4" t="s">
        <v>972</v>
      </c>
      <c r="F332" s="4">
        <v>5</v>
      </c>
      <c r="G332" s="4" t="s">
        <v>376</v>
      </c>
      <c r="H332" s="4" t="str">
        <f>VLOOKUP(C332,[1]MAESTRA!$I$5:$J$399,2,0)</f>
        <v>cl-paseoeltamarugo@tiendas.oxxo.com</v>
      </c>
      <c r="I332" s="4" t="s">
        <v>81</v>
      </c>
      <c r="J332" s="4" t="s">
        <v>1030</v>
      </c>
      <c r="K332" s="4" t="s">
        <v>160</v>
      </c>
      <c r="L332" s="4" t="s">
        <v>43</v>
      </c>
      <c r="M332" s="4" t="s">
        <v>353</v>
      </c>
      <c r="N332" s="4" t="s">
        <v>40</v>
      </c>
      <c r="O332" s="4" t="s">
        <v>984</v>
      </c>
      <c r="P332" s="4" t="s">
        <v>970</v>
      </c>
      <c r="Q332" s="4" t="s">
        <v>42</v>
      </c>
      <c r="R332" s="50" t="s">
        <v>43</v>
      </c>
      <c r="S332" s="50"/>
      <c r="T332" s="50" t="s">
        <v>931</v>
      </c>
      <c r="U332" s="4" t="s">
        <v>43</v>
      </c>
      <c r="V332" s="4"/>
    </row>
    <row r="333" spans="3:22" hidden="1" x14ac:dyDescent="0.25">
      <c r="C333" s="4" t="s">
        <v>344</v>
      </c>
      <c r="D333" s="4" t="s">
        <v>345</v>
      </c>
      <c r="E333" s="4" t="s">
        <v>345</v>
      </c>
      <c r="F333" s="4" t="s">
        <v>36</v>
      </c>
      <c r="G333" s="4" t="s">
        <v>37</v>
      </c>
      <c r="H333" s="4" t="str">
        <f>VLOOKUP(C333,[1]MAESTRA!$I$5:$J$399,2,0)</f>
        <v>cl-arenasdetalagante@tiendas.oxxo.com</v>
      </c>
      <c r="I333" s="4" t="s">
        <v>88</v>
      </c>
      <c r="J333" s="4" t="s">
        <v>1030</v>
      </c>
      <c r="K333" s="4">
        <v>0</v>
      </c>
      <c r="L333" s="4"/>
      <c r="M333" s="4" t="s">
        <v>346</v>
      </c>
      <c r="N333" s="4" t="s">
        <v>40</v>
      </c>
      <c r="O333" s="4">
        <v>0</v>
      </c>
      <c r="P333" s="4" t="s">
        <v>344</v>
      </c>
      <c r="Q333" s="4" t="s">
        <v>42</v>
      </c>
      <c r="R333" s="50" t="s">
        <v>43</v>
      </c>
      <c r="S333" s="50"/>
      <c r="T333" s="50">
        <v>0</v>
      </c>
      <c r="U333" s="4" t="s">
        <v>36</v>
      </c>
      <c r="V333" s="4"/>
    </row>
    <row r="334" spans="3:22" hidden="1" x14ac:dyDescent="0.25">
      <c r="C334" s="4" t="s">
        <v>879</v>
      </c>
      <c r="D334" s="4" t="s">
        <v>880</v>
      </c>
      <c r="E334" s="4" t="s">
        <v>880</v>
      </c>
      <c r="F334" s="4">
        <v>3.92</v>
      </c>
      <c r="G334" s="4" t="s">
        <v>376</v>
      </c>
      <c r="H334" s="4" t="str">
        <f>VLOOKUP(C334,[1]MAESTRA!$I$5:$J$399,2,0)</f>
        <v>cl-estoril@tiendas.oxxo.com</v>
      </c>
      <c r="I334" s="4" t="s">
        <v>46</v>
      </c>
      <c r="J334" s="4" t="s">
        <v>1030</v>
      </c>
      <c r="K334" s="4" t="s">
        <v>132</v>
      </c>
      <c r="L334" s="4" t="s">
        <v>43</v>
      </c>
      <c r="M334" s="4" t="s">
        <v>138</v>
      </c>
      <c r="N334" s="4" t="s">
        <v>40</v>
      </c>
      <c r="O334" s="4" t="s">
        <v>1035</v>
      </c>
      <c r="P334" s="4" t="s">
        <v>879</v>
      </c>
      <c r="Q334" s="4" t="s">
        <v>42</v>
      </c>
      <c r="R334" s="50" t="s">
        <v>43</v>
      </c>
      <c r="S334" s="50"/>
      <c r="T334" s="50" t="s">
        <v>847</v>
      </c>
      <c r="U334" s="4" t="s">
        <v>43</v>
      </c>
      <c r="V334" s="4" t="s">
        <v>32</v>
      </c>
    </row>
    <row r="335" spans="3:22" hidden="1" x14ac:dyDescent="0.25">
      <c r="C335" s="4" t="s">
        <v>553</v>
      </c>
      <c r="D335" s="4" t="s">
        <v>554</v>
      </c>
      <c r="E335" s="4" t="s">
        <v>554</v>
      </c>
      <c r="F335" s="4">
        <v>5</v>
      </c>
      <c r="G335" s="4" t="s">
        <v>376</v>
      </c>
      <c r="H335" s="4" t="str">
        <f>VLOOKUP(C335,[1]MAESTRA!$I$5:$J$399,2,0)</f>
        <v>cl-vespucioalbacete@tiendas.oxxo.com</v>
      </c>
      <c r="I335" s="4" t="s">
        <v>46</v>
      </c>
      <c r="J335" s="4" t="s">
        <v>1030</v>
      </c>
      <c r="K335" s="4" t="s">
        <v>100</v>
      </c>
      <c r="L335" s="4" t="s">
        <v>43</v>
      </c>
      <c r="M335" s="4" t="s">
        <v>138</v>
      </c>
      <c r="N335" s="4" t="s">
        <v>40</v>
      </c>
      <c r="O335" s="4" t="s">
        <v>514</v>
      </c>
      <c r="P335" s="4" t="s">
        <v>553</v>
      </c>
      <c r="Q335" s="4" t="s">
        <v>42</v>
      </c>
      <c r="R335" s="50" t="s">
        <v>43</v>
      </c>
      <c r="S335" s="50"/>
      <c r="T335" s="50" t="s">
        <v>515</v>
      </c>
      <c r="U335" s="4" t="s">
        <v>43</v>
      </c>
      <c r="V335" s="4"/>
    </row>
    <row r="336" spans="3:22" hidden="1" x14ac:dyDescent="0.25">
      <c r="C336" s="4" t="s">
        <v>923</v>
      </c>
      <c r="D336" s="4" t="s">
        <v>924</v>
      </c>
      <c r="E336" s="4" t="s">
        <v>924</v>
      </c>
      <c r="F336" s="4">
        <v>5</v>
      </c>
      <c r="G336" s="4" t="s">
        <v>376</v>
      </c>
      <c r="H336" s="4" t="str">
        <f>VLOOKUP(C336,[1]MAESTRA!$I$5:$J$399,2,0)</f>
        <v>cl-mallplazavespucio@tiendas.oxxo.com</v>
      </c>
      <c r="I336" s="4" t="s">
        <v>46</v>
      </c>
      <c r="J336" s="4" t="s">
        <v>1030</v>
      </c>
      <c r="K336" s="4" t="s">
        <v>73</v>
      </c>
      <c r="L336" s="4" t="s">
        <v>43</v>
      </c>
      <c r="M336" s="4" t="s">
        <v>133</v>
      </c>
      <c r="N336" s="4" t="s">
        <v>40</v>
      </c>
      <c r="O336" s="4" t="s">
        <v>514</v>
      </c>
      <c r="P336" s="4" t="s">
        <v>923</v>
      </c>
      <c r="Q336" s="4" t="s">
        <v>42</v>
      </c>
      <c r="R336" s="50" t="s">
        <v>43</v>
      </c>
      <c r="S336" s="50"/>
      <c r="T336" s="50" t="s">
        <v>886</v>
      </c>
      <c r="U336" s="4" t="s">
        <v>43</v>
      </c>
      <c r="V336" s="4"/>
    </row>
    <row r="337" spans="3:22" hidden="1" x14ac:dyDescent="0.25">
      <c r="C337" s="4" t="s">
        <v>761</v>
      </c>
      <c r="D337" s="4" t="s">
        <v>762</v>
      </c>
      <c r="E337" s="4" t="s">
        <v>762</v>
      </c>
      <c r="F337" s="4">
        <v>5</v>
      </c>
      <c r="G337" s="4" t="s">
        <v>376</v>
      </c>
      <c r="H337" s="4" t="str">
        <f>VLOOKUP(C337,[1]MAESTRA!$I$5:$J$399,2,0)</f>
        <v>cl-viana@tiendas.oxxo.com</v>
      </c>
      <c r="I337" s="4" t="s">
        <v>46</v>
      </c>
      <c r="J337" s="4" t="s">
        <v>1031</v>
      </c>
      <c r="K337" s="4" t="s">
        <v>84</v>
      </c>
      <c r="L337" s="4" t="s">
        <v>440</v>
      </c>
      <c r="M337" s="4" t="s">
        <v>54</v>
      </c>
      <c r="N337" s="4" t="s">
        <v>55</v>
      </c>
      <c r="O337" s="4" t="s">
        <v>378</v>
      </c>
      <c r="P337" s="4" t="s">
        <v>761</v>
      </c>
      <c r="Q337" s="4" t="s">
        <v>42</v>
      </c>
      <c r="R337" s="50" t="s">
        <v>440</v>
      </c>
      <c r="S337" s="50"/>
      <c r="T337" s="50" t="s">
        <v>741</v>
      </c>
      <c r="U337" s="4" t="s">
        <v>43</v>
      </c>
      <c r="V337" s="4"/>
    </row>
    <row r="338" spans="3:22" hidden="1" x14ac:dyDescent="0.25">
      <c r="C338" s="4" t="s">
        <v>509</v>
      </c>
      <c r="D338" s="4" t="s">
        <v>510</v>
      </c>
      <c r="E338" s="4" t="s">
        <v>510</v>
      </c>
      <c r="F338" s="4">
        <v>5</v>
      </c>
      <c r="G338" s="4" t="s">
        <v>376</v>
      </c>
      <c r="H338" s="4" t="str">
        <f>VLOOKUP(C338,[1]MAESTRA!$I$5:$J$399,2,0)</f>
        <v>cl-providencia2@tiendas.oxxo.com</v>
      </c>
      <c r="I338" s="4" t="s">
        <v>46</v>
      </c>
      <c r="J338" s="4" t="s">
        <v>1030</v>
      </c>
      <c r="K338" s="4" t="s">
        <v>466</v>
      </c>
      <c r="L338" s="4" t="s">
        <v>43</v>
      </c>
      <c r="M338" s="4" t="s">
        <v>51</v>
      </c>
      <c r="N338" s="4" t="s">
        <v>40</v>
      </c>
      <c r="O338" s="4" t="s">
        <v>1035</v>
      </c>
      <c r="P338" s="4" t="s">
        <v>509</v>
      </c>
      <c r="Q338" s="4" t="s">
        <v>42</v>
      </c>
      <c r="R338" s="50" t="s">
        <v>43</v>
      </c>
      <c r="S338" s="50"/>
      <c r="T338" s="50" t="s">
        <v>467</v>
      </c>
      <c r="U338" s="4" t="s">
        <v>43</v>
      </c>
      <c r="V338" s="4"/>
    </row>
    <row r="339" spans="3:22" hidden="1" x14ac:dyDescent="0.25">
      <c r="C339" s="4" t="s">
        <v>347</v>
      </c>
      <c r="D339" s="4" t="s">
        <v>348</v>
      </c>
      <c r="E339" s="4" t="s">
        <v>348</v>
      </c>
      <c r="F339" s="4" t="s">
        <v>36</v>
      </c>
      <c r="G339" s="4" t="s">
        <v>37</v>
      </c>
      <c r="H339" s="4" t="str">
        <f>VLOOKUP(C339,[1]MAESTRA!$I$5:$J$399,2,0)</f>
        <v>cl-abdoncifuentes@tiendas.oxxo.com</v>
      </c>
      <c r="I339" s="4" t="s">
        <v>81</v>
      </c>
      <c r="J339" s="4" t="s">
        <v>1030</v>
      </c>
      <c r="K339" s="4" t="s">
        <v>58</v>
      </c>
      <c r="L339" s="4"/>
      <c r="M339" s="4" t="s">
        <v>59</v>
      </c>
      <c r="N339" s="4" t="s">
        <v>40</v>
      </c>
      <c r="O339" s="4">
        <v>0</v>
      </c>
      <c r="P339" s="4" t="s">
        <v>347</v>
      </c>
      <c r="Q339" s="4" t="s">
        <v>42</v>
      </c>
      <c r="R339" s="50" t="s">
        <v>43</v>
      </c>
      <c r="S339" s="50"/>
      <c r="T339" s="50">
        <v>0</v>
      </c>
      <c r="U339" s="4" t="s">
        <v>36</v>
      </c>
      <c r="V339" s="4"/>
    </row>
    <row r="340" spans="3:22" hidden="1" x14ac:dyDescent="0.25">
      <c r="C340" s="4" t="s">
        <v>973</v>
      </c>
      <c r="D340" s="4" t="s">
        <v>974</v>
      </c>
      <c r="E340" s="4" t="s">
        <v>974</v>
      </c>
      <c r="F340" s="4">
        <v>5</v>
      </c>
      <c r="G340" s="4" t="s">
        <v>376</v>
      </c>
      <c r="H340" s="4" t="str">
        <f>VLOOKUP(C340,[1]MAESTRA!$I$5:$J$399,2,0)</f>
        <v>cl-mallplazanorte@tiendas.oxxo.com</v>
      </c>
      <c r="I340" s="4" t="s">
        <v>46</v>
      </c>
      <c r="J340" s="4" t="s">
        <v>1030</v>
      </c>
      <c r="K340" s="4" t="s">
        <v>160</v>
      </c>
      <c r="L340" s="4" t="s">
        <v>43</v>
      </c>
      <c r="M340" s="4" t="s">
        <v>39</v>
      </c>
      <c r="N340" s="4" t="s">
        <v>40</v>
      </c>
      <c r="O340" s="4" t="s">
        <v>984</v>
      </c>
      <c r="P340" s="4" t="s">
        <v>973</v>
      </c>
      <c r="Q340" s="4" t="s">
        <v>42</v>
      </c>
      <c r="R340" s="50" t="s">
        <v>43</v>
      </c>
      <c r="S340" s="50"/>
      <c r="T340" s="50" t="s">
        <v>931</v>
      </c>
      <c r="U340" s="4" t="s">
        <v>43</v>
      </c>
      <c r="V340" s="4"/>
    </row>
    <row r="341" spans="3:22" hidden="1" x14ac:dyDescent="0.25">
      <c r="C341" s="4" t="s">
        <v>349</v>
      </c>
      <c r="D341" s="4" t="s">
        <v>350</v>
      </c>
      <c r="E341" s="4" t="s">
        <v>350</v>
      </c>
      <c r="F341" s="4" t="s">
        <v>36</v>
      </c>
      <c r="G341" s="4" t="s">
        <v>37</v>
      </c>
      <c r="H341" s="4" t="str">
        <f>VLOOKUP(C341,[1]MAESTRA!$I$5:$J$399,2,0)</f>
        <v>cl-sanfrancisco@tiendas.oxxo.com</v>
      </c>
      <c r="I341" s="4" t="s">
        <v>46</v>
      </c>
      <c r="J341" s="4" t="s">
        <v>1030</v>
      </c>
      <c r="K341" s="4">
        <v>0</v>
      </c>
      <c r="L341" s="4"/>
      <c r="M341" s="4" t="s">
        <v>138</v>
      </c>
      <c r="N341" s="4" t="s">
        <v>40</v>
      </c>
      <c r="O341" s="4">
        <v>0</v>
      </c>
      <c r="P341" s="4" t="s">
        <v>349</v>
      </c>
      <c r="Q341" s="4" t="s">
        <v>42</v>
      </c>
      <c r="R341" s="50" t="s">
        <v>43</v>
      </c>
      <c r="S341" s="50"/>
      <c r="T341" s="50">
        <v>0</v>
      </c>
      <c r="U341" s="4" t="s">
        <v>36</v>
      </c>
      <c r="V341" s="4"/>
    </row>
    <row r="342" spans="3:22" hidden="1" x14ac:dyDescent="0.25">
      <c r="C342" s="4" t="s">
        <v>351</v>
      </c>
      <c r="D342" s="4" t="s">
        <v>352</v>
      </c>
      <c r="E342" s="4" t="s">
        <v>352</v>
      </c>
      <c r="F342" s="4" t="s">
        <v>36</v>
      </c>
      <c r="G342" s="4" t="s">
        <v>37</v>
      </c>
      <c r="H342" s="4" t="str">
        <f>VLOOKUP(C342,[1]MAESTRA!$I$5:$J$399,2,0)</f>
        <v>cl-vitacuravespucio@tiendas.oxxo.com</v>
      </c>
      <c r="I342" s="4" t="s">
        <v>46</v>
      </c>
      <c r="J342" s="4" t="s">
        <v>1030</v>
      </c>
      <c r="K342" s="4" t="s">
        <v>331</v>
      </c>
      <c r="L342" s="4"/>
      <c r="M342" s="4" t="s">
        <v>353</v>
      </c>
      <c r="N342" s="4" t="s">
        <v>40</v>
      </c>
      <c r="O342" s="4">
        <v>0</v>
      </c>
      <c r="P342" s="4" t="s">
        <v>351</v>
      </c>
      <c r="Q342" s="4" t="s">
        <v>42</v>
      </c>
      <c r="R342" s="50" t="s">
        <v>43</v>
      </c>
      <c r="S342" s="50"/>
      <c r="T342" s="50">
        <v>0</v>
      </c>
      <c r="U342" s="4" t="s">
        <v>36</v>
      </c>
      <c r="V342" s="4"/>
    </row>
    <row r="343" spans="3:22" hidden="1" x14ac:dyDescent="0.25">
      <c r="C343" s="4" t="s">
        <v>833</v>
      </c>
      <c r="D343" s="4" t="s">
        <v>834</v>
      </c>
      <c r="E343" s="4" t="s">
        <v>835</v>
      </c>
      <c r="F343" s="44">
        <f>5+0.56</f>
        <v>5.5600000000000005</v>
      </c>
      <c r="G343" s="4" t="s">
        <v>376</v>
      </c>
      <c r="H343" s="4" t="str">
        <f>VLOOKUP(C343,[1]MAESTRA!$I$5:$J$399,2,0)</f>
        <v>cl-santiagodowntown@tiendas.oxxo.com</v>
      </c>
      <c r="I343" s="4" t="s">
        <v>46</v>
      </c>
      <c r="J343" s="4" t="s">
        <v>1030</v>
      </c>
      <c r="K343" s="4" t="s">
        <v>146</v>
      </c>
      <c r="L343" s="4" t="s">
        <v>43</v>
      </c>
      <c r="M343" s="4" t="s">
        <v>59</v>
      </c>
      <c r="N343" s="4" t="s">
        <v>40</v>
      </c>
      <c r="O343" s="4" t="s">
        <v>1035</v>
      </c>
      <c r="P343" s="4" t="s">
        <v>833</v>
      </c>
      <c r="Q343" s="4" t="s">
        <v>42</v>
      </c>
      <c r="R343" s="50" t="s">
        <v>43</v>
      </c>
      <c r="S343" s="50"/>
      <c r="T343" s="50" t="s">
        <v>799</v>
      </c>
      <c r="U343" s="4" t="s">
        <v>43</v>
      </c>
      <c r="V343" s="4"/>
    </row>
    <row r="344" spans="3:22" hidden="1" x14ac:dyDescent="0.25">
      <c r="C344" s="4" t="s">
        <v>354</v>
      </c>
      <c r="D344" s="4" t="s">
        <v>355</v>
      </c>
      <c r="E344" s="4" t="s">
        <v>355</v>
      </c>
      <c r="F344" s="4" t="s">
        <v>36</v>
      </c>
      <c r="G344" s="4" t="s">
        <v>37</v>
      </c>
      <c r="H344" s="4" t="str">
        <f>VLOOKUP(C344,[1]MAESTRA!$I$5:$J$399,2,0)</f>
        <v>cl-migueldeolivares@tiendas.oxxo.com</v>
      </c>
      <c r="I344" s="4" t="s">
        <v>46</v>
      </c>
      <c r="J344" s="4" t="s">
        <v>1030</v>
      </c>
      <c r="K344" s="4" t="s">
        <v>67</v>
      </c>
      <c r="L344" s="4"/>
      <c r="M344" s="4" t="s">
        <v>59</v>
      </c>
      <c r="N344" s="4" t="s">
        <v>40</v>
      </c>
      <c r="O344" s="4">
        <v>0</v>
      </c>
      <c r="P344" s="4" t="s">
        <v>354</v>
      </c>
      <c r="Q344" s="4" t="s">
        <v>42</v>
      </c>
      <c r="R344" s="50" t="s">
        <v>43</v>
      </c>
      <c r="S344" s="50"/>
      <c r="T344" s="50">
        <v>0</v>
      </c>
      <c r="U344" s="4" t="s">
        <v>36</v>
      </c>
      <c r="V344" s="4"/>
    </row>
    <row r="345" spans="3:22" hidden="1" x14ac:dyDescent="0.25">
      <c r="C345" s="4" t="s">
        <v>693</v>
      </c>
      <c r="D345" s="4" t="s">
        <v>694</v>
      </c>
      <c r="E345" s="4" t="s">
        <v>694</v>
      </c>
      <c r="F345" s="4">
        <v>5</v>
      </c>
      <c r="G345" s="4" t="s">
        <v>376</v>
      </c>
      <c r="H345" s="4" t="str">
        <f>VLOOKUP(C345,[1]MAESTRA!$I$5:$J$399,2,0)</f>
        <v>cl-carloswilson@tiendas.oxxo.com</v>
      </c>
      <c r="I345" s="4" t="s">
        <v>46</v>
      </c>
      <c r="J345" s="4" t="s">
        <v>1030</v>
      </c>
      <c r="K345" s="4" t="s">
        <v>248</v>
      </c>
      <c r="L345" s="4" t="s">
        <v>43</v>
      </c>
      <c r="M345" s="4" t="s">
        <v>51</v>
      </c>
      <c r="N345" s="4" t="s">
        <v>40</v>
      </c>
      <c r="O345" s="4" t="s">
        <v>984</v>
      </c>
      <c r="P345" s="4" t="s">
        <v>693</v>
      </c>
      <c r="Q345" s="4" t="s">
        <v>42</v>
      </c>
      <c r="R345" s="50" t="s">
        <v>43</v>
      </c>
      <c r="S345" s="50"/>
      <c r="T345" s="50" t="s">
        <v>51</v>
      </c>
      <c r="U345" s="4" t="s">
        <v>43</v>
      </c>
      <c r="V345" s="4"/>
    </row>
    <row r="346" spans="3:22" hidden="1" x14ac:dyDescent="0.25">
      <c r="C346" s="4" t="s">
        <v>356</v>
      </c>
      <c r="D346" s="4" t="s">
        <v>357</v>
      </c>
      <c r="E346" s="4" t="s">
        <v>357</v>
      </c>
      <c r="F346" s="4" t="s">
        <v>36</v>
      </c>
      <c r="G346" s="4" t="s">
        <v>37</v>
      </c>
      <c r="H346" s="4" t="str">
        <f>VLOOKUP(C346,[1]MAESTRA!$I$5:$J$399,2,0)</f>
        <v>cl-rodriguezpinto@tiendas.oxxo.com</v>
      </c>
      <c r="I346" s="4" t="s">
        <v>81</v>
      </c>
      <c r="J346" s="4" t="s">
        <v>1030</v>
      </c>
      <c r="K346" s="4" t="s">
        <v>89</v>
      </c>
      <c r="L346" s="4"/>
      <c r="M346" s="4" t="s">
        <v>109</v>
      </c>
      <c r="N346" s="4" t="s">
        <v>91</v>
      </c>
      <c r="O346" s="4">
        <v>0</v>
      </c>
      <c r="P346" s="4" t="s">
        <v>356</v>
      </c>
      <c r="Q346" s="4" t="s">
        <v>42</v>
      </c>
      <c r="R346" s="50" t="s">
        <v>43</v>
      </c>
      <c r="S346" s="50"/>
      <c r="T346" s="50">
        <v>0</v>
      </c>
      <c r="U346" s="4" t="s">
        <v>36</v>
      </c>
      <c r="V346" s="4"/>
    </row>
    <row r="347" spans="3:22" hidden="1" x14ac:dyDescent="0.25">
      <c r="C347" s="4" t="s">
        <v>925</v>
      </c>
      <c r="D347" s="4" t="s">
        <v>926</v>
      </c>
      <c r="E347" s="4" t="s">
        <v>927</v>
      </c>
      <c r="F347" s="4">
        <v>5</v>
      </c>
      <c r="G347" s="4" t="s">
        <v>376</v>
      </c>
      <c r="H347" s="4" t="str">
        <f>VLOOKUP(C347,[1]MAESTRA!$I$5:$J$399,2,0)</f>
        <v>cl-altomacul@tiendas.oxxo.com</v>
      </c>
      <c r="I347" s="4" t="s">
        <v>81</v>
      </c>
      <c r="J347" s="4" t="s">
        <v>1030</v>
      </c>
      <c r="K347" s="4" t="s">
        <v>73</v>
      </c>
      <c r="L347" s="4" t="s">
        <v>43</v>
      </c>
      <c r="M347" s="4" t="s">
        <v>928</v>
      </c>
      <c r="N347" s="4" t="s">
        <v>40</v>
      </c>
      <c r="O347" s="4" t="s">
        <v>514</v>
      </c>
      <c r="P347" s="4" t="s">
        <v>925</v>
      </c>
      <c r="Q347" s="4" t="s">
        <v>42</v>
      </c>
      <c r="R347" s="50" t="s">
        <v>43</v>
      </c>
      <c r="S347" s="50"/>
      <c r="T347" s="50" t="s">
        <v>886</v>
      </c>
      <c r="U347" s="4" t="s">
        <v>440</v>
      </c>
      <c r="V347" s="4"/>
    </row>
    <row r="348" spans="3:22" hidden="1" x14ac:dyDescent="0.25">
      <c r="C348" s="4" t="s">
        <v>358</v>
      </c>
      <c r="D348" s="4" t="s">
        <v>359</v>
      </c>
      <c r="E348" s="4" t="s">
        <v>359</v>
      </c>
      <c r="F348" s="4" t="s">
        <v>36</v>
      </c>
      <c r="G348" s="4" t="s">
        <v>37</v>
      </c>
      <c r="H348" s="4" t="str">
        <f>VLOOKUP(C348,[1]MAESTRA!$I$5:$J$399,2,0)</f>
        <v>cl-cruzdelsur@tiendas.oxxo.com</v>
      </c>
      <c r="I348" s="4" t="s">
        <v>81</v>
      </c>
      <c r="J348" s="4" t="s">
        <v>1030</v>
      </c>
      <c r="K348" s="4" t="s">
        <v>248</v>
      </c>
      <c r="L348" s="4"/>
      <c r="M348" s="4" t="s">
        <v>138</v>
      </c>
      <c r="N348" s="4" t="s">
        <v>40</v>
      </c>
      <c r="O348" s="4">
        <v>0</v>
      </c>
      <c r="P348" s="4" t="s">
        <v>358</v>
      </c>
      <c r="Q348" s="4" t="s">
        <v>42</v>
      </c>
      <c r="R348" s="50" t="s">
        <v>43</v>
      </c>
      <c r="S348" s="50"/>
      <c r="T348" s="50">
        <v>0</v>
      </c>
      <c r="U348" s="4" t="s">
        <v>36</v>
      </c>
      <c r="V348" s="4"/>
    </row>
    <row r="349" spans="3:22" hidden="1" x14ac:dyDescent="0.25">
      <c r="C349" s="4" t="s">
        <v>695</v>
      </c>
      <c r="D349" s="4" t="s">
        <v>696</v>
      </c>
      <c r="E349" s="4" t="s">
        <v>696</v>
      </c>
      <c r="F349" s="4">
        <v>5</v>
      </c>
      <c r="G349" s="4" t="s">
        <v>376</v>
      </c>
      <c r="H349" s="4" t="str">
        <f>VLOOKUP(C349,[1]MAESTRA!$I$5:$J$399,2,0)</f>
        <v>cl-holanda@tiendas.oxxo.com</v>
      </c>
      <c r="I349" s="4" t="s">
        <v>46</v>
      </c>
      <c r="J349" s="4" t="s">
        <v>1030</v>
      </c>
      <c r="K349" s="4" t="s">
        <v>248</v>
      </c>
      <c r="L349" s="4" t="s">
        <v>43</v>
      </c>
      <c r="M349" s="4" t="s">
        <v>51</v>
      </c>
      <c r="N349" s="4" t="s">
        <v>40</v>
      </c>
      <c r="O349" s="4" t="s">
        <v>984</v>
      </c>
      <c r="P349" s="4" t="s">
        <v>695</v>
      </c>
      <c r="Q349" s="4" t="s">
        <v>42</v>
      </c>
      <c r="R349" s="50" t="s">
        <v>43</v>
      </c>
      <c r="S349" s="50"/>
      <c r="T349" s="50" t="s">
        <v>51</v>
      </c>
      <c r="U349" s="4" t="s">
        <v>43</v>
      </c>
      <c r="V349" s="4"/>
    </row>
    <row r="350" spans="3:22" hidden="1" x14ac:dyDescent="0.25">
      <c r="C350" s="4" t="s">
        <v>360</v>
      </c>
      <c r="D350" s="4" t="s">
        <v>361</v>
      </c>
      <c r="E350" s="4" t="s">
        <v>361</v>
      </c>
      <c r="F350" s="4" t="s">
        <v>36</v>
      </c>
      <c r="G350" s="4" t="s">
        <v>37</v>
      </c>
      <c r="H350" s="4" t="str">
        <f>VLOOKUP(C350,[1]MAESTRA!$I$5:$J$399,2,0)</f>
        <v>cl-santarosaporvenir@tiendas.oxxo.com</v>
      </c>
      <c r="I350" s="4" t="s">
        <v>46</v>
      </c>
      <c r="J350" s="4" t="s">
        <v>1030</v>
      </c>
      <c r="K350" s="4" t="s">
        <v>67</v>
      </c>
      <c r="L350" s="4"/>
      <c r="M350" s="4" t="s">
        <v>59</v>
      </c>
      <c r="N350" s="4" t="s">
        <v>40</v>
      </c>
      <c r="O350" s="4">
        <v>0</v>
      </c>
      <c r="P350" s="4" t="s">
        <v>360</v>
      </c>
      <c r="Q350" s="4" t="s">
        <v>42</v>
      </c>
      <c r="R350" s="50" t="s">
        <v>43</v>
      </c>
      <c r="S350" s="50"/>
      <c r="T350" s="50">
        <v>0</v>
      </c>
      <c r="U350" s="4" t="s">
        <v>36</v>
      </c>
      <c r="V350" s="4"/>
    </row>
    <row r="351" spans="3:22" hidden="1" x14ac:dyDescent="0.25">
      <c r="C351" s="4" t="s">
        <v>362</v>
      </c>
      <c r="D351" s="4" t="s">
        <v>363</v>
      </c>
      <c r="E351" s="4" t="s">
        <v>363</v>
      </c>
      <c r="F351" s="4" t="s">
        <v>36</v>
      </c>
      <c r="G351" s="4" t="s">
        <v>37</v>
      </c>
      <c r="H351" s="4" t="str">
        <f>VLOOKUP(C351,[1]MAESTRA!$I$5:$J$399,2,0)</f>
        <v>cl-joseluiscoo@tiendas.oxxo.com</v>
      </c>
      <c r="I351" s="4" t="s">
        <v>81</v>
      </c>
      <c r="J351" s="4" t="s">
        <v>1030</v>
      </c>
      <c r="K351" s="4" t="s">
        <v>73</v>
      </c>
      <c r="L351" s="4"/>
      <c r="M351" s="4" t="s">
        <v>364</v>
      </c>
      <c r="N351" s="4" t="s">
        <v>40</v>
      </c>
      <c r="O351" s="4">
        <v>0</v>
      </c>
      <c r="P351" s="4" t="s">
        <v>362</v>
      </c>
      <c r="Q351" s="4" t="s">
        <v>42</v>
      </c>
      <c r="R351" s="50" t="s">
        <v>43</v>
      </c>
      <c r="S351" s="50"/>
      <c r="T351" s="50">
        <v>0</v>
      </c>
      <c r="U351" s="4" t="s">
        <v>36</v>
      </c>
      <c r="V351" s="4"/>
    </row>
    <row r="352" spans="3:22" hidden="1" x14ac:dyDescent="0.25">
      <c r="C352" s="4" t="s">
        <v>592</v>
      </c>
      <c r="D352" s="4" t="s">
        <v>593</v>
      </c>
      <c r="E352" s="4" t="s">
        <v>593</v>
      </c>
      <c r="F352" s="4">
        <v>5</v>
      </c>
      <c r="G352" s="4" t="s">
        <v>376</v>
      </c>
      <c r="H352" s="4" t="str">
        <f>VLOOKUP(C352,[1]MAESTRA!$I$5:$J$399,2,0)</f>
        <v>cl-cerroelplomo@tiendas.oxxo.com</v>
      </c>
      <c r="I352" s="4" t="s">
        <v>81</v>
      </c>
      <c r="J352" s="4" t="s">
        <v>1030</v>
      </c>
      <c r="K352" s="4" t="s">
        <v>331</v>
      </c>
      <c r="L352" s="4" t="s">
        <v>43</v>
      </c>
      <c r="M352" s="4" t="s">
        <v>138</v>
      </c>
      <c r="N352" s="4" t="s">
        <v>40</v>
      </c>
      <c r="O352" s="4" t="s">
        <v>984</v>
      </c>
      <c r="P352" s="4" t="s">
        <v>592</v>
      </c>
      <c r="Q352" s="4" t="s">
        <v>42</v>
      </c>
      <c r="R352" s="50" t="s">
        <v>43</v>
      </c>
      <c r="S352" s="50"/>
      <c r="T352" s="50" t="s">
        <v>557</v>
      </c>
      <c r="U352" s="4" t="s">
        <v>440</v>
      </c>
      <c r="V352" s="4"/>
    </row>
    <row r="353" spans="3:23" hidden="1" x14ac:dyDescent="0.25">
      <c r="C353" s="4" t="s">
        <v>365</v>
      </c>
      <c r="D353" s="4" t="s">
        <v>366</v>
      </c>
      <c r="E353" s="4" t="s">
        <v>367</v>
      </c>
      <c r="F353" s="4" t="s">
        <v>36</v>
      </c>
      <c r="G353" s="4" t="s">
        <v>37</v>
      </c>
      <c r="H353" s="4" t="str">
        <f>VLOOKUP(C353,[1]MAESTRA!$I$5:$J$399,2,0)</f>
        <v>cl-10dejuliosandiego@tiendas.oxxo.com</v>
      </c>
      <c r="I353" s="4" t="s">
        <v>81</v>
      </c>
      <c r="J353" s="4" t="s">
        <v>1030</v>
      </c>
      <c r="K353" s="4" t="s">
        <v>146</v>
      </c>
      <c r="L353" s="4"/>
      <c r="M353" s="4" t="s">
        <v>59</v>
      </c>
      <c r="N353" s="4" t="s">
        <v>40</v>
      </c>
      <c r="O353" s="4">
        <v>0</v>
      </c>
      <c r="P353" s="4" t="s">
        <v>365</v>
      </c>
      <c r="Q353" s="4" t="s">
        <v>42</v>
      </c>
      <c r="R353" s="50" t="s">
        <v>43</v>
      </c>
      <c r="S353" s="50"/>
      <c r="T353" s="50">
        <v>0</v>
      </c>
      <c r="U353" s="4" t="s">
        <v>36</v>
      </c>
      <c r="V353" s="4"/>
    </row>
    <row r="354" spans="3:23" hidden="1" x14ac:dyDescent="0.25">
      <c r="C354" s="4" t="s">
        <v>763</v>
      </c>
      <c r="D354" s="4" t="s">
        <v>764</v>
      </c>
      <c r="E354" s="4" t="s">
        <v>765</v>
      </c>
      <c r="F354" s="4">
        <v>5</v>
      </c>
      <c r="G354" s="4" t="s">
        <v>376</v>
      </c>
      <c r="H354" s="4" t="str">
        <f>VLOOKUP(C354,[1]MAESTRA!$I$5:$J$399,2,0)</f>
        <v>cl-avargentina2@tiendas.oxxo.com</v>
      </c>
      <c r="I354" s="4" t="s">
        <v>81</v>
      </c>
      <c r="J354" s="4" t="s">
        <v>1031</v>
      </c>
      <c r="K354" s="4" t="s">
        <v>84</v>
      </c>
      <c r="L354" s="4" t="s">
        <v>440</v>
      </c>
      <c r="M354" s="4" t="s">
        <v>279</v>
      </c>
      <c r="N354" s="4" t="s">
        <v>55</v>
      </c>
      <c r="O354" s="4" t="s">
        <v>378</v>
      </c>
      <c r="P354" s="4" t="s">
        <v>763</v>
      </c>
      <c r="Q354" s="4" t="s">
        <v>42</v>
      </c>
      <c r="R354" s="50" t="s">
        <v>43</v>
      </c>
      <c r="S354" s="50"/>
      <c r="T354" s="50" t="s">
        <v>741</v>
      </c>
      <c r="U354" s="4" t="s">
        <v>440</v>
      </c>
      <c r="V354" s="4"/>
    </row>
    <row r="355" spans="3:23" hidden="1" x14ac:dyDescent="0.25">
      <c r="C355" s="4" t="s">
        <v>836</v>
      </c>
      <c r="D355" s="4" t="s">
        <v>837</v>
      </c>
      <c r="E355" s="4" t="s">
        <v>838</v>
      </c>
      <c r="F355" s="4">
        <v>5</v>
      </c>
      <c r="G355" s="4" t="s">
        <v>376</v>
      </c>
      <c r="H355" s="4" t="str">
        <f>VLOOKUP(C355,[1]MAESTRA!$I$5:$J$399,2,0)</f>
        <v>cl-vicunadiagonal@tiendas.oxxo.com</v>
      </c>
      <c r="I355" s="4" t="s">
        <v>81</v>
      </c>
      <c r="J355" s="4" t="s">
        <v>1030</v>
      </c>
      <c r="K355" s="4" t="s">
        <v>146</v>
      </c>
      <c r="L355" s="4" t="s">
        <v>43</v>
      </c>
      <c r="M355" s="4" t="s">
        <v>59</v>
      </c>
      <c r="N355" s="4" t="s">
        <v>40</v>
      </c>
      <c r="O355" s="4" t="s">
        <v>1035</v>
      </c>
      <c r="P355" s="4" t="s">
        <v>836</v>
      </c>
      <c r="Q355" s="4" t="s">
        <v>42</v>
      </c>
      <c r="R355" s="50" t="s">
        <v>43</v>
      </c>
      <c r="S355" s="50"/>
      <c r="T355" s="50" t="s">
        <v>799</v>
      </c>
      <c r="U355" s="4" t="s">
        <v>43</v>
      </c>
      <c r="V355" s="4"/>
    </row>
    <row r="356" spans="3:23" hidden="1" x14ac:dyDescent="0.25">
      <c r="C356" s="4" t="s">
        <v>975</v>
      </c>
      <c r="D356" s="4" t="s">
        <v>976</v>
      </c>
      <c r="E356" s="4" t="s">
        <v>976</v>
      </c>
      <c r="F356" s="75">
        <v>2</v>
      </c>
      <c r="G356" s="4" t="s">
        <v>376</v>
      </c>
      <c r="H356" s="4" t="str">
        <f>VLOOKUP(C356,[1]MAESTRA!$I$5:$J$399,2,0)</f>
        <v>cl-socofar@tiendas.oxxo.com</v>
      </c>
      <c r="I356" s="4" t="s">
        <v>46</v>
      </c>
      <c r="J356" s="4" t="s">
        <v>1030</v>
      </c>
      <c r="K356" s="4" t="s">
        <v>160</v>
      </c>
      <c r="L356" s="4" t="s">
        <v>43</v>
      </c>
      <c r="M356" s="4" t="s">
        <v>39</v>
      </c>
      <c r="N356" s="4" t="s">
        <v>40</v>
      </c>
      <c r="O356" s="4" t="s">
        <v>984</v>
      </c>
      <c r="P356" s="4" t="s">
        <v>975</v>
      </c>
      <c r="Q356" s="4" t="s">
        <v>42</v>
      </c>
      <c r="R356" s="50" t="s">
        <v>43</v>
      </c>
      <c r="S356" s="50"/>
      <c r="T356" s="50" t="s">
        <v>931</v>
      </c>
      <c r="U356" s="4" t="s">
        <v>43</v>
      </c>
      <c r="V356" s="4"/>
      <c r="W356" s="4" t="s">
        <v>1039</v>
      </c>
    </row>
    <row r="357" spans="3:23" hidden="1" x14ac:dyDescent="0.25">
      <c r="C357" s="4" t="s">
        <v>766</v>
      </c>
      <c r="D357" s="4" t="s">
        <v>767</v>
      </c>
      <c r="E357" s="4" t="s">
        <v>768</v>
      </c>
      <c r="F357" s="4">
        <v>4.4800000000000004</v>
      </c>
      <c r="G357" s="4" t="s">
        <v>376</v>
      </c>
      <c r="H357" s="4" t="str">
        <f>VLOOKUP(C357,[1]MAESTRA!$I$5:$J$399,2,0)</f>
        <v>cl-mallpaseovina@tiendas.oxxo.com</v>
      </c>
      <c r="I357" s="4" t="s">
        <v>81</v>
      </c>
      <c r="J357" s="4" t="s">
        <v>1031</v>
      </c>
      <c r="K357" s="4" t="s">
        <v>84</v>
      </c>
      <c r="L357" s="4" t="s">
        <v>440</v>
      </c>
      <c r="M357" s="4" t="s">
        <v>54</v>
      </c>
      <c r="N357" s="4" t="s">
        <v>55</v>
      </c>
      <c r="O357" s="4" t="s">
        <v>378</v>
      </c>
      <c r="P357" s="4" t="s">
        <v>766</v>
      </c>
      <c r="Q357" s="4" t="s">
        <v>42</v>
      </c>
      <c r="R357" s="50" t="s">
        <v>43</v>
      </c>
      <c r="S357" s="50"/>
      <c r="T357" s="50" t="s">
        <v>741</v>
      </c>
      <c r="U357" s="4" t="s">
        <v>440</v>
      </c>
      <c r="V357" s="4" t="s">
        <v>32</v>
      </c>
    </row>
    <row r="358" spans="3:23" hidden="1" x14ac:dyDescent="0.25">
      <c r="C358" s="4" t="s">
        <v>368</v>
      </c>
      <c r="D358" s="4" t="s">
        <v>369</v>
      </c>
      <c r="E358" s="4" t="s">
        <v>370</v>
      </c>
      <c r="F358" s="4" t="s">
        <v>36</v>
      </c>
      <c r="G358" s="4" t="s">
        <v>37</v>
      </c>
      <c r="H358" s="4" t="str">
        <f>VLOOKUP(C358,[1]MAESTRA!$I$5:$J$399,2,0)</f>
        <v>cl-chicureo2@tiendas.oxxo.com</v>
      </c>
      <c r="I358" s="4" t="s">
        <v>88</v>
      </c>
      <c r="J358" s="4" t="s">
        <v>1030</v>
      </c>
      <c r="K358" s="4" t="s">
        <v>160</v>
      </c>
      <c r="L358" s="4"/>
      <c r="M358" s="4" t="s">
        <v>371</v>
      </c>
      <c r="N358" s="4" t="s">
        <v>40</v>
      </c>
      <c r="O358" s="4">
        <v>0</v>
      </c>
      <c r="P358" s="4" t="s">
        <v>368</v>
      </c>
      <c r="Q358" s="4" t="s">
        <v>42</v>
      </c>
      <c r="R358" s="50" t="s">
        <v>43</v>
      </c>
      <c r="S358" s="50"/>
      <c r="T358" s="50">
        <v>0</v>
      </c>
      <c r="U358" s="4" t="s">
        <v>36</v>
      </c>
      <c r="V358" s="4"/>
    </row>
    <row r="359" spans="3:23" hidden="1" x14ac:dyDescent="0.25">
      <c r="C359" s="4" t="s">
        <v>736</v>
      </c>
      <c r="D359" s="4" t="s">
        <v>737</v>
      </c>
      <c r="E359" s="4" t="s">
        <v>738</v>
      </c>
      <c r="F359" s="4">
        <v>6</v>
      </c>
      <c r="G359" s="4" t="s">
        <v>376</v>
      </c>
      <c r="H359" s="4" t="str">
        <f>VLOOKUP(C359,[1]MAESTRA!$I$5:$J$399,2,0)</f>
        <v>cl-costamontemar@tiendas.oxxo.com</v>
      </c>
      <c r="I359" s="4" t="s">
        <v>81</v>
      </c>
      <c r="J359" s="4" t="s">
        <v>1031</v>
      </c>
      <c r="K359" s="4" t="s">
        <v>84</v>
      </c>
      <c r="L359" s="4" t="s">
        <v>440</v>
      </c>
      <c r="M359" s="4" t="s">
        <v>722</v>
      </c>
      <c r="N359" s="4" t="s">
        <v>55</v>
      </c>
      <c r="O359" s="4" t="s">
        <v>378</v>
      </c>
      <c r="P359" s="4" t="s">
        <v>736</v>
      </c>
      <c r="Q359" s="4">
        <v>0</v>
      </c>
      <c r="R359" s="50" t="s">
        <v>43</v>
      </c>
      <c r="S359" s="50"/>
      <c r="T359" s="50" t="s">
        <v>702</v>
      </c>
      <c r="U359" s="4" t="s">
        <v>440</v>
      </c>
      <c r="V359" s="4"/>
    </row>
    <row r="360" spans="3:23" hidden="1" x14ac:dyDescent="0.25">
      <c r="C360" s="4" t="s">
        <v>612</v>
      </c>
      <c r="D360" s="4" t="s">
        <v>613</v>
      </c>
      <c r="E360" s="4" t="s">
        <v>613</v>
      </c>
      <c r="F360" s="4">
        <v>5</v>
      </c>
      <c r="G360" s="4" t="s">
        <v>376</v>
      </c>
      <c r="H360" s="4" t="str">
        <f>VLOOKUP(C360,[1]MAESTRA!$I$5:$J$399,2,0)</f>
        <v>cl-metroplazapuentealto@tiendas.oxxo.com</v>
      </c>
      <c r="I360" s="4" t="s">
        <v>81</v>
      </c>
      <c r="J360" s="4" t="s">
        <v>1030</v>
      </c>
      <c r="K360" s="4" t="s">
        <v>50</v>
      </c>
      <c r="L360" s="4" t="s">
        <v>43</v>
      </c>
      <c r="M360" s="4" t="s">
        <v>364</v>
      </c>
      <c r="N360" s="4" t="s">
        <v>40</v>
      </c>
      <c r="O360" s="4" t="s">
        <v>514</v>
      </c>
      <c r="P360" s="4" t="s">
        <v>612</v>
      </c>
      <c r="Q360" s="4" t="s">
        <v>42</v>
      </c>
      <c r="R360" s="50" t="s">
        <v>43</v>
      </c>
      <c r="S360" s="50"/>
      <c r="T360" s="50" t="s">
        <v>597</v>
      </c>
      <c r="U360" s="4" t="s">
        <v>440</v>
      </c>
      <c r="V360" s="4"/>
    </row>
    <row r="361" spans="3:23" hidden="1" x14ac:dyDescent="0.25">
      <c r="C361" s="4" t="s">
        <v>614</v>
      </c>
      <c r="D361" s="4" t="s">
        <v>615</v>
      </c>
      <c r="E361" s="4" t="s">
        <v>615</v>
      </c>
      <c r="F361" s="4">
        <v>5</v>
      </c>
      <c r="G361" s="4" t="s">
        <v>376</v>
      </c>
      <c r="H361" s="4" t="str">
        <f>VLOOKUP(C361,[1]MAESTRA!$I$5:$J$399,2,0)</f>
        <v>cl-metroirarrazaval@tiendas.oxxo.com</v>
      </c>
      <c r="I361" s="4" t="s">
        <v>81</v>
      </c>
      <c r="J361" s="4" t="s">
        <v>1030</v>
      </c>
      <c r="K361" s="4" t="s">
        <v>50</v>
      </c>
      <c r="L361" s="4" t="s">
        <v>43</v>
      </c>
      <c r="M361" s="4" t="s">
        <v>64</v>
      </c>
      <c r="N361" s="4" t="s">
        <v>40</v>
      </c>
      <c r="O361" s="4" t="s">
        <v>514</v>
      </c>
      <c r="P361" s="4" t="s">
        <v>614</v>
      </c>
      <c r="Q361" s="4" t="s">
        <v>42</v>
      </c>
      <c r="R361" s="50" t="s">
        <v>43</v>
      </c>
      <c r="S361" s="50"/>
      <c r="T361" s="50" t="s">
        <v>597</v>
      </c>
      <c r="U361" s="4" t="s">
        <v>440</v>
      </c>
      <c r="V361" s="4"/>
    </row>
    <row r="362" spans="3:23" hidden="1" x14ac:dyDescent="0.25">
      <c r="C362" s="4" t="s">
        <v>372</v>
      </c>
      <c r="D362" s="4" t="s">
        <v>372</v>
      </c>
      <c r="E362" s="4" t="s">
        <v>372</v>
      </c>
      <c r="F362" s="4"/>
      <c r="G362" s="4" t="s">
        <v>372</v>
      </c>
      <c r="H362" s="4" t="e">
        <f>VLOOKUP(C362,[1]MAESTRA!$I$5:$J$399,2,0)</f>
        <v>#N/A</v>
      </c>
      <c r="I362" s="4" t="s">
        <v>372</v>
      </c>
      <c r="J362" s="4" t="s">
        <v>372</v>
      </c>
      <c r="K362" s="4" t="s">
        <v>372</v>
      </c>
      <c r="L362" s="4"/>
      <c r="M362" s="4" t="s">
        <v>372</v>
      </c>
      <c r="N362" s="4" t="s">
        <v>372</v>
      </c>
      <c r="O362" s="4" t="s">
        <v>372</v>
      </c>
      <c r="P362" s="4" t="s">
        <v>372</v>
      </c>
      <c r="Q362" s="4" t="s">
        <v>372</v>
      </c>
      <c r="R362" s="4" t="s">
        <v>372</v>
      </c>
      <c r="S362" s="50"/>
      <c r="T362" s="4" t="s">
        <v>372</v>
      </c>
      <c r="U362" s="4" t="s">
        <v>36</v>
      </c>
      <c r="V362" s="4"/>
    </row>
    <row r="363" spans="3:23" hidden="1" x14ac:dyDescent="0.25">
      <c r="C363" s="4" t="s">
        <v>839</v>
      </c>
      <c r="D363" s="4" t="s">
        <v>840</v>
      </c>
      <c r="E363" s="4" t="s">
        <v>840</v>
      </c>
      <c r="F363" s="4">
        <v>5.6</v>
      </c>
      <c r="G363" s="4" t="s">
        <v>376</v>
      </c>
      <c r="H363" s="4" t="str">
        <f>VLOOKUP(C363,[1]MAESTRA!$I$5:$J$399,2,0)</f>
        <v>cl-imperio@tiendas.oxxo.com</v>
      </c>
      <c r="I363" s="4" t="s">
        <v>81</v>
      </c>
      <c r="J363" s="4" t="s">
        <v>1030</v>
      </c>
      <c r="K363" s="4" t="s">
        <v>146</v>
      </c>
      <c r="L363" s="4" t="s">
        <v>43</v>
      </c>
      <c r="M363" s="4" t="s">
        <v>59</v>
      </c>
      <c r="N363" s="4" t="s">
        <v>40</v>
      </c>
      <c r="O363" s="4"/>
      <c r="P363" s="4" t="s">
        <v>839</v>
      </c>
      <c r="Q363" s="4"/>
      <c r="R363" s="4"/>
      <c r="S363" s="50"/>
      <c r="T363" s="4"/>
      <c r="U363" s="4" t="s">
        <v>36</v>
      </c>
      <c r="V363" s="4" t="s">
        <v>32</v>
      </c>
    </row>
    <row r="364" spans="3:23" hidden="1" x14ac:dyDescent="0.25">
      <c r="C364" s="4" t="s">
        <v>697</v>
      </c>
      <c r="D364" s="4" t="s">
        <v>698</v>
      </c>
      <c r="E364" s="4" t="s">
        <v>698</v>
      </c>
      <c r="F364" s="4">
        <v>5.6</v>
      </c>
      <c r="G364" s="4" t="s">
        <v>376</v>
      </c>
      <c r="H364" s="4" t="str">
        <f>VLOOKUP(C364,[1]MAESTRA!$I$5:$J$399,2,0)</f>
        <v>cl-lasbellotas@tiendas.oxxo.com</v>
      </c>
      <c r="I364" s="4" t="s">
        <v>81</v>
      </c>
      <c r="J364" s="4" t="s">
        <v>1030</v>
      </c>
      <c r="K364" s="4" t="s">
        <v>248</v>
      </c>
      <c r="L364" s="4" t="s">
        <v>43</v>
      </c>
      <c r="M364" s="4" t="s">
        <v>51</v>
      </c>
      <c r="N364" s="4" t="s">
        <v>40</v>
      </c>
      <c r="O364" s="4" t="s">
        <v>984</v>
      </c>
      <c r="P364" s="4" t="s">
        <v>697</v>
      </c>
      <c r="Q364" s="4" t="s">
        <v>42</v>
      </c>
      <c r="R364" s="50" t="s">
        <v>43</v>
      </c>
      <c r="S364" s="50"/>
      <c r="T364" s="50" t="s">
        <v>51</v>
      </c>
      <c r="U364" s="4" t="s">
        <v>440</v>
      </c>
      <c r="V364" s="4" t="s">
        <v>32</v>
      </c>
    </row>
    <row r="365" spans="3:23" hidden="1" x14ac:dyDescent="0.25">
      <c r="C365" s="4" t="s">
        <v>623</v>
      </c>
      <c r="D365" s="4" t="s">
        <v>625</v>
      </c>
      <c r="E365" s="4" t="s">
        <v>625</v>
      </c>
      <c r="F365" s="4">
        <v>5.04</v>
      </c>
      <c r="G365" s="4" t="s">
        <v>376</v>
      </c>
      <c r="H365" s="4" t="str">
        <f>VLOOKUP(C365,[1]MAESTRA!$I$5:$J$399,2,0)</f>
        <v>cl-metromonsenoreyzaguirre@tiendas.oxxo.com</v>
      </c>
      <c r="I365" s="4" t="s">
        <v>81</v>
      </c>
      <c r="J365" s="4" t="s">
        <v>1030</v>
      </c>
      <c r="K365" s="4" t="s">
        <v>50</v>
      </c>
      <c r="L365" s="4"/>
      <c r="M365" s="4"/>
      <c r="N365" s="4"/>
      <c r="O365" s="4" t="s">
        <v>514</v>
      </c>
      <c r="P365" s="4" t="s">
        <v>623</v>
      </c>
      <c r="Q365" s="4" t="s">
        <v>42</v>
      </c>
      <c r="R365" s="50" t="s">
        <v>43</v>
      </c>
      <c r="S365" s="50"/>
      <c r="T365" s="50" t="s">
        <v>597</v>
      </c>
      <c r="U365" s="4" t="s">
        <v>43</v>
      </c>
      <c r="V365" s="4"/>
    </row>
    <row r="366" spans="3:23" hidden="1" x14ac:dyDescent="0.25">
      <c r="C366" s="4" t="s">
        <v>841</v>
      </c>
      <c r="D366" s="4" t="s">
        <v>842</v>
      </c>
      <c r="E366" s="4" t="s">
        <v>843</v>
      </c>
      <c r="F366" s="4">
        <v>5.6</v>
      </c>
      <c r="G366" s="4" t="s">
        <v>376</v>
      </c>
      <c r="H366" s="4" t="str">
        <f>VLOOKUP(C366,[1]MAESTRA!$I$5:$J$399,2,0)</f>
        <v>cl-merced@tiendas.oxxo.com</v>
      </c>
      <c r="I366" s="4" t="s">
        <v>38</v>
      </c>
      <c r="J366" s="4" t="s">
        <v>1030</v>
      </c>
      <c r="K366" s="4" t="s">
        <v>146</v>
      </c>
      <c r="L366" s="4" t="s">
        <v>43</v>
      </c>
      <c r="M366" s="4"/>
      <c r="N366" s="4"/>
      <c r="O366" s="4" t="s">
        <v>1035</v>
      </c>
      <c r="P366" s="4" t="s">
        <v>841</v>
      </c>
      <c r="Q366" s="4"/>
      <c r="R366" s="50"/>
      <c r="S366" s="50"/>
      <c r="T366" s="50"/>
      <c r="U366" s="4"/>
      <c r="V366" s="4" t="s">
        <v>32</v>
      </c>
    </row>
    <row r="367" spans="3:23" ht="18" hidden="1" x14ac:dyDescent="0.25">
      <c r="F367" s="49">
        <f>SUM(F8:F361)</f>
        <v>1320.7800000000002</v>
      </c>
    </row>
    <row r="369" spans="3:6" x14ac:dyDescent="0.25">
      <c r="F369" s="48">
        <v>5700000</v>
      </c>
    </row>
    <row r="370" spans="3:6" x14ac:dyDescent="0.25">
      <c r="F370" s="48">
        <f>900000*3</f>
        <v>2700000</v>
      </c>
    </row>
    <row r="371" spans="3:6" x14ac:dyDescent="0.25">
      <c r="F371" s="48">
        <f>F369+F370</f>
        <v>8400000</v>
      </c>
    </row>
    <row r="373" spans="3:6" x14ac:dyDescent="0.25">
      <c r="F373" s="48">
        <v>1400000</v>
      </c>
    </row>
    <row r="374" spans="3:6" x14ac:dyDescent="0.25">
      <c r="F374" s="48">
        <f>F370-F373</f>
        <v>1300000</v>
      </c>
    </row>
    <row r="381" spans="3:6" x14ac:dyDescent="0.25">
      <c r="C381" s="4" t="s">
        <v>426</v>
      </c>
    </row>
    <row r="382" spans="3:6" x14ac:dyDescent="0.25">
      <c r="C382" s="4" t="s">
        <v>685</v>
      </c>
    </row>
    <row r="383" spans="3:6" x14ac:dyDescent="0.25">
      <c r="C383" s="4" t="s">
        <v>437</v>
      </c>
    </row>
    <row r="384" spans="3:6" x14ac:dyDescent="0.25">
      <c r="C384" s="4" t="s">
        <v>592</v>
      </c>
    </row>
  </sheetData>
  <autoFilter ref="C7:W367" xr:uid="{C03E64E2-9D9D-42BC-A521-10481C686425}">
    <filterColumn colId="1">
      <filters>
        <filter val="PORTUGAL"/>
      </filters>
    </filterColumn>
  </autoFilter>
  <conditionalFormatting sqref="C8:C366">
    <cfRule type="duplicateValues" dxfId="29" priority="1"/>
  </conditionalFormatting>
  <pageMargins left="0.7" right="0.7" top="0.75" bottom="0.75" header="0.3" footer="0.3"/>
  <pageSetup paperSize="9" orientation="portrait" r:id="rId1"/>
  <headerFooter>
    <oddFooter>&amp;C_x000D_&amp;1#&amp;"Calibri"&amp;10&amp;K000000 OXXO | Uso Interno</oddFooter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24B76-05C7-4631-843E-5C9801B92E6E}">
  <sheetPr filterMode="1"/>
  <dimension ref="A1:XFC384"/>
  <sheetViews>
    <sheetView zoomScale="85" zoomScaleNormal="85" workbookViewId="0">
      <selection activeCell="F22" sqref="C22:F338"/>
    </sheetView>
  </sheetViews>
  <sheetFormatPr baseColWidth="10" defaultColWidth="10.81640625" defaultRowHeight="12.5" x14ac:dyDescent="0.25"/>
  <cols>
    <col min="1" max="1" width="6.453125" style="48" customWidth="1"/>
    <col min="2" max="2" width="5.26953125" style="48" customWidth="1"/>
    <col min="3" max="3" width="17.26953125" style="48" bestFit="1" customWidth="1"/>
    <col min="4" max="4" width="40.54296875" style="48" customWidth="1"/>
    <col min="5" max="5" width="42.54296875" style="48" hidden="1" customWidth="1"/>
    <col min="6" max="6" width="23" style="48" customWidth="1"/>
    <col min="7" max="8" width="23.54296875" style="48" customWidth="1"/>
    <col min="9" max="9" width="30" style="48" customWidth="1"/>
    <col min="10" max="10" width="39.81640625" style="48" customWidth="1"/>
    <col min="11" max="13" width="31.453125" style="48" customWidth="1"/>
    <col min="14" max="14" width="10.81640625" style="48" customWidth="1"/>
    <col min="15" max="15" width="33.81640625" style="48" customWidth="1"/>
    <col min="16" max="16" width="23" style="48" customWidth="1"/>
    <col min="17" max="17" width="25.453125" style="48" customWidth="1"/>
    <col min="18" max="18" width="34.54296875" style="48" customWidth="1"/>
    <col min="19" max="19" width="16" style="48" bestFit="1" customWidth="1"/>
    <col min="20" max="20" width="25.7265625" style="48" customWidth="1"/>
    <col min="21" max="16384" width="10.81640625" style="48"/>
  </cols>
  <sheetData>
    <row r="1" spans="3:20" x14ac:dyDescent="0.25">
      <c r="C1" s="53"/>
    </row>
    <row r="3" spans="3:20" x14ac:dyDescent="0.25">
      <c r="F3" s="52"/>
    </row>
    <row r="4" spans="3:20" x14ac:dyDescent="0.25">
      <c r="F4" s="48">
        <f>15/44</f>
        <v>0.34090909090909088</v>
      </c>
    </row>
    <row r="5" spans="3:20" x14ac:dyDescent="0.25">
      <c r="D5" s="54"/>
      <c r="E5" s="55"/>
    </row>
    <row r="6" spans="3:20" x14ac:dyDescent="0.25">
      <c r="C6" s="48">
        <v>1</v>
      </c>
      <c r="D6" s="48">
        <f>C6+1</f>
        <v>2</v>
      </c>
      <c r="E6" s="48">
        <f t="shared" ref="E6:O6" si="0">D6+1</f>
        <v>3</v>
      </c>
      <c r="F6" s="48">
        <f t="shared" si="0"/>
        <v>4</v>
      </c>
      <c r="G6" s="48">
        <v>5</v>
      </c>
      <c r="H6" s="48">
        <f>G6+1</f>
        <v>6</v>
      </c>
      <c r="I6" s="48">
        <f t="shared" si="0"/>
        <v>7</v>
      </c>
      <c r="J6" s="48">
        <f t="shared" si="0"/>
        <v>8</v>
      </c>
      <c r="K6" s="48">
        <f t="shared" si="0"/>
        <v>9</v>
      </c>
      <c r="L6" s="48">
        <f t="shared" si="0"/>
        <v>10</v>
      </c>
      <c r="M6" s="48">
        <f t="shared" si="0"/>
        <v>11</v>
      </c>
      <c r="N6" s="48">
        <f t="shared" si="0"/>
        <v>12</v>
      </c>
      <c r="O6" s="48">
        <f t="shared" si="0"/>
        <v>13</v>
      </c>
      <c r="P6" s="48">
        <v>14</v>
      </c>
      <c r="Q6" s="48">
        <v>15</v>
      </c>
      <c r="R6" s="48">
        <v>16</v>
      </c>
      <c r="S6" s="48">
        <v>17</v>
      </c>
    </row>
    <row r="7" spans="3:20" ht="13" x14ac:dyDescent="0.25">
      <c r="C7" s="1" t="s">
        <v>15</v>
      </c>
      <c r="D7" s="1" t="s">
        <v>16</v>
      </c>
      <c r="E7" s="1" t="s">
        <v>17</v>
      </c>
      <c r="F7" s="1" t="s">
        <v>18</v>
      </c>
      <c r="G7" s="1" t="s">
        <v>1040</v>
      </c>
      <c r="H7" s="1" t="s">
        <v>20</v>
      </c>
      <c r="I7" s="1" t="s">
        <v>21</v>
      </c>
      <c r="J7" s="1" t="s">
        <v>22</v>
      </c>
      <c r="K7" s="1" t="s">
        <v>24</v>
      </c>
      <c r="L7" s="1" t="s">
        <v>25</v>
      </c>
      <c r="M7" s="1" t="s">
        <v>26</v>
      </c>
      <c r="N7" s="1" t="s">
        <v>15</v>
      </c>
      <c r="O7" s="1" t="s">
        <v>27</v>
      </c>
      <c r="P7" s="1" t="s">
        <v>28</v>
      </c>
      <c r="Q7" s="1" t="s">
        <v>29</v>
      </c>
      <c r="R7" s="1" t="s">
        <v>30</v>
      </c>
      <c r="S7" s="1" t="s">
        <v>31</v>
      </c>
      <c r="T7" s="74" t="s">
        <v>1041</v>
      </c>
    </row>
    <row r="8" spans="3:20" hidden="1" x14ac:dyDescent="0.25">
      <c r="C8" s="4" t="s">
        <v>929</v>
      </c>
      <c r="D8" s="4" t="s">
        <v>930</v>
      </c>
      <c r="E8" s="4" t="s">
        <v>930</v>
      </c>
      <c r="F8" s="4">
        <v>11.68</v>
      </c>
      <c r="G8" s="4" t="s">
        <v>376</v>
      </c>
      <c r="H8" s="4" t="s">
        <v>46</v>
      </c>
      <c r="I8" s="4" t="s">
        <v>1030</v>
      </c>
      <c r="J8" s="4" t="s">
        <v>160</v>
      </c>
      <c r="K8" s="4" t="s">
        <v>353</v>
      </c>
      <c r="L8" s="4" t="s">
        <v>40</v>
      </c>
      <c r="M8" s="4" t="s">
        <v>984</v>
      </c>
      <c r="N8" s="4" t="s">
        <v>929</v>
      </c>
      <c r="O8" s="4" t="s">
        <v>379</v>
      </c>
      <c r="P8" s="50" t="s">
        <v>43</v>
      </c>
      <c r="Q8" s="50">
        <v>112775769.56287731</v>
      </c>
      <c r="R8" s="50" t="s">
        <v>931</v>
      </c>
      <c r="S8" s="4" t="s">
        <v>43</v>
      </c>
      <c r="T8" s="4" t="s">
        <v>46</v>
      </c>
    </row>
    <row r="9" spans="3:20" hidden="1" x14ac:dyDescent="0.25">
      <c r="C9" s="4" t="s">
        <v>651</v>
      </c>
      <c r="D9" s="4" t="s">
        <v>652</v>
      </c>
      <c r="E9" s="4" t="s">
        <v>652</v>
      </c>
      <c r="F9" s="4">
        <v>12</v>
      </c>
      <c r="G9" s="4" t="s">
        <v>376</v>
      </c>
      <c r="H9" s="4" t="s">
        <v>46</v>
      </c>
      <c r="I9" s="4" t="s">
        <v>1030</v>
      </c>
      <c r="J9" s="4" t="s">
        <v>248</v>
      </c>
      <c r="K9" s="4" t="s">
        <v>51</v>
      </c>
      <c r="L9" s="4" t="s">
        <v>40</v>
      </c>
      <c r="M9" s="4" t="s">
        <v>984</v>
      </c>
      <c r="N9" s="4" t="s">
        <v>651</v>
      </c>
      <c r="O9" s="4" t="s">
        <v>379</v>
      </c>
      <c r="P9" s="50" t="s">
        <v>43</v>
      </c>
      <c r="Q9" s="50">
        <v>133874210.92526335</v>
      </c>
      <c r="R9" s="50" t="s">
        <v>51</v>
      </c>
      <c r="S9" s="4" t="s">
        <v>43</v>
      </c>
      <c r="T9" s="4" t="s">
        <v>46</v>
      </c>
    </row>
    <row r="10" spans="3:20" hidden="1" x14ac:dyDescent="0.25">
      <c r="C10" s="4" t="s">
        <v>373</v>
      </c>
      <c r="D10" s="4" t="s">
        <v>374</v>
      </c>
      <c r="E10" s="4" t="s">
        <v>375</v>
      </c>
      <c r="F10" s="4">
        <v>11.68</v>
      </c>
      <c r="G10" s="4" t="s">
        <v>376</v>
      </c>
      <c r="H10" s="4" t="s">
        <v>46</v>
      </c>
      <c r="I10" s="4" t="s">
        <v>1031</v>
      </c>
      <c r="J10" s="4" t="s">
        <v>63</v>
      </c>
      <c r="K10" s="4" t="s">
        <v>138</v>
      </c>
      <c r="L10" s="4" t="s">
        <v>40</v>
      </c>
      <c r="M10" s="4" t="s">
        <v>378</v>
      </c>
      <c r="N10" s="4" t="s">
        <v>373</v>
      </c>
      <c r="O10" s="4" t="s">
        <v>379</v>
      </c>
      <c r="P10" s="50" t="s">
        <v>43</v>
      </c>
      <c r="Q10" s="50">
        <v>124534286.29749526</v>
      </c>
      <c r="R10" s="50" t="s">
        <v>380</v>
      </c>
      <c r="S10" s="4" t="s">
        <v>43</v>
      </c>
      <c r="T10" s="4" t="s">
        <v>46</v>
      </c>
    </row>
    <row r="11" spans="3:20" hidden="1" x14ac:dyDescent="0.25">
      <c r="C11" s="4" t="s">
        <v>699</v>
      </c>
      <c r="D11" s="4" t="s">
        <v>985</v>
      </c>
      <c r="E11" s="4" t="s">
        <v>701</v>
      </c>
      <c r="F11" s="4">
        <v>10</v>
      </c>
      <c r="G11" s="4" t="s">
        <v>376</v>
      </c>
      <c r="H11" s="4" t="s">
        <v>46</v>
      </c>
      <c r="I11" s="4" t="s">
        <v>1031</v>
      </c>
      <c r="J11" s="4" t="s">
        <v>84</v>
      </c>
      <c r="K11" s="4" t="s">
        <v>54</v>
      </c>
      <c r="L11" s="4" t="s">
        <v>55</v>
      </c>
      <c r="M11" s="4" t="s">
        <v>378</v>
      </c>
      <c r="N11" s="4" t="s">
        <v>699</v>
      </c>
      <c r="O11" s="4" t="s">
        <v>379</v>
      </c>
      <c r="P11" s="50" t="s">
        <v>43</v>
      </c>
      <c r="Q11" s="50">
        <v>89651731.093659326</v>
      </c>
      <c r="R11" s="50" t="s">
        <v>702</v>
      </c>
      <c r="S11" s="4" t="s">
        <v>43</v>
      </c>
      <c r="T11" s="4" t="s">
        <v>46</v>
      </c>
    </row>
    <row r="12" spans="3:20" hidden="1" x14ac:dyDescent="0.25">
      <c r="C12" s="4" t="s">
        <v>739</v>
      </c>
      <c r="D12" s="4" t="s">
        <v>740</v>
      </c>
      <c r="E12" s="4" t="s">
        <v>740</v>
      </c>
      <c r="F12" s="4">
        <v>9</v>
      </c>
      <c r="G12" s="4" t="s">
        <v>376</v>
      </c>
      <c r="H12" s="4" t="s">
        <v>46</v>
      </c>
      <c r="I12" s="4" t="s">
        <v>1031</v>
      </c>
      <c r="J12" s="4" t="s">
        <v>84</v>
      </c>
      <c r="K12" s="4" t="s">
        <v>54</v>
      </c>
      <c r="L12" s="4" t="s">
        <v>55</v>
      </c>
      <c r="M12" s="4" t="s">
        <v>378</v>
      </c>
      <c r="N12" s="4" t="s">
        <v>739</v>
      </c>
      <c r="O12" s="4" t="s">
        <v>379</v>
      </c>
      <c r="P12" s="50" t="s">
        <v>43</v>
      </c>
      <c r="Q12" s="50">
        <v>76236303.785670519</v>
      </c>
      <c r="R12" s="50" t="s">
        <v>741</v>
      </c>
      <c r="S12" s="4" t="s">
        <v>43</v>
      </c>
      <c r="T12" s="4" t="s">
        <v>46</v>
      </c>
    </row>
    <row r="13" spans="3:20" hidden="1" x14ac:dyDescent="0.25">
      <c r="C13" s="4" t="s">
        <v>381</v>
      </c>
      <c r="D13" s="4" t="s">
        <v>382</v>
      </c>
      <c r="E13" s="4" t="s">
        <v>382</v>
      </c>
      <c r="F13" s="4">
        <v>8.4499999999999993</v>
      </c>
      <c r="G13" s="4" t="s">
        <v>376</v>
      </c>
      <c r="H13" s="4" t="s">
        <v>46</v>
      </c>
      <c r="I13" s="4" t="s">
        <v>1031</v>
      </c>
      <c r="J13" s="4" t="s">
        <v>63</v>
      </c>
      <c r="K13" s="4" t="s">
        <v>138</v>
      </c>
      <c r="L13" s="4" t="s">
        <v>40</v>
      </c>
      <c r="M13" s="4" t="s">
        <v>378</v>
      </c>
      <c r="N13" s="4" t="s">
        <v>381</v>
      </c>
      <c r="O13" s="4" t="s">
        <v>379</v>
      </c>
      <c r="P13" s="50" t="s">
        <v>43</v>
      </c>
      <c r="Q13" s="50">
        <v>63538067.809881926</v>
      </c>
      <c r="R13" s="50" t="s">
        <v>380</v>
      </c>
      <c r="S13" s="4" t="s">
        <v>43</v>
      </c>
      <c r="T13" s="4" t="s">
        <v>46</v>
      </c>
    </row>
    <row r="14" spans="3:20" hidden="1" x14ac:dyDescent="0.25">
      <c r="C14" s="4" t="s">
        <v>511</v>
      </c>
      <c r="D14" s="4" t="s">
        <v>512</v>
      </c>
      <c r="E14" s="4" t="s">
        <v>513</v>
      </c>
      <c r="F14" s="4">
        <v>10.58</v>
      </c>
      <c r="G14" s="4" t="s">
        <v>376</v>
      </c>
      <c r="H14" s="4" t="s">
        <v>46</v>
      </c>
      <c r="I14" s="4" t="s">
        <v>1030</v>
      </c>
      <c r="J14" s="4" t="s">
        <v>100</v>
      </c>
      <c r="K14" s="4" t="s">
        <v>138</v>
      </c>
      <c r="L14" s="4" t="s">
        <v>40</v>
      </c>
      <c r="M14" s="4" t="s">
        <v>514</v>
      </c>
      <c r="N14" s="4" t="s">
        <v>511</v>
      </c>
      <c r="O14" s="4" t="s">
        <v>379</v>
      </c>
      <c r="P14" s="50" t="s">
        <v>43</v>
      </c>
      <c r="Q14" s="50">
        <v>87286202.94843246</v>
      </c>
      <c r="R14" s="50" t="s">
        <v>515</v>
      </c>
      <c r="S14" s="4" t="s">
        <v>43</v>
      </c>
      <c r="T14" s="4" t="s">
        <v>46</v>
      </c>
    </row>
    <row r="15" spans="3:20" hidden="1" x14ac:dyDescent="0.25">
      <c r="C15" s="4" t="s">
        <v>516</v>
      </c>
      <c r="D15" s="4" t="s">
        <v>517</v>
      </c>
      <c r="E15" s="4" t="s">
        <v>518</v>
      </c>
      <c r="F15" s="4">
        <v>10.130000000000001</v>
      </c>
      <c r="G15" s="4" t="s">
        <v>376</v>
      </c>
      <c r="H15" s="4" t="s">
        <v>46</v>
      </c>
      <c r="I15" s="4" t="s">
        <v>1030</v>
      </c>
      <c r="J15" s="4" t="s">
        <v>100</v>
      </c>
      <c r="K15" s="4" t="s">
        <v>205</v>
      </c>
      <c r="L15" s="4" t="s">
        <v>40</v>
      </c>
      <c r="M15" s="4" t="s">
        <v>514</v>
      </c>
      <c r="N15" s="4" t="s">
        <v>516</v>
      </c>
      <c r="O15" s="4" t="s">
        <v>379</v>
      </c>
      <c r="P15" s="50" t="s">
        <v>43</v>
      </c>
      <c r="Q15" s="50">
        <v>81441457.221121192</v>
      </c>
      <c r="R15" s="50" t="s">
        <v>515</v>
      </c>
      <c r="S15" s="4" t="s">
        <v>43</v>
      </c>
      <c r="T15" s="4" t="s">
        <v>46</v>
      </c>
    </row>
    <row r="16" spans="3:20" hidden="1" x14ac:dyDescent="0.25">
      <c r="C16" s="4" t="s">
        <v>796</v>
      </c>
      <c r="D16" s="4" t="s">
        <v>797</v>
      </c>
      <c r="E16" s="4" t="s">
        <v>797</v>
      </c>
      <c r="F16" s="4">
        <v>8</v>
      </c>
      <c r="G16" s="4" t="s">
        <v>376</v>
      </c>
      <c r="H16" s="4" t="s">
        <v>81</v>
      </c>
      <c r="I16" s="4" t="s">
        <v>1030</v>
      </c>
      <c r="J16" s="4" t="s">
        <v>146</v>
      </c>
      <c r="K16" s="4" t="s">
        <v>59</v>
      </c>
      <c r="L16" s="4" t="s">
        <v>40</v>
      </c>
      <c r="M16" s="4" t="s">
        <v>1035</v>
      </c>
      <c r="N16" s="4" t="s">
        <v>796</v>
      </c>
      <c r="O16" s="4" t="s">
        <v>379</v>
      </c>
      <c r="P16" s="50" t="s">
        <v>43</v>
      </c>
      <c r="Q16" s="50">
        <v>46991086.912183203</v>
      </c>
      <c r="R16" s="50" t="s">
        <v>799</v>
      </c>
      <c r="S16" s="4" t="s">
        <v>440</v>
      </c>
      <c r="T16" s="4" t="s">
        <v>81</v>
      </c>
    </row>
    <row r="17" spans="3:20" hidden="1" x14ac:dyDescent="0.25">
      <c r="C17" s="4" t="s">
        <v>463</v>
      </c>
      <c r="D17" s="4" t="s">
        <v>464</v>
      </c>
      <c r="E17" s="4" t="s">
        <v>465</v>
      </c>
      <c r="F17" s="4">
        <v>8.9</v>
      </c>
      <c r="G17" s="4" t="s">
        <v>376</v>
      </c>
      <c r="H17" s="4" t="s">
        <v>46</v>
      </c>
      <c r="I17" s="4" t="s">
        <v>1030</v>
      </c>
      <c r="J17" s="4" t="s">
        <v>466</v>
      </c>
      <c r="K17" s="4" t="s">
        <v>51</v>
      </c>
      <c r="L17" s="4" t="s">
        <v>40</v>
      </c>
      <c r="M17" s="4" t="s">
        <v>1035</v>
      </c>
      <c r="N17" s="4" t="s">
        <v>463</v>
      </c>
      <c r="O17" s="4" t="s">
        <v>379</v>
      </c>
      <c r="P17" s="50" t="s">
        <v>43</v>
      </c>
      <c r="Q17" s="50">
        <v>77323848.559681073</v>
      </c>
      <c r="R17" s="50" t="s">
        <v>467</v>
      </c>
      <c r="S17" s="4" t="s">
        <v>43</v>
      </c>
      <c r="T17" s="4" t="s">
        <v>46</v>
      </c>
    </row>
    <row r="18" spans="3:20" hidden="1" x14ac:dyDescent="0.25">
      <c r="C18" s="4" t="s">
        <v>383</v>
      </c>
      <c r="D18" s="4" t="s">
        <v>384</v>
      </c>
      <c r="E18" s="4" t="s">
        <v>384</v>
      </c>
      <c r="F18" s="4">
        <v>8</v>
      </c>
      <c r="G18" s="4" t="s">
        <v>376</v>
      </c>
      <c r="H18" s="4" t="s">
        <v>46</v>
      </c>
      <c r="I18" s="4" t="s">
        <v>1031</v>
      </c>
      <c r="J18" s="4" t="s">
        <v>63</v>
      </c>
      <c r="K18" s="4" t="s">
        <v>138</v>
      </c>
      <c r="L18" s="4" t="s">
        <v>40</v>
      </c>
      <c r="M18" s="4" t="s">
        <v>378</v>
      </c>
      <c r="N18" s="4" t="s">
        <v>383</v>
      </c>
      <c r="O18" s="4" t="s">
        <v>42</v>
      </c>
      <c r="P18" s="50" t="s">
        <v>43</v>
      </c>
      <c r="Q18" s="50">
        <v>98630857.29107435</v>
      </c>
      <c r="R18" s="50" t="s">
        <v>380</v>
      </c>
      <c r="S18" s="4" t="s">
        <v>43</v>
      </c>
      <c r="T18" s="4" t="s">
        <v>46</v>
      </c>
    </row>
    <row r="19" spans="3:20" hidden="1" x14ac:dyDescent="0.25">
      <c r="C19" s="4" t="s">
        <v>646</v>
      </c>
      <c r="D19" s="4" t="s">
        <v>647</v>
      </c>
      <c r="E19" s="4" t="s">
        <v>647</v>
      </c>
      <c r="F19" s="4">
        <v>7</v>
      </c>
      <c r="G19" s="4" t="s">
        <v>376</v>
      </c>
      <c r="H19" s="4" t="s">
        <v>46</v>
      </c>
      <c r="I19" s="4" t="s">
        <v>1030</v>
      </c>
      <c r="J19" s="4" t="s">
        <v>50</v>
      </c>
      <c r="K19" s="4" t="s">
        <v>59</v>
      </c>
      <c r="L19" s="4" t="s">
        <v>40</v>
      </c>
      <c r="M19" s="4" t="s">
        <v>514</v>
      </c>
      <c r="N19" s="4" t="s">
        <v>646</v>
      </c>
      <c r="O19" s="4" t="s">
        <v>42</v>
      </c>
      <c r="P19" s="50" t="s">
        <v>43</v>
      </c>
      <c r="Q19" s="50">
        <v>71132894.640627801</v>
      </c>
      <c r="R19" s="50" t="s">
        <v>597</v>
      </c>
      <c r="S19" s="4" t="s">
        <v>43</v>
      </c>
      <c r="T19" s="4" t="s">
        <v>46</v>
      </c>
    </row>
    <row r="20" spans="3:20" hidden="1" x14ac:dyDescent="0.25">
      <c r="C20" s="4" t="s">
        <v>648</v>
      </c>
      <c r="D20" s="4" t="s">
        <v>649</v>
      </c>
      <c r="E20" s="4" t="s">
        <v>650</v>
      </c>
      <c r="F20" s="4">
        <v>7.45</v>
      </c>
      <c r="G20" s="4" t="s">
        <v>376</v>
      </c>
      <c r="H20" s="4" t="s">
        <v>46</v>
      </c>
      <c r="I20" s="4" t="s">
        <v>1030</v>
      </c>
      <c r="J20" s="4" t="s">
        <v>50</v>
      </c>
      <c r="K20" s="4" t="s">
        <v>64</v>
      </c>
      <c r="L20" s="4" t="s">
        <v>40</v>
      </c>
      <c r="M20" s="4" t="s">
        <v>514</v>
      </c>
      <c r="N20" s="4" t="s">
        <v>648</v>
      </c>
      <c r="O20" s="4" t="s">
        <v>42</v>
      </c>
      <c r="P20" s="50" t="s">
        <v>43</v>
      </c>
      <c r="Q20" s="50">
        <v>78715357.523389563</v>
      </c>
      <c r="R20" s="50" t="s">
        <v>597</v>
      </c>
      <c r="S20" s="4" t="s">
        <v>43</v>
      </c>
      <c r="T20" s="4" t="s">
        <v>46</v>
      </c>
    </row>
    <row r="21" spans="3:20" hidden="1" x14ac:dyDescent="0.25">
      <c r="C21" s="4" t="s">
        <v>642</v>
      </c>
      <c r="D21" s="4" t="s">
        <v>643</v>
      </c>
      <c r="E21" s="4" t="s">
        <v>643</v>
      </c>
      <c r="F21" s="4">
        <v>6.16</v>
      </c>
      <c r="G21" s="4" t="s">
        <v>376</v>
      </c>
      <c r="H21" s="4" t="s">
        <v>46</v>
      </c>
      <c r="I21" s="4" t="s">
        <v>1030</v>
      </c>
      <c r="J21" s="4" t="s">
        <v>50</v>
      </c>
      <c r="K21" s="4" t="s">
        <v>51</v>
      </c>
      <c r="L21" s="4" t="s">
        <v>40</v>
      </c>
      <c r="M21" s="4" t="s">
        <v>514</v>
      </c>
      <c r="N21" s="4" t="s">
        <v>642</v>
      </c>
      <c r="O21" s="4" t="s">
        <v>42</v>
      </c>
      <c r="P21" s="50" t="s">
        <v>43</v>
      </c>
      <c r="Q21" s="50">
        <v>89868954.783163846</v>
      </c>
      <c r="R21" s="50" t="s">
        <v>597</v>
      </c>
      <c r="S21" s="4" t="s">
        <v>43</v>
      </c>
      <c r="T21" s="4" t="s">
        <v>46</v>
      </c>
    </row>
    <row r="22" spans="3:20" x14ac:dyDescent="0.25">
      <c r="C22" s="97" t="s">
        <v>468</v>
      </c>
      <c r="D22" s="97" t="s">
        <v>469</v>
      </c>
      <c r="E22" s="4" t="s">
        <v>470</v>
      </c>
      <c r="F22" s="97">
        <v>8.4499999999999993</v>
      </c>
      <c r="G22" s="4" t="s">
        <v>376</v>
      </c>
      <c r="H22" s="4" t="s">
        <v>46</v>
      </c>
      <c r="I22" s="4" t="s">
        <v>1030</v>
      </c>
      <c r="J22" s="4" t="s">
        <v>466</v>
      </c>
      <c r="K22" s="4" t="s">
        <v>51</v>
      </c>
      <c r="L22" s="4" t="s">
        <v>40</v>
      </c>
      <c r="M22" s="4" t="s">
        <v>1035</v>
      </c>
      <c r="N22" s="4" t="s">
        <v>468</v>
      </c>
      <c r="O22" s="4" t="s">
        <v>42</v>
      </c>
      <c r="P22" s="50" t="s">
        <v>43</v>
      </c>
      <c r="Q22" s="50">
        <v>115445639.34035835</v>
      </c>
      <c r="R22" s="50" t="s">
        <v>467</v>
      </c>
      <c r="S22" s="4" t="s">
        <v>43</v>
      </c>
      <c r="T22" s="4" t="s">
        <v>46</v>
      </c>
    </row>
    <row r="23" spans="3:20" hidden="1" x14ac:dyDescent="0.25">
      <c r="C23" s="4" t="s">
        <v>932</v>
      </c>
      <c r="D23" s="4" t="s">
        <v>933</v>
      </c>
      <c r="E23" s="4" t="s">
        <v>933</v>
      </c>
      <c r="F23" s="4">
        <v>7</v>
      </c>
      <c r="G23" s="4" t="s">
        <v>376</v>
      </c>
      <c r="H23" s="4" t="s">
        <v>46</v>
      </c>
      <c r="I23" s="4" t="s">
        <v>1030</v>
      </c>
      <c r="J23" s="4" t="s">
        <v>160</v>
      </c>
      <c r="K23" s="4" t="s">
        <v>353</v>
      </c>
      <c r="L23" s="4" t="s">
        <v>40</v>
      </c>
      <c r="M23" s="4" t="s">
        <v>984</v>
      </c>
      <c r="N23" s="4" t="s">
        <v>932</v>
      </c>
      <c r="O23" s="4" t="s">
        <v>42</v>
      </c>
      <c r="P23" s="50" t="s">
        <v>43</v>
      </c>
      <c r="Q23" s="50">
        <v>63491399.450127386</v>
      </c>
      <c r="R23" s="50" t="s">
        <v>931</v>
      </c>
      <c r="S23" s="4" t="s">
        <v>43</v>
      </c>
      <c r="T23" s="4" t="s">
        <v>46</v>
      </c>
    </row>
    <row r="24" spans="3:20" hidden="1" x14ac:dyDescent="0.25">
      <c r="C24" s="4" t="s">
        <v>390</v>
      </c>
      <c r="D24" s="4" t="s">
        <v>391</v>
      </c>
      <c r="E24" s="4" t="s">
        <v>391</v>
      </c>
      <c r="F24" s="4">
        <v>7</v>
      </c>
      <c r="G24" s="4" t="s">
        <v>376</v>
      </c>
      <c r="H24" s="4" t="s">
        <v>46</v>
      </c>
      <c r="I24" s="4" t="s">
        <v>1031</v>
      </c>
      <c r="J24" s="4" t="s">
        <v>63</v>
      </c>
      <c r="K24" s="4" t="s">
        <v>138</v>
      </c>
      <c r="L24" s="4" t="s">
        <v>40</v>
      </c>
      <c r="M24" s="4" t="s">
        <v>378</v>
      </c>
      <c r="N24" s="4" t="s">
        <v>390</v>
      </c>
      <c r="O24" s="4" t="s">
        <v>42</v>
      </c>
      <c r="P24" s="50" t="s">
        <v>43</v>
      </c>
      <c r="Q24" s="50">
        <v>85033924.351537138</v>
      </c>
      <c r="R24" s="50" t="s">
        <v>380</v>
      </c>
      <c r="S24" s="4" t="s">
        <v>43</v>
      </c>
      <c r="T24" s="4" t="s">
        <v>46</v>
      </c>
    </row>
    <row r="25" spans="3:20" hidden="1" x14ac:dyDescent="0.25">
      <c r="C25" s="4" t="s">
        <v>883</v>
      </c>
      <c r="D25" s="4" t="s">
        <v>884</v>
      </c>
      <c r="E25" s="4" t="s">
        <v>986</v>
      </c>
      <c r="F25" s="4">
        <v>5.45</v>
      </c>
      <c r="G25" s="4" t="s">
        <v>376</v>
      </c>
      <c r="H25" s="4" t="s">
        <v>46</v>
      </c>
      <c r="I25" s="4" t="s">
        <v>1030</v>
      </c>
      <c r="J25" s="4" t="s">
        <v>73</v>
      </c>
      <c r="K25" s="4" t="s">
        <v>315</v>
      </c>
      <c r="L25" s="4" t="s">
        <v>40</v>
      </c>
      <c r="M25" s="4" t="s">
        <v>514</v>
      </c>
      <c r="N25" s="4" t="s">
        <v>883</v>
      </c>
      <c r="O25" s="4" t="s">
        <v>42</v>
      </c>
      <c r="P25" s="50" t="s">
        <v>440</v>
      </c>
      <c r="Q25" s="50">
        <v>39781057.242998622</v>
      </c>
      <c r="R25" s="50" t="s">
        <v>886</v>
      </c>
      <c r="S25" s="4" t="s">
        <v>43</v>
      </c>
      <c r="T25" s="4" t="s">
        <v>46</v>
      </c>
    </row>
    <row r="26" spans="3:20" hidden="1" x14ac:dyDescent="0.25">
      <c r="C26" s="4" t="s">
        <v>387</v>
      </c>
      <c r="D26" s="4" t="s">
        <v>388</v>
      </c>
      <c r="E26" s="4" t="s">
        <v>389</v>
      </c>
      <c r="F26" s="4">
        <v>6.68</v>
      </c>
      <c r="G26" s="4" t="s">
        <v>376</v>
      </c>
      <c r="H26" s="4" t="s">
        <v>46</v>
      </c>
      <c r="I26" s="4" t="s">
        <v>1031</v>
      </c>
      <c r="J26" s="4" t="s">
        <v>63</v>
      </c>
      <c r="K26" s="4" t="s">
        <v>138</v>
      </c>
      <c r="L26" s="4" t="s">
        <v>40</v>
      </c>
      <c r="M26" s="4" t="s">
        <v>378</v>
      </c>
      <c r="N26" s="4" t="s">
        <v>387</v>
      </c>
      <c r="O26" s="4" t="s">
        <v>42</v>
      </c>
      <c r="P26" s="50" t="s">
        <v>43</v>
      </c>
      <c r="Q26" s="50">
        <v>72152679.597882897</v>
      </c>
      <c r="R26" s="50" t="s">
        <v>380</v>
      </c>
      <c r="S26" s="4" t="s">
        <v>43</v>
      </c>
      <c r="T26" s="4" t="s">
        <v>46</v>
      </c>
    </row>
    <row r="27" spans="3:20" hidden="1" x14ac:dyDescent="0.25">
      <c r="C27" s="4" t="s">
        <v>519</v>
      </c>
      <c r="D27" s="4" t="s">
        <v>520</v>
      </c>
      <c r="E27" s="4" t="s">
        <v>520</v>
      </c>
      <c r="F27" s="4">
        <v>7</v>
      </c>
      <c r="G27" s="4" t="s">
        <v>376</v>
      </c>
      <c r="H27" s="4" t="s">
        <v>46</v>
      </c>
      <c r="I27" s="4" t="s">
        <v>1030</v>
      </c>
      <c r="J27" s="4" t="s">
        <v>100</v>
      </c>
      <c r="K27" s="4" t="s">
        <v>138</v>
      </c>
      <c r="L27" s="4" t="s">
        <v>40</v>
      </c>
      <c r="M27" s="4" t="s">
        <v>514</v>
      </c>
      <c r="N27" s="4" t="s">
        <v>519</v>
      </c>
      <c r="O27" s="4" t="s">
        <v>42</v>
      </c>
      <c r="P27" s="50" t="s">
        <v>43</v>
      </c>
      <c r="Q27" s="50">
        <v>75975943.400534123</v>
      </c>
      <c r="R27" s="50" t="s">
        <v>515</v>
      </c>
      <c r="S27" s="4" t="s">
        <v>43</v>
      </c>
      <c r="T27" s="4" t="s">
        <v>46</v>
      </c>
    </row>
    <row r="28" spans="3:20" hidden="1" x14ac:dyDescent="0.25">
      <c r="C28" s="4" t="s">
        <v>887</v>
      </c>
      <c r="D28" s="4" t="s">
        <v>275</v>
      </c>
      <c r="E28" s="4" t="s">
        <v>888</v>
      </c>
      <c r="F28" s="4">
        <v>8.68</v>
      </c>
      <c r="G28" s="4" t="s">
        <v>376</v>
      </c>
      <c r="H28" s="4" t="s">
        <v>46</v>
      </c>
      <c r="I28" s="4" t="s">
        <v>1030</v>
      </c>
      <c r="J28" s="4" t="s">
        <v>73</v>
      </c>
      <c r="K28" s="4" t="s">
        <v>275</v>
      </c>
      <c r="L28" s="4" t="s">
        <v>40</v>
      </c>
      <c r="M28" s="4" t="s">
        <v>514</v>
      </c>
      <c r="N28" s="4" t="s">
        <v>887</v>
      </c>
      <c r="O28" s="4" t="s">
        <v>42</v>
      </c>
      <c r="P28" s="50" t="s">
        <v>43</v>
      </c>
      <c r="Q28" s="50">
        <v>96229867.599099442</v>
      </c>
      <c r="R28" s="50" t="s">
        <v>886</v>
      </c>
      <c r="S28" s="4" t="s">
        <v>43</v>
      </c>
      <c r="T28" s="4" t="s">
        <v>46</v>
      </c>
    </row>
    <row r="29" spans="3:20" ht="13" hidden="1" x14ac:dyDescent="0.25">
      <c r="C29" s="4" t="s">
        <v>654</v>
      </c>
      <c r="D29" s="4" t="s">
        <v>655</v>
      </c>
      <c r="E29" s="4" t="s">
        <v>655</v>
      </c>
      <c r="F29" s="43">
        <v>7</v>
      </c>
      <c r="G29" s="4" t="s">
        <v>376</v>
      </c>
      <c r="H29" s="4" t="s">
        <v>46</v>
      </c>
      <c r="I29" s="4" t="s">
        <v>1030</v>
      </c>
      <c r="J29" s="4" t="s">
        <v>248</v>
      </c>
      <c r="K29" s="4" t="s">
        <v>51</v>
      </c>
      <c r="L29" s="4" t="s">
        <v>40</v>
      </c>
      <c r="M29" s="4" t="s">
        <v>984</v>
      </c>
      <c r="N29" s="4" t="s">
        <v>654</v>
      </c>
      <c r="O29" s="4" t="s">
        <v>42</v>
      </c>
      <c r="P29" s="50" t="s">
        <v>43</v>
      </c>
      <c r="Q29" s="50">
        <v>72488416.04857707</v>
      </c>
      <c r="R29" s="50" t="s">
        <v>51</v>
      </c>
      <c r="S29" s="4" t="s">
        <v>43</v>
      </c>
      <c r="T29" s="4" t="s">
        <v>46</v>
      </c>
    </row>
    <row r="30" spans="3:20" hidden="1" x14ac:dyDescent="0.25">
      <c r="C30" s="4" t="s">
        <v>800</v>
      </c>
      <c r="D30" s="4" t="s">
        <v>801</v>
      </c>
      <c r="E30" s="4" t="s">
        <v>801</v>
      </c>
      <c r="F30" s="4">
        <v>7</v>
      </c>
      <c r="G30" s="4" t="s">
        <v>376</v>
      </c>
      <c r="H30" s="4" t="s">
        <v>46</v>
      </c>
      <c r="I30" s="4" t="s">
        <v>1030</v>
      </c>
      <c r="J30" s="4" t="s">
        <v>146</v>
      </c>
      <c r="K30" s="4" t="s">
        <v>59</v>
      </c>
      <c r="L30" s="4" t="s">
        <v>40</v>
      </c>
      <c r="M30" s="4" t="s">
        <v>1035</v>
      </c>
      <c r="N30" s="4" t="s">
        <v>800</v>
      </c>
      <c r="O30" s="4" t="s">
        <v>42</v>
      </c>
      <c r="P30" s="50" t="s">
        <v>43</v>
      </c>
      <c r="Q30" s="50">
        <v>45159464.64812535</v>
      </c>
      <c r="R30" s="50" t="s">
        <v>799</v>
      </c>
      <c r="S30" s="4" t="s">
        <v>43</v>
      </c>
      <c r="T30" s="4" t="s">
        <v>46</v>
      </c>
    </row>
    <row r="31" spans="3:20" hidden="1" x14ac:dyDescent="0.25">
      <c r="C31" s="4" t="s">
        <v>385</v>
      </c>
      <c r="D31" s="4" t="s">
        <v>386</v>
      </c>
      <c r="E31" s="4" t="s">
        <v>386</v>
      </c>
      <c r="F31" s="4">
        <v>7</v>
      </c>
      <c r="G31" s="4" t="s">
        <v>376</v>
      </c>
      <c r="H31" s="4" t="s">
        <v>46</v>
      </c>
      <c r="I31" s="4" t="s">
        <v>1031</v>
      </c>
      <c r="J31" s="4" t="s">
        <v>63</v>
      </c>
      <c r="K31" s="4" t="s">
        <v>138</v>
      </c>
      <c r="L31" s="4" t="s">
        <v>40</v>
      </c>
      <c r="M31" s="4" t="s">
        <v>378</v>
      </c>
      <c r="N31" s="4" t="s">
        <v>385</v>
      </c>
      <c r="O31" s="4" t="s">
        <v>42</v>
      </c>
      <c r="P31" s="50" t="s">
        <v>43</v>
      </c>
      <c r="Q31" s="50">
        <v>89781567.399542093</v>
      </c>
      <c r="R31" s="50" t="s">
        <v>380</v>
      </c>
      <c r="S31" s="4" t="s">
        <v>43</v>
      </c>
      <c r="T31" s="4" t="s">
        <v>46</v>
      </c>
    </row>
    <row r="32" spans="3:20" hidden="1" x14ac:dyDescent="0.25">
      <c r="C32" s="4" t="s">
        <v>934</v>
      </c>
      <c r="D32" s="4" t="s">
        <v>935</v>
      </c>
      <c r="E32" s="4" t="s">
        <v>935</v>
      </c>
      <c r="F32" s="4">
        <v>7</v>
      </c>
      <c r="G32" s="4" t="s">
        <v>376</v>
      </c>
      <c r="H32" s="4" t="s">
        <v>46</v>
      </c>
      <c r="I32" s="4" t="s">
        <v>1030</v>
      </c>
      <c r="J32" s="4" t="s">
        <v>160</v>
      </c>
      <c r="K32" s="4" t="s">
        <v>353</v>
      </c>
      <c r="L32" s="4" t="s">
        <v>40</v>
      </c>
      <c r="M32" s="4" t="s">
        <v>984</v>
      </c>
      <c r="N32" s="4" t="s">
        <v>934</v>
      </c>
      <c r="O32" s="4" t="s">
        <v>42</v>
      </c>
      <c r="P32" s="50" t="s">
        <v>43</v>
      </c>
      <c r="Q32" s="50">
        <v>63143164.797497667</v>
      </c>
      <c r="R32" s="50" t="s">
        <v>931</v>
      </c>
      <c r="S32" s="4" t="s">
        <v>43</v>
      </c>
      <c r="T32" s="4" t="s">
        <v>46</v>
      </c>
    </row>
    <row r="33" spans="3:20" hidden="1" x14ac:dyDescent="0.25">
      <c r="C33" s="4" t="s">
        <v>573</v>
      </c>
      <c r="D33" s="4" t="s">
        <v>574</v>
      </c>
      <c r="E33" s="4" t="s">
        <v>575</v>
      </c>
      <c r="F33" s="4">
        <v>7</v>
      </c>
      <c r="G33" s="4" t="s">
        <v>376</v>
      </c>
      <c r="H33" s="4" t="s">
        <v>46</v>
      </c>
      <c r="I33" s="4" t="s">
        <v>1030</v>
      </c>
      <c r="J33" s="4" t="s">
        <v>331</v>
      </c>
      <c r="K33" s="4" t="s">
        <v>138</v>
      </c>
      <c r="L33" s="4" t="s">
        <v>40</v>
      </c>
      <c r="M33" s="4" t="s">
        <v>984</v>
      </c>
      <c r="N33" s="4" t="s">
        <v>573</v>
      </c>
      <c r="O33" s="4" t="s">
        <v>42</v>
      </c>
      <c r="P33" s="50" t="s">
        <v>440</v>
      </c>
      <c r="Q33" s="50">
        <v>78286930.600699171</v>
      </c>
      <c r="R33" s="50" t="s">
        <v>557</v>
      </c>
      <c r="S33" s="4" t="s">
        <v>43</v>
      </c>
      <c r="T33" s="4" t="s">
        <v>46</v>
      </c>
    </row>
    <row r="34" spans="3:20" hidden="1" x14ac:dyDescent="0.25">
      <c r="C34" s="4" t="s">
        <v>804</v>
      </c>
      <c r="D34" s="4" t="s">
        <v>805</v>
      </c>
      <c r="E34" s="4" t="s">
        <v>806</v>
      </c>
      <c r="F34" s="4">
        <v>7</v>
      </c>
      <c r="G34" s="4" t="s">
        <v>376</v>
      </c>
      <c r="H34" s="4" t="s">
        <v>46</v>
      </c>
      <c r="I34" s="4" t="s">
        <v>1030</v>
      </c>
      <c r="J34" s="4" t="s">
        <v>146</v>
      </c>
      <c r="K34" s="4" t="s">
        <v>59</v>
      </c>
      <c r="L34" s="4" t="s">
        <v>40</v>
      </c>
      <c r="M34" s="4" t="s">
        <v>1035</v>
      </c>
      <c r="N34" s="4" t="s">
        <v>804</v>
      </c>
      <c r="O34" s="4" t="s">
        <v>42</v>
      </c>
      <c r="P34" s="50" t="s">
        <v>43</v>
      </c>
      <c r="Q34" s="50">
        <v>63499787.140132785</v>
      </c>
      <c r="R34" s="50" t="s">
        <v>799</v>
      </c>
      <c r="S34" s="4" t="s">
        <v>43</v>
      </c>
      <c r="T34" s="4" t="s">
        <v>46</v>
      </c>
    </row>
    <row r="35" spans="3:20" hidden="1" x14ac:dyDescent="0.25">
      <c r="C35" s="4" t="s">
        <v>618</v>
      </c>
      <c r="D35" s="4" t="s">
        <v>619</v>
      </c>
      <c r="E35" s="4" t="s">
        <v>619</v>
      </c>
      <c r="F35" s="4">
        <v>6.68</v>
      </c>
      <c r="G35" s="4" t="s">
        <v>1032</v>
      </c>
      <c r="H35" s="4" t="s">
        <v>46</v>
      </c>
      <c r="I35" s="4" t="s">
        <v>1030</v>
      </c>
      <c r="J35" s="4" t="s">
        <v>50</v>
      </c>
      <c r="K35" s="4" t="s">
        <v>59</v>
      </c>
      <c r="L35" s="4" t="s">
        <v>40</v>
      </c>
      <c r="M35" s="4" t="s">
        <v>514</v>
      </c>
      <c r="N35" s="4" t="s">
        <v>618</v>
      </c>
      <c r="O35" s="4" t="s">
        <v>42</v>
      </c>
      <c r="P35" s="50" t="s">
        <v>43</v>
      </c>
      <c r="Q35" s="50">
        <v>59949604.711131297</v>
      </c>
      <c r="R35" s="50" t="s">
        <v>597</v>
      </c>
      <c r="S35" s="4" t="s">
        <v>43</v>
      </c>
      <c r="T35" s="4" t="s">
        <v>46</v>
      </c>
    </row>
    <row r="36" spans="3:20" hidden="1" x14ac:dyDescent="0.25">
      <c r="C36" s="4" t="s">
        <v>419</v>
      </c>
      <c r="D36" s="4" t="s">
        <v>420</v>
      </c>
      <c r="E36" s="4" t="s">
        <v>64</v>
      </c>
      <c r="F36" s="4">
        <v>6</v>
      </c>
      <c r="G36" s="4" t="s">
        <v>376</v>
      </c>
      <c r="H36" s="4" t="s">
        <v>46</v>
      </c>
      <c r="I36" s="4" t="s">
        <v>1030</v>
      </c>
      <c r="J36" s="4" t="s">
        <v>94</v>
      </c>
      <c r="K36" s="4" t="s">
        <v>64</v>
      </c>
      <c r="L36" s="4" t="s">
        <v>40</v>
      </c>
      <c r="M36" s="4" t="s">
        <v>1035</v>
      </c>
      <c r="N36" s="4" t="s">
        <v>419</v>
      </c>
      <c r="O36" s="4" t="s">
        <v>42</v>
      </c>
      <c r="P36" s="50" t="s">
        <v>43</v>
      </c>
      <c r="Q36" s="50">
        <v>60781634.469640426</v>
      </c>
      <c r="R36" s="50" t="s">
        <v>423</v>
      </c>
      <c r="S36" s="4" t="s">
        <v>43</v>
      </c>
      <c r="T36" s="4" t="s">
        <v>46</v>
      </c>
    </row>
    <row r="37" spans="3:20" hidden="1" x14ac:dyDescent="0.25">
      <c r="C37" s="4" t="s">
        <v>521</v>
      </c>
      <c r="D37" s="4" t="s">
        <v>522</v>
      </c>
      <c r="E37" s="4" t="s">
        <v>522</v>
      </c>
      <c r="F37" s="44">
        <v>6</v>
      </c>
      <c r="G37" s="4" t="s">
        <v>376</v>
      </c>
      <c r="H37" s="4" t="s">
        <v>46</v>
      </c>
      <c r="I37" s="4" t="s">
        <v>1030</v>
      </c>
      <c r="J37" s="4" t="s">
        <v>100</v>
      </c>
      <c r="K37" s="4" t="s">
        <v>138</v>
      </c>
      <c r="L37" s="4" t="s">
        <v>40</v>
      </c>
      <c r="M37" s="4" t="s">
        <v>514</v>
      </c>
      <c r="N37" s="4" t="s">
        <v>521</v>
      </c>
      <c r="O37" s="4" t="s">
        <v>42</v>
      </c>
      <c r="P37" s="50" t="s">
        <v>43</v>
      </c>
      <c r="Q37" s="50">
        <v>56731195.364166535</v>
      </c>
      <c r="R37" s="50" t="s">
        <v>515</v>
      </c>
      <c r="S37" s="4" t="s">
        <v>43</v>
      </c>
      <c r="T37" s="4" t="s">
        <v>46</v>
      </c>
    </row>
    <row r="38" spans="3:20" hidden="1" x14ac:dyDescent="0.25">
      <c r="C38" s="4" t="s">
        <v>844</v>
      </c>
      <c r="D38" s="4" t="s">
        <v>845</v>
      </c>
      <c r="E38" s="4" t="s">
        <v>846</v>
      </c>
      <c r="F38" s="4">
        <v>6</v>
      </c>
      <c r="G38" s="4" t="s">
        <v>376</v>
      </c>
      <c r="H38" s="4" t="s">
        <v>46</v>
      </c>
      <c r="I38" s="4" t="s">
        <v>1030</v>
      </c>
      <c r="J38" s="4" t="s">
        <v>132</v>
      </c>
      <c r="K38" s="4" t="s">
        <v>138</v>
      </c>
      <c r="L38" s="4" t="s">
        <v>40</v>
      </c>
      <c r="M38" s="4" t="s">
        <v>1035</v>
      </c>
      <c r="N38" s="4" t="s">
        <v>844</v>
      </c>
      <c r="O38" s="4" t="s">
        <v>42</v>
      </c>
      <c r="P38" s="50" t="s">
        <v>43</v>
      </c>
      <c r="Q38" s="50">
        <v>61222123.523738742</v>
      </c>
      <c r="R38" s="50" t="s">
        <v>847</v>
      </c>
      <c r="S38" s="4" t="s">
        <v>43</v>
      </c>
      <c r="T38" s="4" t="s">
        <v>46</v>
      </c>
    </row>
    <row r="39" spans="3:20" hidden="1" x14ac:dyDescent="0.25">
      <c r="C39" s="4" t="s">
        <v>889</v>
      </c>
      <c r="D39" s="4" t="s">
        <v>890</v>
      </c>
      <c r="E39" s="4" t="s">
        <v>890</v>
      </c>
      <c r="F39" s="4">
        <v>6</v>
      </c>
      <c r="G39" s="4" t="s">
        <v>376</v>
      </c>
      <c r="H39" s="4" t="s">
        <v>46</v>
      </c>
      <c r="I39" s="4" t="s">
        <v>1030</v>
      </c>
      <c r="J39" s="4" t="s">
        <v>73</v>
      </c>
      <c r="K39" s="4" t="s">
        <v>97</v>
      </c>
      <c r="L39" s="4" t="s">
        <v>40</v>
      </c>
      <c r="M39" s="4" t="s">
        <v>514</v>
      </c>
      <c r="N39" s="4" t="s">
        <v>889</v>
      </c>
      <c r="O39" s="4" t="s">
        <v>42</v>
      </c>
      <c r="P39" s="50" t="s">
        <v>43</v>
      </c>
      <c r="Q39" s="50">
        <v>57522372.444257878</v>
      </c>
      <c r="R39" s="50" t="s">
        <v>886</v>
      </c>
      <c r="S39" s="4" t="s">
        <v>43</v>
      </c>
      <c r="T39" s="4" t="s">
        <v>46</v>
      </c>
    </row>
    <row r="40" spans="3:20" hidden="1" x14ac:dyDescent="0.25">
      <c r="C40" s="4" t="s">
        <v>392</v>
      </c>
      <c r="D40" s="4" t="s">
        <v>393</v>
      </c>
      <c r="E40" s="4" t="s">
        <v>393</v>
      </c>
      <c r="F40" s="4">
        <v>5</v>
      </c>
      <c r="G40" s="4" t="s">
        <v>376</v>
      </c>
      <c r="H40" s="4" t="s">
        <v>46</v>
      </c>
      <c r="I40" s="4" t="s">
        <v>1031</v>
      </c>
      <c r="J40" s="4" t="s">
        <v>63</v>
      </c>
      <c r="K40" s="4" t="s">
        <v>138</v>
      </c>
      <c r="L40" s="4" t="s">
        <v>40</v>
      </c>
      <c r="M40" s="4" t="s">
        <v>378</v>
      </c>
      <c r="N40" s="4" t="s">
        <v>392</v>
      </c>
      <c r="O40" s="4" t="s">
        <v>42</v>
      </c>
      <c r="P40" s="50" t="s">
        <v>43</v>
      </c>
      <c r="Q40" s="50">
        <v>54479315.022079527</v>
      </c>
      <c r="R40" s="50" t="s">
        <v>380</v>
      </c>
      <c r="S40" s="4" t="s">
        <v>43</v>
      </c>
      <c r="T40" s="4" t="s">
        <v>46</v>
      </c>
    </row>
    <row r="41" spans="3:20" hidden="1" x14ac:dyDescent="0.25">
      <c r="C41" s="4" t="s">
        <v>703</v>
      </c>
      <c r="D41" s="4" t="s">
        <v>704</v>
      </c>
      <c r="E41" s="4" t="s">
        <v>705</v>
      </c>
      <c r="F41" s="4">
        <v>5</v>
      </c>
      <c r="G41" s="4" t="s">
        <v>376</v>
      </c>
      <c r="H41" s="4" t="s">
        <v>46</v>
      </c>
      <c r="I41" s="4" t="s">
        <v>1031</v>
      </c>
      <c r="J41" s="4" t="s">
        <v>84</v>
      </c>
      <c r="K41" s="4" t="s">
        <v>706</v>
      </c>
      <c r="L41" s="4" t="s">
        <v>55</v>
      </c>
      <c r="M41" s="4" t="s">
        <v>378</v>
      </c>
      <c r="N41" s="4" t="s">
        <v>703</v>
      </c>
      <c r="O41" s="4" t="s">
        <v>42</v>
      </c>
      <c r="P41" s="50" t="s">
        <v>43</v>
      </c>
      <c r="Q41" s="50">
        <v>56219938.740000002</v>
      </c>
      <c r="R41" s="50" t="s">
        <v>702</v>
      </c>
      <c r="S41" s="4" t="s">
        <v>43</v>
      </c>
      <c r="T41" s="4" t="s">
        <v>46</v>
      </c>
    </row>
    <row r="42" spans="3:20" hidden="1" x14ac:dyDescent="0.25">
      <c r="C42" s="4" t="s">
        <v>34</v>
      </c>
      <c r="D42" s="4" t="s">
        <v>35</v>
      </c>
      <c r="E42" s="4" t="s">
        <v>35</v>
      </c>
      <c r="F42" s="4" t="s">
        <v>36</v>
      </c>
      <c r="G42" s="4" t="s">
        <v>37</v>
      </c>
      <c r="H42" s="4" t="s">
        <v>38</v>
      </c>
      <c r="I42" s="4" t="s">
        <v>1030</v>
      </c>
      <c r="J42" s="4">
        <v>0</v>
      </c>
      <c r="K42" s="4" t="s">
        <v>39</v>
      </c>
      <c r="L42" s="4" t="s">
        <v>40</v>
      </c>
      <c r="M42" s="4">
        <v>0</v>
      </c>
      <c r="N42" s="4" t="s">
        <v>34</v>
      </c>
      <c r="O42" s="4" t="s">
        <v>42</v>
      </c>
      <c r="P42" s="50" t="s">
        <v>43</v>
      </c>
      <c r="Q42" s="50" t="s">
        <v>36</v>
      </c>
      <c r="R42" s="50">
        <v>0</v>
      </c>
      <c r="S42" s="4" t="s">
        <v>36</v>
      </c>
      <c r="T42" s="4" t="s">
        <v>38</v>
      </c>
    </row>
    <row r="43" spans="3:20" hidden="1" x14ac:dyDescent="0.25">
      <c r="C43" s="4" t="s">
        <v>424</v>
      </c>
      <c r="D43" s="4" t="s">
        <v>425</v>
      </c>
      <c r="E43" s="4" t="s">
        <v>988</v>
      </c>
      <c r="F43" s="4">
        <v>6</v>
      </c>
      <c r="G43" s="4" t="s">
        <v>37</v>
      </c>
      <c r="H43" s="4" t="s">
        <v>46</v>
      </c>
      <c r="I43" s="4" t="s">
        <v>1030</v>
      </c>
      <c r="J43" s="4" t="s">
        <v>94</v>
      </c>
      <c r="K43" s="4" t="s">
        <v>64</v>
      </c>
      <c r="L43" s="4" t="s">
        <v>40</v>
      </c>
      <c r="M43" s="4" t="s">
        <v>1035</v>
      </c>
      <c r="N43" s="4" t="s">
        <v>424</v>
      </c>
      <c r="O43" s="4" t="s">
        <v>42</v>
      </c>
      <c r="P43" s="50" t="s">
        <v>43</v>
      </c>
      <c r="Q43" s="50" t="s">
        <v>36</v>
      </c>
      <c r="R43" s="50" t="s">
        <v>423</v>
      </c>
      <c r="S43" s="4" t="s">
        <v>36</v>
      </c>
      <c r="T43" s="4" t="s">
        <v>46</v>
      </c>
    </row>
    <row r="44" spans="3:20" hidden="1" x14ac:dyDescent="0.25">
      <c r="C44" s="4" t="s">
        <v>471</v>
      </c>
      <c r="D44" s="4" t="s">
        <v>472</v>
      </c>
      <c r="E44" s="4" t="s">
        <v>473</v>
      </c>
      <c r="F44" s="4">
        <v>5</v>
      </c>
      <c r="G44" s="4" t="s">
        <v>376</v>
      </c>
      <c r="H44" s="4" t="s">
        <v>46</v>
      </c>
      <c r="I44" s="4" t="s">
        <v>1030</v>
      </c>
      <c r="J44" s="4" t="s">
        <v>466</v>
      </c>
      <c r="K44" s="4" t="s">
        <v>51</v>
      </c>
      <c r="L44" s="4" t="s">
        <v>40</v>
      </c>
      <c r="M44" s="4" t="s">
        <v>1035</v>
      </c>
      <c r="N44" s="4" t="s">
        <v>471</v>
      </c>
      <c r="O44" s="4" t="s">
        <v>42</v>
      </c>
      <c r="P44" s="50" t="s">
        <v>43</v>
      </c>
      <c r="Q44" s="50">
        <v>49941419.851312824</v>
      </c>
      <c r="R44" s="50" t="s">
        <v>467</v>
      </c>
      <c r="S44" s="4" t="s">
        <v>43</v>
      </c>
      <c r="T44" s="4" t="s">
        <v>46</v>
      </c>
    </row>
    <row r="45" spans="3:20" hidden="1" x14ac:dyDescent="0.25">
      <c r="C45" s="4" t="s">
        <v>742</v>
      </c>
      <c r="D45" s="4" t="s">
        <v>744</v>
      </c>
      <c r="E45" s="51" t="s">
        <v>989</v>
      </c>
      <c r="F45" s="4">
        <v>6</v>
      </c>
      <c r="G45" s="4" t="s">
        <v>376</v>
      </c>
      <c r="H45" s="4" t="s">
        <v>46</v>
      </c>
      <c r="I45" s="4" t="s">
        <v>1031</v>
      </c>
      <c r="J45" s="4" t="s">
        <v>84</v>
      </c>
      <c r="K45" s="4" t="s">
        <v>54</v>
      </c>
      <c r="L45" s="4" t="s">
        <v>55</v>
      </c>
      <c r="M45" s="4" t="s">
        <v>378</v>
      </c>
      <c r="N45" s="4" t="s">
        <v>742</v>
      </c>
      <c r="O45" s="4" t="s">
        <v>42</v>
      </c>
      <c r="P45" s="50" t="s">
        <v>440</v>
      </c>
      <c r="Q45" s="50">
        <v>54570464.775227241</v>
      </c>
      <c r="R45" s="50" t="s">
        <v>741</v>
      </c>
      <c r="S45" s="4" t="s">
        <v>43</v>
      </c>
      <c r="T45" s="4" t="s">
        <v>46</v>
      </c>
    </row>
    <row r="46" spans="3:20" hidden="1" x14ac:dyDescent="0.25">
      <c r="C46" s="4" t="s">
        <v>707</v>
      </c>
      <c r="D46" s="4" t="s">
        <v>706</v>
      </c>
      <c r="E46" s="4" t="s">
        <v>708</v>
      </c>
      <c r="F46" s="4">
        <v>5</v>
      </c>
      <c r="G46" s="4" t="s">
        <v>376</v>
      </c>
      <c r="H46" s="4" t="s">
        <v>46</v>
      </c>
      <c r="I46" s="4" t="s">
        <v>1031</v>
      </c>
      <c r="J46" s="4" t="s">
        <v>84</v>
      </c>
      <c r="K46" s="4" t="s">
        <v>706</v>
      </c>
      <c r="L46" s="4" t="s">
        <v>55</v>
      </c>
      <c r="M46" s="4" t="s">
        <v>378</v>
      </c>
      <c r="N46" s="4" t="s">
        <v>707</v>
      </c>
      <c r="O46" s="4" t="s">
        <v>42</v>
      </c>
      <c r="P46" s="50" t="s">
        <v>440</v>
      </c>
      <c r="Q46" s="50">
        <v>31397934.821930159</v>
      </c>
      <c r="R46" s="50" t="s">
        <v>702</v>
      </c>
      <c r="S46" s="4" t="s">
        <v>43</v>
      </c>
      <c r="T46" s="4" t="s">
        <v>46</v>
      </c>
    </row>
    <row r="47" spans="3:20" hidden="1" x14ac:dyDescent="0.25">
      <c r="C47" s="4" t="s">
        <v>394</v>
      </c>
      <c r="D47" s="4" t="s">
        <v>395</v>
      </c>
      <c r="E47" s="4" t="s">
        <v>395</v>
      </c>
      <c r="F47" s="4">
        <v>6</v>
      </c>
      <c r="G47" s="4" t="s">
        <v>376</v>
      </c>
      <c r="H47" s="4" t="s">
        <v>46</v>
      </c>
      <c r="I47" s="4" t="s">
        <v>1031</v>
      </c>
      <c r="J47" s="4" t="s">
        <v>63</v>
      </c>
      <c r="K47" s="4" t="s">
        <v>138</v>
      </c>
      <c r="L47" s="4" t="s">
        <v>40</v>
      </c>
      <c r="M47" s="4" t="s">
        <v>378</v>
      </c>
      <c r="N47" s="4" t="s">
        <v>394</v>
      </c>
      <c r="O47" s="4" t="s">
        <v>42</v>
      </c>
      <c r="P47" s="50" t="s">
        <v>43</v>
      </c>
      <c r="Q47" s="50">
        <v>63058767.686712146</v>
      </c>
      <c r="R47" s="50" t="s">
        <v>380</v>
      </c>
      <c r="S47" s="4" t="s">
        <v>43</v>
      </c>
      <c r="T47" s="4" t="s">
        <v>46</v>
      </c>
    </row>
    <row r="48" spans="3:20" hidden="1" x14ac:dyDescent="0.25">
      <c r="C48" s="4" t="s">
        <v>396</v>
      </c>
      <c r="D48" s="4" t="s">
        <v>397</v>
      </c>
      <c r="E48" s="4" t="s">
        <v>397</v>
      </c>
      <c r="F48" s="4">
        <v>6</v>
      </c>
      <c r="G48" s="4" t="s">
        <v>376</v>
      </c>
      <c r="H48" s="4" t="s">
        <v>46</v>
      </c>
      <c r="I48" s="4" t="s">
        <v>1031</v>
      </c>
      <c r="J48" s="4" t="s">
        <v>63</v>
      </c>
      <c r="K48" s="4" t="s">
        <v>138</v>
      </c>
      <c r="L48" s="4" t="s">
        <v>40</v>
      </c>
      <c r="M48" s="4" t="s">
        <v>378</v>
      </c>
      <c r="N48" s="4" t="s">
        <v>396</v>
      </c>
      <c r="O48" s="4" t="s">
        <v>42</v>
      </c>
      <c r="P48" s="50" t="s">
        <v>43</v>
      </c>
      <c r="Q48" s="50">
        <v>46334510.39920716</v>
      </c>
      <c r="R48" s="50" t="s">
        <v>380</v>
      </c>
      <c r="S48" s="4" t="s">
        <v>43</v>
      </c>
      <c r="T48" s="4" t="s">
        <v>46</v>
      </c>
    </row>
    <row r="49" spans="3:20" hidden="1" x14ac:dyDescent="0.25">
      <c r="C49" s="4" t="s">
        <v>848</v>
      </c>
      <c r="D49" s="4" t="s">
        <v>849</v>
      </c>
      <c r="E49" s="4" t="s">
        <v>849</v>
      </c>
      <c r="F49" s="4">
        <v>8.34</v>
      </c>
      <c r="G49" s="4" t="s">
        <v>376</v>
      </c>
      <c r="H49" s="4" t="s">
        <v>46</v>
      </c>
      <c r="I49" s="4" t="s">
        <v>1030</v>
      </c>
      <c r="J49" s="4" t="s">
        <v>132</v>
      </c>
      <c r="K49" s="4" t="s">
        <v>138</v>
      </c>
      <c r="L49" s="4" t="s">
        <v>40</v>
      </c>
      <c r="M49" s="4" t="s">
        <v>1035</v>
      </c>
      <c r="N49" s="4" t="s">
        <v>848</v>
      </c>
      <c r="O49" s="4" t="s">
        <v>42</v>
      </c>
      <c r="P49" s="50" t="s">
        <v>43</v>
      </c>
      <c r="Q49" s="50">
        <v>79735707.137023851</v>
      </c>
      <c r="R49" s="50" t="s">
        <v>847</v>
      </c>
      <c r="S49" s="4" t="s">
        <v>43</v>
      </c>
      <c r="T49" s="4" t="s">
        <v>46</v>
      </c>
    </row>
    <row r="50" spans="3:20" s="69" customFormat="1" hidden="1" x14ac:dyDescent="0.25">
      <c r="C50" s="70" t="s">
        <v>936</v>
      </c>
      <c r="D50" s="70" t="s">
        <v>937</v>
      </c>
      <c r="E50" s="4" t="s">
        <v>938</v>
      </c>
      <c r="F50" s="70">
        <v>5</v>
      </c>
      <c r="G50" s="70" t="s">
        <v>376</v>
      </c>
      <c r="H50" s="70" t="s">
        <v>46</v>
      </c>
      <c r="I50" s="70" t="s">
        <v>1030</v>
      </c>
      <c r="J50" s="70" t="s">
        <v>160</v>
      </c>
      <c r="K50" s="70" t="s">
        <v>138</v>
      </c>
      <c r="L50" s="70" t="s">
        <v>40</v>
      </c>
      <c r="M50" s="70" t="s">
        <v>984</v>
      </c>
      <c r="N50" s="70" t="s">
        <v>936</v>
      </c>
      <c r="O50" s="70" t="s">
        <v>42</v>
      </c>
      <c r="P50" s="71" t="s">
        <v>43</v>
      </c>
      <c r="Q50" s="71">
        <v>49276992.986560598</v>
      </c>
      <c r="R50" s="71" t="s">
        <v>931</v>
      </c>
      <c r="S50" s="70" t="s">
        <v>43</v>
      </c>
      <c r="T50" s="4" t="s">
        <v>46</v>
      </c>
    </row>
    <row r="51" spans="3:20" s="69" customFormat="1" hidden="1" x14ac:dyDescent="0.25">
      <c r="C51" s="70" t="s">
        <v>939</v>
      </c>
      <c r="D51" s="70" t="s">
        <v>39</v>
      </c>
      <c r="E51" s="4" t="s">
        <v>39</v>
      </c>
      <c r="F51" s="70">
        <v>6.45</v>
      </c>
      <c r="G51" s="70" t="s">
        <v>376</v>
      </c>
      <c r="H51" s="70" t="s">
        <v>46</v>
      </c>
      <c r="I51" s="70" t="s">
        <v>1030</v>
      </c>
      <c r="J51" s="70" t="s">
        <v>160</v>
      </c>
      <c r="K51" s="70" t="s">
        <v>39</v>
      </c>
      <c r="L51" s="70" t="s">
        <v>40</v>
      </c>
      <c r="M51" s="70" t="s">
        <v>984</v>
      </c>
      <c r="N51" s="70" t="s">
        <v>939</v>
      </c>
      <c r="O51" s="70" t="s">
        <v>42</v>
      </c>
      <c r="P51" s="71" t="s">
        <v>43</v>
      </c>
      <c r="Q51" s="71">
        <v>70586340.972137973</v>
      </c>
      <c r="R51" s="71" t="s">
        <v>931</v>
      </c>
      <c r="S51" s="70" t="s">
        <v>43</v>
      </c>
      <c r="T51" s="4" t="s">
        <v>46</v>
      </c>
    </row>
    <row r="52" spans="3:20" hidden="1" x14ac:dyDescent="0.25">
      <c r="C52" s="4" t="s">
        <v>44</v>
      </c>
      <c r="D52" s="4" t="s">
        <v>45</v>
      </c>
      <c r="E52" s="4" t="s">
        <v>45</v>
      </c>
      <c r="F52" s="4" t="s">
        <v>36</v>
      </c>
      <c r="G52" s="4" t="s">
        <v>37</v>
      </c>
      <c r="H52" s="4" t="s">
        <v>46</v>
      </c>
      <c r="I52" s="4" t="s">
        <v>1030</v>
      </c>
      <c r="J52" s="4">
        <v>0</v>
      </c>
      <c r="K52" s="4" t="s">
        <v>47</v>
      </c>
      <c r="L52" s="4" t="s">
        <v>40</v>
      </c>
      <c r="M52" s="4">
        <v>0</v>
      </c>
      <c r="N52" s="4" t="s">
        <v>44</v>
      </c>
      <c r="O52" s="4" t="s">
        <v>42</v>
      </c>
      <c r="P52" s="50" t="s">
        <v>43</v>
      </c>
      <c r="Q52" s="50" t="s">
        <v>36</v>
      </c>
      <c r="R52" s="50">
        <v>0</v>
      </c>
      <c r="S52" s="4" t="s">
        <v>36</v>
      </c>
      <c r="T52" s="4" t="s">
        <v>46</v>
      </c>
    </row>
    <row r="53" spans="3:20" s="69" customFormat="1" hidden="1" x14ac:dyDescent="0.25">
      <c r="C53" s="70" t="s">
        <v>940</v>
      </c>
      <c r="D53" s="70" t="s">
        <v>941</v>
      </c>
      <c r="E53" s="4" t="s">
        <v>941</v>
      </c>
      <c r="F53" s="70">
        <v>10</v>
      </c>
      <c r="G53" s="70" t="s">
        <v>376</v>
      </c>
      <c r="H53" s="70" t="s">
        <v>46</v>
      </c>
      <c r="I53" s="70" t="s">
        <v>1030</v>
      </c>
      <c r="J53" s="70" t="s">
        <v>160</v>
      </c>
      <c r="K53" s="70" t="s">
        <v>371</v>
      </c>
      <c r="L53" s="70" t="s">
        <v>40</v>
      </c>
      <c r="M53" s="70" t="s">
        <v>984</v>
      </c>
      <c r="N53" s="70" t="s">
        <v>940</v>
      </c>
      <c r="O53" s="70" t="s">
        <v>379</v>
      </c>
      <c r="P53" s="71" t="s">
        <v>43</v>
      </c>
      <c r="Q53" s="71">
        <v>69995911.881469473</v>
      </c>
      <c r="R53" s="71" t="s">
        <v>931</v>
      </c>
      <c r="S53" s="70" t="s">
        <v>43</v>
      </c>
      <c r="T53" s="70" t="s">
        <v>46</v>
      </c>
    </row>
    <row r="54" spans="3:20" hidden="1" x14ac:dyDescent="0.25">
      <c r="C54" s="4" t="s">
        <v>850</v>
      </c>
      <c r="D54" s="4" t="s">
        <v>851</v>
      </c>
      <c r="E54" s="4" t="s">
        <v>851</v>
      </c>
      <c r="F54" s="4">
        <v>6</v>
      </c>
      <c r="G54" s="4" t="s">
        <v>376</v>
      </c>
      <c r="H54" s="4" t="s">
        <v>46</v>
      </c>
      <c r="I54" s="4" t="s">
        <v>1030</v>
      </c>
      <c r="J54" s="4" t="s">
        <v>132</v>
      </c>
      <c r="K54" s="4" t="s">
        <v>138</v>
      </c>
      <c r="L54" s="4" t="s">
        <v>40</v>
      </c>
      <c r="M54" s="4" t="s">
        <v>1035</v>
      </c>
      <c r="N54" s="4" t="s">
        <v>850</v>
      </c>
      <c r="O54" s="4" t="s">
        <v>42</v>
      </c>
      <c r="P54" s="50" t="s">
        <v>43</v>
      </c>
      <c r="Q54" s="50">
        <v>54732935.22296901</v>
      </c>
      <c r="R54" s="50" t="s">
        <v>847</v>
      </c>
      <c r="S54" s="4" t="s">
        <v>43</v>
      </c>
      <c r="T54" s="4" t="s">
        <v>46</v>
      </c>
    </row>
    <row r="55" spans="3:20" x14ac:dyDescent="0.25">
      <c r="C55" s="97" t="s">
        <v>474</v>
      </c>
      <c r="D55" s="97" t="s">
        <v>475</v>
      </c>
      <c r="E55" s="4" t="s">
        <v>475</v>
      </c>
      <c r="F55" s="97">
        <v>6</v>
      </c>
      <c r="G55" s="4" t="s">
        <v>376</v>
      </c>
      <c r="H55" s="4" t="s">
        <v>46</v>
      </c>
      <c r="I55" s="4" t="s">
        <v>1030</v>
      </c>
      <c r="J55" s="4" t="s">
        <v>466</v>
      </c>
      <c r="K55" s="4" t="s">
        <v>51</v>
      </c>
      <c r="L55" s="4" t="s">
        <v>40</v>
      </c>
      <c r="M55" s="4">
        <v>0</v>
      </c>
      <c r="N55" s="4" t="s">
        <v>474</v>
      </c>
      <c r="O55" s="4" t="s">
        <v>42</v>
      </c>
      <c r="P55" s="50" t="s">
        <v>43</v>
      </c>
      <c r="Q55" s="50">
        <v>73684863.300144807</v>
      </c>
      <c r="R55" s="50" t="s">
        <v>467</v>
      </c>
      <c r="S55" s="4" t="s">
        <v>43</v>
      </c>
      <c r="T55" s="4" t="s">
        <v>46</v>
      </c>
    </row>
    <row r="56" spans="3:20" hidden="1" x14ac:dyDescent="0.25">
      <c r="C56" s="4" t="s">
        <v>555</v>
      </c>
      <c r="D56" s="4" t="s">
        <v>556</v>
      </c>
      <c r="E56" s="4" t="s">
        <v>556</v>
      </c>
      <c r="F56" s="4">
        <v>5</v>
      </c>
      <c r="G56" s="4" t="s">
        <v>376</v>
      </c>
      <c r="H56" s="4" t="s">
        <v>46</v>
      </c>
      <c r="I56" s="4" t="s">
        <v>1030</v>
      </c>
      <c r="J56" s="4" t="s">
        <v>331</v>
      </c>
      <c r="K56" s="4" t="s">
        <v>138</v>
      </c>
      <c r="L56" s="4" t="s">
        <v>40</v>
      </c>
      <c r="M56" s="4" t="s">
        <v>984</v>
      </c>
      <c r="N56" s="4" t="s">
        <v>555</v>
      </c>
      <c r="O56" s="4" t="s">
        <v>42</v>
      </c>
      <c r="P56" s="50" t="s">
        <v>43</v>
      </c>
      <c r="Q56" s="50">
        <v>46856927.94333864</v>
      </c>
      <c r="R56" s="50" t="s">
        <v>557</v>
      </c>
      <c r="S56" s="4" t="s">
        <v>43</v>
      </c>
      <c r="T56" s="4" t="s">
        <v>46</v>
      </c>
    </row>
    <row r="57" spans="3:20" hidden="1" x14ac:dyDescent="0.25">
      <c r="C57" s="4" t="s">
        <v>745</v>
      </c>
      <c r="D57" s="4" t="s">
        <v>746</v>
      </c>
      <c r="E57" s="4" t="s">
        <v>746</v>
      </c>
      <c r="F57" s="4">
        <v>9</v>
      </c>
      <c r="G57" s="4" t="s">
        <v>376</v>
      </c>
      <c r="H57" s="4" t="s">
        <v>46</v>
      </c>
      <c r="I57" s="4" t="s">
        <v>1031</v>
      </c>
      <c r="J57" s="4" t="s">
        <v>84</v>
      </c>
      <c r="K57" s="4" t="s">
        <v>279</v>
      </c>
      <c r="L57" s="4" t="s">
        <v>55</v>
      </c>
      <c r="M57" s="4" t="s">
        <v>378</v>
      </c>
      <c r="N57" s="4" t="s">
        <v>745</v>
      </c>
      <c r="O57" s="4" t="s">
        <v>379</v>
      </c>
      <c r="P57" s="50" t="s">
        <v>43</v>
      </c>
      <c r="Q57" s="50">
        <v>95716634.627310738</v>
      </c>
      <c r="R57" s="50" t="s">
        <v>741</v>
      </c>
      <c r="S57" s="4" t="s">
        <v>43</v>
      </c>
      <c r="T57" s="4" t="s">
        <v>46</v>
      </c>
    </row>
    <row r="58" spans="3:20" hidden="1" x14ac:dyDescent="0.25">
      <c r="C58" s="4" t="s">
        <v>656</v>
      </c>
      <c r="D58" s="4" t="s">
        <v>657</v>
      </c>
      <c r="E58" s="4" t="s">
        <v>658</v>
      </c>
      <c r="F58" s="4">
        <v>5</v>
      </c>
      <c r="G58" s="4" t="s">
        <v>376</v>
      </c>
      <c r="H58" s="4" t="s">
        <v>46</v>
      </c>
      <c r="I58" s="4" t="s">
        <v>1030</v>
      </c>
      <c r="J58" s="4" t="s">
        <v>248</v>
      </c>
      <c r="K58" s="4" t="s">
        <v>51</v>
      </c>
      <c r="L58" s="4" t="s">
        <v>40</v>
      </c>
      <c r="M58" s="4" t="s">
        <v>984</v>
      </c>
      <c r="N58" s="4" t="s">
        <v>656</v>
      </c>
      <c r="O58" s="4" t="s">
        <v>42</v>
      </c>
      <c r="P58" s="50" t="s">
        <v>43</v>
      </c>
      <c r="Q58" s="50">
        <v>40461203.216717482</v>
      </c>
      <c r="R58" s="50" t="s">
        <v>51</v>
      </c>
      <c r="S58" s="4" t="s">
        <v>43</v>
      </c>
      <c r="T58" s="4" t="s">
        <v>46</v>
      </c>
    </row>
    <row r="59" spans="3:20" hidden="1" x14ac:dyDescent="0.25">
      <c r="C59" s="4" t="s">
        <v>523</v>
      </c>
      <c r="D59" s="4" t="s">
        <v>524</v>
      </c>
      <c r="E59" s="4" t="s">
        <v>524</v>
      </c>
      <c r="F59" s="4">
        <v>6</v>
      </c>
      <c r="G59" s="4" t="s">
        <v>376</v>
      </c>
      <c r="H59" s="4" t="s">
        <v>46</v>
      </c>
      <c r="I59" s="4" t="s">
        <v>1030</v>
      </c>
      <c r="J59" s="4" t="s">
        <v>100</v>
      </c>
      <c r="K59" s="4" t="s">
        <v>138</v>
      </c>
      <c r="L59" s="4" t="s">
        <v>40</v>
      </c>
      <c r="M59" s="4" t="s">
        <v>514</v>
      </c>
      <c r="N59" s="4" t="s">
        <v>523</v>
      </c>
      <c r="O59" s="4" t="s">
        <v>42</v>
      </c>
      <c r="P59" s="50" t="s">
        <v>43</v>
      </c>
      <c r="Q59" s="50">
        <v>56772005.081436746</v>
      </c>
      <c r="R59" s="50" t="s">
        <v>515</v>
      </c>
      <c r="S59" s="4" t="s">
        <v>43</v>
      </c>
      <c r="T59" s="4" t="s">
        <v>46</v>
      </c>
    </row>
    <row r="60" spans="3:20" hidden="1" x14ac:dyDescent="0.25">
      <c r="C60" s="4" t="s">
        <v>476</v>
      </c>
      <c r="D60" s="4" t="s">
        <v>477</v>
      </c>
      <c r="E60" s="4" t="s">
        <v>477</v>
      </c>
      <c r="F60" s="4">
        <v>5</v>
      </c>
      <c r="G60" s="4" t="s">
        <v>376</v>
      </c>
      <c r="H60" s="4" t="s">
        <v>46</v>
      </c>
      <c r="I60" s="4" t="s">
        <v>1030</v>
      </c>
      <c r="J60" s="4" t="s">
        <v>466</v>
      </c>
      <c r="K60" s="4" t="s">
        <v>51</v>
      </c>
      <c r="L60" s="4" t="s">
        <v>40</v>
      </c>
      <c r="M60" s="4" t="s">
        <v>1035</v>
      </c>
      <c r="N60" s="4" t="s">
        <v>476</v>
      </c>
      <c r="O60" s="4" t="s">
        <v>42</v>
      </c>
      <c r="P60" s="50" t="s">
        <v>43</v>
      </c>
      <c r="Q60" s="50">
        <v>70119596.602584064</v>
      </c>
      <c r="R60" s="50" t="s">
        <v>467</v>
      </c>
      <c r="S60" s="4" t="s">
        <v>43</v>
      </c>
      <c r="T60" s="4" t="s">
        <v>46</v>
      </c>
    </row>
    <row r="61" spans="3:20" hidden="1" x14ac:dyDescent="0.25">
      <c r="C61" s="4" t="s">
        <v>659</v>
      </c>
      <c r="D61" s="4" t="s">
        <v>660</v>
      </c>
      <c r="E61" s="4" t="s">
        <v>661</v>
      </c>
      <c r="F61" s="4">
        <v>6</v>
      </c>
      <c r="G61" s="4" t="s">
        <v>376</v>
      </c>
      <c r="H61" s="4" t="s">
        <v>46</v>
      </c>
      <c r="I61" s="4" t="s">
        <v>1030</v>
      </c>
      <c r="J61" s="4" t="s">
        <v>248</v>
      </c>
      <c r="K61" s="4" t="s">
        <v>51</v>
      </c>
      <c r="L61" s="4" t="s">
        <v>40</v>
      </c>
      <c r="M61" s="4" t="s">
        <v>984</v>
      </c>
      <c r="N61" s="4" t="s">
        <v>659</v>
      </c>
      <c r="O61" s="4" t="s">
        <v>42</v>
      </c>
      <c r="P61" s="50" t="s">
        <v>43</v>
      </c>
      <c r="Q61" s="50">
        <v>41960496.332363345</v>
      </c>
      <c r="R61" s="50" t="s">
        <v>51</v>
      </c>
      <c r="S61" s="4" t="s">
        <v>43</v>
      </c>
      <c r="T61" s="4" t="s">
        <v>46</v>
      </c>
    </row>
    <row r="62" spans="3:20" hidden="1" x14ac:dyDescent="0.25">
      <c r="C62" s="4" t="s">
        <v>644</v>
      </c>
      <c r="D62" s="4" t="s">
        <v>645</v>
      </c>
      <c r="E62" s="4" t="s">
        <v>645</v>
      </c>
      <c r="F62" s="4">
        <v>6.16</v>
      </c>
      <c r="G62" s="4" t="s">
        <v>376</v>
      </c>
      <c r="H62" s="4" t="s">
        <v>81</v>
      </c>
      <c r="I62" s="4" t="s">
        <v>1030</v>
      </c>
      <c r="J62" s="4" t="s">
        <v>50</v>
      </c>
      <c r="K62" s="4" t="s">
        <v>51</v>
      </c>
      <c r="L62" s="4" t="s">
        <v>40</v>
      </c>
      <c r="M62" s="4" t="s">
        <v>514</v>
      </c>
      <c r="N62" s="4" t="s">
        <v>644</v>
      </c>
      <c r="O62" s="4" t="s">
        <v>42</v>
      </c>
      <c r="P62" s="50" t="s">
        <v>43</v>
      </c>
      <c r="Q62" s="50">
        <v>79774767.274384141</v>
      </c>
      <c r="R62" s="50" t="s">
        <v>597</v>
      </c>
      <c r="S62" s="4" t="s">
        <v>43</v>
      </c>
      <c r="T62" s="4" t="s">
        <v>81</v>
      </c>
    </row>
    <row r="63" spans="3:20" hidden="1" x14ac:dyDescent="0.25">
      <c r="C63" s="4" t="s">
        <v>398</v>
      </c>
      <c r="D63" s="4" t="s">
        <v>399</v>
      </c>
      <c r="E63" s="4" t="s">
        <v>399</v>
      </c>
      <c r="F63" s="4">
        <v>5</v>
      </c>
      <c r="G63" s="4" t="s">
        <v>376</v>
      </c>
      <c r="H63" s="4" t="s">
        <v>46</v>
      </c>
      <c r="I63" s="4" t="s">
        <v>1031</v>
      </c>
      <c r="J63" s="4" t="s">
        <v>63</v>
      </c>
      <c r="K63" s="4" t="s">
        <v>138</v>
      </c>
      <c r="L63" s="4" t="s">
        <v>40</v>
      </c>
      <c r="M63" s="4" t="s">
        <v>378</v>
      </c>
      <c r="N63" s="4" t="s">
        <v>398</v>
      </c>
      <c r="O63" s="4" t="s">
        <v>42</v>
      </c>
      <c r="P63" s="50" t="s">
        <v>43</v>
      </c>
      <c r="Q63" s="50">
        <v>56162794.864758506</v>
      </c>
      <c r="R63" s="50" t="s">
        <v>380</v>
      </c>
      <c r="S63" s="4" t="s">
        <v>43</v>
      </c>
      <c r="T63" s="4" t="s">
        <v>46</v>
      </c>
    </row>
    <row r="64" spans="3:20" hidden="1" x14ac:dyDescent="0.25">
      <c r="C64" s="4" t="s">
        <v>634</v>
      </c>
      <c r="D64" s="4" t="s">
        <v>635</v>
      </c>
      <c r="E64" s="4" t="s">
        <v>635</v>
      </c>
      <c r="F64" s="4">
        <v>6</v>
      </c>
      <c r="G64" s="4" t="s">
        <v>376</v>
      </c>
      <c r="H64" s="4" t="s">
        <v>46</v>
      </c>
      <c r="I64" s="4" t="s">
        <v>1030</v>
      </c>
      <c r="J64" s="4" t="s">
        <v>50</v>
      </c>
      <c r="K64" s="4" t="s">
        <v>59</v>
      </c>
      <c r="L64" s="4" t="s">
        <v>40</v>
      </c>
      <c r="M64" s="4" t="s">
        <v>514</v>
      </c>
      <c r="N64" s="4" t="s">
        <v>634</v>
      </c>
      <c r="O64" s="4" t="s">
        <v>42</v>
      </c>
      <c r="P64" s="50" t="s">
        <v>43</v>
      </c>
      <c r="Q64" s="50">
        <v>63595870.468812659</v>
      </c>
      <c r="R64" s="50" t="s">
        <v>597</v>
      </c>
      <c r="S64" s="4" t="s">
        <v>43</v>
      </c>
      <c r="T64" s="4" t="s">
        <v>46</v>
      </c>
    </row>
    <row r="65" spans="3:20" hidden="1" x14ac:dyDescent="0.25">
      <c r="C65" s="4" t="s">
        <v>558</v>
      </c>
      <c r="D65" s="4" t="s">
        <v>559</v>
      </c>
      <c r="E65" s="4" t="s">
        <v>560</v>
      </c>
      <c r="F65" s="4">
        <v>6</v>
      </c>
      <c r="G65" s="4" t="s">
        <v>376</v>
      </c>
      <c r="H65" s="4" t="s">
        <v>46</v>
      </c>
      <c r="I65" s="4" t="s">
        <v>1030</v>
      </c>
      <c r="J65" s="4" t="s">
        <v>331</v>
      </c>
      <c r="K65" s="4" t="s">
        <v>138</v>
      </c>
      <c r="L65" s="4" t="s">
        <v>40</v>
      </c>
      <c r="M65" s="4" t="s">
        <v>984</v>
      </c>
      <c r="N65" s="4" t="s">
        <v>558</v>
      </c>
      <c r="O65" s="4" t="s">
        <v>42</v>
      </c>
      <c r="P65" s="50" t="s">
        <v>43</v>
      </c>
      <c r="Q65" s="50">
        <v>69065770.656985804</v>
      </c>
      <c r="R65" s="50" t="s">
        <v>557</v>
      </c>
      <c r="S65" s="4" t="s">
        <v>43</v>
      </c>
      <c r="T65" s="4" t="s">
        <v>46</v>
      </c>
    </row>
    <row r="66" spans="3:20" hidden="1" x14ac:dyDescent="0.25">
      <c r="C66" s="4" t="s">
        <v>561</v>
      </c>
      <c r="D66" s="4" t="s">
        <v>562</v>
      </c>
      <c r="E66" s="4" t="s">
        <v>563</v>
      </c>
      <c r="F66" s="4">
        <v>6</v>
      </c>
      <c r="G66" s="4" t="s">
        <v>376</v>
      </c>
      <c r="H66" s="4" t="s">
        <v>46</v>
      </c>
      <c r="I66" s="4" t="s">
        <v>1030</v>
      </c>
      <c r="J66" s="4" t="s">
        <v>331</v>
      </c>
      <c r="K66" s="4" t="s">
        <v>138</v>
      </c>
      <c r="L66" s="4" t="s">
        <v>40</v>
      </c>
      <c r="M66" s="4" t="s">
        <v>984</v>
      </c>
      <c r="N66" s="4" t="s">
        <v>561</v>
      </c>
      <c r="O66" s="4" t="s">
        <v>42</v>
      </c>
      <c r="P66" s="50" t="s">
        <v>43</v>
      </c>
      <c r="Q66" s="50">
        <v>41697776.084397741</v>
      </c>
      <c r="R66" s="50" t="s">
        <v>557</v>
      </c>
      <c r="S66" s="4" t="s">
        <v>43</v>
      </c>
      <c r="T66" s="4" t="s">
        <v>46</v>
      </c>
    </row>
    <row r="67" spans="3:20" hidden="1" x14ac:dyDescent="0.25">
      <c r="C67" s="4" t="s">
        <v>478</v>
      </c>
      <c r="D67" s="4" t="s">
        <v>479</v>
      </c>
      <c r="E67" s="4" t="s">
        <v>479</v>
      </c>
      <c r="F67" s="4">
        <v>5</v>
      </c>
      <c r="G67" s="4" t="s">
        <v>376</v>
      </c>
      <c r="H67" s="4" t="s">
        <v>46</v>
      </c>
      <c r="I67" s="4" t="s">
        <v>1030</v>
      </c>
      <c r="J67" s="4" t="s">
        <v>466</v>
      </c>
      <c r="K67" s="4" t="s">
        <v>51</v>
      </c>
      <c r="L67" s="4" t="s">
        <v>40</v>
      </c>
      <c r="M67" s="4" t="s">
        <v>1035</v>
      </c>
      <c r="N67" s="4" t="s">
        <v>478</v>
      </c>
      <c r="O67" s="4" t="s">
        <v>42</v>
      </c>
      <c r="P67" s="50" t="s">
        <v>43</v>
      </c>
      <c r="Q67" s="50">
        <v>68029346.467390686</v>
      </c>
      <c r="R67" s="50" t="s">
        <v>467</v>
      </c>
      <c r="S67" s="4" t="s">
        <v>43</v>
      </c>
      <c r="T67" s="4" t="s">
        <v>46</v>
      </c>
    </row>
    <row r="68" spans="3:20" hidden="1" x14ac:dyDescent="0.25">
      <c r="C68" s="4" t="s">
        <v>852</v>
      </c>
      <c r="D68" s="4" t="s">
        <v>853</v>
      </c>
      <c r="E68" s="4" t="s">
        <v>853</v>
      </c>
      <c r="F68" s="4">
        <v>5</v>
      </c>
      <c r="G68" s="4" t="s">
        <v>376</v>
      </c>
      <c r="H68" s="4" t="s">
        <v>46</v>
      </c>
      <c r="I68" s="4" t="s">
        <v>1030</v>
      </c>
      <c r="J68" s="4" t="s">
        <v>132</v>
      </c>
      <c r="K68" s="4" t="s">
        <v>138</v>
      </c>
      <c r="L68" s="4" t="s">
        <v>40</v>
      </c>
      <c r="M68" s="4" t="s">
        <v>1035</v>
      </c>
      <c r="N68" s="4" t="s">
        <v>852</v>
      </c>
      <c r="O68" s="4" t="s">
        <v>42</v>
      </c>
      <c r="P68" s="50" t="s">
        <v>43</v>
      </c>
      <c r="Q68" s="50">
        <v>48014544.016975418</v>
      </c>
      <c r="R68" s="50" t="s">
        <v>847</v>
      </c>
      <c r="S68" s="4" t="s">
        <v>43</v>
      </c>
      <c r="T68" s="4" t="s">
        <v>46</v>
      </c>
    </row>
    <row r="69" spans="3:20" hidden="1" x14ac:dyDescent="0.25">
      <c r="C69" s="4" t="s">
        <v>426</v>
      </c>
      <c r="D69" s="4" t="s">
        <v>427</v>
      </c>
      <c r="E69" s="4" t="s">
        <v>428</v>
      </c>
      <c r="F69" s="4">
        <v>5</v>
      </c>
      <c r="G69" s="4" t="s">
        <v>376</v>
      </c>
      <c r="H69" s="4" t="s">
        <v>46</v>
      </c>
      <c r="I69" s="4" t="s">
        <v>1030</v>
      </c>
      <c r="J69" s="4" t="s">
        <v>94</v>
      </c>
      <c r="K69" s="4" t="s">
        <v>64</v>
      </c>
      <c r="L69" s="4" t="s">
        <v>40</v>
      </c>
      <c r="M69" s="4" t="s">
        <v>1035</v>
      </c>
      <c r="N69" s="4" t="s">
        <v>426</v>
      </c>
      <c r="O69" s="4" t="s">
        <v>42</v>
      </c>
      <c r="P69" s="50" t="s">
        <v>43</v>
      </c>
      <c r="Q69" s="50">
        <v>51307966.881055191</v>
      </c>
      <c r="R69" s="50" t="s">
        <v>423</v>
      </c>
      <c r="S69" s="4" t="s">
        <v>43</v>
      </c>
      <c r="T69" s="4" t="s">
        <v>46</v>
      </c>
    </row>
    <row r="70" spans="3:20" hidden="1" x14ac:dyDescent="0.25">
      <c r="C70" s="4" t="s">
        <v>769</v>
      </c>
      <c r="D70" s="4" t="s">
        <v>771</v>
      </c>
      <c r="E70" s="4" t="s">
        <v>771</v>
      </c>
      <c r="F70" s="4">
        <v>6</v>
      </c>
      <c r="G70" s="4" t="s">
        <v>1032</v>
      </c>
      <c r="H70" s="4" t="s">
        <v>46</v>
      </c>
      <c r="I70" s="4" t="s">
        <v>1031</v>
      </c>
      <c r="J70" s="4" t="s">
        <v>89</v>
      </c>
      <c r="K70" s="4" t="s">
        <v>109</v>
      </c>
      <c r="L70" s="4" t="s">
        <v>91</v>
      </c>
      <c r="M70" s="4" t="s">
        <v>378</v>
      </c>
      <c r="N70" s="4" t="s">
        <v>769</v>
      </c>
      <c r="O70" s="4" t="s">
        <v>42</v>
      </c>
      <c r="P70" s="50" t="s">
        <v>440</v>
      </c>
      <c r="Q70" s="50">
        <v>26177844.839830797</v>
      </c>
      <c r="R70" s="50" t="s">
        <v>772</v>
      </c>
      <c r="S70" s="4" t="s">
        <v>43</v>
      </c>
      <c r="T70" s="4" t="s">
        <v>46</v>
      </c>
    </row>
    <row r="71" spans="3:20" s="69" customFormat="1" hidden="1" x14ac:dyDescent="0.25">
      <c r="C71" s="70" t="s">
        <v>942</v>
      </c>
      <c r="D71" s="70" t="s">
        <v>944</v>
      </c>
      <c r="E71" s="4" t="s">
        <v>944</v>
      </c>
      <c r="F71" s="70">
        <v>5.04</v>
      </c>
      <c r="G71" s="70" t="s">
        <v>376</v>
      </c>
      <c r="H71" s="70" t="s">
        <v>46</v>
      </c>
      <c r="I71" s="70" t="s">
        <v>1030</v>
      </c>
      <c r="J71" s="70" t="s">
        <v>160</v>
      </c>
      <c r="K71" s="70" t="s">
        <v>371</v>
      </c>
      <c r="L71" s="70" t="s">
        <v>40</v>
      </c>
      <c r="M71" s="70" t="s">
        <v>984</v>
      </c>
      <c r="N71" s="70" t="s">
        <v>942</v>
      </c>
      <c r="O71" s="70" t="s">
        <v>42</v>
      </c>
      <c r="P71" s="71" t="s">
        <v>43</v>
      </c>
      <c r="Q71" s="71">
        <v>51692242.380000003</v>
      </c>
      <c r="R71" s="71" t="s">
        <v>931</v>
      </c>
      <c r="S71" s="70" t="s">
        <v>43</v>
      </c>
      <c r="T71" s="4" t="s">
        <v>46</v>
      </c>
    </row>
    <row r="72" spans="3:20" hidden="1" x14ac:dyDescent="0.25">
      <c r="C72" s="4" t="s">
        <v>525</v>
      </c>
      <c r="D72" s="4" t="s">
        <v>526</v>
      </c>
      <c r="E72" s="4" t="s">
        <v>527</v>
      </c>
      <c r="F72" s="44">
        <f>5.9+0.68</f>
        <v>6.58</v>
      </c>
      <c r="G72" s="4" t="s">
        <v>376</v>
      </c>
      <c r="H72" s="4" t="s">
        <v>46</v>
      </c>
      <c r="I72" s="4" t="s">
        <v>1030</v>
      </c>
      <c r="J72" s="4" t="s">
        <v>100</v>
      </c>
      <c r="K72" s="4" t="s">
        <v>138</v>
      </c>
      <c r="L72" s="4" t="s">
        <v>40</v>
      </c>
      <c r="M72" s="4" t="s">
        <v>514</v>
      </c>
      <c r="N72" s="4" t="s">
        <v>525</v>
      </c>
      <c r="O72" s="4" t="s">
        <v>42</v>
      </c>
      <c r="P72" s="50" t="s">
        <v>440</v>
      </c>
      <c r="Q72" s="50">
        <v>59446094.576131701</v>
      </c>
      <c r="R72" s="50" t="s">
        <v>515</v>
      </c>
      <c r="S72" s="4" t="s">
        <v>43</v>
      </c>
      <c r="T72" s="4" t="s">
        <v>46</v>
      </c>
    </row>
    <row r="73" spans="3:20" hidden="1" x14ac:dyDescent="0.25">
      <c r="C73" s="4" t="s">
        <v>48</v>
      </c>
      <c r="D73" s="4" t="s">
        <v>49</v>
      </c>
      <c r="E73" s="4" t="s">
        <v>49</v>
      </c>
      <c r="F73" s="4" t="s">
        <v>36</v>
      </c>
      <c r="G73" s="4" t="s">
        <v>37</v>
      </c>
      <c r="H73" s="4" t="s">
        <v>38</v>
      </c>
      <c r="I73" s="4" t="s">
        <v>1030</v>
      </c>
      <c r="J73" s="4" t="s">
        <v>50</v>
      </c>
      <c r="K73" s="4" t="s">
        <v>51</v>
      </c>
      <c r="L73" s="4" t="s">
        <v>40</v>
      </c>
      <c r="M73" s="4">
        <v>0</v>
      </c>
      <c r="N73" s="4" t="s">
        <v>48</v>
      </c>
      <c r="O73" s="4" t="s">
        <v>42</v>
      </c>
      <c r="P73" s="50" t="s">
        <v>43</v>
      </c>
      <c r="Q73" s="50" t="s">
        <v>36</v>
      </c>
      <c r="R73" s="50">
        <v>0</v>
      </c>
      <c r="S73" s="4" t="s">
        <v>36</v>
      </c>
      <c r="T73" s="4" t="s">
        <v>38</v>
      </c>
    </row>
    <row r="74" spans="3:20" hidden="1" x14ac:dyDescent="0.25">
      <c r="C74" s="4" t="s">
        <v>52</v>
      </c>
      <c r="D74" s="4" t="s">
        <v>53</v>
      </c>
      <c r="E74" s="4" t="s">
        <v>53</v>
      </c>
      <c r="F74" s="4" t="s">
        <v>36</v>
      </c>
      <c r="G74" s="4" t="s">
        <v>987</v>
      </c>
      <c r="H74" s="4" t="s">
        <v>38</v>
      </c>
      <c r="I74" s="4" t="s">
        <v>1030</v>
      </c>
      <c r="J74" s="4">
        <v>0</v>
      </c>
      <c r="K74" s="4" t="s">
        <v>54</v>
      </c>
      <c r="L74" s="4" t="s">
        <v>55</v>
      </c>
      <c r="M74" s="4">
        <v>0</v>
      </c>
      <c r="N74" s="4" t="s">
        <v>52</v>
      </c>
      <c r="O74" s="4" t="s">
        <v>42</v>
      </c>
      <c r="P74" s="50" t="s">
        <v>43</v>
      </c>
      <c r="Q74" s="50" t="s">
        <v>36</v>
      </c>
      <c r="R74" s="50">
        <v>0</v>
      </c>
      <c r="S74" s="4" t="s">
        <v>36</v>
      </c>
      <c r="T74" s="4" t="s">
        <v>38</v>
      </c>
    </row>
    <row r="75" spans="3:20" hidden="1" x14ac:dyDescent="0.25">
      <c r="C75" s="4" t="s">
        <v>528</v>
      </c>
      <c r="D75" s="4" t="s">
        <v>530</v>
      </c>
      <c r="E75" s="4" t="s">
        <v>530</v>
      </c>
      <c r="F75" s="44">
        <v>6.28</v>
      </c>
      <c r="G75" s="4" t="s">
        <v>376</v>
      </c>
      <c r="H75" s="4" t="s">
        <v>46</v>
      </c>
      <c r="I75" s="4" t="s">
        <v>1030</v>
      </c>
      <c r="J75" s="4" t="s">
        <v>100</v>
      </c>
      <c r="K75" s="4" t="s">
        <v>64</v>
      </c>
      <c r="L75" s="4" t="s">
        <v>40</v>
      </c>
      <c r="M75" s="4" t="s">
        <v>514</v>
      </c>
      <c r="N75" s="4" t="s">
        <v>528</v>
      </c>
      <c r="O75" s="4" t="s">
        <v>42</v>
      </c>
      <c r="P75" s="50" t="s">
        <v>440</v>
      </c>
      <c r="Q75" s="50">
        <v>25789820.042685509</v>
      </c>
      <c r="R75" s="50" t="s">
        <v>515</v>
      </c>
      <c r="S75" s="4" t="s">
        <v>43</v>
      </c>
      <c r="T75" s="4" t="s">
        <v>46</v>
      </c>
    </row>
    <row r="76" spans="3:20" hidden="1" x14ac:dyDescent="0.25">
      <c r="C76" s="4" t="s">
        <v>854</v>
      </c>
      <c r="D76" s="4" t="s">
        <v>982</v>
      </c>
      <c r="E76" s="4" t="s">
        <v>990</v>
      </c>
      <c r="F76" s="4">
        <v>6.45</v>
      </c>
      <c r="G76" s="4" t="s">
        <v>376</v>
      </c>
      <c r="H76" s="4" t="s">
        <v>46</v>
      </c>
      <c r="I76" s="4" t="s">
        <v>1030</v>
      </c>
      <c r="J76" s="4" t="s">
        <v>132</v>
      </c>
      <c r="K76" s="4" t="s">
        <v>856</v>
      </c>
      <c r="L76" s="4" t="s">
        <v>40</v>
      </c>
      <c r="M76" s="4" t="s">
        <v>1035</v>
      </c>
      <c r="N76" s="4" t="s">
        <v>854</v>
      </c>
      <c r="O76" s="4" t="s">
        <v>42</v>
      </c>
      <c r="P76" s="50" t="s">
        <v>440</v>
      </c>
      <c r="Q76" s="50">
        <v>48663902.729493409</v>
      </c>
      <c r="R76" s="50" t="s">
        <v>847</v>
      </c>
      <c r="S76" s="4" t="s">
        <v>43</v>
      </c>
      <c r="T76" s="4" t="s">
        <v>46</v>
      </c>
    </row>
    <row r="77" spans="3:20" hidden="1" x14ac:dyDescent="0.25">
      <c r="C77" s="4" t="s">
        <v>531</v>
      </c>
      <c r="D77" s="4" t="s">
        <v>533</v>
      </c>
      <c r="E77" s="4" t="s">
        <v>991</v>
      </c>
      <c r="F77" s="4">
        <v>5.45</v>
      </c>
      <c r="G77" s="4" t="s">
        <v>376</v>
      </c>
      <c r="H77" s="4" t="s">
        <v>46</v>
      </c>
      <c r="I77" s="4" t="s">
        <v>1030</v>
      </c>
      <c r="J77" s="4" t="s">
        <v>100</v>
      </c>
      <c r="K77" s="4" t="s">
        <v>138</v>
      </c>
      <c r="L77" s="4" t="s">
        <v>40</v>
      </c>
      <c r="M77" s="4" t="s">
        <v>514</v>
      </c>
      <c r="N77" s="4" t="s">
        <v>531</v>
      </c>
      <c r="O77" s="4" t="s">
        <v>42</v>
      </c>
      <c r="P77" s="50" t="s">
        <v>440</v>
      </c>
      <c r="Q77" s="50">
        <v>41012319.220271096</v>
      </c>
      <c r="R77" s="50" t="s">
        <v>515</v>
      </c>
      <c r="S77" s="4" t="s">
        <v>43</v>
      </c>
      <c r="T77" s="4" t="s">
        <v>46</v>
      </c>
    </row>
    <row r="78" spans="3:20" hidden="1" x14ac:dyDescent="0.25">
      <c r="C78" s="4" t="s">
        <v>945</v>
      </c>
      <c r="D78" s="4" t="s">
        <v>946</v>
      </c>
      <c r="E78" s="4" t="s">
        <v>947</v>
      </c>
      <c r="F78" s="4">
        <v>5.9</v>
      </c>
      <c r="G78" s="4" t="s">
        <v>376</v>
      </c>
      <c r="H78" s="4" t="s">
        <v>46</v>
      </c>
      <c r="I78" s="4" t="s">
        <v>1030</v>
      </c>
      <c r="J78" s="4" t="s">
        <v>160</v>
      </c>
      <c r="K78" s="4" t="s">
        <v>371</v>
      </c>
      <c r="L78" s="4" t="s">
        <v>40</v>
      </c>
      <c r="M78" s="4" t="s">
        <v>984</v>
      </c>
      <c r="N78" s="4" t="s">
        <v>945</v>
      </c>
      <c r="O78" s="4" t="s">
        <v>42</v>
      </c>
      <c r="P78" s="50" t="s">
        <v>440</v>
      </c>
      <c r="Q78" s="50">
        <v>48125650.131318294</v>
      </c>
      <c r="R78" s="50" t="s">
        <v>931</v>
      </c>
      <c r="S78" s="4" t="s">
        <v>43</v>
      </c>
      <c r="T78" s="4" t="s">
        <v>46</v>
      </c>
    </row>
    <row r="79" spans="3:20" hidden="1" x14ac:dyDescent="0.25">
      <c r="C79" s="4" t="s">
        <v>773</v>
      </c>
      <c r="D79" s="4" t="s">
        <v>775</v>
      </c>
      <c r="E79" s="4" t="s">
        <v>775</v>
      </c>
      <c r="F79" s="4">
        <v>5.04</v>
      </c>
      <c r="G79" s="4" t="s">
        <v>376</v>
      </c>
      <c r="H79" s="4" t="s">
        <v>46</v>
      </c>
      <c r="I79" s="4" t="s">
        <v>1031</v>
      </c>
      <c r="J79" s="4" t="s">
        <v>89</v>
      </c>
      <c r="K79" s="4" t="s">
        <v>776</v>
      </c>
      <c r="L79" s="4" t="s">
        <v>91</v>
      </c>
      <c r="M79" s="4" t="s">
        <v>378</v>
      </c>
      <c r="N79" s="4" t="s">
        <v>773</v>
      </c>
      <c r="O79" s="4" t="s">
        <v>42</v>
      </c>
      <c r="P79" s="50" t="s">
        <v>440</v>
      </c>
      <c r="Q79" s="50">
        <v>19728122.931342751</v>
      </c>
      <c r="R79" s="50" t="s">
        <v>772</v>
      </c>
      <c r="S79" s="4" t="s">
        <v>43</v>
      </c>
      <c r="T79" s="4" t="s">
        <v>46</v>
      </c>
    </row>
    <row r="80" spans="3:20" hidden="1" x14ac:dyDescent="0.25">
      <c r="C80" s="4" t="s">
        <v>662</v>
      </c>
      <c r="D80" s="4" t="s">
        <v>664</v>
      </c>
      <c r="E80" s="4" t="s">
        <v>992</v>
      </c>
      <c r="F80" s="4">
        <v>5.6</v>
      </c>
      <c r="G80" s="4" t="s">
        <v>376</v>
      </c>
      <c r="H80" s="4" t="s">
        <v>46</v>
      </c>
      <c r="I80" s="4" t="s">
        <v>1030</v>
      </c>
      <c r="J80" s="4" t="s">
        <v>248</v>
      </c>
      <c r="K80" s="4" t="s">
        <v>51</v>
      </c>
      <c r="L80" s="4" t="s">
        <v>40</v>
      </c>
      <c r="M80" s="4" t="s">
        <v>984</v>
      </c>
      <c r="N80" s="4" t="s">
        <v>662</v>
      </c>
      <c r="O80" s="4" t="s">
        <v>42</v>
      </c>
      <c r="P80" s="50" t="s">
        <v>43</v>
      </c>
      <c r="Q80" s="50">
        <v>42738000</v>
      </c>
      <c r="R80" s="50" t="s">
        <v>51</v>
      </c>
      <c r="S80" s="4" t="s">
        <v>43</v>
      </c>
      <c r="T80" s="4" t="s">
        <v>46</v>
      </c>
    </row>
    <row r="81" spans="3:20" hidden="1" x14ac:dyDescent="0.25">
      <c r="C81" s="4" t="s">
        <v>56</v>
      </c>
      <c r="D81" s="4" t="s">
        <v>57</v>
      </c>
      <c r="E81" s="4" t="s">
        <v>57</v>
      </c>
      <c r="F81" s="4" t="s">
        <v>36</v>
      </c>
      <c r="G81" s="4" t="s">
        <v>37</v>
      </c>
      <c r="H81" s="4" t="s">
        <v>38</v>
      </c>
      <c r="I81" s="4" t="s">
        <v>1030</v>
      </c>
      <c r="J81" s="4" t="s">
        <v>58</v>
      </c>
      <c r="K81" s="4" t="s">
        <v>59</v>
      </c>
      <c r="L81" s="4" t="s">
        <v>40</v>
      </c>
      <c r="M81" s="4">
        <v>0</v>
      </c>
      <c r="N81" s="4" t="s">
        <v>56</v>
      </c>
      <c r="O81" s="4" t="s">
        <v>42</v>
      </c>
      <c r="P81" s="50" t="s">
        <v>43</v>
      </c>
      <c r="Q81" s="50" t="s">
        <v>36</v>
      </c>
      <c r="R81" s="50">
        <v>0</v>
      </c>
      <c r="S81" s="4" t="s">
        <v>36</v>
      </c>
      <c r="T81" s="4" t="s">
        <v>38</v>
      </c>
    </row>
    <row r="82" spans="3:20" hidden="1" x14ac:dyDescent="0.25">
      <c r="C82" s="4" t="s">
        <v>534</v>
      </c>
      <c r="D82" s="4" t="s">
        <v>535</v>
      </c>
      <c r="E82" s="4" t="s">
        <v>536</v>
      </c>
      <c r="F82" s="4">
        <v>5.45</v>
      </c>
      <c r="G82" s="4" t="s">
        <v>376</v>
      </c>
      <c r="H82" s="4" t="s">
        <v>46</v>
      </c>
      <c r="I82" s="4" t="s">
        <v>1030</v>
      </c>
      <c r="J82" s="4" t="s">
        <v>100</v>
      </c>
      <c r="K82" s="4" t="s">
        <v>138</v>
      </c>
      <c r="L82" s="4" t="s">
        <v>40</v>
      </c>
      <c r="M82" s="4" t="s">
        <v>514</v>
      </c>
      <c r="N82" s="4" t="s">
        <v>534</v>
      </c>
      <c r="O82" s="4" t="s">
        <v>42</v>
      </c>
      <c r="P82" s="50" t="s">
        <v>43</v>
      </c>
      <c r="Q82" s="50">
        <v>41652212.428192623</v>
      </c>
      <c r="R82" s="50" t="s">
        <v>515</v>
      </c>
      <c r="S82" s="4" t="s">
        <v>43</v>
      </c>
      <c r="T82" s="4" t="s">
        <v>46</v>
      </c>
    </row>
    <row r="83" spans="3:20" hidden="1" x14ac:dyDescent="0.25">
      <c r="C83" s="4" t="s">
        <v>636</v>
      </c>
      <c r="D83" s="4" t="s">
        <v>637</v>
      </c>
      <c r="E83" s="4" t="s">
        <v>638</v>
      </c>
      <c r="F83" s="4">
        <v>6</v>
      </c>
      <c r="G83" s="4" t="s">
        <v>376</v>
      </c>
      <c r="H83" s="4" t="s">
        <v>46</v>
      </c>
      <c r="I83" s="4" t="s">
        <v>1030</v>
      </c>
      <c r="J83" s="4" t="s">
        <v>50</v>
      </c>
      <c r="K83" s="4" t="s">
        <v>315</v>
      </c>
      <c r="L83" s="4" t="s">
        <v>40</v>
      </c>
      <c r="M83" s="4" t="s">
        <v>514</v>
      </c>
      <c r="N83" s="4" t="s">
        <v>636</v>
      </c>
      <c r="O83" s="4" t="s">
        <v>42</v>
      </c>
      <c r="P83" s="50" t="s">
        <v>43</v>
      </c>
      <c r="Q83" s="50">
        <v>83990430.88962777</v>
      </c>
      <c r="R83" s="50" t="s">
        <v>597</v>
      </c>
      <c r="S83" s="4" t="s">
        <v>43</v>
      </c>
      <c r="T83" s="4" t="s">
        <v>46</v>
      </c>
    </row>
    <row r="84" spans="3:20" hidden="1" x14ac:dyDescent="0.25">
      <c r="C84" s="4" t="s">
        <v>857</v>
      </c>
      <c r="D84" s="4" t="s">
        <v>859</v>
      </c>
      <c r="E84" s="4" t="s">
        <v>993</v>
      </c>
      <c r="F84" s="4">
        <v>6.9</v>
      </c>
      <c r="G84" s="4" t="s">
        <v>376</v>
      </c>
      <c r="H84" s="4" t="s">
        <v>46</v>
      </c>
      <c r="I84" s="4" t="s">
        <v>1030</v>
      </c>
      <c r="J84" s="4" t="s">
        <v>132</v>
      </c>
      <c r="K84" s="4" t="s">
        <v>138</v>
      </c>
      <c r="L84" s="4" t="s">
        <v>40</v>
      </c>
      <c r="M84" s="4" t="s">
        <v>1035</v>
      </c>
      <c r="N84" s="4" t="s">
        <v>857</v>
      </c>
      <c r="O84" s="4" t="s">
        <v>42</v>
      </c>
      <c r="P84" s="50" t="s">
        <v>43</v>
      </c>
      <c r="Q84" s="50">
        <v>79993179.035131857</v>
      </c>
      <c r="R84" s="50" t="s">
        <v>847</v>
      </c>
      <c r="S84" s="4" t="s">
        <v>43</v>
      </c>
      <c r="T84" s="4" t="s">
        <v>46</v>
      </c>
    </row>
    <row r="85" spans="3:20" hidden="1" x14ac:dyDescent="0.25">
      <c r="C85" s="4" t="s">
        <v>747</v>
      </c>
      <c r="D85" s="4" t="s">
        <v>994</v>
      </c>
      <c r="E85" s="4" t="s">
        <v>749</v>
      </c>
      <c r="F85" s="4">
        <v>6.9</v>
      </c>
      <c r="G85" s="4" t="s">
        <v>376</v>
      </c>
      <c r="H85" s="4" t="s">
        <v>46</v>
      </c>
      <c r="I85" s="4" t="s">
        <v>1031</v>
      </c>
      <c r="J85" s="4" t="s">
        <v>84</v>
      </c>
      <c r="K85" s="4" t="s">
        <v>54</v>
      </c>
      <c r="L85" s="4" t="s">
        <v>55</v>
      </c>
      <c r="M85" s="4" t="s">
        <v>378</v>
      </c>
      <c r="N85" s="4" t="s">
        <v>747</v>
      </c>
      <c r="O85" s="4" t="s">
        <v>42</v>
      </c>
      <c r="P85" s="50" t="s">
        <v>43</v>
      </c>
      <c r="Q85" s="50">
        <v>73496872.695353776</v>
      </c>
      <c r="R85" s="50" t="s">
        <v>741</v>
      </c>
      <c r="S85" s="4" t="s">
        <v>43</v>
      </c>
      <c r="T85" s="4" t="s">
        <v>46</v>
      </c>
    </row>
    <row r="86" spans="3:20" hidden="1" x14ac:dyDescent="0.25">
      <c r="C86" s="4" t="s">
        <v>564</v>
      </c>
      <c r="D86" s="4" t="s">
        <v>565</v>
      </c>
      <c r="E86" s="4" t="s">
        <v>566</v>
      </c>
      <c r="F86" s="4">
        <v>5.9</v>
      </c>
      <c r="G86" s="4" t="s">
        <v>1032</v>
      </c>
      <c r="H86" s="4" t="s">
        <v>46</v>
      </c>
      <c r="I86" s="4" t="s">
        <v>1030</v>
      </c>
      <c r="J86" s="4" t="s">
        <v>331</v>
      </c>
      <c r="K86" s="4" t="s">
        <v>138</v>
      </c>
      <c r="L86" s="4" t="s">
        <v>40</v>
      </c>
      <c r="M86" s="4" t="s">
        <v>984</v>
      </c>
      <c r="N86" s="4" t="s">
        <v>564</v>
      </c>
      <c r="O86" s="4" t="s">
        <v>42</v>
      </c>
      <c r="P86" s="50" t="s">
        <v>440</v>
      </c>
      <c r="Q86" s="50">
        <v>35671381.462199993</v>
      </c>
      <c r="R86" s="50" t="s">
        <v>557</v>
      </c>
      <c r="S86" s="4" t="s">
        <v>43</v>
      </c>
      <c r="T86" s="4" t="s">
        <v>46</v>
      </c>
    </row>
    <row r="87" spans="3:20" hidden="1" x14ac:dyDescent="0.25">
      <c r="C87" s="4" t="s">
        <v>709</v>
      </c>
      <c r="D87" s="4" t="s">
        <v>710</v>
      </c>
      <c r="E87" s="4" t="s">
        <v>711</v>
      </c>
      <c r="F87" s="4">
        <v>8</v>
      </c>
      <c r="G87" s="4" t="s">
        <v>376</v>
      </c>
      <c r="H87" s="4" t="s">
        <v>46</v>
      </c>
      <c r="I87" s="4" t="s">
        <v>1031</v>
      </c>
      <c r="J87" s="4" t="s">
        <v>84</v>
      </c>
      <c r="K87" s="4" t="s">
        <v>54</v>
      </c>
      <c r="L87" s="4" t="s">
        <v>55</v>
      </c>
      <c r="M87" s="4" t="s">
        <v>378</v>
      </c>
      <c r="N87" s="4" t="s">
        <v>709</v>
      </c>
      <c r="O87" s="4" t="s">
        <v>379</v>
      </c>
      <c r="P87" s="50" t="s">
        <v>440</v>
      </c>
      <c r="Q87" s="50">
        <v>52402279.202034116</v>
      </c>
      <c r="R87" s="50" t="s">
        <v>702</v>
      </c>
      <c r="S87" s="4" t="s">
        <v>43</v>
      </c>
      <c r="T87" s="4" t="s">
        <v>46</v>
      </c>
    </row>
    <row r="88" spans="3:20" hidden="1" x14ac:dyDescent="0.25">
      <c r="C88" s="4" t="s">
        <v>60</v>
      </c>
      <c r="D88" s="4" t="s">
        <v>61</v>
      </c>
      <c r="E88" s="4" t="s">
        <v>62</v>
      </c>
      <c r="F88" s="4" t="s">
        <v>36</v>
      </c>
      <c r="G88" s="4" t="s">
        <v>37</v>
      </c>
      <c r="H88" s="4" t="s">
        <v>38</v>
      </c>
      <c r="I88" s="4" t="s">
        <v>1030</v>
      </c>
      <c r="J88" s="4" t="s">
        <v>63</v>
      </c>
      <c r="K88" s="4" t="s">
        <v>64</v>
      </c>
      <c r="L88" s="4" t="s">
        <v>40</v>
      </c>
      <c r="M88" s="4">
        <v>0</v>
      </c>
      <c r="N88" s="4" t="s">
        <v>60</v>
      </c>
      <c r="O88" s="4" t="s">
        <v>42</v>
      </c>
      <c r="P88" s="50" t="s">
        <v>43</v>
      </c>
      <c r="Q88" s="50" t="s">
        <v>36</v>
      </c>
      <c r="R88" s="50">
        <v>0</v>
      </c>
      <c r="S88" s="4" t="s">
        <v>36</v>
      </c>
      <c r="T88" s="4" t="s">
        <v>38</v>
      </c>
    </row>
    <row r="89" spans="3:20" hidden="1" x14ac:dyDescent="0.25">
      <c r="C89" s="4" t="s">
        <v>861</v>
      </c>
      <c r="D89" s="4" t="s">
        <v>983</v>
      </c>
      <c r="E89" s="4" t="s">
        <v>995</v>
      </c>
      <c r="F89" s="4">
        <v>7.9</v>
      </c>
      <c r="G89" s="4" t="s">
        <v>376</v>
      </c>
      <c r="H89" s="4" t="s">
        <v>46</v>
      </c>
      <c r="I89" s="4" t="s">
        <v>1030</v>
      </c>
      <c r="J89" s="4" t="s">
        <v>132</v>
      </c>
      <c r="K89" s="4" t="s">
        <v>856</v>
      </c>
      <c r="L89" s="4" t="s">
        <v>40</v>
      </c>
      <c r="M89" s="4" t="s">
        <v>1035</v>
      </c>
      <c r="N89" s="4" t="s">
        <v>861</v>
      </c>
      <c r="O89" s="4" t="s">
        <v>379</v>
      </c>
      <c r="P89" s="50" t="s">
        <v>440</v>
      </c>
      <c r="Q89" s="50">
        <v>75046180.917772219</v>
      </c>
      <c r="R89" s="50" t="s">
        <v>847</v>
      </c>
      <c r="S89" s="4" t="s">
        <v>43</v>
      </c>
      <c r="T89" s="4" t="s">
        <v>46</v>
      </c>
    </row>
    <row r="90" spans="3:20" hidden="1" x14ac:dyDescent="0.25">
      <c r="C90" s="4" t="s">
        <v>616</v>
      </c>
      <c r="D90" s="4" t="s">
        <v>617</v>
      </c>
      <c r="E90" s="4" t="s">
        <v>617</v>
      </c>
      <c r="F90" s="4">
        <v>5.45</v>
      </c>
      <c r="G90" s="4" t="s">
        <v>376</v>
      </c>
      <c r="H90" s="4" t="s">
        <v>46</v>
      </c>
      <c r="I90" s="4" t="s">
        <v>1030</v>
      </c>
      <c r="J90" s="4" t="s">
        <v>50</v>
      </c>
      <c r="K90" s="4" t="s">
        <v>138</v>
      </c>
      <c r="L90" s="4" t="s">
        <v>40</v>
      </c>
      <c r="M90" s="4" t="s">
        <v>514</v>
      </c>
      <c r="N90" s="4" t="s">
        <v>616</v>
      </c>
      <c r="O90" s="4" t="s">
        <v>42</v>
      </c>
      <c r="P90" s="50" t="s">
        <v>440</v>
      </c>
      <c r="Q90" s="50">
        <v>55799635.635743514</v>
      </c>
      <c r="R90" s="50" t="s">
        <v>597</v>
      </c>
      <c r="S90" s="4" t="s">
        <v>43</v>
      </c>
      <c r="T90" s="4" t="s">
        <v>46</v>
      </c>
    </row>
    <row r="91" spans="3:20" hidden="1" x14ac:dyDescent="0.25">
      <c r="C91" s="4" t="s">
        <v>891</v>
      </c>
      <c r="D91" s="4" t="s">
        <v>892</v>
      </c>
      <c r="E91" s="4" t="s">
        <v>893</v>
      </c>
      <c r="F91" s="4">
        <v>5</v>
      </c>
      <c r="G91" s="4" t="s">
        <v>376</v>
      </c>
      <c r="H91" s="4" t="s">
        <v>46</v>
      </c>
      <c r="I91" s="4" t="s">
        <v>1030</v>
      </c>
      <c r="J91" s="4" t="s">
        <v>73</v>
      </c>
      <c r="K91" s="4" t="s">
        <v>47</v>
      </c>
      <c r="L91" s="4" t="s">
        <v>40</v>
      </c>
      <c r="M91" s="4" t="s">
        <v>514</v>
      </c>
      <c r="N91" s="4" t="s">
        <v>891</v>
      </c>
      <c r="O91" s="4" t="s">
        <v>42</v>
      </c>
      <c r="P91" s="50" t="s">
        <v>43</v>
      </c>
      <c r="Q91" s="50">
        <v>57498099.517944366</v>
      </c>
      <c r="R91" s="50" t="s">
        <v>886</v>
      </c>
      <c r="S91" s="4" t="s">
        <v>43</v>
      </c>
      <c r="T91" s="4" t="s">
        <v>46</v>
      </c>
    </row>
    <row r="92" spans="3:20" hidden="1" x14ac:dyDescent="0.25">
      <c r="C92" s="4" t="s">
        <v>65</v>
      </c>
      <c r="D92" s="4" t="s">
        <v>66</v>
      </c>
      <c r="E92" s="4" t="s">
        <v>66</v>
      </c>
      <c r="F92" s="4" t="s">
        <v>36</v>
      </c>
      <c r="G92" s="4" t="s">
        <v>37</v>
      </c>
      <c r="H92" s="4" t="s">
        <v>38</v>
      </c>
      <c r="I92" s="4" t="s">
        <v>1030</v>
      </c>
      <c r="J92" s="4" t="s">
        <v>67</v>
      </c>
      <c r="K92" s="4" t="s">
        <v>59</v>
      </c>
      <c r="L92" s="4" t="s">
        <v>40</v>
      </c>
      <c r="M92" s="4">
        <v>0</v>
      </c>
      <c r="N92" s="4" t="s">
        <v>65</v>
      </c>
      <c r="O92" s="4" t="s">
        <v>42</v>
      </c>
      <c r="P92" s="50" t="s">
        <v>43</v>
      </c>
      <c r="Q92" s="50" t="s">
        <v>36</v>
      </c>
      <c r="R92" s="50">
        <v>0</v>
      </c>
      <c r="S92" s="4" t="s">
        <v>36</v>
      </c>
      <c r="T92" s="4" t="s">
        <v>38</v>
      </c>
    </row>
    <row r="93" spans="3:20" hidden="1" x14ac:dyDescent="0.25">
      <c r="C93" s="4" t="s">
        <v>777</v>
      </c>
      <c r="D93" s="4" t="s">
        <v>779</v>
      </c>
      <c r="E93" s="4" t="s">
        <v>779</v>
      </c>
      <c r="F93" s="4">
        <v>6.45</v>
      </c>
      <c r="G93" s="4" t="s">
        <v>1032</v>
      </c>
      <c r="H93" s="4" t="s">
        <v>46</v>
      </c>
      <c r="I93" s="4" t="s">
        <v>1031</v>
      </c>
      <c r="J93" s="4" t="s">
        <v>89</v>
      </c>
      <c r="K93" s="4" t="s">
        <v>90</v>
      </c>
      <c r="L93" s="4" t="s">
        <v>91</v>
      </c>
      <c r="M93" s="4" t="s">
        <v>378</v>
      </c>
      <c r="N93" s="4" t="s">
        <v>777</v>
      </c>
      <c r="O93" s="4" t="s">
        <v>42</v>
      </c>
      <c r="P93" s="50" t="s">
        <v>440</v>
      </c>
      <c r="Q93" s="50">
        <v>20970195.597252484</v>
      </c>
      <c r="R93" s="50" t="s">
        <v>772</v>
      </c>
      <c r="S93" s="4" t="s">
        <v>43</v>
      </c>
      <c r="T93" s="4" t="s">
        <v>46</v>
      </c>
    </row>
    <row r="94" spans="3:20" hidden="1" x14ac:dyDescent="0.25">
      <c r="C94" s="4" t="s">
        <v>480</v>
      </c>
      <c r="D94" s="4" t="s">
        <v>481</v>
      </c>
      <c r="E94" s="4" t="s">
        <v>482</v>
      </c>
      <c r="F94" s="4">
        <v>5</v>
      </c>
      <c r="G94" s="4" t="s">
        <v>376</v>
      </c>
      <c r="H94" s="4" t="s">
        <v>46</v>
      </c>
      <c r="I94" s="4" t="s">
        <v>1030</v>
      </c>
      <c r="J94" s="4" t="s">
        <v>466</v>
      </c>
      <c r="K94" s="4" t="s">
        <v>51</v>
      </c>
      <c r="L94" s="4" t="s">
        <v>40</v>
      </c>
      <c r="M94" s="4" t="s">
        <v>1035</v>
      </c>
      <c r="N94" s="4" t="s">
        <v>480</v>
      </c>
      <c r="O94" s="4" t="s">
        <v>42</v>
      </c>
      <c r="P94" s="50" t="s">
        <v>43</v>
      </c>
      <c r="Q94" s="50">
        <v>38853967.738595851</v>
      </c>
      <c r="R94" s="50" t="s">
        <v>467</v>
      </c>
      <c r="S94" s="4" t="s">
        <v>43</v>
      </c>
      <c r="T94" s="4" t="s">
        <v>46</v>
      </c>
    </row>
    <row r="95" spans="3:20" hidden="1" x14ac:dyDescent="0.25">
      <c r="C95" s="4" t="s">
        <v>807</v>
      </c>
      <c r="D95" s="4" t="s">
        <v>808</v>
      </c>
      <c r="E95" s="4" t="s">
        <v>809</v>
      </c>
      <c r="F95" s="44">
        <v>7</v>
      </c>
      <c r="G95" s="4" t="s">
        <v>376</v>
      </c>
      <c r="H95" s="4" t="s">
        <v>46</v>
      </c>
      <c r="I95" s="4" t="s">
        <v>1030</v>
      </c>
      <c r="J95" s="4" t="s">
        <v>146</v>
      </c>
      <c r="K95" s="4" t="s">
        <v>59</v>
      </c>
      <c r="L95" s="4" t="s">
        <v>40</v>
      </c>
      <c r="M95" s="4" t="s">
        <v>1035</v>
      </c>
      <c r="N95" s="4" t="s">
        <v>807</v>
      </c>
      <c r="O95" s="4" t="s">
        <v>42</v>
      </c>
      <c r="P95" s="50" t="s">
        <v>440</v>
      </c>
      <c r="Q95" s="50">
        <v>68115518.84649162</v>
      </c>
      <c r="R95" s="50" t="s">
        <v>799</v>
      </c>
      <c r="S95" s="4" t="s">
        <v>43</v>
      </c>
      <c r="T95" s="4" t="s">
        <v>46</v>
      </c>
    </row>
    <row r="96" spans="3:20" hidden="1" x14ac:dyDescent="0.25">
      <c r="C96" s="4" t="s">
        <v>400</v>
      </c>
      <c r="D96" s="4" t="s">
        <v>401</v>
      </c>
      <c r="E96" s="4" t="s">
        <v>401</v>
      </c>
      <c r="F96" s="4">
        <v>5.45</v>
      </c>
      <c r="G96" s="4" t="s">
        <v>376</v>
      </c>
      <c r="H96" s="4" t="s">
        <v>46</v>
      </c>
      <c r="I96" s="4" t="s">
        <v>1031</v>
      </c>
      <c r="J96" s="4" t="s">
        <v>63</v>
      </c>
      <c r="K96" s="4" t="s">
        <v>138</v>
      </c>
      <c r="L96" s="4" t="s">
        <v>40</v>
      </c>
      <c r="M96" s="4" t="s">
        <v>378</v>
      </c>
      <c r="N96" s="4" t="s">
        <v>400</v>
      </c>
      <c r="O96" s="4" t="s">
        <v>42</v>
      </c>
      <c r="P96" s="50" t="s">
        <v>43</v>
      </c>
      <c r="Q96" s="50">
        <v>41128072.667667232</v>
      </c>
      <c r="R96" s="50" t="s">
        <v>380</v>
      </c>
      <c r="S96" s="4" t="s">
        <v>43</v>
      </c>
      <c r="T96" s="4" t="s">
        <v>46</v>
      </c>
    </row>
    <row r="97" spans="1:16383" hidden="1" x14ac:dyDescent="0.25">
      <c r="C97" s="4" t="s">
        <v>402</v>
      </c>
      <c r="D97" s="4" t="s">
        <v>403</v>
      </c>
      <c r="E97" s="4" t="s">
        <v>403</v>
      </c>
      <c r="F97" s="4">
        <v>5.45</v>
      </c>
      <c r="G97" s="4" t="s">
        <v>376</v>
      </c>
      <c r="H97" s="4" t="s">
        <v>46</v>
      </c>
      <c r="I97" s="4" t="s">
        <v>1031</v>
      </c>
      <c r="J97" s="4" t="s">
        <v>63</v>
      </c>
      <c r="K97" s="4" t="s">
        <v>138</v>
      </c>
      <c r="L97" s="4" t="s">
        <v>40</v>
      </c>
      <c r="M97" s="4" t="s">
        <v>378</v>
      </c>
      <c r="N97" s="4" t="s">
        <v>402</v>
      </c>
      <c r="O97" s="4" t="s">
        <v>42</v>
      </c>
      <c r="P97" s="50" t="s">
        <v>43</v>
      </c>
      <c r="Q97" s="50">
        <v>67101055.52139882</v>
      </c>
      <c r="R97" s="50" t="s">
        <v>380</v>
      </c>
      <c r="S97" s="4" t="s">
        <v>43</v>
      </c>
      <c r="T97" s="4" t="s">
        <v>46</v>
      </c>
    </row>
    <row r="98" spans="1:16383" hidden="1" x14ac:dyDescent="0.25">
      <c r="C98" s="44" t="s">
        <v>665</v>
      </c>
      <c r="D98" s="44" t="s">
        <v>666</v>
      </c>
      <c r="E98" s="44" t="s">
        <v>666</v>
      </c>
      <c r="F98" s="44">
        <v>6</v>
      </c>
      <c r="G98" s="4" t="s">
        <v>376</v>
      </c>
      <c r="H98" s="4" t="s">
        <v>46</v>
      </c>
      <c r="I98" s="4" t="s">
        <v>1030</v>
      </c>
      <c r="J98" s="4" t="s">
        <v>248</v>
      </c>
      <c r="K98" s="4" t="s">
        <v>51</v>
      </c>
      <c r="L98" s="4" t="s">
        <v>40</v>
      </c>
      <c r="M98" s="4" t="s">
        <v>984</v>
      </c>
      <c r="N98" s="4" t="s">
        <v>665</v>
      </c>
      <c r="O98" s="4" t="s">
        <v>42</v>
      </c>
      <c r="P98" s="50" t="s">
        <v>43</v>
      </c>
      <c r="Q98" s="50">
        <v>57350231.362937748</v>
      </c>
      <c r="R98" s="50" t="s">
        <v>51</v>
      </c>
      <c r="S98" s="4" t="s">
        <v>43</v>
      </c>
      <c r="T98" s="4" t="s">
        <v>46</v>
      </c>
    </row>
    <row r="99" spans="1:16383" hidden="1" x14ac:dyDescent="0.25">
      <c r="C99" s="4" t="s">
        <v>404</v>
      </c>
      <c r="D99" s="4" t="s">
        <v>405</v>
      </c>
      <c r="E99" s="4" t="s">
        <v>405</v>
      </c>
      <c r="F99" s="4">
        <v>5</v>
      </c>
      <c r="G99" s="4" t="s">
        <v>376</v>
      </c>
      <c r="H99" s="4" t="s">
        <v>46</v>
      </c>
      <c r="I99" s="4" t="s">
        <v>1031</v>
      </c>
      <c r="J99" s="4" t="s">
        <v>63</v>
      </c>
      <c r="K99" s="4" t="s">
        <v>138</v>
      </c>
      <c r="L99" s="4" t="s">
        <v>40</v>
      </c>
      <c r="M99" s="4" t="s">
        <v>378</v>
      </c>
      <c r="N99" s="4" t="s">
        <v>404</v>
      </c>
      <c r="O99" s="4" t="s">
        <v>42</v>
      </c>
      <c r="P99" s="50" t="s">
        <v>43</v>
      </c>
      <c r="Q99" s="50">
        <v>40704225.590095527</v>
      </c>
      <c r="R99" s="50" t="s">
        <v>380</v>
      </c>
      <c r="S99" s="4" t="s">
        <v>43</v>
      </c>
      <c r="T99" s="4" t="s">
        <v>46</v>
      </c>
    </row>
    <row r="100" spans="1:16383" s="68" customFormat="1" hidden="1" x14ac:dyDescent="0.25">
      <c r="A100" s="48"/>
      <c r="B100" s="48"/>
      <c r="C100" s="4" t="s">
        <v>948</v>
      </c>
      <c r="D100" s="4" t="s">
        <v>949</v>
      </c>
      <c r="E100" s="4" t="s">
        <v>949</v>
      </c>
      <c r="F100" s="4">
        <v>5.45</v>
      </c>
      <c r="G100" s="4" t="s">
        <v>376</v>
      </c>
      <c r="H100" s="4" t="s">
        <v>46</v>
      </c>
      <c r="I100" s="4" t="s">
        <v>1030</v>
      </c>
      <c r="J100" s="4" t="s">
        <v>160</v>
      </c>
      <c r="K100" s="4" t="s">
        <v>353</v>
      </c>
      <c r="L100" s="4" t="s">
        <v>40</v>
      </c>
      <c r="M100" s="4" t="s">
        <v>984</v>
      </c>
      <c r="N100" s="4" t="s">
        <v>948</v>
      </c>
      <c r="O100" s="50" t="s">
        <v>42</v>
      </c>
      <c r="P100" s="50" t="s">
        <v>43</v>
      </c>
      <c r="Q100" s="50">
        <v>45204344.00645151</v>
      </c>
      <c r="R100" s="4" t="s">
        <v>931</v>
      </c>
      <c r="S100" s="48" t="s">
        <v>43</v>
      </c>
      <c r="T100" s="4" t="s">
        <v>46</v>
      </c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  <c r="BG100" s="48"/>
      <c r="BH100" s="48"/>
      <c r="BI100" s="48"/>
      <c r="BJ100" s="48"/>
      <c r="BK100" s="48"/>
      <c r="BL100" s="48"/>
      <c r="BM100" s="48"/>
      <c r="BN100" s="48"/>
      <c r="BO100" s="48"/>
      <c r="BP100" s="48"/>
      <c r="BQ100" s="48"/>
      <c r="BR100" s="48"/>
      <c r="BS100" s="48"/>
      <c r="BT100" s="48"/>
      <c r="BU100" s="48"/>
      <c r="BV100" s="48"/>
      <c r="BW100" s="48"/>
      <c r="BX100" s="48"/>
      <c r="BY100" s="48"/>
      <c r="BZ100" s="48"/>
      <c r="CA100" s="48"/>
      <c r="CB100" s="48"/>
      <c r="CC100" s="48"/>
      <c r="CD100" s="48"/>
      <c r="CE100" s="48"/>
      <c r="CF100" s="48"/>
      <c r="CG100" s="48"/>
      <c r="CH100" s="48"/>
      <c r="CI100" s="48"/>
      <c r="CJ100" s="48"/>
      <c r="CK100" s="48"/>
      <c r="CL100" s="48"/>
      <c r="CM100" s="48"/>
      <c r="CN100" s="48"/>
      <c r="CO100" s="48"/>
      <c r="CP100" s="48"/>
      <c r="CQ100" s="48"/>
      <c r="CR100" s="48"/>
      <c r="CS100" s="48"/>
      <c r="CT100" s="48"/>
      <c r="CU100" s="48"/>
      <c r="CV100" s="48"/>
      <c r="CW100" s="48"/>
      <c r="CX100" s="48"/>
      <c r="CY100" s="48"/>
      <c r="CZ100" s="48"/>
      <c r="DA100" s="48"/>
      <c r="DB100" s="48"/>
      <c r="DC100" s="48"/>
      <c r="DD100" s="48"/>
      <c r="DE100" s="48"/>
      <c r="DF100" s="48"/>
      <c r="DG100" s="48"/>
      <c r="DH100" s="48"/>
      <c r="DI100" s="48"/>
      <c r="DJ100" s="48"/>
      <c r="DK100" s="48"/>
      <c r="DL100" s="48"/>
      <c r="DM100" s="48"/>
      <c r="DN100" s="48"/>
      <c r="DO100" s="48"/>
      <c r="DP100" s="48"/>
      <c r="DQ100" s="48"/>
      <c r="DR100" s="48"/>
      <c r="DS100" s="48"/>
      <c r="DT100" s="48"/>
      <c r="DU100" s="48"/>
      <c r="DV100" s="48"/>
      <c r="DW100" s="48"/>
      <c r="DX100" s="48"/>
      <c r="DY100" s="48"/>
      <c r="DZ100" s="48"/>
      <c r="EA100" s="48"/>
      <c r="EB100" s="48"/>
      <c r="EC100" s="48"/>
      <c r="ED100" s="48"/>
      <c r="EE100" s="48"/>
      <c r="EF100" s="48"/>
      <c r="EG100" s="48"/>
      <c r="EH100" s="48"/>
      <c r="EI100" s="48"/>
      <c r="EJ100" s="48"/>
      <c r="EK100" s="48"/>
      <c r="EL100" s="48"/>
      <c r="EM100" s="48"/>
      <c r="EN100" s="48"/>
      <c r="EO100" s="48"/>
      <c r="EP100" s="48"/>
      <c r="EQ100" s="48"/>
      <c r="ER100" s="48"/>
      <c r="ES100" s="48"/>
      <c r="ET100" s="48"/>
      <c r="EU100" s="48"/>
      <c r="EV100" s="48"/>
      <c r="EW100" s="48"/>
      <c r="EX100" s="48"/>
      <c r="EY100" s="48"/>
      <c r="EZ100" s="48"/>
      <c r="FA100" s="48"/>
      <c r="FB100" s="48"/>
      <c r="FC100" s="48"/>
      <c r="FD100" s="48"/>
      <c r="FE100" s="48"/>
      <c r="FF100" s="48"/>
      <c r="FG100" s="48"/>
      <c r="FH100" s="48"/>
      <c r="FI100" s="48"/>
      <c r="FJ100" s="48"/>
      <c r="FK100" s="48"/>
      <c r="FL100" s="48"/>
      <c r="FM100" s="48"/>
      <c r="FN100" s="48"/>
      <c r="FO100" s="48"/>
      <c r="FP100" s="48"/>
      <c r="FQ100" s="48"/>
      <c r="FR100" s="48"/>
      <c r="FS100" s="48"/>
      <c r="FT100" s="48"/>
      <c r="FU100" s="48"/>
      <c r="FV100" s="48"/>
      <c r="FW100" s="48"/>
      <c r="FX100" s="48"/>
      <c r="FY100" s="48"/>
      <c r="FZ100" s="48"/>
      <c r="GA100" s="48"/>
      <c r="GB100" s="48"/>
      <c r="GC100" s="48"/>
      <c r="GD100" s="48"/>
      <c r="GE100" s="48"/>
      <c r="GF100" s="48"/>
      <c r="GG100" s="48"/>
      <c r="GH100" s="48"/>
      <c r="GI100" s="48"/>
      <c r="GJ100" s="48"/>
      <c r="GK100" s="48"/>
      <c r="GL100" s="48"/>
      <c r="GM100" s="48"/>
      <c r="GN100" s="48"/>
      <c r="GO100" s="48"/>
      <c r="GP100" s="48"/>
      <c r="GQ100" s="48"/>
      <c r="GR100" s="48"/>
      <c r="GS100" s="48"/>
      <c r="GT100" s="48"/>
      <c r="GU100" s="48"/>
      <c r="GV100" s="48"/>
      <c r="GW100" s="48"/>
      <c r="GX100" s="48"/>
      <c r="GY100" s="48"/>
      <c r="GZ100" s="48"/>
      <c r="HA100" s="48"/>
      <c r="HB100" s="48"/>
      <c r="HC100" s="48"/>
      <c r="HD100" s="48"/>
      <c r="HE100" s="48"/>
      <c r="HF100" s="48"/>
      <c r="HG100" s="48"/>
      <c r="HH100" s="48"/>
      <c r="HI100" s="48"/>
      <c r="HJ100" s="48"/>
      <c r="HK100" s="48"/>
      <c r="HL100" s="48"/>
      <c r="HM100" s="48"/>
      <c r="HN100" s="48"/>
      <c r="HO100" s="48"/>
      <c r="HP100" s="48"/>
      <c r="HQ100" s="48"/>
      <c r="HR100" s="48"/>
      <c r="HS100" s="48"/>
      <c r="HT100" s="48"/>
      <c r="HU100" s="48"/>
      <c r="HV100" s="48"/>
      <c r="HW100" s="48"/>
      <c r="HX100" s="48"/>
      <c r="HY100" s="48"/>
      <c r="HZ100" s="48"/>
      <c r="IA100" s="48"/>
      <c r="IB100" s="48"/>
      <c r="IC100" s="48"/>
      <c r="ID100" s="48"/>
      <c r="IE100" s="48"/>
      <c r="IF100" s="48"/>
      <c r="IG100" s="48"/>
      <c r="IH100" s="48"/>
      <c r="II100" s="48"/>
      <c r="IJ100" s="48"/>
      <c r="IK100" s="48"/>
      <c r="IL100" s="48"/>
      <c r="IM100" s="48"/>
      <c r="IN100" s="48"/>
      <c r="IO100" s="48"/>
      <c r="IP100" s="48"/>
      <c r="IQ100" s="48"/>
      <c r="IR100" s="48"/>
      <c r="IS100" s="48"/>
      <c r="IT100" s="48"/>
      <c r="IU100" s="48"/>
      <c r="IV100" s="48"/>
      <c r="IW100" s="48"/>
      <c r="IX100" s="48"/>
      <c r="IY100" s="48"/>
      <c r="IZ100" s="48"/>
      <c r="JA100" s="48"/>
      <c r="JB100" s="48"/>
      <c r="JC100" s="48"/>
      <c r="JD100" s="48"/>
      <c r="JE100" s="48"/>
      <c r="JF100" s="48"/>
      <c r="JG100" s="48"/>
      <c r="JH100" s="48"/>
      <c r="JI100" s="48"/>
      <c r="JJ100" s="48"/>
      <c r="JK100" s="48"/>
      <c r="JL100" s="48"/>
      <c r="JM100" s="48"/>
      <c r="JN100" s="48"/>
      <c r="JO100" s="48"/>
      <c r="JP100" s="48"/>
      <c r="JQ100" s="48"/>
      <c r="JR100" s="48"/>
      <c r="JS100" s="48"/>
      <c r="JT100" s="48"/>
      <c r="JU100" s="48"/>
      <c r="JV100" s="48"/>
      <c r="JW100" s="48"/>
      <c r="JX100" s="48"/>
      <c r="JY100" s="48"/>
      <c r="JZ100" s="48"/>
      <c r="KA100" s="48"/>
      <c r="KB100" s="48"/>
      <c r="KC100" s="48"/>
      <c r="KD100" s="48"/>
      <c r="KE100" s="48"/>
      <c r="KF100" s="48"/>
      <c r="KG100" s="48"/>
      <c r="KH100" s="48"/>
      <c r="KI100" s="48"/>
      <c r="KJ100" s="48"/>
      <c r="KK100" s="48"/>
      <c r="KL100" s="48"/>
      <c r="KM100" s="48"/>
      <c r="KN100" s="48"/>
      <c r="KO100" s="48"/>
      <c r="KP100" s="48"/>
      <c r="KQ100" s="48"/>
      <c r="KR100" s="48"/>
      <c r="KS100" s="48"/>
      <c r="KT100" s="48"/>
      <c r="KU100" s="48"/>
      <c r="KV100" s="48"/>
      <c r="KW100" s="48"/>
      <c r="KX100" s="48"/>
      <c r="KY100" s="48"/>
      <c r="KZ100" s="48"/>
      <c r="LA100" s="48"/>
      <c r="LB100" s="48"/>
      <c r="LC100" s="48"/>
      <c r="LD100" s="48"/>
      <c r="LE100" s="48"/>
      <c r="LF100" s="48"/>
      <c r="LG100" s="48"/>
      <c r="LH100" s="48"/>
      <c r="LI100" s="48"/>
      <c r="LJ100" s="48"/>
      <c r="LK100" s="48"/>
      <c r="LL100" s="48"/>
      <c r="LM100" s="48"/>
      <c r="LN100" s="48"/>
      <c r="LO100" s="48"/>
      <c r="LP100" s="48"/>
      <c r="LQ100" s="48"/>
      <c r="LR100" s="48"/>
      <c r="LS100" s="48"/>
      <c r="LT100" s="48"/>
      <c r="LU100" s="48"/>
      <c r="LV100" s="48"/>
      <c r="LW100" s="48"/>
      <c r="LX100" s="48"/>
      <c r="LY100" s="48"/>
      <c r="LZ100" s="48"/>
      <c r="MA100" s="48"/>
      <c r="MB100" s="48"/>
      <c r="MC100" s="48"/>
      <c r="MD100" s="48"/>
      <c r="ME100" s="48"/>
      <c r="MF100" s="48"/>
      <c r="MG100" s="48"/>
      <c r="MH100" s="48"/>
      <c r="MI100" s="48"/>
      <c r="MJ100" s="48"/>
      <c r="MK100" s="48"/>
      <c r="ML100" s="48"/>
      <c r="MM100" s="48"/>
      <c r="MN100" s="48"/>
      <c r="MO100" s="48"/>
      <c r="MP100" s="48"/>
      <c r="MQ100" s="48"/>
      <c r="MR100" s="48"/>
      <c r="MS100" s="48"/>
      <c r="MT100" s="48"/>
      <c r="MU100" s="48"/>
      <c r="MV100" s="48"/>
      <c r="MW100" s="48"/>
      <c r="MX100" s="48"/>
      <c r="MY100" s="48"/>
      <c r="MZ100" s="48"/>
      <c r="NA100" s="48"/>
      <c r="NB100" s="48"/>
      <c r="NC100" s="48"/>
      <c r="ND100" s="48"/>
      <c r="NE100" s="48"/>
      <c r="NF100" s="48"/>
      <c r="NG100" s="48"/>
      <c r="NH100" s="48"/>
      <c r="NI100" s="48"/>
      <c r="NJ100" s="48"/>
      <c r="NK100" s="48"/>
      <c r="NL100" s="48"/>
      <c r="NM100" s="48"/>
      <c r="NN100" s="48"/>
      <c r="NO100" s="48"/>
      <c r="NP100" s="48"/>
      <c r="NQ100" s="48"/>
      <c r="NR100" s="48"/>
      <c r="NS100" s="48"/>
      <c r="NT100" s="48"/>
      <c r="NU100" s="48"/>
      <c r="NV100" s="48"/>
      <c r="NW100" s="48"/>
      <c r="NX100" s="48"/>
      <c r="NY100" s="48"/>
      <c r="NZ100" s="48"/>
      <c r="OA100" s="48"/>
      <c r="OB100" s="48"/>
      <c r="OC100" s="48"/>
      <c r="OD100" s="48"/>
      <c r="OE100" s="48"/>
      <c r="OF100" s="48"/>
      <c r="OG100" s="48"/>
      <c r="OH100" s="48"/>
      <c r="OI100" s="48"/>
      <c r="OJ100" s="48"/>
      <c r="OK100" s="48"/>
      <c r="OL100" s="48"/>
      <c r="OM100" s="48"/>
      <c r="ON100" s="48"/>
      <c r="OO100" s="48"/>
      <c r="OP100" s="48"/>
      <c r="OQ100" s="48"/>
      <c r="OR100" s="48"/>
      <c r="OS100" s="48"/>
      <c r="OT100" s="48"/>
      <c r="OU100" s="48"/>
      <c r="OV100" s="48"/>
      <c r="OW100" s="48"/>
      <c r="OX100" s="48"/>
      <c r="OY100" s="48"/>
      <c r="OZ100" s="48"/>
      <c r="PA100" s="48"/>
      <c r="PB100" s="48"/>
      <c r="PC100" s="48"/>
      <c r="PD100" s="48"/>
      <c r="PE100" s="48"/>
      <c r="PF100" s="48"/>
      <c r="PG100" s="48"/>
      <c r="PH100" s="48"/>
      <c r="PI100" s="48"/>
      <c r="PJ100" s="48"/>
      <c r="PK100" s="48"/>
      <c r="PL100" s="48"/>
      <c r="PM100" s="48"/>
      <c r="PN100" s="48"/>
      <c r="PO100" s="48"/>
      <c r="PP100" s="48"/>
      <c r="PQ100" s="48"/>
      <c r="PR100" s="48"/>
      <c r="PS100" s="48"/>
      <c r="PT100" s="48"/>
      <c r="PU100" s="48"/>
      <c r="PV100" s="48"/>
      <c r="PW100" s="48"/>
      <c r="PX100" s="48"/>
      <c r="PY100" s="48"/>
      <c r="PZ100" s="48"/>
      <c r="QA100" s="48"/>
      <c r="QB100" s="48"/>
      <c r="QC100" s="48"/>
      <c r="QD100" s="48"/>
      <c r="QE100" s="48"/>
      <c r="QF100" s="48"/>
      <c r="QG100" s="48"/>
      <c r="QH100" s="48"/>
      <c r="QI100" s="48"/>
      <c r="QJ100" s="48"/>
      <c r="QK100" s="48"/>
      <c r="QL100" s="48"/>
      <c r="QM100" s="48"/>
      <c r="QN100" s="48"/>
      <c r="QO100" s="48"/>
      <c r="QP100" s="48"/>
      <c r="QQ100" s="48"/>
      <c r="QR100" s="48"/>
      <c r="QS100" s="48"/>
      <c r="QT100" s="48"/>
      <c r="QU100" s="48"/>
      <c r="QV100" s="48"/>
      <c r="QW100" s="48"/>
      <c r="QX100" s="48"/>
      <c r="QY100" s="48"/>
      <c r="QZ100" s="48"/>
      <c r="RA100" s="48"/>
      <c r="RB100" s="48"/>
      <c r="RC100" s="48"/>
      <c r="RD100" s="48"/>
      <c r="RE100" s="48"/>
      <c r="RF100" s="48"/>
      <c r="RG100" s="48"/>
      <c r="RH100" s="48"/>
      <c r="RI100" s="48"/>
      <c r="RJ100" s="48"/>
      <c r="RK100" s="48"/>
      <c r="RL100" s="48"/>
      <c r="RM100" s="48"/>
      <c r="RN100" s="48"/>
      <c r="RO100" s="48"/>
      <c r="RP100" s="48"/>
      <c r="RQ100" s="48"/>
      <c r="RR100" s="48"/>
      <c r="RS100" s="48"/>
      <c r="RT100" s="48"/>
      <c r="RU100" s="48"/>
      <c r="RV100" s="48"/>
      <c r="RW100" s="48"/>
      <c r="RX100" s="48"/>
      <c r="RY100" s="48"/>
      <c r="RZ100" s="48"/>
      <c r="SA100" s="48"/>
      <c r="SB100" s="48"/>
      <c r="SC100" s="48"/>
      <c r="SD100" s="48"/>
      <c r="SE100" s="48"/>
      <c r="SF100" s="48"/>
      <c r="SG100" s="48"/>
      <c r="SH100" s="48"/>
      <c r="SI100" s="48"/>
      <c r="SJ100" s="48"/>
      <c r="SK100" s="48"/>
      <c r="SL100" s="48"/>
      <c r="SM100" s="48"/>
      <c r="SN100" s="48"/>
      <c r="SO100" s="48"/>
      <c r="SP100" s="48"/>
      <c r="SQ100" s="48"/>
      <c r="SR100" s="48"/>
      <c r="SS100" s="48"/>
      <c r="ST100" s="48"/>
      <c r="SU100" s="48"/>
      <c r="SV100" s="48"/>
      <c r="SW100" s="48"/>
      <c r="SX100" s="48"/>
      <c r="SY100" s="48"/>
      <c r="SZ100" s="48"/>
      <c r="TA100" s="48"/>
      <c r="TB100" s="48"/>
      <c r="TC100" s="48"/>
      <c r="TD100" s="48"/>
      <c r="TE100" s="48"/>
      <c r="TF100" s="48"/>
      <c r="TG100" s="48"/>
      <c r="TH100" s="48"/>
      <c r="TI100" s="48"/>
      <c r="TJ100" s="48"/>
      <c r="TK100" s="48"/>
      <c r="TL100" s="48"/>
      <c r="TM100" s="48"/>
      <c r="TN100" s="48"/>
      <c r="TO100" s="48"/>
      <c r="TP100" s="48"/>
      <c r="TQ100" s="48"/>
      <c r="TR100" s="48"/>
      <c r="TS100" s="48"/>
      <c r="TT100" s="48"/>
      <c r="TU100" s="48"/>
      <c r="TV100" s="48"/>
      <c r="TW100" s="48"/>
      <c r="TX100" s="48"/>
      <c r="TY100" s="48"/>
      <c r="TZ100" s="48"/>
      <c r="UA100" s="48"/>
      <c r="UB100" s="48"/>
      <c r="UC100" s="48"/>
      <c r="UD100" s="48"/>
      <c r="UE100" s="48"/>
      <c r="UF100" s="48"/>
      <c r="UG100" s="48"/>
      <c r="UH100" s="48"/>
      <c r="UI100" s="48"/>
      <c r="UJ100" s="48"/>
      <c r="UK100" s="48"/>
      <c r="UL100" s="48"/>
      <c r="UM100" s="48"/>
      <c r="UN100" s="48"/>
      <c r="UO100" s="48"/>
      <c r="UP100" s="48"/>
      <c r="UQ100" s="48"/>
      <c r="UR100" s="48"/>
      <c r="US100" s="48"/>
      <c r="UT100" s="48"/>
      <c r="UU100" s="48"/>
      <c r="UV100" s="48"/>
      <c r="UW100" s="48"/>
      <c r="UX100" s="48"/>
      <c r="UY100" s="48"/>
      <c r="UZ100" s="48"/>
      <c r="VA100" s="48"/>
      <c r="VB100" s="48"/>
      <c r="VC100" s="48"/>
      <c r="VD100" s="48"/>
      <c r="VE100" s="48"/>
      <c r="VF100" s="48"/>
      <c r="VG100" s="48"/>
      <c r="VH100" s="48"/>
      <c r="VI100" s="48"/>
      <c r="VJ100" s="48"/>
      <c r="VK100" s="48"/>
      <c r="VL100" s="48"/>
      <c r="VM100" s="48"/>
      <c r="VN100" s="48"/>
      <c r="VO100" s="48"/>
      <c r="VP100" s="48"/>
      <c r="VQ100" s="48"/>
      <c r="VR100" s="48"/>
      <c r="VS100" s="48"/>
      <c r="VT100" s="48"/>
      <c r="VU100" s="48"/>
      <c r="VV100" s="48"/>
      <c r="VW100" s="48"/>
      <c r="VX100" s="48"/>
      <c r="VY100" s="48"/>
      <c r="VZ100" s="48"/>
      <c r="WA100" s="48"/>
      <c r="WB100" s="48"/>
      <c r="WC100" s="48"/>
      <c r="WD100" s="48"/>
      <c r="WE100" s="48"/>
      <c r="WF100" s="48"/>
      <c r="WG100" s="48"/>
      <c r="WH100" s="48"/>
      <c r="WI100" s="48"/>
      <c r="WJ100" s="48"/>
      <c r="WK100" s="48"/>
      <c r="WL100" s="48"/>
      <c r="WM100" s="48"/>
      <c r="WN100" s="48"/>
      <c r="WO100" s="48"/>
      <c r="WP100" s="48"/>
      <c r="WQ100" s="48"/>
      <c r="WR100" s="48"/>
      <c r="WS100" s="48"/>
      <c r="WT100" s="48"/>
      <c r="WU100" s="48"/>
      <c r="WV100" s="48"/>
      <c r="WW100" s="48"/>
      <c r="WX100" s="48"/>
      <c r="WY100" s="48"/>
      <c r="WZ100" s="48"/>
      <c r="XA100" s="48"/>
      <c r="XB100" s="48"/>
      <c r="XC100" s="48"/>
      <c r="XD100" s="48"/>
      <c r="XE100" s="48"/>
      <c r="XF100" s="48"/>
      <c r="XG100" s="48"/>
      <c r="XH100" s="48"/>
      <c r="XI100" s="48"/>
      <c r="XJ100" s="48"/>
      <c r="XK100" s="48"/>
      <c r="XL100" s="48"/>
      <c r="XM100" s="48"/>
      <c r="XN100" s="48"/>
      <c r="XO100" s="48"/>
      <c r="XP100" s="48"/>
      <c r="XQ100" s="48"/>
      <c r="XR100" s="48"/>
      <c r="XS100" s="48"/>
      <c r="XT100" s="48"/>
      <c r="XU100" s="48"/>
      <c r="XV100" s="48"/>
      <c r="XW100" s="48"/>
      <c r="XX100" s="48"/>
      <c r="XY100" s="48"/>
      <c r="XZ100" s="48"/>
      <c r="YA100" s="48"/>
      <c r="YB100" s="48"/>
      <c r="YC100" s="48"/>
      <c r="YD100" s="48"/>
      <c r="YE100" s="48"/>
      <c r="YF100" s="48"/>
      <c r="YG100" s="48"/>
      <c r="YH100" s="48"/>
      <c r="YI100" s="48"/>
      <c r="YJ100" s="48"/>
      <c r="YK100" s="48"/>
      <c r="YL100" s="48"/>
      <c r="YM100" s="48"/>
      <c r="YN100" s="48"/>
      <c r="YO100" s="48"/>
      <c r="YP100" s="48"/>
      <c r="YQ100" s="48"/>
      <c r="YR100" s="48"/>
      <c r="YS100" s="48"/>
      <c r="YT100" s="48"/>
      <c r="YU100" s="48"/>
      <c r="YV100" s="48"/>
      <c r="YW100" s="48"/>
      <c r="YX100" s="48"/>
      <c r="YY100" s="48"/>
      <c r="YZ100" s="48"/>
      <c r="ZA100" s="48"/>
      <c r="ZB100" s="48"/>
      <c r="ZC100" s="48"/>
      <c r="ZD100" s="48"/>
      <c r="ZE100" s="48"/>
      <c r="ZF100" s="48"/>
      <c r="ZG100" s="48"/>
      <c r="ZH100" s="48"/>
      <c r="ZI100" s="48"/>
      <c r="ZJ100" s="48"/>
      <c r="ZK100" s="48"/>
      <c r="ZL100" s="48"/>
      <c r="ZM100" s="48"/>
      <c r="ZN100" s="48"/>
      <c r="ZO100" s="48"/>
      <c r="ZP100" s="48"/>
      <c r="ZQ100" s="48"/>
      <c r="ZR100" s="48"/>
      <c r="ZS100" s="48"/>
      <c r="ZT100" s="48"/>
      <c r="ZU100" s="48"/>
      <c r="ZV100" s="48"/>
      <c r="ZW100" s="48"/>
      <c r="ZX100" s="48"/>
      <c r="ZY100" s="48"/>
      <c r="ZZ100" s="48"/>
      <c r="AAA100" s="48"/>
      <c r="AAB100" s="48"/>
      <c r="AAC100" s="48"/>
      <c r="AAD100" s="48"/>
      <c r="AAE100" s="48"/>
      <c r="AAF100" s="48"/>
      <c r="AAG100" s="48"/>
      <c r="AAH100" s="48"/>
      <c r="AAI100" s="48"/>
      <c r="AAJ100" s="48"/>
      <c r="AAK100" s="48"/>
      <c r="AAL100" s="48"/>
      <c r="AAM100" s="48"/>
      <c r="AAN100" s="48"/>
      <c r="AAO100" s="48"/>
      <c r="AAP100" s="48"/>
      <c r="AAQ100" s="48"/>
      <c r="AAR100" s="48"/>
      <c r="AAS100" s="48"/>
      <c r="AAT100" s="48"/>
      <c r="AAU100" s="48"/>
      <c r="AAV100" s="48"/>
      <c r="AAW100" s="48"/>
      <c r="AAX100" s="48"/>
      <c r="AAY100" s="48"/>
      <c r="AAZ100" s="48"/>
      <c r="ABA100" s="48"/>
      <c r="ABB100" s="48"/>
      <c r="ABC100" s="48"/>
      <c r="ABD100" s="48"/>
      <c r="ABE100" s="48"/>
      <c r="ABF100" s="48"/>
      <c r="ABG100" s="48"/>
      <c r="ABH100" s="48"/>
      <c r="ABI100" s="48"/>
      <c r="ABJ100" s="48"/>
      <c r="ABK100" s="48"/>
      <c r="ABL100" s="48"/>
      <c r="ABM100" s="48"/>
      <c r="ABN100" s="48"/>
      <c r="ABO100" s="48"/>
      <c r="ABP100" s="48"/>
      <c r="ABQ100" s="48"/>
      <c r="ABR100" s="48"/>
      <c r="ABS100" s="48"/>
      <c r="ABT100" s="48"/>
      <c r="ABU100" s="48"/>
      <c r="ABV100" s="48"/>
      <c r="ABW100" s="48"/>
      <c r="ABX100" s="48"/>
      <c r="ABY100" s="48"/>
      <c r="ABZ100" s="48"/>
      <c r="ACA100" s="48"/>
      <c r="ACB100" s="48"/>
      <c r="ACC100" s="48"/>
      <c r="ACD100" s="48"/>
      <c r="ACE100" s="48"/>
      <c r="ACF100" s="48"/>
      <c r="ACG100" s="48"/>
      <c r="ACH100" s="48"/>
      <c r="ACI100" s="48"/>
      <c r="ACJ100" s="48"/>
      <c r="ACK100" s="48"/>
      <c r="ACL100" s="48"/>
      <c r="ACM100" s="48"/>
      <c r="ACN100" s="48"/>
      <c r="ACO100" s="48"/>
      <c r="ACP100" s="48"/>
      <c r="ACQ100" s="48"/>
      <c r="ACR100" s="48"/>
      <c r="ACS100" s="48"/>
      <c r="ACT100" s="48"/>
      <c r="ACU100" s="48"/>
      <c r="ACV100" s="48"/>
      <c r="ACW100" s="48"/>
      <c r="ACX100" s="48"/>
      <c r="ACY100" s="48"/>
      <c r="ACZ100" s="48"/>
      <c r="ADA100" s="48"/>
      <c r="ADB100" s="48"/>
      <c r="ADC100" s="48"/>
      <c r="ADD100" s="48"/>
      <c r="ADE100" s="48"/>
      <c r="ADF100" s="48"/>
      <c r="ADG100" s="48"/>
      <c r="ADH100" s="48"/>
      <c r="ADI100" s="48"/>
      <c r="ADJ100" s="48"/>
      <c r="ADK100" s="48"/>
      <c r="ADL100" s="48"/>
      <c r="ADM100" s="48"/>
      <c r="ADN100" s="48"/>
      <c r="ADO100" s="48"/>
      <c r="ADP100" s="48"/>
      <c r="ADQ100" s="48"/>
      <c r="ADR100" s="48"/>
      <c r="ADS100" s="48"/>
      <c r="ADT100" s="48"/>
      <c r="ADU100" s="48"/>
      <c r="ADV100" s="48"/>
      <c r="ADW100" s="48"/>
      <c r="ADX100" s="48"/>
      <c r="ADY100" s="48"/>
      <c r="ADZ100" s="48"/>
      <c r="AEA100" s="48"/>
      <c r="AEB100" s="48"/>
      <c r="AEC100" s="48"/>
      <c r="AED100" s="48"/>
      <c r="AEE100" s="48"/>
      <c r="AEF100" s="48"/>
      <c r="AEG100" s="48"/>
      <c r="AEH100" s="48"/>
      <c r="AEI100" s="48"/>
      <c r="AEJ100" s="48"/>
      <c r="AEK100" s="48"/>
      <c r="AEL100" s="48"/>
      <c r="AEM100" s="48"/>
      <c r="AEN100" s="48"/>
      <c r="AEO100" s="48"/>
      <c r="AEP100" s="48"/>
      <c r="AEQ100" s="48"/>
      <c r="AER100" s="48"/>
      <c r="AES100" s="48"/>
      <c r="AET100" s="48"/>
      <c r="AEU100" s="48"/>
      <c r="AEV100" s="48"/>
      <c r="AEW100" s="48"/>
      <c r="AEX100" s="48"/>
      <c r="AEY100" s="48"/>
      <c r="AEZ100" s="48"/>
      <c r="AFA100" s="48"/>
      <c r="AFB100" s="48"/>
      <c r="AFC100" s="48"/>
      <c r="AFD100" s="48"/>
      <c r="AFE100" s="48"/>
      <c r="AFF100" s="48"/>
      <c r="AFG100" s="48"/>
      <c r="AFH100" s="48"/>
      <c r="AFI100" s="48"/>
      <c r="AFJ100" s="48"/>
      <c r="AFK100" s="48"/>
      <c r="AFL100" s="48"/>
      <c r="AFM100" s="48"/>
      <c r="AFN100" s="48"/>
      <c r="AFO100" s="48"/>
      <c r="AFP100" s="48"/>
      <c r="AFQ100" s="48"/>
      <c r="AFR100" s="48"/>
      <c r="AFS100" s="48"/>
      <c r="AFT100" s="48"/>
      <c r="AFU100" s="48"/>
      <c r="AFV100" s="48"/>
      <c r="AFW100" s="48"/>
      <c r="AFX100" s="48"/>
      <c r="AFY100" s="48"/>
      <c r="AFZ100" s="48"/>
      <c r="AGA100" s="48"/>
      <c r="AGB100" s="48"/>
      <c r="AGC100" s="48"/>
      <c r="AGD100" s="48"/>
      <c r="AGE100" s="48"/>
      <c r="AGF100" s="48"/>
      <c r="AGG100" s="48"/>
      <c r="AGH100" s="48"/>
      <c r="AGI100" s="48"/>
      <c r="AGJ100" s="48"/>
      <c r="AGK100" s="48"/>
      <c r="AGL100" s="48"/>
      <c r="AGM100" s="48"/>
      <c r="AGN100" s="48"/>
      <c r="AGO100" s="48"/>
      <c r="AGP100" s="48"/>
      <c r="AGQ100" s="48"/>
      <c r="AGR100" s="48"/>
      <c r="AGS100" s="48"/>
      <c r="AGT100" s="48"/>
      <c r="AGU100" s="48"/>
      <c r="AGV100" s="48"/>
      <c r="AGW100" s="48"/>
      <c r="AGX100" s="48"/>
      <c r="AGY100" s="48"/>
      <c r="AGZ100" s="48"/>
      <c r="AHA100" s="48"/>
      <c r="AHB100" s="48"/>
      <c r="AHC100" s="48"/>
      <c r="AHD100" s="48"/>
      <c r="AHE100" s="48"/>
      <c r="AHF100" s="48"/>
      <c r="AHG100" s="48"/>
      <c r="AHH100" s="48"/>
      <c r="AHI100" s="48"/>
      <c r="AHJ100" s="48"/>
      <c r="AHK100" s="48"/>
      <c r="AHL100" s="48"/>
      <c r="AHM100" s="48"/>
      <c r="AHN100" s="48"/>
      <c r="AHO100" s="48"/>
      <c r="AHP100" s="48"/>
      <c r="AHQ100" s="48"/>
      <c r="AHR100" s="48"/>
      <c r="AHS100" s="48"/>
      <c r="AHT100" s="48"/>
      <c r="AHU100" s="48"/>
      <c r="AHV100" s="48"/>
      <c r="AHW100" s="48"/>
      <c r="AHX100" s="48"/>
      <c r="AHY100" s="48"/>
      <c r="AHZ100" s="48"/>
      <c r="AIA100" s="48"/>
      <c r="AIB100" s="48"/>
      <c r="AIC100" s="48"/>
      <c r="AID100" s="48"/>
      <c r="AIE100" s="48"/>
      <c r="AIF100" s="48"/>
      <c r="AIG100" s="48"/>
      <c r="AIH100" s="48"/>
      <c r="AII100" s="48"/>
      <c r="AIJ100" s="48"/>
      <c r="AIK100" s="48"/>
      <c r="AIL100" s="48"/>
      <c r="AIM100" s="48"/>
      <c r="AIN100" s="48"/>
      <c r="AIO100" s="48"/>
      <c r="AIP100" s="48"/>
      <c r="AIQ100" s="48"/>
      <c r="AIR100" s="48"/>
      <c r="AIS100" s="48"/>
      <c r="AIT100" s="48"/>
      <c r="AIU100" s="48"/>
      <c r="AIV100" s="48"/>
      <c r="AIW100" s="48"/>
      <c r="AIX100" s="48"/>
      <c r="AIY100" s="48"/>
      <c r="AIZ100" s="48"/>
      <c r="AJA100" s="48"/>
      <c r="AJB100" s="48"/>
      <c r="AJC100" s="48"/>
      <c r="AJD100" s="48"/>
      <c r="AJE100" s="48"/>
      <c r="AJF100" s="48"/>
      <c r="AJG100" s="48"/>
      <c r="AJH100" s="48"/>
      <c r="AJI100" s="48"/>
      <c r="AJJ100" s="48"/>
      <c r="AJK100" s="48"/>
      <c r="AJL100" s="48"/>
      <c r="AJM100" s="48"/>
      <c r="AJN100" s="48"/>
      <c r="AJO100" s="48"/>
      <c r="AJP100" s="48"/>
      <c r="AJQ100" s="48"/>
      <c r="AJR100" s="48"/>
      <c r="AJS100" s="48"/>
      <c r="AJT100" s="48"/>
      <c r="AJU100" s="48"/>
      <c r="AJV100" s="48"/>
      <c r="AJW100" s="48"/>
      <c r="AJX100" s="48"/>
      <c r="AJY100" s="48"/>
      <c r="AJZ100" s="48"/>
      <c r="AKA100" s="48"/>
      <c r="AKB100" s="48"/>
      <c r="AKC100" s="48"/>
      <c r="AKD100" s="48"/>
      <c r="AKE100" s="48"/>
      <c r="AKF100" s="48"/>
      <c r="AKG100" s="48"/>
      <c r="AKH100" s="48"/>
      <c r="AKI100" s="48"/>
      <c r="AKJ100" s="48"/>
      <c r="AKK100" s="48"/>
      <c r="AKL100" s="48"/>
      <c r="AKM100" s="48"/>
      <c r="AKN100" s="48"/>
      <c r="AKO100" s="48"/>
      <c r="AKP100" s="48"/>
      <c r="AKQ100" s="48"/>
      <c r="AKR100" s="48"/>
      <c r="AKS100" s="48"/>
      <c r="AKT100" s="48"/>
      <c r="AKU100" s="48"/>
      <c r="AKV100" s="48"/>
      <c r="AKW100" s="48"/>
      <c r="AKX100" s="48"/>
      <c r="AKY100" s="48"/>
      <c r="AKZ100" s="48"/>
      <c r="ALA100" s="48"/>
      <c r="ALB100" s="48"/>
      <c r="ALC100" s="48"/>
      <c r="ALD100" s="48"/>
      <c r="ALE100" s="48"/>
      <c r="ALF100" s="48"/>
      <c r="ALG100" s="48"/>
      <c r="ALH100" s="48"/>
      <c r="ALI100" s="48"/>
      <c r="ALJ100" s="48"/>
      <c r="ALK100" s="48"/>
      <c r="ALL100" s="48"/>
      <c r="ALM100" s="48"/>
      <c r="ALN100" s="48"/>
      <c r="ALO100" s="48"/>
      <c r="ALP100" s="48"/>
      <c r="ALQ100" s="48"/>
      <c r="ALR100" s="48"/>
      <c r="ALS100" s="48"/>
      <c r="ALT100" s="48"/>
      <c r="ALU100" s="48"/>
      <c r="ALV100" s="48"/>
      <c r="ALW100" s="48"/>
      <c r="ALX100" s="48"/>
      <c r="ALY100" s="48"/>
      <c r="ALZ100" s="48"/>
      <c r="AMA100" s="48"/>
      <c r="AMB100" s="48"/>
      <c r="AMC100" s="48"/>
      <c r="AMD100" s="48"/>
      <c r="AME100" s="48"/>
      <c r="AMF100" s="48"/>
      <c r="AMG100" s="48"/>
      <c r="AMH100" s="48"/>
      <c r="AMI100" s="48"/>
      <c r="AMJ100" s="48"/>
      <c r="AMK100" s="48"/>
      <c r="AML100" s="48"/>
      <c r="AMM100" s="48"/>
      <c r="AMN100" s="48"/>
      <c r="AMO100" s="48"/>
      <c r="AMP100" s="48"/>
      <c r="AMQ100" s="48"/>
      <c r="AMR100" s="48"/>
      <c r="AMS100" s="48"/>
      <c r="AMT100" s="48"/>
      <c r="AMU100" s="48"/>
      <c r="AMV100" s="48"/>
      <c r="AMW100" s="48"/>
      <c r="AMX100" s="48"/>
      <c r="AMY100" s="48"/>
      <c r="AMZ100" s="48"/>
      <c r="ANA100" s="48"/>
      <c r="ANB100" s="48"/>
      <c r="ANC100" s="48"/>
      <c r="AND100" s="48"/>
      <c r="ANE100" s="48"/>
      <c r="ANF100" s="48"/>
      <c r="ANG100" s="48"/>
      <c r="ANH100" s="48"/>
      <c r="ANI100" s="48"/>
      <c r="ANJ100" s="48"/>
      <c r="ANK100" s="48"/>
      <c r="ANL100" s="48"/>
      <c r="ANM100" s="48"/>
      <c r="ANN100" s="48"/>
      <c r="ANO100" s="48"/>
      <c r="ANP100" s="48"/>
      <c r="ANQ100" s="48"/>
      <c r="ANR100" s="48"/>
      <c r="ANS100" s="48"/>
      <c r="ANT100" s="48"/>
      <c r="ANU100" s="48"/>
      <c r="ANV100" s="48"/>
      <c r="ANW100" s="48"/>
      <c r="ANX100" s="48"/>
      <c r="ANY100" s="48"/>
      <c r="ANZ100" s="48"/>
      <c r="AOA100" s="48"/>
      <c r="AOB100" s="48"/>
      <c r="AOC100" s="48"/>
      <c r="AOD100" s="48"/>
      <c r="AOE100" s="48"/>
      <c r="AOF100" s="48"/>
      <c r="AOG100" s="48"/>
      <c r="AOH100" s="48"/>
      <c r="AOI100" s="48"/>
      <c r="AOJ100" s="48"/>
      <c r="AOK100" s="48"/>
      <c r="AOL100" s="48"/>
      <c r="AOM100" s="48"/>
      <c r="AON100" s="48"/>
      <c r="AOO100" s="48"/>
      <c r="AOP100" s="48"/>
      <c r="AOQ100" s="48"/>
      <c r="AOR100" s="48"/>
      <c r="AOS100" s="48"/>
      <c r="AOT100" s="48"/>
      <c r="AOU100" s="48"/>
      <c r="AOV100" s="48"/>
      <c r="AOW100" s="48"/>
      <c r="AOX100" s="48"/>
      <c r="AOY100" s="48"/>
      <c r="AOZ100" s="48"/>
      <c r="APA100" s="48"/>
      <c r="APB100" s="48"/>
      <c r="APC100" s="48"/>
      <c r="APD100" s="48"/>
      <c r="APE100" s="48"/>
      <c r="APF100" s="48"/>
      <c r="APG100" s="48"/>
      <c r="APH100" s="48"/>
      <c r="API100" s="48"/>
      <c r="APJ100" s="48"/>
      <c r="APK100" s="48"/>
      <c r="APL100" s="48"/>
      <c r="APM100" s="48"/>
      <c r="APN100" s="48"/>
      <c r="APO100" s="48"/>
      <c r="APP100" s="48"/>
      <c r="APQ100" s="48"/>
      <c r="APR100" s="48"/>
      <c r="APS100" s="48"/>
      <c r="APT100" s="48"/>
      <c r="APU100" s="48"/>
      <c r="APV100" s="48"/>
      <c r="APW100" s="48"/>
      <c r="APX100" s="48"/>
      <c r="APY100" s="48"/>
      <c r="APZ100" s="48"/>
      <c r="AQA100" s="48"/>
      <c r="AQB100" s="48"/>
      <c r="AQC100" s="48"/>
      <c r="AQD100" s="48"/>
      <c r="AQE100" s="48"/>
      <c r="AQF100" s="48"/>
      <c r="AQG100" s="48"/>
      <c r="AQH100" s="48"/>
      <c r="AQI100" s="48"/>
      <c r="AQJ100" s="48"/>
      <c r="AQK100" s="48"/>
      <c r="AQL100" s="48"/>
      <c r="AQM100" s="48"/>
      <c r="AQN100" s="48"/>
      <c r="AQO100" s="48"/>
      <c r="AQP100" s="48"/>
      <c r="AQQ100" s="48"/>
      <c r="AQR100" s="48"/>
      <c r="AQS100" s="48"/>
      <c r="AQT100" s="48"/>
      <c r="AQU100" s="48"/>
      <c r="AQV100" s="48"/>
      <c r="AQW100" s="48"/>
      <c r="AQX100" s="48"/>
      <c r="AQY100" s="48"/>
      <c r="AQZ100" s="48"/>
      <c r="ARA100" s="48"/>
      <c r="ARB100" s="48"/>
      <c r="ARC100" s="48"/>
      <c r="ARD100" s="48"/>
      <c r="ARE100" s="48"/>
      <c r="ARF100" s="48"/>
      <c r="ARG100" s="48"/>
      <c r="ARH100" s="48"/>
      <c r="ARI100" s="48"/>
      <c r="ARJ100" s="48"/>
      <c r="ARK100" s="48"/>
      <c r="ARL100" s="48"/>
      <c r="ARM100" s="48"/>
      <c r="ARN100" s="48"/>
      <c r="ARO100" s="48"/>
      <c r="ARP100" s="48"/>
      <c r="ARQ100" s="48"/>
      <c r="ARR100" s="48"/>
      <c r="ARS100" s="48"/>
      <c r="ART100" s="48"/>
      <c r="ARU100" s="48"/>
      <c r="ARV100" s="48"/>
      <c r="ARW100" s="48"/>
      <c r="ARX100" s="48"/>
      <c r="ARY100" s="48"/>
      <c r="ARZ100" s="48"/>
      <c r="ASA100" s="48"/>
      <c r="ASB100" s="48"/>
      <c r="ASC100" s="48"/>
      <c r="ASD100" s="48"/>
      <c r="ASE100" s="48"/>
      <c r="ASF100" s="48"/>
      <c r="ASG100" s="48"/>
      <c r="ASH100" s="48"/>
      <c r="ASI100" s="48"/>
      <c r="ASJ100" s="48"/>
      <c r="ASK100" s="48"/>
      <c r="ASL100" s="48"/>
      <c r="ASM100" s="48"/>
      <c r="ASN100" s="48"/>
      <c r="ASO100" s="48"/>
      <c r="ASP100" s="48"/>
      <c r="ASQ100" s="48"/>
      <c r="ASR100" s="48"/>
      <c r="ASS100" s="48"/>
      <c r="AST100" s="48"/>
      <c r="ASU100" s="48"/>
      <c r="ASV100" s="48"/>
      <c r="ASW100" s="48"/>
      <c r="ASX100" s="48"/>
      <c r="ASY100" s="48"/>
      <c r="ASZ100" s="48"/>
      <c r="ATA100" s="48"/>
      <c r="ATB100" s="48"/>
      <c r="ATC100" s="48"/>
      <c r="ATD100" s="48"/>
      <c r="ATE100" s="48"/>
      <c r="ATF100" s="48"/>
      <c r="ATG100" s="48"/>
      <c r="ATH100" s="48"/>
      <c r="ATI100" s="48"/>
      <c r="ATJ100" s="48"/>
      <c r="ATK100" s="48"/>
      <c r="ATL100" s="48"/>
      <c r="ATM100" s="48"/>
      <c r="ATN100" s="48"/>
      <c r="ATO100" s="48"/>
      <c r="ATP100" s="48"/>
      <c r="ATQ100" s="48"/>
      <c r="ATR100" s="48"/>
      <c r="ATS100" s="48"/>
      <c r="ATT100" s="48"/>
      <c r="ATU100" s="48"/>
      <c r="ATV100" s="48"/>
      <c r="ATW100" s="48"/>
      <c r="ATX100" s="48"/>
      <c r="ATY100" s="48"/>
      <c r="ATZ100" s="48"/>
      <c r="AUA100" s="48"/>
      <c r="AUB100" s="48"/>
      <c r="AUC100" s="48"/>
      <c r="AUD100" s="48"/>
      <c r="AUE100" s="48"/>
      <c r="AUF100" s="48"/>
      <c r="AUG100" s="48"/>
      <c r="AUH100" s="48"/>
      <c r="AUI100" s="48"/>
      <c r="AUJ100" s="48"/>
      <c r="AUK100" s="48"/>
      <c r="AUL100" s="48"/>
      <c r="AUM100" s="48"/>
      <c r="AUN100" s="48"/>
      <c r="AUO100" s="48"/>
      <c r="AUP100" s="48"/>
      <c r="AUQ100" s="48"/>
      <c r="AUR100" s="48"/>
      <c r="AUS100" s="48"/>
      <c r="AUT100" s="48"/>
      <c r="AUU100" s="48"/>
      <c r="AUV100" s="48"/>
      <c r="AUW100" s="48"/>
      <c r="AUX100" s="48"/>
      <c r="AUY100" s="48"/>
      <c r="AUZ100" s="48"/>
      <c r="AVA100" s="48"/>
      <c r="AVB100" s="48"/>
      <c r="AVC100" s="48"/>
      <c r="AVD100" s="48"/>
      <c r="AVE100" s="48"/>
      <c r="AVF100" s="48"/>
      <c r="AVG100" s="48"/>
      <c r="AVH100" s="48"/>
      <c r="AVI100" s="48"/>
      <c r="AVJ100" s="48"/>
      <c r="AVK100" s="48"/>
      <c r="AVL100" s="48"/>
      <c r="AVM100" s="48"/>
      <c r="AVN100" s="48"/>
      <c r="AVO100" s="48"/>
      <c r="AVP100" s="48"/>
      <c r="AVQ100" s="48"/>
      <c r="AVR100" s="48"/>
      <c r="AVS100" s="48"/>
      <c r="AVT100" s="48"/>
      <c r="AVU100" s="48"/>
      <c r="AVV100" s="48"/>
      <c r="AVW100" s="48"/>
      <c r="AVX100" s="48"/>
      <c r="AVY100" s="48"/>
      <c r="AVZ100" s="48"/>
      <c r="AWA100" s="48"/>
      <c r="AWB100" s="48"/>
      <c r="AWC100" s="48"/>
      <c r="AWD100" s="48"/>
      <c r="AWE100" s="48"/>
      <c r="AWF100" s="48"/>
      <c r="AWG100" s="48"/>
      <c r="AWH100" s="48"/>
      <c r="AWI100" s="48"/>
      <c r="AWJ100" s="48"/>
      <c r="AWK100" s="48"/>
      <c r="AWL100" s="48"/>
      <c r="AWM100" s="48"/>
      <c r="AWN100" s="48"/>
      <c r="AWO100" s="48"/>
      <c r="AWP100" s="48"/>
      <c r="AWQ100" s="48"/>
      <c r="AWR100" s="48"/>
      <c r="AWS100" s="48"/>
      <c r="AWT100" s="48"/>
      <c r="AWU100" s="48"/>
      <c r="AWV100" s="48"/>
      <c r="AWW100" s="48"/>
      <c r="AWX100" s="48"/>
      <c r="AWY100" s="48"/>
      <c r="AWZ100" s="48"/>
      <c r="AXA100" s="48"/>
      <c r="AXB100" s="48"/>
      <c r="AXC100" s="48"/>
      <c r="AXD100" s="48"/>
      <c r="AXE100" s="48"/>
      <c r="AXF100" s="48"/>
      <c r="AXG100" s="48"/>
      <c r="AXH100" s="48"/>
      <c r="AXI100" s="48"/>
      <c r="AXJ100" s="48"/>
      <c r="AXK100" s="48"/>
      <c r="AXL100" s="48"/>
      <c r="AXM100" s="48"/>
      <c r="AXN100" s="48"/>
      <c r="AXO100" s="48"/>
      <c r="AXP100" s="48"/>
      <c r="AXQ100" s="48"/>
      <c r="AXR100" s="48"/>
      <c r="AXS100" s="48"/>
      <c r="AXT100" s="48"/>
      <c r="AXU100" s="48"/>
      <c r="AXV100" s="48"/>
      <c r="AXW100" s="48"/>
      <c r="AXX100" s="48"/>
      <c r="AXY100" s="48"/>
      <c r="AXZ100" s="48"/>
      <c r="AYA100" s="48"/>
      <c r="AYB100" s="48"/>
      <c r="AYC100" s="48"/>
      <c r="AYD100" s="48"/>
      <c r="AYE100" s="48"/>
      <c r="AYF100" s="48"/>
      <c r="AYG100" s="48"/>
      <c r="AYH100" s="48"/>
      <c r="AYI100" s="48"/>
      <c r="AYJ100" s="48"/>
      <c r="AYK100" s="48"/>
      <c r="AYL100" s="48"/>
      <c r="AYM100" s="48"/>
      <c r="AYN100" s="48"/>
      <c r="AYO100" s="48"/>
      <c r="AYP100" s="48"/>
      <c r="AYQ100" s="48"/>
      <c r="AYR100" s="48"/>
      <c r="AYS100" s="48"/>
      <c r="AYT100" s="48"/>
      <c r="AYU100" s="48"/>
      <c r="AYV100" s="48"/>
      <c r="AYW100" s="48"/>
      <c r="AYX100" s="48"/>
      <c r="AYY100" s="48"/>
      <c r="AYZ100" s="48"/>
      <c r="AZA100" s="48"/>
      <c r="AZB100" s="48"/>
      <c r="AZC100" s="48"/>
      <c r="AZD100" s="48"/>
      <c r="AZE100" s="48"/>
      <c r="AZF100" s="48"/>
      <c r="AZG100" s="48"/>
      <c r="AZH100" s="48"/>
      <c r="AZI100" s="48"/>
      <c r="AZJ100" s="48"/>
      <c r="AZK100" s="48"/>
      <c r="AZL100" s="48"/>
      <c r="AZM100" s="48"/>
      <c r="AZN100" s="48"/>
      <c r="AZO100" s="48"/>
      <c r="AZP100" s="48"/>
      <c r="AZQ100" s="48"/>
      <c r="AZR100" s="48"/>
      <c r="AZS100" s="48"/>
      <c r="AZT100" s="48"/>
      <c r="AZU100" s="48"/>
      <c r="AZV100" s="48"/>
      <c r="AZW100" s="48"/>
      <c r="AZX100" s="48"/>
      <c r="AZY100" s="48"/>
      <c r="AZZ100" s="48"/>
      <c r="BAA100" s="48"/>
      <c r="BAB100" s="48"/>
      <c r="BAC100" s="48"/>
      <c r="BAD100" s="48"/>
      <c r="BAE100" s="48"/>
      <c r="BAF100" s="48"/>
      <c r="BAG100" s="48"/>
      <c r="BAH100" s="48"/>
      <c r="BAI100" s="48"/>
      <c r="BAJ100" s="48"/>
      <c r="BAK100" s="48"/>
      <c r="BAL100" s="48"/>
      <c r="BAM100" s="48"/>
      <c r="BAN100" s="48"/>
      <c r="BAO100" s="48"/>
      <c r="BAP100" s="48"/>
      <c r="BAQ100" s="48"/>
      <c r="BAR100" s="48"/>
      <c r="BAS100" s="48"/>
      <c r="BAT100" s="48"/>
      <c r="BAU100" s="48"/>
      <c r="BAV100" s="48"/>
      <c r="BAW100" s="48"/>
      <c r="BAX100" s="48"/>
      <c r="BAY100" s="48"/>
      <c r="BAZ100" s="48"/>
      <c r="BBA100" s="48"/>
      <c r="BBB100" s="48"/>
      <c r="BBC100" s="48"/>
      <c r="BBD100" s="48"/>
      <c r="BBE100" s="48"/>
      <c r="BBF100" s="48"/>
      <c r="BBG100" s="48"/>
      <c r="BBH100" s="48"/>
      <c r="BBI100" s="48"/>
      <c r="BBJ100" s="48"/>
      <c r="BBK100" s="48"/>
      <c r="BBL100" s="48"/>
      <c r="BBM100" s="48"/>
      <c r="BBN100" s="48"/>
      <c r="BBO100" s="48"/>
      <c r="BBP100" s="48"/>
      <c r="BBQ100" s="48"/>
      <c r="BBR100" s="48"/>
      <c r="BBS100" s="48"/>
      <c r="BBT100" s="48"/>
      <c r="BBU100" s="48"/>
      <c r="BBV100" s="48"/>
      <c r="BBW100" s="48"/>
      <c r="BBX100" s="48"/>
      <c r="BBY100" s="48"/>
      <c r="BBZ100" s="48"/>
      <c r="BCA100" s="48"/>
      <c r="BCB100" s="48"/>
      <c r="BCC100" s="48"/>
      <c r="BCD100" s="48"/>
      <c r="BCE100" s="48"/>
      <c r="BCF100" s="48"/>
      <c r="BCG100" s="48"/>
      <c r="BCH100" s="48"/>
      <c r="BCI100" s="48"/>
      <c r="BCJ100" s="48"/>
      <c r="BCK100" s="48"/>
      <c r="BCL100" s="48"/>
      <c r="BCM100" s="48"/>
      <c r="BCN100" s="48"/>
      <c r="BCO100" s="48"/>
      <c r="BCP100" s="48"/>
      <c r="BCQ100" s="48"/>
      <c r="BCR100" s="48"/>
      <c r="BCS100" s="48"/>
      <c r="BCT100" s="48"/>
      <c r="BCU100" s="48"/>
      <c r="BCV100" s="48"/>
      <c r="BCW100" s="48"/>
      <c r="BCX100" s="48"/>
      <c r="BCY100" s="48"/>
      <c r="BCZ100" s="48"/>
      <c r="BDA100" s="48"/>
      <c r="BDB100" s="48"/>
      <c r="BDC100" s="48"/>
      <c r="BDD100" s="48"/>
      <c r="BDE100" s="48"/>
      <c r="BDF100" s="48"/>
      <c r="BDG100" s="48"/>
      <c r="BDH100" s="48"/>
      <c r="BDI100" s="48"/>
      <c r="BDJ100" s="48"/>
      <c r="BDK100" s="48"/>
      <c r="BDL100" s="48"/>
      <c r="BDM100" s="48"/>
      <c r="BDN100" s="48"/>
      <c r="BDO100" s="48"/>
      <c r="BDP100" s="48"/>
      <c r="BDQ100" s="48"/>
      <c r="BDR100" s="48"/>
      <c r="BDS100" s="48"/>
      <c r="BDT100" s="48"/>
      <c r="BDU100" s="48"/>
      <c r="BDV100" s="48"/>
      <c r="BDW100" s="48"/>
      <c r="BDX100" s="48"/>
      <c r="BDY100" s="48"/>
      <c r="BDZ100" s="48"/>
      <c r="BEA100" s="48"/>
      <c r="BEB100" s="48"/>
      <c r="BEC100" s="48"/>
      <c r="BED100" s="48"/>
      <c r="BEE100" s="48"/>
      <c r="BEF100" s="48"/>
      <c r="BEG100" s="48"/>
      <c r="BEH100" s="48"/>
      <c r="BEI100" s="48"/>
      <c r="BEJ100" s="48"/>
      <c r="BEK100" s="48"/>
      <c r="BEL100" s="48"/>
      <c r="BEM100" s="48"/>
      <c r="BEN100" s="48"/>
      <c r="BEO100" s="48"/>
      <c r="BEP100" s="48"/>
      <c r="BEQ100" s="48"/>
      <c r="BER100" s="48"/>
      <c r="BES100" s="48"/>
      <c r="BET100" s="48"/>
      <c r="BEU100" s="48"/>
      <c r="BEV100" s="48"/>
      <c r="BEW100" s="48"/>
      <c r="BEX100" s="48"/>
      <c r="BEY100" s="48"/>
      <c r="BEZ100" s="48"/>
      <c r="BFA100" s="48"/>
      <c r="BFB100" s="48"/>
      <c r="BFC100" s="48"/>
      <c r="BFD100" s="48"/>
      <c r="BFE100" s="48"/>
      <c r="BFF100" s="48"/>
      <c r="BFG100" s="48"/>
      <c r="BFH100" s="48"/>
      <c r="BFI100" s="48"/>
      <c r="BFJ100" s="48"/>
      <c r="BFK100" s="48"/>
      <c r="BFL100" s="48"/>
      <c r="BFM100" s="48"/>
      <c r="BFN100" s="48"/>
      <c r="BFO100" s="48"/>
      <c r="BFP100" s="48"/>
      <c r="BFQ100" s="48"/>
      <c r="BFR100" s="48"/>
      <c r="BFS100" s="48"/>
      <c r="BFT100" s="48"/>
      <c r="BFU100" s="48"/>
      <c r="BFV100" s="48"/>
      <c r="BFW100" s="48"/>
      <c r="BFX100" s="48"/>
      <c r="BFY100" s="48"/>
      <c r="BFZ100" s="48"/>
      <c r="BGA100" s="48"/>
      <c r="BGB100" s="48"/>
      <c r="BGC100" s="48"/>
      <c r="BGD100" s="48"/>
      <c r="BGE100" s="48"/>
      <c r="BGF100" s="48"/>
      <c r="BGG100" s="48"/>
      <c r="BGH100" s="48"/>
      <c r="BGI100" s="48"/>
      <c r="BGJ100" s="48"/>
      <c r="BGK100" s="48"/>
      <c r="BGL100" s="48"/>
      <c r="BGM100" s="48"/>
      <c r="BGN100" s="48"/>
      <c r="BGO100" s="48"/>
      <c r="BGP100" s="48"/>
      <c r="BGQ100" s="48"/>
      <c r="BGR100" s="48"/>
      <c r="BGS100" s="48"/>
      <c r="BGT100" s="48"/>
      <c r="BGU100" s="48"/>
      <c r="BGV100" s="48"/>
      <c r="BGW100" s="48"/>
      <c r="BGX100" s="48"/>
      <c r="BGY100" s="48"/>
      <c r="BGZ100" s="48"/>
      <c r="BHA100" s="48"/>
      <c r="BHB100" s="48"/>
      <c r="BHC100" s="48"/>
      <c r="BHD100" s="48"/>
      <c r="BHE100" s="48"/>
      <c r="BHF100" s="48"/>
      <c r="BHG100" s="48"/>
      <c r="BHH100" s="48"/>
      <c r="BHI100" s="48"/>
      <c r="BHJ100" s="48"/>
      <c r="BHK100" s="48"/>
      <c r="BHL100" s="48"/>
      <c r="BHM100" s="48"/>
      <c r="BHN100" s="48"/>
      <c r="BHO100" s="48"/>
      <c r="BHP100" s="48"/>
      <c r="BHQ100" s="48"/>
      <c r="BHR100" s="48"/>
      <c r="BHS100" s="48"/>
      <c r="BHT100" s="48"/>
      <c r="BHU100" s="48"/>
      <c r="BHV100" s="48"/>
      <c r="BHW100" s="48"/>
      <c r="BHX100" s="48"/>
      <c r="BHY100" s="48"/>
      <c r="BHZ100" s="48"/>
      <c r="BIA100" s="48"/>
      <c r="BIB100" s="48"/>
      <c r="BIC100" s="48"/>
      <c r="BID100" s="48"/>
      <c r="BIE100" s="48"/>
      <c r="BIF100" s="48"/>
      <c r="BIG100" s="48"/>
      <c r="BIH100" s="48"/>
      <c r="BII100" s="48"/>
      <c r="BIJ100" s="48"/>
      <c r="BIK100" s="48"/>
      <c r="BIL100" s="48"/>
      <c r="BIM100" s="48"/>
      <c r="BIN100" s="48"/>
      <c r="BIO100" s="48"/>
      <c r="BIP100" s="48"/>
      <c r="BIQ100" s="48"/>
      <c r="BIR100" s="48"/>
      <c r="BIS100" s="48"/>
      <c r="BIT100" s="48"/>
      <c r="BIU100" s="48"/>
      <c r="BIV100" s="48"/>
      <c r="BIW100" s="48"/>
      <c r="BIX100" s="48"/>
      <c r="BIY100" s="48"/>
      <c r="BIZ100" s="48"/>
      <c r="BJA100" s="48"/>
      <c r="BJB100" s="48"/>
      <c r="BJC100" s="48"/>
      <c r="BJD100" s="48"/>
      <c r="BJE100" s="48"/>
      <c r="BJF100" s="48"/>
      <c r="BJG100" s="48"/>
      <c r="BJH100" s="48"/>
      <c r="BJI100" s="48"/>
      <c r="BJJ100" s="48"/>
      <c r="BJK100" s="48"/>
      <c r="BJL100" s="48"/>
      <c r="BJM100" s="48"/>
      <c r="BJN100" s="48"/>
      <c r="BJO100" s="48"/>
      <c r="BJP100" s="48"/>
      <c r="BJQ100" s="48"/>
      <c r="BJR100" s="48"/>
      <c r="BJS100" s="48"/>
      <c r="BJT100" s="48"/>
      <c r="BJU100" s="48"/>
      <c r="BJV100" s="48"/>
      <c r="BJW100" s="48"/>
      <c r="BJX100" s="48"/>
      <c r="BJY100" s="48"/>
      <c r="BJZ100" s="48"/>
      <c r="BKA100" s="48"/>
      <c r="BKB100" s="48"/>
      <c r="BKC100" s="48"/>
      <c r="BKD100" s="48"/>
      <c r="BKE100" s="48"/>
      <c r="BKF100" s="48"/>
      <c r="BKG100" s="48"/>
      <c r="BKH100" s="48"/>
      <c r="BKI100" s="48"/>
      <c r="BKJ100" s="48"/>
      <c r="BKK100" s="48"/>
      <c r="BKL100" s="48"/>
      <c r="BKM100" s="48"/>
      <c r="BKN100" s="48"/>
      <c r="BKO100" s="48"/>
      <c r="BKP100" s="48"/>
      <c r="BKQ100" s="48"/>
      <c r="BKR100" s="48"/>
      <c r="BKS100" s="48"/>
      <c r="BKT100" s="48"/>
      <c r="BKU100" s="48"/>
      <c r="BKV100" s="48"/>
      <c r="BKW100" s="48"/>
      <c r="BKX100" s="48"/>
      <c r="BKY100" s="48"/>
      <c r="BKZ100" s="48"/>
      <c r="BLA100" s="48"/>
      <c r="BLB100" s="48"/>
      <c r="BLC100" s="48"/>
      <c r="BLD100" s="48"/>
      <c r="BLE100" s="48"/>
      <c r="BLF100" s="48"/>
      <c r="BLG100" s="48"/>
      <c r="BLH100" s="48"/>
      <c r="BLI100" s="48"/>
      <c r="BLJ100" s="48"/>
      <c r="BLK100" s="48"/>
      <c r="BLL100" s="48"/>
      <c r="BLM100" s="48"/>
      <c r="BLN100" s="48"/>
      <c r="BLO100" s="48"/>
      <c r="BLP100" s="48"/>
      <c r="BLQ100" s="48"/>
      <c r="BLR100" s="48"/>
      <c r="BLS100" s="48"/>
      <c r="BLT100" s="48"/>
      <c r="BLU100" s="48"/>
      <c r="BLV100" s="48"/>
      <c r="BLW100" s="48"/>
      <c r="BLX100" s="48"/>
      <c r="BLY100" s="48"/>
      <c r="BLZ100" s="48"/>
      <c r="BMA100" s="48"/>
      <c r="BMB100" s="48"/>
      <c r="BMC100" s="48"/>
      <c r="BMD100" s="48"/>
      <c r="BME100" s="48"/>
      <c r="BMF100" s="48"/>
      <c r="BMG100" s="48"/>
      <c r="BMH100" s="48"/>
      <c r="BMI100" s="48"/>
      <c r="BMJ100" s="48"/>
      <c r="BMK100" s="48"/>
      <c r="BML100" s="48"/>
      <c r="BMM100" s="48"/>
      <c r="BMN100" s="48"/>
      <c r="BMO100" s="48"/>
      <c r="BMP100" s="48"/>
      <c r="BMQ100" s="48"/>
      <c r="BMR100" s="48"/>
      <c r="BMS100" s="48"/>
      <c r="BMT100" s="48"/>
      <c r="BMU100" s="48"/>
      <c r="BMV100" s="48"/>
      <c r="BMW100" s="48"/>
      <c r="BMX100" s="48"/>
      <c r="BMY100" s="48"/>
      <c r="BMZ100" s="48"/>
      <c r="BNA100" s="48"/>
      <c r="BNB100" s="48"/>
      <c r="BNC100" s="48"/>
      <c r="BND100" s="48"/>
      <c r="BNE100" s="48"/>
      <c r="BNF100" s="48"/>
      <c r="BNG100" s="48"/>
      <c r="BNH100" s="48"/>
      <c r="BNI100" s="48"/>
      <c r="BNJ100" s="48"/>
      <c r="BNK100" s="48"/>
      <c r="BNL100" s="48"/>
      <c r="BNM100" s="48"/>
      <c r="BNN100" s="48"/>
      <c r="BNO100" s="48"/>
      <c r="BNP100" s="48"/>
      <c r="BNQ100" s="48"/>
      <c r="BNR100" s="48"/>
      <c r="BNS100" s="48"/>
      <c r="BNT100" s="48"/>
      <c r="BNU100" s="48"/>
      <c r="BNV100" s="48"/>
      <c r="BNW100" s="48"/>
      <c r="BNX100" s="48"/>
      <c r="BNY100" s="48"/>
      <c r="BNZ100" s="48"/>
      <c r="BOA100" s="48"/>
      <c r="BOB100" s="48"/>
      <c r="BOC100" s="48"/>
      <c r="BOD100" s="48"/>
      <c r="BOE100" s="48"/>
      <c r="BOF100" s="48"/>
      <c r="BOG100" s="48"/>
      <c r="BOH100" s="48"/>
      <c r="BOI100" s="48"/>
      <c r="BOJ100" s="48"/>
      <c r="BOK100" s="48"/>
      <c r="BOL100" s="48"/>
      <c r="BOM100" s="48"/>
      <c r="BON100" s="48"/>
      <c r="BOO100" s="48"/>
      <c r="BOP100" s="48"/>
      <c r="BOQ100" s="48"/>
      <c r="BOR100" s="48"/>
      <c r="BOS100" s="48"/>
      <c r="BOT100" s="48"/>
      <c r="BOU100" s="48"/>
      <c r="BOV100" s="48"/>
      <c r="BOW100" s="48"/>
      <c r="BOX100" s="48"/>
      <c r="BOY100" s="48"/>
      <c r="BOZ100" s="48"/>
      <c r="BPA100" s="48"/>
      <c r="BPB100" s="48"/>
      <c r="BPC100" s="48"/>
      <c r="BPD100" s="48"/>
      <c r="BPE100" s="48"/>
      <c r="BPF100" s="48"/>
      <c r="BPG100" s="48"/>
      <c r="BPH100" s="48"/>
      <c r="BPI100" s="48"/>
      <c r="BPJ100" s="48"/>
      <c r="BPK100" s="48"/>
      <c r="BPL100" s="48"/>
      <c r="BPM100" s="48"/>
      <c r="BPN100" s="48"/>
      <c r="BPO100" s="48"/>
      <c r="BPP100" s="48"/>
      <c r="BPQ100" s="48"/>
      <c r="BPR100" s="48"/>
      <c r="BPS100" s="48"/>
      <c r="BPT100" s="48"/>
      <c r="BPU100" s="48"/>
      <c r="BPV100" s="48"/>
      <c r="BPW100" s="48"/>
      <c r="BPX100" s="48"/>
      <c r="BPY100" s="48"/>
      <c r="BPZ100" s="48"/>
      <c r="BQA100" s="48"/>
      <c r="BQB100" s="48"/>
      <c r="BQC100" s="48"/>
      <c r="BQD100" s="48"/>
      <c r="BQE100" s="48"/>
      <c r="BQF100" s="48"/>
      <c r="BQG100" s="48"/>
      <c r="BQH100" s="48"/>
      <c r="BQI100" s="48"/>
      <c r="BQJ100" s="48"/>
      <c r="BQK100" s="48"/>
      <c r="BQL100" s="48"/>
      <c r="BQM100" s="48"/>
      <c r="BQN100" s="48"/>
      <c r="BQO100" s="48"/>
      <c r="BQP100" s="48"/>
      <c r="BQQ100" s="48"/>
      <c r="BQR100" s="48"/>
      <c r="BQS100" s="48"/>
      <c r="BQT100" s="48"/>
      <c r="BQU100" s="48"/>
      <c r="BQV100" s="48"/>
      <c r="BQW100" s="48"/>
      <c r="BQX100" s="48"/>
      <c r="BQY100" s="48"/>
      <c r="BQZ100" s="48"/>
      <c r="BRA100" s="48"/>
      <c r="BRB100" s="48"/>
      <c r="BRC100" s="48"/>
      <c r="BRD100" s="48"/>
      <c r="BRE100" s="48"/>
      <c r="BRF100" s="48"/>
      <c r="BRG100" s="48"/>
      <c r="BRH100" s="48"/>
      <c r="BRI100" s="48"/>
      <c r="BRJ100" s="48"/>
      <c r="BRK100" s="48"/>
      <c r="BRL100" s="48"/>
      <c r="BRM100" s="48"/>
      <c r="BRN100" s="48"/>
      <c r="BRO100" s="48"/>
      <c r="BRP100" s="48"/>
      <c r="BRQ100" s="48"/>
      <c r="BRR100" s="48"/>
      <c r="BRS100" s="48"/>
      <c r="BRT100" s="48"/>
      <c r="BRU100" s="48"/>
      <c r="BRV100" s="48"/>
      <c r="BRW100" s="48"/>
      <c r="BRX100" s="48"/>
      <c r="BRY100" s="48"/>
      <c r="BRZ100" s="48"/>
      <c r="BSA100" s="48"/>
      <c r="BSB100" s="48"/>
      <c r="BSC100" s="48"/>
      <c r="BSD100" s="48"/>
      <c r="BSE100" s="48"/>
      <c r="BSF100" s="48"/>
      <c r="BSG100" s="48"/>
      <c r="BSH100" s="48"/>
      <c r="BSI100" s="48"/>
      <c r="BSJ100" s="48"/>
      <c r="BSK100" s="48"/>
      <c r="BSL100" s="48"/>
      <c r="BSM100" s="48"/>
      <c r="BSN100" s="48"/>
      <c r="BSO100" s="48"/>
      <c r="BSP100" s="48"/>
      <c r="BSQ100" s="48"/>
      <c r="BSR100" s="48"/>
      <c r="BSS100" s="48"/>
      <c r="BST100" s="48"/>
      <c r="BSU100" s="48"/>
      <c r="BSV100" s="48"/>
      <c r="BSW100" s="48"/>
      <c r="BSX100" s="48"/>
      <c r="BSY100" s="48"/>
      <c r="BSZ100" s="48"/>
      <c r="BTA100" s="48"/>
      <c r="BTB100" s="48"/>
      <c r="BTC100" s="48"/>
      <c r="BTD100" s="48"/>
      <c r="BTE100" s="48"/>
      <c r="BTF100" s="48"/>
      <c r="BTG100" s="48"/>
      <c r="BTH100" s="48"/>
      <c r="BTI100" s="48"/>
      <c r="BTJ100" s="48"/>
      <c r="BTK100" s="48"/>
      <c r="BTL100" s="48"/>
      <c r="BTM100" s="48"/>
      <c r="BTN100" s="48"/>
      <c r="BTO100" s="48"/>
      <c r="BTP100" s="48"/>
      <c r="BTQ100" s="48"/>
      <c r="BTR100" s="48"/>
      <c r="BTS100" s="48"/>
      <c r="BTT100" s="48"/>
      <c r="BTU100" s="48"/>
      <c r="BTV100" s="48"/>
      <c r="BTW100" s="48"/>
      <c r="BTX100" s="48"/>
      <c r="BTY100" s="48"/>
      <c r="BTZ100" s="48"/>
      <c r="BUA100" s="48"/>
      <c r="BUB100" s="48"/>
      <c r="BUC100" s="48"/>
      <c r="BUD100" s="48"/>
      <c r="BUE100" s="48"/>
      <c r="BUF100" s="48"/>
      <c r="BUG100" s="48"/>
      <c r="BUH100" s="48"/>
      <c r="BUI100" s="48"/>
      <c r="BUJ100" s="48"/>
      <c r="BUK100" s="48"/>
      <c r="BUL100" s="48"/>
      <c r="BUM100" s="48"/>
      <c r="BUN100" s="48"/>
      <c r="BUO100" s="48"/>
      <c r="BUP100" s="48"/>
      <c r="BUQ100" s="48"/>
      <c r="BUR100" s="48"/>
      <c r="BUS100" s="48"/>
      <c r="BUT100" s="48"/>
      <c r="BUU100" s="48"/>
      <c r="BUV100" s="48"/>
      <c r="BUW100" s="48"/>
      <c r="BUX100" s="48"/>
      <c r="BUY100" s="48"/>
      <c r="BUZ100" s="48"/>
      <c r="BVA100" s="48"/>
      <c r="BVB100" s="48"/>
      <c r="BVC100" s="48"/>
      <c r="BVD100" s="48"/>
      <c r="BVE100" s="48"/>
      <c r="BVF100" s="48"/>
      <c r="BVG100" s="48"/>
      <c r="BVH100" s="48"/>
      <c r="BVI100" s="48"/>
      <c r="BVJ100" s="48"/>
      <c r="BVK100" s="48"/>
      <c r="BVL100" s="48"/>
      <c r="BVM100" s="48"/>
      <c r="BVN100" s="48"/>
      <c r="BVO100" s="48"/>
      <c r="BVP100" s="48"/>
      <c r="BVQ100" s="48"/>
      <c r="BVR100" s="48"/>
      <c r="BVS100" s="48"/>
      <c r="BVT100" s="48"/>
      <c r="BVU100" s="48"/>
      <c r="BVV100" s="48"/>
      <c r="BVW100" s="48"/>
      <c r="BVX100" s="48"/>
      <c r="BVY100" s="48"/>
      <c r="BVZ100" s="48"/>
      <c r="BWA100" s="48"/>
      <c r="BWB100" s="48"/>
      <c r="BWC100" s="48"/>
      <c r="BWD100" s="48"/>
      <c r="BWE100" s="48"/>
      <c r="BWF100" s="48"/>
      <c r="BWG100" s="48"/>
      <c r="BWH100" s="48"/>
      <c r="BWI100" s="48"/>
      <c r="BWJ100" s="48"/>
      <c r="BWK100" s="48"/>
      <c r="BWL100" s="48"/>
      <c r="BWM100" s="48"/>
      <c r="BWN100" s="48"/>
      <c r="BWO100" s="48"/>
      <c r="BWP100" s="48"/>
      <c r="BWQ100" s="48"/>
      <c r="BWR100" s="48"/>
      <c r="BWS100" s="48"/>
      <c r="BWT100" s="48"/>
      <c r="BWU100" s="48"/>
      <c r="BWV100" s="48"/>
      <c r="BWW100" s="48"/>
      <c r="BWX100" s="48"/>
      <c r="BWY100" s="48"/>
      <c r="BWZ100" s="48"/>
      <c r="BXA100" s="48"/>
      <c r="BXB100" s="48"/>
      <c r="BXC100" s="48"/>
      <c r="BXD100" s="48"/>
      <c r="BXE100" s="48"/>
      <c r="BXF100" s="48"/>
      <c r="BXG100" s="48"/>
      <c r="BXH100" s="48"/>
      <c r="BXI100" s="48"/>
      <c r="BXJ100" s="48"/>
      <c r="BXK100" s="48"/>
      <c r="BXL100" s="48"/>
      <c r="BXM100" s="48"/>
      <c r="BXN100" s="48"/>
      <c r="BXO100" s="48"/>
      <c r="BXP100" s="48"/>
      <c r="BXQ100" s="48"/>
      <c r="BXR100" s="48"/>
      <c r="BXS100" s="48"/>
      <c r="BXT100" s="48"/>
      <c r="BXU100" s="48"/>
      <c r="BXV100" s="48"/>
      <c r="BXW100" s="48"/>
      <c r="BXX100" s="48"/>
      <c r="BXY100" s="48"/>
      <c r="BXZ100" s="48"/>
      <c r="BYA100" s="48"/>
      <c r="BYB100" s="48"/>
      <c r="BYC100" s="48"/>
      <c r="BYD100" s="48"/>
      <c r="BYE100" s="48"/>
      <c r="BYF100" s="48"/>
      <c r="BYG100" s="48"/>
      <c r="BYH100" s="48"/>
      <c r="BYI100" s="48"/>
      <c r="BYJ100" s="48"/>
      <c r="BYK100" s="48"/>
      <c r="BYL100" s="48"/>
      <c r="BYM100" s="48"/>
      <c r="BYN100" s="48"/>
      <c r="BYO100" s="48"/>
      <c r="BYP100" s="48"/>
      <c r="BYQ100" s="48"/>
      <c r="BYR100" s="48"/>
      <c r="BYS100" s="48"/>
      <c r="BYT100" s="48"/>
      <c r="BYU100" s="48"/>
      <c r="BYV100" s="48"/>
      <c r="BYW100" s="48"/>
      <c r="BYX100" s="48"/>
      <c r="BYY100" s="48"/>
      <c r="BYZ100" s="48"/>
      <c r="BZA100" s="48"/>
      <c r="BZB100" s="48"/>
      <c r="BZC100" s="48"/>
      <c r="BZD100" s="48"/>
      <c r="BZE100" s="48"/>
      <c r="BZF100" s="48"/>
      <c r="BZG100" s="48"/>
      <c r="BZH100" s="48"/>
      <c r="BZI100" s="48"/>
      <c r="BZJ100" s="48"/>
      <c r="BZK100" s="48"/>
      <c r="BZL100" s="48"/>
      <c r="BZM100" s="48"/>
      <c r="BZN100" s="48"/>
      <c r="BZO100" s="48"/>
      <c r="BZP100" s="48"/>
      <c r="BZQ100" s="48"/>
      <c r="BZR100" s="48"/>
      <c r="BZS100" s="48"/>
      <c r="BZT100" s="48"/>
      <c r="BZU100" s="48"/>
      <c r="BZV100" s="48"/>
      <c r="BZW100" s="48"/>
      <c r="BZX100" s="48"/>
      <c r="BZY100" s="48"/>
      <c r="BZZ100" s="48"/>
      <c r="CAA100" s="48"/>
      <c r="CAB100" s="48"/>
      <c r="CAC100" s="48"/>
      <c r="CAD100" s="48"/>
      <c r="CAE100" s="48"/>
      <c r="CAF100" s="48"/>
      <c r="CAG100" s="48"/>
      <c r="CAH100" s="48"/>
      <c r="CAI100" s="48"/>
      <c r="CAJ100" s="48"/>
      <c r="CAK100" s="48"/>
      <c r="CAL100" s="48"/>
      <c r="CAM100" s="48"/>
      <c r="CAN100" s="48"/>
      <c r="CAO100" s="48"/>
      <c r="CAP100" s="48"/>
      <c r="CAQ100" s="48"/>
      <c r="CAR100" s="48"/>
      <c r="CAS100" s="48"/>
      <c r="CAT100" s="48"/>
      <c r="CAU100" s="48"/>
      <c r="CAV100" s="48"/>
      <c r="CAW100" s="48"/>
      <c r="CAX100" s="48"/>
      <c r="CAY100" s="48"/>
      <c r="CAZ100" s="48"/>
      <c r="CBA100" s="48"/>
      <c r="CBB100" s="48"/>
      <c r="CBC100" s="48"/>
      <c r="CBD100" s="48"/>
      <c r="CBE100" s="48"/>
      <c r="CBF100" s="48"/>
      <c r="CBG100" s="48"/>
      <c r="CBH100" s="48"/>
      <c r="CBI100" s="48"/>
      <c r="CBJ100" s="48"/>
      <c r="CBK100" s="48"/>
      <c r="CBL100" s="48"/>
      <c r="CBM100" s="48"/>
      <c r="CBN100" s="48"/>
      <c r="CBO100" s="48"/>
      <c r="CBP100" s="48"/>
      <c r="CBQ100" s="48"/>
      <c r="CBR100" s="48"/>
      <c r="CBS100" s="48"/>
      <c r="CBT100" s="48"/>
      <c r="CBU100" s="48"/>
      <c r="CBV100" s="48"/>
      <c r="CBW100" s="48"/>
      <c r="CBX100" s="48"/>
      <c r="CBY100" s="48"/>
      <c r="CBZ100" s="48"/>
      <c r="CCA100" s="48"/>
      <c r="CCB100" s="48"/>
      <c r="CCC100" s="48"/>
      <c r="CCD100" s="48"/>
      <c r="CCE100" s="48"/>
      <c r="CCF100" s="48"/>
      <c r="CCG100" s="48"/>
      <c r="CCH100" s="48"/>
      <c r="CCI100" s="48"/>
      <c r="CCJ100" s="48"/>
      <c r="CCK100" s="48"/>
      <c r="CCL100" s="48"/>
      <c r="CCM100" s="48"/>
      <c r="CCN100" s="48"/>
      <c r="CCO100" s="48"/>
      <c r="CCP100" s="48"/>
      <c r="CCQ100" s="48"/>
      <c r="CCR100" s="48"/>
      <c r="CCS100" s="48"/>
      <c r="CCT100" s="48"/>
      <c r="CCU100" s="48"/>
      <c r="CCV100" s="48"/>
      <c r="CCW100" s="48"/>
      <c r="CCX100" s="48"/>
      <c r="CCY100" s="48"/>
      <c r="CCZ100" s="48"/>
      <c r="CDA100" s="48"/>
      <c r="CDB100" s="48"/>
      <c r="CDC100" s="48"/>
      <c r="CDD100" s="48"/>
      <c r="CDE100" s="48"/>
      <c r="CDF100" s="48"/>
      <c r="CDG100" s="48"/>
      <c r="CDH100" s="48"/>
      <c r="CDI100" s="48"/>
      <c r="CDJ100" s="48"/>
      <c r="CDK100" s="48"/>
      <c r="CDL100" s="48"/>
      <c r="CDM100" s="48"/>
      <c r="CDN100" s="48"/>
      <c r="CDO100" s="48"/>
      <c r="CDP100" s="48"/>
      <c r="CDQ100" s="48"/>
      <c r="CDR100" s="48"/>
      <c r="CDS100" s="48"/>
      <c r="CDT100" s="48"/>
      <c r="CDU100" s="48"/>
      <c r="CDV100" s="48"/>
      <c r="CDW100" s="48"/>
      <c r="CDX100" s="48"/>
      <c r="CDY100" s="48"/>
      <c r="CDZ100" s="48"/>
      <c r="CEA100" s="48"/>
      <c r="CEB100" s="48"/>
      <c r="CEC100" s="48"/>
      <c r="CED100" s="48"/>
      <c r="CEE100" s="48"/>
      <c r="CEF100" s="48"/>
      <c r="CEG100" s="48"/>
      <c r="CEH100" s="48"/>
      <c r="CEI100" s="48"/>
      <c r="CEJ100" s="48"/>
      <c r="CEK100" s="48"/>
      <c r="CEL100" s="48"/>
      <c r="CEM100" s="48"/>
      <c r="CEN100" s="48"/>
      <c r="CEO100" s="48"/>
      <c r="CEP100" s="48"/>
      <c r="CEQ100" s="48"/>
      <c r="CER100" s="48"/>
      <c r="CES100" s="48"/>
      <c r="CET100" s="48"/>
      <c r="CEU100" s="48"/>
      <c r="CEV100" s="48"/>
      <c r="CEW100" s="48"/>
      <c r="CEX100" s="48"/>
      <c r="CEY100" s="48"/>
      <c r="CEZ100" s="48"/>
      <c r="CFA100" s="48"/>
      <c r="CFB100" s="48"/>
      <c r="CFC100" s="48"/>
      <c r="CFD100" s="48"/>
      <c r="CFE100" s="48"/>
      <c r="CFF100" s="48"/>
      <c r="CFG100" s="48"/>
      <c r="CFH100" s="48"/>
      <c r="CFI100" s="48"/>
      <c r="CFJ100" s="48"/>
      <c r="CFK100" s="48"/>
      <c r="CFL100" s="48"/>
      <c r="CFM100" s="48"/>
      <c r="CFN100" s="48"/>
      <c r="CFO100" s="48"/>
      <c r="CFP100" s="48"/>
      <c r="CFQ100" s="48"/>
      <c r="CFR100" s="48"/>
      <c r="CFS100" s="48"/>
      <c r="CFT100" s="48"/>
      <c r="CFU100" s="48"/>
      <c r="CFV100" s="48"/>
      <c r="CFW100" s="48"/>
      <c r="CFX100" s="48"/>
      <c r="CFY100" s="48"/>
      <c r="CFZ100" s="48"/>
      <c r="CGA100" s="48"/>
      <c r="CGB100" s="48"/>
      <c r="CGC100" s="48"/>
      <c r="CGD100" s="48"/>
      <c r="CGE100" s="48"/>
      <c r="CGF100" s="48"/>
      <c r="CGG100" s="48"/>
      <c r="CGH100" s="48"/>
      <c r="CGI100" s="48"/>
      <c r="CGJ100" s="48"/>
      <c r="CGK100" s="48"/>
      <c r="CGL100" s="48"/>
      <c r="CGM100" s="48"/>
      <c r="CGN100" s="48"/>
      <c r="CGO100" s="48"/>
      <c r="CGP100" s="48"/>
      <c r="CGQ100" s="48"/>
      <c r="CGR100" s="48"/>
      <c r="CGS100" s="48"/>
      <c r="CGT100" s="48"/>
      <c r="CGU100" s="48"/>
      <c r="CGV100" s="48"/>
      <c r="CGW100" s="48"/>
      <c r="CGX100" s="48"/>
      <c r="CGY100" s="48"/>
      <c r="CGZ100" s="48"/>
      <c r="CHA100" s="48"/>
      <c r="CHB100" s="48"/>
      <c r="CHC100" s="48"/>
      <c r="CHD100" s="48"/>
      <c r="CHE100" s="48"/>
      <c r="CHF100" s="48"/>
      <c r="CHG100" s="48"/>
      <c r="CHH100" s="48"/>
      <c r="CHI100" s="48"/>
      <c r="CHJ100" s="48"/>
      <c r="CHK100" s="48"/>
      <c r="CHL100" s="48"/>
      <c r="CHM100" s="48"/>
      <c r="CHN100" s="48"/>
      <c r="CHO100" s="48"/>
      <c r="CHP100" s="48"/>
      <c r="CHQ100" s="48"/>
      <c r="CHR100" s="48"/>
      <c r="CHS100" s="48"/>
      <c r="CHT100" s="48"/>
      <c r="CHU100" s="48"/>
      <c r="CHV100" s="48"/>
      <c r="CHW100" s="48"/>
      <c r="CHX100" s="48"/>
      <c r="CHY100" s="48"/>
      <c r="CHZ100" s="48"/>
      <c r="CIA100" s="48"/>
      <c r="CIB100" s="48"/>
      <c r="CIC100" s="48"/>
      <c r="CID100" s="48"/>
      <c r="CIE100" s="48"/>
      <c r="CIF100" s="48"/>
      <c r="CIG100" s="48"/>
      <c r="CIH100" s="48"/>
      <c r="CII100" s="48"/>
      <c r="CIJ100" s="48"/>
      <c r="CIK100" s="48"/>
      <c r="CIL100" s="48"/>
      <c r="CIM100" s="48"/>
      <c r="CIN100" s="48"/>
      <c r="CIO100" s="48"/>
      <c r="CIP100" s="48"/>
      <c r="CIQ100" s="48"/>
      <c r="CIR100" s="48"/>
      <c r="CIS100" s="48"/>
      <c r="CIT100" s="48"/>
      <c r="CIU100" s="48"/>
      <c r="CIV100" s="48"/>
      <c r="CIW100" s="48"/>
      <c r="CIX100" s="48"/>
      <c r="CIY100" s="48"/>
      <c r="CIZ100" s="48"/>
      <c r="CJA100" s="48"/>
      <c r="CJB100" s="48"/>
      <c r="CJC100" s="48"/>
      <c r="CJD100" s="48"/>
      <c r="CJE100" s="48"/>
      <c r="CJF100" s="48"/>
      <c r="CJG100" s="48"/>
      <c r="CJH100" s="48"/>
      <c r="CJI100" s="48"/>
      <c r="CJJ100" s="48"/>
      <c r="CJK100" s="48"/>
      <c r="CJL100" s="48"/>
      <c r="CJM100" s="48"/>
      <c r="CJN100" s="48"/>
      <c r="CJO100" s="48"/>
      <c r="CJP100" s="48"/>
      <c r="CJQ100" s="48"/>
      <c r="CJR100" s="48"/>
      <c r="CJS100" s="48"/>
      <c r="CJT100" s="48"/>
      <c r="CJU100" s="48"/>
      <c r="CJV100" s="48"/>
      <c r="CJW100" s="48"/>
      <c r="CJX100" s="48"/>
      <c r="CJY100" s="48"/>
      <c r="CJZ100" s="48"/>
      <c r="CKA100" s="48"/>
      <c r="CKB100" s="48"/>
      <c r="CKC100" s="48"/>
      <c r="CKD100" s="48"/>
      <c r="CKE100" s="48"/>
      <c r="CKF100" s="48"/>
      <c r="CKG100" s="48"/>
      <c r="CKH100" s="48"/>
      <c r="CKI100" s="48"/>
      <c r="CKJ100" s="48"/>
      <c r="CKK100" s="48"/>
      <c r="CKL100" s="48"/>
      <c r="CKM100" s="48"/>
      <c r="CKN100" s="48"/>
      <c r="CKO100" s="48"/>
      <c r="CKP100" s="48"/>
      <c r="CKQ100" s="48"/>
      <c r="CKR100" s="48"/>
      <c r="CKS100" s="48"/>
      <c r="CKT100" s="48"/>
      <c r="CKU100" s="48"/>
      <c r="CKV100" s="48"/>
      <c r="CKW100" s="48"/>
      <c r="CKX100" s="48"/>
      <c r="CKY100" s="48"/>
      <c r="CKZ100" s="48"/>
      <c r="CLA100" s="48"/>
      <c r="CLB100" s="48"/>
      <c r="CLC100" s="48"/>
      <c r="CLD100" s="48"/>
      <c r="CLE100" s="48"/>
      <c r="CLF100" s="48"/>
      <c r="CLG100" s="48"/>
      <c r="CLH100" s="48"/>
      <c r="CLI100" s="48"/>
      <c r="CLJ100" s="48"/>
      <c r="CLK100" s="48"/>
      <c r="CLL100" s="48"/>
      <c r="CLM100" s="48"/>
      <c r="CLN100" s="48"/>
      <c r="CLO100" s="48"/>
      <c r="CLP100" s="48"/>
      <c r="CLQ100" s="48"/>
      <c r="CLR100" s="48"/>
      <c r="CLS100" s="48"/>
      <c r="CLT100" s="48"/>
      <c r="CLU100" s="48"/>
      <c r="CLV100" s="48"/>
      <c r="CLW100" s="48"/>
      <c r="CLX100" s="48"/>
      <c r="CLY100" s="48"/>
      <c r="CLZ100" s="48"/>
      <c r="CMA100" s="48"/>
      <c r="CMB100" s="48"/>
      <c r="CMC100" s="48"/>
      <c r="CMD100" s="48"/>
      <c r="CME100" s="48"/>
      <c r="CMF100" s="48"/>
      <c r="CMG100" s="48"/>
      <c r="CMH100" s="48"/>
      <c r="CMI100" s="48"/>
      <c r="CMJ100" s="48"/>
      <c r="CMK100" s="48"/>
      <c r="CML100" s="48"/>
      <c r="CMM100" s="48"/>
      <c r="CMN100" s="48"/>
      <c r="CMO100" s="48"/>
      <c r="CMP100" s="48"/>
      <c r="CMQ100" s="48"/>
      <c r="CMR100" s="48"/>
      <c r="CMS100" s="48"/>
      <c r="CMT100" s="48"/>
      <c r="CMU100" s="48"/>
      <c r="CMV100" s="48"/>
      <c r="CMW100" s="48"/>
      <c r="CMX100" s="48"/>
      <c r="CMY100" s="48"/>
      <c r="CMZ100" s="48"/>
      <c r="CNA100" s="48"/>
      <c r="CNB100" s="48"/>
      <c r="CNC100" s="48"/>
      <c r="CND100" s="48"/>
      <c r="CNE100" s="48"/>
      <c r="CNF100" s="48"/>
      <c r="CNG100" s="48"/>
      <c r="CNH100" s="48"/>
      <c r="CNI100" s="48"/>
      <c r="CNJ100" s="48"/>
      <c r="CNK100" s="48"/>
      <c r="CNL100" s="48"/>
      <c r="CNM100" s="48"/>
      <c r="CNN100" s="48"/>
      <c r="CNO100" s="48"/>
      <c r="CNP100" s="48"/>
      <c r="CNQ100" s="48"/>
      <c r="CNR100" s="48"/>
      <c r="CNS100" s="48"/>
      <c r="CNT100" s="48"/>
      <c r="CNU100" s="48"/>
      <c r="CNV100" s="48"/>
      <c r="CNW100" s="48"/>
      <c r="CNX100" s="48"/>
      <c r="CNY100" s="48"/>
      <c r="CNZ100" s="48"/>
      <c r="COA100" s="48"/>
      <c r="COB100" s="48"/>
      <c r="COC100" s="48"/>
      <c r="COD100" s="48"/>
      <c r="COE100" s="48"/>
      <c r="COF100" s="48"/>
      <c r="COG100" s="48"/>
      <c r="COH100" s="48"/>
      <c r="COI100" s="48"/>
      <c r="COJ100" s="48"/>
      <c r="COK100" s="48"/>
      <c r="COL100" s="48"/>
      <c r="COM100" s="48"/>
      <c r="CON100" s="48"/>
      <c r="COO100" s="48"/>
      <c r="COP100" s="48"/>
      <c r="COQ100" s="48"/>
      <c r="COR100" s="48"/>
      <c r="COS100" s="48"/>
      <c r="COT100" s="48"/>
      <c r="COU100" s="48"/>
      <c r="COV100" s="48"/>
      <c r="COW100" s="48"/>
      <c r="COX100" s="48"/>
      <c r="COY100" s="48"/>
      <c r="COZ100" s="48"/>
      <c r="CPA100" s="48"/>
      <c r="CPB100" s="48"/>
      <c r="CPC100" s="48"/>
      <c r="CPD100" s="48"/>
      <c r="CPE100" s="48"/>
      <c r="CPF100" s="48"/>
      <c r="CPG100" s="48"/>
      <c r="CPH100" s="48"/>
      <c r="CPI100" s="48"/>
      <c r="CPJ100" s="48"/>
      <c r="CPK100" s="48"/>
      <c r="CPL100" s="48"/>
      <c r="CPM100" s="48"/>
      <c r="CPN100" s="48"/>
      <c r="CPO100" s="48"/>
      <c r="CPP100" s="48"/>
      <c r="CPQ100" s="48"/>
      <c r="CPR100" s="48"/>
      <c r="CPS100" s="48"/>
      <c r="CPT100" s="48"/>
      <c r="CPU100" s="48"/>
      <c r="CPV100" s="48"/>
      <c r="CPW100" s="48"/>
      <c r="CPX100" s="48"/>
      <c r="CPY100" s="48"/>
      <c r="CPZ100" s="48"/>
      <c r="CQA100" s="48"/>
      <c r="CQB100" s="48"/>
      <c r="CQC100" s="48"/>
      <c r="CQD100" s="48"/>
      <c r="CQE100" s="48"/>
      <c r="CQF100" s="48"/>
      <c r="CQG100" s="48"/>
      <c r="CQH100" s="48"/>
      <c r="CQI100" s="48"/>
      <c r="CQJ100" s="48"/>
      <c r="CQK100" s="48"/>
      <c r="CQL100" s="48"/>
      <c r="CQM100" s="48"/>
      <c r="CQN100" s="48"/>
      <c r="CQO100" s="48"/>
      <c r="CQP100" s="48"/>
      <c r="CQQ100" s="48"/>
      <c r="CQR100" s="48"/>
      <c r="CQS100" s="48"/>
      <c r="CQT100" s="48"/>
      <c r="CQU100" s="48"/>
      <c r="CQV100" s="48"/>
      <c r="CQW100" s="48"/>
      <c r="CQX100" s="48"/>
      <c r="CQY100" s="48"/>
      <c r="CQZ100" s="48"/>
      <c r="CRA100" s="48"/>
      <c r="CRB100" s="48"/>
      <c r="CRC100" s="48"/>
      <c r="CRD100" s="48"/>
      <c r="CRE100" s="48"/>
      <c r="CRF100" s="48"/>
      <c r="CRG100" s="48"/>
      <c r="CRH100" s="48"/>
      <c r="CRI100" s="48"/>
      <c r="CRJ100" s="48"/>
      <c r="CRK100" s="48"/>
      <c r="CRL100" s="48"/>
      <c r="CRM100" s="48"/>
      <c r="CRN100" s="48"/>
      <c r="CRO100" s="48"/>
      <c r="CRP100" s="48"/>
      <c r="CRQ100" s="48"/>
      <c r="CRR100" s="48"/>
      <c r="CRS100" s="48"/>
      <c r="CRT100" s="48"/>
      <c r="CRU100" s="48"/>
      <c r="CRV100" s="48"/>
      <c r="CRW100" s="48"/>
      <c r="CRX100" s="48"/>
      <c r="CRY100" s="48"/>
      <c r="CRZ100" s="48"/>
      <c r="CSA100" s="48"/>
      <c r="CSB100" s="48"/>
      <c r="CSC100" s="48"/>
      <c r="CSD100" s="48"/>
      <c r="CSE100" s="48"/>
      <c r="CSF100" s="48"/>
      <c r="CSG100" s="48"/>
      <c r="CSH100" s="48"/>
      <c r="CSI100" s="48"/>
      <c r="CSJ100" s="48"/>
      <c r="CSK100" s="48"/>
      <c r="CSL100" s="48"/>
      <c r="CSM100" s="48"/>
      <c r="CSN100" s="48"/>
      <c r="CSO100" s="48"/>
      <c r="CSP100" s="48"/>
      <c r="CSQ100" s="48"/>
      <c r="CSR100" s="48"/>
      <c r="CSS100" s="48"/>
      <c r="CST100" s="48"/>
      <c r="CSU100" s="48"/>
      <c r="CSV100" s="48"/>
      <c r="CSW100" s="48"/>
      <c r="CSX100" s="48"/>
      <c r="CSY100" s="48"/>
      <c r="CSZ100" s="48"/>
      <c r="CTA100" s="48"/>
      <c r="CTB100" s="48"/>
      <c r="CTC100" s="48"/>
      <c r="CTD100" s="48"/>
      <c r="CTE100" s="48"/>
      <c r="CTF100" s="48"/>
      <c r="CTG100" s="48"/>
      <c r="CTH100" s="48"/>
      <c r="CTI100" s="48"/>
      <c r="CTJ100" s="48"/>
      <c r="CTK100" s="48"/>
      <c r="CTL100" s="48"/>
      <c r="CTM100" s="48"/>
      <c r="CTN100" s="48"/>
      <c r="CTO100" s="48"/>
      <c r="CTP100" s="48"/>
      <c r="CTQ100" s="48"/>
      <c r="CTR100" s="48"/>
      <c r="CTS100" s="48"/>
      <c r="CTT100" s="48"/>
      <c r="CTU100" s="48"/>
      <c r="CTV100" s="48"/>
      <c r="CTW100" s="48"/>
      <c r="CTX100" s="48"/>
      <c r="CTY100" s="48"/>
      <c r="CTZ100" s="48"/>
      <c r="CUA100" s="48"/>
      <c r="CUB100" s="48"/>
      <c r="CUC100" s="48"/>
      <c r="CUD100" s="48"/>
      <c r="CUE100" s="48"/>
      <c r="CUF100" s="48"/>
      <c r="CUG100" s="48"/>
      <c r="CUH100" s="48"/>
      <c r="CUI100" s="48"/>
      <c r="CUJ100" s="48"/>
      <c r="CUK100" s="48"/>
      <c r="CUL100" s="48"/>
      <c r="CUM100" s="48"/>
      <c r="CUN100" s="48"/>
      <c r="CUO100" s="48"/>
      <c r="CUP100" s="48"/>
      <c r="CUQ100" s="48"/>
      <c r="CUR100" s="48"/>
      <c r="CUS100" s="48"/>
      <c r="CUT100" s="48"/>
      <c r="CUU100" s="48"/>
      <c r="CUV100" s="48"/>
      <c r="CUW100" s="48"/>
      <c r="CUX100" s="48"/>
      <c r="CUY100" s="48"/>
      <c r="CUZ100" s="48"/>
      <c r="CVA100" s="48"/>
      <c r="CVB100" s="48"/>
      <c r="CVC100" s="48"/>
      <c r="CVD100" s="48"/>
      <c r="CVE100" s="48"/>
      <c r="CVF100" s="48"/>
      <c r="CVG100" s="48"/>
      <c r="CVH100" s="48"/>
      <c r="CVI100" s="48"/>
      <c r="CVJ100" s="48"/>
      <c r="CVK100" s="48"/>
      <c r="CVL100" s="48"/>
      <c r="CVM100" s="48"/>
      <c r="CVN100" s="48"/>
      <c r="CVO100" s="48"/>
      <c r="CVP100" s="48"/>
      <c r="CVQ100" s="48"/>
      <c r="CVR100" s="48"/>
      <c r="CVS100" s="48"/>
      <c r="CVT100" s="48"/>
      <c r="CVU100" s="48"/>
      <c r="CVV100" s="48"/>
      <c r="CVW100" s="48"/>
      <c r="CVX100" s="48"/>
      <c r="CVY100" s="48"/>
      <c r="CVZ100" s="48"/>
      <c r="CWA100" s="48"/>
      <c r="CWB100" s="48"/>
      <c r="CWC100" s="48"/>
      <c r="CWD100" s="48"/>
      <c r="CWE100" s="48"/>
      <c r="CWF100" s="48"/>
      <c r="CWG100" s="48"/>
      <c r="CWH100" s="48"/>
      <c r="CWI100" s="48"/>
      <c r="CWJ100" s="48"/>
      <c r="CWK100" s="48"/>
      <c r="CWL100" s="48"/>
      <c r="CWM100" s="48"/>
      <c r="CWN100" s="48"/>
      <c r="CWO100" s="48"/>
      <c r="CWP100" s="48"/>
      <c r="CWQ100" s="48"/>
      <c r="CWR100" s="48"/>
      <c r="CWS100" s="48"/>
      <c r="CWT100" s="48"/>
      <c r="CWU100" s="48"/>
      <c r="CWV100" s="48"/>
      <c r="CWW100" s="48"/>
      <c r="CWX100" s="48"/>
      <c r="CWY100" s="48"/>
      <c r="CWZ100" s="48"/>
      <c r="CXA100" s="48"/>
      <c r="CXB100" s="48"/>
      <c r="CXC100" s="48"/>
      <c r="CXD100" s="48"/>
      <c r="CXE100" s="48"/>
      <c r="CXF100" s="48"/>
      <c r="CXG100" s="48"/>
      <c r="CXH100" s="48"/>
      <c r="CXI100" s="48"/>
      <c r="CXJ100" s="48"/>
      <c r="CXK100" s="48"/>
      <c r="CXL100" s="48"/>
      <c r="CXM100" s="48"/>
      <c r="CXN100" s="48"/>
      <c r="CXO100" s="48"/>
      <c r="CXP100" s="48"/>
      <c r="CXQ100" s="48"/>
      <c r="CXR100" s="48"/>
      <c r="CXS100" s="48"/>
      <c r="CXT100" s="48"/>
      <c r="CXU100" s="48"/>
      <c r="CXV100" s="48"/>
      <c r="CXW100" s="48"/>
      <c r="CXX100" s="48"/>
      <c r="CXY100" s="48"/>
      <c r="CXZ100" s="48"/>
      <c r="CYA100" s="48"/>
      <c r="CYB100" s="48"/>
      <c r="CYC100" s="48"/>
      <c r="CYD100" s="48"/>
      <c r="CYE100" s="48"/>
      <c r="CYF100" s="48"/>
      <c r="CYG100" s="48"/>
      <c r="CYH100" s="48"/>
      <c r="CYI100" s="48"/>
      <c r="CYJ100" s="48"/>
      <c r="CYK100" s="48"/>
      <c r="CYL100" s="48"/>
      <c r="CYM100" s="48"/>
      <c r="CYN100" s="48"/>
      <c r="CYO100" s="48"/>
      <c r="CYP100" s="48"/>
      <c r="CYQ100" s="48"/>
      <c r="CYR100" s="48"/>
      <c r="CYS100" s="48"/>
      <c r="CYT100" s="48"/>
      <c r="CYU100" s="48"/>
      <c r="CYV100" s="48"/>
      <c r="CYW100" s="48"/>
      <c r="CYX100" s="48"/>
      <c r="CYY100" s="48"/>
      <c r="CYZ100" s="48"/>
      <c r="CZA100" s="48"/>
      <c r="CZB100" s="48"/>
      <c r="CZC100" s="48"/>
      <c r="CZD100" s="48"/>
      <c r="CZE100" s="48"/>
      <c r="CZF100" s="48"/>
      <c r="CZG100" s="48"/>
      <c r="CZH100" s="48"/>
      <c r="CZI100" s="48"/>
      <c r="CZJ100" s="48"/>
      <c r="CZK100" s="48"/>
      <c r="CZL100" s="48"/>
      <c r="CZM100" s="48"/>
      <c r="CZN100" s="48"/>
      <c r="CZO100" s="48"/>
      <c r="CZP100" s="48"/>
      <c r="CZQ100" s="48"/>
      <c r="CZR100" s="48"/>
      <c r="CZS100" s="48"/>
      <c r="CZT100" s="48"/>
      <c r="CZU100" s="48"/>
      <c r="CZV100" s="48"/>
      <c r="CZW100" s="48"/>
      <c r="CZX100" s="48"/>
      <c r="CZY100" s="48"/>
      <c r="CZZ100" s="48"/>
      <c r="DAA100" s="48"/>
      <c r="DAB100" s="48"/>
      <c r="DAC100" s="48"/>
      <c r="DAD100" s="48"/>
      <c r="DAE100" s="48"/>
      <c r="DAF100" s="48"/>
      <c r="DAG100" s="48"/>
      <c r="DAH100" s="48"/>
      <c r="DAI100" s="48"/>
      <c r="DAJ100" s="48"/>
      <c r="DAK100" s="48"/>
      <c r="DAL100" s="48"/>
      <c r="DAM100" s="48"/>
      <c r="DAN100" s="48"/>
      <c r="DAO100" s="48"/>
      <c r="DAP100" s="48"/>
      <c r="DAQ100" s="48"/>
      <c r="DAR100" s="48"/>
      <c r="DAS100" s="48"/>
      <c r="DAT100" s="48"/>
      <c r="DAU100" s="48"/>
      <c r="DAV100" s="48"/>
      <c r="DAW100" s="48"/>
      <c r="DAX100" s="48"/>
      <c r="DAY100" s="48"/>
      <c r="DAZ100" s="48"/>
      <c r="DBA100" s="48"/>
      <c r="DBB100" s="48"/>
      <c r="DBC100" s="48"/>
      <c r="DBD100" s="48"/>
      <c r="DBE100" s="48"/>
      <c r="DBF100" s="48"/>
      <c r="DBG100" s="48"/>
      <c r="DBH100" s="48"/>
      <c r="DBI100" s="48"/>
      <c r="DBJ100" s="48"/>
      <c r="DBK100" s="48"/>
      <c r="DBL100" s="48"/>
      <c r="DBM100" s="48"/>
      <c r="DBN100" s="48"/>
      <c r="DBO100" s="48"/>
      <c r="DBP100" s="48"/>
      <c r="DBQ100" s="48"/>
      <c r="DBR100" s="48"/>
      <c r="DBS100" s="48"/>
      <c r="DBT100" s="48"/>
      <c r="DBU100" s="48"/>
      <c r="DBV100" s="48"/>
      <c r="DBW100" s="48"/>
      <c r="DBX100" s="48"/>
      <c r="DBY100" s="48"/>
      <c r="DBZ100" s="48"/>
      <c r="DCA100" s="48"/>
      <c r="DCB100" s="48"/>
      <c r="DCC100" s="48"/>
      <c r="DCD100" s="48"/>
      <c r="DCE100" s="48"/>
      <c r="DCF100" s="48"/>
      <c r="DCG100" s="48"/>
      <c r="DCH100" s="48"/>
      <c r="DCI100" s="48"/>
      <c r="DCJ100" s="48"/>
      <c r="DCK100" s="48"/>
      <c r="DCL100" s="48"/>
      <c r="DCM100" s="48"/>
      <c r="DCN100" s="48"/>
      <c r="DCO100" s="48"/>
      <c r="DCP100" s="48"/>
      <c r="DCQ100" s="48"/>
      <c r="DCR100" s="48"/>
      <c r="DCS100" s="48"/>
      <c r="DCT100" s="48"/>
      <c r="DCU100" s="48"/>
      <c r="DCV100" s="48"/>
      <c r="DCW100" s="48"/>
      <c r="DCX100" s="48"/>
      <c r="DCY100" s="48"/>
      <c r="DCZ100" s="48"/>
      <c r="DDA100" s="48"/>
      <c r="DDB100" s="48"/>
      <c r="DDC100" s="48"/>
      <c r="DDD100" s="48"/>
      <c r="DDE100" s="48"/>
      <c r="DDF100" s="48"/>
      <c r="DDG100" s="48"/>
      <c r="DDH100" s="48"/>
      <c r="DDI100" s="48"/>
      <c r="DDJ100" s="48"/>
      <c r="DDK100" s="48"/>
      <c r="DDL100" s="48"/>
      <c r="DDM100" s="48"/>
      <c r="DDN100" s="48"/>
      <c r="DDO100" s="48"/>
      <c r="DDP100" s="48"/>
      <c r="DDQ100" s="48"/>
      <c r="DDR100" s="48"/>
      <c r="DDS100" s="48"/>
      <c r="DDT100" s="48"/>
      <c r="DDU100" s="48"/>
      <c r="DDV100" s="48"/>
      <c r="DDW100" s="48"/>
      <c r="DDX100" s="48"/>
      <c r="DDY100" s="48"/>
      <c r="DDZ100" s="48"/>
      <c r="DEA100" s="48"/>
      <c r="DEB100" s="48"/>
      <c r="DEC100" s="48"/>
      <c r="DED100" s="48"/>
      <c r="DEE100" s="48"/>
      <c r="DEF100" s="48"/>
      <c r="DEG100" s="48"/>
      <c r="DEH100" s="48"/>
      <c r="DEI100" s="48"/>
      <c r="DEJ100" s="48"/>
      <c r="DEK100" s="48"/>
      <c r="DEL100" s="48"/>
      <c r="DEM100" s="48"/>
      <c r="DEN100" s="48"/>
      <c r="DEO100" s="48"/>
      <c r="DEP100" s="48"/>
      <c r="DEQ100" s="48"/>
      <c r="DER100" s="48"/>
      <c r="DES100" s="48"/>
      <c r="DET100" s="48"/>
      <c r="DEU100" s="48"/>
      <c r="DEV100" s="48"/>
      <c r="DEW100" s="48"/>
      <c r="DEX100" s="48"/>
      <c r="DEY100" s="48"/>
      <c r="DEZ100" s="48"/>
      <c r="DFA100" s="48"/>
      <c r="DFB100" s="48"/>
      <c r="DFC100" s="48"/>
      <c r="DFD100" s="48"/>
      <c r="DFE100" s="48"/>
      <c r="DFF100" s="48"/>
      <c r="DFG100" s="48"/>
      <c r="DFH100" s="48"/>
      <c r="DFI100" s="48"/>
      <c r="DFJ100" s="48"/>
      <c r="DFK100" s="48"/>
      <c r="DFL100" s="48"/>
      <c r="DFM100" s="48"/>
      <c r="DFN100" s="48"/>
      <c r="DFO100" s="48"/>
      <c r="DFP100" s="48"/>
      <c r="DFQ100" s="48"/>
      <c r="DFR100" s="48"/>
      <c r="DFS100" s="48"/>
      <c r="DFT100" s="48"/>
      <c r="DFU100" s="48"/>
      <c r="DFV100" s="48"/>
      <c r="DFW100" s="48"/>
      <c r="DFX100" s="48"/>
      <c r="DFY100" s="48"/>
      <c r="DFZ100" s="48"/>
      <c r="DGA100" s="48"/>
      <c r="DGB100" s="48"/>
      <c r="DGC100" s="48"/>
      <c r="DGD100" s="48"/>
      <c r="DGE100" s="48"/>
      <c r="DGF100" s="48"/>
      <c r="DGG100" s="48"/>
      <c r="DGH100" s="48"/>
      <c r="DGI100" s="48"/>
      <c r="DGJ100" s="48"/>
      <c r="DGK100" s="48"/>
      <c r="DGL100" s="48"/>
      <c r="DGM100" s="48"/>
      <c r="DGN100" s="48"/>
      <c r="DGO100" s="48"/>
      <c r="DGP100" s="48"/>
      <c r="DGQ100" s="48"/>
      <c r="DGR100" s="48"/>
      <c r="DGS100" s="48"/>
      <c r="DGT100" s="48"/>
      <c r="DGU100" s="48"/>
      <c r="DGV100" s="48"/>
      <c r="DGW100" s="48"/>
      <c r="DGX100" s="48"/>
      <c r="DGY100" s="48"/>
      <c r="DGZ100" s="48"/>
      <c r="DHA100" s="48"/>
      <c r="DHB100" s="48"/>
      <c r="DHC100" s="48"/>
      <c r="DHD100" s="48"/>
      <c r="DHE100" s="48"/>
      <c r="DHF100" s="48"/>
      <c r="DHG100" s="48"/>
      <c r="DHH100" s="48"/>
      <c r="DHI100" s="48"/>
      <c r="DHJ100" s="48"/>
      <c r="DHK100" s="48"/>
      <c r="DHL100" s="48"/>
      <c r="DHM100" s="48"/>
      <c r="DHN100" s="48"/>
      <c r="DHO100" s="48"/>
      <c r="DHP100" s="48"/>
      <c r="DHQ100" s="48"/>
      <c r="DHR100" s="48"/>
      <c r="DHS100" s="48"/>
      <c r="DHT100" s="48"/>
      <c r="DHU100" s="48"/>
      <c r="DHV100" s="48"/>
      <c r="DHW100" s="48"/>
      <c r="DHX100" s="48"/>
      <c r="DHY100" s="48"/>
      <c r="DHZ100" s="48"/>
      <c r="DIA100" s="48"/>
      <c r="DIB100" s="48"/>
      <c r="DIC100" s="48"/>
      <c r="DID100" s="48"/>
      <c r="DIE100" s="48"/>
      <c r="DIF100" s="48"/>
      <c r="DIG100" s="48"/>
      <c r="DIH100" s="48"/>
      <c r="DII100" s="48"/>
      <c r="DIJ100" s="48"/>
      <c r="DIK100" s="48"/>
      <c r="DIL100" s="48"/>
      <c r="DIM100" s="48"/>
      <c r="DIN100" s="48"/>
      <c r="DIO100" s="48"/>
      <c r="DIP100" s="48"/>
      <c r="DIQ100" s="48"/>
      <c r="DIR100" s="48"/>
      <c r="DIS100" s="48"/>
      <c r="DIT100" s="48"/>
      <c r="DIU100" s="48"/>
      <c r="DIV100" s="48"/>
      <c r="DIW100" s="48"/>
      <c r="DIX100" s="48"/>
      <c r="DIY100" s="48"/>
      <c r="DIZ100" s="48"/>
      <c r="DJA100" s="48"/>
      <c r="DJB100" s="48"/>
      <c r="DJC100" s="48"/>
      <c r="DJD100" s="48"/>
      <c r="DJE100" s="48"/>
      <c r="DJF100" s="48"/>
      <c r="DJG100" s="48"/>
      <c r="DJH100" s="48"/>
      <c r="DJI100" s="48"/>
      <c r="DJJ100" s="48"/>
      <c r="DJK100" s="48"/>
      <c r="DJL100" s="48"/>
      <c r="DJM100" s="48"/>
      <c r="DJN100" s="48"/>
      <c r="DJO100" s="48"/>
      <c r="DJP100" s="48"/>
      <c r="DJQ100" s="48"/>
      <c r="DJR100" s="48"/>
      <c r="DJS100" s="48"/>
      <c r="DJT100" s="48"/>
      <c r="DJU100" s="48"/>
      <c r="DJV100" s="48"/>
      <c r="DJW100" s="48"/>
      <c r="DJX100" s="48"/>
      <c r="DJY100" s="48"/>
      <c r="DJZ100" s="48"/>
      <c r="DKA100" s="48"/>
      <c r="DKB100" s="48"/>
      <c r="DKC100" s="48"/>
      <c r="DKD100" s="48"/>
      <c r="DKE100" s="48"/>
      <c r="DKF100" s="48"/>
      <c r="DKG100" s="48"/>
      <c r="DKH100" s="48"/>
      <c r="DKI100" s="48"/>
      <c r="DKJ100" s="48"/>
      <c r="DKK100" s="48"/>
      <c r="DKL100" s="48"/>
      <c r="DKM100" s="48"/>
      <c r="DKN100" s="48"/>
      <c r="DKO100" s="48"/>
      <c r="DKP100" s="48"/>
      <c r="DKQ100" s="48"/>
      <c r="DKR100" s="48"/>
      <c r="DKS100" s="48"/>
      <c r="DKT100" s="48"/>
      <c r="DKU100" s="48"/>
      <c r="DKV100" s="48"/>
      <c r="DKW100" s="48"/>
      <c r="DKX100" s="48"/>
      <c r="DKY100" s="48"/>
      <c r="DKZ100" s="48"/>
      <c r="DLA100" s="48"/>
      <c r="DLB100" s="48"/>
      <c r="DLC100" s="48"/>
      <c r="DLD100" s="48"/>
      <c r="DLE100" s="48"/>
      <c r="DLF100" s="48"/>
      <c r="DLG100" s="48"/>
      <c r="DLH100" s="48"/>
      <c r="DLI100" s="48"/>
      <c r="DLJ100" s="48"/>
      <c r="DLK100" s="48"/>
      <c r="DLL100" s="48"/>
      <c r="DLM100" s="48"/>
      <c r="DLN100" s="48"/>
      <c r="DLO100" s="48"/>
      <c r="DLP100" s="48"/>
      <c r="DLQ100" s="48"/>
      <c r="DLR100" s="48"/>
      <c r="DLS100" s="48"/>
      <c r="DLT100" s="48"/>
      <c r="DLU100" s="48"/>
      <c r="DLV100" s="48"/>
      <c r="DLW100" s="48"/>
      <c r="DLX100" s="48"/>
      <c r="DLY100" s="48"/>
      <c r="DLZ100" s="48"/>
      <c r="DMA100" s="48"/>
      <c r="DMB100" s="48"/>
      <c r="DMC100" s="48"/>
      <c r="DMD100" s="48"/>
      <c r="DME100" s="48"/>
      <c r="DMF100" s="48"/>
      <c r="DMG100" s="48"/>
      <c r="DMH100" s="48"/>
      <c r="DMI100" s="48"/>
      <c r="DMJ100" s="48"/>
      <c r="DMK100" s="48"/>
      <c r="DML100" s="48"/>
      <c r="DMM100" s="48"/>
      <c r="DMN100" s="48"/>
      <c r="DMO100" s="48"/>
      <c r="DMP100" s="48"/>
      <c r="DMQ100" s="48"/>
      <c r="DMR100" s="48"/>
      <c r="DMS100" s="48"/>
      <c r="DMT100" s="48"/>
      <c r="DMU100" s="48"/>
      <c r="DMV100" s="48"/>
      <c r="DMW100" s="48"/>
      <c r="DMX100" s="48"/>
      <c r="DMY100" s="48"/>
      <c r="DMZ100" s="48"/>
      <c r="DNA100" s="48"/>
      <c r="DNB100" s="48"/>
      <c r="DNC100" s="48"/>
      <c r="DND100" s="48"/>
      <c r="DNE100" s="48"/>
      <c r="DNF100" s="48"/>
      <c r="DNG100" s="48"/>
      <c r="DNH100" s="48"/>
      <c r="DNI100" s="48"/>
      <c r="DNJ100" s="48"/>
      <c r="DNK100" s="48"/>
      <c r="DNL100" s="48"/>
      <c r="DNM100" s="48"/>
      <c r="DNN100" s="48"/>
      <c r="DNO100" s="48"/>
      <c r="DNP100" s="48"/>
      <c r="DNQ100" s="48"/>
      <c r="DNR100" s="48"/>
      <c r="DNS100" s="48"/>
      <c r="DNT100" s="48"/>
      <c r="DNU100" s="48"/>
      <c r="DNV100" s="48"/>
      <c r="DNW100" s="48"/>
      <c r="DNX100" s="48"/>
      <c r="DNY100" s="48"/>
      <c r="DNZ100" s="48"/>
      <c r="DOA100" s="48"/>
      <c r="DOB100" s="48"/>
      <c r="DOC100" s="48"/>
      <c r="DOD100" s="48"/>
      <c r="DOE100" s="48"/>
      <c r="DOF100" s="48"/>
      <c r="DOG100" s="48"/>
      <c r="DOH100" s="48"/>
      <c r="DOI100" s="48"/>
      <c r="DOJ100" s="48"/>
      <c r="DOK100" s="48"/>
      <c r="DOL100" s="48"/>
      <c r="DOM100" s="48"/>
      <c r="DON100" s="48"/>
      <c r="DOO100" s="48"/>
      <c r="DOP100" s="48"/>
      <c r="DOQ100" s="48"/>
      <c r="DOR100" s="48"/>
      <c r="DOS100" s="48"/>
      <c r="DOT100" s="48"/>
      <c r="DOU100" s="48"/>
      <c r="DOV100" s="48"/>
      <c r="DOW100" s="48"/>
      <c r="DOX100" s="48"/>
      <c r="DOY100" s="48"/>
      <c r="DOZ100" s="48"/>
      <c r="DPA100" s="48"/>
      <c r="DPB100" s="48"/>
      <c r="DPC100" s="48"/>
      <c r="DPD100" s="48"/>
      <c r="DPE100" s="48"/>
      <c r="DPF100" s="48"/>
      <c r="DPG100" s="48"/>
      <c r="DPH100" s="48"/>
      <c r="DPI100" s="48"/>
      <c r="DPJ100" s="48"/>
      <c r="DPK100" s="48"/>
      <c r="DPL100" s="48"/>
      <c r="DPM100" s="48"/>
      <c r="DPN100" s="48"/>
      <c r="DPO100" s="48"/>
      <c r="DPP100" s="48"/>
      <c r="DPQ100" s="48"/>
      <c r="DPR100" s="48"/>
      <c r="DPS100" s="48"/>
      <c r="DPT100" s="48"/>
      <c r="DPU100" s="48"/>
      <c r="DPV100" s="48"/>
      <c r="DPW100" s="48"/>
      <c r="DPX100" s="48"/>
      <c r="DPY100" s="48"/>
      <c r="DPZ100" s="48"/>
      <c r="DQA100" s="48"/>
      <c r="DQB100" s="48"/>
      <c r="DQC100" s="48"/>
      <c r="DQD100" s="48"/>
      <c r="DQE100" s="48"/>
      <c r="DQF100" s="48"/>
      <c r="DQG100" s="48"/>
      <c r="DQH100" s="48"/>
      <c r="DQI100" s="48"/>
      <c r="DQJ100" s="48"/>
      <c r="DQK100" s="48"/>
      <c r="DQL100" s="48"/>
      <c r="DQM100" s="48"/>
      <c r="DQN100" s="48"/>
      <c r="DQO100" s="48"/>
      <c r="DQP100" s="48"/>
      <c r="DQQ100" s="48"/>
      <c r="DQR100" s="48"/>
      <c r="DQS100" s="48"/>
      <c r="DQT100" s="48"/>
      <c r="DQU100" s="48"/>
      <c r="DQV100" s="48"/>
      <c r="DQW100" s="48"/>
      <c r="DQX100" s="48"/>
      <c r="DQY100" s="48"/>
      <c r="DQZ100" s="48"/>
      <c r="DRA100" s="48"/>
      <c r="DRB100" s="48"/>
      <c r="DRC100" s="48"/>
      <c r="DRD100" s="48"/>
      <c r="DRE100" s="48"/>
      <c r="DRF100" s="48"/>
      <c r="DRG100" s="48"/>
      <c r="DRH100" s="48"/>
      <c r="DRI100" s="48"/>
      <c r="DRJ100" s="48"/>
      <c r="DRK100" s="48"/>
      <c r="DRL100" s="48"/>
      <c r="DRM100" s="48"/>
      <c r="DRN100" s="48"/>
      <c r="DRO100" s="48"/>
      <c r="DRP100" s="48"/>
      <c r="DRQ100" s="48"/>
      <c r="DRR100" s="48"/>
      <c r="DRS100" s="48"/>
      <c r="DRT100" s="48"/>
      <c r="DRU100" s="48"/>
      <c r="DRV100" s="48"/>
      <c r="DRW100" s="48"/>
      <c r="DRX100" s="48"/>
      <c r="DRY100" s="48"/>
      <c r="DRZ100" s="48"/>
      <c r="DSA100" s="48"/>
      <c r="DSB100" s="48"/>
      <c r="DSC100" s="48"/>
      <c r="DSD100" s="48"/>
      <c r="DSE100" s="48"/>
      <c r="DSF100" s="48"/>
      <c r="DSG100" s="48"/>
      <c r="DSH100" s="48"/>
      <c r="DSI100" s="48"/>
      <c r="DSJ100" s="48"/>
      <c r="DSK100" s="48"/>
      <c r="DSL100" s="48"/>
      <c r="DSM100" s="48"/>
      <c r="DSN100" s="48"/>
      <c r="DSO100" s="48"/>
      <c r="DSP100" s="48"/>
      <c r="DSQ100" s="48"/>
      <c r="DSR100" s="48"/>
      <c r="DSS100" s="48"/>
      <c r="DST100" s="48"/>
      <c r="DSU100" s="48"/>
      <c r="DSV100" s="48"/>
      <c r="DSW100" s="48"/>
      <c r="DSX100" s="48"/>
      <c r="DSY100" s="48"/>
      <c r="DSZ100" s="48"/>
      <c r="DTA100" s="48"/>
      <c r="DTB100" s="48"/>
      <c r="DTC100" s="48"/>
      <c r="DTD100" s="48"/>
      <c r="DTE100" s="48"/>
      <c r="DTF100" s="48"/>
      <c r="DTG100" s="48"/>
      <c r="DTH100" s="48"/>
      <c r="DTI100" s="48"/>
      <c r="DTJ100" s="48"/>
      <c r="DTK100" s="48"/>
      <c r="DTL100" s="48"/>
      <c r="DTM100" s="48"/>
      <c r="DTN100" s="48"/>
      <c r="DTO100" s="48"/>
      <c r="DTP100" s="48"/>
      <c r="DTQ100" s="48"/>
      <c r="DTR100" s="48"/>
      <c r="DTS100" s="48"/>
      <c r="DTT100" s="48"/>
      <c r="DTU100" s="48"/>
      <c r="DTV100" s="48"/>
      <c r="DTW100" s="48"/>
      <c r="DTX100" s="48"/>
      <c r="DTY100" s="48"/>
      <c r="DTZ100" s="48"/>
      <c r="DUA100" s="48"/>
      <c r="DUB100" s="48"/>
      <c r="DUC100" s="48"/>
      <c r="DUD100" s="48"/>
      <c r="DUE100" s="48"/>
      <c r="DUF100" s="48"/>
      <c r="DUG100" s="48"/>
      <c r="DUH100" s="48"/>
      <c r="DUI100" s="48"/>
      <c r="DUJ100" s="48"/>
      <c r="DUK100" s="48"/>
      <c r="DUL100" s="48"/>
      <c r="DUM100" s="48"/>
      <c r="DUN100" s="48"/>
      <c r="DUO100" s="48"/>
      <c r="DUP100" s="48"/>
      <c r="DUQ100" s="48"/>
      <c r="DUR100" s="48"/>
      <c r="DUS100" s="48"/>
      <c r="DUT100" s="48"/>
      <c r="DUU100" s="48"/>
      <c r="DUV100" s="48"/>
      <c r="DUW100" s="48"/>
      <c r="DUX100" s="48"/>
      <c r="DUY100" s="48"/>
      <c r="DUZ100" s="48"/>
      <c r="DVA100" s="48"/>
      <c r="DVB100" s="48"/>
      <c r="DVC100" s="48"/>
      <c r="DVD100" s="48"/>
      <c r="DVE100" s="48"/>
      <c r="DVF100" s="48"/>
      <c r="DVG100" s="48"/>
      <c r="DVH100" s="48"/>
      <c r="DVI100" s="48"/>
      <c r="DVJ100" s="48"/>
      <c r="DVK100" s="48"/>
      <c r="DVL100" s="48"/>
      <c r="DVM100" s="48"/>
      <c r="DVN100" s="48"/>
      <c r="DVO100" s="48"/>
      <c r="DVP100" s="48"/>
      <c r="DVQ100" s="48"/>
      <c r="DVR100" s="48"/>
      <c r="DVS100" s="48"/>
      <c r="DVT100" s="48"/>
      <c r="DVU100" s="48"/>
      <c r="DVV100" s="48"/>
      <c r="DVW100" s="48"/>
      <c r="DVX100" s="48"/>
      <c r="DVY100" s="48"/>
      <c r="DVZ100" s="48"/>
      <c r="DWA100" s="48"/>
      <c r="DWB100" s="48"/>
      <c r="DWC100" s="48"/>
      <c r="DWD100" s="48"/>
      <c r="DWE100" s="48"/>
      <c r="DWF100" s="48"/>
      <c r="DWG100" s="48"/>
      <c r="DWH100" s="48"/>
      <c r="DWI100" s="48"/>
      <c r="DWJ100" s="48"/>
      <c r="DWK100" s="48"/>
      <c r="DWL100" s="48"/>
      <c r="DWM100" s="48"/>
      <c r="DWN100" s="48"/>
      <c r="DWO100" s="48"/>
      <c r="DWP100" s="48"/>
      <c r="DWQ100" s="48"/>
      <c r="DWR100" s="48"/>
      <c r="DWS100" s="48"/>
      <c r="DWT100" s="48"/>
      <c r="DWU100" s="48"/>
      <c r="DWV100" s="48"/>
      <c r="DWW100" s="48"/>
      <c r="DWX100" s="48"/>
      <c r="DWY100" s="48"/>
      <c r="DWZ100" s="48"/>
      <c r="DXA100" s="48"/>
      <c r="DXB100" s="48"/>
      <c r="DXC100" s="48"/>
      <c r="DXD100" s="48"/>
      <c r="DXE100" s="48"/>
      <c r="DXF100" s="48"/>
      <c r="DXG100" s="48"/>
      <c r="DXH100" s="48"/>
      <c r="DXI100" s="48"/>
      <c r="DXJ100" s="48"/>
      <c r="DXK100" s="48"/>
      <c r="DXL100" s="48"/>
      <c r="DXM100" s="48"/>
      <c r="DXN100" s="48"/>
      <c r="DXO100" s="48"/>
      <c r="DXP100" s="48"/>
      <c r="DXQ100" s="48"/>
      <c r="DXR100" s="48"/>
      <c r="DXS100" s="48"/>
      <c r="DXT100" s="48"/>
      <c r="DXU100" s="48"/>
      <c r="DXV100" s="48"/>
      <c r="DXW100" s="48"/>
      <c r="DXX100" s="48"/>
      <c r="DXY100" s="48"/>
      <c r="DXZ100" s="48"/>
      <c r="DYA100" s="48"/>
      <c r="DYB100" s="48"/>
      <c r="DYC100" s="48"/>
      <c r="DYD100" s="48"/>
      <c r="DYE100" s="48"/>
      <c r="DYF100" s="48"/>
      <c r="DYG100" s="48"/>
      <c r="DYH100" s="48"/>
      <c r="DYI100" s="48"/>
      <c r="DYJ100" s="48"/>
      <c r="DYK100" s="48"/>
      <c r="DYL100" s="48"/>
      <c r="DYM100" s="48"/>
      <c r="DYN100" s="48"/>
      <c r="DYO100" s="48"/>
      <c r="DYP100" s="48"/>
      <c r="DYQ100" s="48"/>
      <c r="DYR100" s="48"/>
      <c r="DYS100" s="48"/>
      <c r="DYT100" s="48"/>
      <c r="DYU100" s="48"/>
      <c r="DYV100" s="48"/>
      <c r="DYW100" s="48"/>
      <c r="DYX100" s="48"/>
      <c r="DYY100" s="48"/>
      <c r="DYZ100" s="48"/>
      <c r="DZA100" s="48"/>
      <c r="DZB100" s="48"/>
      <c r="DZC100" s="48"/>
      <c r="DZD100" s="48"/>
      <c r="DZE100" s="48"/>
      <c r="DZF100" s="48"/>
      <c r="DZG100" s="48"/>
      <c r="DZH100" s="48"/>
      <c r="DZI100" s="48"/>
      <c r="DZJ100" s="48"/>
      <c r="DZK100" s="48"/>
      <c r="DZL100" s="48"/>
      <c r="DZM100" s="48"/>
      <c r="DZN100" s="48"/>
      <c r="DZO100" s="48"/>
      <c r="DZP100" s="48"/>
      <c r="DZQ100" s="48"/>
      <c r="DZR100" s="48"/>
      <c r="DZS100" s="48"/>
      <c r="DZT100" s="48"/>
      <c r="DZU100" s="48"/>
      <c r="DZV100" s="48"/>
      <c r="DZW100" s="48"/>
      <c r="DZX100" s="48"/>
      <c r="DZY100" s="48"/>
      <c r="DZZ100" s="48"/>
      <c r="EAA100" s="48"/>
      <c r="EAB100" s="48"/>
      <c r="EAC100" s="48"/>
      <c r="EAD100" s="48"/>
      <c r="EAE100" s="48"/>
      <c r="EAF100" s="48"/>
      <c r="EAG100" s="48"/>
      <c r="EAH100" s="48"/>
      <c r="EAI100" s="48"/>
      <c r="EAJ100" s="48"/>
      <c r="EAK100" s="48"/>
      <c r="EAL100" s="48"/>
      <c r="EAM100" s="48"/>
      <c r="EAN100" s="48"/>
      <c r="EAO100" s="48"/>
      <c r="EAP100" s="48"/>
      <c r="EAQ100" s="48"/>
      <c r="EAR100" s="48"/>
      <c r="EAS100" s="48"/>
      <c r="EAT100" s="48"/>
      <c r="EAU100" s="48"/>
      <c r="EAV100" s="48"/>
      <c r="EAW100" s="48"/>
      <c r="EAX100" s="48"/>
      <c r="EAY100" s="48"/>
      <c r="EAZ100" s="48"/>
      <c r="EBA100" s="48"/>
      <c r="EBB100" s="48"/>
      <c r="EBC100" s="48"/>
      <c r="EBD100" s="48"/>
      <c r="EBE100" s="48"/>
      <c r="EBF100" s="48"/>
      <c r="EBG100" s="48"/>
      <c r="EBH100" s="48"/>
      <c r="EBI100" s="48"/>
      <c r="EBJ100" s="48"/>
      <c r="EBK100" s="48"/>
      <c r="EBL100" s="48"/>
      <c r="EBM100" s="48"/>
      <c r="EBN100" s="48"/>
      <c r="EBO100" s="48"/>
      <c r="EBP100" s="48"/>
      <c r="EBQ100" s="48"/>
      <c r="EBR100" s="48"/>
      <c r="EBS100" s="48"/>
      <c r="EBT100" s="48"/>
      <c r="EBU100" s="48"/>
      <c r="EBV100" s="48"/>
      <c r="EBW100" s="48"/>
      <c r="EBX100" s="48"/>
      <c r="EBY100" s="48"/>
      <c r="EBZ100" s="48"/>
      <c r="ECA100" s="48"/>
      <c r="ECB100" s="48"/>
      <c r="ECC100" s="48"/>
      <c r="ECD100" s="48"/>
      <c r="ECE100" s="48"/>
      <c r="ECF100" s="48"/>
      <c r="ECG100" s="48"/>
      <c r="ECH100" s="48"/>
      <c r="ECI100" s="48"/>
      <c r="ECJ100" s="48"/>
      <c r="ECK100" s="48"/>
      <c r="ECL100" s="48"/>
      <c r="ECM100" s="48"/>
      <c r="ECN100" s="48"/>
      <c r="ECO100" s="48"/>
      <c r="ECP100" s="48"/>
      <c r="ECQ100" s="48"/>
      <c r="ECR100" s="48"/>
      <c r="ECS100" s="48"/>
      <c r="ECT100" s="48"/>
      <c r="ECU100" s="48"/>
      <c r="ECV100" s="48"/>
      <c r="ECW100" s="48"/>
      <c r="ECX100" s="48"/>
      <c r="ECY100" s="48"/>
      <c r="ECZ100" s="48"/>
      <c r="EDA100" s="48"/>
      <c r="EDB100" s="48"/>
      <c r="EDC100" s="48"/>
      <c r="EDD100" s="48"/>
      <c r="EDE100" s="48"/>
      <c r="EDF100" s="48"/>
      <c r="EDG100" s="48"/>
      <c r="EDH100" s="48"/>
      <c r="EDI100" s="48"/>
      <c r="EDJ100" s="48"/>
      <c r="EDK100" s="48"/>
      <c r="EDL100" s="48"/>
      <c r="EDM100" s="48"/>
      <c r="EDN100" s="48"/>
      <c r="EDO100" s="48"/>
      <c r="EDP100" s="48"/>
      <c r="EDQ100" s="48"/>
      <c r="EDR100" s="48"/>
      <c r="EDS100" s="48"/>
      <c r="EDT100" s="48"/>
      <c r="EDU100" s="48"/>
      <c r="EDV100" s="48"/>
      <c r="EDW100" s="48"/>
      <c r="EDX100" s="48"/>
      <c r="EDY100" s="48"/>
      <c r="EDZ100" s="48"/>
      <c r="EEA100" s="48"/>
      <c r="EEB100" s="48"/>
      <c r="EEC100" s="48"/>
      <c r="EED100" s="48"/>
      <c r="EEE100" s="48"/>
      <c r="EEF100" s="48"/>
      <c r="EEG100" s="48"/>
      <c r="EEH100" s="48"/>
      <c r="EEI100" s="48"/>
      <c r="EEJ100" s="48"/>
      <c r="EEK100" s="48"/>
      <c r="EEL100" s="48"/>
      <c r="EEM100" s="48"/>
      <c r="EEN100" s="48"/>
      <c r="EEO100" s="48"/>
      <c r="EEP100" s="48"/>
      <c r="EEQ100" s="48"/>
      <c r="EER100" s="48"/>
      <c r="EES100" s="48"/>
      <c r="EET100" s="48"/>
      <c r="EEU100" s="48"/>
      <c r="EEV100" s="48"/>
      <c r="EEW100" s="48"/>
      <c r="EEX100" s="48"/>
      <c r="EEY100" s="48"/>
      <c r="EEZ100" s="48"/>
      <c r="EFA100" s="48"/>
      <c r="EFB100" s="48"/>
      <c r="EFC100" s="48"/>
      <c r="EFD100" s="48"/>
      <c r="EFE100" s="48"/>
      <c r="EFF100" s="48"/>
      <c r="EFG100" s="48"/>
      <c r="EFH100" s="48"/>
      <c r="EFI100" s="48"/>
      <c r="EFJ100" s="48"/>
      <c r="EFK100" s="48"/>
      <c r="EFL100" s="48"/>
      <c r="EFM100" s="48"/>
      <c r="EFN100" s="48"/>
      <c r="EFO100" s="48"/>
      <c r="EFP100" s="48"/>
      <c r="EFQ100" s="48"/>
      <c r="EFR100" s="48"/>
      <c r="EFS100" s="48"/>
      <c r="EFT100" s="48"/>
      <c r="EFU100" s="48"/>
      <c r="EFV100" s="48"/>
      <c r="EFW100" s="48"/>
      <c r="EFX100" s="48"/>
      <c r="EFY100" s="48"/>
      <c r="EFZ100" s="48"/>
      <c r="EGA100" s="48"/>
      <c r="EGB100" s="48"/>
      <c r="EGC100" s="48"/>
      <c r="EGD100" s="48"/>
      <c r="EGE100" s="48"/>
      <c r="EGF100" s="48"/>
      <c r="EGG100" s="48"/>
      <c r="EGH100" s="48"/>
      <c r="EGI100" s="48"/>
      <c r="EGJ100" s="48"/>
      <c r="EGK100" s="48"/>
      <c r="EGL100" s="48"/>
      <c r="EGM100" s="48"/>
      <c r="EGN100" s="48"/>
      <c r="EGO100" s="48"/>
      <c r="EGP100" s="48"/>
      <c r="EGQ100" s="48"/>
      <c r="EGR100" s="48"/>
      <c r="EGS100" s="48"/>
      <c r="EGT100" s="48"/>
      <c r="EGU100" s="48"/>
      <c r="EGV100" s="48"/>
      <c r="EGW100" s="48"/>
      <c r="EGX100" s="48"/>
      <c r="EGY100" s="48"/>
      <c r="EGZ100" s="48"/>
      <c r="EHA100" s="48"/>
      <c r="EHB100" s="48"/>
      <c r="EHC100" s="48"/>
      <c r="EHD100" s="48"/>
      <c r="EHE100" s="48"/>
      <c r="EHF100" s="48"/>
      <c r="EHG100" s="48"/>
      <c r="EHH100" s="48"/>
      <c r="EHI100" s="48"/>
      <c r="EHJ100" s="48"/>
      <c r="EHK100" s="48"/>
      <c r="EHL100" s="48"/>
      <c r="EHM100" s="48"/>
      <c r="EHN100" s="48"/>
      <c r="EHO100" s="48"/>
      <c r="EHP100" s="48"/>
      <c r="EHQ100" s="48"/>
      <c r="EHR100" s="48"/>
      <c r="EHS100" s="48"/>
      <c r="EHT100" s="48"/>
      <c r="EHU100" s="48"/>
      <c r="EHV100" s="48"/>
      <c r="EHW100" s="48"/>
      <c r="EHX100" s="48"/>
      <c r="EHY100" s="48"/>
      <c r="EHZ100" s="48"/>
      <c r="EIA100" s="48"/>
      <c r="EIB100" s="48"/>
      <c r="EIC100" s="48"/>
      <c r="EID100" s="48"/>
      <c r="EIE100" s="48"/>
      <c r="EIF100" s="48"/>
      <c r="EIG100" s="48"/>
      <c r="EIH100" s="48"/>
      <c r="EII100" s="48"/>
      <c r="EIJ100" s="48"/>
      <c r="EIK100" s="48"/>
      <c r="EIL100" s="48"/>
      <c r="EIM100" s="48"/>
      <c r="EIN100" s="48"/>
      <c r="EIO100" s="48"/>
      <c r="EIP100" s="48"/>
      <c r="EIQ100" s="48"/>
      <c r="EIR100" s="48"/>
      <c r="EIS100" s="48"/>
      <c r="EIT100" s="48"/>
      <c r="EIU100" s="48"/>
      <c r="EIV100" s="48"/>
      <c r="EIW100" s="48"/>
      <c r="EIX100" s="48"/>
      <c r="EIY100" s="48"/>
      <c r="EIZ100" s="48"/>
      <c r="EJA100" s="48"/>
      <c r="EJB100" s="48"/>
      <c r="EJC100" s="48"/>
      <c r="EJD100" s="48"/>
      <c r="EJE100" s="48"/>
      <c r="EJF100" s="48"/>
      <c r="EJG100" s="48"/>
      <c r="EJH100" s="48"/>
      <c r="EJI100" s="48"/>
      <c r="EJJ100" s="48"/>
      <c r="EJK100" s="48"/>
      <c r="EJL100" s="48"/>
      <c r="EJM100" s="48"/>
      <c r="EJN100" s="48"/>
      <c r="EJO100" s="48"/>
      <c r="EJP100" s="48"/>
      <c r="EJQ100" s="48"/>
      <c r="EJR100" s="48"/>
      <c r="EJS100" s="48"/>
      <c r="EJT100" s="48"/>
      <c r="EJU100" s="48"/>
      <c r="EJV100" s="48"/>
      <c r="EJW100" s="48"/>
      <c r="EJX100" s="48"/>
      <c r="EJY100" s="48"/>
      <c r="EJZ100" s="48"/>
      <c r="EKA100" s="48"/>
      <c r="EKB100" s="48"/>
      <c r="EKC100" s="48"/>
      <c r="EKD100" s="48"/>
      <c r="EKE100" s="48"/>
      <c r="EKF100" s="48"/>
      <c r="EKG100" s="48"/>
      <c r="EKH100" s="48"/>
      <c r="EKI100" s="48"/>
      <c r="EKJ100" s="48"/>
      <c r="EKK100" s="48"/>
      <c r="EKL100" s="48"/>
      <c r="EKM100" s="48"/>
      <c r="EKN100" s="48"/>
      <c r="EKO100" s="48"/>
      <c r="EKP100" s="48"/>
      <c r="EKQ100" s="48"/>
      <c r="EKR100" s="48"/>
      <c r="EKS100" s="48"/>
      <c r="EKT100" s="48"/>
      <c r="EKU100" s="48"/>
      <c r="EKV100" s="48"/>
      <c r="EKW100" s="48"/>
      <c r="EKX100" s="48"/>
      <c r="EKY100" s="48"/>
      <c r="EKZ100" s="48"/>
      <c r="ELA100" s="48"/>
      <c r="ELB100" s="48"/>
      <c r="ELC100" s="48"/>
      <c r="ELD100" s="48"/>
      <c r="ELE100" s="48"/>
      <c r="ELF100" s="48"/>
      <c r="ELG100" s="48"/>
      <c r="ELH100" s="48"/>
      <c r="ELI100" s="48"/>
      <c r="ELJ100" s="48"/>
      <c r="ELK100" s="48"/>
      <c r="ELL100" s="48"/>
      <c r="ELM100" s="48"/>
      <c r="ELN100" s="48"/>
      <c r="ELO100" s="48"/>
      <c r="ELP100" s="48"/>
      <c r="ELQ100" s="48"/>
      <c r="ELR100" s="48"/>
      <c r="ELS100" s="48"/>
      <c r="ELT100" s="48"/>
      <c r="ELU100" s="48"/>
      <c r="ELV100" s="48"/>
      <c r="ELW100" s="48"/>
      <c r="ELX100" s="48"/>
      <c r="ELY100" s="48"/>
      <c r="ELZ100" s="48"/>
      <c r="EMA100" s="48"/>
      <c r="EMB100" s="48"/>
      <c r="EMC100" s="48"/>
      <c r="EMD100" s="48"/>
      <c r="EME100" s="48"/>
      <c r="EMF100" s="48"/>
      <c r="EMG100" s="48"/>
      <c r="EMH100" s="48"/>
      <c r="EMI100" s="48"/>
      <c r="EMJ100" s="48"/>
      <c r="EMK100" s="48"/>
      <c r="EML100" s="48"/>
      <c r="EMM100" s="48"/>
      <c r="EMN100" s="48"/>
      <c r="EMO100" s="48"/>
      <c r="EMP100" s="48"/>
      <c r="EMQ100" s="48"/>
      <c r="EMR100" s="48"/>
      <c r="EMS100" s="48"/>
      <c r="EMT100" s="48"/>
      <c r="EMU100" s="48"/>
      <c r="EMV100" s="48"/>
      <c r="EMW100" s="48"/>
      <c r="EMX100" s="48"/>
      <c r="EMY100" s="48"/>
      <c r="EMZ100" s="48"/>
      <c r="ENA100" s="48"/>
      <c r="ENB100" s="48"/>
      <c r="ENC100" s="48"/>
      <c r="END100" s="48"/>
      <c r="ENE100" s="48"/>
      <c r="ENF100" s="48"/>
      <c r="ENG100" s="48"/>
      <c r="ENH100" s="48"/>
      <c r="ENI100" s="48"/>
      <c r="ENJ100" s="48"/>
      <c r="ENK100" s="48"/>
      <c r="ENL100" s="48"/>
      <c r="ENM100" s="48"/>
      <c r="ENN100" s="48"/>
      <c r="ENO100" s="48"/>
      <c r="ENP100" s="48"/>
      <c r="ENQ100" s="48"/>
      <c r="ENR100" s="48"/>
      <c r="ENS100" s="48"/>
      <c r="ENT100" s="48"/>
      <c r="ENU100" s="48"/>
      <c r="ENV100" s="48"/>
      <c r="ENW100" s="48"/>
      <c r="ENX100" s="48"/>
      <c r="ENY100" s="48"/>
      <c r="ENZ100" s="48"/>
      <c r="EOA100" s="48"/>
      <c r="EOB100" s="48"/>
      <c r="EOC100" s="48"/>
      <c r="EOD100" s="48"/>
      <c r="EOE100" s="48"/>
      <c r="EOF100" s="48"/>
      <c r="EOG100" s="48"/>
      <c r="EOH100" s="48"/>
      <c r="EOI100" s="48"/>
      <c r="EOJ100" s="48"/>
      <c r="EOK100" s="48"/>
      <c r="EOL100" s="48"/>
      <c r="EOM100" s="48"/>
      <c r="EON100" s="48"/>
      <c r="EOO100" s="48"/>
      <c r="EOP100" s="48"/>
      <c r="EOQ100" s="48"/>
      <c r="EOR100" s="48"/>
      <c r="EOS100" s="48"/>
      <c r="EOT100" s="48"/>
      <c r="EOU100" s="48"/>
      <c r="EOV100" s="48"/>
      <c r="EOW100" s="48"/>
      <c r="EOX100" s="48"/>
      <c r="EOY100" s="48"/>
      <c r="EOZ100" s="48"/>
      <c r="EPA100" s="48"/>
      <c r="EPB100" s="48"/>
      <c r="EPC100" s="48"/>
      <c r="EPD100" s="48"/>
      <c r="EPE100" s="48"/>
      <c r="EPF100" s="48"/>
      <c r="EPG100" s="48"/>
      <c r="EPH100" s="48"/>
      <c r="EPI100" s="48"/>
      <c r="EPJ100" s="48"/>
      <c r="EPK100" s="48"/>
      <c r="EPL100" s="48"/>
      <c r="EPM100" s="48"/>
      <c r="EPN100" s="48"/>
      <c r="EPO100" s="48"/>
      <c r="EPP100" s="48"/>
      <c r="EPQ100" s="48"/>
      <c r="EPR100" s="48"/>
      <c r="EPS100" s="48"/>
      <c r="EPT100" s="48"/>
      <c r="EPU100" s="48"/>
      <c r="EPV100" s="48"/>
      <c r="EPW100" s="48"/>
      <c r="EPX100" s="48"/>
      <c r="EPY100" s="48"/>
      <c r="EPZ100" s="48"/>
      <c r="EQA100" s="48"/>
      <c r="EQB100" s="48"/>
      <c r="EQC100" s="48"/>
      <c r="EQD100" s="48"/>
      <c r="EQE100" s="48"/>
      <c r="EQF100" s="48"/>
      <c r="EQG100" s="48"/>
      <c r="EQH100" s="48"/>
      <c r="EQI100" s="48"/>
      <c r="EQJ100" s="48"/>
      <c r="EQK100" s="48"/>
      <c r="EQL100" s="48"/>
      <c r="EQM100" s="48"/>
      <c r="EQN100" s="48"/>
      <c r="EQO100" s="48"/>
      <c r="EQP100" s="48"/>
      <c r="EQQ100" s="48"/>
      <c r="EQR100" s="48"/>
      <c r="EQS100" s="48"/>
      <c r="EQT100" s="48"/>
      <c r="EQU100" s="48"/>
      <c r="EQV100" s="48"/>
      <c r="EQW100" s="48"/>
      <c r="EQX100" s="48"/>
      <c r="EQY100" s="48"/>
      <c r="EQZ100" s="48"/>
      <c r="ERA100" s="48"/>
      <c r="ERB100" s="48"/>
      <c r="ERC100" s="48"/>
      <c r="ERD100" s="48"/>
      <c r="ERE100" s="48"/>
      <c r="ERF100" s="48"/>
      <c r="ERG100" s="48"/>
      <c r="ERH100" s="48"/>
      <c r="ERI100" s="48"/>
      <c r="ERJ100" s="48"/>
      <c r="ERK100" s="48"/>
      <c r="ERL100" s="48"/>
      <c r="ERM100" s="48"/>
      <c r="ERN100" s="48"/>
      <c r="ERO100" s="48"/>
      <c r="ERP100" s="48"/>
      <c r="ERQ100" s="48"/>
      <c r="ERR100" s="48"/>
      <c r="ERS100" s="48"/>
      <c r="ERT100" s="48"/>
      <c r="ERU100" s="48"/>
      <c r="ERV100" s="48"/>
      <c r="ERW100" s="48"/>
      <c r="ERX100" s="48"/>
      <c r="ERY100" s="48"/>
      <c r="ERZ100" s="48"/>
      <c r="ESA100" s="48"/>
      <c r="ESB100" s="48"/>
      <c r="ESC100" s="48"/>
      <c r="ESD100" s="48"/>
      <c r="ESE100" s="48"/>
      <c r="ESF100" s="48"/>
      <c r="ESG100" s="48"/>
      <c r="ESH100" s="48"/>
      <c r="ESI100" s="48"/>
      <c r="ESJ100" s="48"/>
      <c r="ESK100" s="48"/>
      <c r="ESL100" s="48"/>
      <c r="ESM100" s="48"/>
      <c r="ESN100" s="48"/>
      <c r="ESO100" s="48"/>
      <c r="ESP100" s="48"/>
      <c r="ESQ100" s="48"/>
      <c r="ESR100" s="48"/>
      <c r="ESS100" s="48"/>
      <c r="EST100" s="48"/>
      <c r="ESU100" s="48"/>
      <c r="ESV100" s="48"/>
      <c r="ESW100" s="48"/>
      <c r="ESX100" s="48"/>
      <c r="ESY100" s="48"/>
      <c r="ESZ100" s="48"/>
      <c r="ETA100" s="48"/>
      <c r="ETB100" s="48"/>
      <c r="ETC100" s="48"/>
      <c r="ETD100" s="48"/>
      <c r="ETE100" s="48"/>
      <c r="ETF100" s="48"/>
      <c r="ETG100" s="48"/>
      <c r="ETH100" s="48"/>
      <c r="ETI100" s="48"/>
      <c r="ETJ100" s="48"/>
      <c r="ETK100" s="48"/>
      <c r="ETL100" s="48"/>
      <c r="ETM100" s="48"/>
      <c r="ETN100" s="48"/>
      <c r="ETO100" s="48"/>
      <c r="ETP100" s="48"/>
      <c r="ETQ100" s="48"/>
      <c r="ETR100" s="48"/>
      <c r="ETS100" s="48"/>
      <c r="ETT100" s="48"/>
      <c r="ETU100" s="48"/>
      <c r="ETV100" s="48"/>
      <c r="ETW100" s="48"/>
      <c r="ETX100" s="48"/>
      <c r="ETY100" s="48"/>
      <c r="ETZ100" s="48"/>
      <c r="EUA100" s="48"/>
      <c r="EUB100" s="48"/>
      <c r="EUC100" s="48"/>
      <c r="EUD100" s="48"/>
      <c r="EUE100" s="48"/>
      <c r="EUF100" s="48"/>
      <c r="EUG100" s="48"/>
      <c r="EUH100" s="48"/>
      <c r="EUI100" s="48"/>
      <c r="EUJ100" s="48"/>
      <c r="EUK100" s="48"/>
      <c r="EUL100" s="48"/>
      <c r="EUM100" s="48"/>
      <c r="EUN100" s="48"/>
      <c r="EUO100" s="48"/>
      <c r="EUP100" s="48"/>
      <c r="EUQ100" s="48"/>
      <c r="EUR100" s="48"/>
      <c r="EUS100" s="48"/>
      <c r="EUT100" s="48"/>
      <c r="EUU100" s="48"/>
      <c r="EUV100" s="48"/>
      <c r="EUW100" s="48"/>
      <c r="EUX100" s="48"/>
      <c r="EUY100" s="48"/>
      <c r="EUZ100" s="48"/>
      <c r="EVA100" s="48"/>
      <c r="EVB100" s="48"/>
      <c r="EVC100" s="48"/>
      <c r="EVD100" s="48"/>
      <c r="EVE100" s="48"/>
      <c r="EVF100" s="48"/>
      <c r="EVG100" s="48"/>
      <c r="EVH100" s="48"/>
      <c r="EVI100" s="48"/>
      <c r="EVJ100" s="48"/>
      <c r="EVK100" s="48"/>
      <c r="EVL100" s="48"/>
      <c r="EVM100" s="48"/>
      <c r="EVN100" s="48"/>
      <c r="EVO100" s="48"/>
      <c r="EVP100" s="48"/>
      <c r="EVQ100" s="48"/>
      <c r="EVR100" s="48"/>
      <c r="EVS100" s="48"/>
      <c r="EVT100" s="48"/>
      <c r="EVU100" s="48"/>
      <c r="EVV100" s="48"/>
      <c r="EVW100" s="48"/>
      <c r="EVX100" s="48"/>
      <c r="EVY100" s="48"/>
      <c r="EVZ100" s="48"/>
      <c r="EWA100" s="48"/>
      <c r="EWB100" s="48"/>
      <c r="EWC100" s="48"/>
      <c r="EWD100" s="48"/>
      <c r="EWE100" s="48"/>
      <c r="EWF100" s="48"/>
      <c r="EWG100" s="48"/>
      <c r="EWH100" s="48"/>
      <c r="EWI100" s="48"/>
      <c r="EWJ100" s="48"/>
      <c r="EWK100" s="48"/>
      <c r="EWL100" s="48"/>
      <c r="EWM100" s="48"/>
      <c r="EWN100" s="48"/>
      <c r="EWO100" s="48"/>
      <c r="EWP100" s="48"/>
      <c r="EWQ100" s="48"/>
      <c r="EWR100" s="48"/>
      <c r="EWS100" s="48"/>
      <c r="EWT100" s="48"/>
      <c r="EWU100" s="48"/>
      <c r="EWV100" s="48"/>
      <c r="EWW100" s="48"/>
      <c r="EWX100" s="48"/>
      <c r="EWY100" s="48"/>
      <c r="EWZ100" s="48"/>
      <c r="EXA100" s="48"/>
      <c r="EXB100" s="48"/>
      <c r="EXC100" s="48"/>
      <c r="EXD100" s="48"/>
      <c r="EXE100" s="48"/>
      <c r="EXF100" s="48"/>
      <c r="EXG100" s="48"/>
      <c r="EXH100" s="48"/>
      <c r="EXI100" s="48"/>
      <c r="EXJ100" s="48"/>
      <c r="EXK100" s="48"/>
      <c r="EXL100" s="48"/>
      <c r="EXM100" s="48"/>
      <c r="EXN100" s="48"/>
      <c r="EXO100" s="48"/>
      <c r="EXP100" s="48"/>
      <c r="EXQ100" s="48"/>
      <c r="EXR100" s="48"/>
      <c r="EXS100" s="48"/>
      <c r="EXT100" s="48"/>
      <c r="EXU100" s="48"/>
      <c r="EXV100" s="48"/>
      <c r="EXW100" s="48"/>
      <c r="EXX100" s="48"/>
      <c r="EXY100" s="48"/>
      <c r="EXZ100" s="48"/>
      <c r="EYA100" s="48"/>
      <c r="EYB100" s="48"/>
      <c r="EYC100" s="48"/>
      <c r="EYD100" s="48"/>
      <c r="EYE100" s="48"/>
      <c r="EYF100" s="48"/>
      <c r="EYG100" s="48"/>
      <c r="EYH100" s="48"/>
      <c r="EYI100" s="48"/>
      <c r="EYJ100" s="48"/>
      <c r="EYK100" s="48"/>
      <c r="EYL100" s="48"/>
      <c r="EYM100" s="48"/>
      <c r="EYN100" s="48"/>
      <c r="EYO100" s="48"/>
      <c r="EYP100" s="48"/>
      <c r="EYQ100" s="48"/>
      <c r="EYR100" s="48"/>
      <c r="EYS100" s="48"/>
      <c r="EYT100" s="48"/>
      <c r="EYU100" s="48"/>
      <c r="EYV100" s="48"/>
      <c r="EYW100" s="48"/>
      <c r="EYX100" s="48"/>
      <c r="EYY100" s="48"/>
      <c r="EYZ100" s="48"/>
      <c r="EZA100" s="48"/>
      <c r="EZB100" s="48"/>
      <c r="EZC100" s="48"/>
      <c r="EZD100" s="48"/>
      <c r="EZE100" s="48"/>
      <c r="EZF100" s="48"/>
      <c r="EZG100" s="48"/>
      <c r="EZH100" s="48"/>
      <c r="EZI100" s="48"/>
      <c r="EZJ100" s="48"/>
      <c r="EZK100" s="48"/>
      <c r="EZL100" s="48"/>
      <c r="EZM100" s="48"/>
      <c r="EZN100" s="48"/>
      <c r="EZO100" s="48"/>
      <c r="EZP100" s="48"/>
      <c r="EZQ100" s="48"/>
      <c r="EZR100" s="48"/>
      <c r="EZS100" s="48"/>
      <c r="EZT100" s="48"/>
      <c r="EZU100" s="48"/>
      <c r="EZV100" s="48"/>
      <c r="EZW100" s="48"/>
      <c r="EZX100" s="48"/>
      <c r="EZY100" s="48"/>
      <c r="EZZ100" s="48"/>
      <c r="FAA100" s="48"/>
      <c r="FAB100" s="48"/>
      <c r="FAC100" s="48"/>
      <c r="FAD100" s="48"/>
      <c r="FAE100" s="48"/>
      <c r="FAF100" s="48"/>
      <c r="FAG100" s="48"/>
      <c r="FAH100" s="48"/>
      <c r="FAI100" s="48"/>
      <c r="FAJ100" s="48"/>
      <c r="FAK100" s="48"/>
      <c r="FAL100" s="48"/>
      <c r="FAM100" s="48"/>
      <c r="FAN100" s="48"/>
      <c r="FAO100" s="48"/>
      <c r="FAP100" s="48"/>
      <c r="FAQ100" s="48"/>
      <c r="FAR100" s="48"/>
      <c r="FAS100" s="48"/>
      <c r="FAT100" s="48"/>
      <c r="FAU100" s="48"/>
      <c r="FAV100" s="48"/>
      <c r="FAW100" s="48"/>
      <c r="FAX100" s="48"/>
      <c r="FAY100" s="48"/>
      <c r="FAZ100" s="48"/>
      <c r="FBA100" s="48"/>
      <c r="FBB100" s="48"/>
      <c r="FBC100" s="48"/>
      <c r="FBD100" s="48"/>
      <c r="FBE100" s="48"/>
      <c r="FBF100" s="48"/>
      <c r="FBG100" s="48"/>
      <c r="FBH100" s="48"/>
      <c r="FBI100" s="48"/>
      <c r="FBJ100" s="48"/>
      <c r="FBK100" s="48"/>
      <c r="FBL100" s="48"/>
      <c r="FBM100" s="48"/>
      <c r="FBN100" s="48"/>
      <c r="FBO100" s="48"/>
      <c r="FBP100" s="48"/>
      <c r="FBQ100" s="48"/>
      <c r="FBR100" s="48"/>
      <c r="FBS100" s="48"/>
      <c r="FBT100" s="48"/>
      <c r="FBU100" s="48"/>
      <c r="FBV100" s="48"/>
      <c r="FBW100" s="48"/>
      <c r="FBX100" s="48"/>
      <c r="FBY100" s="48"/>
      <c r="FBZ100" s="48"/>
      <c r="FCA100" s="48"/>
      <c r="FCB100" s="48"/>
      <c r="FCC100" s="48"/>
      <c r="FCD100" s="48"/>
      <c r="FCE100" s="48"/>
      <c r="FCF100" s="48"/>
      <c r="FCG100" s="48"/>
      <c r="FCH100" s="48"/>
      <c r="FCI100" s="48"/>
      <c r="FCJ100" s="48"/>
      <c r="FCK100" s="48"/>
      <c r="FCL100" s="48"/>
      <c r="FCM100" s="48"/>
      <c r="FCN100" s="48"/>
      <c r="FCO100" s="48"/>
      <c r="FCP100" s="48"/>
      <c r="FCQ100" s="48"/>
      <c r="FCR100" s="48"/>
      <c r="FCS100" s="48"/>
      <c r="FCT100" s="48"/>
      <c r="FCU100" s="48"/>
      <c r="FCV100" s="48"/>
      <c r="FCW100" s="48"/>
      <c r="FCX100" s="48"/>
      <c r="FCY100" s="48"/>
      <c r="FCZ100" s="48"/>
      <c r="FDA100" s="48"/>
      <c r="FDB100" s="48"/>
      <c r="FDC100" s="48"/>
      <c r="FDD100" s="48"/>
      <c r="FDE100" s="48"/>
      <c r="FDF100" s="48"/>
      <c r="FDG100" s="48"/>
      <c r="FDH100" s="48"/>
      <c r="FDI100" s="48"/>
      <c r="FDJ100" s="48"/>
      <c r="FDK100" s="48"/>
      <c r="FDL100" s="48"/>
      <c r="FDM100" s="48"/>
      <c r="FDN100" s="48"/>
      <c r="FDO100" s="48"/>
      <c r="FDP100" s="48"/>
      <c r="FDQ100" s="48"/>
      <c r="FDR100" s="48"/>
      <c r="FDS100" s="48"/>
      <c r="FDT100" s="48"/>
      <c r="FDU100" s="48"/>
      <c r="FDV100" s="48"/>
      <c r="FDW100" s="48"/>
      <c r="FDX100" s="48"/>
      <c r="FDY100" s="48"/>
      <c r="FDZ100" s="48"/>
      <c r="FEA100" s="48"/>
      <c r="FEB100" s="48"/>
      <c r="FEC100" s="48"/>
      <c r="FED100" s="48"/>
      <c r="FEE100" s="48"/>
      <c r="FEF100" s="48"/>
      <c r="FEG100" s="48"/>
      <c r="FEH100" s="48"/>
      <c r="FEI100" s="48"/>
      <c r="FEJ100" s="48"/>
      <c r="FEK100" s="48"/>
      <c r="FEL100" s="48"/>
      <c r="FEM100" s="48"/>
      <c r="FEN100" s="48"/>
      <c r="FEO100" s="48"/>
      <c r="FEP100" s="48"/>
      <c r="FEQ100" s="48"/>
      <c r="FER100" s="48"/>
      <c r="FES100" s="48"/>
      <c r="FET100" s="48"/>
      <c r="FEU100" s="48"/>
      <c r="FEV100" s="48"/>
      <c r="FEW100" s="48"/>
      <c r="FEX100" s="48"/>
      <c r="FEY100" s="48"/>
      <c r="FEZ100" s="48"/>
      <c r="FFA100" s="48"/>
      <c r="FFB100" s="48"/>
      <c r="FFC100" s="48"/>
      <c r="FFD100" s="48"/>
      <c r="FFE100" s="48"/>
      <c r="FFF100" s="48"/>
      <c r="FFG100" s="48"/>
      <c r="FFH100" s="48"/>
      <c r="FFI100" s="48"/>
      <c r="FFJ100" s="48"/>
      <c r="FFK100" s="48"/>
      <c r="FFL100" s="48"/>
      <c r="FFM100" s="48"/>
      <c r="FFN100" s="48"/>
      <c r="FFO100" s="48"/>
      <c r="FFP100" s="48"/>
      <c r="FFQ100" s="48"/>
      <c r="FFR100" s="48"/>
      <c r="FFS100" s="48"/>
      <c r="FFT100" s="48"/>
      <c r="FFU100" s="48"/>
      <c r="FFV100" s="48"/>
      <c r="FFW100" s="48"/>
      <c r="FFX100" s="48"/>
      <c r="FFY100" s="48"/>
      <c r="FFZ100" s="48"/>
      <c r="FGA100" s="48"/>
      <c r="FGB100" s="48"/>
      <c r="FGC100" s="48"/>
      <c r="FGD100" s="48"/>
      <c r="FGE100" s="48"/>
      <c r="FGF100" s="48"/>
      <c r="FGG100" s="48"/>
      <c r="FGH100" s="48"/>
      <c r="FGI100" s="48"/>
      <c r="FGJ100" s="48"/>
      <c r="FGK100" s="48"/>
      <c r="FGL100" s="48"/>
      <c r="FGM100" s="48"/>
      <c r="FGN100" s="48"/>
      <c r="FGO100" s="48"/>
      <c r="FGP100" s="48"/>
      <c r="FGQ100" s="48"/>
      <c r="FGR100" s="48"/>
      <c r="FGS100" s="48"/>
      <c r="FGT100" s="48"/>
      <c r="FGU100" s="48"/>
      <c r="FGV100" s="48"/>
      <c r="FGW100" s="48"/>
      <c r="FGX100" s="48"/>
      <c r="FGY100" s="48"/>
      <c r="FGZ100" s="48"/>
      <c r="FHA100" s="48"/>
      <c r="FHB100" s="48"/>
      <c r="FHC100" s="48"/>
      <c r="FHD100" s="48"/>
      <c r="FHE100" s="48"/>
      <c r="FHF100" s="48"/>
      <c r="FHG100" s="48"/>
      <c r="FHH100" s="48"/>
      <c r="FHI100" s="48"/>
      <c r="FHJ100" s="48"/>
      <c r="FHK100" s="48"/>
      <c r="FHL100" s="48"/>
      <c r="FHM100" s="48"/>
      <c r="FHN100" s="48"/>
      <c r="FHO100" s="48"/>
      <c r="FHP100" s="48"/>
      <c r="FHQ100" s="48"/>
      <c r="FHR100" s="48"/>
      <c r="FHS100" s="48"/>
      <c r="FHT100" s="48"/>
      <c r="FHU100" s="48"/>
      <c r="FHV100" s="48"/>
      <c r="FHW100" s="48"/>
      <c r="FHX100" s="48"/>
      <c r="FHY100" s="48"/>
      <c r="FHZ100" s="48"/>
      <c r="FIA100" s="48"/>
      <c r="FIB100" s="48"/>
      <c r="FIC100" s="48"/>
      <c r="FID100" s="48"/>
      <c r="FIE100" s="48"/>
      <c r="FIF100" s="48"/>
      <c r="FIG100" s="48"/>
      <c r="FIH100" s="48"/>
      <c r="FII100" s="48"/>
      <c r="FIJ100" s="48"/>
      <c r="FIK100" s="48"/>
      <c r="FIL100" s="48"/>
      <c r="FIM100" s="48"/>
      <c r="FIN100" s="48"/>
      <c r="FIO100" s="48"/>
      <c r="FIP100" s="48"/>
      <c r="FIQ100" s="48"/>
      <c r="FIR100" s="48"/>
      <c r="FIS100" s="48"/>
      <c r="FIT100" s="48"/>
      <c r="FIU100" s="48"/>
      <c r="FIV100" s="48"/>
      <c r="FIW100" s="48"/>
      <c r="FIX100" s="48"/>
      <c r="FIY100" s="48"/>
      <c r="FIZ100" s="48"/>
      <c r="FJA100" s="48"/>
      <c r="FJB100" s="48"/>
      <c r="FJC100" s="48"/>
      <c r="FJD100" s="48"/>
      <c r="FJE100" s="48"/>
      <c r="FJF100" s="48"/>
      <c r="FJG100" s="48"/>
      <c r="FJH100" s="48"/>
      <c r="FJI100" s="48"/>
      <c r="FJJ100" s="48"/>
      <c r="FJK100" s="48"/>
      <c r="FJL100" s="48"/>
      <c r="FJM100" s="48"/>
      <c r="FJN100" s="48"/>
      <c r="FJO100" s="48"/>
      <c r="FJP100" s="48"/>
      <c r="FJQ100" s="48"/>
      <c r="FJR100" s="48"/>
      <c r="FJS100" s="48"/>
      <c r="FJT100" s="48"/>
      <c r="FJU100" s="48"/>
      <c r="FJV100" s="48"/>
      <c r="FJW100" s="48"/>
      <c r="FJX100" s="48"/>
      <c r="FJY100" s="48"/>
      <c r="FJZ100" s="48"/>
      <c r="FKA100" s="48"/>
      <c r="FKB100" s="48"/>
      <c r="FKC100" s="48"/>
      <c r="FKD100" s="48"/>
      <c r="FKE100" s="48"/>
      <c r="FKF100" s="48"/>
      <c r="FKG100" s="48"/>
      <c r="FKH100" s="48"/>
      <c r="FKI100" s="48"/>
      <c r="FKJ100" s="48"/>
      <c r="FKK100" s="48"/>
      <c r="FKL100" s="48"/>
      <c r="FKM100" s="48"/>
      <c r="FKN100" s="48"/>
      <c r="FKO100" s="48"/>
      <c r="FKP100" s="48"/>
      <c r="FKQ100" s="48"/>
      <c r="FKR100" s="48"/>
      <c r="FKS100" s="48"/>
      <c r="FKT100" s="48"/>
      <c r="FKU100" s="48"/>
      <c r="FKV100" s="48"/>
      <c r="FKW100" s="48"/>
      <c r="FKX100" s="48"/>
      <c r="FKY100" s="48"/>
      <c r="FKZ100" s="48"/>
      <c r="FLA100" s="48"/>
      <c r="FLB100" s="48"/>
      <c r="FLC100" s="48"/>
      <c r="FLD100" s="48"/>
      <c r="FLE100" s="48"/>
      <c r="FLF100" s="48"/>
      <c r="FLG100" s="48"/>
      <c r="FLH100" s="48"/>
      <c r="FLI100" s="48"/>
      <c r="FLJ100" s="48"/>
      <c r="FLK100" s="48"/>
      <c r="FLL100" s="48"/>
      <c r="FLM100" s="48"/>
      <c r="FLN100" s="48"/>
      <c r="FLO100" s="48"/>
      <c r="FLP100" s="48"/>
      <c r="FLQ100" s="48"/>
      <c r="FLR100" s="48"/>
      <c r="FLS100" s="48"/>
      <c r="FLT100" s="48"/>
      <c r="FLU100" s="48"/>
      <c r="FLV100" s="48"/>
      <c r="FLW100" s="48"/>
      <c r="FLX100" s="48"/>
      <c r="FLY100" s="48"/>
      <c r="FLZ100" s="48"/>
      <c r="FMA100" s="48"/>
      <c r="FMB100" s="48"/>
      <c r="FMC100" s="48"/>
      <c r="FMD100" s="48"/>
      <c r="FME100" s="48"/>
      <c r="FMF100" s="48"/>
      <c r="FMG100" s="48"/>
      <c r="FMH100" s="48"/>
      <c r="FMI100" s="48"/>
      <c r="FMJ100" s="48"/>
      <c r="FMK100" s="48"/>
      <c r="FML100" s="48"/>
      <c r="FMM100" s="48"/>
      <c r="FMN100" s="48"/>
      <c r="FMO100" s="48"/>
      <c r="FMP100" s="48"/>
      <c r="FMQ100" s="48"/>
      <c r="FMR100" s="48"/>
      <c r="FMS100" s="48"/>
      <c r="FMT100" s="48"/>
      <c r="FMU100" s="48"/>
      <c r="FMV100" s="48"/>
      <c r="FMW100" s="48"/>
      <c r="FMX100" s="48"/>
      <c r="FMY100" s="48"/>
      <c r="FMZ100" s="48"/>
      <c r="FNA100" s="48"/>
      <c r="FNB100" s="48"/>
      <c r="FNC100" s="48"/>
      <c r="FND100" s="48"/>
      <c r="FNE100" s="48"/>
      <c r="FNF100" s="48"/>
      <c r="FNG100" s="48"/>
      <c r="FNH100" s="48"/>
      <c r="FNI100" s="48"/>
      <c r="FNJ100" s="48"/>
      <c r="FNK100" s="48"/>
      <c r="FNL100" s="48"/>
      <c r="FNM100" s="48"/>
      <c r="FNN100" s="48"/>
      <c r="FNO100" s="48"/>
      <c r="FNP100" s="48"/>
      <c r="FNQ100" s="48"/>
      <c r="FNR100" s="48"/>
      <c r="FNS100" s="48"/>
      <c r="FNT100" s="48"/>
      <c r="FNU100" s="48"/>
      <c r="FNV100" s="48"/>
      <c r="FNW100" s="48"/>
      <c r="FNX100" s="48"/>
      <c r="FNY100" s="48"/>
      <c r="FNZ100" s="48"/>
      <c r="FOA100" s="48"/>
      <c r="FOB100" s="48"/>
      <c r="FOC100" s="48"/>
      <c r="FOD100" s="48"/>
      <c r="FOE100" s="48"/>
      <c r="FOF100" s="48"/>
      <c r="FOG100" s="48"/>
      <c r="FOH100" s="48"/>
      <c r="FOI100" s="48"/>
      <c r="FOJ100" s="48"/>
      <c r="FOK100" s="48"/>
      <c r="FOL100" s="48"/>
      <c r="FOM100" s="48"/>
      <c r="FON100" s="48"/>
      <c r="FOO100" s="48"/>
      <c r="FOP100" s="48"/>
      <c r="FOQ100" s="48"/>
      <c r="FOR100" s="48"/>
      <c r="FOS100" s="48"/>
      <c r="FOT100" s="48"/>
      <c r="FOU100" s="48"/>
      <c r="FOV100" s="48"/>
      <c r="FOW100" s="48"/>
      <c r="FOX100" s="48"/>
      <c r="FOY100" s="48"/>
      <c r="FOZ100" s="48"/>
      <c r="FPA100" s="48"/>
      <c r="FPB100" s="48"/>
      <c r="FPC100" s="48"/>
      <c r="FPD100" s="48"/>
      <c r="FPE100" s="48"/>
      <c r="FPF100" s="48"/>
      <c r="FPG100" s="48"/>
      <c r="FPH100" s="48"/>
      <c r="FPI100" s="48"/>
      <c r="FPJ100" s="48"/>
      <c r="FPK100" s="48"/>
      <c r="FPL100" s="48"/>
      <c r="FPM100" s="48"/>
      <c r="FPN100" s="48"/>
      <c r="FPO100" s="48"/>
      <c r="FPP100" s="48"/>
      <c r="FPQ100" s="48"/>
      <c r="FPR100" s="48"/>
      <c r="FPS100" s="48"/>
      <c r="FPT100" s="48"/>
      <c r="FPU100" s="48"/>
      <c r="FPV100" s="48"/>
      <c r="FPW100" s="48"/>
      <c r="FPX100" s="48"/>
      <c r="FPY100" s="48"/>
      <c r="FPZ100" s="48"/>
      <c r="FQA100" s="48"/>
      <c r="FQB100" s="48"/>
      <c r="FQC100" s="48"/>
      <c r="FQD100" s="48"/>
      <c r="FQE100" s="48"/>
      <c r="FQF100" s="48"/>
      <c r="FQG100" s="48"/>
      <c r="FQH100" s="48"/>
      <c r="FQI100" s="48"/>
      <c r="FQJ100" s="48"/>
      <c r="FQK100" s="48"/>
      <c r="FQL100" s="48"/>
      <c r="FQM100" s="48"/>
      <c r="FQN100" s="48"/>
      <c r="FQO100" s="48"/>
      <c r="FQP100" s="48"/>
      <c r="FQQ100" s="48"/>
      <c r="FQR100" s="48"/>
      <c r="FQS100" s="48"/>
      <c r="FQT100" s="48"/>
      <c r="FQU100" s="48"/>
      <c r="FQV100" s="48"/>
      <c r="FQW100" s="48"/>
      <c r="FQX100" s="48"/>
      <c r="FQY100" s="48"/>
      <c r="FQZ100" s="48"/>
      <c r="FRA100" s="48"/>
      <c r="FRB100" s="48"/>
      <c r="FRC100" s="48"/>
      <c r="FRD100" s="48"/>
      <c r="FRE100" s="48"/>
      <c r="FRF100" s="48"/>
      <c r="FRG100" s="48"/>
      <c r="FRH100" s="48"/>
      <c r="FRI100" s="48"/>
      <c r="FRJ100" s="48"/>
      <c r="FRK100" s="48"/>
      <c r="FRL100" s="48"/>
      <c r="FRM100" s="48"/>
      <c r="FRN100" s="48"/>
      <c r="FRO100" s="48"/>
      <c r="FRP100" s="48"/>
      <c r="FRQ100" s="48"/>
      <c r="FRR100" s="48"/>
      <c r="FRS100" s="48"/>
      <c r="FRT100" s="48"/>
      <c r="FRU100" s="48"/>
      <c r="FRV100" s="48"/>
      <c r="FRW100" s="48"/>
      <c r="FRX100" s="48"/>
      <c r="FRY100" s="48"/>
      <c r="FRZ100" s="48"/>
      <c r="FSA100" s="48"/>
      <c r="FSB100" s="48"/>
      <c r="FSC100" s="48"/>
      <c r="FSD100" s="48"/>
      <c r="FSE100" s="48"/>
      <c r="FSF100" s="48"/>
      <c r="FSG100" s="48"/>
      <c r="FSH100" s="48"/>
      <c r="FSI100" s="48"/>
      <c r="FSJ100" s="48"/>
      <c r="FSK100" s="48"/>
      <c r="FSL100" s="48"/>
      <c r="FSM100" s="48"/>
      <c r="FSN100" s="48"/>
      <c r="FSO100" s="48"/>
      <c r="FSP100" s="48"/>
      <c r="FSQ100" s="48"/>
      <c r="FSR100" s="48"/>
      <c r="FSS100" s="48"/>
      <c r="FST100" s="48"/>
      <c r="FSU100" s="48"/>
      <c r="FSV100" s="48"/>
      <c r="FSW100" s="48"/>
      <c r="FSX100" s="48"/>
      <c r="FSY100" s="48"/>
      <c r="FSZ100" s="48"/>
      <c r="FTA100" s="48"/>
      <c r="FTB100" s="48"/>
      <c r="FTC100" s="48"/>
      <c r="FTD100" s="48"/>
      <c r="FTE100" s="48"/>
      <c r="FTF100" s="48"/>
      <c r="FTG100" s="48"/>
      <c r="FTH100" s="48"/>
      <c r="FTI100" s="48"/>
      <c r="FTJ100" s="48"/>
      <c r="FTK100" s="48"/>
      <c r="FTL100" s="48"/>
      <c r="FTM100" s="48"/>
      <c r="FTN100" s="48"/>
      <c r="FTO100" s="48"/>
      <c r="FTP100" s="48"/>
      <c r="FTQ100" s="48"/>
      <c r="FTR100" s="48"/>
      <c r="FTS100" s="48"/>
      <c r="FTT100" s="48"/>
      <c r="FTU100" s="48"/>
      <c r="FTV100" s="48"/>
      <c r="FTW100" s="48"/>
      <c r="FTX100" s="48"/>
      <c r="FTY100" s="48"/>
      <c r="FTZ100" s="48"/>
      <c r="FUA100" s="48"/>
      <c r="FUB100" s="48"/>
      <c r="FUC100" s="48"/>
      <c r="FUD100" s="48"/>
      <c r="FUE100" s="48"/>
      <c r="FUF100" s="48"/>
      <c r="FUG100" s="48"/>
      <c r="FUH100" s="48"/>
      <c r="FUI100" s="48"/>
      <c r="FUJ100" s="48"/>
      <c r="FUK100" s="48"/>
      <c r="FUL100" s="48"/>
      <c r="FUM100" s="48"/>
      <c r="FUN100" s="48"/>
      <c r="FUO100" s="48"/>
      <c r="FUP100" s="48"/>
      <c r="FUQ100" s="48"/>
      <c r="FUR100" s="48"/>
      <c r="FUS100" s="48"/>
      <c r="FUT100" s="48"/>
      <c r="FUU100" s="48"/>
      <c r="FUV100" s="48"/>
      <c r="FUW100" s="48"/>
      <c r="FUX100" s="48"/>
      <c r="FUY100" s="48"/>
      <c r="FUZ100" s="48"/>
      <c r="FVA100" s="48"/>
      <c r="FVB100" s="48"/>
      <c r="FVC100" s="48"/>
      <c r="FVD100" s="48"/>
      <c r="FVE100" s="48"/>
      <c r="FVF100" s="48"/>
      <c r="FVG100" s="48"/>
      <c r="FVH100" s="48"/>
      <c r="FVI100" s="48"/>
      <c r="FVJ100" s="48"/>
      <c r="FVK100" s="48"/>
      <c r="FVL100" s="48"/>
      <c r="FVM100" s="48"/>
      <c r="FVN100" s="48"/>
      <c r="FVO100" s="48"/>
      <c r="FVP100" s="48"/>
      <c r="FVQ100" s="48"/>
      <c r="FVR100" s="48"/>
      <c r="FVS100" s="48"/>
      <c r="FVT100" s="48"/>
      <c r="FVU100" s="48"/>
      <c r="FVV100" s="48"/>
      <c r="FVW100" s="48"/>
      <c r="FVX100" s="48"/>
      <c r="FVY100" s="48"/>
      <c r="FVZ100" s="48"/>
      <c r="FWA100" s="48"/>
      <c r="FWB100" s="48"/>
      <c r="FWC100" s="48"/>
      <c r="FWD100" s="48"/>
      <c r="FWE100" s="48"/>
      <c r="FWF100" s="48"/>
      <c r="FWG100" s="48"/>
      <c r="FWH100" s="48"/>
      <c r="FWI100" s="48"/>
      <c r="FWJ100" s="48"/>
      <c r="FWK100" s="48"/>
      <c r="FWL100" s="48"/>
      <c r="FWM100" s="48"/>
      <c r="FWN100" s="48"/>
      <c r="FWO100" s="48"/>
      <c r="FWP100" s="48"/>
      <c r="FWQ100" s="48"/>
      <c r="FWR100" s="48"/>
      <c r="FWS100" s="48"/>
      <c r="FWT100" s="48"/>
      <c r="FWU100" s="48"/>
      <c r="FWV100" s="48"/>
      <c r="FWW100" s="48"/>
      <c r="FWX100" s="48"/>
      <c r="FWY100" s="48"/>
      <c r="FWZ100" s="48"/>
      <c r="FXA100" s="48"/>
      <c r="FXB100" s="48"/>
      <c r="FXC100" s="48"/>
      <c r="FXD100" s="48"/>
      <c r="FXE100" s="48"/>
      <c r="FXF100" s="48"/>
      <c r="FXG100" s="48"/>
      <c r="FXH100" s="48"/>
      <c r="FXI100" s="48"/>
      <c r="FXJ100" s="48"/>
      <c r="FXK100" s="48"/>
      <c r="FXL100" s="48"/>
      <c r="FXM100" s="48"/>
      <c r="FXN100" s="48"/>
      <c r="FXO100" s="48"/>
      <c r="FXP100" s="48"/>
      <c r="FXQ100" s="48"/>
      <c r="FXR100" s="48"/>
      <c r="FXS100" s="48"/>
      <c r="FXT100" s="48"/>
      <c r="FXU100" s="48"/>
      <c r="FXV100" s="48"/>
      <c r="FXW100" s="48"/>
      <c r="FXX100" s="48"/>
      <c r="FXY100" s="48"/>
      <c r="FXZ100" s="48"/>
      <c r="FYA100" s="48"/>
      <c r="FYB100" s="48"/>
      <c r="FYC100" s="48"/>
      <c r="FYD100" s="48"/>
      <c r="FYE100" s="48"/>
      <c r="FYF100" s="48"/>
      <c r="FYG100" s="48"/>
      <c r="FYH100" s="48"/>
      <c r="FYI100" s="48"/>
      <c r="FYJ100" s="48"/>
      <c r="FYK100" s="48"/>
      <c r="FYL100" s="48"/>
      <c r="FYM100" s="48"/>
      <c r="FYN100" s="48"/>
      <c r="FYO100" s="48"/>
      <c r="FYP100" s="48"/>
      <c r="FYQ100" s="48"/>
      <c r="FYR100" s="48"/>
      <c r="FYS100" s="48"/>
      <c r="FYT100" s="48"/>
      <c r="FYU100" s="48"/>
      <c r="FYV100" s="48"/>
      <c r="FYW100" s="48"/>
      <c r="FYX100" s="48"/>
      <c r="FYY100" s="48"/>
      <c r="FYZ100" s="48"/>
      <c r="FZA100" s="48"/>
      <c r="FZB100" s="48"/>
      <c r="FZC100" s="48"/>
      <c r="FZD100" s="48"/>
      <c r="FZE100" s="48"/>
      <c r="FZF100" s="48"/>
      <c r="FZG100" s="48"/>
      <c r="FZH100" s="48"/>
      <c r="FZI100" s="48"/>
      <c r="FZJ100" s="48"/>
      <c r="FZK100" s="48"/>
      <c r="FZL100" s="48"/>
      <c r="FZM100" s="48"/>
      <c r="FZN100" s="48"/>
      <c r="FZO100" s="48"/>
      <c r="FZP100" s="48"/>
      <c r="FZQ100" s="48"/>
      <c r="FZR100" s="48"/>
      <c r="FZS100" s="48"/>
      <c r="FZT100" s="48"/>
      <c r="FZU100" s="48"/>
      <c r="FZV100" s="48"/>
      <c r="FZW100" s="48"/>
      <c r="FZX100" s="48"/>
      <c r="FZY100" s="48"/>
      <c r="FZZ100" s="48"/>
      <c r="GAA100" s="48"/>
      <c r="GAB100" s="48"/>
      <c r="GAC100" s="48"/>
      <c r="GAD100" s="48"/>
      <c r="GAE100" s="48"/>
      <c r="GAF100" s="48"/>
      <c r="GAG100" s="48"/>
      <c r="GAH100" s="48"/>
      <c r="GAI100" s="48"/>
      <c r="GAJ100" s="48"/>
      <c r="GAK100" s="48"/>
      <c r="GAL100" s="48"/>
      <c r="GAM100" s="48"/>
      <c r="GAN100" s="48"/>
      <c r="GAO100" s="48"/>
      <c r="GAP100" s="48"/>
      <c r="GAQ100" s="48"/>
      <c r="GAR100" s="48"/>
      <c r="GAS100" s="48"/>
      <c r="GAT100" s="48"/>
      <c r="GAU100" s="48"/>
      <c r="GAV100" s="48"/>
      <c r="GAW100" s="48"/>
      <c r="GAX100" s="48"/>
      <c r="GAY100" s="48"/>
      <c r="GAZ100" s="48"/>
      <c r="GBA100" s="48"/>
      <c r="GBB100" s="48"/>
      <c r="GBC100" s="48"/>
      <c r="GBD100" s="48"/>
      <c r="GBE100" s="48"/>
      <c r="GBF100" s="48"/>
      <c r="GBG100" s="48"/>
      <c r="GBH100" s="48"/>
      <c r="GBI100" s="48"/>
      <c r="GBJ100" s="48"/>
      <c r="GBK100" s="48"/>
      <c r="GBL100" s="48"/>
      <c r="GBM100" s="48"/>
      <c r="GBN100" s="48"/>
      <c r="GBO100" s="48"/>
      <c r="GBP100" s="48"/>
      <c r="GBQ100" s="48"/>
      <c r="GBR100" s="48"/>
      <c r="GBS100" s="48"/>
      <c r="GBT100" s="48"/>
      <c r="GBU100" s="48"/>
      <c r="GBV100" s="48"/>
      <c r="GBW100" s="48"/>
      <c r="GBX100" s="48"/>
      <c r="GBY100" s="48"/>
      <c r="GBZ100" s="48"/>
      <c r="GCA100" s="48"/>
      <c r="GCB100" s="48"/>
      <c r="GCC100" s="48"/>
      <c r="GCD100" s="48"/>
      <c r="GCE100" s="48"/>
      <c r="GCF100" s="48"/>
      <c r="GCG100" s="48"/>
      <c r="GCH100" s="48"/>
      <c r="GCI100" s="48"/>
      <c r="GCJ100" s="48"/>
      <c r="GCK100" s="48"/>
      <c r="GCL100" s="48"/>
      <c r="GCM100" s="48"/>
      <c r="GCN100" s="48"/>
      <c r="GCO100" s="48"/>
      <c r="GCP100" s="48"/>
      <c r="GCQ100" s="48"/>
      <c r="GCR100" s="48"/>
      <c r="GCS100" s="48"/>
      <c r="GCT100" s="48"/>
      <c r="GCU100" s="48"/>
      <c r="GCV100" s="48"/>
      <c r="GCW100" s="48"/>
      <c r="GCX100" s="48"/>
      <c r="GCY100" s="48"/>
      <c r="GCZ100" s="48"/>
      <c r="GDA100" s="48"/>
      <c r="GDB100" s="48"/>
      <c r="GDC100" s="48"/>
      <c r="GDD100" s="48"/>
      <c r="GDE100" s="48"/>
      <c r="GDF100" s="48"/>
      <c r="GDG100" s="48"/>
      <c r="GDH100" s="48"/>
      <c r="GDI100" s="48"/>
      <c r="GDJ100" s="48"/>
      <c r="GDK100" s="48"/>
      <c r="GDL100" s="48"/>
      <c r="GDM100" s="48"/>
      <c r="GDN100" s="48"/>
      <c r="GDO100" s="48"/>
      <c r="GDP100" s="48"/>
      <c r="GDQ100" s="48"/>
      <c r="GDR100" s="48"/>
      <c r="GDS100" s="48"/>
      <c r="GDT100" s="48"/>
      <c r="GDU100" s="48"/>
      <c r="GDV100" s="48"/>
      <c r="GDW100" s="48"/>
      <c r="GDX100" s="48"/>
      <c r="GDY100" s="48"/>
      <c r="GDZ100" s="48"/>
      <c r="GEA100" s="48"/>
      <c r="GEB100" s="48"/>
      <c r="GEC100" s="48"/>
      <c r="GED100" s="48"/>
      <c r="GEE100" s="48"/>
      <c r="GEF100" s="48"/>
      <c r="GEG100" s="48"/>
      <c r="GEH100" s="48"/>
      <c r="GEI100" s="48"/>
      <c r="GEJ100" s="48"/>
      <c r="GEK100" s="48"/>
      <c r="GEL100" s="48"/>
      <c r="GEM100" s="48"/>
      <c r="GEN100" s="48"/>
      <c r="GEO100" s="48"/>
      <c r="GEP100" s="48"/>
      <c r="GEQ100" s="48"/>
      <c r="GER100" s="48"/>
      <c r="GES100" s="48"/>
      <c r="GET100" s="48"/>
      <c r="GEU100" s="48"/>
      <c r="GEV100" s="48"/>
      <c r="GEW100" s="48"/>
      <c r="GEX100" s="48"/>
      <c r="GEY100" s="48"/>
      <c r="GEZ100" s="48"/>
      <c r="GFA100" s="48"/>
      <c r="GFB100" s="48"/>
      <c r="GFC100" s="48"/>
      <c r="GFD100" s="48"/>
      <c r="GFE100" s="48"/>
      <c r="GFF100" s="48"/>
      <c r="GFG100" s="48"/>
      <c r="GFH100" s="48"/>
      <c r="GFI100" s="48"/>
      <c r="GFJ100" s="48"/>
      <c r="GFK100" s="48"/>
      <c r="GFL100" s="48"/>
      <c r="GFM100" s="48"/>
      <c r="GFN100" s="48"/>
      <c r="GFO100" s="48"/>
      <c r="GFP100" s="48"/>
      <c r="GFQ100" s="48"/>
      <c r="GFR100" s="48"/>
      <c r="GFS100" s="48"/>
      <c r="GFT100" s="48"/>
      <c r="GFU100" s="48"/>
      <c r="GFV100" s="48"/>
      <c r="GFW100" s="48"/>
      <c r="GFX100" s="48"/>
      <c r="GFY100" s="48"/>
      <c r="GFZ100" s="48"/>
      <c r="GGA100" s="48"/>
      <c r="GGB100" s="48"/>
      <c r="GGC100" s="48"/>
      <c r="GGD100" s="48"/>
      <c r="GGE100" s="48"/>
      <c r="GGF100" s="48"/>
      <c r="GGG100" s="48"/>
      <c r="GGH100" s="48"/>
      <c r="GGI100" s="48"/>
      <c r="GGJ100" s="48"/>
      <c r="GGK100" s="48"/>
      <c r="GGL100" s="48"/>
      <c r="GGM100" s="48"/>
      <c r="GGN100" s="48"/>
      <c r="GGO100" s="48"/>
      <c r="GGP100" s="48"/>
      <c r="GGQ100" s="48"/>
      <c r="GGR100" s="48"/>
      <c r="GGS100" s="48"/>
      <c r="GGT100" s="48"/>
      <c r="GGU100" s="48"/>
      <c r="GGV100" s="48"/>
      <c r="GGW100" s="48"/>
      <c r="GGX100" s="48"/>
      <c r="GGY100" s="48"/>
      <c r="GGZ100" s="48"/>
      <c r="GHA100" s="48"/>
      <c r="GHB100" s="48"/>
      <c r="GHC100" s="48"/>
      <c r="GHD100" s="48"/>
      <c r="GHE100" s="48"/>
      <c r="GHF100" s="48"/>
      <c r="GHG100" s="48"/>
      <c r="GHH100" s="48"/>
      <c r="GHI100" s="48"/>
      <c r="GHJ100" s="48"/>
      <c r="GHK100" s="48"/>
      <c r="GHL100" s="48"/>
      <c r="GHM100" s="48"/>
      <c r="GHN100" s="48"/>
      <c r="GHO100" s="48"/>
      <c r="GHP100" s="48"/>
      <c r="GHQ100" s="48"/>
      <c r="GHR100" s="48"/>
      <c r="GHS100" s="48"/>
      <c r="GHT100" s="48"/>
      <c r="GHU100" s="48"/>
      <c r="GHV100" s="48"/>
      <c r="GHW100" s="48"/>
      <c r="GHX100" s="48"/>
      <c r="GHY100" s="48"/>
      <c r="GHZ100" s="48"/>
      <c r="GIA100" s="48"/>
      <c r="GIB100" s="48"/>
      <c r="GIC100" s="48"/>
      <c r="GID100" s="48"/>
      <c r="GIE100" s="48"/>
      <c r="GIF100" s="48"/>
      <c r="GIG100" s="48"/>
      <c r="GIH100" s="48"/>
      <c r="GII100" s="48"/>
      <c r="GIJ100" s="48"/>
      <c r="GIK100" s="48"/>
      <c r="GIL100" s="48"/>
      <c r="GIM100" s="48"/>
      <c r="GIN100" s="48"/>
      <c r="GIO100" s="48"/>
      <c r="GIP100" s="48"/>
      <c r="GIQ100" s="48"/>
      <c r="GIR100" s="48"/>
      <c r="GIS100" s="48"/>
      <c r="GIT100" s="48"/>
      <c r="GIU100" s="48"/>
      <c r="GIV100" s="48"/>
      <c r="GIW100" s="48"/>
      <c r="GIX100" s="48"/>
      <c r="GIY100" s="48"/>
      <c r="GIZ100" s="48"/>
      <c r="GJA100" s="48"/>
      <c r="GJB100" s="48"/>
      <c r="GJC100" s="48"/>
      <c r="GJD100" s="48"/>
      <c r="GJE100" s="48"/>
      <c r="GJF100" s="48"/>
      <c r="GJG100" s="48"/>
      <c r="GJH100" s="48"/>
      <c r="GJI100" s="48"/>
      <c r="GJJ100" s="48"/>
      <c r="GJK100" s="48"/>
      <c r="GJL100" s="48"/>
      <c r="GJM100" s="48"/>
      <c r="GJN100" s="48"/>
      <c r="GJO100" s="48"/>
      <c r="GJP100" s="48"/>
      <c r="GJQ100" s="48"/>
      <c r="GJR100" s="48"/>
      <c r="GJS100" s="48"/>
      <c r="GJT100" s="48"/>
      <c r="GJU100" s="48"/>
      <c r="GJV100" s="48"/>
      <c r="GJW100" s="48"/>
      <c r="GJX100" s="48"/>
      <c r="GJY100" s="48"/>
      <c r="GJZ100" s="48"/>
      <c r="GKA100" s="48"/>
      <c r="GKB100" s="48"/>
      <c r="GKC100" s="48"/>
      <c r="GKD100" s="48"/>
      <c r="GKE100" s="48"/>
      <c r="GKF100" s="48"/>
      <c r="GKG100" s="48"/>
      <c r="GKH100" s="48"/>
      <c r="GKI100" s="48"/>
      <c r="GKJ100" s="48"/>
      <c r="GKK100" s="48"/>
      <c r="GKL100" s="48"/>
      <c r="GKM100" s="48"/>
      <c r="GKN100" s="48"/>
      <c r="GKO100" s="48"/>
      <c r="GKP100" s="48"/>
      <c r="GKQ100" s="48"/>
      <c r="GKR100" s="48"/>
      <c r="GKS100" s="48"/>
      <c r="GKT100" s="48"/>
      <c r="GKU100" s="48"/>
      <c r="GKV100" s="48"/>
      <c r="GKW100" s="48"/>
      <c r="GKX100" s="48"/>
      <c r="GKY100" s="48"/>
      <c r="GKZ100" s="48"/>
      <c r="GLA100" s="48"/>
      <c r="GLB100" s="48"/>
      <c r="GLC100" s="48"/>
      <c r="GLD100" s="48"/>
      <c r="GLE100" s="48"/>
      <c r="GLF100" s="48"/>
      <c r="GLG100" s="48"/>
      <c r="GLH100" s="48"/>
      <c r="GLI100" s="48"/>
      <c r="GLJ100" s="48"/>
      <c r="GLK100" s="48"/>
      <c r="GLL100" s="48"/>
      <c r="GLM100" s="48"/>
      <c r="GLN100" s="48"/>
      <c r="GLO100" s="48"/>
      <c r="GLP100" s="48"/>
      <c r="GLQ100" s="48"/>
      <c r="GLR100" s="48"/>
      <c r="GLS100" s="48"/>
      <c r="GLT100" s="48"/>
      <c r="GLU100" s="48"/>
      <c r="GLV100" s="48"/>
      <c r="GLW100" s="48"/>
      <c r="GLX100" s="48"/>
      <c r="GLY100" s="48"/>
      <c r="GLZ100" s="48"/>
      <c r="GMA100" s="48"/>
      <c r="GMB100" s="48"/>
      <c r="GMC100" s="48"/>
      <c r="GMD100" s="48"/>
      <c r="GME100" s="48"/>
      <c r="GMF100" s="48"/>
      <c r="GMG100" s="48"/>
      <c r="GMH100" s="48"/>
      <c r="GMI100" s="48"/>
      <c r="GMJ100" s="48"/>
      <c r="GMK100" s="48"/>
      <c r="GML100" s="48"/>
      <c r="GMM100" s="48"/>
      <c r="GMN100" s="48"/>
      <c r="GMO100" s="48"/>
      <c r="GMP100" s="48"/>
      <c r="GMQ100" s="48"/>
      <c r="GMR100" s="48"/>
      <c r="GMS100" s="48"/>
      <c r="GMT100" s="48"/>
      <c r="GMU100" s="48"/>
      <c r="GMV100" s="48"/>
      <c r="GMW100" s="48"/>
      <c r="GMX100" s="48"/>
      <c r="GMY100" s="48"/>
      <c r="GMZ100" s="48"/>
      <c r="GNA100" s="48"/>
      <c r="GNB100" s="48"/>
      <c r="GNC100" s="48"/>
      <c r="GND100" s="48"/>
      <c r="GNE100" s="48"/>
      <c r="GNF100" s="48"/>
      <c r="GNG100" s="48"/>
      <c r="GNH100" s="48"/>
      <c r="GNI100" s="48"/>
      <c r="GNJ100" s="48"/>
      <c r="GNK100" s="48"/>
      <c r="GNL100" s="48"/>
      <c r="GNM100" s="48"/>
      <c r="GNN100" s="48"/>
      <c r="GNO100" s="48"/>
      <c r="GNP100" s="48"/>
      <c r="GNQ100" s="48"/>
      <c r="GNR100" s="48"/>
      <c r="GNS100" s="48"/>
      <c r="GNT100" s="48"/>
      <c r="GNU100" s="48"/>
      <c r="GNV100" s="48"/>
      <c r="GNW100" s="48"/>
      <c r="GNX100" s="48"/>
      <c r="GNY100" s="48"/>
      <c r="GNZ100" s="48"/>
      <c r="GOA100" s="48"/>
      <c r="GOB100" s="48"/>
      <c r="GOC100" s="48"/>
      <c r="GOD100" s="48"/>
      <c r="GOE100" s="48"/>
      <c r="GOF100" s="48"/>
      <c r="GOG100" s="48"/>
      <c r="GOH100" s="48"/>
      <c r="GOI100" s="48"/>
      <c r="GOJ100" s="48"/>
      <c r="GOK100" s="48"/>
      <c r="GOL100" s="48"/>
      <c r="GOM100" s="48"/>
      <c r="GON100" s="48"/>
      <c r="GOO100" s="48"/>
      <c r="GOP100" s="48"/>
      <c r="GOQ100" s="48"/>
      <c r="GOR100" s="48"/>
      <c r="GOS100" s="48"/>
      <c r="GOT100" s="48"/>
      <c r="GOU100" s="48"/>
      <c r="GOV100" s="48"/>
      <c r="GOW100" s="48"/>
      <c r="GOX100" s="48"/>
      <c r="GOY100" s="48"/>
      <c r="GOZ100" s="48"/>
      <c r="GPA100" s="48"/>
      <c r="GPB100" s="48"/>
      <c r="GPC100" s="48"/>
      <c r="GPD100" s="48"/>
      <c r="GPE100" s="48"/>
      <c r="GPF100" s="48"/>
      <c r="GPG100" s="48"/>
      <c r="GPH100" s="48"/>
      <c r="GPI100" s="48"/>
      <c r="GPJ100" s="48"/>
      <c r="GPK100" s="48"/>
      <c r="GPL100" s="48"/>
      <c r="GPM100" s="48"/>
      <c r="GPN100" s="48"/>
      <c r="GPO100" s="48"/>
      <c r="GPP100" s="48"/>
      <c r="GPQ100" s="48"/>
      <c r="GPR100" s="48"/>
      <c r="GPS100" s="48"/>
      <c r="GPT100" s="48"/>
      <c r="GPU100" s="48"/>
      <c r="GPV100" s="48"/>
      <c r="GPW100" s="48"/>
      <c r="GPX100" s="48"/>
      <c r="GPY100" s="48"/>
      <c r="GPZ100" s="48"/>
      <c r="GQA100" s="48"/>
      <c r="GQB100" s="48"/>
      <c r="GQC100" s="48"/>
      <c r="GQD100" s="48"/>
      <c r="GQE100" s="48"/>
      <c r="GQF100" s="48"/>
      <c r="GQG100" s="48"/>
      <c r="GQH100" s="48"/>
      <c r="GQI100" s="48"/>
      <c r="GQJ100" s="48"/>
      <c r="GQK100" s="48"/>
      <c r="GQL100" s="48"/>
      <c r="GQM100" s="48"/>
      <c r="GQN100" s="48"/>
      <c r="GQO100" s="48"/>
      <c r="GQP100" s="48"/>
      <c r="GQQ100" s="48"/>
      <c r="GQR100" s="48"/>
      <c r="GQS100" s="48"/>
      <c r="GQT100" s="48"/>
      <c r="GQU100" s="48"/>
      <c r="GQV100" s="48"/>
      <c r="GQW100" s="48"/>
      <c r="GQX100" s="48"/>
      <c r="GQY100" s="48"/>
      <c r="GQZ100" s="48"/>
      <c r="GRA100" s="48"/>
      <c r="GRB100" s="48"/>
      <c r="GRC100" s="48"/>
      <c r="GRD100" s="48"/>
      <c r="GRE100" s="48"/>
      <c r="GRF100" s="48"/>
      <c r="GRG100" s="48"/>
      <c r="GRH100" s="48"/>
      <c r="GRI100" s="48"/>
      <c r="GRJ100" s="48"/>
      <c r="GRK100" s="48"/>
      <c r="GRL100" s="48"/>
      <c r="GRM100" s="48"/>
      <c r="GRN100" s="48"/>
      <c r="GRO100" s="48"/>
      <c r="GRP100" s="48"/>
      <c r="GRQ100" s="48"/>
      <c r="GRR100" s="48"/>
      <c r="GRS100" s="48"/>
      <c r="GRT100" s="48"/>
      <c r="GRU100" s="48"/>
      <c r="GRV100" s="48"/>
      <c r="GRW100" s="48"/>
      <c r="GRX100" s="48"/>
      <c r="GRY100" s="48"/>
      <c r="GRZ100" s="48"/>
      <c r="GSA100" s="48"/>
      <c r="GSB100" s="48"/>
      <c r="GSC100" s="48"/>
      <c r="GSD100" s="48"/>
      <c r="GSE100" s="48"/>
      <c r="GSF100" s="48"/>
      <c r="GSG100" s="48"/>
      <c r="GSH100" s="48"/>
      <c r="GSI100" s="48"/>
      <c r="GSJ100" s="48"/>
      <c r="GSK100" s="48"/>
      <c r="GSL100" s="48"/>
      <c r="GSM100" s="48"/>
      <c r="GSN100" s="48"/>
      <c r="GSO100" s="48"/>
      <c r="GSP100" s="48"/>
      <c r="GSQ100" s="48"/>
      <c r="GSR100" s="48"/>
      <c r="GSS100" s="48"/>
      <c r="GST100" s="48"/>
      <c r="GSU100" s="48"/>
      <c r="GSV100" s="48"/>
      <c r="GSW100" s="48"/>
      <c r="GSX100" s="48"/>
      <c r="GSY100" s="48"/>
      <c r="GSZ100" s="48"/>
      <c r="GTA100" s="48"/>
      <c r="GTB100" s="48"/>
      <c r="GTC100" s="48"/>
      <c r="GTD100" s="48"/>
      <c r="GTE100" s="48"/>
      <c r="GTF100" s="48"/>
      <c r="GTG100" s="48"/>
      <c r="GTH100" s="48"/>
      <c r="GTI100" s="48"/>
      <c r="GTJ100" s="48"/>
      <c r="GTK100" s="48"/>
      <c r="GTL100" s="48"/>
      <c r="GTM100" s="48"/>
      <c r="GTN100" s="48"/>
      <c r="GTO100" s="48"/>
      <c r="GTP100" s="48"/>
      <c r="GTQ100" s="48"/>
      <c r="GTR100" s="48"/>
      <c r="GTS100" s="48"/>
      <c r="GTT100" s="48"/>
      <c r="GTU100" s="48"/>
      <c r="GTV100" s="48"/>
      <c r="GTW100" s="48"/>
      <c r="GTX100" s="48"/>
      <c r="GTY100" s="48"/>
      <c r="GTZ100" s="48"/>
      <c r="GUA100" s="48"/>
      <c r="GUB100" s="48"/>
      <c r="GUC100" s="48"/>
      <c r="GUD100" s="48"/>
      <c r="GUE100" s="48"/>
      <c r="GUF100" s="48"/>
      <c r="GUG100" s="48"/>
      <c r="GUH100" s="48"/>
      <c r="GUI100" s="48"/>
      <c r="GUJ100" s="48"/>
      <c r="GUK100" s="48"/>
      <c r="GUL100" s="48"/>
      <c r="GUM100" s="48"/>
      <c r="GUN100" s="48"/>
      <c r="GUO100" s="48"/>
      <c r="GUP100" s="48"/>
      <c r="GUQ100" s="48"/>
      <c r="GUR100" s="48"/>
      <c r="GUS100" s="48"/>
      <c r="GUT100" s="48"/>
      <c r="GUU100" s="48"/>
      <c r="GUV100" s="48"/>
      <c r="GUW100" s="48"/>
      <c r="GUX100" s="48"/>
      <c r="GUY100" s="48"/>
      <c r="GUZ100" s="48"/>
      <c r="GVA100" s="48"/>
      <c r="GVB100" s="48"/>
      <c r="GVC100" s="48"/>
      <c r="GVD100" s="48"/>
      <c r="GVE100" s="48"/>
      <c r="GVF100" s="48"/>
      <c r="GVG100" s="48"/>
      <c r="GVH100" s="48"/>
      <c r="GVI100" s="48"/>
      <c r="GVJ100" s="48"/>
      <c r="GVK100" s="48"/>
      <c r="GVL100" s="48"/>
      <c r="GVM100" s="48"/>
      <c r="GVN100" s="48"/>
      <c r="GVO100" s="48"/>
      <c r="GVP100" s="48"/>
      <c r="GVQ100" s="48"/>
      <c r="GVR100" s="48"/>
      <c r="GVS100" s="48"/>
      <c r="GVT100" s="48"/>
      <c r="GVU100" s="48"/>
      <c r="GVV100" s="48"/>
      <c r="GVW100" s="48"/>
      <c r="GVX100" s="48"/>
      <c r="GVY100" s="48"/>
      <c r="GVZ100" s="48"/>
      <c r="GWA100" s="48"/>
      <c r="GWB100" s="48"/>
      <c r="GWC100" s="48"/>
      <c r="GWD100" s="48"/>
      <c r="GWE100" s="48"/>
      <c r="GWF100" s="48"/>
      <c r="GWG100" s="48"/>
      <c r="GWH100" s="48"/>
      <c r="GWI100" s="48"/>
      <c r="GWJ100" s="48"/>
      <c r="GWK100" s="48"/>
      <c r="GWL100" s="48"/>
      <c r="GWM100" s="48"/>
      <c r="GWN100" s="48"/>
      <c r="GWO100" s="48"/>
      <c r="GWP100" s="48"/>
      <c r="GWQ100" s="48"/>
      <c r="GWR100" s="48"/>
      <c r="GWS100" s="48"/>
      <c r="GWT100" s="48"/>
      <c r="GWU100" s="48"/>
      <c r="GWV100" s="48"/>
      <c r="GWW100" s="48"/>
      <c r="GWX100" s="48"/>
      <c r="GWY100" s="48"/>
      <c r="GWZ100" s="48"/>
      <c r="GXA100" s="48"/>
      <c r="GXB100" s="48"/>
      <c r="GXC100" s="48"/>
      <c r="GXD100" s="48"/>
      <c r="GXE100" s="48"/>
      <c r="GXF100" s="48"/>
      <c r="GXG100" s="48"/>
      <c r="GXH100" s="48"/>
      <c r="GXI100" s="48"/>
      <c r="GXJ100" s="48"/>
      <c r="GXK100" s="48"/>
      <c r="GXL100" s="48"/>
      <c r="GXM100" s="48"/>
      <c r="GXN100" s="48"/>
      <c r="GXO100" s="48"/>
      <c r="GXP100" s="48"/>
      <c r="GXQ100" s="48"/>
      <c r="GXR100" s="48"/>
      <c r="GXS100" s="48"/>
      <c r="GXT100" s="48"/>
      <c r="GXU100" s="48"/>
      <c r="GXV100" s="48"/>
      <c r="GXW100" s="48"/>
      <c r="GXX100" s="48"/>
      <c r="GXY100" s="48"/>
      <c r="GXZ100" s="48"/>
      <c r="GYA100" s="48"/>
      <c r="GYB100" s="48"/>
      <c r="GYC100" s="48"/>
      <c r="GYD100" s="48"/>
      <c r="GYE100" s="48"/>
      <c r="GYF100" s="48"/>
      <c r="GYG100" s="48"/>
      <c r="GYH100" s="48"/>
      <c r="GYI100" s="48"/>
      <c r="GYJ100" s="48"/>
      <c r="GYK100" s="48"/>
      <c r="GYL100" s="48"/>
      <c r="GYM100" s="48"/>
      <c r="GYN100" s="48"/>
      <c r="GYO100" s="48"/>
      <c r="GYP100" s="48"/>
      <c r="GYQ100" s="48"/>
      <c r="GYR100" s="48"/>
      <c r="GYS100" s="48"/>
      <c r="GYT100" s="48"/>
      <c r="GYU100" s="48"/>
      <c r="GYV100" s="48"/>
      <c r="GYW100" s="48"/>
      <c r="GYX100" s="48"/>
      <c r="GYY100" s="48"/>
      <c r="GYZ100" s="48"/>
      <c r="GZA100" s="48"/>
      <c r="GZB100" s="48"/>
      <c r="GZC100" s="48"/>
      <c r="GZD100" s="48"/>
      <c r="GZE100" s="48"/>
      <c r="GZF100" s="48"/>
      <c r="GZG100" s="48"/>
      <c r="GZH100" s="48"/>
      <c r="GZI100" s="48"/>
      <c r="GZJ100" s="48"/>
      <c r="GZK100" s="48"/>
      <c r="GZL100" s="48"/>
      <c r="GZM100" s="48"/>
      <c r="GZN100" s="48"/>
      <c r="GZO100" s="48"/>
      <c r="GZP100" s="48"/>
      <c r="GZQ100" s="48"/>
      <c r="GZR100" s="48"/>
      <c r="GZS100" s="48"/>
      <c r="GZT100" s="48"/>
      <c r="GZU100" s="48"/>
      <c r="GZV100" s="48"/>
      <c r="GZW100" s="48"/>
      <c r="GZX100" s="48"/>
      <c r="GZY100" s="48"/>
      <c r="GZZ100" s="48"/>
      <c r="HAA100" s="48"/>
      <c r="HAB100" s="48"/>
      <c r="HAC100" s="48"/>
      <c r="HAD100" s="48"/>
      <c r="HAE100" s="48"/>
      <c r="HAF100" s="48"/>
      <c r="HAG100" s="48"/>
      <c r="HAH100" s="48"/>
      <c r="HAI100" s="48"/>
      <c r="HAJ100" s="48"/>
      <c r="HAK100" s="48"/>
      <c r="HAL100" s="48"/>
      <c r="HAM100" s="48"/>
      <c r="HAN100" s="48"/>
      <c r="HAO100" s="48"/>
      <c r="HAP100" s="48"/>
      <c r="HAQ100" s="48"/>
      <c r="HAR100" s="48"/>
      <c r="HAS100" s="48"/>
      <c r="HAT100" s="48"/>
      <c r="HAU100" s="48"/>
      <c r="HAV100" s="48"/>
      <c r="HAW100" s="48"/>
      <c r="HAX100" s="48"/>
      <c r="HAY100" s="48"/>
      <c r="HAZ100" s="48"/>
      <c r="HBA100" s="48"/>
      <c r="HBB100" s="48"/>
      <c r="HBC100" s="48"/>
      <c r="HBD100" s="48"/>
      <c r="HBE100" s="48"/>
      <c r="HBF100" s="48"/>
      <c r="HBG100" s="48"/>
      <c r="HBH100" s="48"/>
      <c r="HBI100" s="48"/>
      <c r="HBJ100" s="48"/>
      <c r="HBK100" s="48"/>
      <c r="HBL100" s="48"/>
      <c r="HBM100" s="48"/>
      <c r="HBN100" s="48"/>
      <c r="HBO100" s="48"/>
      <c r="HBP100" s="48"/>
      <c r="HBQ100" s="48"/>
      <c r="HBR100" s="48"/>
      <c r="HBS100" s="48"/>
      <c r="HBT100" s="48"/>
      <c r="HBU100" s="48"/>
      <c r="HBV100" s="48"/>
      <c r="HBW100" s="48"/>
      <c r="HBX100" s="48"/>
      <c r="HBY100" s="48"/>
      <c r="HBZ100" s="48"/>
      <c r="HCA100" s="48"/>
      <c r="HCB100" s="48"/>
      <c r="HCC100" s="48"/>
      <c r="HCD100" s="48"/>
      <c r="HCE100" s="48"/>
      <c r="HCF100" s="48"/>
      <c r="HCG100" s="48"/>
      <c r="HCH100" s="48"/>
      <c r="HCI100" s="48"/>
      <c r="HCJ100" s="48"/>
      <c r="HCK100" s="48"/>
      <c r="HCL100" s="48"/>
      <c r="HCM100" s="48"/>
      <c r="HCN100" s="48"/>
      <c r="HCO100" s="48"/>
      <c r="HCP100" s="48"/>
      <c r="HCQ100" s="48"/>
      <c r="HCR100" s="48"/>
      <c r="HCS100" s="48"/>
      <c r="HCT100" s="48"/>
      <c r="HCU100" s="48"/>
      <c r="HCV100" s="48"/>
      <c r="HCW100" s="48"/>
      <c r="HCX100" s="48"/>
      <c r="HCY100" s="48"/>
      <c r="HCZ100" s="48"/>
      <c r="HDA100" s="48"/>
      <c r="HDB100" s="48"/>
      <c r="HDC100" s="48"/>
      <c r="HDD100" s="48"/>
      <c r="HDE100" s="48"/>
      <c r="HDF100" s="48"/>
      <c r="HDG100" s="48"/>
      <c r="HDH100" s="48"/>
      <c r="HDI100" s="48"/>
      <c r="HDJ100" s="48"/>
      <c r="HDK100" s="48"/>
      <c r="HDL100" s="48"/>
      <c r="HDM100" s="48"/>
      <c r="HDN100" s="48"/>
      <c r="HDO100" s="48"/>
      <c r="HDP100" s="48"/>
      <c r="HDQ100" s="48"/>
      <c r="HDR100" s="48"/>
      <c r="HDS100" s="48"/>
      <c r="HDT100" s="48"/>
      <c r="HDU100" s="48"/>
      <c r="HDV100" s="48"/>
      <c r="HDW100" s="48"/>
      <c r="HDX100" s="48"/>
      <c r="HDY100" s="48"/>
      <c r="HDZ100" s="48"/>
      <c r="HEA100" s="48"/>
      <c r="HEB100" s="48"/>
      <c r="HEC100" s="48"/>
      <c r="HED100" s="48"/>
      <c r="HEE100" s="48"/>
      <c r="HEF100" s="48"/>
      <c r="HEG100" s="48"/>
      <c r="HEH100" s="48"/>
      <c r="HEI100" s="48"/>
      <c r="HEJ100" s="48"/>
      <c r="HEK100" s="48"/>
      <c r="HEL100" s="48"/>
      <c r="HEM100" s="48"/>
      <c r="HEN100" s="48"/>
      <c r="HEO100" s="48"/>
      <c r="HEP100" s="48"/>
      <c r="HEQ100" s="48"/>
      <c r="HER100" s="48"/>
      <c r="HES100" s="48"/>
      <c r="HET100" s="48"/>
      <c r="HEU100" s="48"/>
      <c r="HEV100" s="48"/>
      <c r="HEW100" s="48"/>
      <c r="HEX100" s="48"/>
      <c r="HEY100" s="48"/>
      <c r="HEZ100" s="48"/>
      <c r="HFA100" s="48"/>
      <c r="HFB100" s="48"/>
      <c r="HFC100" s="48"/>
      <c r="HFD100" s="48"/>
      <c r="HFE100" s="48"/>
      <c r="HFF100" s="48"/>
      <c r="HFG100" s="48"/>
      <c r="HFH100" s="48"/>
      <c r="HFI100" s="48"/>
      <c r="HFJ100" s="48"/>
      <c r="HFK100" s="48"/>
      <c r="HFL100" s="48"/>
      <c r="HFM100" s="48"/>
      <c r="HFN100" s="48"/>
      <c r="HFO100" s="48"/>
      <c r="HFP100" s="48"/>
      <c r="HFQ100" s="48"/>
      <c r="HFR100" s="48"/>
      <c r="HFS100" s="48"/>
      <c r="HFT100" s="48"/>
      <c r="HFU100" s="48"/>
      <c r="HFV100" s="48"/>
      <c r="HFW100" s="48"/>
      <c r="HFX100" s="48"/>
      <c r="HFY100" s="48"/>
      <c r="HFZ100" s="48"/>
      <c r="HGA100" s="48"/>
      <c r="HGB100" s="48"/>
      <c r="HGC100" s="48"/>
      <c r="HGD100" s="48"/>
      <c r="HGE100" s="48"/>
      <c r="HGF100" s="48"/>
      <c r="HGG100" s="48"/>
      <c r="HGH100" s="48"/>
      <c r="HGI100" s="48"/>
      <c r="HGJ100" s="48"/>
      <c r="HGK100" s="48"/>
      <c r="HGL100" s="48"/>
      <c r="HGM100" s="48"/>
      <c r="HGN100" s="48"/>
      <c r="HGO100" s="48"/>
      <c r="HGP100" s="48"/>
      <c r="HGQ100" s="48"/>
      <c r="HGR100" s="48"/>
      <c r="HGS100" s="48"/>
      <c r="HGT100" s="48"/>
      <c r="HGU100" s="48"/>
      <c r="HGV100" s="48"/>
      <c r="HGW100" s="48"/>
      <c r="HGX100" s="48"/>
      <c r="HGY100" s="48"/>
      <c r="HGZ100" s="48"/>
      <c r="HHA100" s="48"/>
      <c r="HHB100" s="48"/>
      <c r="HHC100" s="48"/>
      <c r="HHD100" s="48"/>
      <c r="HHE100" s="48"/>
      <c r="HHF100" s="48"/>
      <c r="HHG100" s="48"/>
      <c r="HHH100" s="48"/>
      <c r="HHI100" s="48"/>
      <c r="HHJ100" s="48"/>
      <c r="HHK100" s="48"/>
      <c r="HHL100" s="48"/>
      <c r="HHM100" s="48"/>
      <c r="HHN100" s="48"/>
      <c r="HHO100" s="48"/>
      <c r="HHP100" s="48"/>
      <c r="HHQ100" s="48"/>
      <c r="HHR100" s="48"/>
      <c r="HHS100" s="48"/>
      <c r="HHT100" s="48"/>
      <c r="HHU100" s="48"/>
      <c r="HHV100" s="48"/>
      <c r="HHW100" s="48"/>
      <c r="HHX100" s="48"/>
      <c r="HHY100" s="48"/>
      <c r="HHZ100" s="48"/>
      <c r="HIA100" s="48"/>
      <c r="HIB100" s="48"/>
      <c r="HIC100" s="48"/>
      <c r="HID100" s="48"/>
      <c r="HIE100" s="48"/>
      <c r="HIF100" s="48"/>
      <c r="HIG100" s="48"/>
      <c r="HIH100" s="48"/>
      <c r="HII100" s="48"/>
      <c r="HIJ100" s="48"/>
      <c r="HIK100" s="48"/>
      <c r="HIL100" s="48"/>
      <c r="HIM100" s="48"/>
      <c r="HIN100" s="48"/>
      <c r="HIO100" s="48"/>
      <c r="HIP100" s="48"/>
      <c r="HIQ100" s="48"/>
      <c r="HIR100" s="48"/>
      <c r="HIS100" s="48"/>
      <c r="HIT100" s="48"/>
      <c r="HIU100" s="48"/>
      <c r="HIV100" s="48"/>
      <c r="HIW100" s="48"/>
      <c r="HIX100" s="48"/>
      <c r="HIY100" s="48"/>
      <c r="HIZ100" s="48"/>
      <c r="HJA100" s="48"/>
      <c r="HJB100" s="48"/>
      <c r="HJC100" s="48"/>
      <c r="HJD100" s="48"/>
      <c r="HJE100" s="48"/>
      <c r="HJF100" s="48"/>
      <c r="HJG100" s="48"/>
      <c r="HJH100" s="48"/>
      <c r="HJI100" s="48"/>
      <c r="HJJ100" s="48"/>
      <c r="HJK100" s="48"/>
      <c r="HJL100" s="48"/>
      <c r="HJM100" s="48"/>
      <c r="HJN100" s="48"/>
      <c r="HJO100" s="48"/>
      <c r="HJP100" s="48"/>
      <c r="HJQ100" s="48"/>
      <c r="HJR100" s="48"/>
      <c r="HJS100" s="48"/>
      <c r="HJT100" s="48"/>
      <c r="HJU100" s="48"/>
      <c r="HJV100" s="48"/>
      <c r="HJW100" s="48"/>
      <c r="HJX100" s="48"/>
      <c r="HJY100" s="48"/>
      <c r="HJZ100" s="48"/>
      <c r="HKA100" s="48"/>
      <c r="HKB100" s="48"/>
      <c r="HKC100" s="48"/>
      <c r="HKD100" s="48"/>
      <c r="HKE100" s="48"/>
      <c r="HKF100" s="48"/>
      <c r="HKG100" s="48"/>
      <c r="HKH100" s="48"/>
      <c r="HKI100" s="48"/>
      <c r="HKJ100" s="48"/>
      <c r="HKK100" s="48"/>
      <c r="HKL100" s="48"/>
      <c r="HKM100" s="48"/>
      <c r="HKN100" s="48"/>
      <c r="HKO100" s="48"/>
      <c r="HKP100" s="48"/>
      <c r="HKQ100" s="48"/>
      <c r="HKR100" s="48"/>
      <c r="HKS100" s="48"/>
      <c r="HKT100" s="48"/>
      <c r="HKU100" s="48"/>
      <c r="HKV100" s="48"/>
      <c r="HKW100" s="48"/>
      <c r="HKX100" s="48"/>
      <c r="HKY100" s="48"/>
      <c r="HKZ100" s="48"/>
      <c r="HLA100" s="48"/>
      <c r="HLB100" s="48"/>
      <c r="HLC100" s="48"/>
      <c r="HLD100" s="48"/>
      <c r="HLE100" s="48"/>
      <c r="HLF100" s="48"/>
      <c r="HLG100" s="48"/>
      <c r="HLH100" s="48"/>
      <c r="HLI100" s="48"/>
      <c r="HLJ100" s="48"/>
      <c r="HLK100" s="48"/>
      <c r="HLL100" s="48"/>
      <c r="HLM100" s="48"/>
      <c r="HLN100" s="48"/>
      <c r="HLO100" s="48"/>
      <c r="HLP100" s="48"/>
      <c r="HLQ100" s="48"/>
      <c r="HLR100" s="48"/>
      <c r="HLS100" s="48"/>
      <c r="HLT100" s="48"/>
      <c r="HLU100" s="48"/>
      <c r="HLV100" s="48"/>
      <c r="HLW100" s="48"/>
      <c r="HLX100" s="48"/>
      <c r="HLY100" s="48"/>
      <c r="HLZ100" s="48"/>
      <c r="HMA100" s="48"/>
      <c r="HMB100" s="48"/>
      <c r="HMC100" s="48"/>
      <c r="HMD100" s="48"/>
      <c r="HME100" s="48"/>
      <c r="HMF100" s="48"/>
      <c r="HMG100" s="48"/>
      <c r="HMH100" s="48"/>
      <c r="HMI100" s="48"/>
      <c r="HMJ100" s="48"/>
      <c r="HMK100" s="48"/>
      <c r="HML100" s="48"/>
      <c r="HMM100" s="48"/>
      <c r="HMN100" s="48"/>
      <c r="HMO100" s="48"/>
      <c r="HMP100" s="48"/>
      <c r="HMQ100" s="48"/>
      <c r="HMR100" s="48"/>
      <c r="HMS100" s="48"/>
      <c r="HMT100" s="48"/>
      <c r="HMU100" s="48"/>
      <c r="HMV100" s="48"/>
      <c r="HMW100" s="48"/>
      <c r="HMX100" s="48"/>
      <c r="HMY100" s="48"/>
      <c r="HMZ100" s="48"/>
      <c r="HNA100" s="48"/>
      <c r="HNB100" s="48"/>
      <c r="HNC100" s="48"/>
      <c r="HND100" s="48"/>
      <c r="HNE100" s="48"/>
      <c r="HNF100" s="48"/>
      <c r="HNG100" s="48"/>
      <c r="HNH100" s="48"/>
      <c r="HNI100" s="48"/>
      <c r="HNJ100" s="48"/>
      <c r="HNK100" s="48"/>
      <c r="HNL100" s="48"/>
      <c r="HNM100" s="48"/>
      <c r="HNN100" s="48"/>
      <c r="HNO100" s="48"/>
      <c r="HNP100" s="48"/>
      <c r="HNQ100" s="48"/>
      <c r="HNR100" s="48"/>
      <c r="HNS100" s="48"/>
      <c r="HNT100" s="48"/>
      <c r="HNU100" s="48"/>
      <c r="HNV100" s="48"/>
      <c r="HNW100" s="48"/>
      <c r="HNX100" s="48"/>
      <c r="HNY100" s="48"/>
      <c r="HNZ100" s="48"/>
      <c r="HOA100" s="48"/>
      <c r="HOB100" s="48"/>
      <c r="HOC100" s="48"/>
      <c r="HOD100" s="48"/>
      <c r="HOE100" s="48"/>
      <c r="HOF100" s="48"/>
      <c r="HOG100" s="48"/>
      <c r="HOH100" s="48"/>
      <c r="HOI100" s="48"/>
      <c r="HOJ100" s="48"/>
      <c r="HOK100" s="48"/>
      <c r="HOL100" s="48"/>
      <c r="HOM100" s="48"/>
      <c r="HON100" s="48"/>
      <c r="HOO100" s="48"/>
      <c r="HOP100" s="48"/>
      <c r="HOQ100" s="48"/>
      <c r="HOR100" s="48"/>
      <c r="HOS100" s="48"/>
      <c r="HOT100" s="48"/>
      <c r="HOU100" s="48"/>
      <c r="HOV100" s="48"/>
      <c r="HOW100" s="48"/>
      <c r="HOX100" s="48"/>
      <c r="HOY100" s="48"/>
      <c r="HOZ100" s="48"/>
      <c r="HPA100" s="48"/>
      <c r="HPB100" s="48"/>
      <c r="HPC100" s="48"/>
      <c r="HPD100" s="48"/>
      <c r="HPE100" s="48"/>
      <c r="HPF100" s="48"/>
      <c r="HPG100" s="48"/>
      <c r="HPH100" s="48"/>
      <c r="HPI100" s="48"/>
      <c r="HPJ100" s="48"/>
      <c r="HPK100" s="48"/>
      <c r="HPL100" s="48"/>
      <c r="HPM100" s="48"/>
      <c r="HPN100" s="48"/>
      <c r="HPO100" s="48"/>
      <c r="HPP100" s="48"/>
      <c r="HPQ100" s="48"/>
      <c r="HPR100" s="48"/>
      <c r="HPS100" s="48"/>
      <c r="HPT100" s="48"/>
      <c r="HPU100" s="48"/>
      <c r="HPV100" s="48"/>
      <c r="HPW100" s="48"/>
      <c r="HPX100" s="48"/>
      <c r="HPY100" s="48"/>
      <c r="HPZ100" s="48"/>
      <c r="HQA100" s="48"/>
      <c r="HQB100" s="48"/>
      <c r="HQC100" s="48"/>
      <c r="HQD100" s="48"/>
      <c r="HQE100" s="48"/>
      <c r="HQF100" s="48"/>
      <c r="HQG100" s="48"/>
      <c r="HQH100" s="48"/>
      <c r="HQI100" s="48"/>
      <c r="HQJ100" s="48"/>
      <c r="HQK100" s="48"/>
      <c r="HQL100" s="48"/>
      <c r="HQM100" s="48"/>
      <c r="HQN100" s="48"/>
      <c r="HQO100" s="48"/>
      <c r="HQP100" s="48"/>
      <c r="HQQ100" s="48"/>
      <c r="HQR100" s="48"/>
      <c r="HQS100" s="48"/>
      <c r="HQT100" s="48"/>
      <c r="HQU100" s="48"/>
      <c r="HQV100" s="48"/>
      <c r="HQW100" s="48"/>
      <c r="HQX100" s="48"/>
      <c r="HQY100" s="48"/>
      <c r="HQZ100" s="48"/>
      <c r="HRA100" s="48"/>
      <c r="HRB100" s="48"/>
      <c r="HRC100" s="48"/>
      <c r="HRD100" s="48"/>
      <c r="HRE100" s="48"/>
      <c r="HRF100" s="48"/>
      <c r="HRG100" s="48"/>
      <c r="HRH100" s="48"/>
      <c r="HRI100" s="48"/>
      <c r="HRJ100" s="48"/>
      <c r="HRK100" s="48"/>
      <c r="HRL100" s="48"/>
      <c r="HRM100" s="48"/>
      <c r="HRN100" s="48"/>
      <c r="HRO100" s="48"/>
      <c r="HRP100" s="48"/>
      <c r="HRQ100" s="48"/>
      <c r="HRR100" s="48"/>
      <c r="HRS100" s="48"/>
      <c r="HRT100" s="48"/>
      <c r="HRU100" s="48"/>
      <c r="HRV100" s="48"/>
      <c r="HRW100" s="48"/>
      <c r="HRX100" s="48"/>
      <c r="HRY100" s="48"/>
      <c r="HRZ100" s="48"/>
      <c r="HSA100" s="48"/>
      <c r="HSB100" s="48"/>
      <c r="HSC100" s="48"/>
      <c r="HSD100" s="48"/>
      <c r="HSE100" s="48"/>
      <c r="HSF100" s="48"/>
      <c r="HSG100" s="48"/>
      <c r="HSH100" s="48"/>
      <c r="HSI100" s="48"/>
      <c r="HSJ100" s="48"/>
      <c r="HSK100" s="48"/>
      <c r="HSL100" s="48"/>
      <c r="HSM100" s="48"/>
      <c r="HSN100" s="48"/>
      <c r="HSO100" s="48"/>
      <c r="HSP100" s="48"/>
      <c r="HSQ100" s="48"/>
      <c r="HSR100" s="48"/>
      <c r="HSS100" s="48"/>
      <c r="HST100" s="48"/>
      <c r="HSU100" s="48"/>
      <c r="HSV100" s="48"/>
      <c r="HSW100" s="48"/>
      <c r="HSX100" s="48"/>
      <c r="HSY100" s="48"/>
      <c r="HSZ100" s="48"/>
      <c r="HTA100" s="48"/>
      <c r="HTB100" s="48"/>
      <c r="HTC100" s="48"/>
      <c r="HTD100" s="48"/>
      <c r="HTE100" s="48"/>
      <c r="HTF100" s="48"/>
      <c r="HTG100" s="48"/>
      <c r="HTH100" s="48"/>
      <c r="HTI100" s="48"/>
      <c r="HTJ100" s="48"/>
      <c r="HTK100" s="48"/>
      <c r="HTL100" s="48"/>
      <c r="HTM100" s="48"/>
      <c r="HTN100" s="48"/>
      <c r="HTO100" s="48"/>
      <c r="HTP100" s="48"/>
      <c r="HTQ100" s="48"/>
      <c r="HTR100" s="48"/>
      <c r="HTS100" s="48"/>
      <c r="HTT100" s="48"/>
      <c r="HTU100" s="48"/>
      <c r="HTV100" s="48"/>
      <c r="HTW100" s="48"/>
      <c r="HTX100" s="48"/>
      <c r="HTY100" s="48"/>
      <c r="HTZ100" s="48"/>
      <c r="HUA100" s="48"/>
      <c r="HUB100" s="48"/>
      <c r="HUC100" s="48"/>
      <c r="HUD100" s="48"/>
      <c r="HUE100" s="48"/>
      <c r="HUF100" s="48"/>
      <c r="HUG100" s="48"/>
      <c r="HUH100" s="48"/>
      <c r="HUI100" s="48"/>
      <c r="HUJ100" s="48"/>
      <c r="HUK100" s="48"/>
      <c r="HUL100" s="48"/>
      <c r="HUM100" s="48"/>
      <c r="HUN100" s="48"/>
      <c r="HUO100" s="48"/>
      <c r="HUP100" s="48"/>
      <c r="HUQ100" s="48"/>
      <c r="HUR100" s="48"/>
      <c r="HUS100" s="48"/>
      <c r="HUT100" s="48"/>
      <c r="HUU100" s="48"/>
      <c r="HUV100" s="48"/>
      <c r="HUW100" s="48"/>
      <c r="HUX100" s="48"/>
      <c r="HUY100" s="48"/>
      <c r="HUZ100" s="48"/>
      <c r="HVA100" s="48"/>
      <c r="HVB100" s="48"/>
      <c r="HVC100" s="48"/>
      <c r="HVD100" s="48"/>
      <c r="HVE100" s="48"/>
      <c r="HVF100" s="48"/>
      <c r="HVG100" s="48"/>
      <c r="HVH100" s="48"/>
      <c r="HVI100" s="48"/>
      <c r="HVJ100" s="48"/>
      <c r="HVK100" s="48"/>
      <c r="HVL100" s="48"/>
      <c r="HVM100" s="48"/>
      <c r="HVN100" s="48"/>
      <c r="HVO100" s="48"/>
      <c r="HVP100" s="48"/>
      <c r="HVQ100" s="48"/>
      <c r="HVR100" s="48"/>
      <c r="HVS100" s="48"/>
      <c r="HVT100" s="48"/>
      <c r="HVU100" s="48"/>
      <c r="HVV100" s="48"/>
      <c r="HVW100" s="48"/>
      <c r="HVX100" s="48"/>
      <c r="HVY100" s="48"/>
      <c r="HVZ100" s="48"/>
      <c r="HWA100" s="48"/>
      <c r="HWB100" s="48"/>
      <c r="HWC100" s="48"/>
      <c r="HWD100" s="48"/>
      <c r="HWE100" s="48"/>
      <c r="HWF100" s="48"/>
      <c r="HWG100" s="48"/>
      <c r="HWH100" s="48"/>
      <c r="HWI100" s="48"/>
      <c r="HWJ100" s="48"/>
      <c r="HWK100" s="48"/>
      <c r="HWL100" s="48"/>
      <c r="HWM100" s="48"/>
      <c r="HWN100" s="48"/>
      <c r="HWO100" s="48"/>
      <c r="HWP100" s="48"/>
      <c r="HWQ100" s="48"/>
      <c r="HWR100" s="48"/>
      <c r="HWS100" s="48"/>
      <c r="HWT100" s="48"/>
      <c r="HWU100" s="48"/>
      <c r="HWV100" s="48"/>
      <c r="HWW100" s="48"/>
      <c r="HWX100" s="48"/>
      <c r="HWY100" s="48"/>
      <c r="HWZ100" s="48"/>
      <c r="HXA100" s="48"/>
      <c r="HXB100" s="48"/>
      <c r="HXC100" s="48"/>
      <c r="HXD100" s="48"/>
      <c r="HXE100" s="48"/>
      <c r="HXF100" s="48"/>
      <c r="HXG100" s="48"/>
      <c r="HXH100" s="48"/>
      <c r="HXI100" s="48"/>
      <c r="HXJ100" s="48"/>
      <c r="HXK100" s="48"/>
      <c r="HXL100" s="48"/>
      <c r="HXM100" s="48"/>
      <c r="HXN100" s="48"/>
      <c r="HXO100" s="48"/>
      <c r="HXP100" s="48"/>
      <c r="HXQ100" s="48"/>
      <c r="HXR100" s="48"/>
      <c r="HXS100" s="48"/>
      <c r="HXT100" s="48"/>
      <c r="HXU100" s="48"/>
      <c r="HXV100" s="48"/>
      <c r="HXW100" s="48"/>
      <c r="HXX100" s="48"/>
      <c r="HXY100" s="48"/>
      <c r="HXZ100" s="48"/>
      <c r="HYA100" s="48"/>
      <c r="HYB100" s="48"/>
      <c r="HYC100" s="48"/>
      <c r="HYD100" s="48"/>
      <c r="HYE100" s="48"/>
      <c r="HYF100" s="48"/>
      <c r="HYG100" s="48"/>
      <c r="HYH100" s="48"/>
      <c r="HYI100" s="48"/>
      <c r="HYJ100" s="48"/>
      <c r="HYK100" s="48"/>
      <c r="HYL100" s="48"/>
      <c r="HYM100" s="48"/>
      <c r="HYN100" s="48"/>
      <c r="HYO100" s="48"/>
      <c r="HYP100" s="48"/>
      <c r="HYQ100" s="48"/>
      <c r="HYR100" s="48"/>
      <c r="HYS100" s="48"/>
      <c r="HYT100" s="48"/>
      <c r="HYU100" s="48"/>
      <c r="HYV100" s="48"/>
      <c r="HYW100" s="48"/>
      <c r="HYX100" s="48"/>
      <c r="HYY100" s="48"/>
      <c r="HYZ100" s="48"/>
      <c r="HZA100" s="48"/>
      <c r="HZB100" s="48"/>
      <c r="HZC100" s="48"/>
      <c r="HZD100" s="48"/>
      <c r="HZE100" s="48"/>
      <c r="HZF100" s="48"/>
      <c r="HZG100" s="48"/>
      <c r="HZH100" s="48"/>
      <c r="HZI100" s="48"/>
      <c r="HZJ100" s="48"/>
      <c r="HZK100" s="48"/>
      <c r="HZL100" s="48"/>
      <c r="HZM100" s="48"/>
      <c r="HZN100" s="48"/>
      <c r="HZO100" s="48"/>
      <c r="HZP100" s="48"/>
      <c r="HZQ100" s="48"/>
      <c r="HZR100" s="48"/>
      <c r="HZS100" s="48"/>
      <c r="HZT100" s="48"/>
      <c r="HZU100" s="48"/>
      <c r="HZV100" s="48"/>
      <c r="HZW100" s="48"/>
      <c r="HZX100" s="48"/>
      <c r="HZY100" s="48"/>
      <c r="HZZ100" s="48"/>
      <c r="IAA100" s="48"/>
      <c r="IAB100" s="48"/>
      <c r="IAC100" s="48"/>
      <c r="IAD100" s="48"/>
      <c r="IAE100" s="48"/>
      <c r="IAF100" s="48"/>
      <c r="IAG100" s="48"/>
      <c r="IAH100" s="48"/>
      <c r="IAI100" s="48"/>
      <c r="IAJ100" s="48"/>
      <c r="IAK100" s="48"/>
      <c r="IAL100" s="48"/>
      <c r="IAM100" s="48"/>
      <c r="IAN100" s="48"/>
      <c r="IAO100" s="48"/>
      <c r="IAP100" s="48"/>
      <c r="IAQ100" s="48"/>
      <c r="IAR100" s="48"/>
      <c r="IAS100" s="48"/>
      <c r="IAT100" s="48"/>
      <c r="IAU100" s="48"/>
      <c r="IAV100" s="48"/>
      <c r="IAW100" s="48"/>
      <c r="IAX100" s="48"/>
      <c r="IAY100" s="48"/>
      <c r="IAZ100" s="48"/>
      <c r="IBA100" s="48"/>
      <c r="IBB100" s="48"/>
      <c r="IBC100" s="48"/>
      <c r="IBD100" s="48"/>
      <c r="IBE100" s="48"/>
      <c r="IBF100" s="48"/>
      <c r="IBG100" s="48"/>
      <c r="IBH100" s="48"/>
      <c r="IBI100" s="48"/>
      <c r="IBJ100" s="48"/>
      <c r="IBK100" s="48"/>
      <c r="IBL100" s="48"/>
      <c r="IBM100" s="48"/>
      <c r="IBN100" s="48"/>
      <c r="IBO100" s="48"/>
      <c r="IBP100" s="48"/>
      <c r="IBQ100" s="48"/>
      <c r="IBR100" s="48"/>
      <c r="IBS100" s="48"/>
      <c r="IBT100" s="48"/>
      <c r="IBU100" s="48"/>
      <c r="IBV100" s="48"/>
      <c r="IBW100" s="48"/>
      <c r="IBX100" s="48"/>
      <c r="IBY100" s="48"/>
      <c r="IBZ100" s="48"/>
      <c r="ICA100" s="48"/>
      <c r="ICB100" s="48"/>
      <c r="ICC100" s="48"/>
      <c r="ICD100" s="48"/>
      <c r="ICE100" s="48"/>
      <c r="ICF100" s="48"/>
      <c r="ICG100" s="48"/>
      <c r="ICH100" s="48"/>
      <c r="ICI100" s="48"/>
      <c r="ICJ100" s="48"/>
      <c r="ICK100" s="48"/>
      <c r="ICL100" s="48"/>
      <c r="ICM100" s="48"/>
      <c r="ICN100" s="48"/>
      <c r="ICO100" s="48"/>
      <c r="ICP100" s="48"/>
      <c r="ICQ100" s="48"/>
      <c r="ICR100" s="48"/>
      <c r="ICS100" s="48"/>
      <c r="ICT100" s="48"/>
      <c r="ICU100" s="48"/>
      <c r="ICV100" s="48"/>
      <c r="ICW100" s="48"/>
      <c r="ICX100" s="48"/>
      <c r="ICY100" s="48"/>
      <c r="ICZ100" s="48"/>
      <c r="IDA100" s="48"/>
      <c r="IDB100" s="48"/>
      <c r="IDC100" s="48"/>
      <c r="IDD100" s="48"/>
      <c r="IDE100" s="48"/>
      <c r="IDF100" s="48"/>
      <c r="IDG100" s="48"/>
      <c r="IDH100" s="48"/>
      <c r="IDI100" s="48"/>
      <c r="IDJ100" s="48"/>
      <c r="IDK100" s="48"/>
      <c r="IDL100" s="48"/>
      <c r="IDM100" s="48"/>
      <c r="IDN100" s="48"/>
      <c r="IDO100" s="48"/>
      <c r="IDP100" s="48"/>
      <c r="IDQ100" s="48"/>
      <c r="IDR100" s="48"/>
      <c r="IDS100" s="48"/>
      <c r="IDT100" s="48"/>
      <c r="IDU100" s="48"/>
      <c r="IDV100" s="48"/>
      <c r="IDW100" s="48"/>
      <c r="IDX100" s="48"/>
      <c r="IDY100" s="48"/>
      <c r="IDZ100" s="48"/>
      <c r="IEA100" s="48"/>
      <c r="IEB100" s="48"/>
      <c r="IEC100" s="48"/>
      <c r="IED100" s="48"/>
      <c r="IEE100" s="48"/>
      <c r="IEF100" s="48"/>
      <c r="IEG100" s="48"/>
      <c r="IEH100" s="48"/>
      <c r="IEI100" s="48"/>
      <c r="IEJ100" s="48"/>
      <c r="IEK100" s="48"/>
      <c r="IEL100" s="48"/>
      <c r="IEM100" s="48"/>
      <c r="IEN100" s="48"/>
      <c r="IEO100" s="48"/>
      <c r="IEP100" s="48"/>
      <c r="IEQ100" s="48"/>
      <c r="IER100" s="48"/>
      <c r="IES100" s="48"/>
      <c r="IET100" s="48"/>
      <c r="IEU100" s="48"/>
      <c r="IEV100" s="48"/>
      <c r="IEW100" s="48"/>
      <c r="IEX100" s="48"/>
      <c r="IEY100" s="48"/>
      <c r="IEZ100" s="48"/>
      <c r="IFA100" s="48"/>
      <c r="IFB100" s="48"/>
      <c r="IFC100" s="48"/>
      <c r="IFD100" s="48"/>
      <c r="IFE100" s="48"/>
      <c r="IFF100" s="48"/>
      <c r="IFG100" s="48"/>
      <c r="IFH100" s="48"/>
      <c r="IFI100" s="48"/>
      <c r="IFJ100" s="48"/>
      <c r="IFK100" s="48"/>
      <c r="IFL100" s="48"/>
      <c r="IFM100" s="48"/>
      <c r="IFN100" s="48"/>
      <c r="IFO100" s="48"/>
      <c r="IFP100" s="48"/>
      <c r="IFQ100" s="48"/>
      <c r="IFR100" s="48"/>
      <c r="IFS100" s="48"/>
      <c r="IFT100" s="48"/>
      <c r="IFU100" s="48"/>
      <c r="IFV100" s="48"/>
      <c r="IFW100" s="48"/>
      <c r="IFX100" s="48"/>
      <c r="IFY100" s="48"/>
      <c r="IFZ100" s="48"/>
      <c r="IGA100" s="48"/>
      <c r="IGB100" s="48"/>
      <c r="IGC100" s="48"/>
      <c r="IGD100" s="48"/>
      <c r="IGE100" s="48"/>
      <c r="IGF100" s="48"/>
      <c r="IGG100" s="48"/>
      <c r="IGH100" s="48"/>
      <c r="IGI100" s="48"/>
      <c r="IGJ100" s="48"/>
      <c r="IGK100" s="48"/>
      <c r="IGL100" s="48"/>
      <c r="IGM100" s="48"/>
      <c r="IGN100" s="48"/>
      <c r="IGO100" s="48"/>
      <c r="IGP100" s="48"/>
      <c r="IGQ100" s="48"/>
      <c r="IGR100" s="48"/>
      <c r="IGS100" s="48"/>
      <c r="IGT100" s="48"/>
      <c r="IGU100" s="48"/>
      <c r="IGV100" s="48"/>
      <c r="IGW100" s="48"/>
      <c r="IGX100" s="48"/>
      <c r="IGY100" s="48"/>
      <c r="IGZ100" s="48"/>
      <c r="IHA100" s="48"/>
      <c r="IHB100" s="48"/>
      <c r="IHC100" s="48"/>
      <c r="IHD100" s="48"/>
      <c r="IHE100" s="48"/>
      <c r="IHF100" s="48"/>
      <c r="IHG100" s="48"/>
      <c r="IHH100" s="48"/>
      <c r="IHI100" s="48"/>
      <c r="IHJ100" s="48"/>
      <c r="IHK100" s="48"/>
      <c r="IHL100" s="48"/>
      <c r="IHM100" s="48"/>
      <c r="IHN100" s="48"/>
      <c r="IHO100" s="48"/>
      <c r="IHP100" s="48"/>
      <c r="IHQ100" s="48"/>
      <c r="IHR100" s="48"/>
      <c r="IHS100" s="48"/>
      <c r="IHT100" s="48"/>
      <c r="IHU100" s="48"/>
      <c r="IHV100" s="48"/>
      <c r="IHW100" s="48"/>
      <c r="IHX100" s="48"/>
      <c r="IHY100" s="48"/>
      <c r="IHZ100" s="48"/>
      <c r="IIA100" s="48"/>
      <c r="IIB100" s="48"/>
      <c r="IIC100" s="48"/>
      <c r="IID100" s="48"/>
      <c r="IIE100" s="48"/>
      <c r="IIF100" s="48"/>
      <c r="IIG100" s="48"/>
      <c r="IIH100" s="48"/>
      <c r="III100" s="48"/>
      <c r="IIJ100" s="48"/>
      <c r="IIK100" s="48"/>
      <c r="IIL100" s="48"/>
      <c r="IIM100" s="48"/>
      <c r="IIN100" s="48"/>
      <c r="IIO100" s="48"/>
      <c r="IIP100" s="48"/>
      <c r="IIQ100" s="48"/>
      <c r="IIR100" s="48"/>
      <c r="IIS100" s="48"/>
      <c r="IIT100" s="48"/>
      <c r="IIU100" s="48"/>
      <c r="IIV100" s="48"/>
      <c r="IIW100" s="48"/>
      <c r="IIX100" s="48"/>
      <c r="IIY100" s="48"/>
      <c r="IIZ100" s="48"/>
      <c r="IJA100" s="48"/>
      <c r="IJB100" s="48"/>
      <c r="IJC100" s="48"/>
      <c r="IJD100" s="48"/>
      <c r="IJE100" s="48"/>
      <c r="IJF100" s="48"/>
      <c r="IJG100" s="48"/>
      <c r="IJH100" s="48"/>
      <c r="IJI100" s="48"/>
      <c r="IJJ100" s="48"/>
      <c r="IJK100" s="48"/>
      <c r="IJL100" s="48"/>
      <c r="IJM100" s="48"/>
      <c r="IJN100" s="48"/>
      <c r="IJO100" s="48"/>
      <c r="IJP100" s="48"/>
      <c r="IJQ100" s="48"/>
      <c r="IJR100" s="48"/>
      <c r="IJS100" s="48"/>
      <c r="IJT100" s="48"/>
      <c r="IJU100" s="48"/>
      <c r="IJV100" s="48"/>
      <c r="IJW100" s="48"/>
      <c r="IJX100" s="48"/>
      <c r="IJY100" s="48"/>
      <c r="IJZ100" s="48"/>
      <c r="IKA100" s="48"/>
      <c r="IKB100" s="48"/>
      <c r="IKC100" s="48"/>
      <c r="IKD100" s="48"/>
      <c r="IKE100" s="48"/>
      <c r="IKF100" s="48"/>
      <c r="IKG100" s="48"/>
      <c r="IKH100" s="48"/>
      <c r="IKI100" s="48"/>
      <c r="IKJ100" s="48"/>
      <c r="IKK100" s="48"/>
      <c r="IKL100" s="48"/>
      <c r="IKM100" s="48"/>
      <c r="IKN100" s="48"/>
      <c r="IKO100" s="48"/>
      <c r="IKP100" s="48"/>
      <c r="IKQ100" s="48"/>
      <c r="IKR100" s="48"/>
      <c r="IKS100" s="48"/>
      <c r="IKT100" s="48"/>
      <c r="IKU100" s="48"/>
      <c r="IKV100" s="48"/>
      <c r="IKW100" s="48"/>
      <c r="IKX100" s="48"/>
      <c r="IKY100" s="48"/>
      <c r="IKZ100" s="48"/>
      <c r="ILA100" s="48"/>
      <c r="ILB100" s="48"/>
      <c r="ILC100" s="48"/>
      <c r="ILD100" s="48"/>
      <c r="ILE100" s="48"/>
      <c r="ILF100" s="48"/>
      <c r="ILG100" s="48"/>
      <c r="ILH100" s="48"/>
      <c r="ILI100" s="48"/>
      <c r="ILJ100" s="48"/>
      <c r="ILK100" s="48"/>
      <c r="ILL100" s="48"/>
      <c r="ILM100" s="48"/>
      <c r="ILN100" s="48"/>
      <c r="ILO100" s="48"/>
      <c r="ILP100" s="48"/>
      <c r="ILQ100" s="48"/>
      <c r="ILR100" s="48"/>
      <c r="ILS100" s="48"/>
      <c r="ILT100" s="48"/>
      <c r="ILU100" s="48"/>
      <c r="ILV100" s="48"/>
      <c r="ILW100" s="48"/>
      <c r="ILX100" s="48"/>
      <c r="ILY100" s="48"/>
      <c r="ILZ100" s="48"/>
      <c r="IMA100" s="48"/>
      <c r="IMB100" s="48"/>
      <c r="IMC100" s="48"/>
      <c r="IMD100" s="48"/>
      <c r="IME100" s="48"/>
      <c r="IMF100" s="48"/>
      <c r="IMG100" s="48"/>
      <c r="IMH100" s="48"/>
      <c r="IMI100" s="48"/>
      <c r="IMJ100" s="48"/>
      <c r="IMK100" s="48"/>
      <c r="IML100" s="48"/>
      <c r="IMM100" s="48"/>
      <c r="IMN100" s="48"/>
      <c r="IMO100" s="48"/>
      <c r="IMP100" s="48"/>
      <c r="IMQ100" s="48"/>
      <c r="IMR100" s="48"/>
      <c r="IMS100" s="48"/>
      <c r="IMT100" s="48"/>
      <c r="IMU100" s="48"/>
      <c r="IMV100" s="48"/>
      <c r="IMW100" s="48"/>
      <c r="IMX100" s="48"/>
      <c r="IMY100" s="48"/>
      <c r="IMZ100" s="48"/>
      <c r="INA100" s="48"/>
      <c r="INB100" s="48"/>
      <c r="INC100" s="48"/>
      <c r="IND100" s="48"/>
      <c r="INE100" s="48"/>
      <c r="INF100" s="48"/>
      <c r="ING100" s="48"/>
      <c r="INH100" s="48"/>
      <c r="INI100" s="48"/>
      <c r="INJ100" s="48"/>
      <c r="INK100" s="48"/>
      <c r="INL100" s="48"/>
      <c r="INM100" s="48"/>
      <c r="INN100" s="48"/>
      <c r="INO100" s="48"/>
      <c r="INP100" s="48"/>
      <c r="INQ100" s="48"/>
      <c r="INR100" s="48"/>
      <c r="INS100" s="48"/>
      <c r="INT100" s="48"/>
      <c r="INU100" s="48"/>
      <c r="INV100" s="48"/>
      <c r="INW100" s="48"/>
      <c r="INX100" s="48"/>
      <c r="INY100" s="48"/>
      <c r="INZ100" s="48"/>
      <c r="IOA100" s="48"/>
      <c r="IOB100" s="48"/>
      <c r="IOC100" s="48"/>
      <c r="IOD100" s="48"/>
      <c r="IOE100" s="48"/>
      <c r="IOF100" s="48"/>
      <c r="IOG100" s="48"/>
      <c r="IOH100" s="48"/>
      <c r="IOI100" s="48"/>
      <c r="IOJ100" s="48"/>
      <c r="IOK100" s="48"/>
      <c r="IOL100" s="48"/>
      <c r="IOM100" s="48"/>
      <c r="ION100" s="48"/>
      <c r="IOO100" s="48"/>
      <c r="IOP100" s="48"/>
      <c r="IOQ100" s="48"/>
      <c r="IOR100" s="48"/>
      <c r="IOS100" s="48"/>
      <c r="IOT100" s="48"/>
      <c r="IOU100" s="48"/>
      <c r="IOV100" s="48"/>
      <c r="IOW100" s="48"/>
      <c r="IOX100" s="48"/>
      <c r="IOY100" s="48"/>
      <c r="IOZ100" s="48"/>
      <c r="IPA100" s="48"/>
      <c r="IPB100" s="48"/>
      <c r="IPC100" s="48"/>
      <c r="IPD100" s="48"/>
      <c r="IPE100" s="48"/>
      <c r="IPF100" s="48"/>
      <c r="IPG100" s="48"/>
      <c r="IPH100" s="48"/>
      <c r="IPI100" s="48"/>
      <c r="IPJ100" s="48"/>
      <c r="IPK100" s="48"/>
      <c r="IPL100" s="48"/>
      <c r="IPM100" s="48"/>
      <c r="IPN100" s="48"/>
      <c r="IPO100" s="48"/>
      <c r="IPP100" s="48"/>
      <c r="IPQ100" s="48"/>
      <c r="IPR100" s="48"/>
      <c r="IPS100" s="48"/>
      <c r="IPT100" s="48"/>
      <c r="IPU100" s="48"/>
      <c r="IPV100" s="48"/>
      <c r="IPW100" s="48"/>
      <c r="IPX100" s="48"/>
      <c r="IPY100" s="48"/>
      <c r="IPZ100" s="48"/>
      <c r="IQA100" s="48"/>
      <c r="IQB100" s="48"/>
      <c r="IQC100" s="48"/>
      <c r="IQD100" s="48"/>
      <c r="IQE100" s="48"/>
      <c r="IQF100" s="48"/>
      <c r="IQG100" s="48"/>
      <c r="IQH100" s="48"/>
      <c r="IQI100" s="48"/>
      <c r="IQJ100" s="48"/>
      <c r="IQK100" s="48"/>
      <c r="IQL100" s="48"/>
      <c r="IQM100" s="48"/>
      <c r="IQN100" s="48"/>
      <c r="IQO100" s="48"/>
      <c r="IQP100" s="48"/>
      <c r="IQQ100" s="48"/>
      <c r="IQR100" s="48"/>
      <c r="IQS100" s="48"/>
      <c r="IQT100" s="48"/>
      <c r="IQU100" s="48"/>
      <c r="IQV100" s="48"/>
      <c r="IQW100" s="48"/>
      <c r="IQX100" s="48"/>
      <c r="IQY100" s="48"/>
      <c r="IQZ100" s="48"/>
      <c r="IRA100" s="48"/>
      <c r="IRB100" s="48"/>
      <c r="IRC100" s="48"/>
      <c r="IRD100" s="48"/>
      <c r="IRE100" s="48"/>
      <c r="IRF100" s="48"/>
      <c r="IRG100" s="48"/>
      <c r="IRH100" s="48"/>
      <c r="IRI100" s="48"/>
      <c r="IRJ100" s="48"/>
      <c r="IRK100" s="48"/>
      <c r="IRL100" s="48"/>
      <c r="IRM100" s="48"/>
      <c r="IRN100" s="48"/>
      <c r="IRO100" s="48"/>
      <c r="IRP100" s="48"/>
      <c r="IRQ100" s="48"/>
      <c r="IRR100" s="48"/>
      <c r="IRS100" s="48"/>
      <c r="IRT100" s="48"/>
      <c r="IRU100" s="48"/>
      <c r="IRV100" s="48"/>
      <c r="IRW100" s="48"/>
      <c r="IRX100" s="48"/>
      <c r="IRY100" s="48"/>
      <c r="IRZ100" s="48"/>
      <c r="ISA100" s="48"/>
      <c r="ISB100" s="48"/>
      <c r="ISC100" s="48"/>
      <c r="ISD100" s="48"/>
      <c r="ISE100" s="48"/>
      <c r="ISF100" s="48"/>
      <c r="ISG100" s="48"/>
      <c r="ISH100" s="48"/>
      <c r="ISI100" s="48"/>
      <c r="ISJ100" s="48"/>
      <c r="ISK100" s="48"/>
      <c r="ISL100" s="48"/>
      <c r="ISM100" s="48"/>
      <c r="ISN100" s="48"/>
      <c r="ISO100" s="48"/>
      <c r="ISP100" s="48"/>
      <c r="ISQ100" s="48"/>
      <c r="ISR100" s="48"/>
      <c r="ISS100" s="48"/>
      <c r="IST100" s="48"/>
      <c r="ISU100" s="48"/>
      <c r="ISV100" s="48"/>
      <c r="ISW100" s="48"/>
      <c r="ISX100" s="48"/>
      <c r="ISY100" s="48"/>
      <c r="ISZ100" s="48"/>
      <c r="ITA100" s="48"/>
      <c r="ITB100" s="48"/>
      <c r="ITC100" s="48"/>
      <c r="ITD100" s="48"/>
      <c r="ITE100" s="48"/>
      <c r="ITF100" s="48"/>
      <c r="ITG100" s="48"/>
      <c r="ITH100" s="48"/>
      <c r="ITI100" s="48"/>
      <c r="ITJ100" s="48"/>
      <c r="ITK100" s="48"/>
      <c r="ITL100" s="48"/>
      <c r="ITM100" s="48"/>
      <c r="ITN100" s="48"/>
      <c r="ITO100" s="48"/>
      <c r="ITP100" s="48"/>
      <c r="ITQ100" s="48"/>
      <c r="ITR100" s="48"/>
      <c r="ITS100" s="48"/>
      <c r="ITT100" s="48"/>
      <c r="ITU100" s="48"/>
      <c r="ITV100" s="48"/>
      <c r="ITW100" s="48"/>
      <c r="ITX100" s="48"/>
      <c r="ITY100" s="48"/>
      <c r="ITZ100" s="48"/>
      <c r="IUA100" s="48"/>
      <c r="IUB100" s="48"/>
      <c r="IUC100" s="48"/>
      <c r="IUD100" s="48"/>
      <c r="IUE100" s="48"/>
      <c r="IUF100" s="48"/>
      <c r="IUG100" s="48"/>
      <c r="IUH100" s="48"/>
      <c r="IUI100" s="48"/>
      <c r="IUJ100" s="48"/>
      <c r="IUK100" s="48"/>
      <c r="IUL100" s="48"/>
      <c r="IUM100" s="48"/>
      <c r="IUN100" s="48"/>
      <c r="IUO100" s="48"/>
      <c r="IUP100" s="48"/>
      <c r="IUQ100" s="48"/>
      <c r="IUR100" s="48"/>
      <c r="IUS100" s="48"/>
      <c r="IUT100" s="48"/>
      <c r="IUU100" s="48"/>
      <c r="IUV100" s="48"/>
      <c r="IUW100" s="48"/>
      <c r="IUX100" s="48"/>
      <c r="IUY100" s="48"/>
      <c r="IUZ100" s="48"/>
      <c r="IVA100" s="48"/>
      <c r="IVB100" s="48"/>
      <c r="IVC100" s="48"/>
      <c r="IVD100" s="48"/>
      <c r="IVE100" s="48"/>
      <c r="IVF100" s="48"/>
      <c r="IVG100" s="48"/>
      <c r="IVH100" s="48"/>
      <c r="IVI100" s="48"/>
      <c r="IVJ100" s="48"/>
      <c r="IVK100" s="48"/>
      <c r="IVL100" s="48"/>
      <c r="IVM100" s="48"/>
      <c r="IVN100" s="48"/>
      <c r="IVO100" s="48"/>
      <c r="IVP100" s="48"/>
      <c r="IVQ100" s="48"/>
      <c r="IVR100" s="48"/>
      <c r="IVS100" s="48"/>
      <c r="IVT100" s="48"/>
      <c r="IVU100" s="48"/>
      <c r="IVV100" s="48"/>
      <c r="IVW100" s="48"/>
      <c r="IVX100" s="48"/>
      <c r="IVY100" s="48"/>
      <c r="IVZ100" s="48"/>
      <c r="IWA100" s="48"/>
      <c r="IWB100" s="48"/>
      <c r="IWC100" s="48"/>
      <c r="IWD100" s="48"/>
      <c r="IWE100" s="48"/>
      <c r="IWF100" s="48"/>
      <c r="IWG100" s="48"/>
      <c r="IWH100" s="48"/>
      <c r="IWI100" s="48"/>
      <c r="IWJ100" s="48"/>
      <c r="IWK100" s="48"/>
      <c r="IWL100" s="48"/>
      <c r="IWM100" s="48"/>
      <c r="IWN100" s="48"/>
      <c r="IWO100" s="48"/>
      <c r="IWP100" s="48"/>
      <c r="IWQ100" s="48"/>
      <c r="IWR100" s="48"/>
      <c r="IWS100" s="48"/>
      <c r="IWT100" s="48"/>
      <c r="IWU100" s="48"/>
      <c r="IWV100" s="48"/>
      <c r="IWW100" s="48"/>
      <c r="IWX100" s="48"/>
      <c r="IWY100" s="48"/>
      <c r="IWZ100" s="48"/>
      <c r="IXA100" s="48"/>
      <c r="IXB100" s="48"/>
      <c r="IXC100" s="48"/>
      <c r="IXD100" s="48"/>
      <c r="IXE100" s="48"/>
      <c r="IXF100" s="48"/>
      <c r="IXG100" s="48"/>
      <c r="IXH100" s="48"/>
      <c r="IXI100" s="48"/>
      <c r="IXJ100" s="48"/>
      <c r="IXK100" s="48"/>
      <c r="IXL100" s="48"/>
      <c r="IXM100" s="48"/>
      <c r="IXN100" s="48"/>
      <c r="IXO100" s="48"/>
      <c r="IXP100" s="48"/>
      <c r="IXQ100" s="48"/>
      <c r="IXR100" s="48"/>
      <c r="IXS100" s="48"/>
      <c r="IXT100" s="48"/>
      <c r="IXU100" s="48"/>
      <c r="IXV100" s="48"/>
      <c r="IXW100" s="48"/>
      <c r="IXX100" s="48"/>
      <c r="IXY100" s="48"/>
      <c r="IXZ100" s="48"/>
      <c r="IYA100" s="48"/>
      <c r="IYB100" s="48"/>
      <c r="IYC100" s="48"/>
      <c r="IYD100" s="48"/>
      <c r="IYE100" s="48"/>
      <c r="IYF100" s="48"/>
      <c r="IYG100" s="48"/>
      <c r="IYH100" s="48"/>
      <c r="IYI100" s="48"/>
      <c r="IYJ100" s="48"/>
      <c r="IYK100" s="48"/>
      <c r="IYL100" s="48"/>
      <c r="IYM100" s="48"/>
      <c r="IYN100" s="48"/>
      <c r="IYO100" s="48"/>
      <c r="IYP100" s="48"/>
      <c r="IYQ100" s="48"/>
      <c r="IYR100" s="48"/>
      <c r="IYS100" s="48"/>
      <c r="IYT100" s="48"/>
      <c r="IYU100" s="48"/>
      <c r="IYV100" s="48"/>
      <c r="IYW100" s="48"/>
      <c r="IYX100" s="48"/>
      <c r="IYY100" s="48"/>
      <c r="IYZ100" s="48"/>
      <c r="IZA100" s="48"/>
      <c r="IZB100" s="48"/>
      <c r="IZC100" s="48"/>
      <c r="IZD100" s="48"/>
      <c r="IZE100" s="48"/>
      <c r="IZF100" s="48"/>
      <c r="IZG100" s="48"/>
      <c r="IZH100" s="48"/>
      <c r="IZI100" s="48"/>
      <c r="IZJ100" s="48"/>
      <c r="IZK100" s="48"/>
      <c r="IZL100" s="48"/>
      <c r="IZM100" s="48"/>
      <c r="IZN100" s="48"/>
      <c r="IZO100" s="48"/>
      <c r="IZP100" s="48"/>
      <c r="IZQ100" s="48"/>
      <c r="IZR100" s="48"/>
      <c r="IZS100" s="48"/>
      <c r="IZT100" s="48"/>
      <c r="IZU100" s="48"/>
      <c r="IZV100" s="48"/>
      <c r="IZW100" s="48"/>
      <c r="IZX100" s="48"/>
      <c r="IZY100" s="48"/>
      <c r="IZZ100" s="48"/>
      <c r="JAA100" s="48"/>
      <c r="JAB100" s="48"/>
      <c r="JAC100" s="48"/>
      <c r="JAD100" s="48"/>
      <c r="JAE100" s="48"/>
      <c r="JAF100" s="48"/>
      <c r="JAG100" s="48"/>
      <c r="JAH100" s="48"/>
      <c r="JAI100" s="48"/>
      <c r="JAJ100" s="48"/>
      <c r="JAK100" s="48"/>
      <c r="JAL100" s="48"/>
      <c r="JAM100" s="48"/>
      <c r="JAN100" s="48"/>
      <c r="JAO100" s="48"/>
      <c r="JAP100" s="48"/>
      <c r="JAQ100" s="48"/>
      <c r="JAR100" s="48"/>
      <c r="JAS100" s="48"/>
      <c r="JAT100" s="48"/>
      <c r="JAU100" s="48"/>
      <c r="JAV100" s="48"/>
      <c r="JAW100" s="48"/>
      <c r="JAX100" s="48"/>
      <c r="JAY100" s="48"/>
      <c r="JAZ100" s="48"/>
      <c r="JBA100" s="48"/>
      <c r="JBB100" s="48"/>
      <c r="JBC100" s="48"/>
      <c r="JBD100" s="48"/>
      <c r="JBE100" s="48"/>
      <c r="JBF100" s="48"/>
      <c r="JBG100" s="48"/>
      <c r="JBH100" s="48"/>
      <c r="JBI100" s="48"/>
      <c r="JBJ100" s="48"/>
      <c r="JBK100" s="48"/>
      <c r="JBL100" s="48"/>
      <c r="JBM100" s="48"/>
      <c r="JBN100" s="48"/>
      <c r="JBO100" s="48"/>
      <c r="JBP100" s="48"/>
      <c r="JBQ100" s="48"/>
      <c r="JBR100" s="48"/>
      <c r="JBS100" s="48"/>
      <c r="JBT100" s="48"/>
      <c r="JBU100" s="48"/>
      <c r="JBV100" s="48"/>
      <c r="JBW100" s="48"/>
      <c r="JBX100" s="48"/>
      <c r="JBY100" s="48"/>
      <c r="JBZ100" s="48"/>
      <c r="JCA100" s="48"/>
      <c r="JCB100" s="48"/>
      <c r="JCC100" s="48"/>
      <c r="JCD100" s="48"/>
      <c r="JCE100" s="48"/>
      <c r="JCF100" s="48"/>
      <c r="JCG100" s="48"/>
      <c r="JCH100" s="48"/>
      <c r="JCI100" s="48"/>
      <c r="JCJ100" s="48"/>
      <c r="JCK100" s="48"/>
      <c r="JCL100" s="48"/>
      <c r="JCM100" s="48"/>
      <c r="JCN100" s="48"/>
      <c r="JCO100" s="48"/>
      <c r="JCP100" s="48"/>
      <c r="JCQ100" s="48"/>
      <c r="JCR100" s="48"/>
      <c r="JCS100" s="48"/>
      <c r="JCT100" s="48"/>
      <c r="JCU100" s="48"/>
      <c r="JCV100" s="48"/>
      <c r="JCW100" s="48"/>
      <c r="JCX100" s="48"/>
      <c r="JCY100" s="48"/>
      <c r="JCZ100" s="48"/>
      <c r="JDA100" s="48"/>
      <c r="JDB100" s="48"/>
      <c r="JDC100" s="48"/>
      <c r="JDD100" s="48"/>
      <c r="JDE100" s="48"/>
      <c r="JDF100" s="48"/>
      <c r="JDG100" s="48"/>
      <c r="JDH100" s="48"/>
      <c r="JDI100" s="48"/>
      <c r="JDJ100" s="48"/>
      <c r="JDK100" s="48"/>
      <c r="JDL100" s="48"/>
      <c r="JDM100" s="48"/>
      <c r="JDN100" s="48"/>
      <c r="JDO100" s="48"/>
      <c r="JDP100" s="48"/>
      <c r="JDQ100" s="48"/>
      <c r="JDR100" s="48"/>
      <c r="JDS100" s="48"/>
      <c r="JDT100" s="48"/>
      <c r="JDU100" s="48"/>
      <c r="JDV100" s="48"/>
      <c r="JDW100" s="48"/>
      <c r="JDX100" s="48"/>
      <c r="JDY100" s="48"/>
      <c r="JDZ100" s="48"/>
      <c r="JEA100" s="48"/>
      <c r="JEB100" s="48"/>
      <c r="JEC100" s="48"/>
      <c r="JED100" s="48"/>
      <c r="JEE100" s="48"/>
      <c r="JEF100" s="48"/>
      <c r="JEG100" s="48"/>
      <c r="JEH100" s="48"/>
      <c r="JEI100" s="48"/>
      <c r="JEJ100" s="48"/>
      <c r="JEK100" s="48"/>
      <c r="JEL100" s="48"/>
      <c r="JEM100" s="48"/>
      <c r="JEN100" s="48"/>
      <c r="JEO100" s="48"/>
      <c r="JEP100" s="48"/>
      <c r="JEQ100" s="48"/>
      <c r="JER100" s="48"/>
      <c r="JES100" s="48"/>
      <c r="JET100" s="48"/>
      <c r="JEU100" s="48"/>
      <c r="JEV100" s="48"/>
      <c r="JEW100" s="48"/>
      <c r="JEX100" s="48"/>
      <c r="JEY100" s="48"/>
      <c r="JEZ100" s="48"/>
      <c r="JFA100" s="48"/>
      <c r="JFB100" s="48"/>
      <c r="JFC100" s="48"/>
      <c r="JFD100" s="48"/>
      <c r="JFE100" s="48"/>
      <c r="JFF100" s="48"/>
      <c r="JFG100" s="48"/>
      <c r="JFH100" s="48"/>
      <c r="JFI100" s="48"/>
      <c r="JFJ100" s="48"/>
      <c r="JFK100" s="48"/>
      <c r="JFL100" s="48"/>
      <c r="JFM100" s="48"/>
      <c r="JFN100" s="48"/>
      <c r="JFO100" s="48"/>
      <c r="JFP100" s="48"/>
      <c r="JFQ100" s="48"/>
      <c r="JFR100" s="48"/>
      <c r="JFS100" s="48"/>
      <c r="JFT100" s="48"/>
      <c r="JFU100" s="48"/>
      <c r="JFV100" s="48"/>
      <c r="JFW100" s="48"/>
      <c r="JFX100" s="48"/>
      <c r="JFY100" s="48"/>
      <c r="JFZ100" s="48"/>
      <c r="JGA100" s="48"/>
      <c r="JGB100" s="48"/>
      <c r="JGC100" s="48"/>
      <c r="JGD100" s="48"/>
      <c r="JGE100" s="48"/>
      <c r="JGF100" s="48"/>
      <c r="JGG100" s="48"/>
      <c r="JGH100" s="48"/>
      <c r="JGI100" s="48"/>
      <c r="JGJ100" s="48"/>
      <c r="JGK100" s="48"/>
      <c r="JGL100" s="48"/>
      <c r="JGM100" s="48"/>
      <c r="JGN100" s="48"/>
      <c r="JGO100" s="48"/>
      <c r="JGP100" s="48"/>
      <c r="JGQ100" s="48"/>
      <c r="JGR100" s="48"/>
      <c r="JGS100" s="48"/>
      <c r="JGT100" s="48"/>
      <c r="JGU100" s="48"/>
      <c r="JGV100" s="48"/>
      <c r="JGW100" s="48"/>
      <c r="JGX100" s="48"/>
      <c r="JGY100" s="48"/>
      <c r="JGZ100" s="48"/>
      <c r="JHA100" s="48"/>
      <c r="JHB100" s="48"/>
      <c r="JHC100" s="48"/>
      <c r="JHD100" s="48"/>
      <c r="JHE100" s="48"/>
      <c r="JHF100" s="48"/>
      <c r="JHG100" s="48"/>
      <c r="JHH100" s="48"/>
      <c r="JHI100" s="48"/>
      <c r="JHJ100" s="48"/>
      <c r="JHK100" s="48"/>
      <c r="JHL100" s="48"/>
      <c r="JHM100" s="48"/>
      <c r="JHN100" s="48"/>
      <c r="JHO100" s="48"/>
      <c r="JHP100" s="48"/>
      <c r="JHQ100" s="48"/>
      <c r="JHR100" s="48"/>
      <c r="JHS100" s="48"/>
      <c r="JHT100" s="48"/>
      <c r="JHU100" s="48"/>
      <c r="JHV100" s="48"/>
      <c r="JHW100" s="48"/>
      <c r="JHX100" s="48"/>
      <c r="JHY100" s="48"/>
      <c r="JHZ100" s="48"/>
      <c r="JIA100" s="48"/>
      <c r="JIB100" s="48"/>
      <c r="JIC100" s="48"/>
      <c r="JID100" s="48"/>
      <c r="JIE100" s="48"/>
      <c r="JIF100" s="48"/>
      <c r="JIG100" s="48"/>
      <c r="JIH100" s="48"/>
      <c r="JII100" s="48"/>
      <c r="JIJ100" s="48"/>
      <c r="JIK100" s="48"/>
      <c r="JIL100" s="48"/>
      <c r="JIM100" s="48"/>
      <c r="JIN100" s="48"/>
      <c r="JIO100" s="48"/>
      <c r="JIP100" s="48"/>
      <c r="JIQ100" s="48"/>
      <c r="JIR100" s="48"/>
      <c r="JIS100" s="48"/>
      <c r="JIT100" s="48"/>
      <c r="JIU100" s="48"/>
      <c r="JIV100" s="48"/>
      <c r="JIW100" s="48"/>
      <c r="JIX100" s="48"/>
      <c r="JIY100" s="48"/>
      <c r="JIZ100" s="48"/>
      <c r="JJA100" s="48"/>
      <c r="JJB100" s="48"/>
      <c r="JJC100" s="48"/>
      <c r="JJD100" s="48"/>
      <c r="JJE100" s="48"/>
      <c r="JJF100" s="48"/>
      <c r="JJG100" s="48"/>
      <c r="JJH100" s="48"/>
      <c r="JJI100" s="48"/>
      <c r="JJJ100" s="48"/>
      <c r="JJK100" s="48"/>
      <c r="JJL100" s="48"/>
      <c r="JJM100" s="48"/>
      <c r="JJN100" s="48"/>
      <c r="JJO100" s="48"/>
      <c r="JJP100" s="48"/>
      <c r="JJQ100" s="48"/>
      <c r="JJR100" s="48"/>
      <c r="JJS100" s="48"/>
      <c r="JJT100" s="48"/>
      <c r="JJU100" s="48"/>
      <c r="JJV100" s="48"/>
      <c r="JJW100" s="48"/>
      <c r="JJX100" s="48"/>
      <c r="JJY100" s="48"/>
      <c r="JJZ100" s="48"/>
      <c r="JKA100" s="48"/>
      <c r="JKB100" s="48"/>
      <c r="JKC100" s="48"/>
      <c r="JKD100" s="48"/>
      <c r="JKE100" s="48"/>
      <c r="JKF100" s="48"/>
      <c r="JKG100" s="48"/>
      <c r="JKH100" s="48"/>
      <c r="JKI100" s="48"/>
      <c r="JKJ100" s="48"/>
      <c r="JKK100" s="48"/>
      <c r="JKL100" s="48"/>
      <c r="JKM100" s="48"/>
      <c r="JKN100" s="48"/>
      <c r="JKO100" s="48"/>
      <c r="JKP100" s="48"/>
      <c r="JKQ100" s="48"/>
      <c r="JKR100" s="48"/>
      <c r="JKS100" s="48"/>
      <c r="JKT100" s="48"/>
      <c r="JKU100" s="48"/>
      <c r="JKV100" s="48"/>
      <c r="JKW100" s="48"/>
      <c r="JKX100" s="48"/>
      <c r="JKY100" s="48"/>
      <c r="JKZ100" s="48"/>
      <c r="JLA100" s="48"/>
      <c r="JLB100" s="48"/>
      <c r="JLC100" s="48"/>
      <c r="JLD100" s="48"/>
      <c r="JLE100" s="48"/>
      <c r="JLF100" s="48"/>
      <c r="JLG100" s="48"/>
      <c r="JLH100" s="48"/>
      <c r="JLI100" s="48"/>
      <c r="JLJ100" s="48"/>
      <c r="JLK100" s="48"/>
      <c r="JLL100" s="48"/>
      <c r="JLM100" s="48"/>
      <c r="JLN100" s="48"/>
      <c r="JLO100" s="48"/>
      <c r="JLP100" s="48"/>
      <c r="JLQ100" s="48"/>
      <c r="JLR100" s="48"/>
      <c r="JLS100" s="48"/>
      <c r="JLT100" s="48"/>
      <c r="JLU100" s="48"/>
      <c r="JLV100" s="48"/>
      <c r="JLW100" s="48"/>
      <c r="JLX100" s="48"/>
      <c r="JLY100" s="48"/>
      <c r="JLZ100" s="48"/>
      <c r="JMA100" s="48"/>
      <c r="JMB100" s="48"/>
      <c r="JMC100" s="48"/>
      <c r="JMD100" s="48"/>
      <c r="JME100" s="48"/>
      <c r="JMF100" s="48"/>
      <c r="JMG100" s="48"/>
      <c r="JMH100" s="48"/>
      <c r="JMI100" s="48"/>
      <c r="JMJ100" s="48"/>
      <c r="JMK100" s="48"/>
      <c r="JML100" s="48"/>
      <c r="JMM100" s="48"/>
      <c r="JMN100" s="48"/>
      <c r="JMO100" s="48"/>
      <c r="JMP100" s="48"/>
      <c r="JMQ100" s="48"/>
      <c r="JMR100" s="48"/>
      <c r="JMS100" s="48"/>
      <c r="JMT100" s="48"/>
      <c r="JMU100" s="48"/>
      <c r="JMV100" s="48"/>
      <c r="JMW100" s="48"/>
      <c r="JMX100" s="48"/>
      <c r="JMY100" s="48"/>
      <c r="JMZ100" s="48"/>
      <c r="JNA100" s="48"/>
      <c r="JNB100" s="48"/>
      <c r="JNC100" s="48"/>
      <c r="JND100" s="48"/>
      <c r="JNE100" s="48"/>
      <c r="JNF100" s="48"/>
      <c r="JNG100" s="48"/>
      <c r="JNH100" s="48"/>
      <c r="JNI100" s="48"/>
      <c r="JNJ100" s="48"/>
      <c r="JNK100" s="48"/>
      <c r="JNL100" s="48"/>
      <c r="JNM100" s="48"/>
      <c r="JNN100" s="48"/>
      <c r="JNO100" s="48"/>
      <c r="JNP100" s="48"/>
      <c r="JNQ100" s="48"/>
      <c r="JNR100" s="48"/>
      <c r="JNS100" s="48"/>
      <c r="JNT100" s="48"/>
      <c r="JNU100" s="48"/>
      <c r="JNV100" s="48"/>
      <c r="JNW100" s="48"/>
      <c r="JNX100" s="48"/>
      <c r="JNY100" s="48"/>
      <c r="JNZ100" s="48"/>
      <c r="JOA100" s="48"/>
      <c r="JOB100" s="48"/>
      <c r="JOC100" s="48"/>
      <c r="JOD100" s="48"/>
      <c r="JOE100" s="48"/>
      <c r="JOF100" s="48"/>
      <c r="JOG100" s="48"/>
      <c r="JOH100" s="48"/>
      <c r="JOI100" s="48"/>
      <c r="JOJ100" s="48"/>
      <c r="JOK100" s="48"/>
      <c r="JOL100" s="48"/>
      <c r="JOM100" s="48"/>
      <c r="JON100" s="48"/>
      <c r="JOO100" s="48"/>
      <c r="JOP100" s="48"/>
      <c r="JOQ100" s="48"/>
      <c r="JOR100" s="48"/>
      <c r="JOS100" s="48"/>
      <c r="JOT100" s="48"/>
      <c r="JOU100" s="48"/>
      <c r="JOV100" s="48"/>
      <c r="JOW100" s="48"/>
      <c r="JOX100" s="48"/>
      <c r="JOY100" s="48"/>
      <c r="JOZ100" s="48"/>
      <c r="JPA100" s="48"/>
      <c r="JPB100" s="48"/>
      <c r="JPC100" s="48"/>
      <c r="JPD100" s="48"/>
      <c r="JPE100" s="48"/>
      <c r="JPF100" s="48"/>
      <c r="JPG100" s="48"/>
      <c r="JPH100" s="48"/>
      <c r="JPI100" s="48"/>
      <c r="JPJ100" s="48"/>
      <c r="JPK100" s="48"/>
      <c r="JPL100" s="48"/>
      <c r="JPM100" s="48"/>
      <c r="JPN100" s="48"/>
      <c r="JPO100" s="48"/>
      <c r="JPP100" s="48"/>
      <c r="JPQ100" s="48"/>
      <c r="JPR100" s="48"/>
      <c r="JPS100" s="48"/>
      <c r="JPT100" s="48"/>
      <c r="JPU100" s="48"/>
      <c r="JPV100" s="48"/>
      <c r="JPW100" s="48"/>
      <c r="JPX100" s="48"/>
      <c r="JPY100" s="48"/>
      <c r="JPZ100" s="48"/>
      <c r="JQA100" s="48"/>
      <c r="JQB100" s="48"/>
      <c r="JQC100" s="48"/>
      <c r="JQD100" s="48"/>
      <c r="JQE100" s="48"/>
      <c r="JQF100" s="48"/>
      <c r="JQG100" s="48"/>
      <c r="JQH100" s="48"/>
      <c r="JQI100" s="48"/>
      <c r="JQJ100" s="48"/>
      <c r="JQK100" s="48"/>
      <c r="JQL100" s="48"/>
      <c r="JQM100" s="48"/>
      <c r="JQN100" s="48"/>
      <c r="JQO100" s="48"/>
      <c r="JQP100" s="48"/>
      <c r="JQQ100" s="48"/>
      <c r="JQR100" s="48"/>
      <c r="JQS100" s="48"/>
      <c r="JQT100" s="48"/>
      <c r="JQU100" s="48"/>
      <c r="JQV100" s="48"/>
      <c r="JQW100" s="48"/>
      <c r="JQX100" s="48"/>
      <c r="JQY100" s="48"/>
      <c r="JQZ100" s="48"/>
      <c r="JRA100" s="48"/>
      <c r="JRB100" s="48"/>
      <c r="JRC100" s="48"/>
      <c r="JRD100" s="48"/>
      <c r="JRE100" s="48"/>
      <c r="JRF100" s="48"/>
      <c r="JRG100" s="48"/>
      <c r="JRH100" s="48"/>
      <c r="JRI100" s="48"/>
      <c r="JRJ100" s="48"/>
      <c r="JRK100" s="48"/>
      <c r="JRL100" s="48"/>
      <c r="JRM100" s="48"/>
      <c r="JRN100" s="48"/>
      <c r="JRO100" s="48"/>
      <c r="JRP100" s="48"/>
      <c r="JRQ100" s="48"/>
      <c r="JRR100" s="48"/>
      <c r="JRS100" s="48"/>
      <c r="JRT100" s="48"/>
      <c r="JRU100" s="48"/>
      <c r="JRV100" s="48"/>
      <c r="JRW100" s="48"/>
      <c r="JRX100" s="48"/>
      <c r="JRY100" s="48"/>
      <c r="JRZ100" s="48"/>
      <c r="JSA100" s="48"/>
      <c r="JSB100" s="48"/>
      <c r="JSC100" s="48"/>
      <c r="JSD100" s="48"/>
      <c r="JSE100" s="48"/>
      <c r="JSF100" s="48"/>
      <c r="JSG100" s="48"/>
      <c r="JSH100" s="48"/>
      <c r="JSI100" s="48"/>
      <c r="JSJ100" s="48"/>
      <c r="JSK100" s="48"/>
      <c r="JSL100" s="48"/>
      <c r="JSM100" s="48"/>
      <c r="JSN100" s="48"/>
      <c r="JSO100" s="48"/>
      <c r="JSP100" s="48"/>
      <c r="JSQ100" s="48"/>
      <c r="JSR100" s="48"/>
      <c r="JSS100" s="48"/>
      <c r="JST100" s="48"/>
      <c r="JSU100" s="48"/>
      <c r="JSV100" s="48"/>
      <c r="JSW100" s="48"/>
      <c r="JSX100" s="48"/>
      <c r="JSY100" s="48"/>
      <c r="JSZ100" s="48"/>
      <c r="JTA100" s="48"/>
      <c r="JTB100" s="48"/>
      <c r="JTC100" s="48"/>
      <c r="JTD100" s="48"/>
      <c r="JTE100" s="48"/>
      <c r="JTF100" s="48"/>
      <c r="JTG100" s="48"/>
      <c r="JTH100" s="48"/>
      <c r="JTI100" s="48"/>
      <c r="JTJ100" s="48"/>
      <c r="JTK100" s="48"/>
      <c r="JTL100" s="48"/>
      <c r="JTM100" s="48"/>
      <c r="JTN100" s="48"/>
      <c r="JTO100" s="48"/>
      <c r="JTP100" s="48"/>
      <c r="JTQ100" s="48"/>
      <c r="JTR100" s="48"/>
      <c r="JTS100" s="48"/>
      <c r="JTT100" s="48"/>
      <c r="JTU100" s="48"/>
      <c r="JTV100" s="48"/>
      <c r="JTW100" s="48"/>
      <c r="JTX100" s="48"/>
      <c r="JTY100" s="48"/>
      <c r="JTZ100" s="48"/>
      <c r="JUA100" s="48"/>
      <c r="JUB100" s="48"/>
      <c r="JUC100" s="48"/>
      <c r="JUD100" s="48"/>
      <c r="JUE100" s="48"/>
      <c r="JUF100" s="48"/>
      <c r="JUG100" s="48"/>
      <c r="JUH100" s="48"/>
      <c r="JUI100" s="48"/>
      <c r="JUJ100" s="48"/>
      <c r="JUK100" s="48"/>
      <c r="JUL100" s="48"/>
      <c r="JUM100" s="48"/>
      <c r="JUN100" s="48"/>
      <c r="JUO100" s="48"/>
      <c r="JUP100" s="48"/>
      <c r="JUQ100" s="48"/>
      <c r="JUR100" s="48"/>
      <c r="JUS100" s="48"/>
      <c r="JUT100" s="48"/>
      <c r="JUU100" s="48"/>
      <c r="JUV100" s="48"/>
      <c r="JUW100" s="48"/>
      <c r="JUX100" s="48"/>
      <c r="JUY100" s="48"/>
      <c r="JUZ100" s="48"/>
      <c r="JVA100" s="48"/>
      <c r="JVB100" s="48"/>
      <c r="JVC100" s="48"/>
      <c r="JVD100" s="48"/>
      <c r="JVE100" s="48"/>
      <c r="JVF100" s="48"/>
      <c r="JVG100" s="48"/>
      <c r="JVH100" s="48"/>
      <c r="JVI100" s="48"/>
      <c r="JVJ100" s="48"/>
      <c r="JVK100" s="48"/>
      <c r="JVL100" s="48"/>
      <c r="JVM100" s="48"/>
      <c r="JVN100" s="48"/>
      <c r="JVO100" s="48"/>
      <c r="JVP100" s="48"/>
      <c r="JVQ100" s="48"/>
      <c r="JVR100" s="48"/>
      <c r="JVS100" s="48"/>
      <c r="JVT100" s="48"/>
      <c r="JVU100" s="48"/>
      <c r="JVV100" s="48"/>
      <c r="JVW100" s="48"/>
      <c r="JVX100" s="48"/>
      <c r="JVY100" s="48"/>
      <c r="JVZ100" s="48"/>
      <c r="JWA100" s="48"/>
      <c r="JWB100" s="48"/>
      <c r="JWC100" s="48"/>
      <c r="JWD100" s="48"/>
      <c r="JWE100" s="48"/>
      <c r="JWF100" s="48"/>
      <c r="JWG100" s="48"/>
      <c r="JWH100" s="48"/>
      <c r="JWI100" s="48"/>
      <c r="JWJ100" s="48"/>
      <c r="JWK100" s="48"/>
      <c r="JWL100" s="48"/>
      <c r="JWM100" s="48"/>
      <c r="JWN100" s="48"/>
      <c r="JWO100" s="48"/>
      <c r="JWP100" s="48"/>
      <c r="JWQ100" s="48"/>
      <c r="JWR100" s="48"/>
      <c r="JWS100" s="48"/>
      <c r="JWT100" s="48"/>
      <c r="JWU100" s="48"/>
      <c r="JWV100" s="48"/>
      <c r="JWW100" s="48"/>
      <c r="JWX100" s="48"/>
      <c r="JWY100" s="48"/>
      <c r="JWZ100" s="48"/>
      <c r="JXA100" s="48"/>
      <c r="JXB100" s="48"/>
      <c r="JXC100" s="48"/>
      <c r="JXD100" s="48"/>
      <c r="JXE100" s="48"/>
      <c r="JXF100" s="48"/>
      <c r="JXG100" s="48"/>
      <c r="JXH100" s="48"/>
      <c r="JXI100" s="48"/>
      <c r="JXJ100" s="48"/>
      <c r="JXK100" s="48"/>
      <c r="JXL100" s="48"/>
      <c r="JXM100" s="48"/>
      <c r="JXN100" s="48"/>
      <c r="JXO100" s="48"/>
      <c r="JXP100" s="48"/>
      <c r="JXQ100" s="48"/>
      <c r="JXR100" s="48"/>
      <c r="JXS100" s="48"/>
      <c r="JXT100" s="48"/>
      <c r="JXU100" s="48"/>
      <c r="JXV100" s="48"/>
      <c r="JXW100" s="48"/>
      <c r="JXX100" s="48"/>
      <c r="JXY100" s="48"/>
      <c r="JXZ100" s="48"/>
      <c r="JYA100" s="48"/>
      <c r="JYB100" s="48"/>
      <c r="JYC100" s="48"/>
      <c r="JYD100" s="48"/>
      <c r="JYE100" s="48"/>
      <c r="JYF100" s="48"/>
      <c r="JYG100" s="48"/>
      <c r="JYH100" s="48"/>
      <c r="JYI100" s="48"/>
      <c r="JYJ100" s="48"/>
      <c r="JYK100" s="48"/>
      <c r="JYL100" s="48"/>
      <c r="JYM100" s="48"/>
      <c r="JYN100" s="48"/>
      <c r="JYO100" s="48"/>
      <c r="JYP100" s="48"/>
      <c r="JYQ100" s="48"/>
      <c r="JYR100" s="48"/>
      <c r="JYS100" s="48"/>
      <c r="JYT100" s="48"/>
      <c r="JYU100" s="48"/>
      <c r="JYV100" s="48"/>
      <c r="JYW100" s="48"/>
      <c r="JYX100" s="48"/>
      <c r="JYY100" s="48"/>
      <c r="JYZ100" s="48"/>
      <c r="JZA100" s="48"/>
      <c r="JZB100" s="48"/>
      <c r="JZC100" s="48"/>
      <c r="JZD100" s="48"/>
      <c r="JZE100" s="48"/>
      <c r="JZF100" s="48"/>
      <c r="JZG100" s="48"/>
      <c r="JZH100" s="48"/>
      <c r="JZI100" s="48"/>
      <c r="JZJ100" s="48"/>
      <c r="JZK100" s="48"/>
      <c r="JZL100" s="48"/>
      <c r="JZM100" s="48"/>
      <c r="JZN100" s="48"/>
      <c r="JZO100" s="48"/>
      <c r="JZP100" s="48"/>
      <c r="JZQ100" s="48"/>
      <c r="JZR100" s="48"/>
      <c r="JZS100" s="48"/>
      <c r="JZT100" s="48"/>
      <c r="JZU100" s="48"/>
      <c r="JZV100" s="48"/>
      <c r="JZW100" s="48"/>
      <c r="JZX100" s="48"/>
      <c r="JZY100" s="48"/>
      <c r="JZZ100" s="48"/>
      <c r="KAA100" s="48"/>
      <c r="KAB100" s="48"/>
      <c r="KAC100" s="48"/>
      <c r="KAD100" s="48"/>
      <c r="KAE100" s="48"/>
      <c r="KAF100" s="48"/>
      <c r="KAG100" s="48"/>
      <c r="KAH100" s="48"/>
      <c r="KAI100" s="48"/>
      <c r="KAJ100" s="48"/>
      <c r="KAK100" s="48"/>
      <c r="KAL100" s="48"/>
      <c r="KAM100" s="48"/>
      <c r="KAN100" s="48"/>
      <c r="KAO100" s="48"/>
      <c r="KAP100" s="48"/>
      <c r="KAQ100" s="48"/>
      <c r="KAR100" s="48"/>
      <c r="KAS100" s="48"/>
      <c r="KAT100" s="48"/>
      <c r="KAU100" s="48"/>
      <c r="KAV100" s="48"/>
      <c r="KAW100" s="48"/>
      <c r="KAX100" s="48"/>
      <c r="KAY100" s="48"/>
      <c r="KAZ100" s="48"/>
      <c r="KBA100" s="48"/>
      <c r="KBB100" s="48"/>
      <c r="KBC100" s="48"/>
      <c r="KBD100" s="48"/>
      <c r="KBE100" s="48"/>
      <c r="KBF100" s="48"/>
      <c r="KBG100" s="48"/>
      <c r="KBH100" s="48"/>
      <c r="KBI100" s="48"/>
      <c r="KBJ100" s="48"/>
      <c r="KBK100" s="48"/>
      <c r="KBL100" s="48"/>
      <c r="KBM100" s="48"/>
      <c r="KBN100" s="48"/>
      <c r="KBO100" s="48"/>
      <c r="KBP100" s="48"/>
      <c r="KBQ100" s="48"/>
      <c r="KBR100" s="48"/>
      <c r="KBS100" s="48"/>
      <c r="KBT100" s="48"/>
      <c r="KBU100" s="48"/>
      <c r="KBV100" s="48"/>
      <c r="KBW100" s="48"/>
      <c r="KBX100" s="48"/>
      <c r="KBY100" s="48"/>
      <c r="KBZ100" s="48"/>
      <c r="KCA100" s="48"/>
      <c r="KCB100" s="48"/>
      <c r="KCC100" s="48"/>
      <c r="KCD100" s="48"/>
      <c r="KCE100" s="48"/>
      <c r="KCF100" s="48"/>
      <c r="KCG100" s="48"/>
      <c r="KCH100" s="48"/>
      <c r="KCI100" s="48"/>
      <c r="KCJ100" s="48"/>
      <c r="KCK100" s="48"/>
      <c r="KCL100" s="48"/>
      <c r="KCM100" s="48"/>
      <c r="KCN100" s="48"/>
      <c r="KCO100" s="48"/>
      <c r="KCP100" s="48"/>
      <c r="KCQ100" s="48"/>
      <c r="KCR100" s="48"/>
      <c r="KCS100" s="48"/>
      <c r="KCT100" s="48"/>
      <c r="KCU100" s="48"/>
      <c r="KCV100" s="48"/>
      <c r="KCW100" s="48"/>
      <c r="KCX100" s="48"/>
      <c r="KCY100" s="48"/>
      <c r="KCZ100" s="48"/>
      <c r="KDA100" s="48"/>
      <c r="KDB100" s="48"/>
      <c r="KDC100" s="48"/>
      <c r="KDD100" s="48"/>
      <c r="KDE100" s="48"/>
      <c r="KDF100" s="48"/>
      <c r="KDG100" s="48"/>
      <c r="KDH100" s="48"/>
      <c r="KDI100" s="48"/>
      <c r="KDJ100" s="48"/>
      <c r="KDK100" s="48"/>
      <c r="KDL100" s="48"/>
      <c r="KDM100" s="48"/>
      <c r="KDN100" s="48"/>
      <c r="KDO100" s="48"/>
      <c r="KDP100" s="48"/>
      <c r="KDQ100" s="48"/>
      <c r="KDR100" s="48"/>
      <c r="KDS100" s="48"/>
      <c r="KDT100" s="48"/>
      <c r="KDU100" s="48"/>
      <c r="KDV100" s="48"/>
      <c r="KDW100" s="48"/>
      <c r="KDX100" s="48"/>
      <c r="KDY100" s="48"/>
      <c r="KDZ100" s="48"/>
      <c r="KEA100" s="48"/>
      <c r="KEB100" s="48"/>
      <c r="KEC100" s="48"/>
      <c r="KED100" s="48"/>
      <c r="KEE100" s="48"/>
      <c r="KEF100" s="48"/>
      <c r="KEG100" s="48"/>
      <c r="KEH100" s="48"/>
      <c r="KEI100" s="48"/>
      <c r="KEJ100" s="48"/>
      <c r="KEK100" s="48"/>
      <c r="KEL100" s="48"/>
      <c r="KEM100" s="48"/>
      <c r="KEN100" s="48"/>
      <c r="KEO100" s="48"/>
      <c r="KEP100" s="48"/>
      <c r="KEQ100" s="48"/>
      <c r="KER100" s="48"/>
      <c r="KES100" s="48"/>
      <c r="KET100" s="48"/>
      <c r="KEU100" s="48"/>
      <c r="KEV100" s="48"/>
      <c r="KEW100" s="48"/>
      <c r="KEX100" s="48"/>
      <c r="KEY100" s="48"/>
      <c r="KEZ100" s="48"/>
      <c r="KFA100" s="48"/>
      <c r="KFB100" s="48"/>
      <c r="KFC100" s="48"/>
      <c r="KFD100" s="48"/>
      <c r="KFE100" s="48"/>
      <c r="KFF100" s="48"/>
      <c r="KFG100" s="48"/>
      <c r="KFH100" s="48"/>
      <c r="KFI100" s="48"/>
      <c r="KFJ100" s="48"/>
      <c r="KFK100" s="48"/>
      <c r="KFL100" s="48"/>
      <c r="KFM100" s="48"/>
      <c r="KFN100" s="48"/>
      <c r="KFO100" s="48"/>
      <c r="KFP100" s="48"/>
      <c r="KFQ100" s="48"/>
      <c r="KFR100" s="48"/>
      <c r="KFS100" s="48"/>
      <c r="KFT100" s="48"/>
      <c r="KFU100" s="48"/>
      <c r="KFV100" s="48"/>
      <c r="KFW100" s="48"/>
      <c r="KFX100" s="48"/>
      <c r="KFY100" s="48"/>
      <c r="KFZ100" s="48"/>
      <c r="KGA100" s="48"/>
      <c r="KGB100" s="48"/>
      <c r="KGC100" s="48"/>
      <c r="KGD100" s="48"/>
      <c r="KGE100" s="48"/>
      <c r="KGF100" s="48"/>
      <c r="KGG100" s="48"/>
      <c r="KGH100" s="48"/>
      <c r="KGI100" s="48"/>
      <c r="KGJ100" s="48"/>
      <c r="KGK100" s="48"/>
      <c r="KGL100" s="48"/>
      <c r="KGM100" s="48"/>
      <c r="KGN100" s="48"/>
      <c r="KGO100" s="48"/>
      <c r="KGP100" s="48"/>
      <c r="KGQ100" s="48"/>
      <c r="KGR100" s="48"/>
      <c r="KGS100" s="48"/>
      <c r="KGT100" s="48"/>
      <c r="KGU100" s="48"/>
      <c r="KGV100" s="48"/>
      <c r="KGW100" s="48"/>
      <c r="KGX100" s="48"/>
      <c r="KGY100" s="48"/>
      <c r="KGZ100" s="48"/>
      <c r="KHA100" s="48"/>
      <c r="KHB100" s="48"/>
      <c r="KHC100" s="48"/>
      <c r="KHD100" s="48"/>
      <c r="KHE100" s="48"/>
      <c r="KHF100" s="48"/>
      <c r="KHG100" s="48"/>
      <c r="KHH100" s="48"/>
      <c r="KHI100" s="48"/>
      <c r="KHJ100" s="48"/>
      <c r="KHK100" s="48"/>
      <c r="KHL100" s="48"/>
      <c r="KHM100" s="48"/>
      <c r="KHN100" s="48"/>
      <c r="KHO100" s="48"/>
      <c r="KHP100" s="48"/>
      <c r="KHQ100" s="48"/>
      <c r="KHR100" s="48"/>
      <c r="KHS100" s="48"/>
      <c r="KHT100" s="48"/>
      <c r="KHU100" s="48"/>
      <c r="KHV100" s="48"/>
      <c r="KHW100" s="48"/>
      <c r="KHX100" s="48"/>
      <c r="KHY100" s="48"/>
      <c r="KHZ100" s="48"/>
      <c r="KIA100" s="48"/>
      <c r="KIB100" s="48"/>
      <c r="KIC100" s="48"/>
      <c r="KID100" s="48"/>
      <c r="KIE100" s="48"/>
      <c r="KIF100" s="48"/>
      <c r="KIG100" s="48"/>
      <c r="KIH100" s="48"/>
      <c r="KII100" s="48"/>
      <c r="KIJ100" s="48"/>
      <c r="KIK100" s="48"/>
      <c r="KIL100" s="48"/>
      <c r="KIM100" s="48"/>
      <c r="KIN100" s="48"/>
      <c r="KIO100" s="48"/>
      <c r="KIP100" s="48"/>
      <c r="KIQ100" s="48"/>
      <c r="KIR100" s="48"/>
      <c r="KIS100" s="48"/>
      <c r="KIT100" s="48"/>
      <c r="KIU100" s="48"/>
      <c r="KIV100" s="48"/>
      <c r="KIW100" s="48"/>
      <c r="KIX100" s="48"/>
      <c r="KIY100" s="48"/>
      <c r="KIZ100" s="48"/>
      <c r="KJA100" s="48"/>
      <c r="KJB100" s="48"/>
      <c r="KJC100" s="48"/>
      <c r="KJD100" s="48"/>
      <c r="KJE100" s="48"/>
      <c r="KJF100" s="48"/>
      <c r="KJG100" s="48"/>
      <c r="KJH100" s="48"/>
      <c r="KJI100" s="48"/>
      <c r="KJJ100" s="48"/>
      <c r="KJK100" s="48"/>
      <c r="KJL100" s="48"/>
      <c r="KJM100" s="48"/>
      <c r="KJN100" s="48"/>
      <c r="KJO100" s="48"/>
      <c r="KJP100" s="48"/>
      <c r="KJQ100" s="48"/>
      <c r="KJR100" s="48"/>
      <c r="KJS100" s="48"/>
      <c r="KJT100" s="48"/>
      <c r="KJU100" s="48"/>
      <c r="KJV100" s="48"/>
      <c r="KJW100" s="48"/>
      <c r="KJX100" s="48"/>
      <c r="KJY100" s="48"/>
      <c r="KJZ100" s="48"/>
      <c r="KKA100" s="48"/>
      <c r="KKB100" s="48"/>
      <c r="KKC100" s="48"/>
      <c r="KKD100" s="48"/>
      <c r="KKE100" s="48"/>
      <c r="KKF100" s="48"/>
      <c r="KKG100" s="48"/>
      <c r="KKH100" s="48"/>
      <c r="KKI100" s="48"/>
      <c r="KKJ100" s="48"/>
      <c r="KKK100" s="48"/>
      <c r="KKL100" s="48"/>
      <c r="KKM100" s="48"/>
      <c r="KKN100" s="48"/>
      <c r="KKO100" s="48"/>
      <c r="KKP100" s="48"/>
      <c r="KKQ100" s="48"/>
      <c r="KKR100" s="48"/>
      <c r="KKS100" s="48"/>
      <c r="KKT100" s="48"/>
      <c r="KKU100" s="48"/>
      <c r="KKV100" s="48"/>
      <c r="KKW100" s="48"/>
      <c r="KKX100" s="48"/>
      <c r="KKY100" s="48"/>
      <c r="KKZ100" s="48"/>
      <c r="KLA100" s="48"/>
      <c r="KLB100" s="48"/>
      <c r="KLC100" s="48"/>
      <c r="KLD100" s="48"/>
      <c r="KLE100" s="48"/>
      <c r="KLF100" s="48"/>
      <c r="KLG100" s="48"/>
      <c r="KLH100" s="48"/>
      <c r="KLI100" s="48"/>
      <c r="KLJ100" s="48"/>
      <c r="KLK100" s="48"/>
      <c r="KLL100" s="48"/>
      <c r="KLM100" s="48"/>
      <c r="KLN100" s="48"/>
      <c r="KLO100" s="48"/>
      <c r="KLP100" s="48"/>
      <c r="KLQ100" s="48"/>
      <c r="KLR100" s="48"/>
      <c r="KLS100" s="48"/>
      <c r="KLT100" s="48"/>
      <c r="KLU100" s="48"/>
      <c r="KLV100" s="48"/>
      <c r="KLW100" s="48"/>
      <c r="KLX100" s="48"/>
      <c r="KLY100" s="48"/>
      <c r="KLZ100" s="48"/>
      <c r="KMA100" s="48"/>
      <c r="KMB100" s="48"/>
      <c r="KMC100" s="48"/>
      <c r="KMD100" s="48"/>
      <c r="KME100" s="48"/>
      <c r="KMF100" s="48"/>
      <c r="KMG100" s="48"/>
      <c r="KMH100" s="48"/>
      <c r="KMI100" s="48"/>
      <c r="KMJ100" s="48"/>
      <c r="KMK100" s="48"/>
      <c r="KML100" s="48"/>
      <c r="KMM100" s="48"/>
      <c r="KMN100" s="48"/>
      <c r="KMO100" s="48"/>
      <c r="KMP100" s="48"/>
      <c r="KMQ100" s="48"/>
      <c r="KMR100" s="48"/>
      <c r="KMS100" s="48"/>
      <c r="KMT100" s="48"/>
      <c r="KMU100" s="48"/>
      <c r="KMV100" s="48"/>
      <c r="KMW100" s="48"/>
      <c r="KMX100" s="48"/>
      <c r="KMY100" s="48"/>
      <c r="KMZ100" s="48"/>
      <c r="KNA100" s="48"/>
      <c r="KNB100" s="48"/>
      <c r="KNC100" s="48"/>
      <c r="KND100" s="48"/>
      <c r="KNE100" s="48"/>
      <c r="KNF100" s="48"/>
      <c r="KNG100" s="48"/>
      <c r="KNH100" s="48"/>
      <c r="KNI100" s="48"/>
      <c r="KNJ100" s="48"/>
      <c r="KNK100" s="48"/>
      <c r="KNL100" s="48"/>
      <c r="KNM100" s="48"/>
      <c r="KNN100" s="48"/>
      <c r="KNO100" s="48"/>
      <c r="KNP100" s="48"/>
      <c r="KNQ100" s="48"/>
      <c r="KNR100" s="48"/>
      <c r="KNS100" s="48"/>
      <c r="KNT100" s="48"/>
      <c r="KNU100" s="48"/>
      <c r="KNV100" s="48"/>
      <c r="KNW100" s="48"/>
      <c r="KNX100" s="48"/>
      <c r="KNY100" s="48"/>
      <c r="KNZ100" s="48"/>
      <c r="KOA100" s="48"/>
      <c r="KOB100" s="48"/>
      <c r="KOC100" s="48"/>
      <c r="KOD100" s="48"/>
      <c r="KOE100" s="48"/>
      <c r="KOF100" s="48"/>
      <c r="KOG100" s="48"/>
      <c r="KOH100" s="48"/>
      <c r="KOI100" s="48"/>
      <c r="KOJ100" s="48"/>
      <c r="KOK100" s="48"/>
      <c r="KOL100" s="48"/>
      <c r="KOM100" s="48"/>
      <c r="KON100" s="48"/>
      <c r="KOO100" s="48"/>
      <c r="KOP100" s="48"/>
      <c r="KOQ100" s="48"/>
      <c r="KOR100" s="48"/>
      <c r="KOS100" s="48"/>
      <c r="KOT100" s="48"/>
      <c r="KOU100" s="48"/>
      <c r="KOV100" s="48"/>
      <c r="KOW100" s="48"/>
      <c r="KOX100" s="48"/>
      <c r="KOY100" s="48"/>
      <c r="KOZ100" s="48"/>
      <c r="KPA100" s="48"/>
      <c r="KPB100" s="48"/>
      <c r="KPC100" s="48"/>
      <c r="KPD100" s="48"/>
      <c r="KPE100" s="48"/>
      <c r="KPF100" s="48"/>
      <c r="KPG100" s="48"/>
      <c r="KPH100" s="48"/>
      <c r="KPI100" s="48"/>
      <c r="KPJ100" s="48"/>
      <c r="KPK100" s="48"/>
      <c r="KPL100" s="48"/>
      <c r="KPM100" s="48"/>
      <c r="KPN100" s="48"/>
      <c r="KPO100" s="48"/>
      <c r="KPP100" s="48"/>
      <c r="KPQ100" s="48"/>
      <c r="KPR100" s="48"/>
      <c r="KPS100" s="48"/>
      <c r="KPT100" s="48"/>
      <c r="KPU100" s="48"/>
      <c r="KPV100" s="48"/>
      <c r="KPW100" s="48"/>
      <c r="KPX100" s="48"/>
      <c r="KPY100" s="48"/>
      <c r="KPZ100" s="48"/>
      <c r="KQA100" s="48"/>
      <c r="KQB100" s="48"/>
      <c r="KQC100" s="48"/>
      <c r="KQD100" s="48"/>
      <c r="KQE100" s="48"/>
      <c r="KQF100" s="48"/>
      <c r="KQG100" s="48"/>
      <c r="KQH100" s="48"/>
      <c r="KQI100" s="48"/>
      <c r="KQJ100" s="48"/>
      <c r="KQK100" s="48"/>
      <c r="KQL100" s="48"/>
      <c r="KQM100" s="48"/>
      <c r="KQN100" s="48"/>
      <c r="KQO100" s="48"/>
      <c r="KQP100" s="48"/>
      <c r="KQQ100" s="48"/>
      <c r="KQR100" s="48"/>
      <c r="KQS100" s="48"/>
      <c r="KQT100" s="48"/>
      <c r="KQU100" s="48"/>
      <c r="KQV100" s="48"/>
      <c r="KQW100" s="48"/>
      <c r="KQX100" s="48"/>
      <c r="KQY100" s="48"/>
      <c r="KQZ100" s="48"/>
      <c r="KRA100" s="48"/>
      <c r="KRB100" s="48"/>
      <c r="KRC100" s="48"/>
      <c r="KRD100" s="48"/>
      <c r="KRE100" s="48"/>
      <c r="KRF100" s="48"/>
      <c r="KRG100" s="48"/>
      <c r="KRH100" s="48"/>
      <c r="KRI100" s="48"/>
      <c r="KRJ100" s="48"/>
      <c r="KRK100" s="48"/>
      <c r="KRL100" s="48"/>
      <c r="KRM100" s="48"/>
      <c r="KRN100" s="48"/>
      <c r="KRO100" s="48"/>
      <c r="KRP100" s="48"/>
      <c r="KRQ100" s="48"/>
      <c r="KRR100" s="48"/>
      <c r="KRS100" s="48"/>
      <c r="KRT100" s="48"/>
      <c r="KRU100" s="48"/>
      <c r="KRV100" s="48"/>
      <c r="KRW100" s="48"/>
      <c r="KRX100" s="48"/>
      <c r="KRY100" s="48"/>
      <c r="KRZ100" s="48"/>
      <c r="KSA100" s="48"/>
      <c r="KSB100" s="48"/>
      <c r="KSC100" s="48"/>
      <c r="KSD100" s="48"/>
      <c r="KSE100" s="48"/>
      <c r="KSF100" s="48"/>
      <c r="KSG100" s="48"/>
      <c r="KSH100" s="48"/>
      <c r="KSI100" s="48"/>
      <c r="KSJ100" s="48"/>
      <c r="KSK100" s="48"/>
      <c r="KSL100" s="48"/>
      <c r="KSM100" s="48"/>
      <c r="KSN100" s="48"/>
      <c r="KSO100" s="48"/>
      <c r="KSP100" s="48"/>
      <c r="KSQ100" s="48"/>
      <c r="KSR100" s="48"/>
      <c r="KSS100" s="48"/>
      <c r="KST100" s="48"/>
      <c r="KSU100" s="48"/>
      <c r="KSV100" s="48"/>
      <c r="KSW100" s="48"/>
      <c r="KSX100" s="48"/>
      <c r="KSY100" s="48"/>
      <c r="KSZ100" s="48"/>
      <c r="KTA100" s="48"/>
      <c r="KTB100" s="48"/>
      <c r="KTC100" s="48"/>
      <c r="KTD100" s="48"/>
      <c r="KTE100" s="48"/>
      <c r="KTF100" s="48"/>
      <c r="KTG100" s="48"/>
      <c r="KTH100" s="48"/>
      <c r="KTI100" s="48"/>
      <c r="KTJ100" s="48"/>
      <c r="KTK100" s="48"/>
      <c r="KTL100" s="48"/>
      <c r="KTM100" s="48"/>
      <c r="KTN100" s="48"/>
      <c r="KTO100" s="48"/>
      <c r="KTP100" s="48"/>
      <c r="KTQ100" s="48"/>
      <c r="KTR100" s="48"/>
      <c r="KTS100" s="48"/>
      <c r="KTT100" s="48"/>
      <c r="KTU100" s="48"/>
      <c r="KTV100" s="48"/>
      <c r="KTW100" s="48"/>
      <c r="KTX100" s="48"/>
      <c r="KTY100" s="48"/>
      <c r="KTZ100" s="48"/>
      <c r="KUA100" s="48"/>
      <c r="KUB100" s="48"/>
      <c r="KUC100" s="48"/>
      <c r="KUD100" s="48"/>
      <c r="KUE100" s="48"/>
      <c r="KUF100" s="48"/>
      <c r="KUG100" s="48"/>
      <c r="KUH100" s="48"/>
      <c r="KUI100" s="48"/>
      <c r="KUJ100" s="48"/>
      <c r="KUK100" s="48"/>
      <c r="KUL100" s="48"/>
      <c r="KUM100" s="48"/>
      <c r="KUN100" s="48"/>
      <c r="KUO100" s="48"/>
      <c r="KUP100" s="48"/>
      <c r="KUQ100" s="48"/>
      <c r="KUR100" s="48"/>
      <c r="KUS100" s="48"/>
      <c r="KUT100" s="48"/>
      <c r="KUU100" s="48"/>
      <c r="KUV100" s="48"/>
      <c r="KUW100" s="48"/>
      <c r="KUX100" s="48"/>
      <c r="KUY100" s="48"/>
      <c r="KUZ100" s="48"/>
      <c r="KVA100" s="48"/>
      <c r="KVB100" s="48"/>
      <c r="KVC100" s="48"/>
      <c r="KVD100" s="48"/>
      <c r="KVE100" s="48"/>
      <c r="KVF100" s="48"/>
      <c r="KVG100" s="48"/>
      <c r="KVH100" s="48"/>
      <c r="KVI100" s="48"/>
      <c r="KVJ100" s="48"/>
      <c r="KVK100" s="48"/>
      <c r="KVL100" s="48"/>
      <c r="KVM100" s="48"/>
      <c r="KVN100" s="48"/>
      <c r="KVO100" s="48"/>
      <c r="KVP100" s="48"/>
      <c r="KVQ100" s="48"/>
      <c r="KVR100" s="48"/>
      <c r="KVS100" s="48"/>
      <c r="KVT100" s="48"/>
      <c r="KVU100" s="48"/>
      <c r="KVV100" s="48"/>
      <c r="KVW100" s="48"/>
      <c r="KVX100" s="48"/>
      <c r="KVY100" s="48"/>
      <c r="KVZ100" s="48"/>
      <c r="KWA100" s="48"/>
      <c r="KWB100" s="48"/>
      <c r="KWC100" s="48"/>
      <c r="KWD100" s="48"/>
      <c r="KWE100" s="48"/>
      <c r="KWF100" s="48"/>
      <c r="KWG100" s="48"/>
      <c r="KWH100" s="48"/>
      <c r="KWI100" s="48"/>
      <c r="KWJ100" s="48"/>
      <c r="KWK100" s="48"/>
      <c r="KWL100" s="48"/>
      <c r="KWM100" s="48"/>
      <c r="KWN100" s="48"/>
      <c r="KWO100" s="48"/>
      <c r="KWP100" s="48"/>
      <c r="KWQ100" s="48"/>
      <c r="KWR100" s="48"/>
      <c r="KWS100" s="48"/>
      <c r="KWT100" s="48"/>
      <c r="KWU100" s="48"/>
      <c r="KWV100" s="48"/>
      <c r="KWW100" s="48"/>
      <c r="KWX100" s="48"/>
      <c r="KWY100" s="48"/>
      <c r="KWZ100" s="48"/>
      <c r="KXA100" s="48"/>
      <c r="KXB100" s="48"/>
      <c r="KXC100" s="48"/>
      <c r="KXD100" s="48"/>
      <c r="KXE100" s="48"/>
      <c r="KXF100" s="48"/>
      <c r="KXG100" s="48"/>
      <c r="KXH100" s="48"/>
      <c r="KXI100" s="48"/>
      <c r="KXJ100" s="48"/>
      <c r="KXK100" s="48"/>
      <c r="KXL100" s="48"/>
      <c r="KXM100" s="48"/>
      <c r="KXN100" s="48"/>
      <c r="KXO100" s="48"/>
      <c r="KXP100" s="48"/>
      <c r="KXQ100" s="48"/>
      <c r="KXR100" s="48"/>
      <c r="KXS100" s="48"/>
      <c r="KXT100" s="48"/>
      <c r="KXU100" s="48"/>
      <c r="KXV100" s="48"/>
      <c r="KXW100" s="48"/>
      <c r="KXX100" s="48"/>
      <c r="KXY100" s="48"/>
      <c r="KXZ100" s="48"/>
      <c r="KYA100" s="48"/>
      <c r="KYB100" s="48"/>
      <c r="KYC100" s="48"/>
      <c r="KYD100" s="48"/>
      <c r="KYE100" s="48"/>
      <c r="KYF100" s="48"/>
      <c r="KYG100" s="48"/>
      <c r="KYH100" s="48"/>
      <c r="KYI100" s="48"/>
      <c r="KYJ100" s="48"/>
      <c r="KYK100" s="48"/>
      <c r="KYL100" s="48"/>
      <c r="KYM100" s="48"/>
      <c r="KYN100" s="48"/>
      <c r="KYO100" s="48"/>
      <c r="KYP100" s="48"/>
      <c r="KYQ100" s="48"/>
      <c r="KYR100" s="48"/>
      <c r="KYS100" s="48"/>
      <c r="KYT100" s="48"/>
      <c r="KYU100" s="48"/>
      <c r="KYV100" s="48"/>
      <c r="KYW100" s="48"/>
      <c r="KYX100" s="48"/>
      <c r="KYY100" s="48"/>
      <c r="KYZ100" s="48"/>
      <c r="KZA100" s="48"/>
      <c r="KZB100" s="48"/>
      <c r="KZC100" s="48"/>
      <c r="KZD100" s="48"/>
      <c r="KZE100" s="48"/>
      <c r="KZF100" s="48"/>
      <c r="KZG100" s="48"/>
      <c r="KZH100" s="48"/>
      <c r="KZI100" s="48"/>
      <c r="KZJ100" s="48"/>
      <c r="KZK100" s="48"/>
      <c r="KZL100" s="48"/>
      <c r="KZM100" s="48"/>
      <c r="KZN100" s="48"/>
      <c r="KZO100" s="48"/>
      <c r="KZP100" s="48"/>
      <c r="KZQ100" s="48"/>
      <c r="KZR100" s="48"/>
      <c r="KZS100" s="48"/>
      <c r="KZT100" s="48"/>
      <c r="KZU100" s="48"/>
      <c r="KZV100" s="48"/>
      <c r="KZW100" s="48"/>
      <c r="KZX100" s="48"/>
      <c r="KZY100" s="48"/>
      <c r="KZZ100" s="48"/>
      <c r="LAA100" s="48"/>
      <c r="LAB100" s="48"/>
      <c r="LAC100" s="48"/>
      <c r="LAD100" s="48"/>
      <c r="LAE100" s="48"/>
      <c r="LAF100" s="48"/>
      <c r="LAG100" s="48"/>
      <c r="LAH100" s="48"/>
      <c r="LAI100" s="48"/>
      <c r="LAJ100" s="48"/>
      <c r="LAK100" s="48"/>
      <c r="LAL100" s="48"/>
      <c r="LAM100" s="48"/>
      <c r="LAN100" s="48"/>
      <c r="LAO100" s="48"/>
      <c r="LAP100" s="48"/>
      <c r="LAQ100" s="48"/>
      <c r="LAR100" s="48"/>
      <c r="LAS100" s="48"/>
      <c r="LAT100" s="48"/>
      <c r="LAU100" s="48"/>
      <c r="LAV100" s="48"/>
      <c r="LAW100" s="48"/>
      <c r="LAX100" s="48"/>
      <c r="LAY100" s="48"/>
      <c r="LAZ100" s="48"/>
      <c r="LBA100" s="48"/>
      <c r="LBB100" s="48"/>
      <c r="LBC100" s="48"/>
      <c r="LBD100" s="48"/>
      <c r="LBE100" s="48"/>
      <c r="LBF100" s="48"/>
      <c r="LBG100" s="48"/>
      <c r="LBH100" s="48"/>
      <c r="LBI100" s="48"/>
      <c r="LBJ100" s="48"/>
      <c r="LBK100" s="48"/>
      <c r="LBL100" s="48"/>
      <c r="LBM100" s="48"/>
      <c r="LBN100" s="48"/>
      <c r="LBO100" s="48"/>
      <c r="LBP100" s="48"/>
      <c r="LBQ100" s="48"/>
      <c r="LBR100" s="48"/>
      <c r="LBS100" s="48"/>
      <c r="LBT100" s="48"/>
      <c r="LBU100" s="48"/>
      <c r="LBV100" s="48"/>
      <c r="LBW100" s="48"/>
      <c r="LBX100" s="48"/>
      <c r="LBY100" s="48"/>
      <c r="LBZ100" s="48"/>
      <c r="LCA100" s="48"/>
      <c r="LCB100" s="48"/>
      <c r="LCC100" s="48"/>
      <c r="LCD100" s="48"/>
      <c r="LCE100" s="48"/>
      <c r="LCF100" s="48"/>
      <c r="LCG100" s="48"/>
      <c r="LCH100" s="48"/>
      <c r="LCI100" s="48"/>
      <c r="LCJ100" s="48"/>
      <c r="LCK100" s="48"/>
      <c r="LCL100" s="48"/>
      <c r="LCM100" s="48"/>
      <c r="LCN100" s="48"/>
      <c r="LCO100" s="48"/>
      <c r="LCP100" s="48"/>
      <c r="LCQ100" s="48"/>
      <c r="LCR100" s="48"/>
      <c r="LCS100" s="48"/>
      <c r="LCT100" s="48"/>
      <c r="LCU100" s="48"/>
      <c r="LCV100" s="48"/>
      <c r="LCW100" s="48"/>
      <c r="LCX100" s="48"/>
      <c r="LCY100" s="48"/>
      <c r="LCZ100" s="48"/>
      <c r="LDA100" s="48"/>
      <c r="LDB100" s="48"/>
      <c r="LDC100" s="48"/>
      <c r="LDD100" s="48"/>
      <c r="LDE100" s="48"/>
      <c r="LDF100" s="48"/>
      <c r="LDG100" s="48"/>
      <c r="LDH100" s="48"/>
      <c r="LDI100" s="48"/>
      <c r="LDJ100" s="48"/>
      <c r="LDK100" s="48"/>
      <c r="LDL100" s="48"/>
      <c r="LDM100" s="48"/>
      <c r="LDN100" s="48"/>
      <c r="LDO100" s="48"/>
      <c r="LDP100" s="48"/>
      <c r="LDQ100" s="48"/>
      <c r="LDR100" s="48"/>
      <c r="LDS100" s="48"/>
      <c r="LDT100" s="48"/>
      <c r="LDU100" s="48"/>
      <c r="LDV100" s="48"/>
      <c r="LDW100" s="48"/>
      <c r="LDX100" s="48"/>
      <c r="LDY100" s="48"/>
      <c r="LDZ100" s="48"/>
      <c r="LEA100" s="48"/>
      <c r="LEB100" s="48"/>
      <c r="LEC100" s="48"/>
      <c r="LED100" s="48"/>
      <c r="LEE100" s="48"/>
      <c r="LEF100" s="48"/>
      <c r="LEG100" s="48"/>
      <c r="LEH100" s="48"/>
      <c r="LEI100" s="48"/>
      <c r="LEJ100" s="48"/>
      <c r="LEK100" s="48"/>
      <c r="LEL100" s="48"/>
      <c r="LEM100" s="48"/>
      <c r="LEN100" s="48"/>
      <c r="LEO100" s="48"/>
      <c r="LEP100" s="48"/>
      <c r="LEQ100" s="48"/>
      <c r="LER100" s="48"/>
      <c r="LES100" s="48"/>
      <c r="LET100" s="48"/>
      <c r="LEU100" s="48"/>
      <c r="LEV100" s="48"/>
      <c r="LEW100" s="48"/>
      <c r="LEX100" s="48"/>
      <c r="LEY100" s="48"/>
      <c r="LEZ100" s="48"/>
      <c r="LFA100" s="48"/>
      <c r="LFB100" s="48"/>
      <c r="LFC100" s="48"/>
      <c r="LFD100" s="48"/>
      <c r="LFE100" s="48"/>
      <c r="LFF100" s="48"/>
      <c r="LFG100" s="48"/>
      <c r="LFH100" s="48"/>
      <c r="LFI100" s="48"/>
      <c r="LFJ100" s="48"/>
      <c r="LFK100" s="48"/>
      <c r="LFL100" s="48"/>
      <c r="LFM100" s="48"/>
      <c r="LFN100" s="48"/>
      <c r="LFO100" s="48"/>
      <c r="LFP100" s="48"/>
      <c r="LFQ100" s="48"/>
      <c r="LFR100" s="48"/>
      <c r="LFS100" s="48"/>
      <c r="LFT100" s="48"/>
      <c r="LFU100" s="48"/>
      <c r="LFV100" s="48"/>
      <c r="LFW100" s="48"/>
      <c r="LFX100" s="48"/>
      <c r="LFY100" s="48"/>
      <c r="LFZ100" s="48"/>
      <c r="LGA100" s="48"/>
      <c r="LGB100" s="48"/>
      <c r="LGC100" s="48"/>
      <c r="LGD100" s="48"/>
      <c r="LGE100" s="48"/>
      <c r="LGF100" s="48"/>
      <c r="LGG100" s="48"/>
      <c r="LGH100" s="48"/>
      <c r="LGI100" s="48"/>
      <c r="LGJ100" s="48"/>
      <c r="LGK100" s="48"/>
      <c r="LGL100" s="48"/>
      <c r="LGM100" s="48"/>
      <c r="LGN100" s="48"/>
      <c r="LGO100" s="48"/>
      <c r="LGP100" s="48"/>
      <c r="LGQ100" s="48"/>
      <c r="LGR100" s="48"/>
      <c r="LGS100" s="48"/>
      <c r="LGT100" s="48"/>
      <c r="LGU100" s="48"/>
      <c r="LGV100" s="48"/>
      <c r="LGW100" s="48"/>
      <c r="LGX100" s="48"/>
      <c r="LGY100" s="48"/>
      <c r="LGZ100" s="48"/>
      <c r="LHA100" s="48"/>
      <c r="LHB100" s="48"/>
      <c r="LHC100" s="48"/>
      <c r="LHD100" s="48"/>
      <c r="LHE100" s="48"/>
      <c r="LHF100" s="48"/>
      <c r="LHG100" s="48"/>
      <c r="LHH100" s="48"/>
      <c r="LHI100" s="48"/>
      <c r="LHJ100" s="48"/>
      <c r="LHK100" s="48"/>
      <c r="LHL100" s="48"/>
      <c r="LHM100" s="48"/>
      <c r="LHN100" s="48"/>
      <c r="LHO100" s="48"/>
      <c r="LHP100" s="48"/>
      <c r="LHQ100" s="48"/>
      <c r="LHR100" s="48"/>
      <c r="LHS100" s="48"/>
      <c r="LHT100" s="48"/>
      <c r="LHU100" s="48"/>
      <c r="LHV100" s="48"/>
      <c r="LHW100" s="48"/>
      <c r="LHX100" s="48"/>
      <c r="LHY100" s="48"/>
      <c r="LHZ100" s="48"/>
      <c r="LIA100" s="48"/>
      <c r="LIB100" s="48"/>
      <c r="LIC100" s="48"/>
      <c r="LID100" s="48"/>
      <c r="LIE100" s="48"/>
      <c r="LIF100" s="48"/>
      <c r="LIG100" s="48"/>
      <c r="LIH100" s="48"/>
      <c r="LII100" s="48"/>
      <c r="LIJ100" s="48"/>
      <c r="LIK100" s="48"/>
      <c r="LIL100" s="48"/>
      <c r="LIM100" s="48"/>
      <c r="LIN100" s="48"/>
      <c r="LIO100" s="48"/>
      <c r="LIP100" s="48"/>
      <c r="LIQ100" s="48"/>
      <c r="LIR100" s="48"/>
      <c r="LIS100" s="48"/>
      <c r="LIT100" s="48"/>
      <c r="LIU100" s="48"/>
      <c r="LIV100" s="48"/>
      <c r="LIW100" s="48"/>
      <c r="LIX100" s="48"/>
      <c r="LIY100" s="48"/>
      <c r="LIZ100" s="48"/>
      <c r="LJA100" s="48"/>
      <c r="LJB100" s="48"/>
      <c r="LJC100" s="48"/>
      <c r="LJD100" s="48"/>
      <c r="LJE100" s="48"/>
      <c r="LJF100" s="48"/>
      <c r="LJG100" s="48"/>
      <c r="LJH100" s="48"/>
      <c r="LJI100" s="48"/>
      <c r="LJJ100" s="48"/>
      <c r="LJK100" s="48"/>
      <c r="LJL100" s="48"/>
      <c r="LJM100" s="48"/>
      <c r="LJN100" s="48"/>
      <c r="LJO100" s="48"/>
      <c r="LJP100" s="48"/>
      <c r="LJQ100" s="48"/>
      <c r="LJR100" s="48"/>
      <c r="LJS100" s="48"/>
      <c r="LJT100" s="48"/>
      <c r="LJU100" s="48"/>
      <c r="LJV100" s="48"/>
      <c r="LJW100" s="48"/>
      <c r="LJX100" s="48"/>
      <c r="LJY100" s="48"/>
      <c r="LJZ100" s="48"/>
      <c r="LKA100" s="48"/>
      <c r="LKB100" s="48"/>
      <c r="LKC100" s="48"/>
      <c r="LKD100" s="48"/>
      <c r="LKE100" s="48"/>
      <c r="LKF100" s="48"/>
      <c r="LKG100" s="48"/>
      <c r="LKH100" s="48"/>
      <c r="LKI100" s="48"/>
      <c r="LKJ100" s="48"/>
      <c r="LKK100" s="48"/>
      <c r="LKL100" s="48"/>
      <c r="LKM100" s="48"/>
      <c r="LKN100" s="48"/>
      <c r="LKO100" s="48"/>
      <c r="LKP100" s="48"/>
      <c r="LKQ100" s="48"/>
      <c r="LKR100" s="48"/>
      <c r="LKS100" s="48"/>
      <c r="LKT100" s="48"/>
      <c r="LKU100" s="48"/>
      <c r="LKV100" s="48"/>
      <c r="LKW100" s="48"/>
      <c r="LKX100" s="48"/>
      <c r="LKY100" s="48"/>
      <c r="LKZ100" s="48"/>
      <c r="LLA100" s="48"/>
      <c r="LLB100" s="48"/>
      <c r="LLC100" s="48"/>
      <c r="LLD100" s="48"/>
      <c r="LLE100" s="48"/>
      <c r="LLF100" s="48"/>
      <c r="LLG100" s="48"/>
      <c r="LLH100" s="48"/>
      <c r="LLI100" s="48"/>
      <c r="LLJ100" s="48"/>
      <c r="LLK100" s="48"/>
      <c r="LLL100" s="48"/>
      <c r="LLM100" s="48"/>
      <c r="LLN100" s="48"/>
      <c r="LLO100" s="48"/>
      <c r="LLP100" s="48"/>
      <c r="LLQ100" s="48"/>
      <c r="LLR100" s="48"/>
      <c r="LLS100" s="48"/>
      <c r="LLT100" s="48"/>
      <c r="LLU100" s="48"/>
      <c r="LLV100" s="48"/>
      <c r="LLW100" s="48"/>
      <c r="LLX100" s="48"/>
      <c r="LLY100" s="48"/>
      <c r="LLZ100" s="48"/>
      <c r="LMA100" s="48"/>
      <c r="LMB100" s="48"/>
      <c r="LMC100" s="48"/>
      <c r="LMD100" s="48"/>
      <c r="LME100" s="48"/>
      <c r="LMF100" s="48"/>
      <c r="LMG100" s="48"/>
      <c r="LMH100" s="48"/>
      <c r="LMI100" s="48"/>
      <c r="LMJ100" s="48"/>
      <c r="LMK100" s="48"/>
      <c r="LML100" s="48"/>
      <c r="LMM100" s="48"/>
      <c r="LMN100" s="48"/>
      <c r="LMO100" s="48"/>
      <c r="LMP100" s="48"/>
      <c r="LMQ100" s="48"/>
      <c r="LMR100" s="48"/>
      <c r="LMS100" s="48"/>
      <c r="LMT100" s="48"/>
      <c r="LMU100" s="48"/>
      <c r="LMV100" s="48"/>
      <c r="LMW100" s="48"/>
      <c r="LMX100" s="48"/>
      <c r="LMY100" s="48"/>
      <c r="LMZ100" s="48"/>
      <c r="LNA100" s="48"/>
      <c r="LNB100" s="48"/>
      <c r="LNC100" s="48"/>
      <c r="LND100" s="48"/>
      <c r="LNE100" s="48"/>
      <c r="LNF100" s="48"/>
      <c r="LNG100" s="48"/>
      <c r="LNH100" s="48"/>
      <c r="LNI100" s="48"/>
      <c r="LNJ100" s="48"/>
      <c r="LNK100" s="48"/>
      <c r="LNL100" s="48"/>
      <c r="LNM100" s="48"/>
      <c r="LNN100" s="48"/>
      <c r="LNO100" s="48"/>
      <c r="LNP100" s="48"/>
      <c r="LNQ100" s="48"/>
      <c r="LNR100" s="48"/>
      <c r="LNS100" s="48"/>
      <c r="LNT100" s="48"/>
      <c r="LNU100" s="48"/>
      <c r="LNV100" s="48"/>
      <c r="LNW100" s="48"/>
      <c r="LNX100" s="48"/>
      <c r="LNY100" s="48"/>
      <c r="LNZ100" s="48"/>
      <c r="LOA100" s="48"/>
      <c r="LOB100" s="48"/>
      <c r="LOC100" s="48"/>
      <c r="LOD100" s="48"/>
      <c r="LOE100" s="48"/>
      <c r="LOF100" s="48"/>
      <c r="LOG100" s="48"/>
      <c r="LOH100" s="48"/>
      <c r="LOI100" s="48"/>
      <c r="LOJ100" s="48"/>
      <c r="LOK100" s="48"/>
      <c r="LOL100" s="48"/>
      <c r="LOM100" s="48"/>
      <c r="LON100" s="48"/>
      <c r="LOO100" s="48"/>
      <c r="LOP100" s="48"/>
      <c r="LOQ100" s="48"/>
      <c r="LOR100" s="48"/>
      <c r="LOS100" s="48"/>
      <c r="LOT100" s="48"/>
      <c r="LOU100" s="48"/>
      <c r="LOV100" s="48"/>
      <c r="LOW100" s="48"/>
      <c r="LOX100" s="48"/>
      <c r="LOY100" s="48"/>
      <c r="LOZ100" s="48"/>
      <c r="LPA100" s="48"/>
      <c r="LPB100" s="48"/>
      <c r="LPC100" s="48"/>
      <c r="LPD100" s="48"/>
      <c r="LPE100" s="48"/>
      <c r="LPF100" s="48"/>
      <c r="LPG100" s="48"/>
      <c r="LPH100" s="48"/>
      <c r="LPI100" s="48"/>
      <c r="LPJ100" s="48"/>
      <c r="LPK100" s="48"/>
      <c r="LPL100" s="48"/>
      <c r="LPM100" s="48"/>
      <c r="LPN100" s="48"/>
      <c r="LPO100" s="48"/>
      <c r="LPP100" s="48"/>
      <c r="LPQ100" s="48"/>
      <c r="LPR100" s="48"/>
      <c r="LPS100" s="48"/>
      <c r="LPT100" s="48"/>
      <c r="LPU100" s="48"/>
      <c r="LPV100" s="48"/>
      <c r="LPW100" s="48"/>
      <c r="LPX100" s="48"/>
      <c r="LPY100" s="48"/>
      <c r="LPZ100" s="48"/>
      <c r="LQA100" s="48"/>
      <c r="LQB100" s="48"/>
      <c r="LQC100" s="48"/>
      <c r="LQD100" s="48"/>
      <c r="LQE100" s="48"/>
      <c r="LQF100" s="48"/>
      <c r="LQG100" s="48"/>
      <c r="LQH100" s="48"/>
      <c r="LQI100" s="48"/>
      <c r="LQJ100" s="48"/>
      <c r="LQK100" s="48"/>
      <c r="LQL100" s="48"/>
      <c r="LQM100" s="48"/>
      <c r="LQN100" s="48"/>
      <c r="LQO100" s="48"/>
      <c r="LQP100" s="48"/>
      <c r="LQQ100" s="48"/>
      <c r="LQR100" s="48"/>
      <c r="LQS100" s="48"/>
      <c r="LQT100" s="48"/>
      <c r="LQU100" s="48"/>
      <c r="LQV100" s="48"/>
      <c r="LQW100" s="48"/>
      <c r="LQX100" s="48"/>
      <c r="LQY100" s="48"/>
      <c r="LQZ100" s="48"/>
      <c r="LRA100" s="48"/>
      <c r="LRB100" s="48"/>
      <c r="LRC100" s="48"/>
      <c r="LRD100" s="48"/>
      <c r="LRE100" s="48"/>
      <c r="LRF100" s="48"/>
      <c r="LRG100" s="48"/>
      <c r="LRH100" s="48"/>
      <c r="LRI100" s="48"/>
      <c r="LRJ100" s="48"/>
      <c r="LRK100" s="48"/>
      <c r="LRL100" s="48"/>
      <c r="LRM100" s="48"/>
      <c r="LRN100" s="48"/>
      <c r="LRO100" s="48"/>
      <c r="LRP100" s="48"/>
      <c r="LRQ100" s="48"/>
      <c r="LRR100" s="48"/>
      <c r="LRS100" s="48"/>
      <c r="LRT100" s="48"/>
      <c r="LRU100" s="48"/>
      <c r="LRV100" s="48"/>
      <c r="LRW100" s="48"/>
      <c r="LRX100" s="48"/>
      <c r="LRY100" s="48"/>
      <c r="LRZ100" s="48"/>
      <c r="LSA100" s="48"/>
      <c r="LSB100" s="48"/>
      <c r="LSC100" s="48"/>
      <c r="LSD100" s="48"/>
      <c r="LSE100" s="48"/>
      <c r="LSF100" s="48"/>
      <c r="LSG100" s="48"/>
      <c r="LSH100" s="48"/>
      <c r="LSI100" s="48"/>
      <c r="LSJ100" s="48"/>
      <c r="LSK100" s="48"/>
      <c r="LSL100" s="48"/>
      <c r="LSM100" s="48"/>
      <c r="LSN100" s="48"/>
      <c r="LSO100" s="48"/>
      <c r="LSP100" s="48"/>
      <c r="LSQ100" s="48"/>
      <c r="LSR100" s="48"/>
      <c r="LSS100" s="48"/>
      <c r="LST100" s="48"/>
      <c r="LSU100" s="48"/>
      <c r="LSV100" s="48"/>
      <c r="LSW100" s="48"/>
      <c r="LSX100" s="48"/>
      <c r="LSY100" s="48"/>
      <c r="LSZ100" s="48"/>
      <c r="LTA100" s="48"/>
      <c r="LTB100" s="48"/>
      <c r="LTC100" s="48"/>
      <c r="LTD100" s="48"/>
      <c r="LTE100" s="48"/>
      <c r="LTF100" s="48"/>
      <c r="LTG100" s="48"/>
      <c r="LTH100" s="48"/>
      <c r="LTI100" s="48"/>
      <c r="LTJ100" s="48"/>
      <c r="LTK100" s="48"/>
      <c r="LTL100" s="48"/>
      <c r="LTM100" s="48"/>
      <c r="LTN100" s="48"/>
      <c r="LTO100" s="48"/>
      <c r="LTP100" s="48"/>
      <c r="LTQ100" s="48"/>
      <c r="LTR100" s="48"/>
      <c r="LTS100" s="48"/>
      <c r="LTT100" s="48"/>
      <c r="LTU100" s="48"/>
      <c r="LTV100" s="48"/>
      <c r="LTW100" s="48"/>
      <c r="LTX100" s="48"/>
      <c r="LTY100" s="48"/>
      <c r="LTZ100" s="48"/>
      <c r="LUA100" s="48"/>
      <c r="LUB100" s="48"/>
      <c r="LUC100" s="48"/>
      <c r="LUD100" s="48"/>
      <c r="LUE100" s="48"/>
      <c r="LUF100" s="48"/>
      <c r="LUG100" s="48"/>
      <c r="LUH100" s="48"/>
      <c r="LUI100" s="48"/>
      <c r="LUJ100" s="48"/>
      <c r="LUK100" s="48"/>
      <c r="LUL100" s="48"/>
      <c r="LUM100" s="48"/>
      <c r="LUN100" s="48"/>
      <c r="LUO100" s="48"/>
      <c r="LUP100" s="48"/>
      <c r="LUQ100" s="48"/>
      <c r="LUR100" s="48"/>
      <c r="LUS100" s="48"/>
      <c r="LUT100" s="48"/>
      <c r="LUU100" s="48"/>
      <c r="LUV100" s="48"/>
      <c r="LUW100" s="48"/>
      <c r="LUX100" s="48"/>
      <c r="LUY100" s="48"/>
      <c r="LUZ100" s="48"/>
      <c r="LVA100" s="48"/>
      <c r="LVB100" s="48"/>
      <c r="LVC100" s="48"/>
      <c r="LVD100" s="48"/>
      <c r="LVE100" s="48"/>
      <c r="LVF100" s="48"/>
      <c r="LVG100" s="48"/>
      <c r="LVH100" s="48"/>
      <c r="LVI100" s="48"/>
      <c r="LVJ100" s="48"/>
      <c r="LVK100" s="48"/>
      <c r="LVL100" s="48"/>
      <c r="LVM100" s="48"/>
      <c r="LVN100" s="48"/>
      <c r="LVO100" s="48"/>
      <c r="LVP100" s="48"/>
      <c r="LVQ100" s="48"/>
      <c r="LVR100" s="48"/>
      <c r="LVS100" s="48"/>
      <c r="LVT100" s="48"/>
      <c r="LVU100" s="48"/>
      <c r="LVV100" s="48"/>
      <c r="LVW100" s="48"/>
      <c r="LVX100" s="48"/>
      <c r="LVY100" s="48"/>
      <c r="LVZ100" s="48"/>
      <c r="LWA100" s="48"/>
      <c r="LWB100" s="48"/>
      <c r="LWC100" s="48"/>
      <c r="LWD100" s="48"/>
      <c r="LWE100" s="48"/>
      <c r="LWF100" s="48"/>
      <c r="LWG100" s="48"/>
      <c r="LWH100" s="48"/>
      <c r="LWI100" s="48"/>
      <c r="LWJ100" s="48"/>
      <c r="LWK100" s="48"/>
      <c r="LWL100" s="48"/>
      <c r="LWM100" s="48"/>
      <c r="LWN100" s="48"/>
      <c r="LWO100" s="48"/>
      <c r="LWP100" s="48"/>
      <c r="LWQ100" s="48"/>
      <c r="LWR100" s="48"/>
      <c r="LWS100" s="48"/>
      <c r="LWT100" s="48"/>
      <c r="LWU100" s="48"/>
      <c r="LWV100" s="48"/>
      <c r="LWW100" s="48"/>
      <c r="LWX100" s="48"/>
      <c r="LWY100" s="48"/>
      <c r="LWZ100" s="48"/>
      <c r="LXA100" s="48"/>
      <c r="LXB100" s="48"/>
      <c r="LXC100" s="48"/>
      <c r="LXD100" s="48"/>
      <c r="LXE100" s="48"/>
      <c r="LXF100" s="48"/>
      <c r="LXG100" s="48"/>
      <c r="LXH100" s="48"/>
      <c r="LXI100" s="48"/>
      <c r="LXJ100" s="48"/>
      <c r="LXK100" s="48"/>
      <c r="LXL100" s="48"/>
      <c r="LXM100" s="48"/>
      <c r="LXN100" s="48"/>
      <c r="LXO100" s="48"/>
      <c r="LXP100" s="48"/>
      <c r="LXQ100" s="48"/>
      <c r="LXR100" s="48"/>
      <c r="LXS100" s="48"/>
      <c r="LXT100" s="48"/>
      <c r="LXU100" s="48"/>
      <c r="LXV100" s="48"/>
      <c r="LXW100" s="48"/>
      <c r="LXX100" s="48"/>
      <c r="LXY100" s="48"/>
      <c r="LXZ100" s="48"/>
      <c r="LYA100" s="48"/>
      <c r="LYB100" s="48"/>
      <c r="LYC100" s="48"/>
      <c r="LYD100" s="48"/>
      <c r="LYE100" s="48"/>
      <c r="LYF100" s="48"/>
      <c r="LYG100" s="48"/>
      <c r="LYH100" s="48"/>
      <c r="LYI100" s="48"/>
      <c r="LYJ100" s="48"/>
      <c r="LYK100" s="48"/>
      <c r="LYL100" s="48"/>
      <c r="LYM100" s="48"/>
      <c r="LYN100" s="48"/>
      <c r="LYO100" s="48"/>
      <c r="LYP100" s="48"/>
      <c r="LYQ100" s="48"/>
      <c r="LYR100" s="48"/>
      <c r="LYS100" s="48"/>
      <c r="LYT100" s="48"/>
      <c r="LYU100" s="48"/>
      <c r="LYV100" s="48"/>
      <c r="LYW100" s="48"/>
      <c r="LYX100" s="48"/>
      <c r="LYY100" s="48"/>
      <c r="LYZ100" s="48"/>
      <c r="LZA100" s="48"/>
      <c r="LZB100" s="48"/>
      <c r="LZC100" s="48"/>
      <c r="LZD100" s="48"/>
      <c r="LZE100" s="48"/>
      <c r="LZF100" s="48"/>
      <c r="LZG100" s="48"/>
      <c r="LZH100" s="48"/>
      <c r="LZI100" s="48"/>
      <c r="LZJ100" s="48"/>
      <c r="LZK100" s="48"/>
      <c r="LZL100" s="48"/>
      <c r="LZM100" s="48"/>
      <c r="LZN100" s="48"/>
      <c r="LZO100" s="48"/>
      <c r="LZP100" s="48"/>
      <c r="LZQ100" s="48"/>
      <c r="LZR100" s="48"/>
      <c r="LZS100" s="48"/>
      <c r="LZT100" s="48"/>
      <c r="LZU100" s="48"/>
      <c r="LZV100" s="48"/>
      <c r="LZW100" s="48"/>
      <c r="LZX100" s="48"/>
      <c r="LZY100" s="48"/>
      <c r="LZZ100" s="48"/>
      <c r="MAA100" s="48"/>
      <c r="MAB100" s="48"/>
      <c r="MAC100" s="48"/>
      <c r="MAD100" s="48"/>
      <c r="MAE100" s="48"/>
      <c r="MAF100" s="48"/>
      <c r="MAG100" s="48"/>
      <c r="MAH100" s="48"/>
      <c r="MAI100" s="48"/>
      <c r="MAJ100" s="48"/>
      <c r="MAK100" s="48"/>
      <c r="MAL100" s="48"/>
      <c r="MAM100" s="48"/>
      <c r="MAN100" s="48"/>
      <c r="MAO100" s="48"/>
      <c r="MAP100" s="48"/>
      <c r="MAQ100" s="48"/>
      <c r="MAR100" s="48"/>
      <c r="MAS100" s="48"/>
      <c r="MAT100" s="48"/>
      <c r="MAU100" s="48"/>
      <c r="MAV100" s="48"/>
      <c r="MAW100" s="48"/>
      <c r="MAX100" s="48"/>
      <c r="MAY100" s="48"/>
      <c r="MAZ100" s="48"/>
      <c r="MBA100" s="48"/>
      <c r="MBB100" s="48"/>
      <c r="MBC100" s="48"/>
      <c r="MBD100" s="48"/>
      <c r="MBE100" s="48"/>
      <c r="MBF100" s="48"/>
      <c r="MBG100" s="48"/>
      <c r="MBH100" s="48"/>
      <c r="MBI100" s="48"/>
      <c r="MBJ100" s="48"/>
      <c r="MBK100" s="48"/>
      <c r="MBL100" s="48"/>
      <c r="MBM100" s="48"/>
      <c r="MBN100" s="48"/>
      <c r="MBO100" s="48"/>
      <c r="MBP100" s="48"/>
      <c r="MBQ100" s="48"/>
      <c r="MBR100" s="48"/>
      <c r="MBS100" s="48"/>
      <c r="MBT100" s="48"/>
      <c r="MBU100" s="48"/>
      <c r="MBV100" s="48"/>
      <c r="MBW100" s="48"/>
      <c r="MBX100" s="48"/>
      <c r="MBY100" s="48"/>
      <c r="MBZ100" s="48"/>
      <c r="MCA100" s="48"/>
      <c r="MCB100" s="48"/>
      <c r="MCC100" s="48"/>
      <c r="MCD100" s="48"/>
      <c r="MCE100" s="48"/>
      <c r="MCF100" s="48"/>
      <c r="MCG100" s="48"/>
      <c r="MCH100" s="48"/>
      <c r="MCI100" s="48"/>
      <c r="MCJ100" s="48"/>
      <c r="MCK100" s="48"/>
      <c r="MCL100" s="48"/>
      <c r="MCM100" s="48"/>
      <c r="MCN100" s="48"/>
      <c r="MCO100" s="48"/>
      <c r="MCP100" s="48"/>
      <c r="MCQ100" s="48"/>
      <c r="MCR100" s="48"/>
      <c r="MCS100" s="48"/>
      <c r="MCT100" s="48"/>
      <c r="MCU100" s="48"/>
      <c r="MCV100" s="48"/>
      <c r="MCW100" s="48"/>
      <c r="MCX100" s="48"/>
      <c r="MCY100" s="48"/>
      <c r="MCZ100" s="48"/>
      <c r="MDA100" s="48"/>
      <c r="MDB100" s="48"/>
      <c r="MDC100" s="48"/>
      <c r="MDD100" s="48"/>
      <c r="MDE100" s="48"/>
      <c r="MDF100" s="48"/>
      <c r="MDG100" s="48"/>
      <c r="MDH100" s="48"/>
      <c r="MDI100" s="48"/>
      <c r="MDJ100" s="48"/>
      <c r="MDK100" s="48"/>
      <c r="MDL100" s="48"/>
      <c r="MDM100" s="48"/>
      <c r="MDN100" s="48"/>
      <c r="MDO100" s="48"/>
      <c r="MDP100" s="48"/>
      <c r="MDQ100" s="48"/>
      <c r="MDR100" s="48"/>
      <c r="MDS100" s="48"/>
      <c r="MDT100" s="48"/>
      <c r="MDU100" s="48"/>
      <c r="MDV100" s="48"/>
      <c r="MDW100" s="48"/>
      <c r="MDX100" s="48"/>
      <c r="MDY100" s="48"/>
      <c r="MDZ100" s="48"/>
      <c r="MEA100" s="48"/>
      <c r="MEB100" s="48"/>
      <c r="MEC100" s="48"/>
      <c r="MED100" s="48"/>
      <c r="MEE100" s="48"/>
      <c r="MEF100" s="48"/>
      <c r="MEG100" s="48"/>
      <c r="MEH100" s="48"/>
      <c r="MEI100" s="48"/>
      <c r="MEJ100" s="48"/>
      <c r="MEK100" s="48"/>
      <c r="MEL100" s="48"/>
      <c r="MEM100" s="48"/>
      <c r="MEN100" s="48"/>
      <c r="MEO100" s="48"/>
      <c r="MEP100" s="48"/>
      <c r="MEQ100" s="48"/>
      <c r="MER100" s="48"/>
      <c r="MES100" s="48"/>
      <c r="MET100" s="48"/>
      <c r="MEU100" s="48"/>
      <c r="MEV100" s="48"/>
      <c r="MEW100" s="48"/>
      <c r="MEX100" s="48"/>
      <c r="MEY100" s="48"/>
      <c r="MEZ100" s="48"/>
      <c r="MFA100" s="48"/>
      <c r="MFB100" s="48"/>
      <c r="MFC100" s="48"/>
      <c r="MFD100" s="48"/>
      <c r="MFE100" s="48"/>
      <c r="MFF100" s="48"/>
      <c r="MFG100" s="48"/>
      <c r="MFH100" s="48"/>
      <c r="MFI100" s="48"/>
      <c r="MFJ100" s="48"/>
      <c r="MFK100" s="48"/>
      <c r="MFL100" s="48"/>
      <c r="MFM100" s="48"/>
      <c r="MFN100" s="48"/>
      <c r="MFO100" s="48"/>
      <c r="MFP100" s="48"/>
      <c r="MFQ100" s="48"/>
      <c r="MFR100" s="48"/>
      <c r="MFS100" s="48"/>
      <c r="MFT100" s="48"/>
      <c r="MFU100" s="48"/>
      <c r="MFV100" s="48"/>
      <c r="MFW100" s="48"/>
      <c r="MFX100" s="48"/>
      <c r="MFY100" s="48"/>
      <c r="MFZ100" s="48"/>
      <c r="MGA100" s="48"/>
      <c r="MGB100" s="48"/>
      <c r="MGC100" s="48"/>
      <c r="MGD100" s="48"/>
      <c r="MGE100" s="48"/>
      <c r="MGF100" s="48"/>
      <c r="MGG100" s="48"/>
      <c r="MGH100" s="48"/>
      <c r="MGI100" s="48"/>
      <c r="MGJ100" s="48"/>
      <c r="MGK100" s="48"/>
      <c r="MGL100" s="48"/>
      <c r="MGM100" s="48"/>
      <c r="MGN100" s="48"/>
      <c r="MGO100" s="48"/>
      <c r="MGP100" s="48"/>
      <c r="MGQ100" s="48"/>
      <c r="MGR100" s="48"/>
      <c r="MGS100" s="48"/>
      <c r="MGT100" s="48"/>
      <c r="MGU100" s="48"/>
      <c r="MGV100" s="48"/>
      <c r="MGW100" s="48"/>
      <c r="MGX100" s="48"/>
      <c r="MGY100" s="48"/>
      <c r="MGZ100" s="48"/>
      <c r="MHA100" s="48"/>
      <c r="MHB100" s="48"/>
      <c r="MHC100" s="48"/>
      <c r="MHD100" s="48"/>
      <c r="MHE100" s="48"/>
      <c r="MHF100" s="48"/>
      <c r="MHG100" s="48"/>
      <c r="MHH100" s="48"/>
      <c r="MHI100" s="48"/>
      <c r="MHJ100" s="48"/>
      <c r="MHK100" s="48"/>
      <c r="MHL100" s="48"/>
      <c r="MHM100" s="48"/>
      <c r="MHN100" s="48"/>
      <c r="MHO100" s="48"/>
      <c r="MHP100" s="48"/>
      <c r="MHQ100" s="48"/>
      <c r="MHR100" s="48"/>
      <c r="MHS100" s="48"/>
      <c r="MHT100" s="48"/>
      <c r="MHU100" s="48"/>
      <c r="MHV100" s="48"/>
      <c r="MHW100" s="48"/>
      <c r="MHX100" s="48"/>
      <c r="MHY100" s="48"/>
      <c r="MHZ100" s="48"/>
      <c r="MIA100" s="48"/>
      <c r="MIB100" s="48"/>
      <c r="MIC100" s="48"/>
      <c r="MID100" s="48"/>
      <c r="MIE100" s="48"/>
      <c r="MIF100" s="48"/>
      <c r="MIG100" s="48"/>
      <c r="MIH100" s="48"/>
      <c r="MII100" s="48"/>
      <c r="MIJ100" s="48"/>
      <c r="MIK100" s="48"/>
      <c r="MIL100" s="48"/>
      <c r="MIM100" s="48"/>
      <c r="MIN100" s="48"/>
      <c r="MIO100" s="48"/>
      <c r="MIP100" s="48"/>
      <c r="MIQ100" s="48"/>
      <c r="MIR100" s="48"/>
      <c r="MIS100" s="48"/>
      <c r="MIT100" s="48"/>
      <c r="MIU100" s="48"/>
      <c r="MIV100" s="48"/>
      <c r="MIW100" s="48"/>
      <c r="MIX100" s="48"/>
      <c r="MIY100" s="48"/>
      <c r="MIZ100" s="48"/>
      <c r="MJA100" s="48"/>
      <c r="MJB100" s="48"/>
      <c r="MJC100" s="48"/>
      <c r="MJD100" s="48"/>
      <c r="MJE100" s="48"/>
      <c r="MJF100" s="48"/>
      <c r="MJG100" s="48"/>
      <c r="MJH100" s="48"/>
      <c r="MJI100" s="48"/>
      <c r="MJJ100" s="48"/>
      <c r="MJK100" s="48"/>
      <c r="MJL100" s="48"/>
      <c r="MJM100" s="48"/>
      <c r="MJN100" s="48"/>
      <c r="MJO100" s="48"/>
      <c r="MJP100" s="48"/>
      <c r="MJQ100" s="48"/>
      <c r="MJR100" s="48"/>
      <c r="MJS100" s="48"/>
      <c r="MJT100" s="48"/>
      <c r="MJU100" s="48"/>
      <c r="MJV100" s="48"/>
      <c r="MJW100" s="48"/>
      <c r="MJX100" s="48"/>
      <c r="MJY100" s="48"/>
      <c r="MJZ100" s="48"/>
      <c r="MKA100" s="48"/>
      <c r="MKB100" s="48"/>
      <c r="MKC100" s="48"/>
      <c r="MKD100" s="48"/>
      <c r="MKE100" s="48"/>
      <c r="MKF100" s="48"/>
      <c r="MKG100" s="48"/>
      <c r="MKH100" s="48"/>
      <c r="MKI100" s="48"/>
      <c r="MKJ100" s="48"/>
      <c r="MKK100" s="48"/>
      <c r="MKL100" s="48"/>
      <c r="MKM100" s="48"/>
      <c r="MKN100" s="48"/>
      <c r="MKO100" s="48"/>
      <c r="MKP100" s="48"/>
      <c r="MKQ100" s="48"/>
      <c r="MKR100" s="48"/>
      <c r="MKS100" s="48"/>
      <c r="MKT100" s="48"/>
      <c r="MKU100" s="48"/>
      <c r="MKV100" s="48"/>
      <c r="MKW100" s="48"/>
      <c r="MKX100" s="48"/>
      <c r="MKY100" s="48"/>
      <c r="MKZ100" s="48"/>
      <c r="MLA100" s="48"/>
      <c r="MLB100" s="48"/>
      <c r="MLC100" s="48"/>
      <c r="MLD100" s="48"/>
      <c r="MLE100" s="48"/>
      <c r="MLF100" s="48"/>
      <c r="MLG100" s="48"/>
      <c r="MLH100" s="48"/>
      <c r="MLI100" s="48"/>
      <c r="MLJ100" s="48"/>
      <c r="MLK100" s="48"/>
      <c r="MLL100" s="48"/>
      <c r="MLM100" s="48"/>
      <c r="MLN100" s="48"/>
      <c r="MLO100" s="48"/>
      <c r="MLP100" s="48"/>
      <c r="MLQ100" s="48"/>
      <c r="MLR100" s="48"/>
      <c r="MLS100" s="48"/>
      <c r="MLT100" s="48"/>
      <c r="MLU100" s="48"/>
      <c r="MLV100" s="48"/>
      <c r="MLW100" s="48"/>
      <c r="MLX100" s="48"/>
      <c r="MLY100" s="48"/>
      <c r="MLZ100" s="48"/>
      <c r="MMA100" s="48"/>
      <c r="MMB100" s="48"/>
      <c r="MMC100" s="48"/>
      <c r="MMD100" s="48"/>
      <c r="MME100" s="48"/>
      <c r="MMF100" s="48"/>
      <c r="MMG100" s="48"/>
      <c r="MMH100" s="48"/>
      <c r="MMI100" s="48"/>
      <c r="MMJ100" s="48"/>
      <c r="MMK100" s="48"/>
      <c r="MML100" s="48"/>
      <c r="MMM100" s="48"/>
      <c r="MMN100" s="48"/>
      <c r="MMO100" s="48"/>
      <c r="MMP100" s="48"/>
      <c r="MMQ100" s="48"/>
      <c r="MMR100" s="48"/>
      <c r="MMS100" s="48"/>
      <c r="MMT100" s="48"/>
      <c r="MMU100" s="48"/>
      <c r="MMV100" s="48"/>
      <c r="MMW100" s="48"/>
      <c r="MMX100" s="48"/>
      <c r="MMY100" s="48"/>
      <c r="MMZ100" s="48"/>
      <c r="MNA100" s="48"/>
      <c r="MNB100" s="48"/>
      <c r="MNC100" s="48"/>
      <c r="MND100" s="48"/>
      <c r="MNE100" s="48"/>
      <c r="MNF100" s="48"/>
      <c r="MNG100" s="48"/>
      <c r="MNH100" s="48"/>
      <c r="MNI100" s="48"/>
      <c r="MNJ100" s="48"/>
      <c r="MNK100" s="48"/>
      <c r="MNL100" s="48"/>
      <c r="MNM100" s="48"/>
      <c r="MNN100" s="48"/>
      <c r="MNO100" s="48"/>
      <c r="MNP100" s="48"/>
      <c r="MNQ100" s="48"/>
      <c r="MNR100" s="48"/>
      <c r="MNS100" s="48"/>
      <c r="MNT100" s="48"/>
      <c r="MNU100" s="48"/>
      <c r="MNV100" s="48"/>
      <c r="MNW100" s="48"/>
      <c r="MNX100" s="48"/>
      <c r="MNY100" s="48"/>
      <c r="MNZ100" s="48"/>
      <c r="MOA100" s="48"/>
      <c r="MOB100" s="48"/>
      <c r="MOC100" s="48"/>
      <c r="MOD100" s="48"/>
      <c r="MOE100" s="48"/>
      <c r="MOF100" s="48"/>
      <c r="MOG100" s="48"/>
      <c r="MOH100" s="48"/>
      <c r="MOI100" s="48"/>
      <c r="MOJ100" s="48"/>
      <c r="MOK100" s="48"/>
      <c r="MOL100" s="48"/>
      <c r="MOM100" s="48"/>
      <c r="MON100" s="48"/>
      <c r="MOO100" s="48"/>
      <c r="MOP100" s="48"/>
      <c r="MOQ100" s="48"/>
      <c r="MOR100" s="48"/>
      <c r="MOS100" s="48"/>
      <c r="MOT100" s="48"/>
      <c r="MOU100" s="48"/>
      <c r="MOV100" s="48"/>
      <c r="MOW100" s="48"/>
      <c r="MOX100" s="48"/>
      <c r="MOY100" s="48"/>
      <c r="MOZ100" s="48"/>
      <c r="MPA100" s="48"/>
      <c r="MPB100" s="48"/>
      <c r="MPC100" s="48"/>
      <c r="MPD100" s="48"/>
      <c r="MPE100" s="48"/>
      <c r="MPF100" s="48"/>
      <c r="MPG100" s="48"/>
      <c r="MPH100" s="48"/>
      <c r="MPI100" s="48"/>
      <c r="MPJ100" s="48"/>
      <c r="MPK100" s="48"/>
      <c r="MPL100" s="48"/>
      <c r="MPM100" s="48"/>
      <c r="MPN100" s="48"/>
      <c r="MPO100" s="48"/>
      <c r="MPP100" s="48"/>
      <c r="MPQ100" s="48"/>
      <c r="MPR100" s="48"/>
      <c r="MPS100" s="48"/>
      <c r="MPT100" s="48"/>
      <c r="MPU100" s="48"/>
      <c r="MPV100" s="48"/>
      <c r="MPW100" s="48"/>
      <c r="MPX100" s="48"/>
      <c r="MPY100" s="48"/>
      <c r="MPZ100" s="48"/>
      <c r="MQA100" s="48"/>
      <c r="MQB100" s="48"/>
      <c r="MQC100" s="48"/>
      <c r="MQD100" s="48"/>
      <c r="MQE100" s="48"/>
      <c r="MQF100" s="48"/>
      <c r="MQG100" s="48"/>
      <c r="MQH100" s="48"/>
      <c r="MQI100" s="48"/>
      <c r="MQJ100" s="48"/>
      <c r="MQK100" s="48"/>
      <c r="MQL100" s="48"/>
      <c r="MQM100" s="48"/>
      <c r="MQN100" s="48"/>
      <c r="MQO100" s="48"/>
      <c r="MQP100" s="48"/>
      <c r="MQQ100" s="48"/>
      <c r="MQR100" s="48"/>
      <c r="MQS100" s="48"/>
      <c r="MQT100" s="48"/>
      <c r="MQU100" s="48"/>
      <c r="MQV100" s="48"/>
      <c r="MQW100" s="48"/>
      <c r="MQX100" s="48"/>
      <c r="MQY100" s="48"/>
      <c r="MQZ100" s="48"/>
      <c r="MRA100" s="48"/>
      <c r="MRB100" s="48"/>
      <c r="MRC100" s="48"/>
      <c r="MRD100" s="48"/>
      <c r="MRE100" s="48"/>
      <c r="MRF100" s="48"/>
      <c r="MRG100" s="48"/>
      <c r="MRH100" s="48"/>
      <c r="MRI100" s="48"/>
      <c r="MRJ100" s="48"/>
      <c r="MRK100" s="48"/>
      <c r="MRL100" s="48"/>
      <c r="MRM100" s="48"/>
      <c r="MRN100" s="48"/>
      <c r="MRO100" s="48"/>
      <c r="MRP100" s="48"/>
      <c r="MRQ100" s="48"/>
      <c r="MRR100" s="48"/>
      <c r="MRS100" s="48"/>
      <c r="MRT100" s="48"/>
      <c r="MRU100" s="48"/>
      <c r="MRV100" s="48"/>
      <c r="MRW100" s="48"/>
      <c r="MRX100" s="48"/>
      <c r="MRY100" s="48"/>
      <c r="MRZ100" s="48"/>
      <c r="MSA100" s="48"/>
      <c r="MSB100" s="48"/>
      <c r="MSC100" s="48"/>
      <c r="MSD100" s="48"/>
      <c r="MSE100" s="48"/>
      <c r="MSF100" s="48"/>
      <c r="MSG100" s="48"/>
      <c r="MSH100" s="48"/>
      <c r="MSI100" s="48"/>
      <c r="MSJ100" s="48"/>
      <c r="MSK100" s="48"/>
      <c r="MSL100" s="48"/>
      <c r="MSM100" s="48"/>
      <c r="MSN100" s="48"/>
      <c r="MSO100" s="48"/>
      <c r="MSP100" s="48"/>
      <c r="MSQ100" s="48"/>
      <c r="MSR100" s="48"/>
      <c r="MSS100" s="48"/>
      <c r="MST100" s="48"/>
      <c r="MSU100" s="48"/>
      <c r="MSV100" s="48"/>
      <c r="MSW100" s="48"/>
      <c r="MSX100" s="48"/>
      <c r="MSY100" s="48"/>
      <c r="MSZ100" s="48"/>
      <c r="MTA100" s="48"/>
      <c r="MTB100" s="48"/>
      <c r="MTC100" s="48"/>
      <c r="MTD100" s="48"/>
      <c r="MTE100" s="48"/>
      <c r="MTF100" s="48"/>
      <c r="MTG100" s="48"/>
      <c r="MTH100" s="48"/>
      <c r="MTI100" s="48"/>
      <c r="MTJ100" s="48"/>
      <c r="MTK100" s="48"/>
      <c r="MTL100" s="48"/>
      <c r="MTM100" s="48"/>
      <c r="MTN100" s="48"/>
      <c r="MTO100" s="48"/>
      <c r="MTP100" s="48"/>
      <c r="MTQ100" s="48"/>
      <c r="MTR100" s="48"/>
      <c r="MTS100" s="48"/>
      <c r="MTT100" s="48"/>
      <c r="MTU100" s="48"/>
      <c r="MTV100" s="48"/>
      <c r="MTW100" s="48"/>
      <c r="MTX100" s="48"/>
      <c r="MTY100" s="48"/>
      <c r="MTZ100" s="48"/>
      <c r="MUA100" s="48"/>
      <c r="MUB100" s="48"/>
      <c r="MUC100" s="48"/>
      <c r="MUD100" s="48"/>
      <c r="MUE100" s="48"/>
      <c r="MUF100" s="48"/>
      <c r="MUG100" s="48"/>
      <c r="MUH100" s="48"/>
      <c r="MUI100" s="48"/>
      <c r="MUJ100" s="48"/>
      <c r="MUK100" s="48"/>
      <c r="MUL100" s="48"/>
      <c r="MUM100" s="48"/>
      <c r="MUN100" s="48"/>
      <c r="MUO100" s="48"/>
      <c r="MUP100" s="48"/>
      <c r="MUQ100" s="48"/>
      <c r="MUR100" s="48"/>
      <c r="MUS100" s="48"/>
      <c r="MUT100" s="48"/>
      <c r="MUU100" s="48"/>
      <c r="MUV100" s="48"/>
      <c r="MUW100" s="48"/>
      <c r="MUX100" s="48"/>
      <c r="MUY100" s="48"/>
      <c r="MUZ100" s="48"/>
      <c r="MVA100" s="48"/>
      <c r="MVB100" s="48"/>
      <c r="MVC100" s="48"/>
      <c r="MVD100" s="48"/>
      <c r="MVE100" s="48"/>
      <c r="MVF100" s="48"/>
      <c r="MVG100" s="48"/>
      <c r="MVH100" s="48"/>
      <c r="MVI100" s="48"/>
      <c r="MVJ100" s="48"/>
      <c r="MVK100" s="48"/>
      <c r="MVL100" s="48"/>
      <c r="MVM100" s="48"/>
      <c r="MVN100" s="48"/>
      <c r="MVO100" s="48"/>
      <c r="MVP100" s="48"/>
      <c r="MVQ100" s="48"/>
      <c r="MVR100" s="48"/>
      <c r="MVS100" s="48"/>
      <c r="MVT100" s="48"/>
      <c r="MVU100" s="48"/>
      <c r="MVV100" s="48"/>
      <c r="MVW100" s="48"/>
      <c r="MVX100" s="48"/>
      <c r="MVY100" s="48"/>
      <c r="MVZ100" s="48"/>
      <c r="MWA100" s="48"/>
      <c r="MWB100" s="48"/>
      <c r="MWC100" s="48"/>
      <c r="MWD100" s="48"/>
      <c r="MWE100" s="48"/>
      <c r="MWF100" s="48"/>
      <c r="MWG100" s="48"/>
      <c r="MWH100" s="48"/>
      <c r="MWI100" s="48"/>
      <c r="MWJ100" s="48"/>
      <c r="MWK100" s="48"/>
      <c r="MWL100" s="48"/>
      <c r="MWM100" s="48"/>
      <c r="MWN100" s="48"/>
      <c r="MWO100" s="48"/>
      <c r="MWP100" s="48"/>
      <c r="MWQ100" s="48"/>
      <c r="MWR100" s="48"/>
      <c r="MWS100" s="48"/>
      <c r="MWT100" s="48"/>
      <c r="MWU100" s="48"/>
      <c r="MWV100" s="48"/>
      <c r="MWW100" s="48"/>
      <c r="MWX100" s="48"/>
      <c r="MWY100" s="48"/>
      <c r="MWZ100" s="48"/>
      <c r="MXA100" s="48"/>
      <c r="MXB100" s="48"/>
      <c r="MXC100" s="48"/>
      <c r="MXD100" s="48"/>
      <c r="MXE100" s="48"/>
      <c r="MXF100" s="48"/>
      <c r="MXG100" s="48"/>
      <c r="MXH100" s="48"/>
      <c r="MXI100" s="48"/>
      <c r="MXJ100" s="48"/>
      <c r="MXK100" s="48"/>
      <c r="MXL100" s="48"/>
      <c r="MXM100" s="48"/>
      <c r="MXN100" s="48"/>
      <c r="MXO100" s="48"/>
      <c r="MXP100" s="48"/>
      <c r="MXQ100" s="48"/>
      <c r="MXR100" s="48"/>
      <c r="MXS100" s="48"/>
      <c r="MXT100" s="48"/>
      <c r="MXU100" s="48"/>
      <c r="MXV100" s="48"/>
      <c r="MXW100" s="48"/>
      <c r="MXX100" s="48"/>
      <c r="MXY100" s="48"/>
      <c r="MXZ100" s="48"/>
      <c r="MYA100" s="48"/>
      <c r="MYB100" s="48"/>
      <c r="MYC100" s="48"/>
      <c r="MYD100" s="48"/>
      <c r="MYE100" s="48"/>
      <c r="MYF100" s="48"/>
      <c r="MYG100" s="48"/>
      <c r="MYH100" s="48"/>
      <c r="MYI100" s="48"/>
      <c r="MYJ100" s="48"/>
      <c r="MYK100" s="48"/>
      <c r="MYL100" s="48"/>
      <c r="MYM100" s="48"/>
      <c r="MYN100" s="48"/>
      <c r="MYO100" s="48"/>
      <c r="MYP100" s="48"/>
      <c r="MYQ100" s="48"/>
      <c r="MYR100" s="48"/>
      <c r="MYS100" s="48"/>
      <c r="MYT100" s="48"/>
      <c r="MYU100" s="48"/>
      <c r="MYV100" s="48"/>
      <c r="MYW100" s="48"/>
      <c r="MYX100" s="48"/>
      <c r="MYY100" s="48"/>
      <c r="MYZ100" s="48"/>
      <c r="MZA100" s="48"/>
      <c r="MZB100" s="48"/>
      <c r="MZC100" s="48"/>
      <c r="MZD100" s="48"/>
      <c r="MZE100" s="48"/>
      <c r="MZF100" s="48"/>
      <c r="MZG100" s="48"/>
      <c r="MZH100" s="48"/>
      <c r="MZI100" s="48"/>
      <c r="MZJ100" s="48"/>
      <c r="MZK100" s="48"/>
      <c r="MZL100" s="48"/>
      <c r="MZM100" s="48"/>
      <c r="MZN100" s="48"/>
      <c r="MZO100" s="48"/>
      <c r="MZP100" s="48"/>
      <c r="MZQ100" s="48"/>
      <c r="MZR100" s="48"/>
      <c r="MZS100" s="48"/>
      <c r="MZT100" s="48"/>
      <c r="MZU100" s="48"/>
      <c r="MZV100" s="48"/>
      <c r="MZW100" s="48"/>
      <c r="MZX100" s="48"/>
      <c r="MZY100" s="48"/>
      <c r="MZZ100" s="48"/>
      <c r="NAA100" s="48"/>
      <c r="NAB100" s="48"/>
      <c r="NAC100" s="48"/>
      <c r="NAD100" s="48"/>
      <c r="NAE100" s="48"/>
      <c r="NAF100" s="48"/>
      <c r="NAG100" s="48"/>
      <c r="NAH100" s="48"/>
      <c r="NAI100" s="48"/>
      <c r="NAJ100" s="48"/>
      <c r="NAK100" s="48"/>
      <c r="NAL100" s="48"/>
      <c r="NAM100" s="48"/>
      <c r="NAN100" s="48"/>
      <c r="NAO100" s="48"/>
      <c r="NAP100" s="48"/>
      <c r="NAQ100" s="48"/>
      <c r="NAR100" s="48"/>
      <c r="NAS100" s="48"/>
      <c r="NAT100" s="48"/>
      <c r="NAU100" s="48"/>
      <c r="NAV100" s="48"/>
      <c r="NAW100" s="48"/>
      <c r="NAX100" s="48"/>
      <c r="NAY100" s="48"/>
      <c r="NAZ100" s="48"/>
      <c r="NBA100" s="48"/>
      <c r="NBB100" s="48"/>
      <c r="NBC100" s="48"/>
      <c r="NBD100" s="48"/>
      <c r="NBE100" s="48"/>
      <c r="NBF100" s="48"/>
      <c r="NBG100" s="48"/>
      <c r="NBH100" s="48"/>
      <c r="NBI100" s="48"/>
      <c r="NBJ100" s="48"/>
      <c r="NBK100" s="48"/>
      <c r="NBL100" s="48"/>
      <c r="NBM100" s="48"/>
      <c r="NBN100" s="48"/>
      <c r="NBO100" s="48"/>
      <c r="NBP100" s="48"/>
      <c r="NBQ100" s="48"/>
      <c r="NBR100" s="48"/>
      <c r="NBS100" s="48"/>
      <c r="NBT100" s="48"/>
      <c r="NBU100" s="48"/>
      <c r="NBV100" s="48"/>
      <c r="NBW100" s="48"/>
      <c r="NBX100" s="48"/>
      <c r="NBY100" s="48"/>
      <c r="NBZ100" s="48"/>
      <c r="NCA100" s="48"/>
      <c r="NCB100" s="48"/>
      <c r="NCC100" s="48"/>
      <c r="NCD100" s="48"/>
      <c r="NCE100" s="48"/>
      <c r="NCF100" s="48"/>
      <c r="NCG100" s="48"/>
      <c r="NCH100" s="48"/>
      <c r="NCI100" s="48"/>
      <c r="NCJ100" s="48"/>
      <c r="NCK100" s="48"/>
      <c r="NCL100" s="48"/>
      <c r="NCM100" s="48"/>
      <c r="NCN100" s="48"/>
      <c r="NCO100" s="48"/>
      <c r="NCP100" s="48"/>
      <c r="NCQ100" s="48"/>
      <c r="NCR100" s="48"/>
      <c r="NCS100" s="48"/>
      <c r="NCT100" s="48"/>
      <c r="NCU100" s="48"/>
      <c r="NCV100" s="48"/>
      <c r="NCW100" s="48"/>
      <c r="NCX100" s="48"/>
      <c r="NCY100" s="48"/>
      <c r="NCZ100" s="48"/>
      <c r="NDA100" s="48"/>
      <c r="NDB100" s="48"/>
      <c r="NDC100" s="48"/>
      <c r="NDD100" s="48"/>
      <c r="NDE100" s="48"/>
      <c r="NDF100" s="48"/>
      <c r="NDG100" s="48"/>
      <c r="NDH100" s="48"/>
      <c r="NDI100" s="48"/>
      <c r="NDJ100" s="48"/>
      <c r="NDK100" s="48"/>
      <c r="NDL100" s="48"/>
      <c r="NDM100" s="48"/>
      <c r="NDN100" s="48"/>
      <c r="NDO100" s="48"/>
      <c r="NDP100" s="48"/>
      <c r="NDQ100" s="48"/>
      <c r="NDR100" s="48"/>
      <c r="NDS100" s="48"/>
      <c r="NDT100" s="48"/>
      <c r="NDU100" s="48"/>
      <c r="NDV100" s="48"/>
      <c r="NDW100" s="48"/>
      <c r="NDX100" s="48"/>
      <c r="NDY100" s="48"/>
      <c r="NDZ100" s="48"/>
      <c r="NEA100" s="48"/>
      <c r="NEB100" s="48"/>
      <c r="NEC100" s="48"/>
      <c r="NED100" s="48"/>
      <c r="NEE100" s="48"/>
      <c r="NEF100" s="48"/>
      <c r="NEG100" s="48"/>
      <c r="NEH100" s="48"/>
      <c r="NEI100" s="48"/>
      <c r="NEJ100" s="48"/>
      <c r="NEK100" s="48"/>
      <c r="NEL100" s="48"/>
      <c r="NEM100" s="48"/>
      <c r="NEN100" s="48"/>
      <c r="NEO100" s="48"/>
      <c r="NEP100" s="48"/>
      <c r="NEQ100" s="48"/>
      <c r="NER100" s="48"/>
      <c r="NES100" s="48"/>
      <c r="NET100" s="48"/>
      <c r="NEU100" s="48"/>
      <c r="NEV100" s="48"/>
      <c r="NEW100" s="48"/>
      <c r="NEX100" s="48"/>
      <c r="NEY100" s="48"/>
      <c r="NEZ100" s="48"/>
      <c r="NFA100" s="48"/>
      <c r="NFB100" s="48"/>
      <c r="NFC100" s="48"/>
      <c r="NFD100" s="48"/>
      <c r="NFE100" s="48"/>
      <c r="NFF100" s="48"/>
      <c r="NFG100" s="48"/>
      <c r="NFH100" s="48"/>
      <c r="NFI100" s="48"/>
      <c r="NFJ100" s="48"/>
      <c r="NFK100" s="48"/>
      <c r="NFL100" s="48"/>
      <c r="NFM100" s="48"/>
      <c r="NFN100" s="48"/>
      <c r="NFO100" s="48"/>
      <c r="NFP100" s="48"/>
      <c r="NFQ100" s="48"/>
      <c r="NFR100" s="48"/>
      <c r="NFS100" s="48"/>
      <c r="NFT100" s="48"/>
      <c r="NFU100" s="48"/>
      <c r="NFV100" s="48"/>
      <c r="NFW100" s="48"/>
      <c r="NFX100" s="48"/>
      <c r="NFY100" s="48"/>
      <c r="NFZ100" s="48"/>
      <c r="NGA100" s="48"/>
      <c r="NGB100" s="48"/>
      <c r="NGC100" s="48"/>
      <c r="NGD100" s="48"/>
      <c r="NGE100" s="48"/>
      <c r="NGF100" s="48"/>
      <c r="NGG100" s="48"/>
      <c r="NGH100" s="48"/>
      <c r="NGI100" s="48"/>
      <c r="NGJ100" s="48"/>
      <c r="NGK100" s="48"/>
      <c r="NGL100" s="48"/>
      <c r="NGM100" s="48"/>
      <c r="NGN100" s="48"/>
      <c r="NGO100" s="48"/>
      <c r="NGP100" s="48"/>
      <c r="NGQ100" s="48"/>
      <c r="NGR100" s="48"/>
      <c r="NGS100" s="48"/>
      <c r="NGT100" s="48"/>
      <c r="NGU100" s="48"/>
      <c r="NGV100" s="48"/>
      <c r="NGW100" s="48"/>
      <c r="NGX100" s="48"/>
      <c r="NGY100" s="48"/>
      <c r="NGZ100" s="48"/>
      <c r="NHA100" s="48"/>
      <c r="NHB100" s="48"/>
      <c r="NHC100" s="48"/>
      <c r="NHD100" s="48"/>
      <c r="NHE100" s="48"/>
      <c r="NHF100" s="48"/>
      <c r="NHG100" s="48"/>
      <c r="NHH100" s="48"/>
      <c r="NHI100" s="48"/>
      <c r="NHJ100" s="48"/>
      <c r="NHK100" s="48"/>
      <c r="NHL100" s="48"/>
      <c r="NHM100" s="48"/>
      <c r="NHN100" s="48"/>
      <c r="NHO100" s="48"/>
      <c r="NHP100" s="48"/>
      <c r="NHQ100" s="48"/>
      <c r="NHR100" s="48"/>
      <c r="NHS100" s="48"/>
      <c r="NHT100" s="48"/>
      <c r="NHU100" s="48"/>
      <c r="NHV100" s="48"/>
      <c r="NHW100" s="48"/>
      <c r="NHX100" s="48"/>
      <c r="NHY100" s="48"/>
      <c r="NHZ100" s="48"/>
      <c r="NIA100" s="48"/>
      <c r="NIB100" s="48"/>
      <c r="NIC100" s="48"/>
      <c r="NID100" s="48"/>
      <c r="NIE100" s="48"/>
      <c r="NIF100" s="48"/>
      <c r="NIG100" s="48"/>
      <c r="NIH100" s="48"/>
      <c r="NII100" s="48"/>
      <c r="NIJ100" s="48"/>
      <c r="NIK100" s="48"/>
      <c r="NIL100" s="48"/>
      <c r="NIM100" s="48"/>
      <c r="NIN100" s="48"/>
      <c r="NIO100" s="48"/>
      <c r="NIP100" s="48"/>
      <c r="NIQ100" s="48"/>
      <c r="NIR100" s="48"/>
      <c r="NIS100" s="48"/>
      <c r="NIT100" s="48"/>
      <c r="NIU100" s="48"/>
      <c r="NIV100" s="48"/>
      <c r="NIW100" s="48"/>
      <c r="NIX100" s="48"/>
      <c r="NIY100" s="48"/>
      <c r="NIZ100" s="48"/>
      <c r="NJA100" s="48"/>
      <c r="NJB100" s="48"/>
      <c r="NJC100" s="48"/>
      <c r="NJD100" s="48"/>
      <c r="NJE100" s="48"/>
      <c r="NJF100" s="48"/>
      <c r="NJG100" s="48"/>
      <c r="NJH100" s="48"/>
      <c r="NJI100" s="48"/>
      <c r="NJJ100" s="48"/>
      <c r="NJK100" s="48"/>
      <c r="NJL100" s="48"/>
      <c r="NJM100" s="48"/>
      <c r="NJN100" s="48"/>
      <c r="NJO100" s="48"/>
      <c r="NJP100" s="48"/>
      <c r="NJQ100" s="48"/>
      <c r="NJR100" s="48"/>
      <c r="NJS100" s="48"/>
      <c r="NJT100" s="48"/>
      <c r="NJU100" s="48"/>
      <c r="NJV100" s="48"/>
      <c r="NJW100" s="48"/>
      <c r="NJX100" s="48"/>
      <c r="NJY100" s="48"/>
      <c r="NJZ100" s="48"/>
      <c r="NKA100" s="48"/>
      <c r="NKB100" s="48"/>
      <c r="NKC100" s="48"/>
      <c r="NKD100" s="48"/>
      <c r="NKE100" s="48"/>
      <c r="NKF100" s="48"/>
      <c r="NKG100" s="48"/>
      <c r="NKH100" s="48"/>
      <c r="NKI100" s="48"/>
      <c r="NKJ100" s="48"/>
      <c r="NKK100" s="48"/>
      <c r="NKL100" s="48"/>
      <c r="NKM100" s="48"/>
      <c r="NKN100" s="48"/>
      <c r="NKO100" s="48"/>
      <c r="NKP100" s="48"/>
      <c r="NKQ100" s="48"/>
      <c r="NKR100" s="48"/>
      <c r="NKS100" s="48"/>
      <c r="NKT100" s="48"/>
      <c r="NKU100" s="48"/>
      <c r="NKV100" s="48"/>
      <c r="NKW100" s="48"/>
      <c r="NKX100" s="48"/>
      <c r="NKY100" s="48"/>
      <c r="NKZ100" s="48"/>
      <c r="NLA100" s="48"/>
      <c r="NLB100" s="48"/>
      <c r="NLC100" s="48"/>
      <c r="NLD100" s="48"/>
      <c r="NLE100" s="48"/>
      <c r="NLF100" s="48"/>
      <c r="NLG100" s="48"/>
      <c r="NLH100" s="48"/>
      <c r="NLI100" s="48"/>
      <c r="NLJ100" s="48"/>
      <c r="NLK100" s="48"/>
      <c r="NLL100" s="48"/>
      <c r="NLM100" s="48"/>
      <c r="NLN100" s="48"/>
      <c r="NLO100" s="48"/>
      <c r="NLP100" s="48"/>
      <c r="NLQ100" s="48"/>
      <c r="NLR100" s="48"/>
      <c r="NLS100" s="48"/>
      <c r="NLT100" s="48"/>
      <c r="NLU100" s="48"/>
      <c r="NLV100" s="48"/>
      <c r="NLW100" s="48"/>
      <c r="NLX100" s="48"/>
      <c r="NLY100" s="48"/>
      <c r="NLZ100" s="48"/>
      <c r="NMA100" s="48"/>
      <c r="NMB100" s="48"/>
      <c r="NMC100" s="48"/>
      <c r="NMD100" s="48"/>
      <c r="NME100" s="48"/>
      <c r="NMF100" s="48"/>
      <c r="NMG100" s="48"/>
      <c r="NMH100" s="48"/>
      <c r="NMI100" s="48"/>
      <c r="NMJ100" s="48"/>
      <c r="NMK100" s="48"/>
      <c r="NML100" s="48"/>
      <c r="NMM100" s="48"/>
      <c r="NMN100" s="48"/>
      <c r="NMO100" s="48"/>
      <c r="NMP100" s="48"/>
      <c r="NMQ100" s="48"/>
      <c r="NMR100" s="48"/>
      <c r="NMS100" s="48"/>
      <c r="NMT100" s="48"/>
      <c r="NMU100" s="48"/>
      <c r="NMV100" s="48"/>
      <c r="NMW100" s="48"/>
      <c r="NMX100" s="48"/>
      <c r="NMY100" s="48"/>
      <c r="NMZ100" s="48"/>
      <c r="NNA100" s="48"/>
      <c r="NNB100" s="48"/>
      <c r="NNC100" s="48"/>
      <c r="NND100" s="48"/>
      <c r="NNE100" s="48"/>
      <c r="NNF100" s="48"/>
      <c r="NNG100" s="48"/>
      <c r="NNH100" s="48"/>
      <c r="NNI100" s="48"/>
      <c r="NNJ100" s="48"/>
      <c r="NNK100" s="48"/>
      <c r="NNL100" s="48"/>
      <c r="NNM100" s="48"/>
      <c r="NNN100" s="48"/>
      <c r="NNO100" s="48"/>
      <c r="NNP100" s="48"/>
      <c r="NNQ100" s="48"/>
      <c r="NNR100" s="48"/>
      <c r="NNS100" s="48"/>
      <c r="NNT100" s="48"/>
      <c r="NNU100" s="48"/>
      <c r="NNV100" s="48"/>
      <c r="NNW100" s="48"/>
      <c r="NNX100" s="48"/>
      <c r="NNY100" s="48"/>
      <c r="NNZ100" s="48"/>
      <c r="NOA100" s="48"/>
      <c r="NOB100" s="48"/>
      <c r="NOC100" s="48"/>
      <c r="NOD100" s="48"/>
      <c r="NOE100" s="48"/>
      <c r="NOF100" s="48"/>
      <c r="NOG100" s="48"/>
      <c r="NOH100" s="48"/>
      <c r="NOI100" s="48"/>
      <c r="NOJ100" s="48"/>
      <c r="NOK100" s="48"/>
      <c r="NOL100" s="48"/>
      <c r="NOM100" s="48"/>
      <c r="NON100" s="48"/>
      <c r="NOO100" s="48"/>
      <c r="NOP100" s="48"/>
      <c r="NOQ100" s="48"/>
      <c r="NOR100" s="48"/>
      <c r="NOS100" s="48"/>
      <c r="NOT100" s="48"/>
      <c r="NOU100" s="48"/>
      <c r="NOV100" s="48"/>
      <c r="NOW100" s="48"/>
      <c r="NOX100" s="48"/>
      <c r="NOY100" s="48"/>
      <c r="NOZ100" s="48"/>
      <c r="NPA100" s="48"/>
      <c r="NPB100" s="48"/>
      <c r="NPC100" s="48"/>
      <c r="NPD100" s="48"/>
      <c r="NPE100" s="48"/>
      <c r="NPF100" s="48"/>
      <c r="NPG100" s="48"/>
      <c r="NPH100" s="48"/>
      <c r="NPI100" s="48"/>
      <c r="NPJ100" s="48"/>
      <c r="NPK100" s="48"/>
      <c r="NPL100" s="48"/>
      <c r="NPM100" s="48"/>
      <c r="NPN100" s="48"/>
      <c r="NPO100" s="48"/>
      <c r="NPP100" s="48"/>
      <c r="NPQ100" s="48"/>
      <c r="NPR100" s="48"/>
      <c r="NPS100" s="48"/>
      <c r="NPT100" s="48"/>
      <c r="NPU100" s="48"/>
      <c r="NPV100" s="48"/>
      <c r="NPW100" s="48"/>
      <c r="NPX100" s="48"/>
      <c r="NPY100" s="48"/>
      <c r="NPZ100" s="48"/>
      <c r="NQA100" s="48"/>
      <c r="NQB100" s="48"/>
      <c r="NQC100" s="48"/>
      <c r="NQD100" s="48"/>
      <c r="NQE100" s="48"/>
      <c r="NQF100" s="48"/>
      <c r="NQG100" s="48"/>
      <c r="NQH100" s="48"/>
      <c r="NQI100" s="48"/>
      <c r="NQJ100" s="48"/>
      <c r="NQK100" s="48"/>
      <c r="NQL100" s="48"/>
      <c r="NQM100" s="48"/>
      <c r="NQN100" s="48"/>
      <c r="NQO100" s="48"/>
      <c r="NQP100" s="48"/>
      <c r="NQQ100" s="48"/>
      <c r="NQR100" s="48"/>
      <c r="NQS100" s="48"/>
      <c r="NQT100" s="48"/>
      <c r="NQU100" s="48"/>
      <c r="NQV100" s="48"/>
      <c r="NQW100" s="48"/>
      <c r="NQX100" s="48"/>
      <c r="NQY100" s="48"/>
      <c r="NQZ100" s="48"/>
      <c r="NRA100" s="48"/>
      <c r="NRB100" s="48"/>
      <c r="NRC100" s="48"/>
      <c r="NRD100" s="48"/>
      <c r="NRE100" s="48"/>
      <c r="NRF100" s="48"/>
      <c r="NRG100" s="48"/>
      <c r="NRH100" s="48"/>
      <c r="NRI100" s="48"/>
      <c r="NRJ100" s="48"/>
      <c r="NRK100" s="48"/>
      <c r="NRL100" s="48"/>
      <c r="NRM100" s="48"/>
      <c r="NRN100" s="48"/>
      <c r="NRO100" s="48"/>
      <c r="NRP100" s="48"/>
      <c r="NRQ100" s="48"/>
      <c r="NRR100" s="48"/>
      <c r="NRS100" s="48"/>
      <c r="NRT100" s="48"/>
      <c r="NRU100" s="48"/>
      <c r="NRV100" s="48"/>
      <c r="NRW100" s="48"/>
      <c r="NRX100" s="48"/>
      <c r="NRY100" s="48"/>
      <c r="NRZ100" s="48"/>
      <c r="NSA100" s="48"/>
      <c r="NSB100" s="48"/>
      <c r="NSC100" s="48"/>
      <c r="NSD100" s="48"/>
      <c r="NSE100" s="48"/>
      <c r="NSF100" s="48"/>
      <c r="NSG100" s="48"/>
      <c r="NSH100" s="48"/>
      <c r="NSI100" s="48"/>
      <c r="NSJ100" s="48"/>
      <c r="NSK100" s="48"/>
      <c r="NSL100" s="48"/>
      <c r="NSM100" s="48"/>
      <c r="NSN100" s="48"/>
      <c r="NSO100" s="48"/>
      <c r="NSP100" s="48"/>
      <c r="NSQ100" s="48"/>
      <c r="NSR100" s="48"/>
      <c r="NSS100" s="48"/>
      <c r="NST100" s="48"/>
      <c r="NSU100" s="48"/>
      <c r="NSV100" s="48"/>
      <c r="NSW100" s="48"/>
      <c r="NSX100" s="48"/>
      <c r="NSY100" s="48"/>
      <c r="NSZ100" s="48"/>
      <c r="NTA100" s="48"/>
      <c r="NTB100" s="48"/>
      <c r="NTC100" s="48"/>
      <c r="NTD100" s="48"/>
      <c r="NTE100" s="48"/>
      <c r="NTF100" s="48"/>
      <c r="NTG100" s="48"/>
      <c r="NTH100" s="48"/>
      <c r="NTI100" s="48"/>
      <c r="NTJ100" s="48"/>
      <c r="NTK100" s="48"/>
      <c r="NTL100" s="48"/>
      <c r="NTM100" s="48"/>
      <c r="NTN100" s="48"/>
      <c r="NTO100" s="48"/>
      <c r="NTP100" s="48"/>
      <c r="NTQ100" s="48"/>
      <c r="NTR100" s="48"/>
      <c r="NTS100" s="48"/>
      <c r="NTT100" s="48"/>
      <c r="NTU100" s="48"/>
      <c r="NTV100" s="48"/>
      <c r="NTW100" s="48"/>
      <c r="NTX100" s="48"/>
      <c r="NTY100" s="48"/>
      <c r="NTZ100" s="48"/>
      <c r="NUA100" s="48"/>
      <c r="NUB100" s="48"/>
      <c r="NUC100" s="48"/>
      <c r="NUD100" s="48"/>
      <c r="NUE100" s="48"/>
      <c r="NUF100" s="48"/>
      <c r="NUG100" s="48"/>
      <c r="NUH100" s="48"/>
      <c r="NUI100" s="48"/>
      <c r="NUJ100" s="48"/>
      <c r="NUK100" s="48"/>
      <c r="NUL100" s="48"/>
      <c r="NUM100" s="48"/>
      <c r="NUN100" s="48"/>
      <c r="NUO100" s="48"/>
      <c r="NUP100" s="48"/>
      <c r="NUQ100" s="48"/>
      <c r="NUR100" s="48"/>
      <c r="NUS100" s="48"/>
      <c r="NUT100" s="48"/>
      <c r="NUU100" s="48"/>
      <c r="NUV100" s="48"/>
      <c r="NUW100" s="48"/>
      <c r="NUX100" s="48"/>
      <c r="NUY100" s="48"/>
      <c r="NUZ100" s="48"/>
      <c r="NVA100" s="48"/>
      <c r="NVB100" s="48"/>
      <c r="NVC100" s="48"/>
      <c r="NVD100" s="48"/>
      <c r="NVE100" s="48"/>
      <c r="NVF100" s="48"/>
      <c r="NVG100" s="48"/>
      <c r="NVH100" s="48"/>
      <c r="NVI100" s="48"/>
      <c r="NVJ100" s="48"/>
      <c r="NVK100" s="48"/>
      <c r="NVL100" s="48"/>
      <c r="NVM100" s="48"/>
      <c r="NVN100" s="48"/>
      <c r="NVO100" s="48"/>
      <c r="NVP100" s="48"/>
      <c r="NVQ100" s="48"/>
      <c r="NVR100" s="48"/>
      <c r="NVS100" s="48"/>
      <c r="NVT100" s="48"/>
      <c r="NVU100" s="48"/>
      <c r="NVV100" s="48"/>
      <c r="NVW100" s="48"/>
      <c r="NVX100" s="48"/>
      <c r="NVY100" s="48"/>
      <c r="NVZ100" s="48"/>
      <c r="NWA100" s="48"/>
      <c r="NWB100" s="48"/>
      <c r="NWC100" s="48"/>
      <c r="NWD100" s="48"/>
      <c r="NWE100" s="48"/>
      <c r="NWF100" s="48"/>
      <c r="NWG100" s="48"/>
      <c r="NWH100" s="48"/>
      <c r="NWI100" s="48"/>
      <c r="NWJ100" s="48"/>
      <c r="NWK100" s="48"/>
      <c r="NWL100" s="48"/>
      <c r="NWM100" s="48"/>
      <c r="NWN100" s="48"/>
      <c r="NWO100" s="48"/>
      <c r="NWP100" s="48"/>
      <c r="NWQ100" s="48"/>
      <c r="NWR100" s="48"/>
      <c r="NWS100" s="48"/>
      <c r="NWT100" s="48"/>
      <c r="NWU100" s="48"/>
      <c r="NWV100" s="48"/>
      <c r="NWW100" s="48"/>
      <c r="NWX100" s="48"/>
      <c r="NWY100" s="48"/>
      <c r="NWZ100" s="48"/>
      <c r="NXA100" s="48"/>
      <c r="NXB100" s="48"/>
      <c r="NXC100" s="48"/>
      <c r="NXD100" s="48"/>
      <c r="NXE100" s="48"/>
      <c r="NXF100" s="48"/>
      <c r="NXG100" s="48"/>
      <c r="NXH100" s="48"/>
      <c r="NXI100" s="48"/>
      <c r="NXJ100" s="48"/>
      <c r="NXK100" s="48"/>
      <c r="NXL100" s="48"/>
      <c r="NXM100" s="48"/>
      <c r="NXN100" s="48"/>
      <c r="NXO100" s="48"/>
      <c r="NXP100" s="48"/>
      <c r="NXQ100" s="48"/>
      <c r="NXR100" s="48"/>
      <c r="NXS100" s="48"/>
      <c r="NXT100" s="48"/>
      <c r="NXU100" s="48"/>
      <c r="NXV100" s="48"/>
      <c r="NXW100" s="48"/>
      <c r="NXX100" s="48"/>
      <c r="NXY100" s="48"/>
      <c r="NXZ100" s="48"/>
      <c r="NYA100" s="48"/>
      <c r="NYB100" s="48"/>
      <c r="NYC100" s="48"/>
      <c r="NYD100" s="48"/>
      <c r="NYE100" s="48"/>
      <c r="NYF100" s="48"/>
      <c r="NYG100" s="48"/>
      <c r="NYH100" s="48"/>
      <c r="NYI100" s="48"/>
      <c r="NYJ100" s="48"/>
      <c r="NYK100" s="48"/>
      <c r="NYL100" s="48"/>
      <c r="NYM100" s="48"/>
      <c r="NYN100" s="48"/>
      <c r="NYO100" s="48"/>
      <c r="NYP100" s="48"/>
      <c r="NYQ100" s="48"/>
      <c r="NYR100" s="48"/>
      <c r="NYS100" s="48"/>
      <c r="NYT100" s="48"/>
      <c r="NYU100" s="48"/>
      <c r="NYV100" s="48"/>
      <c r="NYW100" s="48"/>
      <c r="NYX100" s="48"/>
      <c r="NYY100" s="48"/>
      <c r="NYZ100" s="48"/>
      <c r="NZA100" s="48"/>
      <c r="NZB100" s="48"/>
      <c r="NZC100" s="48"/>
      <c r="NZD100" s="48"/>
      <c r="NZE100" s="48"/>
      <c r="NZF100" s="48"/>
      <c r="NZG100" s="48"/>
      <c r="NZH100" s="48"/>
      <c r="NZI100" s="48"/>
      <c r="NZJ100" s="48"/>
      <c r="NZK100" s="48"/>
      <c r="NZL100" s="48"/>
      <c r="NZM100" s="48"/>
      <c r="NZN100" s="48"/>
      <c r="NZO100" s="48"/>
      <c r="NZP100" s="48"/>
      <c r="NZQ100" s="48"/>
      <c r="NZR100" s="48"/>
      <c r="NZS100" s="48"/>
      <c r="NZT100" s="48"/>
      <c r="NZU100" s="48"/>
      <c r="NZV100" s="48"/>
      <c r="NZW100" s="48"/>
      <c r="NZX100" s="48"/>
      <c r="NZY100" s="48"/>
      <c r="NZZ100" s="48"/>
      <c r="OAA100" s="48"/>
      <c r="OAB100" s="48"/>
      <c r="OAC100" s="48"/>
      <c r="OAD100" s="48"/>
      <c r="OAE100" s="48"/>
      <c r="OAF100" s="48"/>
      <c r="OAG100" s="48"/>
      <c r="OAH100" s="48"/>
      <c r="OAI100" s="48"/>
      <c r="OAJ100" s="48"/>
      <c r="OAK100" s="48"/>
      <c r="OAL100" s="48"/>
      <c r="OAM100" s="48"/>
      <c r="OAN100" s="48"/>
      <c r="OAO100" s="48"/>
      <c r="OAP100" s="48"/>
      <c r="OAQ100" s="48"/>
      <c r="OAR100" s="48"/>
      <c r="OAS100" s="48"/>
      <c r="OAT100" s="48"/>
      <c r="OAU100" s="48"/>
      <c r="OAV100" s="48"/>
      <c r="OAW100" s="48"/>
      <c r="OAX100" s="48"/>
      <c r="OAY100" s="48"/>
      <c r="OAZ100" s="48"/>
      <c r="OBA100" s="48"/>
      <c r="OBB100" s="48"/>
      <c r="OBC100" s="48"/>
      <c r="OBD100" s="48"/>
      <c r="OBE100" s="48"/>
      <c r="OBF100" s="48"/>
      <c r="OBG100" s="48"/>
      <c r="OBH100" s="48"/>
      <c r="OBI100" s="48"/>
      <c r="OBJ100" s="48"/>
      <c r="OBK100" s="48"/>
      <c r="OBL100" s="48"/>
      <c r="OBM100" s="48"/>
      <c r="OBN100" s="48"/>
      <c r="OBO100" s="48"/>
      <c r="OBP100" s="48"/>
      <c r="OBQ100" s="48"/>
      <c r="OBR100" s="48"/>
      <c r="OBS100" s="48"/>
      <c r="OBT100" s="48"/>
      <c r="OBU100" s="48"/>
      <c r="OBV100" s="48"/>
      <c r="OBW100" s="48"/>
      <c r="OBX100" s="48"/>
      <c r="OBY100" s="48"/>
      <c r="OBZ100" s="48"/>
      <c r="OCA100" s="48"/>
      <c r="OCB100" s="48"/>
      <c r="OCC100" s="48"/>
      <c r="OCD100" s="48"/>
      <c r="OCE100" s="48"/>
      <c r="OCF100" s="48"/>
      <c r="OCG100" s="48"/>
      <c r="OCH100" s="48"/>
      <c r="OCI100" s="48"/>
      <c r="OCJ100" s="48"/>
      <c r="OCK100" s="48"/>
      <c r="OCL100" s="48"/>
      <c r="OCM100" s="48"/>
      <c r="OCN100" s="48"/>
      <c r="OCO100" s="48"/>
      <c r="OCP100" s="48"/>
      <c r="OCQ100" s="48"/>
      <c r="OCR100" s="48"/>
      <c r="OCS100" s="48"/>
      <c r="OCT100" s="48"/>
      <c r="OCU100" s="48"/>
      <c r="OCV100" s="48"/>
      <c r="OCW100" s="48"/>
      <c r="OCX100" s="48"/>
      <c r="OCY100" s="48"/>
      <c r="OCZ100" s="48"/>
      <c r="ODA100" s="48"/>
      <c r="ODB100" s="48"/>
      <c r="ODC100" s="48"/>
      <c r="ODD100" s="48"/>
      <c r="ODE100" s="48"/>
      <c r="ODF100" s="48"/>
      <c r="ODG100" s="48"/>
      <c r="ODH100" s="48"/>
      <c r="ODI100" s="48"/>
      <c r="ODJ100" s="48"/>
      <c r="ODK100" s="48"/>
      <c r="ODL100" s="48"/>
      <c r="ODM100" s="48"/>
      <c r="ODN100" s="48"/>
      <c r="ODO100" s="48"/>
      <c r="ODP100" s="48"/>
      <c r="ODQ100" s="48"/>
      <c r="ODR100" s="48"/>
      <c r="ODS100" s="48"/>
      <c r="ODT100" s="48"/>
      <c r="ODU100" s="48"/>
      <c r="ODV100" s="48"/>
      <c r="ODW100" s="48"/>
      <c r="ODX100" s="48"/>
      <c r="ODY100" s="48"/>
      <c r="ODZ100" s="48"/>
      <c r="OEA100" s="48"/>
      <c r="OEB100" s="48"/>
      <c r="OEC100" s="48"/>
      <c r="OED100" s="48"/>
      <c r="OEE100" s="48"/>
      <c r="OEF100" s="48"/>
      <c r="OEG100" s="48"/>
      <c r="OEH100" s="48"/>
      <c r="OEI100" s="48"/>
      <c r="OEJ100" s="48"/>
      <c r="OEK100" s="48"/>
      <c r="OEL100" s="48"/>
      <c r="OEM100" s="48"/>
      <c r="OEN100" s="48"/>
      <c r="OEO100" s="48"/>
      <c r="OEP100" s="48"/>
      <c r="OEQ100" s="48"/>
      <c r="OER100" s="48"/>
      <c r="OES100" s="48"/>
      <c r="OET100" s="48"/>
      <c r="OEU100" s="48"/>
      <c r="OEV100" s="48"/>
      <c r="OEW100" s="48"/>
      <c r="OEX100" s="48"/>
      <c r="OEY100" s="48"/>
      <c r="OEZ100" s="48"/>
      <c r="OFA100" s="48"/>
      <c r="OFB100" s="48"/>
      <c r="OFC100" s="48"/>
      <c r="OFD100" s="48"/>
      <c r="OFE100" s="48"/>
      <c r="OFF100" s="48"/>
      <c r="OFG100" s="48"/>
      <c r="OFH100" s="48"/>
      <c r="OFI100" s="48"/>
      <c r="OFJ100" s="48"/>
      <c r="OFK100" s="48"/>
      <c r="OFL100" s="48"/>
      <c r="OFM100" s="48"/>
      <c r="OFN100" s="48"/>
      <c r="OFO100" s="48"/>
      <c r="OFP100" s="48"/>
      <c r="OFQ100" s="48"/>
      <c r="OFR100" s="48"/>
      <c r="OFS100" s="48"/>
      <c r="OFT100" s="48"/>
      <c r="OFU100" s="48"/>
      <c r="OFV100" s="48"/>
      <c r="OFW100" s="48"/>
      <c r="OFX100" s="48"/>
      <c r="OFY100" s="48"/>
      <c r="OFZ100" s="48"/>
      <c r="OGA100" s="48"/>
      <c r="OGB100" s="48"/>
      <c r="OGC100" s="48"/>
      <c r="OGD100" s="48"/>
      <c r="OGE100" s="48"/>
      <c r="OGF100" s="48"/>
      <c r="OGG100" s="48"/>
      <c r="OGH100" s="48"/>
      <c r="OGI100" s="48"/>
      <c r="OGJ100" s="48"/>
      <c r="OGK100" s="48"/>
      <c r="OGL100" s="48"/>
      <c r="OGM100" s="48"/>
      <c r="OGN100" s="48"/>
      <c r="OGO100" s="48"/>
      <c r="OGP100" s="48"/>
      <c r="OGQ100" s="48"/>
      <c r="OGR100" s="48"/>
      <c r="OGS100" s="48"/>
      <c r="OGT100" s="48"/>
      <c r="OGU100" s="48"/>
      <c r="OGV100" s="48"/>
      <c r="OGW100" s="48"/>
      <c r="OGX100" s="48"/>
      <c r="OGY100" s="48"/>
      <c r="OGZ100" s="48"/>
      <c r="OHA100" s="48"/>
      <c r="OHB100" s="48"/>
      <c r="OHC100" s="48"/>
      <c r="OHD100" s="48"/>
      <c r="OHE100" s="48"/>
      <c r="OHF100" s="48"/>
      <c r="OHG100" s="48"/>
      <c r="OHH100" s="48"/>
      <c r="OHI100" s="48"/>
      <c r="OHJ100" s="48"/>
      <c r="OHK100" s="48"/>
      <c r="OHL100" s="48"/>
      <c r="OHM100" s="48"/>
      <c r="OHN100" s="48"/>
      <c r="OHO100" s="48"/>
      <c r="OHP100" s="48"/>
      <c r="OHQ100" s="48"/>
      <c r="OHR100" s="48"/>
      <c r="OHS100" s="48"/>
      <c r="OHT100" s="48"/>
      <c r="OHU100" s="48"/>
      <c r="OHV100" s="48"/>
      <c r="OHW100" s="48"/>
      <c r="OHX100" s="48"/>
      <c r="OHY100" s="48"/>
      <c r="OHZ100" s="48"/>
      <c r="OIA100" s="48"/>
      <c r="OIB100" s="48"/>
      <c r="OIC100" s="48"/>
      <c r="OID100" s="48"/>
      <c r="OIE100" s="48"/>
      <c r="OIF100" s="48"/>
      <c r="OIG100" s="48"/>
      <c r="OIH100" s="48"/>
      <c r="OII100" s="48"/>
      <c r="OIJ100" s="48"/>
      <c r="OIK100" s="48"/>
      <c r="OIL100" s="48"/>
      <c r="OIM100" s="48"/>
      <c r="OIN100" s="48"/>
      <c r="OIO100" s="48"/>
      <c r="OIP100" s="48"/>
      <c r="OIQ100" s="48"/>
      <c r="OIR100" s="48"/>
      <c r="OIS100" s="48"/>
      <c r="OIT100" s="48"/>
      <c r="OIU100" s="48"/>
      <c r="OIV100" s="48"/>
      <c r="OIW100" s="48"/>
      <c r="OIX100" s="48"/>
      <c r="OIY100" s="48"/>
      <c r="OIZ100" s="48"/>
      <c r="OJA100" s="48"/>
      <c r="OJB100" s="48"/>
      <c r="OJC100" s="48"/>
      <c r="OJD100" s="48"/>
      <c r="OJE100" s="48"/>
      <c r="OJF100" s="48"/>
      <c r="OJG100" s="48"/>
      <c r="OJH100" s="48"/>
      <c r="OJI100" s="48"/>
      <c r="OJJ100" s="48"/>
      <c r="OJK100" s="48"/>
      <c r="OJL100" s="48"/>
      <c r="OJM100" s="48"/>
      <c r="OJN100" s="48"/>
      <c r="OJO100" s="48"/>
      <c r="OJP100" s="48"/>
      <c r="OJQ100" s="48"/>
      <c r="OJR100" s="48"/>
      <c r="OJS100" s="48"/>
      <c r="OJT100" s="48"/>
      <c r="OJU100" s="48"/>
      <c r="OJV100" s="48"/>
      <c r="OJW100" s="48"/>
      <c r="OJX100" s="48"/>
      <c r="OJY100" s="48"/>
      <c r="OJZ100" s="48"/>
      <c r="OKA100" s="48"/>
      <c r="OKB100" s="48"/>
      <c r="OKC100" s="48"/>
      <c r="OKD100" s="48"/>
      <c r="OKE100" s="48"/>
      <c r="OKF100" s="48"/>
      <c r="OKG100" s="48"/>
      <c r="OKH100" s="48"/>
      <c r="OKI100" s="48"/>
      <c r="OKJ100" s="48"/>
      <c r="OKK100" s="48"/>
      <c r="OKL100" s="48"/>
      <c r="OKM100" s="48"/>
      <c r="OKN100" s="48"/>
      <c r="OKO100" s="48"/>
      <c r="OKP100" s="48"/>
      <c r="OKQ100" s="48"/>
      <c r="OKR100" s="48"/>
      <c r="OKS100" s="48"/>
      <c r="OKT100" s="48"/>
      <c r="OKU100" s="48"/>
      <c r="OKV100" s="48"/>
      <c r="OKW100" s="48"/>
      <c r="OKX100" s="48"/>
      <c r="OKY100" s="48"/>
      <c r="OKZ100" s="48"/>
      <c r="OLA100" s="48"/>
      <c r="OLB100" s="48"/>
      <c r="OLC100" s="48"/>
      <c r="OLD100" s="48"/>
      <c r="OLE100" s="48"/>
      <c r="OLF100" s="48"/>
      <c r="OLG100" s="48"/>
      <c r="OLH100" s="48"/>
      <c r="OLI100" s="48"/>
      <c r="OLJ100" s="48"/>
      <c r="OLK100" s="48"/>
      <c r="OLL100" s="48"/>
      <c r="OLM100" s="48"/>
      <c r="OLN100" s="48"/>
      <c r="OLO100" s="48"/>
      <c r="OLP100" s="48"/>
      <c r="OLQ100" s="48"/>
      <c r="OLR100" s="48"/>
      <c r="OLS100" s="48"/>
      <c r="OLT100" s="48"/>
      <c r="OLU100" s="48"/>
      <c r="OLV100" s="48"/>
      <c r="OLW100" s="48"/>
      <c r="OLX100" s="48"/>
      <c r="OLY100" s="48"/>
      <c r="OLZ100" s="48"/>
      <c r="OMA100" s="48"/>
      <c r="OMB100" s="48"/>
      <c r="OMC100" s="48"/>
      <c r="OMD100" s="48"/>
      <c r="OME100" s="48"/>
      <c r="OMF100" s="48"/>
      <c r="OMG100" s="48"/>
      <c r="OMH100" s="48"/>
      <c r="OMI100" s="48"/>
      <c r="OMJ100" s="48"/>
      <c r="OMK100" s="48"/>
      <c r="OML100" s="48"/>
      <c r="OMM100" s="48"/>
      <c r="OMN100" s="48"/>
      <c r="OMO100" s="48"/>
      <c r="OMP100" s="48"/>
      <c r="OMQ100" s="48"/>
      <c r="OMR100" s="48"/>
      <c r="OMS100" s="48"/>
      <c r="OMT100" s="48"/>
      <c r="OMU100" s="48"/>
      <c r="OMV100" s="48"/>
      <c r="OMW100" s="48"/>
      <c r="OMX100" s="48"/>
      <c r="OMY100" s="48"/>
      <c r="OMZ100" s="48"/>
      <c r="ONA100" s="48"/>
      <c r="ONB100" s="48"/>
      <c r="ONC100" s="48"/>
      <c r="OND100" s="48"/>
      <c r="ONE100" s="48"/>
      <c r="ONF100" s="48"/>
      <c r="ONG100" s="48"/>
      <c r="ONH100" s="48"/>
      <c r="ONI100" s="48"/>
      <c r="ONJ100" s="48"/>
      <c r="ONK100" s="48"/>
      <c r="ONL100" s="48"/>
      <c r="ONM100" s="48"/>
      <c r="ONN100" s="48"/>
      <c r="ONO100" s="48"/>
      <c r="ONP100" s="48"/>
      <c r="ONQ100" s="48"/>
      <c r="ONR100" s="48"/>
      <c r="ONS100" s="48"/>
      <c r="ONT100" s="48"/>
      <c r="ONU100" s="48"/>
      <c r="ONV100" s="48"/>
      <c r="ONW100" s="48"/>
      <c r="ONX100" s="48"/>
      <c r="ONY100" s="48"/>
      <c r="ONZ100" s="48"/>
      <c r="OOA100" s="48"/>
      <c r="OOB100" s="48"/>
      <c r="OOC100" s="48"/>
      <c r="OOD100" s="48"/>
      <c r="OOE100" s="48"/>
      <c r="OOF100" s="48"/>
      <c r="OOG100" s="48"/>
      <c r="OOH100" s="48"/>
      <c r="OOI100" s="48"/>
      <c r="OOJ100" s="48"/>
      <c r="OOK100" s="48"/>
      <c r="OOL100" s="48"/>
      <c r="OOM100" s="48"/>
      <c r="OON100" s="48"/>
      <c r="OOO100" s="48"/>
      <c r="OOP100" s="48"/>
      <c r="OOQ100" s="48"/>
      <c r="OOR100" s="48"/>
      <c r="OOS100" s="48"/>
      <c r="OOT100" s="48"/>
      <c r="OOU100" s="48"/>
      <c r="OOV100" s="48"/>
      <c r="OOW100" s="48"/>
      <c r="OOX100" s="48"/>
      <c r="OOY100" s="48"/>
      <c r="OOZ100" s="48"/>
      <c r="OPA100" s="48"/>
      <c r="OPB100" s="48"/>
      <c r="OPC100" s="48"/>
      <c r="OPD100" s="48"/>
      <c r="OPE100" s="48"/>
      <c r="OPF100" s="48"/>
      <c r="OPG100" s="48"/>
      <c r="OPH100" s="48"/>
      <c r="OPI100" s="48"/>
      <c r="OPJ100" s="48"/>
      <c r="OPK100" s="48"/>
      <c r="OPL100" s="48"/>
      <c r="OPM100" s="48"/>
      <c r="OPN100" s="48"/>
      <c r="OPO100" s="48"/>
      <c r="OPP100" s="48"/>
      <c r="OPQ100" s="48"/>
      <c r="OPR100" s="48"/>
      <c r="OPS100" s="48"/>
      <c r="OPT100" s="48"/>
      <c r="OPU100" s="48"/>
      <c r="OPV100" s="48"/>
      <c r="OPW100" s="48"/>
      <c r="OPX100" s="48"/>
      <c r="OPY100" s="48"/>
      <c r="OPZ100" s="48"/>
      <c r="OQA100" s="48"/>
      <c r="OQB100" s="48"/>
      <c r="OQC100" s="48"/>
      <c r="OQD100" s="48"/>
      <c r="OQE100" s="48"/>
      <c r="OQF100" s="48"/>
      <c r="OQG100" s="48"/>
      <c r="OQH100" s="48"/>
      <c r="OQI100" s="48"/>
      <c r="OQJ100" s="48"/>
      <c r="OQK100" s="48"/>
      <c r="OQL100" s="48"/>
      <c r="OQM100" s="48"/>
      <c r="OQN100" s="48"/>
      <c r="OQO100" s="48"/>
      <c r="OQP100" s="48"/>
      <c r="OQQ100" s="48"/>
      <c r="OQR100" s="48"/>
      <c r="OQS100" s="48"/>
      <c r="OQT100" s="48"/>
      <c r="OQU100" s="48"/>
      <c r="OQV100" s="48"/>
      <c r="OQW100" s="48"/>
      <c r="OQX100" s="48"/>
      <c r="OQY100" s="48"/>
      <c r="OQZ100" s="48"/>
      <c r="ORA100" s="48"/>
      <c r="ORB100" s="48"/>
      <c r="ORC100" s="48"/>
      <c r="ORD100" s="48"/>
      <c r="ORE100" s="48"/>
      <c r="ORF100" s="48"/>
      <c r="ORG100" s="48"/>
      <c r="ORH100" s="48"/>
      <c r="ORI100" s="48"/>
      <c r="ORJ100" s="48"/>
      <c r="ORK100" s="48"/>
      <c r="ORL100" s="48"/>
      <c r="ORM100" s="48"/>
      <c r="ORN100" s="48"/>
      <c r="ORO100" s="48"/>
      <c r="ORP100" s="48"/>
      <c r="ORQ100" s="48"/>
      <c r="ORR100" s="48"/>
      <c r="ORS100" s="48"/>
      <c r="ORT100" s="48"/>
      <c r="ORU100" s="48"/>
      <c r="ORV100" s="48"/>
      <c r="ORW100" s="48"/>
      <c r="ORX100" s="48"/>
      <c r="ORY100" s="48"/>
      <c r="ORZ100" s="48"/>
      <c r="OSA100" s="48"/>
      <c r="OSB100" s="48"/>
      <c r="OSC100" s="48"/>
      <c r="OSD100" s="48"/>
      <c r="OSE100" s="48"/>
      <c r="OSF100" s="48"/>
      <c r="OSG100" s="48"/>
      <c r="OSH100" s="48"/>
      <c r="OSI100" s="48"/>
      <c r="OSJ100" s="48"/>
      <c r="OSK100" s="48"/>
      <c r="OSL100" s="48"/>
      <c r="OSM100" s="48"/>
      <c r="OSN100" s="48"/>
      <c r="OSO100" s="48"/>
      <c r="OSP100" s="48"/>
      <c r="OSQ100" s="48"/>
      <c r="OSR100" s="48"/>
      <c r="OSS100" s="48"/>
      <c r="OST100" s="48"/>
      <c r="OSU100" s="48"/>
      <c r="OSV100" s="48"/>
      <c r="OSW100" s="48"/>
      <c r="OSX100" s="48"/>
      <c r="OSY100" s="48"/>
      <c r="OSZ100" s="48"/>
      <c r="OTA100" s="48"/>
      <c r="OTB100" s="48"/>
      <c r="OTC100" s="48"/>
      <c r="OTD100" s="48"/>
      <c r="OTE100" s="48"/>
      <c r="OTF100" s="48"/>
      <c r="OTG100" s="48"/>
      <c r="OTH100" s="48"/>
      <c r="OTI100" s="48"/>
      <c r="OTJ100" s="48"/>
      <c r="OTK100" s="48"/>
      <c r="OTL100" s="48"/>
      <c r="OTM100" s="48"/>
      <c r="OTN100" s="48"/>
      <c r="OTO100" s="48"/>
      <c r="OTP100" s="48"/>
      <c r="OTQ100" s="48"/>
      <c r="OTR100" s="48"/>
      <c r="OTS100" s="48"/>
      <c r="OTT100" s="48"/>
      <c r="OTU100" s="48"/>
      <c r="OTV100" s="48"/>
      <c r="OTW100" s="48"/>
      <c r="OTX100" s="48"/>
      <c r="OTY100" s="48"/>
      <c r="OTZ100" s="48"/>
      <c r="OUA100" s="48"/>
      <c r="OUB100" s="48"/>
      <c r="OUC100" s="48"/>
      <c r="OUD100" s="48"/>
      <c r="OUE100" s="48"/>
      <c r="OUF100" s="48"/>
      <c r="OUG100" s="48"/>
      <c r="OUH100" s="48"/>
      <c r="OUI100" s="48"/>
      <c r="OUJ100" s="48"/>
      <c r="OUK100" s="48"/>
      <c r="OUL100" s="48"/>
      <c r="OUM100" s="48"/>
      <c r="OUN100" s="48"/>
      <c r="OUO100" s="48"/>
      <c r="OUP100" s="48"/>
      <c r="OUQ100" s="48"/>
      <c r="OUR100" s="48"/>
      <c r="OUS100" s="48"/>
      <c r="OUT100" s="48"/>
      <c r="OUU100" s="48"/>
      <c r="OUV100" s="48"/>
      <c r="OUW100" s="48"/>
      <c r="OUX100" s="48"/>
      <c r="OUY100" s="48"/>
      <c r="OUZ100" s="48"/>
      <c r="OVA100" s="48"/>
      <c r="OVB100" s="48"/>
      <c r="OVC100" s="48"/>
      <c r="OVD100" s="48"/>
      <c r="OVE100" s="48"/>
      <c r="OVF100" s="48"/>
      <c r="OVG100" s="48"/>
      <c r="OVH100" s="48"/>
      <c r="OVI100" s="48"/>
      <c r="OVJ100" s="48"/>
      <c r="OVK100" s="48"/>
      <c r="OVL100" s="48"/>
      <c r="OVM100" s="48"/>
      <c r="OVN100" s="48"/>
      <c r="OVO100" s="48"/>
      <c r="OVP100" s="48"/>
      <c r="OVQ100" s="48"/>
      <c r="OVR100" s="48"/>
      <c r="OVS100" s="48"/>
      <c r="OVT100" s="48"/>
      <c r="OVU100" s="48"/>
      <c r="OVV100" s="48"/>
      <c r="OVW100" s="48"/>
      <c r="OVX100" s="48"/>
      <c r="OVY100" s="48"/>
      <c r="OVZ100" s="48"/>
      <c r="OWA100" s="48"/>
      <c r="OWB100" s="48"/>
      <c r="OWC100" s="48"/>
      <c r="OWD100" s="48"/>
      <c r="OWE100" s="48"/>
      <c r="OWF100" s="48"/>
      <c r="OWG100" s="48"/>
      <c r="OWH100" s="48"/>
      <c r="OWI100" s="48"/>
      <c r="OWJ100" s="48"/>
      <c r="OWK100" s="48"/>
      <c r="OWL100" s="48"/>
      <c r="OWM100" s="48"/>
      <c r="OWN100" s="48"/>
      <c r="OWO100" s="48"/>
      <c r="OWP100" s="48"/>
      <c r="OWQ100" s="48"/>
      <c r="OWR100" s="48"/>
      <c r="OWS100" s="48"/>
      <c r="OWT100" s="48"/>
      <c r="OWU100" s="48"/>
      <c r="OWV100" s="48"/>
      <c r="OWW100" s="48"/>
      <c r="OWX100" s="48"/>
      <c r="OWY100" s="48"/>
      <c r="OWZ100" s="48"/>
      <c r="OXA100" s="48"/>
      <c r="OXB100" s="48"/>
      <c r="OXC100" s="48"/>
      <c r="OXD100" s="48"/>
      <c r="OXE100" s="48"/>
      <c r="OXF100" s="48"/>
      <c r="OXG100" s="48"/>
      <c r="OXH100" s="48"/>
      <c r="OXI100" s="48"/>
      <c r="OXJ100" s="48"/>
      <c r="OXK100" s="48"/>
      <c r="OXL100" s="48"/>
      <c r="OXM100" s="48"/>
      <c r="OXN100" s="48"/>
      <c r="OXO100" s="48"/>
      <c r="OXP100" s="48"/>
      <c r="OXQ100" s="48"/>
      <c r="OXR100" s="48"/>
      <c r="OXS100" s="48"/>
      <c r="OXT100" s="48"/>
      <c r="OXU100" s="48"/>
      <c r="OXV100" s="48"/>
      <c r="OXW100" s="48"/>
      <c r="OXX100" s="48"/>
      <c r="OXY100" s="48"/>
      <c r="OXZ100" s="48"/>
      <c r="OYA100" s="48"/>
      <c r="OYB100" s="48"/>
      <c r="OYC100" s="48"/>
      <c r="OYD100" s="48"/>
      <c r="OYE100" s="48"/>
      <c r="OYF100" s="48"/>
      <c r="OYG100" s="48"/>
      <c r="OYH100" s="48"/>
      <c r="OYI100" s="48"/>
      <c r="OYJ100" s="48"/>
      <c r="OYK100" s="48"/>
      <c r="OYL100" s="48"/>
      <c r="OYM100" s="48"/>
      <c r="OYN100" s="48"/>
      <c r="OYO100" s="48"/>
      <c r="OYP100" s="48"/>
      <c r="OYQ100" s="48"/>
      <c r="OYR100" s="48"/>
      <c r="OYS100" s="48"/>
      <c r="OYT100" s="48"/>
      <c r="OYU100" s="48"/>
      <c r="OYV100" s="48"/>
      <c r="OYW100" s="48"/>
      <c r="OYX100" s="48"/>
      <c r="OYY100" s="48"/>
      <c r="OYZ100" s="48"/>
      <c r="OZA100" s="48"/>
      <c r="OZB100" s="48"/>
      <c r="OZC100" s="48"/>
      <c r="OZD100" s="48"/>
      <c r="OZE100" s="48"/>
      <c r="OZF100" s="48"/>
      <c r="OZG100" s="48"/>
      <c r="OZH100" s="48"/>
      <c r="OZI100" s="48"/>
      <c r="OZJ100" s="48"/>
      <c r="OZK100" s="48"/>
      <c r="OZL100" s="48"/>
      <c r="OZM100" s="48"/>
      <c r="OZN100" s="48"/>
      <c r="OZO100" s="48"/>
      <c r="OZP100" s="48"/>
      <c r="OZQ100" s="48"/>
      <c r="OZR100" s="48"/>
      <c r="OZS100" s="48"/>
      <c r="OZT100" s="48"/>
      <c r="OZU100" s="48"/>
      <c r="OZV100" s="48"/>
      <c r="OZW100" s="48"/>
      <c r="OZX100" s="48"/>
      <c r="OZY100" s="48"/>
      <c r="OZZ100" s="48"/>
      <c r="PAA100" s="48"/>
      <c r="PAB100" s="48"/>
      <c r="PAC100" s="48"/>
      <c r="PAD100" s="48"/>
      <c r="PAE100" s="48"/>
      <c r="PAF100" s="48"/>
      <c r="PAG100" s="48"/>
      <c r="PAH100" s="48"/>
      <c r="PAI100" s="48"/>
      <c r="PAJ100" s="48"/>
      <c r="PAK100" s="48"/>
      <c r="PAL100" s="48"/>
      <c r="PAM100" s="48"/>
      <c r="PAN100" s="48"/>
      <c r="PAO100" s="48"/>
      <c r="PAP100" s="48"/>
      <c r="PAQ100" s="48"/>
      <c r="PAR100" s="48"/>
      <c r="PAS100" s="48"/>
      <c r="PAT100" s="48"/>
      <c r="PAU100" s="48"/>
      <c r="PAV100" s="48"/>
      <c r="PAW100" s="48"/>
      <c r="PAX100" s="48"/>
      <c r="PAY100" s="48"/>
      <c r="PAZ100" s="48"/>
      <c r="PBA100" s="48"/>
      <c r="PBB100" s="48"/>
      <c r="PBC100" s="48"/>
      <c r="PBD100" s="48"/>
      <c r="PBE100" s="48"/>
      <c r="PBF100" s="48"/>
      <c r="PBG100" s="48"/>
      <c r="PBH100" s="48"/>
      <c r="PBI100" s="48"/>
      <c r="PBJ100" s="48"/>
      <c r="PBK100" s="48"/>
      <c r="PBL100" s="48"/>
      <c r="PBM100" s="48"/>
      <c r="PBN100" s="48"/>
      <c r="PBO100" s="48"/>
      <c r="PBP100" s="48"/>
      <c r="PBQ100" s="48"/>
      <c r="PBR100" s="48"/>
      <c r="PBS100" s="48"/>
      <c r="PBT100" s="48"/>
      <c r="PBU100" s="48"/>
      <c r="PBV100" s="48"/>
      <c r="PBW100" s="48"/>
      <c r="PBX100" s="48"/>
      <c r="PBY100" s="48"/>
      <c r="PBZ100" s="48"/>
      <c r="PCA100" s="48"/>
      <c r="PCB100" s="48"/>
      <c r="PCC100" s="48"/>
      <c r="PCD100" s="48"/>
      <c r="PCE100" s="48"/>
      <c r="PCF100" s="48"/>
      <c r="PCG100" s="48"/>
      <c r="PCH100" s="48"/>
      <c r="PCI100" s="48"/>
      <c r="PCJ100" s="48"/>
      <c r="PCK100" s="48"/>
      <c r="PCL100" s="48"/>
      <c r="PCM100" s="48"/>
      <c r="PCN100" s="48"/>
      <c r="PCO100" s="48"/>
      <c r="PCP100" s="48"/>
      <c r="PCQ100" s="48"/>
      <c r="PCR100" s="48"/>
      <c r="PCS100" s="48"/>
      <c r="PCT100" s="48"/>
      <c r="PCU100" s="48"/>
      <c r="PCV100" s="48"/>
      <c r="PCW100" s="48"/>
      <c r="PCX100" s="48"/>
      <c r="PCY100" s="48"/>
      <c r="PCZ100" s="48"/>
      <c r="PDA100" s="48"/>
      <c r="PDB100" s="48"/>
      <c r="PDC100" s="48"/>
      <c r="PDD100" s="48"/>
      <c r="PDE100" s="48"/>
      <c r="PDF100" s="48"/>
      <c r="PDG100" s="48"/>
      <c r="PDH100" s="48"/>
      <c r="PDI100" s="48"/>
      <c r="PDJ100" s="48"/>
      <c r="PDK100" s="48"/>
      <c r="PDL100" s="48"/>
      <c r="PDM100" s="48"/>
      <c r="PDN100" s="48"/>
      <c r="PDO100" s="48"/>
      <c r="PDP100" s="48"/>
      <c r="PDQ100" s="48"/>
      <c r="PDR100" s="48"/>
      <c r="PDS100" s="48"/>
      <c r="PDT100" s="48"/>
      <c r="PDU100" s="48"/>
      <c r="PDV100" s="48"/>
      <c r="PDW100" s="48"/>
      <c r="PDX100" s="48"/>
      <c r="PDY100" s="48"/>
      <c r="PDZ100" s="48"/>
      <c r="PEA100" s="48"/>
      <c r="PEB100" s="48"/>
      <c r="PEC100" s="48"/>
      <c r="PED100" s="48"/>
      <c r="PEE100" s="48"/>
      <c r="PEF100" s="48"/>
      <c r="PEG100" s="48"/>
      <c r="PEH100" s="48"/>
      <c r="PEI100" s="48"/>
      <c r="PEJ100" s="48"/>
      <c r="PEK100" s="48"/>
      <c r="PEL100" s="48"/>
      <c r="PEM100" s="48"/>
      <c r="PEN100" s="48"/>
      <c r="PEO100" s="48"/>
      <c r="PEP100" s="48"/>
      <c r="PEQ100" s="48"/>
      <c r="PER100" s="48"/>
      <c r="PES100" s="48"/>
      <c r="PET100" s="48"/>
      <c r="PEU100" s="48"/>
      <c r="PEV100" s="48"/>
      <c r="PEW100" s="48"/>
      <c r="PEX100" s="48"/>
      <c r="PEY100" s="48"/>
      <c r="PEZ100" s="48"/>
      <c r="PFA100" s="48"/>
      <c r="PFB100" s="48"/>
      <c r="PFC100" s="48"/>
      <c r="PFD100" s="48"/>
      <c r="PFE100" s="48"/>
      <c r="PFF100" s="48"/>
      <c r="PFG100" s="48"/>
      <c r="PFH100" s="48"/>
      <c r="PFI100" s="48"/>
      <c r="PFJ100" s="48"/>
      <c r="PFK100" s="48"/>
      <c r="PFL100" s="48"/>
      <c r="PFM100" s="48"/>
      <c r="PFN100" s="48"/>
      <c r="PFO100" s="48"/>
      <c r="PFP100" s="48"/>
      <c r="PFQ100" s="48"/>
      <c r="PFR100" s="48"/>
      <c r="PFS100" s="48"/>
      <c r="PFT100" s="48"/>
      <c r="PFU100" s="48"/>
      <c r="PFV100" s="48"/>
      <c r="PFW100" s="48"/>
      <c r="PFX100" s="48"/>
      <c r="PFY100" s="48"/>
      <c r="PFZ100" s="48"/>
      <c r="PGA100" s="48"/>
      <c r="PGB100" s="48"/>
      <c r="PGC100" s="48"/>
      <c r="PGD100" s="48"/>
      <c r="PGE100" s="48"/>
      <c r="PGF100" s="48"/>
      <c r="PGG100" s="48"/>
      <c r="PGH100" s="48"/>
      <c r="PGI100" s="48"/>
      <c r="PGJ100" s="48"/>
      <c r="PGK100" s="48"/>
      <c r="PGL100" s="48"/>
      <c r="PGM100" s="48"/>
      <c r="PGN100" s="48"/>
      <c r="PGO100" s="48"/>
      <c r="PGP100" s="48"/>
      <c r="PGQ100" s="48"/>
      <c r="PGR100" s="48"/>
      <c r="PGS100" s="48"/>
      <c r="PGT100" s="48"/>
      <c r="PGU100" s="48"/>
      <c r="PGV100" s="48"/>
      <c r="PGW100" s="48"/>
      <c r="PGX100" s="48"/>
      <c r="PGY100" s="48"/>
      <c r="PGZ100" s="48"/>
      <c r="PHA100" s="48"/>
      <c r="PHB100" s="48"/>
      <c r="PHC100" s="48"/>
      <c r="PHD100" s="48"/>
      <c r="PHE100" s="48"/>
      <c r="PHF100" s="48"/>
      <c r="PHG100" s="48"/>
      <c r="PHH100" s="48"/>
      <c r="PHI100" s="48"/>
      <c r="PHJ100" s="48"/>
      <c r="PHK100" s="48"/>
      <c r="PHL100" s="48"/>
      <c r="PHM100" s="48"/>
      <c r="PHN100" s="48"/>
      <c r="PHO100" s="48"/>
      <c r="PHP100" s="48"/>
      <c r="PHQ100" s="48"/>
      <c r="PHR100" s="48"/>
      <c r="PHS100" s="48"/>
      <c r="PHT100" s="48"/>
      <c r="PHU100" s="48"/>
      <c r="PHV100" s="48"/>
      <c r="PHW100" s="48"/>
      <c r="PHX100" s="48"/>
      <c r="PHY100" s="48"/>
      <c r="PHZ100" s="48"/>
      <c r="PIA100" s="48"/>
      <c r="PIB100" s="48"/>
      <c r="PIC100" s="48"/>
      <c r="PID100" s="48"/>
      <c r="PIE100" s="48"/>
      <c r="PIF100" s="48"/>
      <c r="PIG100" s="48"/>
      <c r="PIH100" s="48"/>
      <c r="PII100" s="48"/>
      <c r="PIJ100" s="48"/>
      <c r="PIK100" s="48"/>
      <c r="PIL100" s="48"/>
      <c r="PIM100" s="48"/>
      <c r="PIN100" s="48"/>
      <c r="PIO100" s="48"/>
      <c r="PIP100" s="48"/>
      <c r="PIQ100" s="48"/>
      <c r="PIR100" s="48"/>
      <c r="PIS100" s="48"/>
      <c r="PIT100" s="48"/>
      <c r="PIU100" s="48"/>
      <c r="PIV100" s="48"/>
      <c r="PIW100" s="48"/>
      <c r="PIX100" s="48"/>
      <c r="PIY100" s="48"/>
      <c r="PIZ100" s="48"/>
      <c r="PJA100" s="48"/>
      <c r="PJB100" s="48"/>
      <c r="PJC100" s="48"/>
      <c r="PJD100" s="48"/>
      <c r="PJE100" s="48"/>
      <c r="PJF100" s="48"/>
      <c r="PJG100" s="48"/>
      <c r="PJH100" s="48"/>
      <c r="PJI100" s="48"/>
      <c r="PJJ100" s="48"/>
      <c r="PJK100" s="48"/>
      <c r="PJL100" s="48"/>
      <c r="PJM100" s="48"/>
      <c r="PJN100" s="48"/>
      <c r="PJO100" s="48"/>
      <c r="PJP100" s="48"/>
      <c r="PJQ100" s="48"/>
      <c r="PJR100" s="48"/>
      <c r="PJS100" s="48"/>
      <c r="PJT100" s="48"/>
      <c r="PJU100" s="48"/>
      <c r="PJV100" s="48"/>
      <c r="PJW100" s="48"/>
      <c r="PJX100" s="48"/>
      <c r="PJY100" s="48"/>
      <c r="PJZ100" s="48"/>
      <c r="PKA100" s="48"/>
      <c r="PKB100" s="48"/>
      <c r="PKC100" s="48"/>
      <c r="PKD100" s="48"/>
      <c r="PKE100" s="48"/>
      <c r="PKF100" s="48"/>
      <c r="PKG100" s="48"/>
      <c r="PKH100" s="48"/>
      <c r="PKI100" s="48"/>
      <c r="PKJ100" s="48"/>
      <c r="PKK100" s="48"/>
      <c r="PKL100" s="48"/>
      <c r="PKM100" s="48"/>
      <c r="PKN100" s="48"/>
      <c r="PKO100" s="48"/>
      <c r="PKP100" s="48"/>
      <c r="PKQ100" s="48"/>
      <c r="PKR100" s="48"/>
      <c r="PKS100" s="48"/>
      <c r="PKT100" s="48"/>
      <c r="PKU100" s="48"/>
      <c r="PKV100" s="48"/>
      <c r="PKW100" s="48"/>
      <c r="PKX100" s="48"/>
      <c r="PKY100" s="48"/>
      <c r="PKZ100" s="48"/>
      <c r="PLA100" s="48"/>
      <c r="PLB100" s="48"/>
      <c r="PLC100" s="48"/>
      <c r="PLD100" s="48"/>
      <c r="PLE100" s="48"/>
      <c r="PLF100" s="48"/>
      <c r="PLG100" s="48"/>
      <c r="PLH100" s="48"/>
      <c r="PLI100" s="48"/>
      <c r="PLJ100" s="48"/>
      <c r="PLK100" s="48"/>
      <c r="PLL100" s="48"/>
      <c r="PLM100" s="48"/>
      <c r="PLN100" s="48"/>
      <c r="PLO100" s="48"/>
      <c r="PLP100" s="48"/>
      <c r="PLQ100" s="48"/>
      <c r="PLR100" s="48"/>
      <c r="PLS100" s="48"/>
      <c r="PLT100" s="48"/>
      <c r="PLU100" s="48"/>
      <c r="PLV100" s="48"/>
      <c r="PLW100" s="48"/>
      <c r="PLX100" s="48"/>
      <c r="PLY100" s="48"/>
      <c r="PLZ100" s="48"/>
      <c r="PMA100" s="48"/>
      <c r="PMB100" s="48"/>
      <c r="PMC100" s="48"/>
      <c r="PMD100" s="48"/>
      <c r="PME100" s="48"/>
      <c r="PMF100" s="48"/>
      <c r="PMG100" s="48"/>
      <c r="PMH100" s="48"/>
      <c r="PMI100" s="48"/>
      <c r="PMJ100" s="48"/>
      <c r="PMK100" s="48"/>
      <c r="PML100" s="48"/>
      <c r="PMM100" s="48"/>
      <c r="PMN100" s="48"/>
      <c r="PMO100" s="48"/>
      <c r="PMP100" s="48"/>
      <c r="PMQ100" s="48"/>
      <c r="PMR100" s="48"/>
      <c r="PMS100" s="48"/>
      <c r="PMT100" s="48"/>
      <c r="PMU100" s="48"/>
      <c r="PMV100" s="48"/>
      <c r="PMW100" s="48"/>
      <c r="PMX100" s="48"/>
      <c r="PMY100" s="48"/>
      <c r="PMZ100" s="48"/>
      <c r="PNA100" s="48"/>
      <c r="PNB100" s="48"/>
      <c r="PNC100" s="48"/>
      <c r="PND100" s="48"/>
      <c r="PNE100" s="48"/>
      <c r="PNF100" s="48"/>
      <c r="PNG100" s="48"/>
      <c r="PNH100" s="48"/>
      <c r="PNI100" s="48"/>
      <c r="PNJ100" s="48"/>
      <c r="PNK100" s="48"/>
      <c r="PNL100" s="48"/>
      <c r="PNM100" s="48"/>
      <c r="PNN100" s="48"/>
      <c r="PNO100" s="48"/>
      <c r="PNP100" s="48"/>
      <c r="PNQ100" s="48"/>
      <c r="PNR100" s="48"/>
      <c r="PNS100" s="48"/>
      <c r="PNT100" s="48"/>
      <c r="PNU100" s="48"/>
      <c r="PNV100" s="48"/>
      <c r="PNW100" s="48"/>
      <c r="PNX100" s="48"/>
      <c r="PNY100" s="48"/>
      <c r="PNZ100" s="48"/>
      <c r="POA100" s="48"/>
      <c r="POB100" s="48"/>
      <c r="POC100" s="48"/>
      <c r="POD100" s="48"/>
      <c r="POE100" s="48"/>
      <c r="POF100" s="48"/>
      <c r="POG100" s="48"/>
      <c r="POH100" s="48"/>
      <c r="POI100" s="48"/>
      <c r="POJ100" s="48"/>
      <c r="POK100" s="48"/>
      <c r="POL100" s="48"/>
      <c r="POM100" s="48"/>
      <c r="PON100" s="48"/>
      <c r="POO100" s="48"/>
      <c r="POP100" s="48"/>
      <c r="POQ100" s="48"/>
      <c r="POR100" s="48"/>
      <c r="POS100" s="48"/>
      <c r="POT100" s="48"/>
      <c r="POU100" s="48"/>
      <c r="POV100" s="48"/>
      <c r="POW100" s="48"/>
      <c r="POX100" s="48"/>
      <c r="POY100" s="48"/>
      <c r="POZ100" s="48"/>
      <c r="PPA100" s="48"/>
      <c r="PPB100" s="48"/>
      <c r="PPC100" s="48"/>
      <c r="PPD100" s="48"/>
      <c r="PPE100" s="48"/>
      <c r="PPF100" s="48"/>
      <c r="PPG100" s="48"/>
      <c r="PPH100" s="48"/>
      <c r="PPI100" s="48"/>
      <c r="PPJ100" s="48"/>
      <c r="PPK100" s="48"/>
      <c r="PPL100" s="48"/>
      <c r="PPM100" s="48"/>
      <c r="PPN100" s="48"/>
      <c r="PPO100" s="48"/>
      <c r="PPP100" s="48"/>
      <c r="PPQ100" s="48"/>
      <c r="PPR100" s="48"/>
      <c r="PPS100" s="48"/>
      <c r="PPT100" s="48"/>
      <c r="PPU100" s="48"/>
      <c r="PPV100" s="48"/>
      <c r="PPW100" s="48"/>
      <c r="PPX100" s="48"/>
      <c r="PPY100" s="48"/>
      <c r="PPZ100" s="48"/>
      <c r="PQA100" s="48"/>
      <c r="PQB100" s="48"/>
      <c r="PQC100" s="48"/>
      <c r="PQD100" s="48"/>
      <c r="PQE100" s="48"/>
      <c r="PQF100" s="48"/>
      <c r="PQG100" s="48"/>
      <c r="PQH100" s="48"/>
      <c r="PQI100" s="48"/>
      <c r="PQJ100" s="48"/>
      <c r="PQK100" s="48"/>
      <c r="PQL100" s="48"/>
      <c r="PQM100" s="48"/>
      <c r="PQN100" s="48"/>
      <c r="PQO100" s="48"/>
      <c r="PQP100" s="48"/>
      <c r="PQQ100" s="48"/>
      <c r="PQR100" s="48"/>
      <c r="PQS100" s="48"/>
      <c r="PQT100" s="48"/>
      <c r="PQU100" s="48"/>
      <c r="PQV100" s="48"/>
      <c r="PQW100" s="48"/>
      <c r="PQX100" s="48"/>
      <c r="PQY100" s="48"/>
      <c r="PQZ100" s="48"/>
      <c r="PRA100" s="48"/>
      <c r="PRB100" s="48"/>
      <c r="PRC100" s="48"/>
      <c r="PRD100" s="48"/>
      <c r="PRE100" s="48"/>
      <c r="PRF100" s="48"/>
      <c r="PRG100" s="48"/>
      <c r="PRH100" s="48"/>
      <c r="PRI100" s="48"/>
      <c r="PRJ100" s="48"/>
      <c r="PRK100" s="48"/>
      <c r="PRL100" s="48"/>
      <c r="PRM100" s="48"/>
      <c r="PRN100" s="48"/>
      <c r="PRO100" s="48"/>
      <c r="PRP100" s="48"/>
      <c r="PRQ100" s="48"/>
      <c r="PRR100" s="48"/>
      <c r="PRS100" s="48"/>
      <c r="PRT100" s="48"/>
      <c r="PRU100" s="48"/>
      <c r="PRV100" s="48"/>
      <c r="PRW100" s="48"/>
      <c r="PRX100" s="48"/>
      <c r="PRY100" s="48"/>
      <c r="PRZ100" s="48"/>
      <c r="PSA100" s="48"/>
      <c r="PSB100" s="48"/>
      <c r="PSC100" s="48"/>
      <c r="PSD100" s="48"/>
      <c r="PSE100" s="48"/>
      <c r="PSF100" s="48"/>
      <c r="PSG100" s="48"/>
      <c r="PSH100" s="48"/>
      <c r="PSI100" s="48"/>
      <c r="PSJ100" s="48"/>
      <c r="PSK100" s="48"/>
      <c r="PSL100" s="48"/>
      <c r="PSM100" s="48"/>
      <c r="PSN100" s="48"/>
      <c r="PSO100" s="48"/>
      <c r="PSP100" s="48"/>
      <c r="PSQ100" s="48"/>
      <c r="PSR100" s="48"/>
      <c r="PSS100" s="48"/>
      <c r="PST100" s="48"/>
      <c r="PSU100" s="48"/>
      <c r="PSV100" s="48"/>
      <c r="PSW100" s="48"/>
      <c r="PSX100" s="48"/>
      <c r="PSY100" s="48"/>
      <c r="PSZ100" s="48"/>
      <c r="PTA100" s="48"/>
      <c r="PTB100" s="48"/>
      <c r="PTC100" s="48"/>
      <c r="PTD100" s="48"/>
      <c r="PTE100" s="48"/>
      <c r="PTF100" s="48"/>
      <c r="PTG100" s="48"/>
      <c r="PTH100" s="48"/>
      <c r="PTI100" s="48"/>
      <c r="PTJ100" s="48"/>
      <c r="PTK100" s="48"/>
      <c r="PTL100" s="48"/>
      <c r="PTM100" s="48"/>
      <c r="PTN100" s="48"/>
      <c r="PTO100" s="48"/>
      <c r="PTP100" s="48"/>
      <c r="PTQ100" s="48"/>
      <c r="PTR100" s="48"/>
      <c r="PTS100" s="48"/>
      <c r="PTT100" s="48"/>
      <c r="PTU100" s="48"/>
      <c r="PTV100" s="48"/>
      <c r="PTW100" s="48"/>
      <c r="PTX100" s="48"/>
      <c r="PTY100" s="48"/>
      <c r="PTZ100" s="48"/>
      <c r="PUA100" s="48"/>
      <c r="PUB100" s="48"/>
      <c r="PUC100" s="48"/>
      <c r="PUD100" s="48"/>
      <c r="PUE100" s="48"/>
      <c r="PUF100" s="48"/>
      <c r="PUG100" s="48"/>
      <c r="PUH100" s="48"/>
      <c r="PUI100" s="48"/>
      <c r="PUJ100" s="48"/>
      <c r="PUK100" s="48"/>
      <c r="PUL100" s="48"/>
      <c r="PUM100" s="48"/>
      <c r="PUN100" s="48"/>
      <c r="PUO100" s="48"/>
      <c r="PUP100" s="48"/>
      <c r="PUQ100" s="48"/>
      <c r="PUR100" s="48"/>
      <c r="PUS100" s="48"/>
      <c r="PUT100" s="48"/>
      <c r="PUU100" s="48"/>
      <c r="PUV100" s="48"/>
      <c r="PUW100" s="48"/>
      <c r="PUX100" s="48"/>
      <c r="PUY100" s="48"/>
      <c r="PUZ100" s="48"/>
      <c r="PVA100" s="48"/>
      <c r="PVB100" s="48"/>
      <c r="PVC100" s="48"/>
      <c r="PVD100" s="48"/>
      <c r="PVE100" s="48"/>
      <c r="PVF100" s="48"/>
      <c r="PVG100" s="48"/>
      <c r="PVH100" s="48"/>
      <c r="PVI100" s="48"/>
      <c r="PVJ100" s="48"/>
      <c r="PVK100" s="48"/>
      <c r="PVL100" s="48"/>
      <c r="PVM100" s="48"/>
      <c r="PVN100" s="48"/>
      <c r="PVO100" s="48"/>
      <c r="PVP100" s="48"/>
      <c r="PVQ100" s="48"/>
      <c r="PVR100" s="48"/>
      <c r="PVS100" s="48"/>
      <c r="PVT100" s="48"/>
      <c r="PVU100" s="48"/>
      <c r="PVV100" s="48"/>
      <c r="PVW100" s="48"/>
      <c r="PVX100" s="48"/>
      <c r="PVY100" s="48"/>
      <c r="PVZ100" s="48"/>
      <c r="PWA100" s="48"/>
      <c r="PWB100" s="48"/>
      <c r="PWC100" s="48"/>
      <c r="PWD100" s="48"/>
      <c r="PWE100" s="48"/>
      <c r="PWF100" s="48"/>
      <c r="PWG100" s="48"/>
      <c r="PWH100" s="48"/>
      <c r="PWI100" s="48"/>
      <c r="PWJ100" s="48"/>
      <c r="PWK100" s="48"/>
      <c r="PWL100" s="48"/>
      <c r="PWM100" s="48"/>
      <c r="PWN100" s="48"/>
      <c r="PWO100" s="48"/>
      <c r="PWP100" s="48"/>
      <c r="PWQ100" s="48"/>
      <c r="PWR100" s="48"/>
      <c r="PWS100" s="48"/>
      <c r="PWT100" s="48"/>
      <c r="PWU100" s="48"/>
      <c r="PWV100" s="48"/>
      <c r="PWW100" s="48"/>
      <c r="PWX100" s="48"/>
      <c r="PWY100" s="48"/>
      <c r="PWZ100" s="48"/>
      <c r="PXA100" s="48"/>
      <c r="PXB100" s="48"/>
      <c r="PXC100" s="48"/>
      <c r="PXD100" s="48"/>
      <c r="PXE100" s="48"/>
      <c r="PXF100" s="48"/>
      <c r="PXG100" s="48"/>
      <c r="PXH100" s="48"/>
      <c r="PXI100" s="48"/>
      <c r="PXJ100" s="48"/>
      <c r="PXK100" s="48"/>
      <c r="PXL100" s="48"/>
      <c r="PXM100" s="48"/>
      <c r="PXN100" s="48"/>
      <c r="PXO100" s="48"/>
      <c r="PXP100" s="48"/>
      <c r="PXQ100" s="48"/>
      <c r="PXR100" s="48"/>
      <c r="PXS100" s="48"/>
      <c r="PXT100" s="48"/>
      <c r="PXU100" s="48"/>
      <c r="PXV100" s="48"/>
      <c r="PXW100" s="48"/>
      <c r="PXX100" s="48"/>
      <c r="PXY100" s="48"/>
      <c r="PXZ100" s="48"/>
      <c r="PYA100" s="48"/>
      <c r="PYB100" s="48"/>
      <c r="PYC100" s="48"/>
      <c r="PYD100" s="48"/>
      <c r="PYE100" s="48"/>
      <c r="PYF100" s="48"/>
      <c r="PYG100" s="48"/>
      <c r="PYH100" s="48"/>
      <c r="PYI100" s="48"/>
      <c r="PYJ100" s="48"/>
      <c r="PYK100" s="48"/>
      <c r="PYL100" s="48"/>
      <c r="PYM100" s="48"/>
      <c r="PYN100" s="48"/>
      <c r="PYO100" s="48"/>
      <c r="PYP100" s="48"/>
      <c r="PYQ100" s="48"/>
      <c r="PYR100" s="48"/>
      <c r="PYS100" s="48"/>
      <c r="PYT100" s="48"/>
      <c r="PYU100" s="48"/>
      <c r="PYV100" s="48"/>
      <c r="PYW100" s="48"/>
      <c r="PYX100" s="48"/>
      <c r="PYY100" s="48"/>
      <c r="PYZ100" s="48"/>
      <c r="PZA100" s="48"/>
      <c r="PZB100" s="48"/>
      <c r="PZC100" s="48"/>
      <c r="PZD100" s="48"/>
      <c r="PZE100" s="48"/>
      <c r="PZF100" s="48"/>
      <c r="PZG100" s="48"/>
      <c r="PZH100" s="48"/>
      <c r="PZI100" s="48"/>
      <c r="PZJ100" s="48"/>
      <c r="PZK100" s="48"/>
      <c r="PZL100" s="48"/>
      <c r="PZM100" s="48"/>
      <c r="PZN100" s="48"/>
      <c r="PZO100" s="48"/>
      <c r="PZP100" s="48"/>
      <c r="PZQ100" s="48"/>
      <c r="PZR100" s="48"/>
      <c r="PZS100" s="48"/>
      <c r="PZT100" s="48"/>
      <c r="PZU100" s="48"/>
      <c r="PZV100" s="48"/>
      <c r="PZW100" s="48"/>
      <c r="PZX100" s="48"/>
      <c r="PZY100" s="48"/>
      <c r="PZZ100" s="48"/>
      <c r="QAA100" s="48"/>
      <c r="QAB100" s="48"/>
      <c r="QAC100" s="48"/>
      <c r="QAD100" s="48"/>
      <c r="QAE100" s="48"/>
      <c r="QAF100" s="48"/>
      <c r="QAG100" s="48"/>
      <c r="QAH100" s="48"/>
      <c r="QAI100" s="48"/>
      <c r="QAJ100" s="48"/>
      <c r="QAK100" s="48"/>
      <c r="QAL100" s="48"/>
      <c r="QAM100" s="48"/>
      <c r="QAN100" s="48"/>
      <c r="QAO100" s="48"/>
      <c r="QAP100" s="48"/>
      <c r="QAQ100" s="48"/>
      <c r="QAR100" s="48"/>
      <c r="QAS100" s="48"/>
      <c r="QAT100" s="48"/>
      <c r="QAU100" s="48"/>
      <c r="QAV100" s="48"/>
      <c r="QAW100" s="48"/>
      <c r="QAX100" s="48"/>
      <c r="QAY100" s="48"/>
      <c r="QAZ100" s="48"/>
      <c r="QBA100" s="48"/>
      <c r="QBB100" s="48"/>
      <c r="QBC100" s="48"/>
      <c r="QBD100" s="48"/>
      <c r="QBE100" s="48"/>
      <c r="QBF100" s="48"/>
      <c r="QBG100" s="48"/>
      <c r="QBH100" s="48"/>
      <c r="QBI100" s="48"/>
      <c r="QBJ100" s="48"/>
      <c r="QBK100" s="48"/>
      <c r="QBL100" s="48"/>
      <c r="QBM100" s="48"/>
      <c r="QBN100" s="48"/>
      <c r="QBO100" s="48"/>
      <c r="QBP100" s="48"/>
      <c r="QBQ100" s="48"/>
      <c r="QBR100" s="48"/>
      <c r="QBS100" s="48"/>
      <c r="QBT100" s="48"/>
      <c r="QBU100" s="48"/>
      <c r="QBV100" s="48"/>
      <c r="QBW100" s="48"/>
      <c r="QBX100" s="48"/>
      <c r="QBY100" s="48"/>
      <c r="QBZ100" s="48"/>
      <c r="QCA100" s="48"/>
      <c r="QCB100" s="48"/>
      <c r="QCC100" s="48"/>
      <c r="QCD100" s="48"/>
      <c r="QCE100" s="48"/>
      <c r="QCF100" s="48"/>
      <c r="QCG100" s="48"/>
      <c r="QCH100" s="48"/>
      <c r="QCI100" s="48"/>
      <c r="QCJ100" s="48"/>
      <c r="QCK100" s="48"/>
      <c r="QCL100" s="48"/>
      <c r="QCM100" s="48"/>
      <c r="QCN100" s="48"/>
      <c r="QCO100" s="48"/>
      <c r="QCP100" s="48"/>
      <c r="QCQ100" s="48"/>
      <c r="QCR100" s="48"/>
      <c r="QCS100" s="48"/>
      <c r="QCT100" s="48"/>
      <c r="QCU100" s="48"/>
      <c r="QCV100" s="48"/>
      <c r="QCW100" s="48"/>
      <c r="QCX100" s="48"/>
      <c r="QCY100" s="48"/>
      <c r="QCZ100" s="48"/>
      <c r="QDA100" s="48"/>
      <c r="QDB100" s="48"/>
      <c r="QDC100" s="48"/>
      <c r="QDD100" s="48"/>
      <c r="QDE100" s="48"/>
      <c r="QDF100" s="48"/>
      <c r="QDG100" s="48"/>
      <c r="QDH100" s="48"/>
      <c r="QDI100" s="48"/>
      <c r="QDJ100" s="48"/>
      <c r="QDK100" s="48"/>
      <c r="QDL100" s="48"/>
      <c r="QDM100" s="48"/>
      <c r="QDN100" s="48"/>
      <c r="QDO100" s="48"/>
      <c r="QDP100" s="48"/>
      <c r="QDQ100" s="48"/>
      <c r="QDR100" s="48"/>
      <c r="QDS100" s="48"/>
      <c r="QDT100" s="48"/>
      <c r="QDU100" s="48"/>
      <c r="QDV100" s="48"/>
      <c r="QDW100" s="48"/>
      <c r="QDX100" s="48"/>
      <c r="QDY100" s="48"/>
      <c r="QDZ100" s="48"/>
      <c r="QEA100" s="48"/>
      <c r="QEB100" s="48"/>
      <c r="QEC100" s="48"/>
      <c r="QED100" s="48"/>
      <c r="QEE100" s="48"/>
      <c r="QEF100" s="48"/>
      <c r="QEG100" s="48"/>
      <c r="QEH100" s="48"/>
      <c r="QEI100" s="48"/>
      <c r="QEJ100" s="48"/>
      <c r="QEK100" s="48"/>
      <c r="QEL100" s="48"/>
      <c r="QEM100" s="48"/>
      <c r="QEN100" s="48"/>
      <c r="QEO100" s="48"/>
      <c r="QEP100" s="48"/>
      <c r="QEQ100" s="48"/>
      <c r="QER100" s="48"/>
      <c r="QES100" s="48"/>
      <c r="QET100" s="48"/>
      <c r="QEU100" s="48"/>
      <c r="QEV100" s="48"/>
      <c r="QEW100" s="48"/>
      <c r="QEX100" s="48"/>
      <c r="QEY100" s="48"/>
      <c r="QEZ100" s="48"/>
      <c r="QFA100" s="48"/>
      <c r="QFB100" s="48"/>
      <c r="QFC100" s="48"/>
      <c r="QFD100" s="48"/>
      <c r="QFE100" s="48"/>
      <c r="QFF100" s="48"/>
      <c r="QFG100" s="48"/>
      <c r="QFH100" s="48"/>
      <c r="QFI100" s="48"/>
      <c r="QFJ100" s="48"/>
      <c r="QFK100" s="48"/>
      <c r="QFL100" s="48"/>
      <c r="QFM100" s="48"/>
      <c r="QFN100" s="48"/>
      <c r="QFO100" s="48"/>
      <c r="QFP100" s="48"/>
      <c r="QFQ100" s="48"/>
      <c r="QFR100" s="48"/>
      <c r="QFS100" s="48"/>
      <c r="QFT100" s="48"/>
      <c r="QFU100" s="48"/>
      <c r="QFV100" s="48"/>
      <c r="QFW100" s="48"/>
      <c r="QFX100" s="48"/>
      <c r="QFY100" s="48"/>
      <c r="QFZ100" s="48"/>
      <c r="QGA100" s="48"/>
      <c r="QGB100" s="48"/>
      <c r="QGC100" s="48"/>
      <c r="QGD100" s="48"/>
      <c r="QGE100" s="48"/>
      <c r="QGF100" s="48"/>
      <c r="QGG100" s="48"/>
      <c r="QGH100" s="48"/>
      <c r="QGI100" s="48"/>
      <c r="QGJ100" s="48"/>
      <c r="QGK100" s="48"/>
      <c r="QGL100" s="48"/>
      <c r="QGM100" s="48"/>
      <c r="QGN100" s="48"/>
      <c r="QGO100" s="48"/>
      <c r="QGP100" s="48"/>
      <c r="QGQ100" s="48"/>
      <c r="QGR100" s="48"/>
      <c r="QGS100" s="48"/>
      <c r="QGT100" s="48"/>
      <c r="QGU100" s="48"/>
      <c r="QGV100" s="48"/>
      <c r="QGW100" s="48"/>
      <c r="QGX100" s="48"/>
      <c r="QGY100" s="48"/>
      <c r="QGZ100" s="48"/>
      <c r="QHA100" s="48"/>
      <c r="QHB100" s="48"/>
      <c r="QHC100" s="48"/>
      <c r="QHD100" s="48"/>
      <c r="QHE100" s="48"/>
      <c r="QHF100" s="48"/>
      <c r="QHG100" s="48"/>
      <c r="QHH100" s="48"/>
      <c r="QHI100" s="48"/>
      <c r="QHJ100" s="48"/>
      <c r="QHK100" s="48"/>
      <c r="QHL100" s="48"/>
      <c r="QHM100" s="48"/>
      <c r="QHN100" s="48"/>
      <c r="QHO100" s="48"/>
      <c r="QHP100" s="48"/>
      <c r="QHQ100" s="48"/>
      <c r="QHR100" s="48"/>
      <c r="QHS100" s="48"/>
      <c r="QHT100" s="48"/>
      <c r="QHU100" s="48"/>
      <c r="QHV100" s="48"/>
      <c r="QHW100" s="48"/>
      <c r="QHX100" s="48"/>
      <c r="QHY100" s="48"/>
      <c r="QHZ100" s="48"/>
      <c r="QIA100" s="48"/>
      <c r="QIB100" s="48"/>
      <c r="QIC100" s="48"/>
      <c r="QID100" s="48"/>
      <c r="QIE100" s="48"/>
      <c r="QIF100" s="48"/>
      <c r="QIG100" s="48"/>
      <c r="QIH100" s="48"/>
      <c r="QII100" s="48"/>
      <c r="QIJ100" s="48"/>
      <c r="QIK100" s="48"/>
      <c r="QIL100" s="48"/>
      <c r="QIM100" s="48"/>
      <c r="QIN100" s="48"/>
      <c r="QIO100" s="48"/>
      <c r="QIP100" s="48"/>
      <c r="QIQ100" s="48"/>
      <c r="QIR100" s="48"/>
      <c r="QIS100" s="48"/>
      <c r="QIT100" s="48"/>
      <c r="QIU100" s="48"/>
      <c r="QIV100" s="48"/>
      <c r="QIW100" s="48"/>
      <c r="QIX100" s="48"/>
      <c r="QIY100" s="48"/>
      <c r="QIZ100" s="48"/>
      <c r="QJA100" s="48"/>
      <c r="QJB100" s="48"/>
      <c r="QJC100" s="48"/>
      <c r="QJD100" s="48"/>
      <c r="QJE100" s="48"/>
      <c r="QJF100" s="48"/>
      <c r="QJG100" s="48"/>
      <c r="QJH100" s="48"/>
      <c r="QJI100" s="48"/>
      <c r="QJJ100" s="48"/>
      <c r="QJK100" s="48"/>
      <c r="QJL100" s="48"/>
      <c r="QJM100" s="48"/>
      <c r="QJN100" s="48"/>
      <c r="QJO100" s="48"/>
      <c r="QJP100" s="48"/>
      <c r="QJQ100" s="48"/>
      <c r="QJR100" s="48"/>
      <c r="QJS100" s="48"/>
      <c r="QJT100" s="48"/>
      <c r="QJU100" s="48"/>
      <c r="QJV100" s="48"/>
      <c r="QJW100" s="48"/>
      <c r="QJX100" s="48"/>
      <c r="QJY100" s="48"/>
      <c r="QJZ100" s="48"/>
      <c r="QKA100" s="48"/>
      <c r="QKB100" s="48"/>
      <c r="QKC100" s="48"/>
      <c r="QKD100" s="48"/>
      <c r="QKE100" s="48"/>
      <c r="QKF100" s="48"/>
      <c r="QKG100" s="48"/>
      <c r="QKH100" s="48"/>
      <c r="QKI100" s="48"/>
      <c r="QKJ100" s="48"/>
      <c r="QKK100" s="48"/>
      <c r="QKL100" s="48"/>
      <c r="QKM100" s="48"/>
      <c r="QKN100" s="48"/>
      <c r="QKO100" s="48"/>
      <c r="QKP100" s="48"/>
      <c r="QKQ100" s="48"/>
      <c r="QKR100" s="48"/>
      <c r="QKS100" s="48"/>
      <c r="QKT100" s="48"/>
      <c r="QKU100" s="48"/>
      <c r="QKV100" s="48"/>
      <c r="QKW100" s="48"/>
      <c r="QKX100" s="48"/>
      <c r="QKY100" s="48"/>
      <c r="QKZ100" s="48"/>
      <c r="QLA100" s="48"/>
      <c r="QLB100" s="48"/>
      <c r="QLC100" s="48"/>
      <c r="QLD100" s="48"/>
      <c r="QLE100" s="48"/>
      <c r="QLF100" s="48"/>
      <c r="QLG100" s="48"/>
      <c r="QLH100" s="48"/>
      <c r="QLI100" s="48"/>
      <c r="QLJ100" s="48"/>
      <c r="QLK100" s="48"/>
      <c r="QLL100" s="48"/>
      <c r="QLM100" s="48"/>
      <c r="QLN100" s="48"/>
      <c r="QLO100" s="48"/>
      <c r="QLP100" s="48"/>
      <c r="QLQ100" s="48"/>
      <c r="QLR100" s="48"/>
      <c r="QLS100" s="48"/>
      <c r="QLT100" s="48"/>
      <c r="QLU100" s="48"/>
      <c r="QLV100" s="48"/>
      <c r="QLW100" s="48"/>
      <c r="QLX100" s="48"/>
      <c r="QLY100" s="48"/>
      <c r="QLZ100" s="48"/>
      <c r="QMA100" s="48"/>
      <c r="QMB100" s="48"/>
      <c r="QMC100" s="48"/>
      <c r="QMD100" s="48"/>
      <c r="QME100" s="48"/>
      <c r="QMF100" s="48"/>
      <c r="QMG100" s="48"/>
      <c r="QMH100" s="48"/>
      <c r="QMI100" s="48"/>
      <c r="QMJ100" s="48"/>
      <c r="QMK100" s="48"/>
      <c r="QML100" s="48"/>
      <c r="QMM100" s="48"/>
      <c r="QMN100" s="48"/>
      <c r="QMO100" s="48"/>
      <c r="QMP100" s="48"/>
      <c r="QMQ100" s="48"/>
      <c r="QMR100" s="48"/>
      <c r="QMS100" s="48"/>
      <c r="QMT100" s="48"/>
      <c r="QMU100" s="48"/>
      <c r="QMV100" s="48"/>
      <c r="QMW100" s="48"/>
      <c r="QMX100" s="48"/>
      <c r="QMY100" s="48"/>
      <c r="QMZ100" s="48"/>
      <c r="QNA100" s="48"/>
      <c r="QNB100" s="48"/>
      <c r="QNC100" s="48"/>
      <c r="QND100" s="48"/>
      <c r="QNE100" s="48"/>
      <c r="QNF100" s="48"/>
      <c r="QNG100" s="48"/>
      <c r="QNH100" s="48"/>
      <c r="QNI100" s="48"/>
      <c r="QNJ100" s="48"/>
      <c r="QNK100" s="48"/>
      <c r="QNL100" s="48"/>
      <c r="QNM100" s="48"/>
      <c r="QNN100" s="48"/>
      <c r="QNO100" s="48"/>
      <c r="QNP100" s="48"/>
      <c r="QNQ100" s="48"/>
      <c r="QNR100" s="48"/>
      <c r="QNS100" s="48"/>
      <c r="QNT100" s="48"/>
      <c r="QNU100" s="48"/>
      <c r="QNV100" s="48"/>
      <c r="QNW100" s="48"/>
      <c r="QNX100" s="48"/>
      <c r="QNY100" s="48"/>
      <c r="QNZ100" s="48"/>
      <c r="QOA100" s="48"/>
      <c r="QOB100" s="48"/>
      <c r="QOC100" s="48"/>
      <c r="QOD100" s="48"/>
      <c r="QOE100" s="48"/>
      <c r="QOF100" s="48"/>
      <c r="QOG100" s="48"/>
      <c r="QOH100" s="48"/>
      <c r="QOI100" s="48"/>
      <c r="QOJ100" s="48"/>
      <c r="QOK100" s="48"/>
      <c r="QOL100" s="48"/>
      <c r="QOM100" s="48"/>
      <c r="QON100" s="48"/>
      <c r="QOO100" s="48"/>
      <c r="QOP100" s="48"/>
      <c r="QOQ100" s="48"/>
      <c r="QOR100" s="48"/>
      <c r="QOS100" s="48"/>
      <c r="QOT100" s="48"/>
      <c r="QOU100" s="48"/>
      <c r="QOV100" s="48"/>
      <c r="QOW100" s="48"/>
      <c r="QOX100" s="48"/>
      <c r="QOY100" s="48"/>
      <c r="QOZ100" s="48"/>
      <c r="QPA100" s="48"/>
      <c r="QPB100" s="48"/>
      <c r="QPC100" s="48"/>
      <c r="QPD100" s="48"/>
      <c r="QPE100" s="48"/>
      <c r="QPF100" s="48"/>
      <c r="QPG100" s="48"/>
      <c r="QPH100" s="48"/>
      <c r="QPI100" s="48"/>
      <c r="QPJ100" s="48"/>
      <c r="QPK100" s="48"/>
      <c r="QPL100" s="48"/>
      <c r="QPM100" s="48"/>
      <c r="QPN100" s="48"/>
      <c r="QPO100" s="48"/>
      <c r="QPP100" s="48"/>
      <c r="QPQ100" s="48"/>
      <c r="QPR100" s="48"/>
      <c r="QPS100" s="48"/>
      <c r="QPT100" s="48"/>
      <c r="QPU100" s="48"/>
      <c r="QPV100" s="48"/>
      <c r="QPW100" s="48"/>
      <c r="QPX100" s="48"/>
      <c r="QPY100" s="48"/>
      <c r="QPZ100" s="48"/>
      <c r="QQA100" s="48"/>
      <c r="QQB100" s="48"/>
      <c r="QQC100" s="48"/>
      <c r="QQD100" s="48"/>
      <c r="QQE100" s="48"/>
      <c r="QQF100" s="48"/>
      <c r="QQG100" s="48"/>
      <c r="QQH100" s="48"/>
      <c r="QQI100" s="48"/>
      <c r="QQJ100" s="48"/>
      <c r="QQK100" s="48"/>
      <c r="QQL100" s="48"/>
      <c r="QQM100" s="48"/>
      <c r="QQN100" s="48"/>
      <c r="QQO100" s="48"/>
      <c r="QQP100" s="48"/>
      <c r="QQQ100" s="48"/>
      <c r="QQR100" s="48"/>
      <c r="QQS100" s="48"/>
      <c r="QQT100" s="48"/>
      <c r="QQU100" s="48"/>
      <c r="QQV100" s="48"/>
      <c r="QQW100" s="48"/>
      <c r="QQX100" s="48"/>
      <c r="QQY100" s="48"/>
      <c r="QQZ100" s="48"/>
      <c r="QRA100" s="48"/>
      <c r="QRB100" s="48"/>
      <c r="QRC100" s="48"/>
      <c r="QRD100" s="48"/>
      <c r="QRE100" s="48"/>
      <c r="QRF100" s="48"/>
      <c r="QRG100" s="48"/>
      <c r="QRH100" s="48"/>
      <c r="QRI100" s="48"/>
      <c r="QRJ100" s="48"/>
      <c r="QRK100" s="48"/>
      <c r="QRL100" s="48"/>
      <c r="QRM100" s="48"/>
      <c r="QRN100" s="48"/>
      <c r="QRO100" s="48"/>
      <c r="QRP100" s="48"/>
      <c r="QRQ100" s="48"/>
      <c r="QRR100" s="48"/>
      <c r="QRS100" s="48"/>
      <c r="QRT100" s="48"/>
      <c r="QRU100" s="48"/>
      <c r="QRV100" s="48"/>
      <c r="QRW100" s="48"/>
      <c r="QRX100" s="48"/>
      <c r="QRY100" s="48"/>
      <c r="QRZ100" s="48"/>
      <c r="QSA100" s="48"/>
      <c r="QSB100" s="48"/>
      <c r="QSC100" s="48"/>
      <c r="QSD100" s="48"/>
      <c r="QSE100" s="48"/>
      <c r="QSF100" s="48"/>
      <c r="QSG100" s="48"/>
      <c r="QSH100" s="48"/>
      <c r="QSI100" s="48"/>
      <c r="QSJ100" s="48"/>
      <c r="QSK100" s="48"/>
      <c r="QSL100" s="48"/>
      <c r="QSM100" s="48"/>
      <c r="QSN100" s="48"/>
      <c r="QSO100" s="48"/>
      <c r="QSP100" s="48"/>
      <c r="QSQ100" s="48"/>
      <c r="QSR100" s="48"/>
      <c r="QSS100" s="48"/>
      <c r="QST100" s="48"/>
      <c r="QSU100" s="48"/>
      <c r="QSV100" s="48"/>
      <c r="QSW100" s="48"/>
      <c r="QSX100" s="48"/>
      <c r="QSY100" s="48"/>
      <c r="QSZ100" s="48"/>
      <c r="QTA100" s="48"/>
      <c r="QTB100" s="48"/>
      <c r="QTC100" s="48"/>
      <c r="QTD100" s="48"/>
      <c r="QTE100" s="48"/>
      <c r="QTF100" s="48"/>
      <c r="QTG100" s="48"/>
      <c r="QTH100" s="48"/>
      <c r="QTI100" s="48"/>
      <c r="QTJ100" s="48"/>
      <c r="QTK100" s="48"/>
      <c r="QTL100" s="48"/>
      <c r="QTM100" s="48"/>
      <c r="QTN100" s="48"/>
      <c r="QTO100" s="48"/>
      <c r="QTP100" s="48"/>
      <c r="QTQ100" s="48"/>
      <c r="QTR100" s="48"/>
      <c r="QTS100" s="48"/>
      <c r="QTT100" s="48"/>
      <c r="QTU100" s="48"/>
      <c r="QTV100" s="48"/>
      <c r="QTW100" s="48"/>
      <c r="QTX100" s="48"/>
      <c r="QTY100" s="48"/>
      <c r="QTZ100" s="48"/>
      <c r="QUA100" s="48"/>
      <c r="QUB100" s="48"/>
      <c r="QUC100" s="48"/>
      <c r="QUD100" s="48"/>
      <c r="QUE100" s="48"/>
      <c r="QUF100" s="48"/>
      <c r="QUG100" s="48"/>
      <c r="QUH100" s="48"/>
      <c r="QUI100" s="48"/>
      <c r="QUJ100" s="48"/>
      <c r="QUK100" s="48"/>
      <c r="QUL100" s="48"/>
      <c r="QUM100" s="48"/>
      <c r="QUN100" s="48"/>
      <c r="QUO100" s="48"/>
      <c r="QUP100" s="48"/>
      <c r="QUQ100" s="48"/>
      <c r="QUR100" s="48"/>
      <c r="QUS100" s="48"/>
      <c r="QUT100" s="48"/>
      <c r="QUU100" s="48"/>
      <c r="QUV100" s="48"/>
      <c r="QUW100" s="48"/>
      <c r="QUX100" s="48"/>
      <c r="QUY100" s="48"/>
      <c r="QUZ100" s="48"/>
      <c r="QVA100" s="48"/>
      <c r="QVB100" s="48"/>
      <c r="QVC100" s="48"/>
      <c r="QVD100" s="48"/>
      <c r="QVE100" s="48"/>
      <c r="QVF100" s="48"/>
      <c r="QVG100" s="48"/>
      <c r="QVH100" s="48"/>
      <c r="QVI100" s="48"/>
      <c r="QVJ100" s="48"/>
      <c r="QVK100" s="48"/>
      <c r="QVL100" s="48"/>
      <c r="QVM100" s="48"/>
      <c r="QVN100" s="48"/>
      <c r="QVO100" s="48"/>
      <c r="QVP100" s="48"/>
      <c r="QVQ100" s="48"/>
      <c r="QVR100" s="48"/>
      <c r="QVS100" s="48"/>
      <c r="QVT100" s="48"/>
      <c r="QVU100" s="48"/>
      <c r="QVV100" s="48"/>
      <c r="QVW100" s="48"/>
      <c r="QVX100" s="48"/>
      <c r="QVY100" s="48"/>
      <c r="QVZ100" s="48"/>
      <c r="QWA100" s="48"/>
      <c r="QWB100" s="48"/>
      <c r="QWC100" s="48"/>
      <c r="QWD100" s="48"/>
      <c r="QWE100" s="48"/>
      <c r="QWF100" s="48"/>
      <c r="QWG100" s="48"/>
      <c r="QWH100" s="48"/>
      <c r="QWI100" s="48"/>
      <c r="QWJ100" s="48"/>
      <c r="QWK100" s="48"/>
      <c r="QWL100" s="48"/>
      <c r="QWM100" s="48"/>
      <c r="QWN100" s="48"/>
      <c r="QWO100" s="48"/>
      <c r="QWP100" s="48"/>
      <c r="QWQ100" s="48"/>
      <c r="QWR100" s="48"/>
      <c r="QWS100" s="48"/>
      <c r="QWT100" s="48"/>
      <c r="QWU100" s="48"/>
      <c r="QWV100" s="48"/>
      <c r="QWW100" s="48"/>
      <c r="QWX100" s="48"/>
      <c r="QWY100" s="48"/>
      <c r="QWZ100" s="48"/>
      <c r="QXA100" s="48"/>
      <c r="QXB100" s="48"/>
      <c r="QXC100" s="48"/>
      <c r="QXD100" s="48"/>
      <c r="QXE100" s="48"/>
      <c r="QXF100" s="48"/>
      <c r="QXG100" s="48"/>
      <c r="QXH100" s="48"/>
      <c r="QXI100" s="48"/>
      <c r="QXJ100" s="48"/>
      <c r="QXK100" s="48"/>
      <c r="QXL100" s="48"/>
      <c r="QXM100" s="48"/>
      <c r="QXN100" s="48"/>
      <c r="QXO100" s="48"/>
      <c r="QXP100" s="48"/>
      <c r="QXQ100" s="48"/>
      <c r="QXR100" s="48"/>
      <c r="QXS100" s="48"/>
      <c r="QXT100" s="48"/>
      <c r="QXU100" s="48"/>
      <c r="QXV100" s="48"/>
      <c r="QXW100" s="48"/>
      <c r="QXX100" s="48"/>
      <c r="QXY100" s="48"/>
      <c r="QXZ100" s="48"/>
      <c r="QYA100" s="48"/>
      <c r="QYB100" s="48"/>
      <c r="QYC100" s="48"/>
      <c r="QYD100" s="48"/>
      <c r="QYE100" s="48"/>
      <c r="QYF100" s="48"/>
      <c r="QYG100" s="48"/>
      <c r="QYH100" s="48"/>
      <c r="QYI100" s="48"/>
      <c r="QYJ100" s="48"/>
      <c r="QYK100" s="48"/>
      <c r="QYL100" s="48"/>
      <c r="QYM100" s="48"/>
      <c r="QYN100" s="48"/>
      <c r="QYO100" s="48"/>
      <c r="QYP100" s="48"/>
      <c r="QYQ100" s="48"/>
      <c r="QYR100" s="48"/>
      <c r="QYS100" s="48"/>
      <c r="QYT100" s="48"/>
      <c r="QYU100" s="48"/>
      <c r="QYV100" s="48"/>
      <c r="QYW100" s="48"/>
      <c r="QYX100" s="48"/>
      <c r="QYY100" s="48"/>
      <c r="QYZ100" s="48"/>
      <c r="QZA100" s="48"/>
      <c r="QZB100" s="48"/>
      <c r="QZC100" s="48"/>
      <c r="QZD100" s="48"/>
      <c r="QZE100" s="48"/>
      <c r="QZF100" s="48"/>
      <c r="QZG100" s="48"/>
      <c r="QZH100" s="48"/>
      <c r="QZI100" s="48"/>
      <c r="QZJ100" s="48"/>
      <c r="QZK100" s="48"/>
      <c r="QZL100" s="48"/>
      <c r="QZM100" s="48"/>
      <c r="QZN100" s="48"/>
      <c r="QZO100" s="48"/>
      <c r="QZP100" s="48"/>
      <c r="QZQ100" s="48"/>
      <c r="QZR100" s="48"/>
      <c r="QZS100" s="48"/>
      <c r="QZT100" s="48"/>
      <c r="QZU100" s="48"/>
      <c r="QZV100" s="48"/>
      <c r="QZW100" s="48"/>
      <c r="QZX100" s="48"/>
      <c r="QZY100" s="48"/>
      <c r="QZZ100" s="48"/>
      <c r="RAA100" s="48"/>
      <c r="RAB100" s="48"/>
      <c r="RAC100" s="48"/>
      <c r="RAD100" s="48"/>
      <c r="RAE100" s="48"/>
      <c r="RAF100" s="48"/>
      <c r="RAG100" s="48"/>
      <c r="RAH100" s="48"/>
      <c r="RAI100" s="48"/>
      <c r="RAJ100" s="48"/>
      <c r="RAK100" s="48"/>
      <c r="RAL100" s="48"/>
      <c r="RAM100" s="48"/>
      <c r="RAN100" s="48"/>
      <c r="RAO100" s="48"/>
      <c r="RAP100" s="48"/>
      <c r="RAQ100" s="48"/>
      <c r="RAR100" s="48"/>
      <c r="RAS100" s="48"/>
      <c r="RAT100" s="48"/>
      <c r="RAU100" s="48"/>
      <c r="RAV100" s="48"/>
      <c r="RAW100" s="48"/>
      <c r="RAX100" s="48"/>
      <c r="RAY100" s="48"/>
      <c r="RAZ100" s="48"/>
      <c r="RBA100" s="48"/>
      <c r="RBB100" s="48"/>
      <c r="RBC100" s="48"/>
      <c r="RBD100" s="48"/>
      <c r="RBE100" s="48"/>
      <c r="RBF100" s="48"/>
      <c r="RBG100" s="48"/>
      <c r="RBH100" s="48"/>
      <c r="RBI100" s="48"/>
      <c r="RBJ100" s="48"/>
      <c r="RBK100" s="48"/>
      <c r="RBL100" s="48"/>
      <c r="RBM100" s="48"/>
      <c r="RBN100" s="48"/>
      <c r="RBO100" s="48"/>
      <c r="RBP100" s="48"/>
      <c r="RBQ100" s="48"/>
      <c r="RBR100" s="48"/>
      <c r="RBS100" s="48"/>
      <c r="RBT100" s="48"/>
      <c r="RBU100" s="48"/>
      <c r="RBV100" s="48"/>
      <c r="RBW100" s="48"/>
      <c r="RBX100" s="48"/>
      <c r="RBY100" s="48"/>
      <c r="RBZ100" s="48"/>
      <c r="RCA100" s="48"/>
      <c r="RCB100" s="48"/>
      <c r="RCC100" s="48"/>
      <c r="RCD100" s="48"/>
      <c r="RCE100" s="48"/>
      <c r="RCF100" s="48"/>
      <c r="RCG100" s="48"/>
      <c r="RCH100" s="48"/>
      <c r="RCI100" s="48"/>
      <c r="RCJ100" s="48"/>
      <c r="RCK100" s="48"/>
      <c r="RCL100" s="48"/>
      <c r="RCM100" s="48"/>
      <c r="RCN100" s="48"/>
      <c r="RCO100" s="48"/>
      <c r="RCP100" s="48"/>
      <c r="RCQ100" s="48"/>
      <c r="RCR100" s="48"/>
      <c r="RCS100" s="48"/>
      <c r="RCT100" s="48"/>
      <c r="RCU100" s="48"/>
      <c r="RCV100" s="48"/>
      <c r="RCW100" s="48"/>
      <c r="RCX100" s="48"/>
      <c r="RCY100" s="48"/>
      <c r="RCZ100" s="48"/>
      <c r="RDA100" s="48"/>
      <c r="RDB100" s="48"/>
      <c r="RDC100" s="48"/>
      <c r="RDD100" s="48"/>
      <c r="RDE100" s="48"/>
      <c r="RDF100" s="48"/>
      <c r="RDG100" s="48"/>
      <c r="RDH100" s="48"/>
      <c r="RDI100" s="48"/>
      <c r="RDJ100" s="48"/>
      <c r="RDK100" s="48"/>
      <c r="RDL100" s="48"/>
      <c r="RDM100" s="48"/>
      <c r="RDN100" s="48"/>
      <c r="RDO100" s="48"/>
      <c r="RDP100" s="48"/>
      <c r="RDQ100" s="48"/>
      <c r="RDR100" s="48"/>
      <c r="RDS100" s="48"/>
      <c r="RDT100" s="48"/>
      <c r="RDU100" s="48"/>
      <c r="RDV100" s="48"/>
      <c r="RDW100" s="48"/>
      <c r="RDX100" s="48"/>
      <c r="RDY100" s="48"/>
      <c r="RDZ100" s="48"/>
      <c r="REA100" s="48"/>
      <c r="REB100" s="48"/>
      <c r="REC100" s="48"/>
      <c r="RED100" s="48"/>
      <c r="REE100" s="48"/>
      <c r="REF100" s="48"/>
      <c r="REG100" s="48"/>
      <c r="REH100" s="48"/>
      <c r="REI100" s="48"/>
      <c r="REJ100" s="48"/>
      <c r="REK100" s="48"/>
      <c r="REL100" s="48"/>
      <c r="REM100" s="48"/>
      <c r="REN100" s="48"/>
      <c r="REO100" s="48"/>
      <c r="REP100" s="48"/>
      <c r="REQ100" s="48"/>
      <c r="RER100" s="48"/>
      <c r="RES100" s="48"/>
      <c r="RET100" s="48"/>
      <c r="REU100" s="48"/>
      <c r="REV100" s="48"/>
      <c r="REW100" s="48"/>
      <c r="REX100" s="48"/>
      <c r="REY100" s="48"/>
      <c r="REZ100" s="48"/>
      <c r="RFA100" s="48"/>
      <c r="RFB100" s="48"/>
      <c r="RFC100" s="48"/>
      <c r="RFD100" s="48"/>
      <c r="RFE100" s="48"/>
      <c r="RFF100" s="48"/>
      <c r="RFG100" s="48"/>
      <c r="RFH100" s="48"/>
      <c r="RFI100" s="48"/>
      <c r="RFJ100" s="48"/>
      <c r="RFK100" s="48"/>
      <c r="RFL100" s="48"/>
      <c r="RFM100" s="48"/>
      <c r="RFN100" s="48"/>
      <c r="RFO100" s="48"/>
      <c r="RFP100" s="48"/>
      <c r="RFQ100" s="48"/>
      <c r="RFR100" s="48"/>
      <c r="RFS100" s="48"/>
      <c r="RFT100" s="48"/>
      <c r="RFU100" s="48"/>
      <c r="RFV100" s="48"/>
      <c r="RFW100" s="48"/>
      <c r="RFX100" s="48"/>
      <c r="RFY100" s="48"/>
      <c r="RFZ100" s="48"/>
      <c r="RGA100" s="48"/>
      <c r="RGB100" s="48"/>
      <c r="RGC100" s="48"/>
      <c r="RGD100" s="48"/>
      <c r="RGE100" s="48"/>
      <c r="RGF100" s="48"/>
      <c r="RGG100" s="48"/>
      <c r="RGH100" s="48"/>
      <c r="RGI100" s="48"/>
      <c r="RGJ100" s="48"/>
      <c r="RGK100" s="48"/>
      <c r="RGL100" s="48"/>
      <c r="RGM100" s="48"/>
      <c r="RGN100" s="48"/>
      <c r="RGO100" s="48"/>
      <c r="RGP100" s="48"/>
      <c r="RGQ100" s="48"/>
      <c r="RGR100" s="48"/>
      <c r="RGS100" s="48"/>
      <c r="RGT100" s="48"/>
      <c r="RGU100" s="48"/>
      <c r="RGV100" s="48"/>
      <c r="RGW100" s="48"/>
      <c r="RGX100" s="48"/>
      <c r="RGY100" s="48"/>
      <c r="RGZ100" s="48"/>
      <c r="RHA100" s="48"/>
      <c r="RHB100" s="48"/>
      <c r="RHC100" s="48"/>
      <c r="RHD100" s="48"/>
      <c r="RHE100" s="48"/>
      <c r="RHF100" s="48"/>
      <c r="RHG100" s="48"/>
      <c r="RHH100" s="48"/>
      <c r="RHI100" s="48"/>
      <c r="RHJ100" s="48"/>
      <c r="RHK100" s="48"/>
      <c r="RHL100" s="48"/>
      <c r="RHM100" s="48"/>
      <c r="RHN100" s="48"/>
      <c r="RHO100" s="48"/>
      <c r="RHP100" s="48"/>
      <c r="RHQ100" s="48"/>
      <c r="RHR100" s="48"/>
      <c r="RHS100" s="48"/>
      <c r="RHT100" s="48"/>
      <c r="RHU100" s="48"/>
      <c r="RHV100" s="48"/>
      <c r="RHW100" s="48"/>
      <c r="RHX100" s="48"/>
      <c r="RHY100" s="48"/>
      <c r="RHZ100" s="48"/>
      <c r="RIA100" s="48"/>
      <c r="RIB100" s="48"/>
      <c r="RIC100" s="48"/>
      <c r="RID100" s="48"/>
      <c r="RIE100" s="48"/>
      <c r="RIF100" s="48"/>
      <c r="RIG100" s="48"/>
      <c r="RIH100" s="48"/>
      <c r="RII100" s="48"/>
      <c r="RIJ100" s="48"/>
      <c r="RIK100" s="48"/>
      <c r="RIL100" s="48"/>
      <c r="RIM100" s="48"/>
      <c r="RIN100" s="48"/>
      <c r="RIO100" s="48"/>
      <c r="RIP100" s="48"/>
      <c r="RIQ100" s="48"/>
      <c r="RIR100" s="48"/>
      <c r="RIS100" s="48"/>
      <c r="RIT100" s="48"/>
      <c r="RIU100" s="48"/>
      <c r="RIV100" s="48"/>
      <c r="RIW100" s="48"/>
      <c r="RIX100" s="48"/>
      <c r="RIY100" s="48"/>
      <c r="RIZ100" s="48"/>
      <c r="RJA100" s="48"/>
      <c r="RJB100" s="48"/>
      <c r="RJC100" s="48"/>
      <c r="RJD100" s="48"/>
      <c r="RJE100" s="48"/>
      <c r="RJF100" s="48"/>
      <c r="RJG100" s="48"/>
      <c r="RJH100" s="48"/>
      <c r="RJI100" s="48"/>
      <c r="RJJ100" s="48"/>
      <c r="RJK100" s="48"/>
      <c r="RJL100" s="48"/>
      <c r="RJM100" s="48"/>
      <c r="RJN100" s="48"/>
      <c r="RJO100" s="48"/>
      <c r="RJP100" s="48"/>
      <c r="RJQ100" s="48"/>
      <c r="RJR100" s="48"/>
      <c r="RJS100" s="48"/>
      <c r="RJT100" s="48"/>
      <c r="RJU100" s="48"/>
      <c r="RJV100" s="48"/>
      <c r="RJW100" s="48"/>
      <c r="RJX100" s="48"/>
      <c r="RJY100" s="48"/>
      <c r="RJZ100" s="48"/>
      <c r="RKA100" s="48"/>
      <c r="RKB100" s="48"/>
      <c r="RKC100" s="48"/>
      <c r="RKD100" s="48"/>
      <c r="RKE100" s="48"/>
      <c r="RKF100" s="48"/>
      <c r="RKG100" s="48"/>
      <c r="RKH100" s="48"/>
      <c r="RKI100" s="48"/>
      <c r="RKJ100" s="48"/>
      <c r="RKK100" s="48"/>
      <c r="RKL100" s="48"/>
      <c r="RKM100" s="48"/>
      <c r="RKN100" s="48"/>
      <c r="RKO100" s="48"/>
      <c r="RKP100" s="48"/>
      <c r="RKQ100" s="48"/>
      <c r="RKR100" s="48"/>
      <c r="RKS100" s="48"/>
      <c r="RKT100" s="48"/>
      <c r="RKU100" s="48"/>
      <c r="RKV100" s="48"/>
      <c r="RKW100" s="48"/>
      <c r="RKX100" s="48"/>
      <c r="RKY100" s="48"/>
      <c r="RKZ100" s="48"/>
      <c r="RLA100" s="48"/>
      <c r="RLB100" s="48"/>
      <c r="RLC100" s="48"/>
      <c r="RLD100" s="48"/>
      <c r="RLE100" s="48"/>
      <c r="RLF100" s="48"/>
      <c r="RLG100" s="48"/>
      <c r="RLH100" s="48"/>
      <c r="RLI100" s="48"/>
      <c r="RLJ100" s="48"/>
      <c r="RLK100" s="48"/>
      <c r="RLL100" s="48"/>
      <c r="RLM100" s="48"/>
      <c r="RLN100" s="48"/>
      <c r="RLO100" s="48"/>
      <c r="RLP100" s="48"/>
      <c r="RLQ100" s="48"/>
      <c r="RLR100" s="48"/>
      <c r="RLS100" s="48"/>
      <c r="RLT100" s="48"/>
      <c r="RLU100" s="48"/>
      <c r="RLV100" s="48"/>
      <c r="RLW100" s="48"/>
      <c r="RLX100" s="48"/>
      <c r="RLY100" s="48"/>
      <c r="RLZ100" s="48"/>
      <c r="RMA100" s="48"/>
      <c r="RMB100" s="48"/>
      <c r="RMC100" s="48"/>
      <c r="RMD100" s="48"/>
      <c r="RME100" s="48"/>
      <c r="RMF100" s="48"/>
      <c r="RMG100" s="48"/>
      <c r="RMH100" s="48"/>
      <c r="RMI100" s="48"/>
      <c r="RMJ100" s="48"/>
      <c r="RMK100" s="48"/>
      <c r="RML100" s="48"/>
      <c r="RMM100" s="48"/>
      <c r="RMN100" s="48"/>
      <c r="RMO100" s="48"/>
      <c r="RMP100" s="48"/>
      <c r="RMQ100" s="48"/>
      <c r="RMR100" s="48"/>
      <c r="RMS100" s="48"/>
      <c r="RMT100" s="48"/>
      <c r="RMU100" s="48"/>
      <c r="RMV100" s="48"/>
      <c r="RMW100" s="48"/>
      <c r="RMX100" s="48"/>
      <c r="RMY100" s="48"/>
      <c r="RMZ100" s="48"/>
      <c r="RNA100" s="48"/>
      <c r="RNB100" s="48"/>
      <c r="RNC100" s="48"/>
      <c r="RND100" s="48"/>
      <c r="RNE100" s="48"/>
      <c r="RNF100" s="48"/>
      <c r="RNG100" s="48"/>
      <c r="RNH100" s="48"/>
      <c r="RNI100" s="48"/>
      <c r="RNJ100" s="48"/>
      <c r="RNK100" s="48"/>
      <c r="RNL100" s="48"/>
      <c r="RNM100" s="48"/>
      <c r="RNN100" s="48"/>
      <c r="RNO100" s="48"/>
      <c r="RNP100" s="48"/>
      <c r="RNQ100" s="48"/>
      <c r="RNR100" s="48"/>
      <c r="RNS100" s="48"/>
      <c r="RNT100" s="48"/>
      <c r="RNU100" s="48"/>
      <c r="RNV100" s="48"/>
      <c r="RNW100" s="48"/>
      <c r="RNX100" s="48"/>
      <c r="RNY100" s="48"/>
      <c r="RNZ100" s="48"/>
      <c r="ROA100" s="48"/>
      <c r="ROB100" s="48"/>
      <c r="ROC100" s="48"/>
      <c r="ROD100" s="48"/>
      <c r="ROE100" s="48"/>
      <c r="ROF100" s="48"/>
      <c r="ROG100" s="48"/>
      <c r="ROH100" s="48"/>
      <c r="ROI100" s="48"/>
      <c r="ROJ100" s="48"/>
      <c r="ROK100" s="48"/>
      <c r="ROL100" s="48"/>
      <c r="ROM100" s="48"/>
      <c r="RON100" s="48"/>
      <c r="ROO100" s="48"/>
      <c r="ROP100" s="48"/>
      <c r="ROQ100" s="48"/>
      <c r="ROR100" s="48"/>
      <c r="ROS100" s="48"/>
      <c r="ROT100" s="48"/>
      <c r="ROU100" s="48"/>
      <c r="ROV100" s="48"/>
      <c r="ROW100" s="48"/>
      <c r="ROX100" s="48"/>
      <c r="ROY100" s="48"/>
      <c r="ROZ100" s="48"/>
      <c r="RPA100" s="48"/>
      <c r="RPB100" s="48"/>
      <c r="RPC100" s="48"/>
      <c r="RPD100" s="48"/>
      <c r="RPE100" s="48"/>
      <c r="RPF100" s="48"/>
      <c r="RPG100" s="48"/>
      <c r="RPH100" s="48"/>
      <c r="RPI100" s="48"/>
      <c r="RPJ100" s="48"/>
      <c r="RPK100" s="48"/>
      <c r="RPL100" s="48"/>
      <c r="RPM100" s="48"/>
      <c r="RPN100" s="48"/>
      <c r="RPO100" s="48"/>
      <c r="RPP100" s="48"/>
      <c r="RPQ100" s="48"/>
      <c r="RPR100" s="48"/>
      <c r="RPS100" s="48"/>
      <c r="RPT100" s="48"/>
      <c r="RPU100" s="48"/>
      <c r="RPV100" s="48"/>
      <c r="RPW100" s="48"/>
      <c r="RPX100" s="48"/>
      <c r="RPY100" s="48"/>
      <c r="RPZ100" s="48"/>
      <c r="RQA100" s="48"/>
      <c r="RQB100" s="48"/>
      <c r="RQC100" s="48"/>
      <c r="RQD100" s="48"/>
      <c r="RQE100" s="48"/>
      <c r="RQF100" s="48"/>
      <c r="RQG100" s="48"/>
      <c r="RQH100" s="48"/>
      <c r="RQI100" s="48"/>
      <c r="RQJ100" s="48"/>
      <c r="RQK100" s="48"/>
      <c r="RQL100" s="48"/>
      <c r="RQM100" s="48"/>
      <c r="RQN100" s="48"/>
      <c r="RQO100" s="48"/>
      <c r="RQP100" s="48"/>
      <c r="RQQ100" s="48"/>
      <c r="RQR100" s="48"/>
      <c r="RQS100" s="48"/>
      <c r="RQT100" s="48"/>
      <c r="RQU100" s="48"/>
      <c r="RQV100" s="48"/>
      <c r="RQW100" s="48"/>
      <c r="RQX100" s="48"/>
      <c r="RQY100" s="48"/>
      <c r="RQZ100" s="48"/>
      <c r="RRA100" s="48"/>
      <c r="RRB100" s="48"/>
      <c r="RRC100" s="48"/>
      <c r="RRD100" s="48"/>
      <c r="RRE100" s="48"/>
      <c r="RRF100" s="48"/>
      <c r="RRG100" s="48"/>
      <c r="RRH100" s="48"/>
      <c r="RRI100" s="48"/>
      <c r="RRJ100" s="48"/>
      <c r="RRK100" s="48"/>
      <c r="RRL100" s="48"/>
      <c r="RRM100" s="48"/>
      <c r="RRN100" s="48"/>
      <c r="RRO100" s="48"/>
      <c r="RRP100" s="48"/>
      <c r="RRQ100" s="48"/>
      <c r="RRR100" s="48"/>
      <c r="RRS100" s="48"/>
      <c r="RRT100" s="48"/>
      <c r="RRU100" s="48"/>
      <c r="RRV100" s="48"/>
      <c r="RRW100" s="48"/>
      <c r="RRX100" s="48"/>
      <c r="RRY100" s="48"/>
      <c r="RRZ100" s="48"/>
      <c r="RSA100" s="48"/>
      <c r="RSB100" s="48"/>
      <c r="RSC100" s="48"/>
      <c r="RSD100" s="48"/>
      <c r="RSE100" s="48"/>
      <c r="RSF100" s="48"/>
      <c r="RSG100" s="48"/>
      <c r="RSH100" s="48"/>
      <c r="RSI100" s="48"/>
      <c r="RSJ100" s="48"/>
      <c r="RSK100" s="48"/>
      <c r="RSL100" s="48"/>
      <c r="RSM100" s="48"/>
      <c r="RSN100" s="48"/>
      <c r="RSO100" s="48"/>
      <c r="RSP100" s="48"/>
      <c r="RSQ100" s="48"/>
      <c r="RSR100" s="48"/>
      <c r="RSS100" s="48"/>
      <c r="RST100" s="48"/>
      <c r="RSU100" s="48"/>
      <c r="RSV100" s="48"/>
      <c r="RSW100" s="48"/>
      <c r="RSX100" s="48"/>
      <c r="RSY100" s="48"/>
      <c r="RSZ100" s="48"/>
      <c r="RTA100" s="48"/>
      <c r="RTB100" s="48"/>
      <c r="RTC100" s="48"/>
      <c r="RTD100" s="48"/>
      <c r="RTE100" s="48"/>
      <c r="RTF100" s="48"/>
      <c r="RTG100" s="48"/>
      <c r="RTH100" s="48"/>
      <c r="RTI100" s="48"/>
      <c r="RTJ100" s="48"/>
      <c r="RTK100" s="48"/>
      <c r="RTL100" s="48"/>
      <c r="RTM100" s="48"/>
      <c r="RTN100" s="48"/>
      <c r="RTO100" s="48"/>
      <c r="RTP100" s="48"/>
      <c r="RTQ100" s="48"/>
      <c r="RTR100" s="48"/>
      <c r="RTS100" s="48"/>
      <c r="RTT100" s="48"/>
      <c r="RTU100" s="48"/>
      <c r="RTV100" s="48"/>
      <c r="RTW100" s="48"/>
      <c r="RTX100" s="48"/>
      <c r="RTY100" s="48"/>
      <c r="RTZ100" s="48"/>
      <c r="RUA100" s="48"/>
      <c r="RUB100" s="48"/>
      <c r="RUC100" s="48"/>
      <c r="RUD100" s="48"/>
      <c r="RUE100" s="48"/>
      <c r="RUF100" s="48"/>
      <c r="RUG100" s="48"/>
      <c r="RUH100" s="48"/>
      <c r="RUI100" s="48"/>
      <c r="RUJ100" s="48"/>
      <c r="RUK100" s="48"/>
      <c r="RUL100" s="48"/>
      <c r="RUM100" s="48"/>
      <c r="RUN100" s="48"/>
      <c r="RUO100" s="48"/>
      <c r="RUP100" s="48"/>
      <c r="RUQ100" s="48"/>
      <c r="RUR100" s="48"/>
      <c r="RUS100" s="48"/>
      <c r="RUT100" s="48"/>
      <c r="RUU100" s="48"/>
      <c r="RUV100" s="48"/>
      <c r="RUW100" s="48"/>
      <c r="RUX100" s="48"/>
      <c r="RUY100" s="48"/>
      <c r="RUZ100" s="48"/>
      <c r="RVA100" s="48"/>
      <c r="RVB100" s="48"/>
      <c r="RVC100" s="48"/>
      <c r="RVD100" s="48"/>
      <c r="RVE100" s="48"/>
      <c r="RVF100" s="48"/>
      <c r="RVG100" s="48"/>
      <c r="RVH100" s="48"/>
      <c r="RVI100" s="48"/>
      <c r="RVJ100" s="48"/>
      <c r="RVK100" s="48"/>
      <c r="RVL100" s="48"/>
      <c r="RVM100" s="48"/>
      <c r="RVN100" s="48"/>
      <c r="RVO100" s="48"/>
      <c r="RVP100" s="48"/>
      <c r="RVQ100" s="48"/>
      <c r="RVR100" s="48"/>
      <c r="RVS100" s="48"/>
      <c r="RVT100" s="48"/>
      <c r="RVU100" s="48"/>
      <c r="RVV100" s="48"/>
      <c r="RVW100" s="48"/>
      <c r="RVX100" s="48"/>
      <c r="RVY100" s="48"/>
      <c r="RVZ100" s="48"/>
      <c r="RWA100" s="48"/>
      <c r="RWB100" s="48"/>
      <c r="RWC100" s="48"/>
      <c r="RWD100" s="48"/>
      <c r="RWE100" s="48"/>
      <c r="RWF100" s="48"/>
      <c r="RWG100" s="48"/>
      <c r="RWH100" s="48"/>
      <c r="RWI100" s="48"/>
      <c r="RWJ100" s="48"/>
      <c r="RWK100" s="48"/>
      <c r="RWL100" s="48"/>
      <c r="RWM100" s="48"/>
      <c r="RWN100" s="48"/>
      <c r="RWO100" s="48"/>
      <c r="RWP100" s="48"/>
      <c r="RWQ100" s="48"/>
      <c r="RWR100" s="48"/>
      <c r="RWS100" s="48"/>
      <c r="RWT100" s="48"/>
      <c r="RWU100" s="48"/>
      <c r="RWV100" s="48"/>
      <c r="RWW100" s="48"/>
      <c r="RWX100" s="48"/>
      <c r="RWY100" s="48"/>
      <c r="RWZ100" s="48"/>
      <c r="RXA100" s="48"/>
      <c r="RXB100" s="48"/>
      <c r="RXC100" s="48"/>
      <c r="RXD100" s="48"/>
      <c r="RXE100" s="48"/>
      <c r="RXF100" s="48"/>
      <c r="RXG100" s="48"/>
      <c r="RXH100" s="48"/>
      <c r="RXI100" s="48"/>
      <c r="RXJ100" s="48"/>
      <c r="RXK100" s="48"/>
      <c r="RXL100" s="48"/>
      <c r="RXM100" s="48"/>
      <c r="RXN100" s="48"/>
      <c r="RXO100" s="48"/>
      <c r="RXP100" s="48"/>
      <c r="RXQ100" s="48"/>
      <c r="RXR100" s="48"/>
      <c r="RXS100" s="48"/>
      <c r="RXT100" s="48"/>
      <c r="RXU100" s="48"/>
      <c r="RXV100" s="48"/>
      <c r="RXW100" s="48"/>
      <c r="RXX100" s="48"/>
      <c r="RXY100" s="48"/>
      <c r="RXZ100" s="48"/>
      <c r="RYA100" s="48"/>
      <c r="RYB100" s="48"/>
      <c r="RYC100" s="48"/>
      <c r="RYD100" s="48"/>
      <c r="RYE100" s="48"/>
      <c r="RYF100" s="48"/>
      <c r="RYG100" s="48"/>
      <c r="RYH100" s="48"/>
      <c r="RYI100" s="48"/>
      <c r="RYJ100" s="48"/>
      <c r="RYK100" s="48"/>
      <c r="RYL100" s="48"/>
      <c r="RYM100" s="48"/>
      <c r="RYN100" s="48"/>
      <c r="RYO100" s="48"/>
      <c r="RYP100" s="48"/>
      <c r="RYQ100" s="48"/>
      <c r="RYR100" s="48"/>
      <c r="RYS100" s="48"/>
      <c r="RYT100" s="48"/>
      <c r="RYU100" s="48"/>
      <c r="RYV100" s="48"/>
      <c r="RYW100" s="48"/>
      <c r="RYX100" s="48"/>
      <c r="RYY100" s="48"/>
      <c r="RYZ100" s="48"/>
      <c r="RZA100" s="48"/>
      <c r="RZB100" s="48"/>
      <c r="RZC100" s="48"/>
      <c r="RZD100" s="48"/>
      <c r="RZE100" s="48"/>
      <c r="RZF100" s="48"/>
      <c r="RZG100" s="48"/>
      <c r="RZH100" s="48"/>
      <c r="RZI100" s="48"/>
      <c r="RZJ100" s="48"/>
      <c r="RZK100" s="48"/>
      <c r="RZL100" s="48"/>
      <c r="RZM100" s="48"/>
      <c r="RZN100" s="48"/>
      <c r="RZO100" s="48"/>
      <c r="RZP100" s="48"/>
      <c r="RZQ100" s="48"/>
      <c r="RZR100" s="48"/>
      <c r="RZS100" s="48"/>
      <c r="RZT100" s="48"/>
      <c r="RZU100" s="48"/>
      <c r="RZV100" s="48"/>
      <c r="RZW100" s="48"/>
      <c r="RZX100" s="48"/>
      <c r="RZY100" s="48"/>
      <c r="RZZ100" s="48"/>
      <c r="SAA100" s="48"/>
      <c r="SAB100" s="48"/>
      <c r="SAC100" s="48"/>
      <c r="SAD100" s="48"/>
      <c r="SAE100" s="48"/>
      <c r="SAF100" s="48"/>
      <c r="SAG100" s="48"/>
      <c r="SAH100" s="48"/>
      <c r="SAI100" s="48"/>
      <c r="SAJ100" s="48"/>
      <c r="SAK100" s="48"/>
      <c r="SAL100" s="48"/>
      <c r="SAM100" s="48"/>
      <c r="SAN100" s="48"/>
      <c r="SAO100" s="48"/>
      <c r="SAP100" s="48"/>
      <c r="SAQ100" s="48"/>
      <c r="SAR100" s="48"/>
      <c r="SAS100" s="48"/>
      <c r="SAT100" s="48"/>
      <c r="SAU100" s="48"/>
      <c r="SAV100" s="48"/>
      <c r="SAW100" s="48"/>
      <c r="SAX100" s="48"/>
      <c r="SAY100" s="48"/>
      <c r="SAZ100" s="48"/>
      <c r="SBA100" s="48"/>
      <c r="SBB100" s="48"/>
      <c r="SBC100" s="48"/>
      <c r="SBD100" s="48"/>
      <c r="SBE100" s="48"/>
      <c r="SBF100" s="48"/>
      <c r="SBG100" s="48"/>
      <c r="SBH100" s="48"/>
      <c r="SBI100" s="48"/>
      <c r="SBJ100" s="48"/>
      <c r="SBK100" s="48"/>
      <c r="SBL100" s="48"/>
      <c r="SBM100" s="48"/>
      <c r="SBN100" s="48"/>
      <c r="SBO100" s="48"/>
      <c r="SBP100" s="48"/>
      <c r="SBQ100" s="48"/>
      <c r="SBR100" s="48"/>
      <c r="SBS100" s="48"/>
      <c r="SBT100" s="48"/>
      <c r="SBU100" s="48"/>
      <c r="SBV100" s="48"/>
      <c r="SBW100" s="48"/>
      <c r="SBX100" s="48"/>
      <c r="SBY100" s="48"/>
      <c r="SBZ100" s="48"/>
      <c r="SCA100" s="48"/>
      <c r="SCB100" s="48"/>
      <c r="SCC100" s="48"/>
      <c r="SCD100" s="48"/>
      <c r="SCE100" s="48"/>
      <c r="SCF100" s="48"/>
      <c r="SCG100" s="48"/>
      <c r="SCH100" s="48"/>
      <c r="SCI100" s="48"/>
      <c r="SCJ100" s="48"/>
      <c r="SCK100" s="48"/>
      <c r="SCL100" s="48"/>
      <c r="SCM100" s="48"/>
      <c r="SCN100" s="48"/>
      <c r="SCO100" s="48"/>
      <c r="SCP100" s="48"/>
      <c r="SCQ100" s="48"/>
      <c r="SCR100" s="48"/>
      <c r="SCS100" s="48"/>
      <c r="SCT100" s="48"/>
      <c r="SCU100" s="48"/>
      <c r="SCV100" s="48"/>
      <c r="SCW100" s="48"/>
      <c r="SCX100" s="48"/>
      <c r="SCY100" s="48"/>
      <c r="SCZ100" s="48"/>
      <c r="SDA100" s="48"/>
      <c r="SDB100" s="48"/>
      <c r="SDC100" s="48"/>
      <c r="SDD100" s="48"/>
      <c r="SDE100" s="48"/>
      <c r="SDF100" s="48"/>
      <c r="SDG100" s="48"/>
      <c r="SDH100" s="48"/>
      <c r="SDI100" s="48"/>
      <c r="SDJ100" s="48"/>
      <c r="SDK100" s="48"/>
      <c r="SDL100" s="48"/>
      <c r="SDM100" s="48"/>
      <c r="SDN100" s="48"/>
      <c r="SDO100" s="48"/>
      <c r="SDP100" s="48"/>
      <c r="SDQ100" s="48"/>
      <c r="SDR100" s="48"/>
      <c r="SDS100" s="48"/>
      <c r="SDT100" s="48"/>
      <c r="SDU100" s="48"/>
      <c r="SDV100" s="48"/>
      <c r="SDW100" s="48"/>
      <c r="SDX100" s="48"/>
      <c r="SDY100" s="48"/>
      <c r="SDZ100" s="48"/>
      <c r="SEA100" s="48"/>
      <c r="SEB100" s="48"/>
      <c r="SEC100" s="48"/>
      <c r="SED100" s="48"/>
      <c r="SEE100" s="48"/>
      <c r="SEF100" s="48"/>
      <c r="SEG100" s="48"/>
      <c r="SEH100" s="48"/>
      <c r="SEI100" s="48"/>
      <c r="SEJ100" s="48"/>
      <c r="SEK100" s="48"/>
      <c r="SEL100" s="48"/>
      <c r="SEM100" s="48"/>
      <c r="SEN100" s="48"/>
      <c r="SEO100" s="48"/>
      <c r="SEP100" s="48"/>
      <c r="SEQ100" s="48"/>
      <c r="SER100" s="48"/>
      <c r="SES100" s="48"/>
      <c r="SET100" s="48"/>
      <c r="SEU100" s="48"/>
      <c r="SEV100" s="48"/>
      <c r="SEW100" s="48"/>
      <c r="SEX100" s="48"/>
      <c r="SEY100" s="48"/>
      <c r="SEZ100" s="48"/>
      <c r="SFA100" s="48"/>
      <c r="SFB100" s="48"/>
      <c r="SFC100" s="48"/>
      <c r="SFD100" s="48"/>
      <c r="SFE100" s="48"/>
      <c r="SFF100" s="48"/>
      <c r="SFG100" s="48"/>
      <c r="SFH100" s="48"/>
      <c r="SFI100" s="48"/>
      <c r="SFJ100" s="48"/>
      <c r="SFK100" s="48"/>
      <c r="SFL100" s="48"/>
      <c r="SFM100" s="48"/>
      <c r="SFN100" s="48"/>
      <c r="SFO100" s="48"/>
      <c r="SFP100" s="48"/>
      <c r="SFQ100" s="48"/>
      <c r="SFR100" s="48"/>
      <c r="SFS100" s="48"/>
      <c r="SFT100" s="48"/>
      <c r="SFU100" s="48"/>
      <c r="SFV100" s="48"/>
      <c r="SFW100" s="48"/>
      <c r="SFX100" s="48"/>
      <c r="SFY100" s="48"/>
      <c r="SFZ100" s="48"/>
      <c r="SGA100" s="48"/>
      <c r="SGB100" s="48"/>
      <c r="SGC100" s="48"/>
      <c r="SGD100" s="48"/>
      <c r="SGE100" s="48"/>
      <c r="SGF100" s="48"/>
      <c r="SGG100" s="48"/>
      <c r="SGH100" s="48"/>
      <c r="SGI100" s="48"/>
      <c r="SGJ100" s="48"/>
      <c r="SGK100" s="48"/>
      <c r="SGL100" s="48"/>
      <c r="SGM100" s="48"/>
      <c r="SGN100" s="48"/>
      <c r="SGO100" s="48"/>
      <c r="SGP100" s="48"/>
      <c r="SGQ100" s="48"/>
      <c r="SGR100" s="48"/>
      <c r="SGS100" s="48"/>
      <c r="SGT100" s="48"/>
      <c r="SGU100" s="48"/>
      <c r="SGV100" s="48"/>
      <c r="SGW100" s="48"/>
      <c r="SGX100" s="48"/>
      <c r="SGY100" s="48"/>
      <c r="SGZ100" s="48"/>
      <c r="SHA100" s="48"/>
      <c r="SHB100" s="48"/>
      <c r="SHC100" s="48"/>
      <c r="SHD100" s="48"/>
      <c r="SHE100" s="48"/>
      <c r="SHF100" s="48"/>
      <c r="SHG100" s="48"/>
      <c r="SHH100" s="48"/>
      <c r="SHI100" s="48"/>
      <c r="SHJ100" s="48"/>
      <c r="SHK100" s="48"/>
      <c r="SHL100" s="48"/>
      <c r="SHM100" s="48"/>
      <c r="SHN100" s="48"/>
      <c r="SHO100" s="48"/>
      <c r="SHP100" s="48"/>
      <c r="SHQ100" s="48"/>
      <c r="SHR100" s="48"/>
      <c r="SHS100" s="48"/>
      <c r="SHT100" s="48"/>
      <c r="SHU100" s="48"/>
      <c r="SHV100" s="48"/>
      <c r="SHW100" s="48"/>
      <c r="SHX100" s="48"/>
      <c r="SHY100" s="48"/>
      <c r="SHZ100" s="48"/>
      <c r="SIA100" s="48"/>
      <c r="SIB100" s="48"/>
      <c r="SIC100" s="48"/>
      <c r="SID100" s="48"/>
      <c r="SIE100" s="48"/>
      <c r="SIF100" s="48"/>
      <c r="SIG100" s="48"/>
      <c r="SIH100" s="48"/>
      <c r="SII100" s="48"/>
      <c r="SIJ100" s="48"/>
      <c r="SIK100" s="48"/>
      <c r="SIL100" s="48"/>
      <c r="SIM100" s="48"/>
      <c r="SIN100" s="48"/>
      <c r="SIO100" s="48"/>
      <c r="SIP100" s="48"/>
      <c r="SIQ100" s="48"/>
      <c r="SIR100" s="48"/>
      <c r="SIS100" s="48"/>
      <c r="SIT100" s="48"/>
      <c r="SIU100" s="48"/>
      <c r="SIV100" s="48"/>
      <c r="SIW100" s="48"/>
      <c r="SIX100" s="48"/>
      <c r="SIY100" s="48"/>
      <c r="SIZ100" s="48"/>
      <c r="SJA100" s="48"/>
      <c r="SJB100" s="48"/>
      <c r="SJC100" s="48"/>
      <c r="SJD100" s="48"/>
      <c r="SJE100" s="48"/>
      <c r="SJF100" s="48"/>
      <c r="SJG100" s="48"/>
      <c r="SJH100" s="48"/>
      <c r="SJI100" s="48"/>
      <c r="SJJ100" s="48"/>
      <c r="SJK100" s="48"/>
      <c r="SJL100" s="48"/>
      <c r="SJM100" s="48"/>
      <c r="SJN100" s="48"/>
      <c r="SJO100" s="48"/>
      <c r="SJP100" s="48"/>
      <c r="SJQ100" s="48"/>
      <c r="SJR100" s="48"/>
      <c r="SJS100" s="48"/>
      <c r="SJT100" s="48"/>
      <c r="SJU100" s="48"/>
      <c r="SJV100" s="48"/>
      <c r="SJW100" s="48"/>
      <c r="SJX100" s="48"/>
      <c r="SJY100" s="48"/>
      <c r="SJZ100" s="48"/>
      <c r="SKA100" s="48"/>
      <c r="SKB100" s="48"/>
      <c r="SKC100" s="48"/>
      <c r="SKD100" s="48"/>
      <c r="SKE100" s="48"/>
      <c r="SKF100" s="48"/>
      <c r="SKG100" s="48"/>
      <c r="SKH100" s="48"/>
      <c r="SKI100" s="48"/>
      <c r="SKJ100" s="48"/>
      <c r="SKK100" s="48"/>
      <c r="SKL100" s="48"/>
      <c r="SKM100" s="48"/>
      <c r="SKN100" s="48"/>
      <c r="SKO100" s="48"/>
      <c r="SKP100" s="48"/>
      <c r="SKQ100" s="48"/>
      <c r="SKR100" s="48"/>
      <c r="SKS100" s="48"/>
      <c r="SKT100" s="48"/>
      <c r="SKU100" s="48"/>
      <c r="SKV100" s="48"/>
      <c r="SKW100" s="48"/>
      <c r="SKX100" s="48"/>
      <c r="SKY100" s="48"/>
      <c r="SKZ100" s="48"/>
      <c r="SLA100" s="48"/>
      <c r="SLB100" s="48"/>
      <c r="SLC100" s="48"/>
      <c r="SLD100" s="48"/>
      <c r="SLE100" s="48"/>
      <c r="SLF100" s="48"/>
      <c r="SLG100" s="48"/>
      <c r="SLH100" s="48"/>
      <c r="SLI100" s="48"/>
      <c r="SLJ100" s="48"/>
      <c r="SLK100" s="48"/>
      <c r="SLL100" s="48"/>
      <c r="SLM100" s="48"/>
      <c r="SLN100" s="48"/>
      <c r="SLO100" s="48"/>
      <c r="SLP100" s="48"/>
      <c r="SLQ100" s="48"/>
      <c r="SLR100" s="48"/>
      <c r="SLS100" s="48"/>
      <c r="SLT100" s="48"/>
      <c r="SLU100" s="48"/>
      <c r="SLV100" s="48"/>
      <c r="SLW100" s="48"/>
      <c r="SLX100" s="48"/>
      <c r="SLY100" s="48"/>
      <c r="SLZ100" s="48"/>
      <c r="SMA100" s="48"/>
      <c r="SMB100" s="48"/>
      <c r="SMC100" s="48"/>
      <c r="SMD100" s="48"/>
      <c r="SME100" s="48"/>
      <c r="SMF100" s="48"/>
      <c r="SMG100" s="48"/>
      <c r="SMH100" s="48"/>
      <c r="SMI100" s="48"/>
      <c r="SMJ100" s="48"/>
      <c r="SMK100" s="48"/>
      <c r="SML100" s="48"/>
      <c r="SMM100" s="48"/>
      <c r="SMN100" s="48"/>
      <c r="SMO100" s="48"/>
      <c r="SMP100" s="48"/>
      <c r="SMQ100" s="48"/>
      <c r="SMR100" s="48"/>
      <c r="SMS100" s="48"/>
      <c r="SMT100" s="48"/>
      <c r="SMU100" s="48"/>
      <c r="SMV100" s="48"/>
      <c r="SMW100" s="48"/>
      <c r="SMX100" s="48"/>
      <c r="SMY100" s="48"/>
      <c r="SMZ100" s="48"/>
      <c r="SNA100" s="48"/>
      <c r="SNB100" s="48"/>
      <c r="SNC100" s="48"/>
      <c r="SND100" s="48"/>
      <c r="SNE100" s="48"/>
      <c r="SNF100" s="48"/>
      <c r="SNG100" s="48"/>
      <c r="SNH100" s="48"/>
      <c r="SNI100" s="48"/>
      <c r="SNJ100" s="48"/>
      <c r="SNK100" s="48"/>
      <c r="SNL100" s="48"/>
      <c r="SNM100" s="48"/>
      <c r="SNN100" s="48"/>
      <c r="SNO100" s="48"/>
      <c r="SNP100" s="48"/>
      <c r="SNQ100" s="48"/>
      <c r="SNR100" s="48"/>
      <c r="SNS100" s="48"/>
      <c r="SNT100" s="48"/>
      <c r="SNU100" s="48"/>
      <c r="SNV100" s="48"/>
      <c r="SNW100" s="48"/>
      <c r="SNX100" s="48"/>
      <c r="SNY100" s="48"/>
      <c r="SNZ100" s="48"/>
      <c r="SOA100" s="48"/>
      <c r="SOB100" s="48"/>
      <c r="SOC100" s="48"/>
      <c r="SOD100" s="48"/>
      <c r="SOE100" s="48"/>
      <c r="SOF100" s="48"/>
      <c r="SOG100" s="48"/>
      <c r="SOH100" s="48"/>
      <c r="SOI100" s="48"/>
      <c r="SOJ100" s="48"/>
      <c r="SOK100" s="48"/>
      <c r="SOL100" s="48"/>
      <c r="SOM100" s="48"/>
      <c r="SON100" s="48"/>
      <c r="SOO100" s="48"/>
      <c r="SOP100" s="48"/>
      <c r="SOQ100" s="48"/>
      <c r="SOR100" s="48"/>
      <c r="SOS100" s="48"/>
      <c r="SOT100" s="48"/>
      <c r="SOU100" s="48"/>
      <c r="SOV100" s="48"/>
      <c r="SOW100" s="48"/>
      <c r="SOX100" s="48"/>
      <c r="SOY100" s="48"/>
      <c r="SOZ100" s="48"/>
      <c r="SPA100" s="48"/>
      <c r="SPB100" s="48"/>
      <c r="SPC100" s="48"/>
      <c r="SPD100" s="48"/>
      <c r="SPE100" s="48"/>
      <c r="SPF100" s="48"/>
      <c r="SPG100" s="48"/>
      <c r="SPH100" s="48"/>
      <c r="SPI100" s="48"/>
      <c r="SPJ100" s="48"/>
      <c r="SPK100" s="48"/>
      <c r="SPL100" s="48"/>
      <c r="SPM100" s="48"/>
      <c r="SPN100" s="48"/>
      <c r="SPO100" s="48"/>
      <c r="SPP100" s="48"/>
      <c r="SPQ100" s="48"/>
      <c r="SPR100" s="48"/>
      <c r="SPS100" s="48"/>
      <c r="SPT100" s="48"/>
      <c r="SPU100" s="48"/>
      <c r="SPV100" s="48"/>
      <c r="SPW100" s="48"/>
      <c r="SPX100" s="48"/>
      <c r="SPY100" s="48"/>
      <c r="SPZ100" s="48"/>
      <c r="SQA100" s="48"/>
      <c r="SQB100" s="48"/>
      <c r="SQC100" s="48"/>
      <c r="SQD100" s="48"/>
      <c r="SQE100" s="48"/>
      <c r="SQF100" s="48"/>
      <c r="SQG100" s="48"/>
      <c r="SQH100" s="48"/>
      <c r="SQI100" s="48"/>
      <c r="SQJ100" s="48"/>
      <c r="SQK100" s="48"/>
      <c r="SQL100" s="48"/>
      <c r="SQM100" s="48"/>
      <c r="SQN100" s="48"/>
      <c r="SQO100" s="48"/>
      <c r="SQP100" s="48"/>
      <c r="SQQ100" s="48"/>
      <c r="SQR100" s="48"/>
      <c r="SQS100" s="48"/>
      <c r="SQT100" s="48"/>
      <c r="SQU100" s="48"/>
      <c r="SQV100" s="48"/>
      <c r="SQW100" s="48"/>
      <c r="SQX100" s="48"/>
      <c r="SQY100" s="48"/>
      <c r="SQZ100" s="48"/>
      <c r="SRA100" s="48"/>
      <c r="SRB100" s="48"/>
      <c r="SRC100" s="48"/>
      <c r="SRD100" s="48"/>
      <c r="SRE100" s="48"/>
      <c r="SRF100" s="48"/>
      <c r="SRG100" s="48"/>
      <c r="SRH100" s="48"/>
      <c r="SRI100" s="48"/>
      <c r="SRJ100" s="48"/>
      <c r="SRK100" s="48"/>
      <c r="SRL100" s="48"/>
      <c r="SRM100" s="48"/>
      <c r="SRN100" s="48"/>
      <c r="SRO100" s="48"/>
      <c r="SRP100" s="48"/>
      <c r="SRQ100" s="48"/>
      <c r="SRR100" s="48"/>
      <c r="SRS100" s="48"/>
      <c r="SRT100" s="48"/>
      <c r="SRU100" s="48"/>
      <c r="SRV100" s="48"/>
      <c r="SRW100" s="48"/>
      <c r="SRX100" s="48"/>
      <c r="SRY100" s="48"/>
      <c r="SRZ100" s="48"/>
      <c r="SSA100" s="48"/>
      <c r="SSB100" s="48"/>
      <c r="SSC100" s="48"/>
      <c r="SSD100" s="48"/>
      <c r="SSE100" s="48"/>
      <c r="SSF100" s="48"/>
      <c r="SSG100" s="48"/>
      <c r="SSH100" s="48"/>
      <c r="SSI100" s="48"/>
      <c r="SSJ100" s="48"/>
      <c r="SSK100" s="48"/>
      <c r="SSL100" s="48"/>
      <c r="SSM100" s="48"/>
      <c r="SSN100" s="48"/>
      <c r="SSO100" s="48"/>
      <c r="SSP100" s="48"/>
      <c r="SSQ100" s="48"/>
      <c r="SSR100" s="48"/>
      <c r="SSS100" s="48"/>
      <c r="SST100" s="48"/>
      <c r="SSU100" s="48"/>
      <c r="SSV100" s="48"/>
      <c r="SSW100" s="48"/>
      <c r="SSX100" s="48"/>
      <c r="SSY100" s="48"/>
      <c r="SSZ100" s="48"/>
      <c r="STA100" s="48"/>
      <c r="STB100" s="48"/>
      <c r="STC100" s="48"/>
      <c r="STD100" s="48"/>
      <c r="STE100" s="48"/>
      <c r="STF100" s="48"/>
      <c r="STG100" s="48"/>
      <c r="STH100" s="48"/>
      <c r="STI100" s="48"/>
      <c r="STJ100" s="48"/>
      <c r="STK100" s="48"/>
      <c r="STL100" s="48"/>
      <c r="STM100" s="48"/>
      <c r="STN100" s="48"/>
      <c r="STO100" s="48"/>
      <c r="STP100" s="48"/>
      <c r="STQ100" s="48"/>
      <c r="STR100" s="48"/>
      <c r="STS100" s="48"/>
      <c r="STT100" s="48"/>
      <c r="STU100" s="48"/>
      <c r="STV100" s="48"/>
      <c r="STW100" s="48"/>
      <c r="STX100" s="48"/>
      <c r="STY100" s="48"/>
      <c r="STZ100" s="48"/>
      <c r="SUA100" s="48"/>
      <c r="SUB100" s="48"/>
      <c r="SUC100" s="48"/>
      <c r="SUD100" s="48"/>
      <c r="SUE100" s="48"/>
      <c r="SUF100" s="48"/>
      <c r="SUG100" s="48"/>
      <c r="SUH100" s="48"/>
      <c r="SUI100" s="48"/>
      <c r="SUJ100" s="48"/>
      <c r="SUK100" s="48"/>
      <c r="SUL100" s="48"/>
      <c r="SUM100" s="48"/>
      <c r="SUN100" s="48"/>
      <c r="SUO100" s="48"/>
      <c r="SUP100" s="48"/>
      <c r="SUQ100" s="48"/>
      <c r="SUR100" s="48"/>
      <c r="SUS100" s="48"/>
      <c r="SUT100" s="48"/>
      <c r="SUU100" s="48"/>
      <c r="SUV100" s="48"/>
      <c r="SUW100" s="48"/>
      <c r="SUX100" s="48"/>
      <c r="SUY100" s="48"/>
      <c r="SUZ100" s="48"/>
      <c r="SVA100" s="48"/>
      <c r="SVB100" s="48"/>
      <c r="SVC100" s="48"/>
      <c r="SVD100" s="48"/>
      <c r="SVE100" s="48"/>
      <c r="SVF100" s="48"/>
      <c r="SVG100" s="48"/>
      <c r="SVH100" s="48"/>
      <c r="SVI100" s="48"/>
      <c r="SVJ100" s="48"/>
      <c r="SVK100" s="48"/>
      <c r="SVL100" s="48"/>
      <c r="SVM100" s="48"/>
      <c r="SVN100" s="48"/>
      <c r="SVO100" s="48"/>
      <c r="SVP100" s="48"/>
      <c r="SVQ100" s="48"/>
      <c r="SVR100" s="48"/>
      <c r="SVS100" s="48"/>
      <c r="SVT100" s="48"/>
      <c r="SVU100" s="48"/>
      <c r="SVV100" s="48"/>
      <c r="SVW100" s="48"/>
      <c r="SVX100" s="48"/>
      <c r="SVY100" s="48"/>
      <c r="SVZ100" s="48"/>
      <c r="SWA100" s="48"/>
      <c r="SWB100" s="48"/>
      <c r="SWC100" s="48"/>
      <c r="SWD100" s="48"/>
      <c r="SWE100" s="48"/>
      <c r="SWF100" s="48"/>
      <c r="SWG100" s="48"/>
      <c r="SWH100" s="48"/>
      <c r="SWI100" s="48"/>
      <c r="SWJ100" s="48"/>
      <c r="SWK100" s="48"/>
      <c r="SWL100" s="48"/>
      <c r="SWM100" s="48"/>
      <c r="SWN100" s="48"/>
      <c r="SWO100" s="48"/>
      <c r="SWP100" s="48"/>
      <c r="SWQ100" s="48"/>
      <c r="SWR100" s="48"/>
      <c r="SWS100" s="48"/>
      <c r="SWT100" s="48"/>
      <c r="SWU100" s="48"/>
      <c r="SWV100" s="48"/>
      <c r="SWW100" s="48"/>
      <c r="SWX100" s="48"/>
      <c r="SWY100" s="48"/>
      <c r="SWZ100" s="48"/>
      <c r="SXA100" s="48"/>
      <c r="SXB100" s="48"/>
      <c r="SXC100" s="48"/>
      <c r="SXD100" s="48"/>
      <c r="SXE100" s="48"/>
      <c r="SXF100" s="48"/>
      <c r="SXG100" s="48"/>
      <c r="SXH100" s="48"/>
      <c r="SXI100" s="48"/>
      <c r="SXJ100" s="48"/>
      <c r="SXK100" s="48"/>
      <c r="SXL100" s="48"/>
      <c r="SXM100" s="48"/>
      <c r="SXN100" s="48"/>
      <c r="SXO100" s="48"/>
      <c r="SXP100" s="48"/>
      <c r="SXQ100" s="48"/>
      <c r="SXR100" s="48"/>
      <c r="SXS100" s="48"/>
      <c r="SXT100" s="48"/>
      <c r="SXU100" s="48"/>
      <c r="SXV100" s="48"/>
      <c r="SXW100" s="48"/>
      <c r="SXX100" s="48"/>
      <c r="SXY100" s="48"/>
      <c r="SXZ100" s="48"/>
      <c r="SYA100" s="48"/>
      <c r="SYB100" s="48"/>
      <c r="SYC100" s="48"/>
      <c r="SYD100" s="48"/>
      <c r="SYE100" s="48"/>
      <c r="SYF100" s="48"/>
      <c r="SYG100" s="48"/>
      <c r="SYH100" s="48"/>
      <c r="SYI100" s="48"/>
      <c r="SYJ100" s="48"/>
      <c r="SYK100" s="48"/>
      <c r="SYL100" s="48"/>
      <c r="SYM100" s="48"/>
      <c r="SYN100" s="48"/>
      <c r="SYO100" s="48"/>
      <c r="SYP100" s="48"/>
      <c r="SYQ100" s="48"/>
      <c r="SYR100" s="48"/>
      <c r="SYS100" s="48"/>
      <c r="SYT100" s="48"/>
      <c r="SYU100" s="48"/>
      <c r="SYV100" s="48"/>
      <c r="SYW100" s="48"/>
      <c r="SYX100" s="48"/>
      <c r="SYY100" s="48"/>
      <c r="SYZ100" s="48"/>
      <c r="SZA100" s="48"/>
      <c r="SZB100" s="48"/>
      <c r="SZC100" s="48"/>
      <c r="SZD100" s="48"/>
      <c r="SZE100" s="48"/>
      <c r="SZF100" s="48"/>
      <c r="SZG100" s="48"/>
      <c r="SZH100" s="48"/>
      <c r="SZI100" s="48"/>
      <c r="SZJ100" s="48"/>
      <c r="SZK100" s="48"/>
      <c r="SZL100" s="48"/>
      <c r="SZM100" s="48"/>
      <c r="SZN100" s="48"/>
      <c r="SZO100" s="48"/>
      <c r="SZP100" s="48"/>
      <c r="SZQ100" s="48"/>
      <c r="SZR100" s="48"/>
      <c r="SZS100" s="48"/>
      <c r="SZT100" s="48"/>
      <c r="SZU100" s="48"/>
      <c r="SZV100" s="48"/>
      <c r="SZW100" s="48"/>
      <c r="SZX100" s="48"/>
      <c r="SZY100" s="48"/>
      <c r="SZZ100" s="48"/>
      <c r="TAA100" s="48"/>
      <c r="TAB100" s="48"/>
      <c r="TAC100" s="48"/>
      <c r="TAD100" s="48"/>
      <c r="TAE100" s="48"/>
      <c r="TAF100" s="48"/>
      <c r="TAG100" s="48"/>
      <c r="TAH100" s="48"/>
      <c r="TAI100" s="48"/>
      <c r="TAJ100" s="48"/>
      <c r="TAK100" s="48"/>
      <c r="TAL100" s="48"/>
      <c r="TAM100" s="48"/>
      <c r="TAN100" s="48"/>
      <c r="TAO100" s="48"/>
      <c r="TAP100" s="48"/>
      <c r="TAQ100" s="48"/>
      <c r="TAR100" s="48"/>
      <c r="TAS100" s="48"/>
      <c r="TAT100" s="48"/>
      <c r="TAU100" s="48"/>
      <c r="TAV100" s="48"/>
      <c r="TAW100" s="48"/>
      <c r="TAX100" s="48"/>
      <c r="TAY100" s="48"/>
      <c r="TAZ100" s="48"/>
      <c r="TBA100" s="48"/>
      <c r="TBB100" s="48"/>
      <c r="TBC100" s="48"/>
      <c r="TBD100" s="48"/>
      <c r="TBE100" s="48"/>
      <c r="TBF100" s="48"/>
      <c r="TBG100" s="48"/>
      <c r="TBH100" s="48"/>
      <c r="TBI100" s="48"/>
      <c r="TBJ100" s="48"/>
      <c r="TBK100" s="48"/>
      <c r="TBL100" s="48"/>
      <c r="TBM100" s="48"/>
      <c r="TBN100" s="48"/>
      <c r="TBO100" s="48"/>
      <c r="TBP100" s="48"/>
      <c r="TBQ100" s="48"/>
      <c r="TBR100" s="48"/>
      <c r="TBS100" s="48"/>
      <c r="TBT100" s="48"/>
      <c r="TBU100" s="48"/>
      <c r="TBV100" s="48"/>
      <c r="TBW100" s="48"/>
      <c r="TBX100" s="48"/>
      <c r="TBY100" s="48"/>
      <c r="TBZ100" s="48"/>
      <c r="TCA100" s="48"/>
      <c r="TCB100" s="48"/>
      <c r="TCC100" s="48"/>
      <c r="TCD100" s="48"/>
      <c r="TCE100" s="48"/>
      <c r="TCF100" s="48"/>
      <c r="TCG100" s="48"/>
      <c r="TCH100" s="48"/>
      <c r="TCI100" s="48"/>
      <c r="TCJ100" s="48"/>
      <c r="TCK100" s="48"/>
      <c r="TCL100" s="48"/>
      <c r="TCM100" s="48"/>
      <c r="TCN100" s="48"/>
      <c r="TCO100" s="48"/>
      <c r="TCP100" s="48"/>
      <c r="TCQ100" s="48"/>
      <c r="TCR100" s="48"/>
      <c r="TCS100" s="48"/>
      <c r="TCT100" s="48"/>
      <c r="TCU100" s="48"/>
      <c r="TCV100" s="48"/>
      <c r="TCW100" s="48"/>
      <c r="TCX100" s="48"/>
      <c r="TCY100" s="48"/>
      <c r="TCZ100" s="48"/>
      <c r="TDA100" s="48"/>
      <c r="TDB100" s="48"/>
      <c r="TDC100" s="48"/>
      <c r="TDD100" s="48"/>
      <c r="TDE100" s="48"/>
      <c r="TDF100" s="48"/>
      <c r="TDG100" s="48"/>
      <c r="TDH100" s="48"/>
      <c r="TDI100" s="48"/>
      <c r="TDJ100" s="48"/>
      <c r="TDK100" s="48"/>
      <c r="TDL100" s="48"/>
      <c r="TDM100" s="48"/>
      <c r="TDN100" s="48"/>
      <c r="TDO100" s="48"/>
      <c r="TDP100" s="48"/>
      <c r="TDQ100" s="48"/>
      <c r="TDR100" s="48"/>
      <c r="TDS100" s="48"/>
      <c r="TDT100" s="48"/>
      <c r="TDU100" s="48"/>
      <c r="TDV100" s="48"/>
      <c r="TDW100" s="48"/>
      <c r="TDX100" s="48"/>
      <c r="TDY100" s="48"/>
      <c r="TDZ100" s="48"/>
      <c r="TEA100" s="48"/>
      <c r="TEB100" s="48"/>
      <c r="TEC100" s="48"/>
      <c r="TED100" s="48"/>
      <c r="TEE100" s="48"/>
      <c r="TEF100" s="48"/>
      <c r="TEG100" s="48"/>
      <c r="TEH100" s="48"/>
      <c r="TEI100" s="48"/>
      <c r="TEJ100" s="48"/>
      <c r="TEK100" s="48"/>
      <c r="TEL100" s="48"/>
      <c r="TEM100" s="48"/>
      <c r="TEN100" s="48"/>
      <c r="TEO100" s="48"/>
      <c r="TEP100" s="48"/>
      <c r="TEQ100" s="48"/>
      <c r="TER100" s="48"/>
      <c r="TES100" s="48"/>
      <c r="TET100" s="48"/>
      <c r="TEU100" s="48"/>
      <c r="TEV100" s="48"/>
      <c r="TEW100" s="48"/>
      <c r="TEX100" s="48"/>
      <c r="TEY100" s="48"/>
      <c r="TEZ100" s="48"/>
      <c r="TFA100" s="48"/>
      <c r="TFB100" s="48"/>
      <c r="TFC100" s="48"/>
      <c r="TFD100" s="48"/>
      <c r="TFE100" s="48"/>
      <c r="TFF100" s="48"/>
      <c r="TFG100" s="48"/>
      <c r="TFH100" s="48"/>
      <c r="TFI100" s="48"/>
      <c r="TFJ100" s="48"/>
      <c r="TFK100" s="48"/>
      <c r="TFL100" s="48"/>
      <c r="TFM100" s="48"/>
      <c r="TFN100" s="48"/>
      <c r="TFO100" s="48"/>
      <c r="TFP100" s="48"/>
      <c r="TFQ100" s="48"/>
      <c r="TFR100" s="48"/>
      <c r="TFS100" s="48"/>
      <c r="TFT100" s="48"/>
      <c r="TFU100" s="48"/>
      <c r="TFV100" s="48"/>
      <c r="TFW100" s="48"/>
      <c r="TFX100" s="48"/>
      <c r="TFY100" s="48"/>
      <c r="TFZ100" s="48"/>
      <c r="TGA100" s="48"/>
      <c r="TGB100" s="48"/>
      <c r="TGC100" s="48"/>
      <c r="TGD100" s="48"/>
      <c r="TGE100" s="48"/>
      <c r="TGF100" s="48"/>
      <c r="TGG100" s="48"/>
      <c r="TGH100" s="48"/>
      <c r="TGI100" s="48"/>
      <c r="TGJ100" s="48"/>
      <c r="TGK100" s="48"/>
      <c r="TGL100" s="48"/>
      <c r="TGM100" s="48"/>
      <c r="TGN100" s="48"/>
      <c r="TGO100" s="48"/>
      <c r="TGP100" s="48"/>
      <c r="TGQ100" s="48"/>
      <c r="TGR100" s="48"/>
      <c r="TGS100" s="48"/>
      <c r="TGT100" s="48"/>
      <c r="TGU100" s="48"/>
      <c r="TGV100" s="48"/>
      <c r="TGW100" s="48"/>
      <c r="TGX100" s="48"/>
      <c r="TGY100" s="48"/>
      <c r="TGZ100" s="48"/>
      <c r="THA100" s="48"/>
      <c r="THB100" s="48"/>
      <c r="THC100" s="48"/>
      <c r="THD100" s="48"/>
      <c r="THE100" s="48"/>
      <c r="THF100" s="48"/>
      <c r="THG100" s="48"/>
      <c r="THH100" s="48"/>
      <c r="THI100" s="48"/>
      <c r="THJ100" s="48"/>
      <c r="THK100" s="48"/>
      <c r="THL100" s="48"/>
      <c r="THM100" s="48"/>
      <c r="THN100" s="48"/>
      <c r="THO100" s="48"/>
      <c r="THP100" s="48"/>
      <c r="THQ100" s="48"/>
      <c r="THR100" s="48"/>
      <c r="THS100" s="48"/>
      <c r="THT100" s="48"/>
      <c r="THU100" s="48"/>
      <c r="THV100" s="48"/>
      <c r="THW100" s="48"/>
      <c r="THX100" s="48"/>
      <c r="THY100" s="48"/>
      <c r="THZ100" s="48"/>
      <c r="TIA100" s="48"/>
      <c r="TIB100" s="48"/>
      <c r="TIC100" s="48"/>
      <c r="TID100" s="48"/>
      <c r="TIE100" s="48"/>
      <c r="TIF100" s="48"/>
      <c r="TIG100" s="48"/>
      <c r="TIH100" s="48"/>
      <c r="TII100" s="48"/>
      <c r="TIJ100" s="48"/>
      <c r="TIK100" s="48"/>
      <c r="TIL100" s="48"/>
      <c r="TIM100" s="48"/>
      <c r="TIN100" s="48"/>
      <c r="TIO100" s="48"/>
      <c r="TIP100" s="48"/>
      <c r="TIQ100" s="48"/>
      <c r="TIR100" s="48"/>
      <c r="TIS100" s="48"/>
      <c r="TIT100" s="48"/>
      <c r="TIU100" s="48"/>
      <c r="TIV100" s="48"/>
      <c r="TIW100" s="48"/>
      <c r="TIX100" s="48"/>
      <c r="TIY100" s="48"/>
      <c r="TIZ100" s="48"/>
      <c r="TJA100" s="48"/>
      <c r="TJB100" s="48"/>
      <c r="TJC100" s="48"/>
      <c r="TJD100" s="48"/>
      <c r="TJE100" s="48"/>
      <c r="TJF100" s="48"/>
      <c r="TJG100" s="48"/>
      <c r="TJH100" s="48"/>
      <c r="TJI100" s="48"/>
      <c r="TJJ100" s="48"/>
      <c r="TJK100" s="48"/>
      <c r="TJL100" s="48"/>
      <c r="TJM100" s="48"/>
      <c r="TJN100" s="48"/>
      <c r="TJO100" s="48"/>
      <c r="TJP100" s="48"/>
      <c r="TJQ100" s="48"/>
      <c r="TJR100" s="48"/>
      <c r="TJS100" s="48"/>
      <c r="TJT100" s="48"/>
      <c r="TJU100" s="48"/>
      <c r="TJV100" s="48"/>
      <c r="TJW100" s="48"/>
      <c r="TJX100" s="48"/>
      <c r="TJY100" s="48"/>
      <c r="TJZ100" s="48"/>
      <c r="TKA100" s="48"/>
      <c r="TKB100" s="48"/>
      <c r="TKC100" s="48"/>
      <c r="TKD100" s="48"/>
      <c r="TKE100" s="48"/>
      <c r="TKF100" s="48"/>
      <c r="TKG100" s="48"/>
      <c r="TKH100" s="48"/>
      <c r="TKI100" s="48"/>
      <c r="TKJ100" s="48"/>
      <c r="TKK100" s="48"/>
      <c r="TKL100" s="48"/>
      <c r="TKM100" s="48"/>
      <c r="TKN100" s="48"/>
      <c r="TKO100" s="48"/>
      <c r="TKP100" s="48"/>
      <c r="TKQ100" s="48"/>
      <c r="TKR100" s="48"/>
      <c r="TKS100" s="48"/>
      <c r="TKT100" s="48"/>
      <c r="TKU100" s="48"/>
      <c r="TKV100" s="48"/>
      <c r="TKW100" s="48"/>
      <c r="TKX100" s="48"/>
      <c r="TKY100" s="48"/>
      <c r="TKZ100" s="48"/>
      <c r="TLA100" s="48"/>
      <c r="TLB100" s="48"/>
      <c r="TLC100" s="48"/>
      <c r="TLD100" s="48"/>
      <c r="TLE100" s="48"/>
      <c r="TLF100" s="48"/>
      <c r="TLG100" s="48"/>
      <c r="TLH100" s="48"/>
      <c r="TLI100" s="48"/>
      <c r="TLJ100" s="48"/>
      <c r="TLK100" s="48"/>
      <c r="TLL100" s="48"/>
      <c r="TLM100" s="48"/>
      <c r="TLN100" s="48"/>
      <c r="TLO100" s="48"/>
      <c r="TLP100" s="48"/>
      <c r="TLQ100" s="48"/>
      <c r="TLR100" s="48"/>
      <c r="TLS100" s="48"/>
      <c r="TLT100" s="48"/>
      <c r="TLU100" s="48"/>
      <c r="TLV100" s="48"/>
      <c r="TLW100" s="48"/>
      <c r="TLX100" s="48"/>
      <c r="TLY100" s="48"/>
      <c r="TLZ100" s="48"/>
      <c r="TMA100" s="48"/>
      <c r="TMB100" s="48"/>
      <c r="TMC100" s="48"/>
      <c r="TMD100" s="48"/>
      <c r="TME100" s="48"/>
      <c r="TMF100" s="48"/>
      <c r="TMG100" s="48"/>
      <c r="TMH100" s="48"/>
      <c r="TMI100" s="48"/>
      <c r="TMJ100" s="48"/>
      <c r="TMK100" s="48"/>
      <c r="TML100" s="48"/>
      <c r="TMM100" s="48"/>
      <c r="TMN100" s="48"/>
      <c r="TMO100" s="48"/>
      <c r="TMP100" s="48"/>
      <c r="TMQ100" s="48"/>
      <c r="TMR100" s="48"/>
      <c r="TMS100" s="48"/>
      <c r="TMT100" s="48"/>
      <c r="TMU100" s="48"/>
      <c r="TMV100" s="48"/>
      <c r="TMW100" s="48"/>
      <c r="TMX100" s="48"/>
      <c r="TMY100" s="48"/>
      <c r="TMZ100" s="48"/>
      <c r="TNA100" s="48"/>
      <c r="TNB100" s="48"/>
      <c r="TNC100" s="48"/>
      <c r="TND100" s="48"/>
      <c r="TNE100" s="48"/>
      <c r="TNF100" s="48"/>
      <c r="TNG100" s="48"/>
      <c r="TNH100" s="48"/>
      <c r="TNI100" s="48"/>
      <c r="TNJ100" s="48"/>
      <c r="TNK100" s="48"/>
      <c r="TNL100" s="48"/>
      <c r="TNM100" s="48"/>
      <c r="TNN100" s="48"/>
      <c r="TNO100" s="48"/>
      <c r="TNP100" s="48"/>
      <c r="TNQ100" s="48"/>
      <c r="TNR100" s="48"/>
      <c r="TNS100" s="48"/>
      <c r="TNT100" s="48"/>
      <c r="TNU100" s="48"/>
      <c r="TNV100" s="48"/>
      <c r="TNW100" s="48"/>
      <c r="TNX100" s="48"/>
      <c r="TNY100" s="48"/>
      <c r="TNZ100" s="48"/>
      <c r="TOA100" s="48"/>
      <c r="TOB100" s="48"/>
      <c r="TOC100" s="48"/>
      <c r="TOD100" s="48"/>
      <c r="TOE100" s="48"/>
      <c r="TOF100" s="48"/>
      <c r="TOG100" s="48"/>
      <c r="TOH100" s="48"/>
      <c r="TOI100" s="48"/>
      <c r="TOJ100" s="48"/>
      <c r="TOK100" s="48"/>
      <c r="TOL100" s="48"/>
      <c r="TOM100" s="48"/>
      <c r="TON100" s="48"/>
      <c r="TOO100" s="48"/>
      <c r="TOP100" s="48"/>
      <c r="TOQ100" s="48"/>
      <c r="TOR100" s="48"/>
      <c r="TOS100" s="48"/>
      <c r="TOT100" s="48"/>
      <c r="TOU100" s="48"/>
      <c r="TOV100" s="48"/>
      <c r="TOW100" s="48"/>
      <c r="TOX100" s="48"/>
      <c r="TOY100" s="48"/>
      <c r="TOZ100" s="48"/>
      <c r="TPA100" s="48"/>
      <c r="TPB100" s="48"/>
      <c r="TPC100" s="48"/>
      <c r="TPD100" s="48"/>
      <c r="TPE100" s="48"/>
      <c r="TPF100" s="48"/>
      <c r="TPG100" s="48"/>
      <c r="TPH100" s="48"/>
      <c r="TPI100" s="48"/>
      <c r="TPJ100" s="48"/>
      <c r="TPK100" s="48"/>
      <c r="TPL100" s="48"/>
      <c r="TPM100" s="48"/>
      <c r="TPN100" s="48"/>
      <c r="TPO100" s="48"/>
      <c r="TPP100" s="48"/>
      <c r="TPQ100" s="48"/>
      <c r="TPR100" s="48"/>
      <c r="TPS100" s="48"/>
      <c r="TPT100" s="48"/>
      <c r="TPU100" s="48"/>
      <c r="TPV100" s="48"/>
      <c r="TPW100" s="48"/>
      <c r="TPX100" s="48"/>
      <c r="TPY100" s="48"/>
      <c r="TPZ100" s="48"/>
      <c r="TQA100" s="48"/>
      <c r="TQB100" s="48"/>
      <c r="TQC100" s="48"/>
      <c r="TQD100" s="48"/>
      <c r="TQE100" s="48"/>
      <c r="TQF100" s="48"/>
      <c r="TQG100" s="48"/>
      <c r="TQH100" s="48"/>
      <c r="TQI100" s="48"/>
      <c r="TQJ100" s="48"/>
      <c r="TQK100" s="48"/>
      <c r="TQL100" s="48"/>
      <c r="TQM100" s="48"/>
      <c r="TQN100" s="48"/>
      <c r="TQO100" s="48"/>
      <c r="TQP100" s="48"/>
      <c r="TQQ100" s="48"/>
      <c r="TQR100" s="48"/>
      <c r="TQS100" s="48"/>
      <c r="TQT100" s="48"/>
      <c r="TQU100" s="48"/>
      <c r="TQV100" s="48"/>
      <c r="TQW100" s="48"/>
      <c r="TQX100" s="48"/>
      <c r="TQY100" s="48"/>
      <c r="TQZ100" s="48"/>
      <c r="TRA100" s="48"/>
      <c r="TRB100" s="48"/>
      <c r="TRC100" s="48"/>
      <c r="TRD100" s="48"/>
      <c r="TRE100" s="48"/>
      <c r="TRF100" s="48"/>
      <c r="TRG100" s="48"/>
      <c r="TRH100" s="48"/>
      <c r="TRI100" s="48"/>
      <c r="TRJ100" s="48"/>
      <c r="TRK100" s="48"/>
      <c r="TRL100" s="48"/>
      <c r="TRM100" s="48"/>
      <c r="TRN100" s="48"/>
      <c r="TRO100" s="48"/>
      <c r="TRP100" s="48"/>
      <c r="TRQ100" s="48"/>
      <c r="TRR100" s="48"/>
      <c r="TRS100" s="48"/>
      <c r="TRT100" s="48"/>
      <c r="TRU100" s="48"/>
      <c r="TRV100" s="48"/>
      <c r="TRW100" s="48"/>
      <c r="TRX100" s="48"/>
      <c r="TRY100" s="48"/>
      <c r="TRZ100" s="48"/>
      <c r="TSA100" s="48"/>
      <c r="TSB100" s="48"/>
      <c r="TSC100" s="48"/>
      <c r="TSD100" s="48"/>
      <c r="TSE100" s="48"/>
      <c r="TSF100" s="48"/>
      <c r="TSG100" s="48"/>
      <c r="TSH100" s="48"/>
      <c r="TSI100" s="48"/>
      <c r="TSJ100" s="48"/>
      <c r="TSK100" s="48"/>
      <c r="TSL100" s="48"/>
      <c r="TSM100" s="48"/>
      <c r="TSN100" s="48"/>
      <c r="TSO100" s="48"/>
      <c r="TSP100" s="48"/>
      <c r="TSQ100" s="48"/>
      <c r="TSR100" s="48"/>
      <c r="TSS100" s="48"/>
      <c r="TST100" s="48"/>
      <c r="TSU100" s="48"/>
      <c r="TSV100" s="48"/>
      <c r="TSW100" s="48"/>
      <c r="TSX100" s="48"/>
      <c r="TSY100" s="48"/>
      <c r="TSZ100" s="48"/>
      <c r="TTA100" s="48"/>
      <c r="TTB100" s="48"/>
      <c r="TTC100" s="48"/>
      <c r="TTD100" s="48"/>
      <c r="TTE100" s="48"/>
      <c r="TTF100" s="48"/>
      <c r="TTG100" s="48"/>
      <c r="TTH100" s="48"/>
      <c r="TTI100" s="48"/>
      <c r="TTJ100" s="48"/>
      <c r="TTK100" s="48"/>
      <c r="TTL100" s="48"/>
      <c r="TTM100" s="48"/>
      <c r="TTN100" s="48"/>
      <c r="TTO100" s="48"/>
      <c r="TTP100" s="48"/>
      <c r="TTQ100" s="48"/>
      <c r="TTR100" s="48"/>
      <c r="TTS100" s="48"/>
      <c r="TTT100" s="48"/>
      <c r="TTU100" s="48"/>
      <c r="TTV100" s="48"/>
      <c r="TTW100" s="48"/>
      <c r="TTX100" s="48"/>
      <c r="TTY100" s="48"/>
      <c r="TTZ100" s="48"/>
      <c r="TUA100" s="48"/>
      <c r="TUB100" s="48"/>
      <c r="TUC100" s="48"/>
      <c r="TUD100" s="48"/>
      <c r="TUE100" s="48"/>
      <c r="TUF100" s="48"/>
      <c r="TUG100" s="48"/>
      <c r="TUH100" s="48"/>
      <c r="TUI100" s="48"/>
      <c r="TUJ100" s="48"/>
      <c r="TUK100" s="48"/>
      <c r="TUL100" s="48"/>
      <c r="TUM100" s="48"/>
      <c r="TUN100" s="48"/>
      <c r="TUO100" s="48"/>
      <c r="TUP100" s="48"/>
      <c r="TUQ100" s="48"/>
      <c r="TUR100" s="48"/>
      <c r="TUS100" s="48"/>
      <c r="TUT100" s="48"/>
      <c r="TUU100" s="48"/>
      <c r="TUV100" s="48"/>
      <c r="TUW100" s="48"/>
      <c r="TUX100" s="48"/>
      <c r="TUY100" s="48"/>
      <c r="TUZ100" s="48"/>
      <c r="TVA100" s="48"/>
      <c r="TVB100" s="48"/>
      <c r="TVC100" s="48"/>
      <c r="TVD100" s="48"/>
      <c r="TVE100" s="48"/>
      <c r="TVF100" s="48"/>
      <c r="TVG100" s="48"/>
      <c r="TVH100" s="48"/>
      <c r="TVI100" s="48"/>
      <c r="TVJ100" s="48"/>
      <c r="TVK100" s="48"/>
      <c r="TVL100" s="48"/>
      <c r="TVM100" s="48"/>
      <c r="TVN100" s="48"/>
      <c r="TVO100" s="48"/>
      <c r="TVP100" s="48"/>
      <c r="TVQ100" s="48"/>
      <c r="TVR100" s="48"/>
      <c r="TVS100" s="48"/>
      <c r="TVT100" s="48"/>
      <c r="TVU100" s="48"/>
      <c r="TVV100" s="48"/>
      <c r="TVW100" s="48"/>
      <c r="TVX100" s="48"/>
      <c r="TVY100" s="48"/>
      <c r="TVZ100" s="48"/>
      <c r="TWA100" s="48"/>
      <c r="TWB100" s="48"/>
      <c r="TWC100" s="48"/>
      <c r="TWD100" s="48"/>
      <c r="TWE100" s="48"/>
      <c r="TWF100" s="48"/>
      <c r="TWG100" s="48"/>
      <c r="TWH100" s="48"/>
      <c r="TWI100" s="48"/>
      <c r="TWJ100" s="48"/>
      <c r="TWK100" s="48"/>
      <c r="TWL100" s="48"/>
      <c r="TWM100" s="48"/>
      <c r="TWN100" s="48"/>
      <c r="TWO100" s="48"/>
      <c r="TWP100" s="48"/>
      <c r="TWQ100" s="48"/>
      <c r="TWR100" s="48"/>
      <c r="TWS100" s="48"/>
      <c r="TWT100" s="48"/>
      <c r="TWU100" s="48"/>
      <c r="TWV100" s="48"/>
      <c r="TWW100" s="48"/>
      <c r="TWX100" s="48"/>
      <c r="TWY100" s="48"/>
      <c r="TWZ100" s="48"/>
      <c r="TXA100" s="48"/>
      <c r="TXB100" s="48"/>
      <c r="TXC100" s="48"/>
      <c r="TXD100" s="48"/>
      <c r="TXE100" s="48"/>
      <c r="TXF100" s="48"/>
      <c r="TXG100" s="48"/>
      <c r="TXH100" s="48"/>
      <c r="TXI100" s="48"/>
      <c r="TXJ100" s="48"/>
      <c r="TXK100" s="48"/>
      <c r="TXL100" s="48"/>
      <c r="TXM100" s="48"/>
      <c r="TXN100" s="48"/>
      <c r="TXO100" s="48"/>
      <c r="TXP100" s="48"/>
      <c r="TXQ100" s="48"/>
      <c r="TXR100" s="48"/>
      <c r="TXS100" s="48"/>
      <c r="TXT100" s="48"/>
      <c r="TXU100" s="48"/>
      <c r="TXV100" s="48"/>
      <c r="TXW100" s="48"/>
      <c r="TXX100" s="48"/>
      <c r="TXY100" s="48"/>
      <c r="TXZ100" s="48"/>
      <c r="TYA100" s="48"/>
      <c r="TYB100" s="48"/>
      <c r="TYC100" s="48"/>
      <c r="TYD100" s="48"/>
      <c r="TYE100" s="48"/>
      <c r="TYF100" s="48"/>
      <c r="TYG100" s="48"/>
      <c r="TYH100" s="48"/>
      <c r="TYI100" s="48"/>
      <c r="TYJ100" s="48"/>
      <c r="TYK100" s="48"/>
      <c r="TYL100" s="48"/>
      <c r="TYM100" s="48"/>
      <c r="TYN100" s="48"/>
      <c r="TYO100" s="48"/>
      <c r="TYP100" s="48"/>
      <c r="TYQ100" s="48"/>
      <c r="TYR100" s="48"/>
      <c r="TYS100" s="48"/>
      <c r="TYT100" s="48"/>
      <c r="TYU100" s="48"/>
      <c r="TYV100" s="48"/>
      <c r="TYW100" s="48"/>
      <c r="TYX100" s="48"/>
      <c r="TYY100" s="48"/>
      <c r="TYZ100" s="48"/>
      <c r="TZA100" s="48"/>
      <c r="TZB100" s="48"/>
      <c r="TZC100" s="48"/>
      <c r="TZD100" s="48"/>
      <c r="TZE100" s="48"/>
      <c r="TZF100" s="48"/>
      <c r="TZG100" s="48"/>
      <c r="TZH100" s="48"/>
      <c r="TZI100" s="48"/>
      <c r="TZJ100" s="48"/>
      <c r="TZK100" s="48"/>
      <c r="TZL100" s="48"/>
      <c r="TZM100" s="48"/>
      <c r="TZN100" s="48"/>
      <c r="TZO100" s="48"/>
      <c r="TZP100" s="48"/>
      <c r="TZQ100" s="48"/>
      <c r="TZR100" s="48"/>
      <c r="TZS100" s="48"/>
      <c r="TZT100" s="48"/>
      <c r="TZU100" s="48"/>
      <c r="TZV100" s="48"/>
      <c r="TZW100" s="48"/>
      <c r="TZX100" s="48"/>
      <c r="TZY100" s="48"/>
      <c r="TZZ100" s="48"/>
      <c r="UAA100" s="48"/>
      <c r="UAB100" s="48"/>
      <c r="UAC100" s="48"/>
      <c r="UAD100" s="48"/>
      <c r="UAE100" s="48"/>
      <c r="UAF100" s="48"/>
      <c r="UAG100" s="48"/>
      <c r="UAH100" s="48"/>
      <c r="UAI100" s="48"/>
      <c r="UAJ100" s="48"/>
      <c r="UAK100" s="48"/>
      <c r="UAL100" s="48"/>
      <c r="UAM100" s="48"/>
      <c r="UAN100" s="48"/>
      <c r="UAO100" s="48"/>
      <c r="UAP100" s="48"/>
      <c r="UAQ100" s="48"/>
      <c r="UAR100" s="48"/>
      <c r="UAS100" s="48"/>
      <c r="UAT100" s="48"/>
      <c r="UAU100" s="48"/>
      <c r="UAV100" s="48"/>
      <c r="UAW100" s="48"/>
      <c r="UAX100" s="48"/>
      <c r="UAY100" s="48"/>
      <c r="UAZ100" s="48"/>
      <c r="UBA100" s="48"/>
      <c r="UBB100" s="48"/>
      <c r="UBC100" s="48"/>
      <c r="UBD100" s="48"/>
      <c r="UBE100" s="48"/>
      <c r="UBF100" s="48"/>
      <c r="UBG100" s="48"/>
      <c r="UBH100" s="48"/>
      <c r="UBI100" s="48"/>
      <c r="UBJ100" s="48"/>
      <c r="UBK100" s="48"/>
      <c r="UBL100" s="48"/>
      <c r="UBM100" s="48"/>
      <c r="UBN100" s="48"/>
      <c r="UBO100" s="48"/>
      <c r="UBP100" s="48"/>
      <c r="UBQ100" s="48"/>
      <c r="UBR100" s="48"/>
      <c r="UBS100" s="48"/>
      <c r="UBT100" s="48"/>
      <c r="UBU100" s="48"/>
      <c r="UBV100" s="48"/>
      <c r="UBW100" s="48"/>
      <c r="UBX100" s="48"/>
      <c r="UBY100" s="48"/>
      <c r="UBZ100" s="48"/>
      <c r="UCA100" s="48"/>
      <c r="UCB100" s="48"/>
      <c r="UCC100" s="48"/>
      <c r="UCD100" s="48"/>
      <c r="UCE100" s="48"/>
      <c r="UCF100" s="48"/>
      <c r="UCG100" s="48"/>
      <c r="UCH100" s="48"/>
      <c r="UCI100" s="48"/>
      <c r="UCJ100" s="48"/>
      <c r="UCK100" s="48"/>
      <c r="UCL100" s="48"/>
      <c r="UCM100" s="48"/>
      <c r="UCN100" s="48"/>
      <c r="UCO100" s="48"/>
      <c r="UCP100" s="48"/>
      <c r="UCQ100" s="48"/>
      <c r="UCR100" s="48"/>
      <c r="UCS100" s="48"/>
      <c r="UCT100" s="48"/>
      <c r="UCU100" s="48"/>
      <c r="UCV100" s="48"/>
      <c r="UCW100" s="48"/>
      <c r="UCX100" s="48"/>
      <c r="UCY100" s="48"/>
      <c r="UCZ100" s="48"/>
      <c r="UDA100" s="48"/>
      <c r="UDB100" s="48"/>
      <c r="UDC100" s="48"/>
      <c r="UDD100" s="48"/>
      <c r="UDE100" s="48"/>
      <c r="UDF100" s="48"/>
      <c r="UDG100" s="48"/>
      <c r="UDH100" s="48"/>
      <c r="UDI100" s="48"/>
      <c r="UDJ100" s="48"/>
      <c r="UDK100" s="48"/>
      <c r="UDL100" s="48"/>
      <c r="UDM100" s="48"/>
      <c r="UDN100" s="48"/>
      <c r="UDO100" s="48"/>
      <c r="UDP100" s="48"/>
      <c r="UDQ100" s="48"/>
      <c r="UDR100" s="48"/>
      <c r="UDS100" s="48"/>
      <c r="UDT100" s="48"/>
      <c r="UDU100" s="48"/>
      <c r="UDV100" s="48"/>
      <c r="UDW100" s="48"/>
      <c r="UDX100" s="48"/>
      <c r="UDY100" s="48"/>
      <c r="UDZ100" s="48"/>
      <c r="UEA100" s="48"/>
      <c r="UEB100" s="48"/>
      <c r="UEC100" s="48"/>
      <c r="UED100" s="48"/>
      <c r="UEE100" s="48"/>
      <c r="UEF100" s="48"/>
      <c r="UEG100" s="48"/>
      <c r="UEH100" s="48"/>
      <c r="UEI100" s="48"/>
      <c r="UEJ100" s="48"/>
      <c r="UEK100" s="48"/>
      <c r="UEL100" s="48"/>
      <c r="UEM100" s="48"/>
      <c r="UEN100" s="48"/>
      <c r="UEO100" s="48"/>
      <c r="UEP100" s="48"/>
      <c r="UEQ100" s="48"/>
      <c r="UER100" s="48"/>
      <c r="UES100" s="48"/>
      <c r="UET100" s="48"/>
      <c r="UEU100" s="48"/>
      <c r="UEV100" s="48"/>
      <c r="UEW100" s="48"/>
      <c r="UEX100" s="48"/>
      <c r="UEY100" s="48"/>
      <c r="UEZ100" s="48"/>
      <c r="UFA100" s="48"/>
      <c r="UFB100" s="48"/>
      <c r="UFC100" s="48"/>
      <c r="UFD100" s="48"/>
      <c r="UFE100" s="48"/>
      <c r="UFF100" s="48"/>
      <c r="UFG100" s="48"/>
      <c r="UFH100" s="48"/>
      <c r="UFI100" s="48"/>
      <c r="UFJ100" s="48"/>
      <c r="UFK100" s="48"/>
      <c r="UFL100" s="48"/>
      <c r="UFM100" s="48"/>
      <c r="UFN100" s="48"/>
      <c r="UFO100" s="48"/>
      <c r="UFP100" s="48"/>
      <c r="UFQ100" s="48"/>
      <c r="UFR100" s="48"/>
      <c r="UFS100" s="48"/>
      <c r="UFT100" s="48"/>
      <c r="UFU100" s="48"/>
      <c r="UFV100" s="48"/>
      <c r="UFW100" s="48"/>
      <c r="UFX100" s="48"/>
      <c r="UFY100" s="48"/>
      <c r="UFZ100" s="48"/>
      <c r="UGA100" s="48"/>
      <c r="UGB100" s="48"/>
      <c r="UGC100" s="48"/>
      <c r="UGD100" s="48"/>
      <c r="UGE100" s="48"/>
      <c r="UGF100" s="48"/>
      <c r="UGG100" s="48"/>
      <c r="UGH100" s="48"/>
      <c r="UGI100" s="48"/>
      <c r="UGJ100" s="48"/>
      <c r="UGK100" s="48"/>
      <c r="UGL100" s="48"/>
      <c r="UGM100" s="48"/>
      <c r="UGN100" s="48"/>
      <c r="UGO100" s="48"/>
      <c r="UGP100" s="48"/>
      <c r="UGQ100" s="48"/>
      <c r="UGR100" s="48"/>
      <c r="UGS100" s="48"/>
      <c r="UGT100" s="48"/>
      <c r="UGU100" s="48"/>
      <c r="UGV100" s="48"/>
      <c r="UGW100" s="48"/>
      <c r="UGX100" s="48"/>
      <c r="UGY100" s="48"/>
      <c r="UGZ100" s="48"/>
      <c r="UHA100" s="48"/>
      <c r="UHB100" s="48"/>
      <c r="UHC100" s="48"/>
      <c r="UHD100" s="48"/>
      <c r="UHE100" s="48"/>
      <c r="UHF100" s="48"/>
      <c r="UHG100" s="48"/>
      <c r="UHH100" s="48"/>
      <c r="UHI100" s="48"/>
      <c r="UHJ100" s="48"/>
      <c r="UHK100" s="48"/>
      <c r="UHL100" s="48"/>
      <c r="UHM100" s="48"/>
      <c r="UHN100" s="48"/>
      <c r="UHO100" s="48"/>
      <c r="UHP100" s="48"/>
      <c r="UHQ100" s="48"/>
      <c r="UHR100" s="48"/>
      <c r="UHS100" s="48"/>
      <c r="UHT100" s="48"/>
      <c r="UHU100" s="48"/>
      <c r="UHV100" s="48"/>
      <c r="UHW100" s="48"/>
      <c r="UHX100" s="48"/>
      <c r="UHY100" s="48"/>
      <c r="UHZ100" s="48"/>
      <c r="UIA100" s="48"/>
      <c r="UIB100" s="48"/>
      <c r="UIC100" s="48"/>
      <c r="UID100" s="48"/>
      <c r="UIE100" s="48"/>
      <c r="UIF100" s="48"/>
      <c r="UIG100" s="48"/>
      <c r="UIH100" s="48"/>
      <c r="UII100" s="48"/>
      <c r="UIJ100" s="48"/>
      <c r="UIK100" s="48"/>
      <c r="UIL100" s="48"/>
      <c r="UIM100" s="48"/>
      <c r="UIN100" s="48"/>
      <c r="UIO100" s="48"/>
      <c r="UIP100" s="48"/>
      <c r="UIQ100" s="48"/>
      <c r="UIR100" s="48"/>
      <c r="UIS100" s="48"/>
      <c r="UIT100" s="48"/>
      <c r="UIU100" s="48"/>
      <c r="UIV100" s="48"/>
      <c r="UIW100" s="48"/>
      <c r="UIX100" s="48"/>
      <c r="UIY100" s="48"/>
      <c r="UIZ100" s="48"/>
      <c r="UJA100" s="48"/>
      <c r="UJB100" s="48"/>
      <c r="UJC100" s="48"/>
      <c r="UJD100" s="48"/>
      <c r="UJE100" s="48"/>
      <c r="UJF100" s="48"/>
      <c r="UJG100" s="48"/>
      <c r="UJH100" s="48"/>
      <c r="UJI100" s="48"/>
      <c r="UJJ100" s="48"/>
      <c r="UJK100" s="48"/>
      <c r="UJL100" s="48"/>
      <c r="UJM100" s="48"/>
      <c r="UJN100" s="48"/>
      <c r="UJO100" s="48"/>
      <c r="UJP100" s="48"/>
      <c r="UJQ100" s="48"/>
      <c r="UJR100" s="48"/>
      <c r="UJS100" s="48"/>
      <c r="UJT100" s="48"/>
      <c r="UJU100" s="48"/>
      <c r="UJV100" s="48"/>
      <c r="UJW100" s="48"/>
      <c r="UJX100" s="48"/>
      <c r="UJY100" s="48"/>
      <c r="UJZ100" s="48"/>
      <c r="UKA100" s="48"/>
      <c r="UKB100" s="48"/>
      <c r="UKC100" s="48"/>
      <c r="UKD100" s="48"/>
      <c r="UKE100" s="48"/>
      <c r="UKF100" s="48"/>
      <c r="UKG100" s="48"/>
      <c r="UKH100" s="48"/>
      <c r="UKI100" s="48"/>
      <c r="UKJ100" s="48"/>
      <c r="UKK100" s="48"/>
      <c r="UKL100" s="48"/>
      <c r="UKM100" s="48"/>
      <c r="UKN100" s="48"/>
      <c r="UKO100" s="48"/>
      <c r="UKP100" s="48"/>
      <c r="UKQ100" s="48"/>
      <c r="UKR100" s="48"/>
      <c r="UKS100" s="48"/>
      <c r="UKT100" s="48"/>
      <c r="UKU100" s="48"/>
      <c r="UKV100" s="48"/>
      <c r="UKW100" s="48"/>
      <c r="UKX100" s="48"/>
      <c r="UKY100" s="48"/>
      <c r="UKZ100" s="48"/>
      <c r="ULA100" s="48"/>
      <c r="ULB100" s="48"/>
      <c r="ULC100" s="48"/>
      <c r="ULD100" s="48"/>
      <c r="ULE100" s="48"/>
      <c r="ULF100" s="48"/>
      <c r="ULG100" s="48"/>
      <c r="ULH100" s="48"/>
      <c r="ULI100" s="48"/>
      <c r="ULJ100" s="48"/>
      <c r="ULK100" s="48"/>
      <c r="ULL100" s="48"/>
      <c r="ULM100" s="48"/>
      <c r="ULN100" s="48"/>
      <c r="ULO100" s="48"/>
      <c r="ULP100" s="48"/>
      <c r="ULQ100" s="48"/>
      <c r="ULR100" s="48"/>
      <c r="ULS100" s="48"/>
      <c r="ULT100" s="48"/>
      <c r="ULU100" s="48"/>
      <c r="ULV100" s="48"/>
      <c r="ULW100" s="48"/>
      <c r="ULX100" s="48"/>
      <c r="ULY100" s="48"/>
      <c r="ULZ100" s="48"/>
      <c r="UMA100" s="48"/>
      <c r="UMB100" s="48"/>
      <c r="UMC100" s="48"/>
      <c r="UMD100" s="48"/>
      <c r="UME100" s="48"/>
      <c r="UMF100" s="48"/>
      <c r="UMG100" s="48"/>
      <c r="UMH100" s="48"/>
      <c r="UMI100" s="48"/>
      <c r="UMJ100" s="48"/>
      <c r="UMK100" s="48"/>
      <c r="UML100" s="48"/>
      <c r="UMM100" s="48"/>
      <c r="UMN100" s="48"/>
      <c r="UMO100" s="48"/>
      <c r="UMP100" s="48"/>
      <c r="UMQ100" s="48"/>
      <c r="UMR100" s="48"/>
      <c r="UMS100" s="48"/>
      <c r="UMT100" s="48"/>
      <c r="UMU100" s="48"/>
      <c r="UMV100" s="48"/>
      <c r="UMW100" s="48"/>
      <c r="UMX100" s="48"/>
      <c r="UMY100" s="48"/>
      <c r="UMZ100" s="48"/>
      <c r="UNA100" s="48"/>
      <c r="UNB100" s="48"/>
      <c r="UNC100" s="48"/>
      <c r="UND100" s="48"/>
      <c r="UNE100" s="48"/>
      <c r="UNF100" s="48"/>
      <c r="UNG100" s="48"/>
      <c r="UNH100" s="48"/>
      <c r="UNI100" s="48"/>
      <c r="UNJ100" s="48"/>
      <c r="UNK100" s="48"/>
      <c r="UNL100" s="48"/>
      <c r="UNM100" s="48"/>
      <c r="UNN100" s="48"/>
      <c r="UNO100" s="48"/>
      <c r="UNP100" s="48"/>
      <c r="UNQ100" s="48"/>
      <c r="UNR100" s="48"/>
      <c r="UNS100" s="48"/>
      <c r="UNT100" s="48"/>
      <c r="UNU100" s="48"/>
      <c r="UNV100" s="48"/>
      <c r="UNW100" s="48"/>
      <c r="UNX100" s="48"/>
      <c r="UNY100" s="48"/>
      <c r="UNZ100" s="48"/>
      <c r="UOA100" s="48"/>
      <c r="UOB100" s="48"/>
      <c r="UOC100" s="48"/>
      <c r="UOD100" s="48"/>
      <c r="UOE100" s="48"/>
      <c r="UOF100" s="48"/>
      <c r="UOG100" s="48"/>
      <c r="UOH100" s="48"/>
      <c r="UOI100" s="48"/>
      <c r="UOJ100" s="48"/>
      <c r="UOK100" s="48"/>
      <c r="UOL100" s="48"/>
      <c r="UOM100" s="48"/>
      <c r="UON100" s="48"/>
      <c r="UOO100" s="48"/>
      <c r="UOP100" s="48"/>
      <c r="UOQ100" s="48"/>
      <c r="UOR100" s="48"/>
      <c r="UOS100" s="48"/>
      <c r="UOT100" s="48"/>
      <c r="UOU100" s="48"/>
      <c r="UOV100" s="48"/>
      <c r="UOW100" s="48"/>
      <c r="UOX100" s="48"/>
      <c r="UOY100" s="48"/>
      <c r="UOZ100" s="48"/>
      <c r="UPA100" s="48"/>
      <c r="UPB100" s="48"/>
      <c r="UPC100" s="48"/>
      <c r="UPD100" s="48"/>
      <c r="UPE100" s="48"/>
      <c r="UPF100" s="48"/>
      <c r="UPG100" s="48"/>
      <c r="UPH100" s="48"/>
      <c r="UPI100" s="48"/>
      <c r="UPJ100" s="48"/>
      <c r="UPK100" s="48"/>
      <c r="UPL100" s="48"/>
      <c r="UPM100" s="48"/>
      <c r="UPN100" s="48"/>
      <c r="UPO100" s="48"/>
      <c r="UPP100" s="48"/>
      <c r="UPQ100" s="48"/>
      <c r="UPR100" s="48"/>
      <c r="UPS100" s="48"/>
      <c r="UPT100" s="48"/>
      <c r="UPU100" s="48"/>
      <c r="UPV100" s="48"/>
      <c r="UPW100" s="48"/>
      <c r="UPX100" s="48"/>
      <c r="UPY100" s="48"/>
      <c r="UPZ100" s="48"/>
      <c r="UQA100" s="48"/>
      <c r="UQB100" s="48"/>
      <c r="UQC100" s="48"/>
      <c r="UQD100" s="48"/>
      <c r="UQE100" s="48"/>
      <c r="UQF100" s="48"/>
      <c r="UQG100" s="48"/>
      <c r="UQH100" s="48"/>
      <c r="UQI100" s="48"/>
      <c r="UQJ100" s="48"/>
      <c r="UQK100" s="48"/>
      <c r="UQL100" s="48"/>
      <c r="UQM100" s="48"/>
      <c r="UQN100" s="48"/>
      <c r="UQO100" s="48"/>
      <c r="UQP100" s="48"/>
      <c r="UQQ100" s="48"/>
      <c r="UQR100" s="48"/>
      <c r="UQS100" s="48"/>
      <c r="UQT100" s="48"/>
      <c r="UQU100" s="48"/>
      <c r="UQV100" s="48"/>
      <c r="UQW100" s="48"/>
      <c r="UQX100" s="48"/>
      <c r="UQY100" s="48"/>
      <c r="UQZ100" s="48"/>
      <c r="URA100" s="48"/>
      <c r="URB100" s="48"/>
      <c r="URC100" s="48"/>
      <c r="URD100" s="48"/>
      <c r="URE100" s="48"/>
      <c r="URF100" s="48"/>
      <c r="URG100" s="48"/>
      <c r="URH100" s="48"/>
      <c r="URI100" s="48"/>
      <c r="URJ100" s="48"/>
      <c r="URK100" s="48"/>
      <c r="URL100" s="48"/>
      <c r="URM100" s="48"/>
      <c r="URN100" s="48"/>
      <c r="URO100" s="48"/>
      <c r="URP100" s="48"/>
      <c r="URQ100" s="48"/>
      <c r="URR100" s="48"/>
      <c r="URS100" s="48"/>
      <c r="URT100" s="48"/>
      <c r="URU100" s="48"/>
      <c r="URV100" s="48"/>
      <c r="URW100" s="48"/>
      <c r="URX100" s="48"/>
      <c r="URY100" s="48"/>
      <c r="URZ100" s="48"/>
      <c r="USA100" s="48"/>
      <c r="USB100" s="48"/>
      <c r="USC100" s="48"/>
      <c r="USD100" s="48"/>
      <c r="USE100" s="48"/>
      <c r="USF100" s="48"/>
      <c r="USG100" s="48"/>
      <c r="USH100" s="48"/>
      <c r="USI100" s="48"/>
      <c r="USJ100" s="48"/>
      <c r="USK100" s="48"/>
      <c r="USL100" s="48"/>
      <c r="USM100" s="48"/>
      <c r="USN100" s="48"/>
      <c r="USO100" s="48"/>
      <c r="USP100" s="48"/>
      <c r="USQ100" s="48"/>
      <c r="USR100" s="48"/>
      <c r="USS100" s="48"/>
      <c r="UST100" s="48"/>
      <c r="USU100" s="48"/>
      <c r="USV100" s="48"/>
      <c r="USW100" s="48"/>
      <c r="USX100" s="48"/>
      <c r="USY100" s="48"/>
      <c r="USZ100" s="48"/>
      <c r="UTA100" s="48"/>
      <c r="UTB100" s="48"/>
      <c r="UTC100" s="48"/>
      <c r="UTD100" s="48"/>
      <c r="UTE100" s="48"/>
      <c r="UTF100" s="48"/>
      <c r="UTG100" s="48"/>
      <c r="UTH100" s="48"/>
      <c r="UTI100" s="48"/>
      <c r="UTJ100" s="48"/>
      <c r="UTK100" s="48"/>
      <c r="UTL100" s="48"/>
      <c r="UTM100" s="48"/>
      <c r="UTN100" s="48"/>
      <c r="UTO100" s="48"/>
      <c r="UTP100" s="48"/>
      <c r="UTQ100" s="48"/>
      <c r="UTR100" s="48"/>
      <c r="UTS100" s="48"/>
      <c r="UTT100" s="48"/>
      <c r="UTU100" s="48"/>
      <c r="UTV100" s="48"/>
      <c r="UTW100" s="48"/>
      <c r="UTX100" s="48"/>
      <c r="UTY100" s="48"/>
      <c r="UTZ100" s="48"/>
      <c r="UUA100" s="48"/>
      <c r="UUB100" s="48"/>
      <c r="UUC100" s="48"/>
      <c r="UUD100" s="48"/>
      <c r="UUE100" s="48"/>
      <c r="UUF100" s="48"/>
      <c r="UUG100" s="48"/>
      <c r="UUH100" s="48"/>
      <c r="UUI100" s="48"/>
      <c r="UUJ100" s="48"/>
      <c r="UUK100" s="48"/>
      <c r="UUL100" s="48"/>
      <c r="UUM100" s="48"/>
      <c r="UUN100" s="48"/>
      <c r="UUO100" s="48"/>
      <c r="UUP100" s="48"/>
      <c r="UUQ100" s="48"/>
      <c r="UUR100" s="48"/>
      <c r="UUS100" s="48"/>
      <c r="UUT100" s="48"/>
      <c r="UUU100" s="48"/>
      <c r="UUV100" s="48"/>
      <c r="UUW100" s="48"/>
      <c r="UUX100" s="48"/>
      <c r="UUY100" s="48"/>
      <c r="UUZ100" s="48"/>
      <c r="UVA100" s="48"/>
      <c r="UVB100" s="48"/>
      <c r="UVC100" s="48"/>
      <c r="UVD100" s="48"/>
      <c r="UVE100" s="48"/>
      <c r="UVF100" s="48"/>
      <c r="UVG100" s="48"/>
      <c r="UVH100" s="48"/>
      <c r="UVI100" s="48"/>
      <c r="UVJ100" s="48"/>
      <c r="UVK100" s="48"/>
      <c r="UVL100" s="48"/>
      <c r="UVM100" s="48"/>
      <c r="UVN100" s="48"/>
      <c r="UVO100" s="48"/>
      <c r="UVP100" s="48"/>
      <c r="UVQ100" s="48"/>
      <c r="UVR100" s="48"/>
      <c r="UVS100" s="48"/>
      <c r="UVT100" s="48"/>
      <c r="UVU100" s="48"/>
      <c r="UVV100" s="48"/>
      <c r="UVW100" s="48"/>
      <c r="UVX100" s="48"/>
      <c r="UVY100" s="48"/>
      <c r="UVZ100" s="48"/>
      <c r="UWA100" s="48"/>
      <c r="UWB100" s="48"/>
      <c r="UWC100" s="48"/>
      <c r="UWD100" s="48"/>
      <c r="UWE100" s="48"/>
      <c r="UWF100" s="48"/>
      <c r="UWG100" s="48"/>
      <c r="UWH100" s="48"/>
      <c r="UWI100" s="48"/>
      <c r="UWJ100" s="48"/>
      <c r="UWK100" s="48"/>
      <c r="UWL100" s="48"/>
      <c r="UWM100" s="48"/>
      <c r="UWN100" s="48"/>
      <c r="UWO100" s="48"/>
      <c r="UWP100" s="48"/>
      <c r="UWQ100" s="48"/>
      <c r="UWR100" s="48"/>
      <c r="UWS100" s="48"/>
      <c r="UWT100" s="48"/>
      <c r="UWU100" s="48"/>
      <c r="UWV100" s="48"/>
      <c r="UWW100" s="48"/>
      <c r="UWX100" s="48"/>
      <c r="UWY100" s="48"/>
      <c r="UWZ100" s="48"/>
      <c r="UXA100" s="48"/>
      <c r="UXB100" s="48"/>
      <c r="UXC100" s="48"/>
      <c r="UXD100" s="48"/>
      <c r="UXE100" s="48"/>
      <c r="UXF100" s="48"/>
      <c r="UXG100" s="48"/>
      <c r="UXH100" s="48"/>
      <c r="UXI100" s="48"/>
      <c r="UXJ100" s="48"/>
      <c r="UXK100" s="48"/>
      <c r="UXL100" s="48"/>
      <c r="UXM100" s="48"/>
      <c r="UXN100" s="48"/>
      <c r="UXO100" s="48"/>
      <c r="UXP100" s="48"/>
      <c r="UXQ100" s="48"/>
      <c r="UXR100" s="48"/>
      <c r="UXS100" s="48"/>
      <c r="UXT100" s="48"/>
      <c r="UXU100" s="48"/>
      <c r="UXV100" s="48"/>
      <c r="UXW100" s="48"/>
      <c r="UXX100" s="48"/>
      <c r="UXY100" s="48"/>
      <c r="UXZ100" s="48"/>
      <c r="UYA100" s="48"/>
      <c r="UYB100" s="48"/>
      <c r="UYC100" s="48"/>
      <c r="UYD100" s="48"/>
      <c r="UYE100" s="48"/>
      <c r="UYF100" s="48"/>
      <c r="UYG100" s="48"/>
      <c r="UYH100" s="48"/>
      <c r="UYI100" s="48"/>
      <c r="UYJ100" s="48"/>
      <c r="UYK100" s="48"/>
      <c r="UYL100" s="48"/>
      <c r="UYM100" s="48"/>
      <c r="UYN100" s="48"/>
      <c r="UYO100" s="48"/>
      <c r="UYP100" s="48"/>
      <c r="UYQ100" s="48"/>
      <c r="UYR100" s="48"/>
      <c r="UYS100" s="48"/>
      <c r="UYT100" s="48"/>
      <c r="UYU100" s="48"/>
      <c r="UYV100" s="48"/>
      <c r="UYW100" s="48"/>
      <c r="UYX100" s="48"/>
      <c r="UYY100" s="48"/>
      <c r="UYZ100" s="48"/>
      <c r="UZA100" s="48"/>
      <c r="UZB100" s="48"/>
      <c r="UZC100" s="48"/>
      <c r="UZD100" s="48"/>
      <c r="UZE100" s="48"/>
      <c r="UZF100" s="48"/>
      <c r="UZG100" s="48"/>
      <c r="UZH100" s="48"/>
      <c r="UZI100" s="48"/>
      <c r="UZJ100" s="48"/>
      <c r="UZK100" s="48"/>
      <c r="UZL100" s="48"/>
      <c r="UZM100" s="48"/>
      <c r="UZN100" s="48"/>
      <c r="UZO100" s="48"/>
      <c r="UZP100" s="48"/>
      <c r="UZQ100" s="48"/>
      <c r="UZR100" s="48"/>
      <c r="UZS100" s="48"/>
      <c r="UZT100" s="48"/>
      <c r="UZU100" s="48"/>
      <c r="UZV100" s="48"/>
      <c r="UZW100" s="48"/>
      <c r="UZX100" s="48"/>
      <c r="UZY100" s="48"/>
      <c r="UZZ100" s="48"/>
      <c r="VAA100" s="48"/>
      <c r="VAB100" s="48"/>
      <c r="VAC100" s="48"/>
      <c r="VAD100" s="48"/>
      <c r="VAE100" s="48"/>
      <c r="VAF100" s="48"/>
      <c r="VAG100" s="48"/>
      <c r="VAH100" s="48"/>
      <c r="VAI100" s="48"/>
      <c r="VAJ100" s="48"/>
      <c r="VAK100" s="48"/>
      <c r="VAL100" s="48"/>
      <c r="VAM100" s="48"/>
      <c r="VAN100" s="48"/>
      <c r="VAO100" s="48"/>
      <c r="VAP100" s="48"/>
      <c r="VAQ100" s="48"/>
      <c r="VAR100" s="48"/>
      <c r="VAS100" s="48"/>
      <c r="VAT100" s="48"/>
      <c r="VAU100" s="48"/>
      <c r="VAV100" s="48"/>
      <c r="VAW100" s="48"/>
      <c r="VAX100" s="48"/>
      <c r="VAY100" s="48"/>
      <c r="VAZ100" s="48"/>
      <c r="VBA100" s="48"/>
      <c r="VBB100" s="48"/>
      <c r="VBC100" s="48"/>
      <c r="VBD100" s="48"/>
      <c r="VBE100" s="48"/>
      <c r="VBF100" s="48"/>
      <c r="VBG100" s="48"/>
      <c r="VBH100" s="48"/>
      <c r="VBI100" s="48"/>
      <c r="VBJ100" s="48"/>
      <c r="VBK100" s="48"/>
      <c r="VBL100" s="48"/>
      <c r="VBM100" s="48"/>
      <c r="VBN100" s="48"/>
      <c r="VBO100" s="48"/>
      <c r="VBP100" s="48"/>
      <c r="VBQ100" s="48"/>
      <c r="VBR100" s="48"/>
      <c r="VBS100" s="48"/>
      <c r="VBT100" s="48"/>
      <c r="VBU100" s="48"/>
      <c r="VBV100" s="48"/>
      <c r="VBW100" s="48"/>
      <c r="VBX100" s="48"/>
      <c r="VBY100" s="48"/>
      <c r="VBZ100" s="48"/>
      <c r="VCA100" s="48"/>
      <c r="VCB100" s="48"/>
      <c r="VCC100" s="48"/>
      <c r="VCD100" s="48"/>
      <c r="VCE100" s="48"/>
      <c r="VCF100" s="48"/>
      <c r="VCG100" s="48"/>
      <c r="VCH100" s="48"/>
      <c r="VCI100" s="48"/>
      <c r="VCJ100" s="48"/>
      <c r="VCK100" s="48"/>
      <c r="VCL100" s="48"/>
      <c r="VCM100" s="48"/>
      <c r="VCN100" s="48"/>
      <c r="VCO100" s="48"/>
      <c r="VCP100" s="48"/>
      <c r="VCQ100" s="48"/>
      <c r="VCR100" s="48"/>
      <c r="VCS100" s="48"/>
      <c r="VCT100" s="48"/>
      <c r="VCU100" s="48"/>
      <c r="VCV100" s="48"/>
      <c r="VCW100" s="48"/>
      <c r="VCX100" s="48"/>
      <c r="VCY100" s="48"/>
      <c r="VCZ100" s="48"/>
      <c r="VDA100" s="48"/>
      <c r="VDB100" s="48"/>
      <c r="VDC100" s="48"/>
      <c r="VDD100" s="48"/>
      <c r="VDE100" s="48"/>
      <c r="VDF100" s="48"/>
      <c r="VDG100" s="48"/>
      <c r="VDH100" s="48"/>
      <c r="VDI100" s="48"/>
      <c r="VDJ100" s="48"/>
      <c r="VDK100" s="48"/>
      <c r="VDL100" s="48"/>
      <c r="VDM100" s="48"/>
      <c r="VDN100" s="48"/>
      <c r="VDO100" s="48"/>
      <c r="VDP100" s="48"/>
      <c r="VDQ100" s="48"/>
      <c r="VDR100" s="48"/>
      <c r="VDS100" s="48"/>
      <c r="VDT100" s="48"/>
      <c r="VDU100" s="48"/>
      <c r="VDV100" s="48"/>
      <c r="VDW100" s="48"/>
      <c r="VDX100" s="48"/>
      <c r="VDY100" s="48"/>
      <c r="VDZ100" s="48"/>
      <c r="VEA100" s="48"/>
      <c r="VEB100" s="48"/>
      <c r="VEC100" s="48"/>
      <c r="VED100" s="48"/>
      <c r="VEE100" s="48"/>
      <c r="VEF100" s="48"/>
      <c r="VEG100" s="48"/>
      <c r="VEH100" s="48"/>
      <c r="VEI100" s="48"/>
      <c r="VEJ100" s="48"/>
      <c r="VEK100" s="48"/>
      <c r="VEL100" s="48"/>
      <c r="VEM100" s="48"/>
      <c r="VEN100" s="48"/>
      <c r="VEO100" s="48"/>
      <c r="VEP100" s="48"/>
      <c r="VEQ100" s="48"/>
      <c r="VER100" s="48"/>
      <c r="VES100" s="48"/>
      <c r="VET100" s="48"/>
      <c r="VEU100" s="48"/>
      <c r="VEV100" s="48"/>
      <c r="VEW100" s="48"/>
      <c r="VEX100" s="48"/>
      <c r="VEY100" s="48"/>
      <c r="VEZ100" s="48"/>
      <c r="VFA100" s="48"/>
      <c r="VFB100" s="48"/>
      <c r="VFC100" s="48"/>
      <c r="VFD100" s="48"/>
      <c r="VFE100" s="48"/>
      <c r="VFF100" s="48"/>
      <c r="VFG100" s="48"/>
      <c r="VFH100" s="48"/>
      <c r="VFI100" s="48"/>
      <c r="VFJ100" s="48"/>
      <c r="VFK100" s="48"/>
      <c r="VFL100" s="48"/>
      <c r="VFM100" s="48"/>
      <c r="VFN100" s="48"/>
      <c r="VFO100" s="48"/>
      <c r="VFP100" s="48"/>
      <c r="VFQ100" s="48"/>
      <c r="VFR100" s="48"/>
      <c r="VFS100" s="48"/>
      <c r="VFT100" s="48"/>
      <c r="VFU100" s="48"/>
      <c r="VFV100" s="48"/>
      <c r="VFW100" s="48"/>
      <c r="VFX100" s="48"/>
      <c r="VFY100" s="48"/>
      <c r="VFZ100" s="48"/>
      <c r="VGA100" s="48"/>
      <c r="VGB100" s="48"/>
      <c r="VGC100" s="48"/>
      <c r="VGD100" s="48"/>
      <c r="VGE100" s="48"/>
      <c r="VGF100" s="48"/>
      <c r="VGG100" s="48"/>
      <c r="VGH100" s="48"/>
      <c r="VGI100" s="48"/>
      <c r="VGJ100" s="48"/>
      <c r="VGK100" s="48"/>
      <c r="VGL100" s="48"/>
      <c r="VGM100" s="48"/>
      <c r="VGN100" s="48"/>
      <c r="VGO100" s="48"/>
      <c r="VGP100" s="48"/>
      <c r="VGQ100" s="48"/>
      <c r="VGR100" s="48"/>
      <c r="VGS100" s="48"/>
      <c r="VGT100" s="48"/>
      <c r="VGU100" s="48"/>
      <c r="VGV100" s="48"/>
      <c r="VGW100" s="48"/>
      <c r="VGX100" s="48"/>
      <c r="VGY100" s="48"/>
      <c r="VGZ100" s="48"/>
      <c r="VHA100" s="48"/>
      <c r="VHB100" s="48"/>
      <c r="VHC100" s="48"/>
      <c r="VHD100" s="48"/>
      <c r="VHE100" s="48"/>
      <c r="VHF100" s="48"/>
      <c r="VHG100" s="48"/>
      <c r="VHH100" s="48"/>
      <c r="VHI100" s="48"/>
      <c r="VHJ100" s="48"/>
      <c r="VHK100" s="48"/>
      <c r="VHL100" s="48"/>
      <c r="VHM100" s="48"/>
      <c r="VHN100" s="48"/>
      <c r="VHO100" s="48"/>
      <c r="VHP100" s="48"/>
      <c r="VHQ100" s="48"/>
      <c r="VHR100" s="48"/>
      <c r="VHS100" s="48"/>
      <c r="VHT100" s="48"/>
      <c r="VHU100" s="48"/>
      <c r="VHV100" s="48"/>
      <c r="VHW100" s="48"/>
      <c r="VHX100" s="48"/>
      <c r="VHY100" s="48"/>
      <c r="VHZ100" s="48"/>
      <c r="VIA100" s="48"/>
      <c r="VIB100" s="48"/>
      <c r="VIC100" s="48"/>
      <c r="VID100" s="48"/>
      <c r="VIE100" s="48"/>
      <c r="VIF100" s="48"/>
      <c r="VIG100" s="48"/>
      <c r="VIH100" s="48"/>
      <c r="VII100" s="48"/>
      <c r="VIJ100" s="48"/>
      <c r="VIK100" s="48"/>
      <c r="VIL100" s="48"/>
      <c r="VIM100" s="48"/>
      <c r="VIN100" s="48"/>
      <c r="VIO100" s="48"/>
      <c r="VIP100" s="48"/>
      <c r="VIQ100" s="48"/>
      <c r="VIR100" s="48"/>
      <c r="VIS100" s="48"/>
      <c r="VIT100" s="48"/>
      <c r="VIU100" s="48"/>
      <c r="VIV100" s="48"/>
      <c r="VIW100" s="48"/>
      <c r="VIX100" s="48"/>
      <c r="VIY100" s="48"/>
      <c r="VIZ100" s="48"/>
      <c r="VJA100" s="48"/>
      <c r="VJB100" s="48"/>
      <c r="VJC100" s="48"/>
      <c r="VJD100" s="48"/>
      <c r="VJE100" s="48"/>
      <c r="VJF100" s="48"/>
      <c r="VJG100" s="48"/>
      <c r="VJH100" s="48"/>
      <c r="VJI100" s="48"/>
      <c r="VJJ100" s="48"/>
      <c r="VJK100" s="48"/>
      <c r="VJL100" s="48"/>
      <c r="VJM100" s="48"/>
      <c r="VJN100" s="48"/>
      <c r="VJO100" s="48"/>
      <c r="VJP100" s="48"/>
      <c r="VJQ100" s="48"/>
      <c r="VJR100" s="48"/>
      <c r="VJS100" s="48"/>
      <c r="VJT100" s="48"/>
      <c r="VJU100" s="48"/>
      <c r="VJV100" s="48"/>
      <c r="VJW100" s="48"/>
      <c r="VJX100" s="48"/>
      <c r="VJY100" s="48"/>
      <c r="VJZ100" s="48"/>
      <c r="VKA100" s="48"/>
      <c r="VKB100" s="48"/>
      <c r="VKC100" s="48"/>
      <c r="VKD100" s="48"/>
      <c r="VKE100" s="48"/>
      <c r="VKF100" s="48"/>
      <c r="VKG100" s="48"/>
      <c r="VKH100" s="48"/>
      <c r="VKI100" s="48"/>
      <c r="VKJ100" s="48"/>
      <c r="VKK100" s="48"/>
      <c r="VKL100" s="48"/>
      <c r="VKM100" s="48"/>
      <c r="VKN100" s="48"/>
      <c r="VKO100" s="48"/>
      <c r="VKP100" s="48"/>
      <c r="VKQ100" s="48"/>
      <c r="VKR100" s="48"/>
      <c r="VKS100" s="48"/>
      <c r="VKT100" s="48"/>
      <c r="VKU100" s="48"/>
      <c r="VKV100" s="48"/>
      <c r="VKW100" s="48"/>
      <c r="VKX100" s="48"/>
      <c r="VKY100" s="48"/>
      <c r="VKZ100" s="48"/>
      <c r="VLA100" s="48"/>
      <c r="VLB100" s="48"/>
      <c r="VLC100" s="48"/>
      <c r="VLD100" s="48"/>
      <c r="VLE100" s="48"/>
      <c r="VLF100" s="48"/>
      <c r="VLG100" s="48"/>
      <c r="VLH100" s="48"/>
      <c r="VLI100" s="48"/>
      <c r="VLJ100" s="48"/>
      <c r="VLK100" s="48"/>
      <c r="VLL100" s="48"/>
      <c r="VLM100" s="48"/>
      <c r="VLN100" s="48"/>
      <c r="VLO100" s="48"/>
      <c r="VLP100" s="48"/>
      <c r="VLQ100" s="48"/>
      <c r="VLR100" s="48"/>
      <c r="VLS100" s="48"/>
      <c r="VLT100" s="48"/>
      <c r="VLU100" s="48"/>
      <c r="VLV100" s="48"/>
      <c r="VLW100" s="48"/>
      <c r="VLX100" s="48"/>
      <c r="VLY100" s="48"/>
      <c r="VLZ100" s="48"/>
      <c r="VMA100" s="48"/>
      <c r="VMB100" s="48"/>
      <c r="VMC100" s="48"/>
      <c r="VMD100" s="48"/>
      <c r="VME100" s="48"/>
      <c r="VMF100" s="48"/>
      <c r="VMG100" s="48"/>
      <c r="VMH100" s="48"/>
      <c r="VMI100" s="48"/>
      <c r="VMJ100" s="48"/>
      <c r="VMK100" s="48"/>
      <c r="VML100" s="48"/>
      <c r="VMM100" s="48"/>
      <c r="VMN100" s="48"/>
      <c r="VMO100" s="48"/>
      <c r="VMP100" s="48"/>
      <c r="VMQ100" s="48"/>
      <c r="VMR100" s="48"/>
      <c r="VMS100" s="48"/>
      <c r="VMT100" s="48"/>
      <c r="VMU100" s="48"/>
      <c r="VMV100" s="48"/>
      <c r="VMW100" s="48"/>
      <c r="VMX100" s="48"/>
      <c r="VMY100" s="48"/>
      <c r="VMZ100" s="48"/>
      <c r="VNA100" s="48"/>
      <c r="VNB100" s="48"/>
      <c r="VNC100" s="48"/>
      <c r="VND100" s="48"/>
      <c r="VNE100" s="48"/>
      <c r="VNF100" s="48"/>
      <c r="VNG100" s="48"/>
      <c r="VNH100" s="48"/>
      <c r="VNI100" s="48"/>
      <c r="VNJ100" s="48"/>
      <c r="VNK100" s="48"/>
      <c r="VNL100" s="48"/>
      <c r="VNM100" s="48"/>
      <c r="VNN100" s="48"/>
      <c r="VNO100" s="48"/>
      <c r="VNP100" s="48"/>
      <c r="VNQ100" s="48"/>
      <c r="VNR100" s="48"/>
      <c r="VNS100" s="48"/>
      <c r="VNT100" s="48"/>
      <c r="VNU100" s="48"/>
      <c r="VNV100" s="48"/>
      <c r="VNW100" s="48"/>
      <c r="VNX100" s="48"/>
      <c r="VNY100" s="48"/>
      <c r="VNZ100" s="48"/>
      <c r="VOA100" s="48"/>
      <c r="VOB100" s="48"/>
      <c r="VOC100" s="48"/>
      <c r="VOD100" s="48"/>
      <c r="VOE100" s="48"/>
      <c r="VOF100" s="48"/>
      <c r="VOG100" s="48"/>
      <c r="VOH100" s="48"/>
      <c r="VOI100" s="48"/>
      <c r="VOJ100" s="48"/>
      <c r="VOK100" s="48"/>
      <c r="VOL100" s="48"/>
      <c r="VOM100" s="48"/>
      <c r="VON100" s="48"/>
      <c r="VOO100" s="48"/>
      <c r="VOP100" s="48"/>
      <c r="VOQ100" s="48"/>
      <c r="VOR100" s="48"/>
      <c r="VOS100" s="48"/>
      <c r="VOT100" s="48"/>
      <c r="VOU100" s="48"/>
      <c r="VOV100" s="48"/>
      <c r="VOW100" s="48"/>
      <c r="VOX100" s="48"/>
      <c r="VOY100" s="48"/>
      <c r="VOZ100" s="48"/>
      <c r="VPA100" s="48"/>
      <c r="VPB100" s="48"/>
      <c r="VPC100" s="48"/>
      <c r="VPD100" s="48"/>
      <c r="VPE100" s="48"/>
      <c r="VPF100" s="48"/>
      <c r="VPG100" s="48"/>
      <c r="VPH100" s="48"/>
      <c r="VPI100" s="48"/>
      <c r="VPJ100" s="48"/>
      <c r="VPK100" s="48"/>
      <c r="VPL100" s="48"/>
      <c r="VPM100" s="48"/>
      <c r="VPN100" s="48"/>
      <c r="VPO100" s="48"/>
      <c r="VPP100" s="48"/>
      <c r="VPQ100" s="48"/>
      <c r="VPR100" s="48"/>
      <c r="VPS100" s="48"/>
      <c r="VPT100" s="48"/>
      <c r="VPU100" s="48"/>
      <c r="VPV100" s="48"/>
      <c r="VPW100" s="48"/>
      <c r="VPX100" s="48"/>
      <c r="VPY100" s="48"/>
      <c r="VPZ100" s="48"/>
      <c r="VQA100" s="48"/>
      <c r="VQB100" s="48"/>
      <c r="VQC100" s="48"/>
      <c r="VQD100" s="48"/>
      <c r="VQE100" s="48"/>
      <c r="VQF100" s="48"/>
      <c r="VQG100" s="48"/>
      <c r="VQH100" s="48"/>
      <c r="VQI100" s="48"/>
      <c r="VQJ100" s="48"/>
      <c r="VQK100" s="48"/>
      <c r="VQL100" s="48"/>
      <c r="VQM100" s="48"/>
      <c r="VQN100" s="48"/>
      <c r="VQO100" s="48"/>
      <c r="VQP100" s="48"/>
      <c r="VQQ100" s="48"/>
      <c r="VQR100" s="48"/>
      <c r="VQS100" s="48"/>
      <c r="VQT100" s="48"/>
      <c r="VQU100" s="48"/>
      <c r="VQV100" s="48"/>
      <c r="VQW100" s="48"/>
      <c r="VQX100" s="48"/>
      <c r="VQY100" s="48"/>
      <c r="VQZ100" s="48"/>
      <c r="VRA100" s="48"/>
      <c r="VRB100" s="48"/>
      <c r="VRC100" s="48"/>
      <c r="VRD100" s="48"/>
      <c r="VRE100" s="48"/>
      <c r="VRF100" s="48"/>
      <c r="VRG100" s="48"/>
      <c r="VRH100" s="48"/>
      <c r="VRI100" s="48"/>
      <c r="VRJ100" s="48"/>
      <c r="VRK100" s="48"/>
      <c r="VRL100" s="48"/>
      <c r="VRM100" s="48"/>
      <c r="VRN100" s="48"/>
      <c r="VRO100" s="48"/>
      <c r="VRP100" s="48"/>
      <c r="VRQ100" s="48"/>
      <c r="VRR100" s="48"/>
      <c r="VRS100" s="48"/>
      <c r="VRT100" s="48"/>
      <c r="VRU100" s="48"/>
      <c r="VRV100" s="48"/>
      <c r="VRW100" s="48"/>
      <c r="VRX100" s="48"/>
      <c r="VRY100" s="48"/>
      <c r="VRZ100" s="48"/>
      <c r="VSA100" s="48"/>
      <c r="VSB100" s="48"/>
      <c r="VSC100" s="48"/>
      <c r="VSD100" s="48"/>
      <c r="VSE100" s="48"/>
      <c r="VSF100" s="48"/>
      <c r="VSG100" s="48"/>
      <c r="VSH100" s="48"/>
      <c r="VSI100" s="48"/>
      <c r="VSJ100" s="48"/>
      <c r="VSK100" s="48"/>
      <c r="VSL100" s="48"/>
      <c r="VSM100" s="48"/>
      <c r="VSN100" s="48"/>
      <c r="VSO100" s="48"/>
      <c r="VSP100" s="48"/>
      <c r="VSQ100" s="48"/>
      <c r="VSR100" s="48"/>
      <c r="VSS100" s="48"/>
      <c r="VST100" s="48"/>
      <c r="VSU100" s="48"/>
      <c r="VSV100" s="48"/>
      <c r="VSW100" s="48"/>
      <c r="VSX100" s="48"/>
      <c r="VSY100" s="48"/>
      <c r="VSZ100" s="48"/>
      <c r="VTA100" s="48"/>
      <c r="VTB100" s="48"/>
      <c r="VTC100" s="48"/>
      <c r="VTD100" s="48"/>
      <c r="VTE100" s="48"/>
      <c r="VTF100" s="48"/>
      <c r="VTG100" s="48"/>
      <c r="VTH100" s="48"/>
      <c r="VTI100" s="48"/>
      <c r="VTJ100" s="48"/>
      <c r="VTK100" s="48"/>
      <c r="VTL100" s="48"/>
      <c r="VTM100" s="48"/>
      <c r="VTN100" s="48"/>
      <c r="VTO100" s="48"/>
      <c r="VTP100" s="48"/>
      <c r="VTQ100" s="48"/>
      <c r="VTR100" s="48"/>
      <c r="VTS100" s="48"/>
      <c r="VTT100" s="48"/>
      <c r="VTU100" s="48"/>
      <c r="VTV100" s="48"/>
      <c r="VTW100" s="48"/>
      <c r="VTX100" s="48"/>
      <c r="VTY100" s="48"/>
      <c r="VTZ100" s="48"/>
      <c r="VUA100" s="48"/>
      <c r="VUB100" s="48"/>
      <c r="VUC100" s="48"/>
      <c r="VUD100" s="48"/>
      <c r="VUE100" s="48"/>
      <c r="VUF100" s="48"/>
      <c r="VUG100" s="48"/>
      <c r="VUH100" s="48"/>
      <c r="VUI100" s="48"/>
      <c r="VUJ100" s="48"/>
      <c r="VUK100" s="48"/>
      <c r="VUL100" s="48"/>
      <c r="VUM100" s="48"/>
      <c r="VUN100" s="48"/>
      <c r="VUO100" s="48"/>
      <c r="VUP100" s="48"/>
      <c r="VUQ100" s="48"/>
      <c r="VUR100" s="48"/>
      <c r="VUS100" s="48"/>
      <c r="VUT100" s="48"/>
      <c r="VUU100" s="48"/>
      <c r="VUV100" s="48"/>
      <c r="VUW100" s="48"/>
      <c r="VUX100" s="48"/>
      <c r="VUY100" s="48"/>
      <c r="VUZ100" s="48"/>
      <c r="VVA100" s="48"/>
      <c r="VVB100" s="48"/>
      <c r="VVC100" s="48"/>
      <c r="VVD100" s="48"/>
      <c r="VVE100" s="48"/>
      <c r="VVF100" s="48"/>
      <c r="VVG100" s="48"/>
      <c r="VVH100" s="48"/>
      <c r="VVI100" s="48"/>
      <c r="VVJ100" s="48"/>
      <c r="VVK100" s="48"/>
      <c r="VVL100" s="48"/>
      <c r="VVM100" s="48"/>
      <c r="VVN100" s="48"/>
      <c r="VVO100" s="48"/>
      <c r="VVP100" s="48"/>
      <c r="VVQ100" s="48"/>
      <c r="VVR100" s="48"/>
      <c r="VVS100" s="48"/>
      <c r="VVT100" s="48"/>
      <c r="VVU100" s="48"/>
      <c r="VVV100" s="48"/>
      <c r="VVW100" s="48"/>
      <c r="VVX100" s="48"/>
      <c r="VVY100" s="48"/>
      <c r="VVZ100" s="48"/>
      <c r="VWA100" s="48"/>
      <c r="VWB100" s="48"/>
      <c r="VWC100" s="48"/>
      <c r="VWD100" s="48"/>
      <c r="VWE100" s="48"/>
      <c r="VWF100" s="48"/>
      <c r="VWG100" s="48"/>
      <c r="VWH100" s="48"/>
      <c r="VWI100" s="48"/>
      <c r="VWJ100" s="48"/>
      <c r="VWK100" s="48"/>
      <c r="VWL100" s="48"/>
      <c r="VWM100" s="48"/>
      <c r="VWN100" s="48"/>
      <c r="VWO100" s="48"/>
      <c r="VWP100" s="48"/>
      <c r="VWQ100" s="48"/>
      <c r="VWR100" s="48"/>
      <c r="VWS100" s="48"/>
      <c r="VWT100" s="48"/>
      <c r="VWU100" s="48"/>
      <c r="VWV100" s="48"/>
      <c r="VWW100" s="48"/>
      <c r="VWX100" s="48"/>
      <c r="VWY100" s="48"/>
      <c r="VWZ100" s="48"/>
      <c r="VXA100" s="48"/>
      <c r="VXB100" s="48"/>
      <c r="VXC100" s="48"/>
      <c r="VXD100" s="48"/>
      <c r="VXE100" s="48"/>
      <c r="VXF100" s="48"/>
      <c r="VXG100" s="48"/>
      <c r="VXH100" s="48"/>
      <c r="VXI100" s="48"/>
      <c r="VXJ100" s="48"/>
      <c r="VXK100" s="48"/>
      <c r="VXL100" s="48"/>
      <c r="VXM100" s="48"/>
      <c r="VXN100" s="48"/>
      <c r="VXO100" s="48"/>
      <c r="VXP100" s="48"/>
      <c r="VXQ100" s="48"/>
      <c r="VXR100" s="48"/>
      <c r="VXS100" s="48"/>
      <c r="VXT100" s="48"/>
      <c r="VXU100" s="48"/>
      <c r="VXV100" s="48"/>
      <c r="VXW100" s="48"/>
      <c r="VXX100" s="48"/>
      <c r="VXY100" s="48"/>
      <c r="VXZ100" s="48"/>
      <c r="VYA100" s="48"/>
      <c r="VYB100" s="48"/>
      <c r="VYC100" s="48"/>
      <c r="VYD100" s="48"/>
      <c r="VYE100" s="48"/>
      <c r="VYF100" s="48"/>
      <c r="VYG100" s="48"/>
      <c r="VYH100" s="48"/>
      <c r="VYI100" s="48"/>
      <c r="VYJ100" s="48"/>
      <c r="VYK100" s="48"/>
      <c r="VYL100" s="48"/>
      <c r="VYM100" s="48"/>
      <c r="VYN100" s="48"/>
      <c r="VYO100" s="48"/>
      <c r="VYP100" s="48"/>
      <c r="VYQ100" s="48"/>
      <c r="VYR100" s="48"/>
      <c r="VYS100" s="48"/>
      <c r="VYT100" s="48"/>
      <c r="VYU100" s="48"/>
      <c r="VYV100" s="48"/>
      <c r="VYW100" s="48"/>
      <c r="VYX100" s="48"/>
      <c r="VYY100" s="48"/>
      <c r="VYZ100" s="48"/>
      <c r="VZA100" s="48"/>
      <c r="VZB100" s="48"/>
      <c r="VZC100" s="48"/>
      <c r="VZD100" s="48"/>
      <c r="VZE100" s="48"/>
      <c r="VZF100" s="48"/>
      <c r="VZG100" s="48"/>
      <c r="VZH100" s="48"/>
      <c r="VZI100" s="48"/>
      <c r="VZJ100" s="48"/>
      <c r="VZK100" s="48"/>
      <c r="VZL100" s="48"/>
      <c r="VZM100" s="48"/>
      <c r="VZN100" s="48"/>
      <c r="VZO100" s="48"/>
      <c r="VZP100" s="48"/>
      <c r="VZQ100" s="48"/>
      <c r="VZR100" s="48"/>
      <c r="VZS100" s="48"/>
      <c r="VZT100" s="48"/>
      <c r="VZU100" s="48"/>
      <c r="VZV100" s="48"/>
      <c r="VZW100" s="48"/>
      <c r="VZX100" s="48"/>
      <c r="VZY100" s="48"/>
      <c r="VZZ100" s="48"/>
      <c r="WAA100" s="48"/>
      <c r="WAB100" s="48"/>
      <c r="WAC100" s="48"/>
      <c r="WAD100" s="48"/>
      <c r="WAE100" s="48"/>
      <c r="WAF100" s="48"/>
      <c r="WAG100" s="48"/>
      <c r="WAH100" s="48"/>
      <c r="WAI100" s="48"/>
      <c r="WAJ100" s="48"/>
      <c r="WAK100" s="48"/>
      <c r="WAL100" s="48"/>
      <c r="WAM100" s="48"/>
      <c r="WAN100" s="48"/>
      <c r="WAO100" s="48"/>
      <c r="WAP100" s="48"/>
      <c r="WAQ100" s="48"/>
      <c r="WAR100" s="48"/>
      <c r="WAS100" s="48"/>
      <c r="WAT100" s="48"/>
      <c r="WAU100" s="48"/>
      <c r="WAV100" s="48"/>
      <c r="WAW100" s="48"/>
      <c r="WAX100" s="48"/>
      <c r="WAY100" s="48"/>
      <c r="WAZ100" s="48"/>
      <c r="WBA100" s="48"/>
      <c r="WBB100" s="48"/>
      <c r="WBC100" s="48"/>
      <c r="WBD100" s="48"/>
      <c r="WBE100" s="48"/>
      <c r="WBF100" s="48"/>
      <c r="WBG100" s="48"/>
      <c r="WBH100" s="48"/>
      <c r="WBI100" s="48"/>
      <c r="WBJ100" s="48"/>
      <c r="WBK100" s="48"/>
      <c r="WBL100" s="48"/>
      <c r="WBM100" s="48"/>
      <c r="WBN100" s="48"/>
      <c r="WBO100" s="48"/>
      <c r="WBP100" s="48"/>
      <c r="WBQ100" s="48"/>
      <c r="WBR100" s="48"/>
      <c r="WBS100" s="48"/>
      <c r="WBT100" s="48"/>
      <c r="WBU100" s="48"/>
      <c r="WBV100" s="48"/>
      <c r="WBW100" s="48"/>
      <c r="WBX100" s="48"/>
      <c r="WBY100" s="48"/>
      <c r="WBZ100" s="48"/>
      <c r="WCA100" s="48"/>
      <c r="WCB100" s="48"/>
      <c r="WCC100" s="48"/>
      <c r="WCD100" s="48"/>
      <c r="WCE100" s="48"/>
      <c r="WCF100" s="48"/>
      <c r="WCG100" s="48"/>
      <c r="WCH100" s="48"/>
      <c r="WCI100" s="48"/>
      <c r="WCJ100" s="48"/>
      <c r="WCK100" s="48"/>
      <c r="WCL100" s="48"/>
      <c r="WCM100" s="48"/>
      <c r="WCN100" s="48"/>
      <c r="WCO100" s="48"/>
      <c r="WCP100" s="48"/>
      <c r="WCQ100" s="48"/>
      <c r="WCR100" s="48"/>
      <c r="WCS100" s="48"/>
      <c r="WCT100" s="48"/>
      <c r="WCU100" s="48"/>
      <c r="WCV100" s="48"/>
      <c r="WCW100" s="48"/>
      <c r="WCX100" s="48"/>
      <c r="WCY100" s="48"/>
      <c r="WCZ100" s="48"/>
      <c r="WDA100" s="48"/>
      <c r="WDB100" s="48"/>
      <c r="WDC100" s="48"/>
      <c r="WDD100" s="48"/>
      <c r="WDE100" s="48"/>
      <c r="WDF100" s="48"/>
      <c r="WDG100" s="48"/>
      <c r="WDH100" s="48"/>
      <c r="WDI100" s="48"/>
      <c r="WDJ100" s="48"/>
      <c r="WDK100" s="48"/>
      <c r="WDL100" s="48"/>
      <c r="WDM100" s="48"/>
      <c r="WDN100" s="48"/>
      <c r="WDO100" s="48"/>
      <c r="WDP100" s="48"/>
      <c r="WDQ100" s="48"/>
      <c r="WDR100" s="48"/>
      <c r="WDS100" s="48"/>
      <c r="WDT100" s="48"/>
      <c r="WDU100" s="48"/>
      <c r="WDV100" s="48"/>
      <c r="WDW100" s="48"/>
      <c r="WDX100" s="48"/>
      <c r="WDY100" s="48"/>
      <c r="WDZ100" s="48"/>
      <c r="WEA100" s="48"/>
      <c r="WEB100" s="48"/>
      <c r="WEC100" s="48"/>
      <c r="WED100" s="48"/>
      <c r="WEE100" s="48"/>
      <c r="WEF100" s="48"/>
      <c r="WEG100" s="48"/>
      <c r="WEH100" s="48"/>
      <c r="WEI100" s="48"/>
      <c r="WEJ100" s="48"/>
      <c r="WEK100" s="48"/>
      <c r="WEL100" s="48"/>
      <c r="WEM100" s="48"/>
      <c r="WEN100" s="48"/>
      <c r="WEO100" s="48"/>
      <c r="WEP100" s="48"/>
      <c r="WEQ100" s="48"/>
      <c r="WER100" s="48"/>
      <c r="WES100" s="48"/>
      <c r="WET100" s="48"/>
      <c r="WEU100" s="48"/>
      <c r="WEV100" s="48"/>
      <c r="WEW100" s="48"/>
      <c r="WEX100" s="48"/>
      <c r="WEY100" s="48"/>
      <c r="WEZ100" s="48"/>
      <c r="WFA100" s="48"/>
      <c r="WFB100" s="48"/>
      <c r="WFC100" s="48"/>
      <c r="WFD100" s="48"/>
      <c r="WFE100" s="48"/>
      <c r="WFF100" s="48"/>
      <c r="WFG100" s="48"/>
      <c r="WFH100" s="48"/>
      <c r="WFI100" s="48"/>
      <c r="WFJ100" s="48"/>
      <c r="WFK100" s="48"/>
      <c r="WFL100" s="48"/>
      <c r="WFM100" s="48"/>
      <c r="WFN100" s="48"/>
      <c r="WFO100" s="48"/>
      <c r="WFP100" s="48"/>
      <c r="WFQ100" s="48"/>
      <c r="WFR100" s="48"/>
      <c r="WFS100" s="48"/>
      <c r="WFT100" s="48"/>
      <c r="WFU100" s="48"/>
      <c r="WFV100" s="48"/>
      <c r="WFW100" s="48"/>
      <c r="WFX100" s="48"/>
      <c r="WFY100" s="48"/>
      <c r="WFZ100" s="48"/>
      <c r="WGA100" s="48"/>
      <c r="WGB100" s="48"/>
      <c r="WGC100" s="48"/>
      <c r="WGD100" s="48"/>
      <c r="WGE100" s="48"/>
      <c r="WGF100" s="48"/>
      <c r="WGG100" s="48"/>
      <c r="WGH100" s="48"/>
      <c r="WGI100" s="48"/>
      <c r="WGJ100" s="48"/>
      <c r="WGK100" s="48"/>
      <c r="WGL100" s="48"/>
      <c r="WGM100" s="48"/>
      <c r="WGN100" s="48"/>
      <c r="WGO100" s="48"/>
      <c r="WGP100" s="48"/>
      <c r="WGQ100" s="48"/>
      <c r="WGR100" s="48"/>
      <c r="WGS100" s="48"/>
      <c r="WGT100" s="48"/>
      <c r="WGU100" s="48"/>
      <c r="WGV100" s="48"/>
      <c r="WGW100" s="48"/>
      <c r="WGX100" s="48"/>
      <c r="WGY100" s="48"/>
      <c r="WGZ100" s="48"/>
      <c r="WHA100" s="48"/>
      <c r="WHB100" s="48"/>
      <c r="WHC100" s="48"/>
      <c r="WHD100" s="48"/>
      <c r="WHE100" s="48"/>
      <c r="WHF100" s="48"/>
      <c r="WHG100" s="48"/>
      <c r="WHH100" s="48"/>
      <c r="WHI100" s="48"/>
      <c r="WHJ100" s="48"/>
      <c r="WHK100" s="48"/>
      <c r="WHL100" s="48"/>
      <c r="WHM100" s="48"/>
      <c r="WHN100" s="48"/>
      <c r="WHO100" s="48"/>
      <c r="WHP100" s="48"/>
      <c r="WHQ100" s="48"/>
      <c r="WHR100" s="48"/>
      <c r="WHS100" s="48"/>
      <c r="WHT100" s="48"/>
      <c r="WHU100" s="48"/>
      <c r="WHV100" s="48"/>
      <c r="WHW100" s="48"/>
      <c r="WHX100" s="48"/>
      <c r="WHY100" s="48"/>
      <c r="WHZ100" s="48"/>
      <c r="WIA100" s="48"/>
      <c r="WIB100" s="48"/>
      <c r="WIC100" s="48"/>
      <c r="WID100" s="48"/>
      <c r="WIE100" s="48"/>
      <c r="WIF100" s="48"/>
      <c r="WIG100" s="48"/>
      <c r="WIH100" s="48"/>
      <c r="WII100" s="48"/>
      <c r="WIJ100" s="48"/>
      <c r="WIK100" s="48"/>
      <c r="WIL100" s="48"/>
      <c r="WIM100" s="48"/>
      <c r="WIN100" s="48"/>
      <c r="WIO100" s="48"/>
      <c r="WIP100" s="48"/>
      <c r="WIQ100" s="48"/>
      <c r="WIR100" s="48"/>
      <c r="WIS100" s="48"/>
      <c r="WIT100" s="48"/>
      <c r="WIU100" s="48"/>
      <c r="WIV100" s="48"/>
      <c r="WIW100" s="48"/>
      <c r="WIX100" s="48"/>
      <c r="WIY100" s="48"/>
      <c r="WIZ100" s="48"/>
      <c r="WJA100" s="48"/>
      <c r="WJB100" s="48"/>
      <c r="WJC100" s="48"/>
      <c r="WJD100" s="48"/>
      <c r="WJE100" s="48"/>
      <c r="WJF100" s="48"/>
      <c r="WJG100" s="48"/>
      <c r="WJH100" s="48"/>
      <c r="WJI100" s="48"/>
      <c r="WJJ100" s="48"/>
      <c r="WJK100" s="48"/>
      <c r="WJL100" s="48"/>
      <c r="WJM100" s="48"/>
      <c r="WJN100" s="48"/>
      <c r="WJO100" s="48"/>
      <c r="WJP100" s="48"/>
      <c r="WJQ100" s="48"/>
      <c r="WJR100" s="48"/>
      <c r="WJS100" s="48"/>
      <c r="WJT100" s="48"/>
      <c r="WJU100" s="48"/>
      <c r="WJV100" s="48"/>
      <c r="WJW100" s="48"/>
      <c r="WJX100" s="48"/>
      <c r="WJY100" s="48"/>
      <c r="WJZ100" s="48"/>
      <c r="WKA100" s="48"/>
      <c r="WKB100" s="48"/>
      <c r="WKC100" s="48"/>
      <c r="WKD100" s="48"/>
      <c r="WKE100" s="48"/>
      <c r="WKF100" s="48"/>
      <c r="WKG100" s="48"/>
      <c r="WKH100" s="48"/>
      <c r="WKI100" s="48"/>
      <c r="WKJ100" s="48"/>
      <c r="WKK100" s="48"/>
      <c r="WKL100" s="48"/>
      <c r="WKM100" s="48"/>
      <c r="WKN100" s="48"/>
      <c r="WKO100" s="48"/>
      <c r="WKP100" s="48"/>
      <c r="WKQ100" s="48"/>
      <c r="WKR100" s="48"/>
      <c r="WKS100" s="48"/>
      <c r="WKT100" s="48"/>
      <c r="WKU100" s="48"/>
      <c r="WKV100" s="48"/>
      <c r="WKW100" s="48"/>
      <c r="WKX100" s="48"/>
      <c r="WKY100" s="48"/>
      <c r="WKZ100" s="48"/>
      <c r="WLA100" s="48"/>
      <c r="WLB100" s="48"/>
      <c r="WLC100" s="48"/>
      <c r="WLD100" s="48"/>
      <c r="WLE100" s="48"/>
      <c r="WLF100" s="48"/>
      <c r="WLG100" s="48"/>
      <c r="WLH100" s="48"/>
      <c r="WLI100" s="48"/>
      <c r="WLJ100" s="48"/>
      <c r="WLK100" s="48"/>
      <c r="WLL100" s="48"/>
      <c r="WLM100" s="48"/>
      <c r="WLN100" s="48"/>
      <c r="WLO100" s="48"/>
      <c r="WLP100" s="48"/>
      <c r="WLQ100" s="48"/>
      <c r="WLR100" s="48"/>
      <c r="WLS100" s="48"/>
      <c r="WLT100" s="48"/>
      <c r="WLU100" s="48"/>
      <c r="WLV100" s="48"/>
      <c r="WLW100" s="48"/>
      <c r="WLX100" s="48"/>
      <c r="WLY100" s="48"/>
      <c r="WLZ100" s="48"/>
      <c r="WMA100" s="48"/>
      <c r="WMB100" s="48"/>
      <c r="WMC100" s="48"/>
      <c r="WMD100" s="48"/>
      <c r="WME100" s="48"/>
      <c r="WMF100" s="48"/>
      <c r="WMG100" s="48"/>
      <c r="WMH100" s="48"/>
      <c r="WMI100" s="48"/>
      <c r="WMJ100" s="48"/>
      <c r="WMK100" s="48"/>
      <c r="WML100" s="48"/>
      <c r="WMM100" s="48"/>
      <c r="WMN100" s="48"/>
      <c r="WMO100" s="48"/>
      <c r="WMP100" s="48"/>
      <c r="WMQ100" s="48"/>
      <c r="WMR100" s="48"/>
      <c r="WMS100" s="48"/>
      <c r="WMT100" s="48"/>
      <c r="WMU100" s="48"/>
      <c r="WMV100" s="48"/>
      <c r="WMW100" s="48"/>
      <c r="WMX100" s="48"/>
      <c r="WMY100" s="48"/>
      <c r="WMZ100" s="48"/>
      <c r="WNA100" s="48"/>
      <c r="WNB100" s="48"/>
      <c r="WNC100" s="48"/>
      <c r="WND100" s="48"/>
      <c r="WNE100" s="48"/>
      <c r="WNF100" s="48"/>
      <c r="WNG100" s="48"/>
      <c r="WNH100" s="48"/>
      <c r="WNI100" s="48"/>
      <c r="WNJ100" s="48"/>
      <c r="WNK100" s="48"/>
      <c r="WNL100" s="48"/>
      <c r="WNM100" s="48"/>
      <c r="WNN100" s="48"/>
      <c r="WNO100" s="48"/>
      <c r="WNP100" s="48"/>
      <c r="WNQ100" s="48"/>
      <c r="WNR100" s="48"/>
      <c r="WNS100" s="48"/>
      <c r="WNT100" s="48"/>
      <c r="WNU100" s="48"/>
      <c r="WNV100" s="48"/>
      <c r="WNW100" s="48"/>
      <c r="WNX100" s="48"/>
      <c r="WNY100" s="48"/>
      <c r="WNZ100" s="48"/>
      <c r="WOA100" s="48"/>
      <c r="WOB100" s="48"/>
      <c r="WOC100" s="48"/>
      <c r="WOD100" s="48"/>
      <c r="WOE100" s="48"/>
      <c r="WOF100" s="48"/>
      <c r="WOG100" s="48"/>
      <c r="WOH100" s="48"/>
      <c r="WOI100" s="48"/>
      <c r="WOJ100" s="48"/>
      <c r="WOK100" s="48"/>
      <c r="WOL100" s="48"/>
      <c r="WOM100" s="48"/>
      <c r="WON100" s="48"/>
      <c r="WOO100" s="48"/>
      <c r="WOP100" s="48"/>
      <c r="WOQ100" s="48"/>
      <c r="WOR100" s="48"/>
      <c r="WOS100" s="48"/>
      <c r="WOT100" s="48"/>
      <c r="WOU100" s="48"/>
      <c r="WOV100" s="48"/>
      <c r="WOW100" s="48"/>
      <c r="WOX100" s="48"/>
      <c r="WOY100" s="48"/>
      <c r="WOZ100" s="48"/>
      <c r="WPA100" s="48"/>
      <c r="WPB100" s="48"/>
      <c r="WPC100" s="48"/>
      <c r="WPD100" s="48"/>
      <c r="WPE100" s="48"/>
      <c r="WPF100" s="48"/>
      <c r="WPG100" s="48"/>
      <c r="WPH100" s="48"/>
      <c r="WPI100" s="48"/>
      <c r="WPJ100" s="48"/>
      <c r="WPK100" s="48"/>
      <c r="WPL100" s="48"/>
      <c r="WPM100" s="48"/>
      <c r="WPN100" s="48"/>
      <c r="WPO100" s="48"/>
      <c r="WPP100" s="48"/>
      <c r="WPQ100" s="48"/>
      <c r="WPR100" s="48"/>
      <c r="WPS100" s="48"/>
      <c r="WPT100" s="48"/>
      <c r="WPU100" s="48"/>
      <c r="WPV100" s="48"/>
      <c r="WPW100" s="48"/>
      <c r="WPX100" s="48"/>
      <c r="WPY100" s="48"/>
      <c r="WPZ100" s="48"/>
      <c r="WQA100" s="48"/>
      <c r="WQB100" s="48"/>
      <c r="WQC100" s="48"/>
      <c r="WQD100" s="48"/>
      <c r="WQE100" s="48"/>
      <c r="WQF100" s="48"/>
      <c r="WQG100" s="48"/>
      <c r="WQH100" s="48"/>
      <c r="WQI100" s="48"/>
      <c r="WQJ100" s="48"/>
      <c r="WQK100" s="48"/>
      <c r="WQL100" s="48"/>
      <c r="WQM100" s="48"/>
      <c r="WQN100" s="48"/>
      <c r="WQO100" s="48"/>
      <c r="WQP100" s="48"/>
      <c r="WQQ100" s="48"/>
      <c r="WQR100" s="48"/>
      <c r="WQS100" s="48"/>
      <c r="WQT100" s="48"/>
      <c r="WQU100" s="48"/>
      <c r="WQV100" s="48"/>
      <c r="WQW100" s="48"/>
      <c r="WQX100" s="48"/>
      <c r="WQY100" s="48"/>
      <c r="WQZ100" s="48"/>
      <c r="WRA100" s="48"/>
      <c r="WRB100" s="48"/>
      <c r="WRC100" s="48"/>
      <c r="WRD100" s="48"/>
      <c r="WRE100" s="48"/>
      <c r="WRF100" s="48"/>
      <c r="WRG100" s="48"/>
      <c r="WRH100" s="48"/>
      <c r="WRI100" s="48"/>
      <c r="WRJ100" s="48"/>
      <c r="WRK100" s="48"/>
      <c r="WRL100" s="48"/>
      <c r="WRM100" s="48"/>
      <c r="WRN100" s="48"/>
      <c r="WRO100" s="48"/>
      <c r="WRP100" s="48"/>
      <c r="WRQ100" s="48"/>
      <c r="WRR100" s="48"/>
      <c r="WRS100" s="48"/>
      <c r="WRT100" s="48"/>
      <c r="WRU100" s="48"/>
      <c r="WRV100" s="48"/>
      <c r="WRW100" s="48"/>
      <c r="WRX100" s="48"/>
      <c r="WRY100" s="48"/>
      <c r="WRZ100" s="48"/>
      <c r="WSA100" s="48"/>
      <c r="WSB100" s="48"/>
      <c r="WSC100" s="48"/>
      <c r="WSD100" s="48"/>
      <c r="WSE100" s="48"/>
      <c r="WSF100" s="48"/>
      <c r="WSG100" s="48"/>
      <c r="WSH100" s="48"/>
      <c r="WSI100" s="48"/>
      <c r="WSJ100" s="48"/>
      <c r="WSK100" s="48"/>
      <c r="WSL100" s="48"/>
      <c r="WSM100" s="48"/>
      <c r="WSN100" s="48"/>
      <c r="WSO100" s="48"/>
      <c r="WSP100" s="48"/>
      <c r="WSQ100" s="48"/>
      <c r="WSR100" s="48"/>
      <c r="WSS100" s="48"/>
      <c r="WST100" s="48"/>
      <c r="WSU100" s="48"/>
      <c r="WSV100" s="48"/>
      <c r="WSW100" s="48"/>
      <c r="WSX100" s="48"/>
      <c r="WSY100" s="48"/>
      <c r="WSZ100" s="48"/>
      <c r="WTA100" s="48"/>
      <c r="WTB100" s="48"/>
      <c r="WTC100" s="48"/>
      <c r="WTD100" s="48"/>
      <c r="WTE100" s="48"/>
      <c r="WTF100" s="48"/>
      <c r="WTG100" s="48"/>
      <c r="WTH100" s="48"/>
      <c r="WTI100" s="48"/>
      <c r="WTJ100" s="48"/>
      <c r="WTK100" s="48"/>
      <c r="WTL100" s="48"/>
      <c r="WTM100" s="48"/>
      <c r="WTN100" s="48"/>
      <c r="WTO100" s="48"/>
      <c r="WTP100" s="48"/>
      <c r="WTQ100" s="48"/>
      <c r="WTR100" s="48"/>
      <c r="WTS100" s="48"/>
      <c r="WTT100" s="48"/>
      <c r="WTU100" s="48"/>
      <c r="WTV100" s="48"/>
      <c r="WTW100" s="48"/>
      <c r="WTX100" s="48"/>
      <c r="WTY100" s="48"/>
      <c r="WTZ100" s="48"/>
      <c r="WUA100" s="48"/>
      <c r="WUB100" s="48"/>
      <c r="WUC100" s="48"/>
      <c r="WUD100" s="48"/>
      <c r="WUE100" s="48"/>
      <c r="WUF100" s="48"/>
      <c r="WUG100" s="48"/>
      <c r="WUH100" s="48"/>
      <c r="WUI100" s="48"/>
      <c r="WUJ100" s="48"/>
      <c r="WUK100" s="48"/>
      <c r="WUL100" s="48"/>
      <c r="WUM100" s="48"/>
      <c r="WUN100" s="48"/>
      <c r="WUO100" s="48"/>
      <c r="WUP100" s="48"/>
      <c r="WUQ100" s="48"/>
      <c r="WUR100" s="48"/>
      <c r="WUS100" s="48"/>
      <c r="WUT100" s="48"/>
      <c r="WUU100" s="48"/>
      <c r="WUV100" s="48"/>
      <c r="WUW100" s="48"/>
      <c r="WUX100" s="48"/>
      <c r="WUY100" s="48"/>
      <c r="WUZ100" s="48"/>
      <c r="WVA100" s="48"/>
      <c r="WVB100" s="48"/>
      <c r="WVC100" s="48"/>
      <c r="WVD100" s="48"/>
      <c r="WVE100" s="48"/>
      <c r="WVF100" s="48"/>
      <c r="WVG100" s="48"/>
      <c r="WVH100" s="48"/>
      <c r="WVI100" s="48"/>
      <c r="WVJ100" s="48"/>
      <c r="WVK100" s="48"/>
      <c r="WVL100" s="48"/>
      <c r="WVM100" s="48"/>
      <c r="WVN100" s="48"/>
      <c r="WVO100" s="48"/>
      <c r="WVP100" s="48"/>
      <c r="WVQ100" s="48"/>
      <c r="WVR100" s="48"/>
      <c r="WVS100" s="48"/>
      <c r="WVT100" s="48"/>
      <c r="WVU100" s="48"/>
      <c r="WVV100" s="48"/>
      <c r="WVW100" s="48"/>
      <c r="WVX100" s="48"/>
      <c r="WVY100" s="48"/>
      <c r="WVZ100" s="48"/>
      <c r="WWA100" s="48"/>
      <c r="WWB100" s="48"/>
      <c r="WWC100" s="48"/>
      <c r="WWD100" s="48"/>
      <c r="WWE100" s="48"/>
      <c r="WWF100" s="48"/>
      <c r="WWG100" s="48"/>
      <c r="WWH100" s="48"/>
      <c r="WWI100" s="48"/>
      <c r="WWJ100" s="48"/>
      <c r="WWK100" s="48"/>
      <c r="WWL100" s="48"/>
      <c r="WWM100" s="48"/>
      <c r="WWN100" s="48"/>
      <c r="WWO100" s="48"/>
      <c r="WWP100" s="48"/>
      <c r="WWQ100" s="48"/>
      <c r="WWR100" s="48"/>
      <c r="WWS100" s="48"/>
      <c r="WWT100" s="48"/>
      <c r="WWU100" s="48"/>
      <c r="WWV100" s="48"/>
      <c r="WWW100" s="48"/>
      <c r="WWX100" s="48"/>
      <c r="WWY100" s="48"/>
      <c r="WWZ100" s="48"/>
      <c r="WXA100" s="48"/>
      <c r="WXB100" s="48"/>
      <c r="WXC100" s="48"/>
      <c r="WXD100" s="48"/>
      <c r="WXE100" s="48"/>
      <c r="WXF100" s="48"/>
      <c r="WXG100" s="48"/>
      <c r="WXH100" s="48"/>
      <c r="WXI100" s="48"/>
      <c r="WXJ100" s="48"/>
      <c r="WXK100" s="48"/>
      <c r="WXL100" s="48"/>
      <c r="WXM100" s="48"/>
      <c r="WXN100" s="48"/>
      <c r="WXO100" s="48"/>
      <c r="WXP100" s="48"/>
      <c r="WXQ100" s="48"/>
      <c r="WXR100" s="48"/>
      <c r="WXS100" s="48"/>
      <c r="WXT100" s="48"/>
      <c r="WXU100" s="48"/>
      <c r="WXV100" s="48"/>
      <c r="WXW100" s="48"/>
      <c r="WXX100" s="48"/>
      <c r="WXY100" s="48"/>
      <c r="WXZ100" s="48"/>
      <c r="WYA100" s="48"/>
      <c r="WYB100" s="48"/>
      <c r="WYC100" s="48"/>
      <c r="WYD100" s="48"/>
      <c r="WYE100" s="48"/>
      <c r="WYF100" s="48"/>
      <c r="WYG100" s="48"/>
      <c r="WYH100" s="48"/>
      <c r="WYI100" s="48"/>
      <c r="WYJ100" s="48"/>
      <c r="WYK100" s="48"/>
      <c r="WYL100" s="48"/>
      <c r="WYM100" s="48"/>
      <c r="WYN100" s="48"/>
      <c r="WYO100" s="48"/>
      <c r="WYP100" s="48"/>
      <c r="WYQ100" s="48"/>
      <c r="WYR100" s="48"/>
      <c r="WYS100" s="48"/>
      <c r="WYT100" s="48"/>
      <c r="WYU100" s="48"/>
      <c r="WYV100" s="48"/>
      <c r="WYW100" s="48"/>
      <c r="WYX100" s="48"/>
      <c r="WYY100" s="48"/>
      <c r="WYZ100" s="48"/>
      <c r="WZA100" s="48"/>
      <c r="WZB100" s="48"/>
      <c r="WZC100" s="48"/>
      <c r="WZD100" s="48"/>
      <c r="WZE100" s="48"/>
      <c r="WZF100" s="48"/>
      <c r="WZG100" s="48"/>
      <c r="WZH100" s="48"/>
      <c r="WZI100" s="48"/>
      <c r="WZJ100" s="48"/>
      <c r="WZK100" s="48"/>
      <c r="WZL100" s="48"/>
      <c r="WZM100" s="48"/>
      <c r="WZN100" s="48"/>
      <c r="WZO100" s="48"/>
      <c r="WZP100" s="48"/>
      <c r="WZQ100" s="48"/>
      <c r="WZR100" s="48"/>
      <c r="WZS100" s="48"/>
      <c r="WZT100" s="48"/>
      <c r="WZU100" s="48"/>
      <c r="WZV100" s="48"/>
      <c r="WZW100" s="48"/>
      <c r="WZX100" s="48"/>
      <c r="WZY100" s="48"/>
      <c r="WZZ100" s="48"/>
      <c r="XAA100" s="48"/>
      <c r="XAB100" s="48"/>
      <c r="XAC100" s="48"/>
      <c r="XAD100" s="48"/>
      <c r="XAE100" s="48"/>
      <c r="XAF100" s="48"/>
      <c r="XAG100" s="48"/>
      <c r="XAH100" s="48"/>
      <c r="XAI100" s="48"/>
      <c r="XAJ100" s="48"/>
      <c r="XAK100" s="48"/>
      <c r="XAL100" s="48"/>
      <c r="XAM100" s="48"/>
      <c r="XAN100" s="48"/>
      <c r="XAO100" s="48"/>
      <c r="XAP100" s="48"/>
      <c r="XAQ100" s="48"/>
      <c r="XAR100" s="48"/>
      <c r="XAS100" s="48"/>
      <c r="XAT100" s="48"/>
      <c r="XAU100" s="48"/>
      <c r="XAV100" s="48"/>
      <c r="XAW100" s="48"/>
      <c r="XAX100" s="48"/>
      <c r="XAY100" s="48"/>
      <c r="XAZ100" s="48"/>
      <c r="XBA100" s="48"/>
      <c r="XBB100" s="48"/>
      <c r="XBC100" s="48"/>
      <c r="XBD100" s="48"/>
      <c r="XBE100" s="48"/>
      <c r="XBF100" s="48"/>
      <c r="XBG100" s="48"/>
      <c r="XBH100" s="48"/>
      <c r="XBI100" s="48"/>
      <c r="XBJ100" s="48"/>
      <c r="XBK100" s="48"/>
      <c r="XBL100" s="48"/>
      <c r="XBM100" s="48"/>
      <c r="XBN100" s="48"/>
      <c r="XBO100" s="48"/>
      <c r="XBP100" s="48"/>
      <c r="XBQ100" s="48"/>
      <c r="XBR100" s="48"/>
      <c r="XBS100" s="48"/>
      <c r="XBT100" s="48"/>
      <c r="XBU100" s="48"/>
      <c r="XBV100" s="48"/>
      <c r="XBW100" s="48"/>
      <c r="XBX100" s="48"/>
      <c r="XBY100" s="48"/>
      <c r="XBZ100" s="48"/>
      <c r="XCA100" s="48"/>
      <c r="XCB100" s="48"/>
      <c r="XCC100" s="48"/>
      <c r="XCD100" s="48"/>
      <c r="XCE100" s="48"/>
      <c r="XCF100" s="48"/>
      <c r="XCG100" s="48"/>
      <c r="XCH100" s="48"/>
      <c r="XCI100" s="48"/>
      <c r="XCJ100" s="48"/>
      <c r="XCK100" s="48"/>
      <c r="XCL100" s="48"/>
      <c r="XCM100" s="48"/>
      <c r="XCN100" s="48"/>
      <c r="XCO100" s="48"/>
      <c r="XCP100" s="48"/>
      <c r="XCQ100" s="48"/>
      <c r="XCR100" s="48"/>
      <c r="XCS100" s="48"/>
      <c r="XCT100" s="48"/>
      <c r="XCU100" s="48"/>
      <c r="XCV100" s="48"/>
      <c r="XCW100" s="48"/>
      <c r="XCX100" s="48"/>
      <c r="XCY100" s="48"/>
      <c r="XCZ100" s="48"/>
      <c r="XDA100" s="48"/>
      <c r="XDB100" s="48"/>
      <c r="XDC100" s="48"/>
      <c r="XDD100" s="48"/>
      <c r="XDE100" s="48"/>
      <c r="XDF100" s="48"/>
      <c r="XDG100" s="48"/>
      <c r="XDH100" s="48"/>
      <c r="XDI100" s="48"/>
      <c r="XDJ100" s="48"/>
      <c r="XDK100" s="48"/>
      <c r="XDL100" s="48"/>
      <c r="XDM100" s="48"/>
      <c r="XDN100" s="48"/>
      <c r="XDO100" s="48"/>
      <c r="XDP100" s="48"/>
      <c r="XDQ100" s="48"/>
      <c r="XDR100" s="48"/>
      <c r="XDS100" s="48"/>
      <c r="XDT100" s="48"/>
      <c r="XDU100" s="48"/>
      <c r="XDV100" s="48"/>
      <c r="XDW100" s="48"/>
      <c r="XDX100" s="48"/>
      <c r="XDY100" s="48"/>
      <c r="XDZ100" s="48"/>
      <c r="XEA100" s="48"/>
      <c r="XEB100" s="48"/>
      <c r="XEC100" s="48"/>
      <c r="XED100" s="48"/>
      <c r="XEE100" s="48"/>
      <c r="XEF100" s="48"/>
      <c r="XEG100" s="48"/>
      <c r="XEH100" s="48"/>
      <c r="XEI100" s="48"/>
      <c r="XEJ100" s="48"/>
      <c r="XEK100" s="48"/>
      <c r="XEL100" s="48"/>
      <c r="XEM100" s="48"/>
      <c r="XEN100" s="48"/>
      <c r="XEO100" s="48"/>
      <c r="XEP100" s="48"/>
      <c r="XEQ100" s="48"/>
      <c r="XER100" s="48"/>
      <c r="XES100" s="48"/>
      <c r="XET100" s="48"/>
      <c r="XEU100" s="48"/>
      <c r="XEV100" s="48"/>
      <c r="XEW100" s="48"/>
      <c r="XEX100" s="48"/>
      <c r="XEY100" s="48"/>
      <c r="XEZ100" s="48"/>
      <c r="XFA100" s="48"/>
      <c r="XFB100" s="48"/>
      <c r="XFC100" s="48"/>
    </row>
    <row r="101" spans="1:16383" hidden="1" x14ac:dyDescent="0.25">
      <c r="C101" s="4" t="s">
        <v>667</v>
      </c>
      <c r="D101" s="4" t="s">
        <v>668</v>
      </c>
      <c r="E101" s="4" t="s">
        <v>668</v>
      </c>
      <c r="F101" s="4">
        <v>6</v>
      </c>
      <c r="G101" s="4" t="s">
        <v>376</v>
      </c>
      <c r="H101" s="4" t="s">
        <v>46</v>
      </c>
      <c r="I101" s="4" t="s">
        <v>1030</v>
      </c>
      <c r="J101" s="4" t="s">
        <v>248</v>
      </c>
      <c r="K101" s="4" t="s">
        <v>51</v>
      </c>
      <c r="L101" s="4" t="s">
        <v>40</v>
      </c>
      <c r="M101" s="4" t="s">
        <v>984</v>
      </c>
      <c r="N101" s="4" t="s">
        <v>667</v>
      </c>
      <c r="O101" s="4" t="s">
        <v>42</v>
      </c>
      <c r="P101" s="50" t="s">
        <v>43</v>
      </c>
      <c r="Q101" s="50">
        <v>58929548.990307115</v>
      </c>
      <c r="R101" s="50" t="s">
        <v>51</v>
      </c>
      <c r="S101" s="4" t="s">
        <v>43</v>
      </c>
      <c r="T101" s="4" t="s">
        <v>46</v>
      </c>
    </row>
    <row r="102" spans="1:16383" hidden="1" x14ac:dyDescent="0.25">
      <c r="C102" s="44" t="s">
        <v>669</v>
      </c>
      <c r="D102" s="44" t="s">
        <v>670</v>
      </c>
      <c r="E102" s="44" t="s">
        <v>670</v>
      </c>
      <c r="F102" s="44">
        <v>5.45</v>
      </c>
      <c r="G102" s="4" t="s">
        <v>376</v>
      </c>
      <c r="H102" s="4" t="s">
        <v>46</v>
      </c>
      <c r="I102" s="4" t="s">
        <v>1030</v>
      </c>
      <c r="J102" s="4" t="s">
        <v>248</v>
      </c>
      <c r="K102" s="4" t="s">
        <v>51</v>
      </c>
      <c r="L102" s="4" t="s">
        <v>40</v>
      </c>
      <c r="M102" s="4" t="s">
        <v>984</v>
      </c>
      <c r="N102" s="4" t="s">
        <v>669</v>
      </c>
      <c r="O102" s="4" t="s">
        <v>42</v>
      </c>
      <c r="P102" s="50" t="s">
        <v>43</v>
      </c>
      <c r="Q102" s="50">
        <v>57178775.697329521</v>
      </c>
      <c r="R102" s="50" t="s">
        <v>51</v>
      </c>
      <c r="S102" s="4" t="s">
        <v>43</v>
      </c>
      <c r="T102" s="4" t="s">
        <v>46</v>
      </c>
    </row>
    <row r="103" spans="1:16383" hidden="1" x14ac:dyDescent="0.25">
      <c r="C103" s="4" t="s">
        <v>894</v>
      </c>
      <c r="D103" s="4" t="s">
        <v>895</v>
      </c>
      <c r="E103" s="4" t="s">
        <v>895</v>
      </c>
      <c r="F103" s="4">
        <v>5</v>
      </c>
      <c r="G103" s="4" t="s">
        <v>376</v>
      </c>
      <c r="H103" s="4" t="s">
        <v>46</v>
      </c>
      <c r="I103" s="4" t="s">
        <v>1030</v>
      </c>
      <c r="J103" s="4" t="s">
        <v>73</v>
      </c>
      <c r="K103" s="4" t="s">
        <v>609</v>
      </c>
      <c r="L103" s="4" t="s">
        <v>40</v>
      </c>
      <c r="M103" s="4" t="s">
        <v>514</v>
      </c>
      <c r="N103" s="4" t="s">
        <v>894</v>
      </c>
      <c r="O103" s="4" t="s">
        <v>42</v>
      </c>
      <c r="P103" s="50" t="s">
        <v>43</v>
      </c>
      <c r="Q103" s="50">
        <v>50646056.660200231</v>
      </c>
      <c r="R103" s="50" t="s">
        <v>886</v>
      </c>
      <c r="S103" s="4" t="s">
        <v>43</v>
      </c>
      <c r="T103" s="4" t="s">
        <v>46</v>
      </c>
    </row>
    <row r="104" spans="1:16383" hidden="1" x14ac:dyDescent="0.25">
      <c r="C104" s="4" t="s">
        <v>537</v>
      </c>
      <c r="D104" s="4" t="s">
        <v>538</v>
      </c>
      <c r="E104" s="4" t="s">
        <v>538</v>
      </c>
      <c r="F104" s="4">
        <v>6.13</v>
      </c>
      <c r="G104" s="4" t="s">
        <v>376</v>
      </c>
      <c r="H104" s="4" t="s">
        <v>46</v>
      </c>
      <c r="I104" s="4" t="s">
        <v>1030</v>
      </c>
      <c r="J104" s="4" t="s">
        <v>100</v>
      </c>
      <c r="K104" s="4" t="s">
        <v>64</v>
      </c>
      <c r="L104" s="4" t="s">
        <v>40</v>
      </c>
      <c r="M104" s="4" t="s">
        <v>514</v>
      </c>
      <c r="N104" s="4" t="s">
        <v>537</v>
      </c>
      <c r="O104" s="4" t="s">
        <v>42</v>
      </c>
      <c r="P104" s="50" t="s">
        <v>43</v>
      </c>
      <c r="Q104" s="50">
        <v>57839418.235837758</v>
      </c>
      <c r="R104" s="50" t="s">
        <v>515</v>
      </c>
      <c r="S104" s="4" t="s">
        <v>43</v>
      </c>
      <c r="T104" s="4" t="s">
        <v>46</v>
      </c>
    </row>
    <row r="105" spans="1:16383" hidden="1" x14ac:dyDescent="0.25">
      <c r="C105" s="4" t="s">
        <v>863</v>
      </c>
      <c r="D105" s="4" t="s">
        <v>864</v>
      </c>
      <c r="E105" s="4" t="s">
        <v>864</v>
      </c>
      <c r="F105" s="4">
        <v>5</v>
      </c>
      <c r="G105" s="4" t="s">
        <v>376</v>
      </c>
      <c r="H105" s="4" t="s">
        <v>46</v>
      </c>
      <c r="I105" s="4" t="s">
        <v>1030</v>
      </c>
      <c r="J105" s="4" t="s">
        <v>132</v>
      </c>
      <c r="K105" s="4" t="s">
        <v>138</v>
      </c>
      <c r="L105" s="4" t="s">
        <v>40</v>
      </c>
      <c r="M105" s="4" t="s">
        <v>1035</v>
      </c>
      <c r="N105" s="4" t="s">
        <v>863</v>
      </c>
      <c r="O105" s="4" t="s">
        <v>42</v>
      </c>
      <c r="P105" s="50" t="s">
        <v>43</v>
      </c>
      <c r="Q105" s="50">
        <v>48090751.575065963</v>
      </c>
      <c r="R105" s="50" t="s">
        <v>847</v>
      </c>
      <c r="S105" s="4" t="s">
        <v>43</v>
      </c>
      <c r="T105" s="4" t="s">
        <v>46</v>
      </c>
    </row>
    <row r="106" spans="1:16383" hidden="1" x14ac:dyDescent="0.25">
      <c r="C106" s="4" t="s">
        <v>896</v>
      </c>
      <c r="D106" s="4" t="s">
        <v>897</v>
      </c>
      <c r="E106" s="4" t="s">
        <v>897</v>
      </c>
      <c r="F106" s="4">
        <v>5</v>
      </c>
      <c r="G106" s="4" t="s">
        <v>376</v>
      </c>
      <c r="H106" s="4" t="s">
        <v>46</v>
      </c>
      <c r="I106" s="4" t="s">
        <v>1030</v>
      </c>
      <c r="J106" s="4" t="s">
        <v>73</v>
      </c>
      <c r="K106" s="4" t="s">
        <v>133</v>
      </c>
      <c r="L106" s="4" t="s">
        <v>40</v>
      </c>
      <c r="M106" s="4" t="s">
        <v>514</v>
      </c>
      <c r="N106" s="4" t="s">
        <v>896</v>
      </c>
      <c r="O106" s="4" t="s">
        <v>42</v>
      </c>
      <c r="P106" s="50" t="s">
        <v>43</v>
      </c>
      <c r="Q106" s="50">
        <v>35819112.041041493</v>
      </c>
      <c r="R106" s="50" t="s">
        <v>886</v>
      </c>
      <c r="S106" s="4" t="s">
        <v>43</v>
      </c>
      <c r="T106" s="4" t="s">
        <v>46</v>
      </c>
    </row>
    <row r="107" spans="1:16383" hidden="1" x14ac:dyDescent="0.25">
      <c r="C107" s="4" t="s">
        <v>898</v>
      </c>
      <c r="D107" s="4" t="s">
        <v>899</v>
      </c>
      <c r="E107" s="4" t="s">
        <v>899</v>
      </c>
      <c r="F107" s="4">
        <v>5.45</v>
      </c>
      <c r="G107" s="4" t="s">
        <v>376</v>
      </c>
      <c r="H107" s="4" t="s">
        <v>46</v>
      </c>
      <c r="I107" s="4" t="s">
        <v>1030</v>
      </c>
      <c r="J107" s="4" t="s">
        <v>73</v>
      </c>
      <c r="K107" s="4" t="s">
        <v>315</v>
      </c>
      <c r="L107" s="4" t="s">
        <v>40</v>
      </c>
      <c r="M107" s="4" t="s">
        <v>514</v>
      </c>
      <c r="N107" s="4" t="s">
        <v>898</v>
      </c>
      <c r="O107" s="4" t="s">
        <v>42</v>
      </c>
      <c r="P107" s="50" t="s">
        <v>440</v>
      </c>
      <c r="Q107" s="50">
        <v>54722902.514010504</v>
      </c>
      <c r="R107" s="50" t="s">
        <v>886</v>
      </c>
      <c r="S107" s="4" t="s">
        <v>43</v>
      </c>
      <c r="T107" s="4" t="s">
        <v>46</v>
      </c>
    </row>
    <row r="108" spans="1:16383" hidden="1" x14ac:dyDescent="0.25">
      <c r="C108" s="4" t="s">
        <v>950</v>
      </c>
      <c r="D108" s="4" t="s">
        <v>951</v>
      </c>
      <c r="E108" s="4" t="s">
        <v>951</v>
      </c>
      <c r="F108" s="4">
        <v>5.45</v>
      </c>
      <c r="G108" s="4" t="s">
        <v>376</v>
      </c>
      <c r="H108" s="4" t="s">
        <v>46</v>
      </c>
      <c r="I108" s="4" t="s">
        <v>1030</v>
      </c>
      <c r="J108" s="4" t="s">
        <v>160</v>
      </c>
      <c r="K108" s="4" t="s">
        <v>353</v>
      </c>
      <c r="L108" s="4" t="s">
        <v>40</v>
      </c>
      <c r="M108" s="4" t="s">
        <v>984</v>
      </c>
      <c r="N108" s="4" t="s">
        <v>950</v>
      </c>
      <c r="O108" s="4" t="s">
        <v>42</v>
      </c>
      <c r="P108" s="50" t="s">
        <v>43</v>
      </c>
      <c r="Q108" s="50">
        <v>42614264.595107347</v>
      </c>
      <c r="R108" s="50" t="s">
        <v>931</v>
      </c>
      <c r="S108" s="4" t="s">
        <v>43</v>
      </c>
      <c r="T108" s="4" t="s">
        <v>46</v>
      </c>
    </row>
    <row r="109" spans="1:16383" hidden="1" x14ac:dyDescent="0.25">
      <c r="C109" s="4" t="s">
        <v>406</v>
      </c>
      <c r="D109" s="4" t="s">
        <v>407</v>
      </c>
      <c r="E109" s="4" t="s">
        <v>407</v>
      </c>
      <c r="F109" s="4">
        <v>5.45</v>
      </c>
      <c r="G109" s="4" t="s">
        <v>376</v>
      </c>
      <c r="H109" s="4" t="s">
        <v>46</v>
      </c>
      <c r="I109" s="4" t="s">
        <v>1031</v>
      </c>
      <c r="J109" s="4" t="s">
        <v>63</v>
      </c>
      <c r="K109" s="4" t="s">
        <v>138</v>
      </c>
      <c r="L109" s="4" t="s">
        <v>40</v>
      </c>
      <c r="M109" s="4" t="s">
        <v>378</v>
      </c>
      <c r="N109" s="4" t="s">
        <v>406</v>
      </c>
      <c r="O109" s="4" t="s">
        <v>42</v>
      </c>
      <c r="P109" s="50" t="s">
        <v>43</v>
      </c>
      <c r="Q109" s="50">
        <v>48350261.802912205</v>
      </c>
      <c r="R109" s="50" t="s">
        <v>380</v>
      </c>
      <c r="S109" s="4" t="s">
        <v>43</v>
      </c>
      <c r="T109" s="4" t="s">
        <v>46</v>
      </c>
    </row>
    <row r="110" spans="1:16383" hidden="1" x14ac:dyDescent="0.25">
      <c r="C110" s="4" t="s">
        <v>429</v>
      </c>
      <c r="D110" s="4" t="s">
        <v>430</v>
      </c>
      <c r="E110" s="4" t="s">
        <v>431</v>
      </c>
      <c r="F110" s="4">
        <v>6</v>
      </c>
      <c r="G110" s="4" t="s">
        <v>376</v>
      </c>
      <c r="H110" s="4" t="s">
        <v>46</v>
      </c>
      <c r="I110" s="4" t="s">
        <v>1030</v>
      </c>
      <c r="J110" s="4" t="s">
        <v>94</v>
      </c>
      <c r="K110" s="4" t="s">
        <v>64</v>
      </c>
      <c r="L110" s="4" t="s">
        <v>40</v>
      </c>
      <c r="M110" s="4" t="s">
        <v>1035</v>
      </c>
      <c r="N110" s="4" t="s">
        <v>429</v>
      </c>
      <c r="O110" s="4" t="s">
        <v>42</v>
      </c>
      <c r="P110" s="50" t="s">
        <v>43</v>
      </c>
      <c r="Q110" s="50">
        <v>80270234.39988105</v>
      </c>
      <c r="R110" s="50" t="s">
        <v>423</v>
      </c>
      <c r="S110" s="4" t="s">
        <v>43</v>
      </c>
      <c r="T110" s="4" t="s">
        <v>46</v>
      </c>
    </row>
    <row r="111" spans="1:16383" x14ac:dyDescent="0.25">
      <c r="C111" s="97" t="s">
        <v>483</v>
      </c>
      <c r="D111" s="97" t="s">
        <v>484</v>
      </c>
      <c r="E111" s="4" t="s">
        <v>485</v>
      </c>
      <c r="F111" s="97">
        <v>5</v>
      </c>
      <c r="G111" s="4" t="s">
        <v>376</v>
      </c>
      <c r="H111" s="4" t="s">
        <v>46</v>
      </c>
      <c r="I111" s="4" t="s">
        <v>1030</v>
      </c>
      <c r="J111" s="4" t="s">
        <v>466</v>
      </c>
      <c r="K111" s="4" t="s">
        <v>51</v>
      </c>
      <c r="L111" s="4" t="s">
        <v>40</v>
      </c>
      <c r="M111" s="4" t="s">
        <v>1035</v>
      </c>
      <c r="N111" s="4" t="s">
        <v>483</v>
      </c>
      <c r="O111" s="4" t="s">
        <v>42</v>
      </c>
      <c r="P111" s="50" t="s">
        <v>43</v>
      </c>
      <c r="Q111" s="50">
        <v>68112880.945969582</v>
      </c>
      <c r="R111" s="50" t="s">
        <v>467</v>
      </c>
      <c r="S111" s="4" t="s">
        <v>43</v>
      </c>
      <c r="T111" s="4" t="s">
        <v>46</v>
      </c>
    </row>
    <row r="112" spans="1:16383" hidden="1" x14ac:dyDescent="0.25">
      <c r="C112" s="4" t="s">
        <v>539</v>
      </c>
      <c r="D112" s="4" t="s">
        <v>540</v>
      </c>
      <c r="E112" s="4" t="s">
        <v>541</v>
      </c>
      <c r="F112" s="4">
        <v>6.13</v>
      </c>
      <c r="G112" s="4" t="s">
        <v>376</v>
      </c>
      <c r="H112" s="4" t="s">
        <v>46</v>
      </c>
      <c r="I112" s="4" t="s">
        <v>1030</v>
      </c>
      <c r="J112" s="4" t="s">
        <v>100</v>
      </c>
      <c r="K112" s="4" t="s">
        <v>51</v>
      </c>
      <c r="L112" s="4" t="s">
        <v>40</v>
      </c>
      <c r="M112" s="4" t="s">
        <v>514</v>
      </c>
      <c r="N112" s="4" t="s">
        <v>539</v>
      </c>
      <c r="O112" s="4" t="s">
        <v>42</v>
      </c>
      <c r="P112" s="50" t="s">
        <v>43</v>
      </c>
      <c r="Q112" s="50">
        <v>57581330.069939882</v>
      </c>
      <c r="R112" s="50" t="s">
        <v>515</v>
      </c>
      <c r="S112" s="4" t="s">
        <v>43</v>
      </c>
      <c r="T112" s="4" t="s">
        <v>46</v>
      </c>
    </row>
    <row r="113" spans="3:20" hidden="1" x14ac:dyDescent="0.25">
      <c r="C113" s="4" t="s">
        <v>432</v>
      </c>
      <c r="D113" s="4" t="s">
        <v>433</v>
      </c>
      <c r="E113" s="4" t="s">
        <v>434</v>
      </c>
      <c r="F113" s="4">
        <v>5.45</v>
      </c>
      <c r="G113" s="4" t="s">
        <v>376</v>
      </c>
      <c r="H113" s="4" t="s">
        <v>46</v>
      </c>
      <c r="I113" s="4" t="s">
        <v>1030</v>
      </c>
      <c r="J113" s="4" t="s">
        <v>94</v>
      </c>
      <c r="K113" s="4" t="s">
        <v>205</v>
      </c>
      <c r="L113" s="4" t="s">
        <v>40</v>
      </c>
      <c r="M113" s="4" t="s">
        <v>1035</v>
      </c>
      <c r="N113" s="4" t="s">
        <v>432</v>
      </c>
      <c r="O113" s="4" t="s">
        <v>42</v>
      </c>
      <c r="P113" s="50" t="s">
        <v>43</v>
      </c>
      <c r="Q113" s="50">
        <v>55861853.826456673</v>
      </c>
      <c r="R113" s="50" t="s">
        <v>423</v>
      </c>
      <c r="S113" s="4" t="s">
        <v>43</v>
      </c>
      <c r="T113" s="4" t="s">
        <v>46</v>
      </c>
    </row>
    <row r="114" spans="3:20" hidden="1" x14ac:dyDescent="0.25">
      <c r="C114" s="4" t="s">
        <v>671</v>
      </c>
      <c r="D114" s="4" t="s">
        <v>672</v>
      </c>
      <c r="E114" s="4" t="s">
        <v>672</v>
      </c>
      <c r="F114" s="4">
        <v>5</v>
      </c>
      <c r="G114" s="4" t="s">
        <v>376</v>
      </c>
      <c r="H114" s="4" t="s">
        <v>46</v>
      </c>
      <c r="I114" s="4" t="s">
        <v>1030</v>
      </c>
      <c r="J114" s="4" t="s">
        <v>248</v>
      </c>
      <c r="K114" s="4" t="s">
        <v>51</v>
      </c>
      <c r="L114" s="4" t="s">
        <v>40</v>
      </c>
      <c r="M114" s="4" t="s">
        <v>984</v>
      </c>
      <c r="N114" s="4" t="s">
        <v>671</v>
      </c>
      <c r="O114" s="4" t="s">
        <v>42</v>
      </c>
      <c r="P114" s="50" t="s">
        <v>43</v>
      </c>
      <c r="Q114" s="50">
        <v>48172301.396687821</v>
      </c>
      <c r="R114" s="50" t="s">
        <v>51</v>
      </c>
      <c r="S114" s="4" t="s">
        <v>43</v>
      </c>
      <c r="T114" s="4" t="s">
        <v>46</v>
      </c>
    </row>
    <row r="115" spans="3:20" hidden="1" x14ac:dyDescent="0.25">
      <c r="C115" s="4" t="s">
        <v>567</v>
      </c>
      <c r="D115" s="4" t="s">
        <v>568</v>
      </c>
      <c r="E115" s="4" t="s">
        <v>568</v>
      </c>
      <c r="F115" s="4">
        <v>5</v>
      </c>
      <c r="G115" s="4" t="s">
        <v>376</v>
      </c>
      <c r="H115" s="4" t="s">
        <v>46</v>
      </c>
      <c r="I115" s="4" t="s">
        <v>1030</v>
      </c>
      <c r="J115" s="4" t="s">
        <v>331</v>
      </c>
      <c r="K115" s="4" t="s">
        <v>138</v>
      </c>
      <c r="L115" s="4" t="s">
        <v>40</v>
      </c>
      <c r="M115" s="4" t="s">
        <v>984</v>
      </c>
      <c r="N115" s="4" t="s">
        <v>567</v>
      </c>
      <c r="O115" s="4" t="s">
        <v>42</v>
      </c>
      <c r="P115" s="50" t="s">
        <v>43</v>
      </c>
      <c r="Q115" s="50">
        <v>44138447.377480105</v>
      </c>
      <c r="R115" s="50" t="s">
        <v>557</v>
      </c>
      <c r="S115" s="4" t="s">
        <v>43</v>
      </c>
      <c r="T115" s="4" t="s">
        <v>46</v>
      </c>
    </row>
    <row r="116" spans="3:20" hidden="1" x14ac:dyDescent="0.25">
      <c r="C116" s="4" t="s">
        <v>435</v>
      </c>
      <c r="D116" s="4" t="s">
        <v>436</v>
      </c>
      <c r="E116" s="4" t="s">
        <v>436</v>
      </c>
      <c r="F116" s="4">
        <v>5</v>
      </c>
      <c r="G116" s="4" t="s">
        <v>376</v>
      </c>
      <c r="H116" s="4" t="s">
        <v>46</v>
      </c>
      <c r="I116" s="4" t="s">
        <v>1030</v>
      </c>
      <c r="J116" s="4" t="s">
        <v>94</v>
      </c>
      <c r="K116" s="4" t="s">
        <v>64</v>
      </c>
      <c r="L116" s="4" t="s">
        <v>40</v>
      </c>
      <c r="M116" s="4" t="s">
        <v>1035</v>
      </c>
      <c r="N116" s="4" t="s">
        <v>435</v>
      </c>
      <c r="O116" s="4" t="s">
        <v>42</v>
      </c>
      <c r="P116" s="50" t="s">
        <v>43</v>
      </c>
      <c r="Q116" s="50">
        <v>63600972.760103814</v>
      </c>
      <c r="R116" s="50" t="s">
        <v>423</v>
      </c>
      <c r="S116" s="4" t="s">
        <v>43</v>
      </c>
      <c r="T116" s="4" t="s">
        <v>46</v>
      </c>
    </row>
    <row r="117" spans="3:20" hidden="1" x14ac:dyDescent="0.25">
      <c r="C117" s="4" t="s">
        <v>865</v>
      </c>
      <c r="D117" s="4" t="s">
        <v>866</v>
      </c>
      <c r="E117" s="4" t="s">
        <v>866</v>
      </c>
      <c r="F117" s="4">
        <v>6</v>
      </c>
      <c r="G117" s="4" t="s">
        <v>376</v>
      </c>
      <c r="H117" s="4" t="s">
        <v>46</v>
      </c>
      <c r="I117" s="4" t="s">
        <v>1030</v>
      </c>
      <c r="J117" s="4" t="s">
        <v>132</v>
      </c>
      <c r="K117" s="4" t="s">
        <v>856</v>
      </c>
      <c r="L117" s="4" t="s">
        <v>40</v>
      </c>
      <c r="M117" s="4" t="s">
        <v>1035</v>
      </c>
      <c r="N117" s="4" t="s">
        <v>865</v>
      </c>
      <c r="O117" s="4" t="s">
        <v>42</v>
      </c>
      <c r="P117" s="50" t="s">
        <v>43</v>
      </c>
      <c r="Q117" s="50">
        <v>56351291.687915325</v>
      </c>
      <c r="R117" s="50" t="s">
        <v>847</v>
      </c>
      <c r="S117" s="4" t="s">
        <v>43</v>
      </c>
      <c r="T117" s="4" t="s">
        <v>46</v>
      </c>
    </row>
    <row r="118" spans="3:20" hidden="1" x14ac:dyDescent="0.25">
      <c r="C118" s="4" t="s">
        <v>486</v>
      </c>
      <c r="D118" s="4" t="s">
        <v>487</v>
      </c>
      <c r="E118" s="4" t="s">
        <v>487</v>
      </c>
      <c r="F118" s="4">
        <v>5</v>
      </c>
      <c r="G118" s="4" t="s">
        <v>376</v>
      </c>
      <c r="H118" s="4" t="s">
        <v>46</v>
      </c>
      <c r="I118" s="4" t="s">
        <v>1030</v>
      </c>
      <c r="J118" s="4" t="s">
        <v>466</v>
      </c>
      <c r="K118" s="4" t="s">
        <v>51</v>
      </c>
      <c r="L118" s="4" t="s">
        <v>40</v>
      </c>
      <c r="M118" s="4" t="s">
        <v>1035</v>
      </c>
      <c r="N118" s="4" t="s">
        <v>486</v>
      </c>
      <c r="O118" s="4" t="s">
        <v>42</v>
      </c>
      <c r="P118" s="50" t="s">
        <v>43</v>
      </c>
      <c r="Q118" s="50">
        <v>48797500.393176541</v>
      </c>
      <c r="R118" s="50" t="s">
        <v>467</v>
      </c>
      <c r="S118" s="4" t="s">
        <v>43</v>
      </c>
      <c r="T118" s="4" t="s">
        <v>46</v>
      </c>
    </row>
    <row r="119" spans="3:20" hidden="1" x14ac:dyDescent="0.25">
      <c r="C119" s="4" t="s">
        <v>673</v>
      </c>
      <c r="D119" s="4" t="s">
        <v>674</v>
      </c>
      <c r="E119" s="4" t="s">
        <v>674</v>
      </c>
      <c r="F119" s="4">
        <v>5.45</v>
      </c>
      <c r="G119" s="4" t="s">
        <v>376</v>
      </c>
      <c r="H119" s="4" t="s">
        <v>46</v>
      </c>
      <c r="I119" s="4" t="s">
        <v>1030</v>
      </c>
      <c r="J119" s="4" t="s">
        <v>248</v>
      </c>
      <c r="K119" s="4" t="s">
        <v>51</v>
      </c>
      <c r="L119" s="4" t="s">
        <v>40</v>
      </c>
      <c r="M119" s="4" t="s">
        <v>984</v>
      </c>
      <c r="N119" s="4" t="s">
        <v>673</v>
      </c>
      <c r="O119" s="4" t="s">
        <v>42</v>
      </c>
      <c r="P119" s="50" t="s">
        <v>43</v>
      </c>
      <c r="Q119" s="50">
        <v>41768196.211722031</v>
      </c>
      <c r="R119" s="50" t="s">
        <v>51</v>
      </c>
      <c r="S119" s="4" t="s">
        <v>43</v>
      </c>
      <c r="T119" s="4" t="s">
        <v>46</v>
      </c>
    </row>
    <row r="120" spans="3:20" hidden="1" x14ac:dyDescent="0.25">
      <c r="C120" s="4" t="s">
        <v>569</v>
      </c>
      <c r="D120" s="4" t="s">
        <v>570</v>
      </c>
      <c r="E120" s="4" t="s">
        <v>570</v>
      </c>
      <c r="F120" s="4">
        <v>5.45</v>
      </c>
      <c r="G120" s="4" t="s">
        <v>376</v>
      </c>
      <c r="H120" s="4" t="s">
        <v>46</v>
      </c>
      <c r="I120" s="4" t="s">
        <v>1030</v>
      </c>
      <c r="J120" s="4" t="s">
        <v>331</v>
      </c>
      <c r="K120" s="4" t="s">
        <v>138</v>
      </c>
      <c r="L120" s="4" t="s">
        <v>40</v>
      </c>
      <c r="M120" s="4" t="s">
        <v>984</v>
      </c>
      <c r="N120" s="4" t="s">
        <v>569</v>
      </c>
      <c r="O120" s="4" t="s">
        <v>42</v>
      </c>
      <c r="P120" s="50" t="s">
        <v>43</v>
      </c>
      <c r="Q120" s="50">
        <v>55353417.179270662</v>
      </c>
      <c r="R120" s="50" t="s">
        <v>557</v>
      </c>
      <c r="S120" s="4" t="s">
        <v>43</v>
      </c>
      <c r="T120" s="4" t="s">
        <v>46</v>
      </c>
    </row>
    <row r="121" spans="3:20" hidden="1" x14ac:dyDescent="0.25">
      <c r="C121" s="4" t="s">
        <v>750</v>
      </c>
      <c r="D121" s="4" t="s">
        <v>751</v>
      </c>
      <c r="E121" s="4" t="s">
        <v>751</v>
      </c>
      <c r="F121" s="4">
        <v>5</v>
      </c>
      <c r="G121" s="4" t="s">
        <v>376</v>
      </c>
      <c r="H121" s="4" t="s">
        <v>46</v>
      </c>
      <c r="I121" s="4" t="s">
        <v>1031</v>
      </c>
      <c r="J121" s="4" t="s">
        <v>84</v>
      </c>
      <c r="K121" s="4" t="s">
        <v>54</v>
      </c>
      <c r="L121" s="4" t="s">
        <v>55</v>
      </c>
      <c r="M121" s="4" t="s">
        <v>378</v>
      </c>
      <c r="N121" s="4" t="s">
        <v>750</v>
      </c>
      <c r="O121" s="4" t="s">
        <v>42</v>
      </c>
      <c r="P121" s="50" t="s">
        <v>43</v>
      </c>
      <c r="Q121" s="50">
        <v>45916522.708808511</v>
      </c>
      <c r="R121" s="50" t="s">
        <v>741</v>
      </c>
      <c r="S121" s="4" t="s">
        <v>43</v>
      </c>
      <c r="T121" s="4" t="s">
        <v>46</v>
      </c>
    </row>
    <row r="122" spans="3:20" x14ac:dyDescent="0.25">
      <c r="C122" s="97" t="s">
        <v>488</v>
      </c>
      <c r="D122" s="97" t="s">
        <v>489</v>
      </c>
      <c r="E122" s="4" t="s">
        <v>490</v>
      </c>
      <c r="F122" s="97">
        <v>5</v>
      </c>
      <c r="G122" s="4" t="s">
        <v>376</v>
      </c>
      <c r="H122" s="4" t="s">
        <v>46</v>
      </c>
      <c r="I122" s="4" t="s">
        <v>1030</v>
      </c>
      <c r="J122" s="4" t="s">
        <v>466</v>
      </c>
      <c r="K122" s="4" t="s">
        <v>51</v>
      </c>
      <c r="L122" s="4" t="s">
        <v>40</v>
      </c>
      <c r="M122" s="4" t="s">
        <v>1035</v>
      </c>
      <c r="N122" s="4" t="s">
        <v>488</v>
      </c>
      <c r="O122" s="4" t="s">
        <v>42</v>
      </c>
      <c r="P122" s="50" t="s">
        <v>43</v>
      </c>
      <c r="Q122" s="50">
        <v>48555930.231781766</v>
      </c>
      <c r="R122" s="50" t="s">
        <v>467</v>
      </c>
      <c r="S122" s="4" t="s">
        <v>43</v>
      </c>
      <c r="T122" s="4" t="s">
        <v>46</v>
      </c>
    </row>
    <row r="123" spans="3:20" hidden="1" x14ac:dyDescent="0.25">
      <c r="C123" s="4" t="s">
        <v>952</v>
      </c>
      <c r="D123" s="4" t="s">
        <v>953</v>
      </c>
      <c r="E123" s="4" t="s">
        <v>953</v>
      </c>
      <c r="F123" s="4">
        <v>5.45</v>
      </c>
      <c r="G123" s="4" t="s">
        <v>376</v>
      </c>
      <c r="H123" s="4" t="s">
        <v>46</v>
      </c>
      <c r="I123" s="4" t="s">
        <v>1030</v>
      </c>
      <c r="J123" s="4" t="s">
        <v>160</v>
      </c>
      <c r="K123" s="4" t="s">
        <v>371</v>
      </c>
      <c r="L123" s="4" t="s">
        <v>40</v>
      </c>
      <c r="M123" s="4" t="s">
        <v>984</v>
      </c>
      <c r="N123" s="4" t="s">
        <v>952</v>
      </c>
      <c r="O123" s="4" t="s">
        <v>42</v>
      </c>
      <c r="P123" s="50" t="s">
        <v>43</v>
      </c>
      <c r="Q123" s="50">
        <v>51897367.640558772</v>
      </c>
      <c r="R123" s="50" t="s">
        <v>931</v>
      </c>
      <c r="S123" s="4" t="s">
        <v>43</v>
      </c>
      <c r="T123" s="4" t="s">
        <v>46</v>
      </c>
    </row>
    <row r="124" spans="3:20" hidden="1" x14ac:dyDescent="0.25">
      <c r="C124" s="4" t="s">
        <v>675</v>
      </c>
      <c r="D124" s="4" t="s">
        <v>676</v>
      </c>
      <c r="E124" s="4" t="s">
        <v>676</v>
      </c>
      <c r="F124" s="4">
        <v>5</v>
      </c>
      <c r="G124" s="4" t="s">
        <v>376</v>
      </c>
      <c r="H124" s="4" t="s">
        <v>81</v>
      </c>
      <c r="I124" s="4" t="s">
        <v>1030</v>
      </c>
      <c r="J124" s="4" t="s">
        <v>248</v>
      </c>
      <c r="K124" s="4" t="s">
        <v>51</v>
      </c>
      <c r="L124" s="4" t="s">
        <v>40</v>
      </c>
      <c r="M124" s="4" t="s">
        <v>984</v>
      </c>
      <c r="N124" s="4" t="s">
        <v>675</v>
      </c>
      <c r="O124" s="4" t="s">
        <v>42</v>
      </c>
      <c r="P124" s="50" t="s">
        <v>43</v>
      </c>
      <c r="Q124" s="50">
        <v>48634318.081191868</v>
      </c>
      <c r="R124" s="50" t="s">
        <v>51</v>
      </c>
      <c r="S124" s="4" t="s">
        <v>43</v>
      </c>
      <c r="T124" s="4" t="s">
        <v>81</v>
      </c>
    </row>
    <row r="125" spans="3:20" hidden="1" x14ac:dyDescent="0.25">
      <c r="C125" s="4" t="s">
        <v>780</v>
      </c>
      <c r="D125" s="4" t="s">
        <v>781</v>
      </c>
      <c r="E125" s="4" t="s">
        <v>781</v>
      </c>
      <c r="F125" s="4">
        <v>5.45</v>
      </c>
      <c r="G125" s="4" t="s">
        <v>376</v>
      </c>
      <c r="H125" s="4" t="s">
        <v>46</v>
      </c>
      <c r="I125" s="4" t="s">
        <v>1031</v>
      </c>
      <c r="J125" s="4" t="s">
        <v>89</v>
      </c>
      <c r="K125" s="4" t="s">
        <v>109</v>
      </c>
      <c r="L125" s="4" t="s">
        <v>91</v>
      </c>
      <c r="M125" s="4" t="s">
        <v>378</v>
      </c>
      <c r="N125" s="4" t="s">
        <v>780</v>
      </c>
      <c r="O125" s="4" t="s">
        <v>42</v>
      </c>
      <c r="P125" s="50" t="s">
        <v>43</v>
      </c>
      <c r="Q125" s="50">
        <v>49761849.977338254</v>
      </c>
      <c r="R125" s="50" t="s">
        <v>772</v>
      </c>
      <c r="S125" s="4" t="s">
        <v>43</v>
      </c>
      <c r="T125" s="4" t="s">
        <v>46</v>
      </c>
    </row>
    <row r="126" spans="3:20" hidden="1" x14ac:dyDescent="0.25">
      <c r="C126" s="4" t="s">
        <v>628</v>
      </c>
      <c r="D126" s="4" t="s">
        <v>996</v>
      </c>
      <c r="E126" s="4" t="s">
        <v>630</v>
      </c>
      <c r="F126" s="4">
        <v>5.6</v>
      </c>
      <c r="G126" s="4" t="s">
        <v>376</v>
      </c>
      <c r="H126" s="4" t="s">
        <v>46</v>
      </c>
      <c r="I126" s="4" t="s">
        <v>1030</v>
      </c>
      <c r="J126" s="4" t="s">
        <v>50</v>
      </c>
      <c r="K126" s="4" t="s">
        <v>64</v>
      </c>
      <c r="L126" s="4" t="s">
        <v>40</v>
      </c>
      <c r="M126" s="4" t="s">
        <v>514</v>
      </c>
      <c r="N126" s="4" t="s">
        <v>628</v>
      </c>
      <c r="O126" s="4" t="s">
        <v>42</v>
      </c>
      <c r="P126" s="50" t="s">
        <v>43</v>
      </c>
      <c r="Q126" s="50">
        <v>35971834.533899993</v>
      </c>
      <c r="R126" s="50" t="s">
        <v>597</v>
      </c>
      <c r="S126" s="4" t="s">
        <v>43</v>
      </c>
      <c r="T126" s="4" t="s">
        <v>46</v>
      </c>
    </row>
    <row r="127" spans="3:20" hidden="1" x14ac:dyDescent="0.25">
      <c r="C127" s="4" t="s">
        <v>408</v>
      </c>
      <c r="D127" s="4" t="s">
        <v>409</v>
      </c>
      <c r="E127" s="4" t="s">
        <v>410</v>
      </c>
      <c r="F127" s="4">
        <v>5</v>
      </c>
      <c r="G127" s="4" t="s">
        <v>376</v>
      </c>
      <c r="H127" s="4" t="s">
        <v>46</v>
      </c>
      <c r="I127" s="4" t="s">
        <v>1031</v>
      </c>
      <c r="J127" s="4" t="s">
        <v>63</v>
      </c>
      <c r="K127" s="4" t="s">
        <v>138</v>
      </c>
      <c r="L127" s="4" t="s">
        <v>40</v>
      </c>
      <c r="M127" s="4" t="s">
        <v>378</v>
      </c>
      <c r="N127" s="4" t="s">
        <v>408</v>
      </c>
      <c r="O127" s="4" t="s">
        <v>42</v>
      </c>
      <c r="P127" s="50" t="s">
        <v>43</v>
      </c>
      <c r="Q127" s="50">
        <v>50344618.851810172</v>
      </c>
      <c r="R127" s="50" t="s">
        <v>380</v>
      </c>
      <c r="S127" s="4" t="s">
        <v>43</v>
      </c>
      <c r="T127" s="4" t="s">
        <v>46</v>
      </c>
    </row>
    <row r="128" spans="3:20" hidden="1" x14ac:dyDescent="0.25">
      <c r="C128" s="4" t="s">
        <v>677</v>
      </c>
      <c r="D128" s="4" t="s">
        <v>678</v>
      </c>
      <c r="E128" s="4" t="s">
        <v>679</v>
      </c>
      <c r="F128" s="4">
        <v>5</v>
      </c>
      <c r="G128" s="4" t="s">
        <v>376</v>
      </c>
      <c r="H128" s="4" t="s">
        <v>46</v>
      </c>
      <c r="I128" s="4" t="s">
        <v>1030</v>
      </c>
      <c r="J128" s="4" t="s">
        <v>248</v>
      </c>
      <c r="K128" s="4" t="s">
        <v>51</v>
      </c>
      <c r="L128" s="4" t="s">
        <v>40</v>
      </c>
      <c r="M128" s="4" t="s">
        <v>984</v>
      </c>
      <c r="N128" s="4" t="s">
        <v>677</v>
      </c>
      <c r="O128" s="4" t="s">
        <v>42</v>
      </c>
      <c r="P128" s="50" t="s">
        <v>43</v>
      </c>
      <c r="Q128" s="50">
        <v>51338356.975515299</v>
      </c>
      <c r="R128" s="50" t="s">
        <v>51</v>
      </c>
      <c r="S128" s="4" t="s">
        <v>43</v>
      </c>
      <c r="T128" s="4" t="s">
        <v>46</v>
      </c>
    </row>
    <row r="129" spans="3:20" hidden="1" x14ac:dyDescent="0.25">
      <c r="C129" s="4" t="s">
        <v>571</v>
      </c>
      <c r="D129" s="4" t="s">
        <v>572</v>
      </c>
      <c r="E129" s="4" t="s">
        <v>572</v>
      </c>
      <c r="F129" s="4">
        <v>6</v>
      </c>
      <c r="G129" s="4" t="s">
        <v>376</v>
      </c>
      <c r="H129" s="4" t="s">
        <v>46</v>
      </c>
      <c r="I129" s="4" t="s">
        <v>1030</v>
      </c>
      <c r="J129" s="4" t="s">
        <v>331</v>
      </c>
      <c r="K129" s="4" t="s">
        <v>138</v>
      </c>
      <c r="L129" s="4" t="s">
        <v>40</v>
      </c>
      <c r="M129" s="4" t="s">
        <v>984</v>
      </c>
      <c r="N129" s="4" t="s">
        <v>571</v>
      </c>
      <c r="O129" s="4" t="s">
        <v>42</v>
      </c>
      <c r="P129" s="50" t="s">
        <v>43</v>
      </c>
      <c r="Q129" s="50">
        <v>58947180.219210781</v>
      </c>
      <c r="R129" s="50" t="s">
        <v>557</v>
      </c>
      <c r="S129" s="4" t="s">
        <v>43</v>
      </c>
      <c r="T129" s="4" t="s">
        <v>46</v>
      </c>
    </row>
    <row r="130" spans="3:20" hidden="1" x14ac:dyDescent="0.25">
      <c r="C130" s="4" t="s">
        <v>752</v>
      </c>
      <c r="D130" s="4" t="s">
        <v>753</v>
      </c>
      <c r="E130" s="4" t="s">
        <v>753</v>
      </c>
      <c r="F130" s="4">
        <v>8</v>
      </c>
      <c r="G130" s="4" t="s">
        <v>376</v>
      </c>
      <c r="H130" s="4" t="s">
        <v>46</v>
      </c>
      <c r="I130" s="4" t="s">
        <v>1031</v>
      </c>
      <c r="J130" s="4" t="s">
        <v>84</v>
      </c>
      <c r="K130" s="4" t="s">
        <v>54</v>
      </c>
      <c r="L130" s="4" t="s">
        <v>55</v>
      </c>
      <c r="M130" s="4" t="s">
        <v>378</v>
      </c>
      <c r="N130" s="4" t="s">
        <v>752</v>
      </c>
      <c r="O130" s="4" t="s">
        <v>379</v>
      </c>
      <c r="P130" s="50" t="s">
        <v>43</v>
      </c>
      <c r="Q130" s="50">
        <v>59895549.842438169</v>
      </c>
      <c r="R130" s="50" t="s">
        <v>741</v>
      </c>
      <c r="S130" s="4" t="s">
        <v>43</v>
      </c>
      <c r="T130" s="4" t="s">
        <v>46</v>
      </c>
    </row>
    <row r="131" spans="3:20" hidden="1" x14ac:dyDescent="0.25">
      <c r="C131" s="4" t="s">
        <v>680</v>
      </c>
      <c r="D131" s="4" t="s">
        <v>681</v>
      </c>
      <c r="E131" s="4" t="s">
        <v>682</v>
      </c>
      <c r="F131" s="4">
        <v>5</v>
      </c>
      <c r="G131" s="4" t="s">
        <v>376</v>
      </c>
      <c r="H131" s="4" t="s">
        <v>46</v>
      </c>
      <c r="I131" s="4" t="s">
        <v>1030</v>
      </c>
      <c r="J131" s="4" t="s">
        <v>248</v>
      </c>
      <c r="K131" s="4" t="s">
        <v>51</v>
      </c>
      <c r="L131" s="4" t="s">
        <v>40</v>
      </c>
      <c r="M131" s="4" t="s">
        <v>984</v>
      </c>
      <c r="N131" s="4" t="s">
        <v>680</v>
      </c>
      <c r="O131" s="4" t="s">
        <v>42</v>
      </c>
      <c r="P131" s="50" t="s">
        <v>440</v>
      </c>
      <c r="Q131" s="50">
        <v>29835363.5621139</v>
      </c>
      <c r="R131" s="50" t="s">
        <v>51</v>
      </c>
      <c r="S131" s="4" t="s">
        <v>43</v>
      </c>
      <c r="T131" s="4" t="s">
        <v>46</v>
      </c>
    </row>
    <row r="132" spans="3:20" hidden="1" x14ac:dyDescent="0.25">
      <c r="C132" s="4" t="s">
        <v>954</v>
      </c>
      <c r="D132" s="4" t="s">
        <v>955</v>
      </c>
      <c r="E132" s="4" t="s">
        <v>956</v>
      </c>
      <c r="F132" s="4">
        <v>5</v>
      </c>
      <c r="G132" s="4" t="s">
        <v>376</v>
      </c>
      <c r="H132" s="4" t="s">
        <v>46</v>
      </c>
      <c r="I132" s="4" t="s">
        <v>1030</v>
      </c>
      <c r="J132" s="4" t="s">
        <v>160</v>
      </c>
      <c r="K132" s="4" t="s">
        <v>353</v>
      </c>
      <c r="L132" s="4" t="s">
        <v>40</v>
      </c>
      <c r="M132" s="4" t="s">
        <v>984</v>
      </c>
      <c r="N132" s="4" t="s">
        <v>954</v>
      </c>
      <c r="O132" s="4" t="s">
        <v>42</v>
      </c>
      <c r="P132" s="50" t="s">
        <v>440</v>
      </c>
      <c r="Q132" s="50">
        <v>46106269.458120339</v>
      </c>
      <c r="R132" s="50" t="s">
        <v>931</v>
      </c>
      <c r="S132" s="4" t="s">
        <v>43</v>
      </c>
      <c r="T132" s="4" t="s">
        <v>46</v>
      </c>
    </row>
    <row r="133" spans="3:20" hidden="1" x14ac:dyDescent="0.25">
      <c r="C133" s="4" t="s">
        <v>68</v>
      </c>
      <c r="D133" s="4" t="s">
        <v>69</v>
      </c>
      <c r="E133" s="4" t="s">
        <v>70</v>
      </c>
      <c r="F133" s="4" t="s">
        <v>36</v>
      </c>
      <c r="G133" s="4" t="s">
        <v>37</v>
      </c>
      <c r="H133" s="4" t="s">
        <v>38</v>
      </c>
      <c r="I133" s="4" t="s">
        <v>1030</v>
      </c>
      <c r="J133" s="4" t="s">
        <v>58</v>
      </c>
      <c r="K133" s="4" t="s">
        <v>64</v>
      </c>
      <c r="L133" s="4" t="s">
        <v>40</v>
      </c>
      <c r="M133" s="4">
        <v>0</v>
      </c>
      <c r="N133" s="4" t="s">
        <v>68</v>
      </c>
      <c r="O133" s="4" t="s">
        <v>42</v>
      </c>
      <c r="P133" s="50" t="s">
        <v>43</v>
      </c>
      <c r="Q133" s="50" t="s">
        <v>36</v>
      </c>
      <c r="R133" s="50">
        <v>0</v>
      </c>
      <c r="S133" s="4" t="s">
        <v>36</v>
      </c>
      <c r="T133" s="4" t="s">
        <v>38</v>
      </c>
    </row>
    <row r="134" spans="3:20" hidden="1" x14ac:dyDescent="0.25">
      <c r="C134" s="4" t="s">
        <v>867</v>
      </c>
      <c r="D134" s="4" t="s">
        <v>997</v>
      </c>
      <c r="E134" s="4" t="s">
        <v>869</v>
      </c>
      <c r="F134" s="4">
        <v>5.04</v>
      </c>
      <c r="G134" s="4" t="s">
        <v>376</v>
      </c>
      <c r="H134" s="4" t="s">
        <v>46</v>
      </c>
      <c r="I134" s="4" t="s">
        <v>1030</v>
      </c>
      <c r="J134" s="4" t="s">
        <v>132</v>
      </c>
      <c r="K134" s="4" t="s">
        <v>856</v>
      </c>
      <c r="L134" s="4" t="s">
        <v>40</v>
      </c>
      <c r="M134" s="4" t="s">
        <v>1035</v>
      </c>
      <c r="N134" s="4" t="s">
        <v>867</v>
      </c>
      <c r="O134" s="4" t="s">
        <v>42</v>
      </c>
      <c r="P134" s="50" t="s">
        <v>440</v>
      </c>
      <c r="Q134" s="50">
        <v>0</v>
      </c>
      <c r="R134" s="50" t="s">
        <v>847</v>
      </c>
      <c r="S134" s="4" t="s">
        <v>43</v>
      </c>
      <c r="T134" s="4" t="s">
        <v>46</v>
      </c>
    </row>
    <row r="135" spans="3:20" hidden="1" x14ac:dyDescent="0.25">
      <c r="C135" s="4" t="s">
        <v>71</v>
      </c>
      <c r="D135" s="4" t="s">
        <v>72</v>
      </c>
      <c r="E135" s="4" t="s">
        <v>72</v>
      </c>
      <c r="F135" s="4">
        <v>0</v>
      </c>
      <c r="G135" s="4" t="s">
        <v>37</v>
      </c>
      <c r="H135" s="4" t="s">
        <v>46</v>
      </c>
      <c r="I135" s="4" t="s">
        <v>1030</v>
      </c>
      <c r="J135" s="4" t="s">
        <v>73</v>
      </c>
      <c r="K135" s="4" t="s">
        <v>74</v>
      </c>
      <c r="L135" s="4" t="s">
        <v>40</v>
      </c>
      <c r="M135" s="4">
        <v>0</v>
      </c>
      <c r="N135" s="4" t="s">
        <v>71</v>
      </c>
      <c r="O135" s="4" t="s">
        <v>42</v>
      </c>
      <c r="P135" s="50" t="s">
        <v>43</v>
      </c>
      <c r="Q135" s="50" t="s">
        <v>36</v>
      </c>
      <c r="R135" s="50">
        <v>0</v>
      </c>
      <c r="S135" s="4" t="s">
        <v>36</v>
      </c>
      <c r="T135" s="4" t="s">
        <v>46</v>
      </c>
    </row>
    <row r="136" spans="3:20" hidden="1" x14ac:dyDescent="0.25">
      <c r="C136" s="4" t="s">
        <v>802</v>
      </c>
      <c r="D136" s="4" t="s">
        <v>803</v>
      </c>
      <c r="E136" s="4" t="s">
        <v>803</v>
      </c>
      <c r="F136" s="4">
        <v>7</v>
      </c>
      <c r="G136" s="4" t="s">
        <v>376</v>
      </c>
      <c r="H136" s="4" t="s">
        <v>46</v>
      </c>
      <c r="I136" s="4" t="s">
        <v>1030</v>
      </c>
      <c r="J136" s="4" t="s">
        <v>146</v>
      </c>
      <c r="K136" s="4" t="s">
        <v>59</v>
      </c>
      <c r="L136" s="4" t="s">
        <v>40</v>
      </c>
      <c r="M136" s="4" t="s">
        <v>1035</v>
      </c>
      <c r="N136" s="4" t="s">
        <v>802</v>
      </c>
      <c r="O136" s="4" t="s">
        <v>42</v>
      </c>
      <c r="P136" s="50" t="s">
        <v>43</v>
      </c>
      <c r="Q136" s="50">
        <v>66819316.025451712</v>
      </c>
      <c r="R136" s="50" t="s">
        <v>799</v>
      </c>
      <c r="S136" s="4" t="s">
        <v>43</v>
      </c>
      <c r="T136" s="4" t="s">
        <v>46</v>
      </c>
    </row>
    <row r="137" spans="3:20" hidden="1" x14ac:dyDescent="0.25">
      <c r="C137" s="4" t="s">
        <v>957</v>
      </c>
      <c r="D137" s="4" t="s">
        <v>959</v>
      </c>
      <c r="E137" s="4" t="s">
        <v>998</v>
      </c>
      <c r="F137" s="44">
        <v>5.45</v>
      </c>
      <c r="G137" s="4" t="s">
        <v>376</v>
      </c>
      <c r="H137" s="4" t="s">
        <v>46</v>
      </c>
      <c r="I137" s="4" t="s">
        <v>1030</v>
      </c>
      <c r="J137" s="4" t="s">
        <v>160</v>
      </c>
      <c r="K137" s="4" t="s">
        <v>39</v>
      </c>
      <c r="L137" s="4" t="s">
        <v>40</v>
      </c>
      <c r="M137" s="4" t="s">
        <v>984</v>
      </c>
      <c r="N137" s="4" t="s">
        <v>957</v>
      </c>
      <c r="O137" s="4" t="s">
        <v>42</v>
      </c>
      <c r="P137" s="50" t="s">
        <v>43</v>
      </c>
      <c r="Q137" s="50">
        <v>71132904.015317902</v>
      </c>
      <c r="R137" s="50" t="s">
        <v>931</v>
      </c>
      <c r="S137" s="4" t="s">
        <v>43</v>
      </c>
      <c r="T137" s="4" t="s">
        <v>46</v>
      </c>
    </row>
    <row r="138" spans="3:20" hidden="1" x14ac:dyDescent="0.25">
      <c r="C138" s="4" t="s">
        <v>75</v>
      </c>
      <c r="D138" s="4" t="s">
        <v>76</v>
      </c>
      <c r="E138" s="4" t="s">
        <v>77</v>
      </c>
      <c r="F138" s="4" t="s">
        <v>36</v>
      </c>
      <c r="G138" s="4" t="s">
        <v>37</v>
      </c>
      <c r="H138" s="4" t="s">
        <v>38</v>
      </c>
      <c r="I138" s="4" t="s">
        <v>1030</v>
      </c>
      <c r="J138" s="4">
        <v>0</v>
      </c>
      <c r="K138" s="4" t="s">
        <v>78</v>
      </c>
      <c r="L138" s="4" t="s">
        <v>40</v>
      </c>
      <c r="M138" s="4">
        <v>0</v>
      </c>
      <c r="N138" s="4" t="s">
        <v>75</v>
      </c>
      <c r="O138" s="4" t="s">
        <v>42</v>
      </c>
      <c r="P138" s="50" t="s">
        <v>43</v>
      </c>
      <c r="Q138" s="50" t="s">
        <v>36</v>
      </c>
      <c r="R138" s="50">
        <v>0</v>
      </c>
      <c r="S138" s="4" t="s">
        <v>36</v>
      </c>
      <c r="T138" s="4" t="s">
        <v>38</v>
      </c>
    </row>
    <row r="139" spans="3:20" hidden="1" x14ac:dyDescent="0.25">
      <c r="C139" s="4" t="s">
        <v>491</v>
      </c>
      <c r="D139" s="4" t="s">
        <v>493</v>
      </c>
      <c r="E139" s="4" t="s">
        <v>493</v>
      </c>
      <c r="F139" s="4">
        <v>5</v>
      </c>
      <c r="G139" s="4" t="s">
        <v>376</v>
      </c>
      <c r="H139" s="4" t="s">
        <v>46</v>
      </c>
      <c r="I139" s="4" t="s">
        <v>1030</v>
      </c>
      <c r="J139" s="4" t="s">
        <v>466</v>
      </c>
      <c r="K139" s="4" t="s">
        <v>51</v>
      </c>
      <c r="L139" s="4" t="s">
        <v>40</v>
      </c>
      <c r="M139" s="4" t="s">
        <v>1035</v>
      </c>
      <c r="N139" s="4" t="s">
        <v>491</v>
      </c>
      <c r="O139" s="4" t="s">
        <v>42</v>
      </c>
      <c r="P139" s="50" t="s">
        <v>43</v>
      </c>
      <c r="Q139" s="50">
        <v>31666146.026867419</v>
      </c>
      <c r="R139" s="50" t="s">
        <v>467</v>
      </c>
      <c r="S139" s="4" t="s">
        <v>43</v>
      </c>
      <c r="T139" s="4" t="s">
        <v>46</v>
      </c>
    </row>
    <row r="140" spans="3:20" x14ac:dyDescent="0.25">
      <c r="C140" s="97" t="s">
        <v>494</v>
      </c>
      <c r="D140" s="97" t="s">
        <v>495</v>
      </c>
      <c r="E140" s="4" t="s">
        <v>496</v>
      </c>
      <c r="F140" s="97">
        <v>5.04</v>
      </c>
      <c r="G140" s="4" t="s">
        <v>376</v>
      </c>
      <c r="H140" s="4" t="s">
        <v>46</v>
      </c>
      <c r="I140" s="4" t="s">
        <v>1030</v>
      </c>
      <c r="J140" s="4" t="s">
        <v>466</v>
      </c>
      <c r="K140" s="4" t="s">
        <v>51</v>
      </c>
      <c r="L140" s="4" t="s">
        <v>40</v>
      </c>
      <c r="M140" s="4" t="s">
        <v>1035</v>
      </c>
      <c r="N140" s="4" t="s">
        <v>494</v>
      </c>
      <c r="O140" s="4" t="s">
        <v>42</v>
      </c>
      <c r="P140" s="50" t="s">
        <v>43</v>
      </c>
      <c r="Q140" s="50">
        <v>34863600</v>
      </c>
      <c r="R140" s="50" t="s">
        <v>467</v>
      </c>
      <c r="S140" s="4" t="s">
        <v>43</v>
      </c>
      <c r="T140" s="4" t="s">
        <v>46</v>
      </c>
    </row>
    <row r="141" spans="3:20" hidden="1" x14ac:dyDescent="0.25">
      <c r="C141" s="4" t="s">
        <v>542</v>
      </c>
      <c r="D141" s="4" t="s">
        <v>543</v>
      </c>
      <c r="E141" s="4" t="s">
        <v>543</v>
      </c>
      <c r="F141" s="4">
        <v>6</v>
      </c>
      <c r="G141" s="4" t="s">
        <v>376</v>
      </c>
      <c r="H141" s="4" t="s">
        <v>46</v>
      </c>
      <c r="I141" s="4" t="s">
        <v>1030</v>
      </c>
      <c r="J141" s="4" t="s">
        <v>100</v>
      </c>
      <c r="K141" s="4" t="s">
        <v>138</v>
      </c>
      <c r="L141" s="4" t="s">
        <v>40</v>
      </c>
      <c r="M141" s="4" t="s">
        <v>514</v>
      </c>
      <c r="N141" s="4" t="s">
        <v>542</v>
      </c>
      <c r="O141" s="4" t="s">
        <v>42</v>
      </c>
      <c r="P141" s="50" t="s">
        <v>43</v>
      </c>
      <c r="Q141" s="50">
        <v>61514712.058468357</v>
      </c>
      <c r="R141" s="50" t="s">
        <v>515</v>
      </c>
      <c r="S141" s="4" t="s">
        <v>43</v>
      </c>
      <c r="T141" s="4" t="s">
        <v>46</v>
      </c>
    </row>
    <row r="142" spans="3:20" hidden="1" x14ac:dyDescent="0.25">
      <c r="C142" s="4" t="s">
        <v>544</v>
      </c>
      <c r="D142" s="4" t="s">
        <v>545</v>
      </c>
      <c r="E142" s="4" t="s">
        <v>545</v>
      </c>
      <c r="F142" s="4">
        <v>5</v>
      </c>
      <c r="G142" s="4" t="s">
        <v>376</v>
      </c>
      <c r="H142" s="4" t="s">
        <v>46</v>
      </c>
      <c r="I142" s="4" t="s">
        <v>1030</v>
      </c>
      <c r="J142" s="4" t="s">
        <v>100</v>
      </c>
      <c r="K142" s="4" t="s">
        <v>138</v>
      </c>
      <c r="L142" s="4" t="s">
        <v>40</v>
      </c>
      <c r="M142" s="4" t="s">
        <v>514</v>
      </c>
      <c r="N142" s="4" t="s">
        <v>544</v>
      </c>
      <c r="O142" s="4" t="s">
        <v>42</v>
      </c>
      <c r="P142" s="50" t="s">
        <v>43</v>
      </c>
      <c r="Q142" s="50">
        <v>43843538.629332624</v>
      </c>
      <c r="R142" s="50" t="s">
        <v>515</v>
      </c>
      <c r="S142" s="4" t="s">
        <v>43</v>
      </c>
      <c r="T142" s="4" t="s">
        <v>46</v>
      </c>
    </row>
    <row r="143" spans="3:20" hidden="1" x14ac:dyDescent="0.25">
      <c r="C143" s="4" t="s">
        <v>810</v>
      </c>
      <c r="D143" s="4" t="s">
        <v>811</v>
      </c>
      <c r="E143" s="4" t="s">
        <v>811</v>
      </c>
      <c r="F143" s="4">
        <v>5</v>
      </c>
      <c r="G143" s="4" t="s">
        <v>376</v>
      </c>
      <c r="H143" s="4" t="s">
        <v>46</v>
      </c>
      <c r="I143" s="4" t="s">
        <v>1030</v>
      </c>
      <c r="J143" s="4" t="s">
        <v>146</v>
      </c>
      <c r="K143" s="4" t="s">
        <v>59</v>
      </c>
      <c r="L143" s="4" t="s">
        <v>40</v>
      </c>
      <c r="M143" s="4" t="s">
        <v>1035</v>
      </c>
      <c r="N143" s="4" t="s">
        <v>810</v>
      </c>
      <c r="O143" s="4" t="s">
        <v>42</v>
      </c>
      <c r="P143" s="50" t="s">
        <v>43</v>
      </c>
      <c r="Q143" s="50">
        <v>40891314.141333982</v>
      </c>
      <c r="R143" s="50" t="s">
        <v>799</v>
      </c>
      <c r="S143" s="4" t="s">
        <v>43</v>
      </c>
      <c r="T143" s="4" t="s">
        <v>46</v>
      </c>
    </row>
    <row r="144" spans="3:20" hidden="1" x14ac:dyDescent="0.25">
      <c r="C144" s="4" t="s">
        <v>79</v>
      </c>
      <c r="D144" s="4" t="s">
        <v>80</v>
      </c>
      <c r="E144" s="4" t="s">
        <v>80</v>
      </c>
      <c r="F144" s="4" t="s">
        <v>36</v>
      </c>
      <c r="G144" s="4" t="s">
        <v>37</v>
      </c>
      <c r="H144" s="4" t="s">
        <v>81</v>
      </c>
      <c r="I144" s="4" t="s">
        <v>1030</v>
      </c>
      <c r="J144" s="4">
        <v>0</v>
      </c>
      <c r="K144" s="4" t="s">
        <v>59</v>
      </c>
      <c r="L144" s="4" t="s">
        <v>40</v>
      </c>
      <c r="M144" s="4">
        <v>0</v>
      </c>
      <c r="N144" s="4" t="s">
        <v>79</v>
      </c>
      <c r="O144" s="4" t="s">
        <v>42</v>
      </c>
      <c r="P144" s="50" t="s">
        <v>43</v>
      </c>
      <c r="Q144" s="50" t="s">
        <v>36</v>
      </c>
      <c r="R144" s="50">
        <v>0</v>
      </c>
      <c r="S144" s="4" t="s">
        <v>36</v>
      </c>
      <c r="T144" s="4" t="s">
        <v>81</v>
      </c>
    </row>
    <row r="145" spans="3:20" hidden="1" x14ac:dyDescent="0.25">
      <c r="C145" s="4" t="s">
        <v>870</v>
      </c>
      <c r="D145" s="4" t="s">
        <v>871</v>
      </c>
      <c r="E145" s="4" t="s">
        <v>871</v>
      </c>
      <c r="F145" s="4">
        <v>5</v>
      </c>
      <c r="G145" s="4" t="s">
        <v>376</v>
      </c>
      <c r="H145" s="4" t="s">
        <v>46</v>
      </c>
      <c r="I145" s="4" t="s">
        <v>1030</v>
      </c>
      <c r="J145" s="4" t="s">
        <v>132</v>
      </c>
      <c r="K145" s="4" t="s">
        <v>856</v>
      </c>
      <c r="L145" s="4" t="s">
        <v>40</v>
      </c>
      <c r="M145" s="4" t="s">
        <v>1035</v>
      </c>
      <c r="N145" s="4" t="s">
        <v>870</v>
      </c>
      <c r="O145" s="4" t="s">
        <v>42</v>
      </c>
      <c r="P145" s="50" t="s">
        <v>43</v>
      </c>
      <c r="Q145" s="50">
        <v>45341306.274015613</v>
      </c>
      <c r="R145" s="50" t="s">
        <v>847</v>
      </c>
      <c r="S145" s="4" t="s">
        <v>43</v>
      </c>
      <c r="T145" s="4" t="s">
        <v>46</v>
      </c>
    </row>
    <row r="146" spans="3:20" hidden="1" x14ac:dyDescent="0.25">
      <c r="C146" s="4">
        <v>50096</v>
      </c>
      <c r="D146" s="4" t="s">
        <v>683</v>
      </c>
      <c r="E146" s="4" t="s">
        <v>684</v>
      </c>
      <c r="F146" s="4">
        <v>5</v>
      </c>
      <c r="G146" s="4" t="s">
        <v>376</v>
      </c>
      <c r="H146" s="4" t="s">
        <v>81</v>
      </c>
      <c r="I146" s="4" t="s">
        <v>1030</v>
      </c>
      <c r="J146" s="4" t="s">
        <v>248</v>
      </c>
      <c r="K146" s="4" t="s">
        <v>51</v>
      </c>
      <c r="L146" s="4" t="s">
        <v>40</v>
      </c>
      <c r="M146" s="4" t="s">
        <v>984</v>
      </c>
      <c r="N146" s="4">
        <v>50096</v>
      </c>
      <c r="O146" s="4" t="s">
        <v>42</v>
      </c>
      <c r="P146" s="50" t="s">
        <v>43</v>
      </c>
      <c r="Q146" s="50">
        <v>39829244.403080992</v>
      </c>
      <c r="R146" s="50" t="s">
        <v>51</v>
      </c>
      <c r="S146" s="4" t="s">
        <v>43</v>
      </c>
      <c r="T146" s="4" t="s">
        <v>81</v>
      </c>
    </row>
    <row r="147" spans="3:20" hidden="1" x14ac:dyDescent="0.25">
      <c r="C147" s="4">
        <v>50724</v>
      </c>
      <c r="D147" s="4" t="s">
        <v>900</v>
      </c>
      <c r="E147" s="4" t="s">
        <v>900</v>
      </c>
      <c r="F147" s="4">
        <v>5</v>
      </c>
      <c r="G147" s="4" t="s">
        <v>376</v>
      </c>
      <c r="H147" s="4" t="s">
        <v>46</v>
      </c>
      <c r="I147" s="4" t="s">
        <v>1030</v>
      </c>
      <c r="J147" s="4" t="s">
        <v>73</v>
      </c>
      <c r="K147" s="4" t="s">
        <v>609</v>
      </c>
      <c r="L147" s="4" t="s">
        <v>40</v>
      </c>
      <c r="M147" s="4" t="s">
        <v>514</v>
      </c>
      <c r="N147" s="4">
        <v>50724</v>
      </c>
      <c r="O147" s="4" t="s">
        <v>42</v>
      </c>
      <c r="P147" s="50" t="s">
        <v>43</v>
      </c>
      <c r="Q147" s="50">
        <v>35310339.803464487</v>
      </c>
      <c r="R147" s="50" t="s">
        <v>886</v>
      </c>
      <c r="S147" s="4" t="s">
        <v>43</v>
      </c>
      <c r="T147" s="4" t="s">
        <v>46</v>
      </c>
    </row>
    <row r="148" spans="3:20" hidden="1" x14ac:dyDescent="0.25">
      <c r="C148" s="4">
        <v>50863</v>
      </c>
      <c r="D148" s="4" t="s">
        <v>901</v>
      </c>
      <c r="E148" s="4" t="s">
        <v>902</v>
      </c>
      <c r="F148" s="4">
        <v>5</v>
      </c>
      <c r="G148" s="4" t="s">
        <v>376</v>
      </c>
      <c r="H148" s="4" t="s">
        <v>81</v>
      </c>
      <c r="I148" s="4" t="s">
        <v>1030</v>
      </c>
      <c r="J148" s="4" t="s">
        <v>73</v>
      </c>
      <c r="K148" s="4" t="s">
        <v>364</v>
      </c>
      <c r="L148" s="4" t="s">
        <v>40</v>
      </c>
      <c r="M148" s="4" t="s">
        <v>514</v>
      </c>
      <c r="N148" s="4">
        <v>50863</v>
      </c>
      <c r="O148" s="4" t="s">
        <v>42</v>
      </c>
      <c r="P148" s="50" t="s">
        <v>43</v>
      </c>
      <c r="Q148" s="50">
        <v>51915645.025316305</v>
      </c>
      <c r="R148" s="50" t="s">
        <v>886</v>
      </c>
      <c r="S148" s="4" t="s">
        <v>43</v>
      </c>
      <c r="T148" s="4" t="s">
        <v>81</v>
      </c>
    </row>
    <row r="149" spans="3:20" hidden="1" x14ac:dyDescent="0.25">
      <c r="C149" s="4" t="s">
        <v>82</v>
      </c>
      <c r="D149" s="4" t="s">
        <v>83</v>
      </c>
      <c r="E149" s="4" t="s">
        <v>83</v>
      </c>
      <c r="F149" s="4" t="s">
        <v>36</v>
      </c>
      <c r="G149" s="4" t="s">
        <v>37</v>
      </c>
      <c r="H149" s="4" t="s">
        <v>81</v>
      </c>
      <c r="I149" s="4" t="s">
        <v>1030</v>
      </c>
      <c r="J149" s="4" t="s">
        <v>84</v>
      </c>
      <c r="K149" s="4" t="s">
        <v>85</v>
      </c>
      <c r="L149" s="4" t="s">
        <v>55</v>
      </c>
      <c r="M149" s="4">
        <v>0</v>
      </c>
      <c r="N149" s="4" t="s">
        <v>82</v>
      </c>
      <c r="O149" s="4" t="s">
        <v>42</v>
      </c>
      <c r="P149" s="50" t="s">
        <v>43</v>
      </c>
      <c r="Q149" s="50" t="s">
        <v>36</v>
      </c>
      <c r="R149" s="50">
        <v>0</v>
      </c>
      <c r="S149" s="4" t="s">
        <v>36</v>
      </c>
      <c r="T149" s="4" t="s">
        <v>81</v>
      </c>
    </row>
    <row r="150" spans="3:20" hidden="1" x14ac:dyDescent="0.25">
      <c r="C150" s="4" t="s">
        <v>86</v>
      </c>
      <c r="D150" s="4" t="s">
        <v>87</v>
      </c>
      <c r="E150" s="4" t="s">
        <v>87</v>
      </c>
      <c r="F150" s="4" t="s">
        <v>36</v>
      </c>
      <c r="G150" s="4" t="s">
        <v>37</v>
      </c>
      <c r="H150" s="4" t="s">
        <v>88</v>
      </c>
      <c r="I150" s="4" t="s">
        <v>1030</v>
      </c>
      <c r="J150" s="4" t="s">
        <v>89</v>
      </c>
      <c r="K150" s="4" t="s">
        <v>90</v>
      </c>
      <c r="L150" s="4" t="s">
        <v>91</v>
      </c>
      <c r="M150" s="4">
        <v>0</v>
      </c>
      <c r="N150" s="4" t="s">
        <v>86</v>
      </c>
      <c r="O150" s="4" t="s">
        <v>42</v>
      </c>
      <c r="P150" s="50" t="s">
        <v>43</v>
      </c>
      <c r="Q150" s="50" t="s">
        <v>36</v>
      </c>
      <c r="R150" s="50">
        <v>0</v>
      </c>
      <c r="S150" s="4" t="s">
        <v>36</v>
      </c>
      <c r="T150" s="4" t="s">
        <v>88</v>
      </c>
    </row>
    <row r="151" spans="3:20" hidden="1" x14ac:dyDescent="0.25">
      <c r="C151" s="4" t="s">
        <v>576</v>
      </c>
      <c r="D151" s="4" t="s">
        <v>577</v>
      </c>
      <c r="E151" s="4" t="s">
        <v>577</v>
      </c>
      <c r="F151" s="4">
        <v>5</v>
      </c>
      <c r="G151" s="4" t="s">
        <v>376</v>
      </c>
      <c r="H151" s="4" t="s">
        <v>46</v>
      </c>
      <c r="I151" s="4" t="s">
        <v>1030</v>
      </c>
      <c r="J151" s="4" t="s">
        <v>331</v>
      </c>
      <c r="K151" s="4" t="s">
        <v>138</v>
      </c>
      <c r="L151" s="4" t="s">
        <v>40</v>
      </c>
      <c r="M151" s="4" t="s">
        <v>984</v>
      </c>
      <c r="N151" s="4" t="s">
        <v>576</v>
      </c>
      <c r="O151" s="4" t="s">
        <v>42</v>
      </c>
      <c r="P151" s="50" t="s">
        <v>43</v>
      </c>
      <c r="Q151" s="50">
        <v>53998644.26963339</v>
      </c>
      <c r="R151" s="50" t="s">
        <v>557</v>
      </c>
      <c r="S151" s="4" t="s">
        <v>43</v>
      </c>
      <c r="T151" s="4" t="s">
        <v>46</v>
      </c>
    </row>
    <row r="152" spans="3:20" hidden="1" x14ac:dyDescent="0.25">
      <c r="C152" s="4" t="s">
        <v>92</v>
      </c>
      <c r="D152" s="4" t="s">
        <v>93</v>
      </c>
      <c r="E152" s="4" t="s">
        <v>93</v>
      </c>
      <c r="F152" s="4" t="s">
        <v>36</v>
      </c>
      <c r="G152" s="4" t="s">
        <v>37</v>
      </c>
      <c r="H152" s="4" t="s">
        <v>81</v>
      </c>
      <c r="I152" s="4" t="s">
        <v>1030</v>
      </c>
      <c r="J152" s="4" t="s">
        <v>94</v>
      </c>
      <c r="K152" s="4" t="s">
        <v>64</v>
      </c>
      <c r="L152" s="4" t="s">
        <v>40</v>
      </c>
      <c r="M152" s="4">
        <v>0</v>
      </c>
      <c r="N152" s="4" t="s">
        <v>92</v>
      </c>
      <c r="O152" s="4" t="s">
        <v>42</v>
      </c>
      <c r="P152" s="50" t="s">
        <v>43</v>
      </c>
      <c r="Q152" s="50" t="s">
        <v>36</v>
      </c>
      <c r="R152" s="50">
        <v>0</v>
      </c>
      <c r="S152" s="4" t="s">
        <v>36</v>
      </c>
      <c r="T152" s="4" t="s">
        <v>81</v>
      </c>
    </row>
    <row r="153" spans="3:20" hidden="1" x14ac:dyDescent="0.25">
      <c r="C153" s="4" t="s">
        <v>782</v>
      </c>
      <c r="D153" s="4" t="s">
        <v>783</v>
      </c>
      <c r="E153" s="4" t="s">
        <v>783</v>
      </c>
      <c r="F153" s="4">
        <v>5</v>
      </c>
      <c r="G153" s="4" t="s">
        <v>376</v>
      </c>
      <c r="H153" s="4" t="s">
        <v>81</v>
      </c>
      <c r="I153" s="4" t="s">
        <v>1031</v>
      </c>
      <c r="J153" s="4" t="s">
        <v>89</v>
      </c>
      <c r="K153" s="4" t="s">
        <v>103</v>
      </c>
      <c r="L153" s="4" t="s">
        <v>104</v>
      </c>
      <c r="M153" s="4" t="s">
        <v>378</v>
      </c>
      <c r="N153" s="4" t="s">
        <v>782</v>
      </c>
      <c r="O153" s="4" t="s">
        <v>42</v>
      </c>
      <c r="P153" s="50" t="s">
        <v>43</v>
      </c>
      <c r="Q153" s="50">
        <v>35093910.303717181</v>
      </c>
      <c r="R153" s="50" t="s">
        <v>772</v>
      </c>
      <c r="S153" s="4" t="s">
        <v>43</v>
      </c>
      <c r="T153" s="4" t="s">
        <v>81</v>
      </c>
    </row>
    <row r="154" spans="3:20" hidden="1" x14ac:dyDescent="0.25">
      <c r="C154" s="4" t="s">
        <v>95</v>
      </c>
      <c r="D154" s="4" t="s">
        <v>96</v>
      </c>
      <c r="E154" s="4" t="s">
        <v>96</v>
      </c>
      <c r="F154" s="4" t="s">
        <v>36</v>
      </c>
      <c r="G154" s="4" t="s">
        <v>37</v>
      </c>
      <c r="H154" s="4" t="s">
        <v>81</v>
      </c>
      <c r="I154" s="4" t="s">
        <v>1030</v>
      </c>
      <c r="J154" s="4">
        <v>0</v>
      </c>
      <c r="K154" s="4" t="s">
        <v>97</v>
      </c>
      <c r="L154" s="4" t="s">
        <v>40</v>
      </c>
      <c r="M154" s="4">
        <v>0</v>
      </c>
      <c r="N154" s="4" t="s">
        <v>95</v>
      </c>
      <c r="O154" s="4" t="s">
        <v>42</v>
      </c>
      <c r="P154" s="50" t="s">
        <v>43</v>
      </c>
      <c r="Q154" s="50" t="s">
        <v>36</v>
      </c>
      <c r="R154" s="50">
        <v>0</v>
      </c>
      <c r="S154" s="4" t="s">
        <v>36</v>
      </c>
      <c r="T154" s="4" t="s">
        <v>81</v>
      </c>
    </row>
    <row r="155" spans="3:20" hidden="1" x14ac:dyDescent="0.25">
      <c r="C155" s="4" t="s">
        <v>98</v>
      </c>
      <c r="D155" s="4" t="s">
        <v>99</v>
      </c>
      <c r="E155" s="4" t="s">
        <v>99</v>
      </c>
      <c r="F155" s="4" t="s">
        <v>36</v>
      </c>
      <c r="G155" s="4" t="s">
        <v>37</v>
      </c>
      <c r="H155" s="4" t="s">
        <v>81</v>
      </c>
      <c r="I155" s="4" t="s">
        <v>1030</v>
      </c>
      <c r="J155" s="4" t="s">
        <v>100</v>
      </c>
      <c r="K155" s="4" t="s">
        <v>59</v>
      </c>
      <c r="L155" s="4" t="s">
        <v>40</v>
      </c>
      <c r="M155" s="4">
        <v>0</v>
      </c>
      <c r="N155" s="4" t="s">
        <v>98</v>
      </c>
      <c r="O155" s="4" t="s">
        <v>42</v>
      </c>
      <c r="P155" s="50" t="s">
        <v>43</v>
      </c>
      <c r="Q155" s="50" t="s">
        <v>36</v>
      </c>
      <c r="R155" s="50">
        <v>0</v>
      </c>
      <c r="S155" s="4" t="s">
        <v>36</v>
      </c>
      <c r="T155" s="4" t="s">
        <v>81</v>
      </c>
    </row>
    <row r="156" spans="3:20" hidden="1" x14ac:dyDescent="0.25">
      <c r="C156" s="4" t="s">
        <v>712</v>
      </c>
      <c r="D156" s="4" t="s">
        <v>713</v>
      </c>
      <c r="E156" s="4" t="s">
        <v>713</v>
      </c>
      <c r="F156" s="4">
        <v>5</v>
      </c>
      <c r="G156" s="4" t="s">
        <v>376</v>
      </c>
      <c r="H156" s="4" t="s">
        <v>46</v>
      </c>
      <c r="I156" s="4" t="s">
        <v>1031</v>
      </c>
      <c r="J156" s="4" t="s">
        <v>84</v>
      </c>
      <c r="K156" s="4" t="s">
        <v>54</v>
      </c>
      <c r="L156" s="4" t="s">
        <v>55</v>
      </c>
      <c r="M156" s="4" t="s">
        <v>378</v>
      </c>
      <c r="N156" s="4" t="s">
        <v>712</v>
      </c>
      <c r="O156" s="4" t="s">
        <v>42</v>
      </c>
      <c r="P156" s="50" t="s">
        <v>43</v>
      </c>
      <c r="Q156" s="50">
        <v>28418156.919000559</v>
      </c>
      <c r="R156" s="50" t="s">
        <v>702</v>
      </c>
      <c r="S156" s="4" t="s">
        <v>43</v>
      </c>
      <c r="T156" s="4" t="s">
        <v>46</v>
      </c>
    </row>
    <row r="157" spans="3:20" hidden="1" x14ac:dyDescent="0.25">
      <c r="C157" s="4" t="s">
        <v>101</v>
      </c>
      <c r="D157" s="4" t="s">
        <v>102</v>
      </c>
      <c r="E157" s="4" t="s">
        <v>102</v>
      </c>
      <c r="F157" s="4" t="s">
        <v>36</v>
      </c>
      <c r="G157" s="4" t="s">
        <v>37</v>
      </c>
      <c r="H157" s="4" t="s">
        <v>81</v>
      </c>
      <c r="I157" s="4" t="s">
        <v>1030</v>
      </c>
      <c r="J157" s="4" t="s">
        <v>73</v>
      </c>
      <c r="K157" s="4" t="s">
        <v>103</v>
      </c>
      <c r="L157" s="4" t="s">
        <v>104</v>
      </c>
      <c r="M157" s="4">
        <v>0</v>
      </c>
      <c r="N157" s="4" t="s">
        <v>101</v>
      </c>
      <c r="O157" s="4" t="s">
        <v>42</v>
      </c>
      <c r="P157" s="50" t="s">
        <v>43</v>
      </c>
      <c r="Q157" s="50" t="s">
        <v>36</v>
      </c>
      <c r="R157" s="50">
        <v>0</v>
      </c>
      <c r="S157" s="4" t="s">
        <v>36</v>
      </c>
      <c r="T157" s="4" t="s">
        <v>81</v>
      </c>
    </row>
    <row r="158" spans="3:20" hidden="1" x14ac:dyDescent="0.25">
      <c r="C158" s="4" t="s">
        <v>105</v>
      </c>
      <c r="D158" s="4" t="s">
        <v>106</v>
      </c>
      <c r="E158" s="4" t="s">
        <v>106</v>
      </c>
      <c r="F158" s="4" t="s">
        <v>36</v>
      </c>
      <c r="G158" s="4" t="s">
        <v>37</v>
      </c>
      <c r="H158" s="4" t="s">
        <v>81</v>
      </c>
      <c r="I158" s="4" t="s">
        <v>1030</v>
      </c>
      <c r="J158" s="4" t="s">
        <v>100</v>
      </c>
      <c r="K158" s="4" t="s">
        <v>59</v>
      </c>
      <c r="L158" s="4" t="s">
        <v>40</v>
      </c>
      <c r="M158" s="4">
        <v>0</v>
      </c>
      <c r="N158" s="4" t="s">
        <v>105</v>
      </c>
      <c r="O158" s="4" t="s">
        <v>42</v>
      </c>
      <c r="P158" s="50" t="s">
        <v>43</v>
      </c>
      <c r="Q158" s="50" t="s">
        <v>36</v>
      </c>
      <c r="R158" s="50">
        <v>0</v>
      </c>
      <c r="S158" s="4" t="s">
        <v>36</v>
      </c>
      <c r="T158" s="4" t="s">
        <v>81</v>
      </c>
    </row>
    <row r="159" spans="3:20" hidden="1" x14ac:dyDescent="0.25">
      <c r="C159" s="4" t="s">
        <v>903</v>
      </c>
      <c r="D159" s="4" t="s">
        <v>904</v>
      </c>
      <c r="E159" s="4" t="s">
        <v>904</v>
      </c>
      <c r="F159" s="4">
        <v>5</v>
      </c>
      <c r="G159" s="4" t="s">
        <v>376</v>
      </c>
      <c r="H159" s="4" t="s">
        <v>46</v>
      </c>
      <c r="I159" s="4" t="s">
        <v>1030</v>
      </c>
      <c r="J159" s="4" t="s">
        <v>73</v>
      </c>
      <c r="K159" s="4" t="s">
        <v>47</v>
      </c>
      <c r="L159" s="4" t="s">
        <v>40</v>
      </c>
      <c r="M159" s="4" t="s">
        <v>514</v>
      </c>
      <c r="N159" s="4" t="s">
        <v>903</v>
      </c>
      <c r="O159" s="4" t="s">
        <v>42</v>
      </c>
      <c r="P159" s="50" t="s">
        <v>43</v>
      </c>
      <c r="Q159" s="50">
        <v>32510112.54062546</v>
      </c>
      <c r="R159" s="50" t="s">
        <v>886</v>
      </c>
      <c r="S159" s="4" t="s">
        <v>43</v>
      </c>
      <c r="T159" s="4" t="s">
        <v>46</v>
      </c>
    </row>
    <row r="160" spans="3:20" hidden="1" x14ac:dyDescent="0.25">
      <c r="C160" s="4" t="s">
        <v>107</v>
      </c>
      <c r="D160" s="4" t="s">
        <v>108</v>
      </c>
      <c r="E160" s="4" t="s">
        <v>108</v>
      </c>
      <c r="F160" s="4" t="s">
        <v>36</v>
      </c>
      <c r="G160" s="4" t="s">
        <v>37</v>
      </c>
      <c r="H160" s="4" t="s">
        <v>81</v>
      </c>
      <c r="I160" s="4" t="s">
        <v>1030</v>
      </c>
      <c r="J160" s="4" t="s">
        <v>89</v>
      </c>
      <c r="K160" s="4" t="s">
        <v>109</v>
      </c>
      <c r="L160" s="4" t="s">
        <v>91</v>
      </c>
      <c r="M160" s="4">
        <v>0</v>
      </c>
      <c r="N160" s="4" t="s">
        <v>107</v>
      </c>
      <c r="O160" s="4" t="s">
        <v>42</v>
      </c>
      <c r="P160" s="50" t="s">
        <v>43</v>
      </c>
      <c r="Q160" s="50" t="s">
        <v>36</v>
      </c>
      <c r="R160" s="50" t="s">
        <v>772</v>
      </c>
      <c r="S160" s="4" t="s">
        <v>36</v>
      </c>
      <c r="T160" s="4" t="s">
        <v>81</v>
      </c>
    </row>
    <row r="161" spans="3:20" hidden="1" x14ac:dyDescent="0.25">
      <c r="C161" s="4" t="s">
        <v>110</v>
      </c>
      <c r="D161" s="4" t="s">
        <v>111</v>
      </c>
      <c r="E161" s="4" t="s">
        <v>111</v>
      </c>
      <c r="F161" s="4" t="s">
        <v>36</v>
      </c>
      <c r="G161" s="4" t="s">
        <v>37</v>
      </c>
      <c r="H161" s="4" t="s">
        <v>81</v>
      </c>
      <c r="I161" s="4" t="s">
        <v>1030</v>
      </c>
      <c r="J161" s="4" t="s">
        <v>58</v>
      </c>
      <c r="K161" s="4" t="s">
        <v>59</v>
      </c>
      <c r="L161" s="4" t="s">
        <v>40</v>
      </c>
      <c r="M161" s="4">
        <v>0</v>
      </c>
      <c r="N161" s="4" t="s">
        <v>110</v>
      </c>
      <c r="O161" s="4" t="s">
        <v>42</v>
      </c>
      <c r="P161" s="50" t="s">
        <v>43</v>
      </c>
      <c r="Q161" s="50" t="s">
        <v>36</v>
      </c>
      <c r="R161" s="50">
        <v>0</v>
      </c>
      <c r="S161" s="4" t="s">
        <v>36</v>
      </c>
      <c r="T161" s="4" t="s">
        <v>81</v>
      </c>
    </row>
    <row r="162" spans="3:20" hidden="1" x14ac:dyDescent="0.25">
      <c r="C162" s="4" t="s">
        <v>112</v>
      </c>
      <c r="D162" s="4" t="s">
        <v>113</v>
      </c>
      <c r="E162" s="4" t="s">
        <v>114</v>
      </c>
      <c r="F162" s="4" t="s">
        <v>36</v>
      </c>
      <c r="G162" s="4" t="s">
        <v>37</v>
      </c>
      <c r="H162" s="4" t="s">
        <v>81</v>
      </c>
      <c r="I162" s="4" t="s">
        <v>1031</v>
      </c>
      <c r="J162" s="4" t="s">
        <v>73</v>
      </c>
      <c r="K162" s="4" t="s">
        <v>115</v>
      </c>
      <c r="L162" s="4" t="s">
        <v>116</v>
      </c>
      <c r="M162" s="4">
        <v>0</v>
      </c>
      <c r="N162" s="4" t="s">
        <v>112</v>
      </c>
      <c r="O162" s="4" t="s">
        <v>42</v>
      </c>
      <c r="P162" s="50" t="s">
        <v>43</v>
      </c>
      <c r="Q162" s="50" t="s">
        <v>36</v>
      </c>
      <c r="R162" s="50">
        <v>0</v>
      </c>
      <c r="S162" s="4" t="s">
        <v>36</v>
      </c>
      <c r="T162" s="4" t="s">
        <v>81</v>
      </c>
    </row>
    <row r="163" spans="3:20" hidden="1" x14ac:dyDescent="0.25">
      <c r="C163" s="4" t="s">
        <v>905</v>
      </c>
      <c r="D163" s="4" t="s">
        <v>906</v>
      </c>
      <c r="E163" s="4" t="s">
        <v>906</v>
      </c>
      <c r="F163" s="4">
        <v>5</v>
      </c>
      <c r="G163" s="4" t="s">
        <v>376</v>
      </c>
      <c r="H163" s="4" t="s">
        <v>81</v>
      </c>
      <c r="I163" s="4" t="s">
        <v>1030</v>
      </c>
      <c r="J163" s="4" t="s">
        <v>73</v>
      </c>
      <c r="K163" s="4" t="s">
        <v>907</v>
      </c>
      <c r="L163" s="4" t="s">
        <v>40</v>
      </c>
      <c r="M163" s="4" t="s">
        <v>514</v>
      </c>
      <c r="N163" s="4" t="s">
        <v>905</v>
      </c>
      <c r="O163" s="4" t="s">
        <v>42</v>
      </c>
      <c r="P163" s="50" t="s">
        <v>43</v>
      </c>
      <c r="Q163" s="50">
        <v>37407670.200551964</v>
      </c>
      <c r="R163" s="50" t="s">
        <v>886</v>
      </c>
      <c r="S163" s="4" t="s">
        <v>43</v>
      </c>
      <c r="T163" s="4" t="s">
        <v>81</v>
      </c>
    </row>
    <row r="164" spans="3:20" hidden="1" x14ac:dyDescent="0.25">
      <c r="C164" s="4" t="s">
        <v>685</v>
      </c>
      <c r="D164" s="4" t="s">
        <v>686</v>
      </c>
      <c r="E164" s="4" t="s">
        <v>686</v>
      </c>
      <c r="F164" s="4">
        <v>5</v>
      </c>
      <c r="G164" s="4" t="s">
        <v>376</v>
      </c>
      <c r="H164" s="4" t="s">
        <v>81</v>
      </c>
      <c r="I164" s="4" t="s">
        <v>1030</v>
      </c>
      <c r="J164" s="4" t="s">
        <v>248</v>
      </c>
      <c r="K164" s="4" t="s">
        <v>51</v>
      </c>
      <c r="L164" s="4" t="s">
        <v>40</v>
      </c>
      <c r="M164" s="4" t="s">
        <v>984</v>
      </c>
      <c r="N164" s="4" t="s">
        <v>685</v>
      </c>
      <c r="O164" s="4" t="s">
        <v>42</v>
      </c>
      <c r="P164" s="50" t="s">
        <v>43</v>
      </c>
      <c r="Q164" s="50">
        <v>25088572.038960148</v>
      </c>
      <c r="R164" s="50" t="s">
        <v>51</v>
      </c>
      <c r="S164" s="4" t="s">
        <v>440</v>
      </c>
      <c r="T164" s="4" t="s">
        <v>81</v>
      </c>
    </row>
    <row r="165" spans="3:20" hidden="1" x14ac:dyDescent="0.25">
      <c r="C165" s="4" t="s">
        <v>960</v>
      </c>
      <c r="D165" s="4" t="s">
        <v>961</v>
      </c>
      <c r="E165" s="4" t="s">
        <v>961</v>
      </c>
      <c r="F165" s="4">
        <v>5</v>
      </c>
      <c r="G165" s="4" t="s">
        <v>376</v>
      </c>
      <c r="H165" s="4" t="s">
        <v>81</v>
      </c>
      <c r="I165" s="4" t="s">
        <v>1030</v>
      </c>
      <c r="J165" s="4" t="s">
        <v>160</v>
      </c>
      <c r="K165" s="4" t="s">
        <v>353</v>
      </c>
      <c r="L165" s="4" t="s">
        <v>40</v>
      </c>
      <c r="M165" s="4" t="s">
        <v>984</v>
      </c>
      <c r="N165" s="4" t="s">
        <v>960</v>
      </c>
      <c r="O165" s="4" t="s">
        <v>42</v>
      </c>
      <c r="P165" s="50" t="s">
        <v>43</v>
      </c>
      <c r="Q165" s="50">
        <v>46852410.127337664</v>
      </c>
      <c r="R165" s="50" t="s">
        <v>931</v>
      </c>
      <c r="S165" s="4" t="s">
        <v>43</v>
      </c>
      <c r="T165" s="4" t="s">
        <v>81</v>
      </c>
    </row>
    <row r="166" spans="3:20" hidden="1" x14ac:dyDescent="0.25">
      <c r="C166" s="4" t="s">
        <v>754</v>
      </c>
      <c r="D166" s="4" t="s">
        <v>755</v>
      </c>
      <c r="E166" s="4" t="s">
        <v>755</v>
      </c>
      <c r="F166" s="4">
        <v>5</v>
      </c>
      <c r="G166" s="4" t="s">
        <v>376</v>
      </c>
      <c r="H166" s="4" t="s">
        <v>81</v>
      </c>
      <c r="I166" s="4" t="s">
        <v>1031</v>
      </c>
      <c r="J166" s="4" t="s">
        <v>84</v>
      </c>
      <c r="K166" s="4" t="s">
        <v>279</v>
      </c>
      <c r="L166" s="4" t="s">
        <v>55</v>
      </c>
      <c r="M166" s="4" t="s">
        <v>378</v>
      </c>
      <c r="N166" s="4" t="s">
        <v>754</v>
      </c>
      <c r="O166" s="4" t="s">
        <v>42</v>
      </c>
      <c r="P166" s="50" t="s">
        <v>43</v>
      </c>
      <c r="Q166" s="50">
        <v>39432535.153761752</v>
      </c>
      <c r="R166" s="50" t="s">
        <v>741</v>
      </c>
      <c r="S166" s="4" t="s">
        <v>43</v>
      </c>
      <c r="T166" s="4" t="s">
        <v>81</v>
      </c>
    </row>
    <row r="167" spans="3:20" hidden="1" x14ac:dyDescent="0.25">
      <c r="C167" s="4" t="s">
        <v>872</v>
      </c>
      <c r="D167" s="4" t="s">
        <v>873</v>
      </c>
      <c r="E167" s="4" t="s">
        <v>874</v>
      </c>
      <c r="F167" s="4">
        <v>5</v>
      </c>
      <c r="G167" s="4" t="s">
        <v>376</v>
      </c>
      <c r="H167" s="4" t="s">
        <v>81</v>
      </c>
      <c r="I167" s="4" t="s">
        <v>1030</v>
      </c>
      <c r="J167" s="4" t="s">
        <v>132</v>
      </c>
      <c r="K167" s="4" t="s">
        <v>138</v>
      </c>
      <c r="L167" s="4" t="s">
        <v>40</v>
      </c>
      <c r="M167" s="4" t="s">
        <v>1035</v>
      </c>
      <c r="N167" s="4" t="s">
        <v>872</v>
      </c>
      <c r="O167" s="4" t="s">
        <v>42</v>
      </c>
      <c r="P167" s="50" t="s">
        <v>43</v>
      </c>
      <c r="Q167" s="50">
        <v>34932112.582131669</v>
      </c>
      <c r="R167" s="50" t="s">
        <v>847</v>
      </c>
      <c r="S167" s="4" t="s">
        <v>43</v>
      </c>
      <c r="T167" s="4" t="s">
        <v>81</v>
      </c>
    </row>
    <row r="168" spans="3:20" hidden="1" x14ac:dyDescent="0.25">
      <c r="C168" s="4" t="s">
        <v>117</v>
      </c>
      <c r="D168" s="4" t="s">
        <v>118</v>
      </c>
      <c r="E168" s="4" t="s">
        <v>118</v>
      </c>
      <c r="F168" s="4" t="s">
        <v>36</v>
      </c>
      <c r="G168" s="4" t="s">
        <v>37</v>
      </c>
      <c r="H168" s="4" t="s">
        <v>81</v>
      </c>
      <c r="I168" s="4" t="s">
        <v>1030</v>
      </c>
      <c r="J168" s="4">
        <v>0</v>
      </c>
      <c r="K168" s="4" t="s">
        <v>59</v>
      </c>
      <c r="L168" s="4" t="s">
        <v>40</v>
      </c>
      <c r="M168" s="4">
        <v>0</v>
      </c>
      <c r="N168" s="4" t="s">
        <v>117</v>
      </c>
      <c r="O168" s="4" t="s">
        <v>42</v>
      </c>
      <c r="P168" s="50" t="s">
        <v>43</v>
      </c>
      <c r="Q168" s="50" t="s">
        <v>36</v>
      </c>
      <c r="R168" s="50">
        <v>0</v>
      </c>
      <c r="S168" s="4" t="s">
        <v>36</v>
      </c>
      <c r="T168" s="4" t="s">
        <v>81</v>
      </c>
    </row>
    <row r="169" spans="3:20" hidden="1" x14ac:dyDescent="0.25">
      <c r="C169" s="4" t="s">
        <v>594</v>
      </c>
      <c r="D169" s="4" t="s">
        <v>595</v>
      </c>
      <c r="E169" s="4" t="s">
        <v>595</v>
      </c>
      <c r="F169" s="4">
        <v>5</v>
      </c>
      <c r="G169" s="4" t="s">
        <v>376</v>
      </c>
      <c r="H169" s="4" t="s">
        <v>81</v>
      </c>
      <c r="I169" s="4" t="s">
        <v>1030</v>
      </c>
      <c r="J169" s="4" t="s">
        <v>50</v>
      </c>
      <c r="K169" s="4" t="s">
        <v>596</v>
      </c>
      <c r="L169" s="4" t="s">
        <v>40</v>
      </c>
      <c r="M169" s="4" t="s">
        <v>514</v>
      </c>
      <c r="N169" s="4" t="s">
        <v>594</v>
      </c>
      <c r="O169" s="4" t="s">
        <v>42</v>
      </c>
      <c r="P169" s="50" t="s">
        <v>43</v>
      </c>
      <c r="Q169" s="50">
        <v>33509303.814126004</v>
      </c>
      <c r="R169" s="50" t="s">
        <v>597</v>
      </c>
      <c r="S169" s="4" t="s">
        <v>440</v>
      </c>
      <c r="T169" s="4" t="s">
        <v>81</v>
      </c>
    </row>
    <row r="170" spans="3:20" hidden="1" x14ac:dyDescent="0.25">
      <c r="C170" s="4" t="s">
        <v>119</v>
      </c>
      <c r="D170" s="4" t="s">
        <v>120</v>
      </c>
      <c r="E170" s="4" t="s">
        <v>120</v>
      </c>
      <c r="F170" s="4" t="s">
        <v>36</v>
      </c>
      <c r="G170" s="4" t="s">
        <v>37</v>
      </c>
      <c r="H170" s="4" t="s">
        <v>81</v>
      </c>
      <c r="I170" s="4" t="s">
        <v>1030</v>
      </c>
      <c r="J170" s="4" t="s">
        <v>63</v>
      </c>
      <c r="K170" s="4" t="s">
        <v>64</v>
      </c>
      <c r="L170" s="4" t="s">
        <v>40</v>
      </c>
      <c r="M170" s="4">
        <v>0</v>
      </c>
      <c r="N170" s="4" t="s">
        <v>119</v>
      </c>
      <c r="O170" s="4" t="s">
        <v>42</v>
      </c>
      <c r="P170" s="50" t="s">
        <v>43</v>
      </c>
      <c r="Q170" s="50" t="s">
        <v>36</v>
      </c>
      <c r="R170" s="50">
        <v>0</v>
      </c>
      <c r="S170" s="4" t="s">
        <v>36</v>
      </c>
      <c r="T170" s="4" t="s">
        <v>81</v>
      </c>
    </row>
    <row r="171" spans="3:20" hidden="1" x14ac:dyDescent="0.25">
      <c r="C171" s="4" t="s">
        <v>121</v>
      </c>
      <c r="D171" s="4" t="s">
        <v>122</v>
      </c>
      <c r="E171" s="4" t="s">
        <v>123</v>
      </c>
      <c r="F171" s="4" t="s">
        <v>36</v>
      </c>
      <c r="G171" s="4" t="s">
        <v>37</v>
      </c>
      <c r="H171" s="4" t="s">
        <v>81</v>
      </c>
      <c r="I171" s="4" t="s">
        <v>1030</v>
      </c>
      <c r="J171" s="4" t="s">
        <v>73</v>
      </c>
      <c r="K171" s="4" t="s">
        <v>122</v>
      </c>
      <c r="L171" s="4" t="s">
        <v>104</v>
      </c>
      <c r="M171" s="4">
        <v>0</v>
      </c>
      <c r="N171" s="4" t="s">
        <v>121</v>
      </c>
      <c r="O171" s="4" t="s">
        <v>42</v>
      </c>
      <c r="P171" s="50" t="s">
        <v>43</v>
      </c>
      <c r="Q171" s="50" t="s">
        <v>36</v>
      </c>
      <c r="R171" s="50">
        <v>0</v>
      </c>
      <c r="S171" s="4" t="s">
        <v>36</v>
      </c>
      <c r="T171" s="4" t="s">
        <v>81</v>
      </c>
    </row>
    <row r="172" spans="3:20" hidden="1" x14ac:dyDescent="0.25">
      <c r="C172" s="4" t="s">
        <v>124</v>
      </c>
      <c r="D172" s="4" t="s">
        <v>125</v>
      </c>
      <c r="E172" s="4" t="s">
        <v>125</v>
      </c>
      <c r="F172" s="4" t="s">
        <v>36</v>
      </c>
      <c r="G172" s="4" t="s">
        <v>37</v>
      </c>
      <c r="H172" s="4" t="s">
        <v>81</v>
      </c>
      <c r="I172" s="4" t="s">
        <v>1030</v>
      </c>
      <c r="J172" s="4">
        <v>0</v>
      </c>
      <c r="K172" s="4" t="s">
        <v>51</v>
      </c>
      <c r="L172" s="4" t="s">
        <v>40</v>
      </c>
      <c r="M172" s="4">
        <v>0</v>
      </c>
      <c r="N172" s="4" t="s">
        <v>124</v>
      </c>
      <c r="O172" s="4" t="s">
        <v>42</v>
      </c>
      <c r="P172" s="50" t="s">
        <v>43</v>
      </c>
      <c r="Q172" s="50" t="s">
        <v>36</v>
      </c>
      <c r="R172" s="50">
        <v>0</v>
      </c>
      <c r="S172" s="4" t="s">
        <v>36</v>
      </c>
      <c r="T172" s="4" t="s">
        <v>81</v>
      </c>
    </row>
    <row r="173" spans="3:20" hidden="1" x14ac:dyDescent="0.25">
      <c r="C173" s="4" t="s">
        <v>126</v>
      </c>
      <c r="D173" s="4" t="s">
        <v>127</v>
      </c>
      <c r="E173" s="4" t="s">
        <v>128</v>
      </c>
      <c r="F173" s="4" t="s">
        <v>36</v>
      </c>
      <c r="G173" s="4" t="s">
        <v>37</v>
      </c>
      <c r="H173" s="4" t="s">
        <v>81</v>
      </c>
      <c r="I173" s="4" t="s">
        <v>1030</v>
      </c>
      <c r="J173" s="4" t="s">
        <v>73</v>
      </c>
      <c r="K173" s="4" t="s">
        <v>129</v>
      </c>
      <c r="L173" s="4" t="s">
        <v>116</v>
      </c>
      <c r="M173" s="4">
        <v>0</v>
      </c>
      <c r="N173" s="4" t="s">
        <v>126</v>
      </c>
      <c r="O173" s="4" t="s">
        <v>42</v>
      </c>
      <c r="P173" s="50" t="s">
        <v>43</v>
      </c>
      <c r="Q173" s="50" t="s">
        <v>36</v>
      </c>
      <c r="R173" s="50">
        <v>0</v>
      </c>
      <c r="S173" s="4" t="s">
        <v>36</v>
      </c>
      <c r="T173" s="4" t="s">
        <v>81</v>
      </c>
    </row>
    <row r="174" spans="3:20" hidden="1" x14ac:dyDescent="0.25">
      <c r="C174" s="4" t="s">
        <v>546</v>
      </c>
      <c r="D174" s="4" t="s">
        <v>547</v>
      </c>
      <c r="E174" s="4" t="s">
        <v>547</v>
      </c>
      <c r="F174" s="4">
        <v>5</v>
      </c>
      <c r="G174" s="4" t="s">
        <v>376</v>
      </c>
      <c r="H174" s="4" t="s">
        <v>46</v>
      </c>
      <c r="I174" s="4" t="s">
        <v>1030</v>
      </c>
      <c r="J174" s="4" t="s">
        <v>100</v>
      </c>
      <c r="K174" s="4" t="s">
        <v>138</v>
      </c>
      <c r="L174" s="4" t="s">
        <v>40</v>
      </c>
      <c r="M174" s="4" t="s">
        <v>514</v>
      </c>
      <c r="N174" s="4" t="s">
        <v>546</v>
      </c>
      <c r="O174" s="4" t="s">
        <v>42</v>
      </c>
      <c r="P174" s="50" t="s">
        <v>43</v>
      </c>
      <c r="Q174" s="50">
        <v>28310382.970107988</v>
      </c>
      <c r="R174" s="50" t="s">
        <v>515</v>
      </c>
      <c r="S174" s="4" t="s">
        <v>43</v>
      </c>
      <c r="T174" s="4" t="s">
        <v>46</v>
      </c>
    </row>
    <row r="175" spans="3:20" hidden="1" x14ac:dyDescent="0.25">
      <c r="C175" s="4" t="s">
        <v>130</v>
      </c>
      <c r="D175" s="4" t="s">
        <v>131</v>
      </c>
      <c r="E175" s="4" t="s">
        <v>131</v>
      </c>
      <c r="F175" s="4" t="s">
        <v>36</v>
      </c>
      <c r="G175" s="4" t="s">
        <v>37</v>
      </c>
      <c r="H175" s="4" t="s">
        <v>81</v>
      </c>
      <c r="I175" s="4" t="s">
        <v>1030</v>
      </c>
      <c r="J175" s="4" t="s">
        <v>132</v>
      </c>
      <c r="K175" s="4" t="s">
        <v>133</v>
      </c>
      <c r="L175" s="4" t="s">
        <v>40</v>
      </c>
      <c r="M175" s="4">
        <v>0</v>
      </c>
      <c r="N175" s="4" t="s">
        <v>130</v>
      </c>
      <c r="O175" s="4" t="s">
        <v>42</v>
      </c>
      <c r="P175" s="50" t="s">
        <v>43</v>
      </c>
      <c r="Q175" s="50" t="s">
        <v>36</v>
      </c>
      <c r="R175" s="50">
        <v>0</v>
      </c>
      <c r="S175" s="4" t="s">
        <v>36</v>
      </c>
      <c r="T175" s="4" t="s">
        <v>81</v>
      </c>
    </row>
    <row r="176" spans="3:20" hidden="1" x14ac:dyDescent="0.25">
      <c r="C176" s="4" t="s">
        <v>134</v>
      </c>
      <c r="D176" s="4" t="s">
        <v>135</v>
      </c>
      <c r="E176" s="4" t="s">
        <v>135</v>
      </c>
      <c r="F176" s="4" t="s">
        <v>36</v>
      </c>
      <c r="G176" s="4" t="s">
        <v>37</v>
      </c>
      <c r="H176" s="4" t="s">
        <v>81</v>
      </c>
      <c r="I176" s="4" t="s">
        <v>1030</v>
      </c>
      <c r="J176" s="4" t="s">
        <v>132</v>
      </c>
      <c r="K176" s="4" t="s">
        <v>51</v>
      </c>
      <c r="L176" s="4" t="s">
        <v>40</v>
      </c>
      <c r="M176" s="4">
        <v>0</v>
      </c>
      <c r="N176" s="4" t="s">
        <v>134</v>
      </c>
      <c r="O176" s="4" t="s">
        <v>42</v>
      </c>
      <c r="P176" s="50" t="s">
        <v>43</v>
      </c>
      <c r="Q176" s="50" t="s">
        <v>36</v>
      </c>
      <c r="R176" s="50">
        <v>0</v>
      </c>
      <c r="S176" s="4" t="s">
        <v>36</v>
      </c>
      <c r="T176" s="4" t="s">
        <v>81</v>
      </c>
    </row>
    <row r="177" spans="3:20" hidden="1" x14ac:dyDescent="0.25">
      <c r="C177" s="4" t="s">
        <v>136</v>
      </c>
      <c r="D177" s="4" t="s">
        <v>137</v>
      </c>
      <c r="E177" s="4" t="s">
        <v>137</v>
      </c>
      <c r="F177" s="4" t="s">
        <v>36</v>
      </c>
      <c r="G177" s="4" t="s">
        <v>37</v>
      </c>
      <c r="H177" s="4" t="s">
        <v>88</v>
      </c>
      <c r="I177" s="4" t="s">
        <v>1030</v>
      </c>
      <c r="J177" s="4" t="s">
        <v>58</v>
      </c>
      <c r="K177" s="4" t="s">
        <v>138</v>
      </c>
      <c r="L177" s="4" t="s">
        <v>40</v>
      </c>
      <c r="M177" s="4">
        <v>0</v>
      </c>
      <c r="N177" s="4" t="s">
        <v>136</v>
      </c>
      <c r="O177" s="4" t="s">
        <v>42</v>
      </c>
      <c r="P177" s="50" t="s">
        <v>43</v>
      </c>
      <c r="Q177" s="50" t="s">
        <v>36</v>
      </c>
      <c r="R177" s="50">
        <v>0</v>
      </c>
      <c r="S177" s="4" t="s">
        <v>36</v>
      </c>
      <c r="T177" s="4" t="s">
        <v>88</v>
      </c>
    </row>
    <row r="178" spans="3:20" hidden="1" x14ac:dyDescent="0.25">
      <c r="C178" s="4" t="s">
        <v>139</v>
      </c>
      <c r="D178" s="4" t="s">
        <v>140</v>
      </c>
      <c r="E178" s="4" t="s">
        <v>140</v>
      </c>
      <c r="F178" s="4" t="s">
        <v>36</v>
      </c>
      <c r="G178" s="4" t="s">
        <v>37</v>
      </c>
      <c r="H178" s="4" t="s">
        <v>88</v>
      </c>
      <c r="I178" s="4" t="s">
        <v>1030</v>
      </c>
      <c r="J178" s="4" t="s">
        <v>89</v>
      </c>
      <c r="K178" s="4" t="s">
        <v>109</v>
      </c>
      <c r="L178" s="4" t="s">
        <v>91</v>
      </c>
      <c r="M178" s="4">
        <v>0</v>
      </c>
      <c r="N178" s="4" t="s">
        <v>139</v>
      </c>
      <c r="O178" s="4" t="s">
        <v>42</v>
      </c>
      <c r="P178" s="50" t="s">
        <v>43</v>
      </c>
      <c r="Q178" s="50" t="s">
        <v>36</v>
      </c>
      <c r="R178" s="50">
        <v>0</v>
      </c>
      <c r="S178" s="4" t="s">
        <v>36</v>
      </c>
      <c r="T178" s="4" t="s">
        <v>88</v>
      </c>
    </row>
    <row r="179" spans="3:20" hidden="1" x14ac:dyDescent="0.25">
      <c r="C179" s="4" t="s">
        <v>411</v>
      </c>
      <c r="D179" s="4" t="s">
        <v>412</v>
      </c>
      <c r="E179" s="4" t="s">
        <v>412</v>
      </c>
      <c r="F179" s="4">
        <v>5</v>
      </c>
      <c r="G179" s="4" t="s">
        <v>376</v>
      </c>
      <c r="H179" s="4" t="s">
        <v>46</v>
      </c>
      <c r="I179" s="4" t="s">
        <v>1031</v>
      </c>
      <c r="J179" s="4" t="s">
        <v>63</v>
      </c>
      <c r="K179" s="4" t="s">
        <v>138</v>
      </c>
      <c r="L179" s="4" t="s">
        <v>40</v>
      </c>
      <c r="M179" s="4" t="s">
        <v>378</v>
      </c>
      <c r="N179" s="4" t="s">
        <v>411</v>
      </c>
      <c r="O179" s="4" t="s">
        <v>42</v>
      </c>
      <c r="P179" s="50" t="s">
        <v>440</v>
      </c>
      <c r="Q179" s="50">
        <v>43012333.965821557</v>
      </c>
      <c r="R179" s="50" t="s">
        <v>380</v>
      </c>
      <c r="S179" s="4" t="s">
        <v>43</v>
      </c>
      <c r="T179" s="4" t="s">
        <v>46</v>
      </c>
    </row>
    <row r="180" spans="3:20" hidden="1" x14ac:dyDescent="0.25">
      <c r="C180" s="4" t="s">
        <v>578</v>
      </c>
      <c r="D180" s="4" t="s">
        <v>579</v>
      </c>
      <c r="E180" s="4" t="s">
        <v>579</v>
      </c>
      <c r="F180" s="4">
        <v>5</v>
      </c>
      <c r="G180" s="4" t="s">
        <v>376</v>
      </c>
      <c r="H180" s="4" t="s">
        <v>46</v>
      </c>
      <c r="I180" s="4" t="s">
        <v>1030</v>
      </c>
      <c r="J180" s="4" t="s">
        <v>331</v>
      </c>
      <c r="K180" s="4" t="s">
        <v>138</v>
      </c>
      <c r="L180" s="4" t="s">
        <v>40</v>
      </c>
      <c r="M180" s="4" t="s">
        <v>984</v>
      </c>
      <c r="N180" s="4" t="s">
        <v>578</v>
      </c>
      <c r="O180" s="4" t="s">
        <v>42</v>
      </c>
      <c r="P180" s="50" t="s">
        <v>43</v>
      </c>
      <c r="Q180" s="50">
        <v>34873176.268875949</v>
      </c>
      <c r="R180" s="50" t="s">
        <v>557</v>
      </c>
      <c r="S180" s="4" t="s">
        <v>43</v>
      </c>
      <c r="T180" s="4" t="s">
        <v>46</v>
      </c>
    </row>
    <row r="181" spans="3:20" hidden="1" x14ac:dyDescent="0.25">
      <c r="C181" s="4" t="s">
        <v>908</v>
      </c>
      <c r="D181" s="4" t="s">
        <v>909</v>
      </c>
      <c r="E181" s="4" t="s">
        <v>910</v>
      </c>
      <c r="F181" s="4">
        <v>5</v>
      </c>
      <c r="G181" s="4" t="s">
        <v>37</v>
      </c>
      <c r="H181" s="4" t="s">
        <v>81</v>
      </c>
      <c r="I181" s="4" t="s">
        <v>1030</v>
      </c>
      <c r="J181" s="4" t="s">
        <v>73</v>
      </c>
      <c r="K181" s="4" t="s">
        <v>911</v>
      </c>
      <c r="L181" s="4" t="s">
        <v>40</v>
      </c>
      <c r="M181" s="4" t="s">
        <v>514</v>
      </c>
      <c r="N181" s="4" t="s">
        <v>908</v>
      </c>
      <c r="O181" s="4" t="s">
        <v>42</v>
      </c>
      <c r="P181" s="50" t="s">
        <v>43</v>
      </c>
      <c r="Q181" s="50" t="s">
        <v>36</v>
      </c>
      <c r="R181" s="50" t="s">
        <v>886</v>
      </c>
      <c r="S181" s="4" t="s">
        <v>36</v>
      </c>
      <c r="T181" s="4" t="s">
        <v>81</v>
      </c>
    </row>
    <row r="182" spans="3:20" hidden="1" x14ac:dyDescent="0.25">
      <c r="C182" s="4" t="s">
        <v>413</v>
      </c>
      <c r="D182" s="4" t="s">
        <v>414</v>
      </c>
      <c r="E182" s="4" t="s">
        <v>414</v>
      </c>
      <c r="F182" s="4">
        <v>5</v>
      </c>
      <c r="G182" s="4" t="s">
        <v>376</v>
      </c>
      <c r="H182" s="4" t="s">
        <v>46</v>
      </c>
      <c r="I182" s="4" t="s">
        <v>1031</v>
      </c>
      <c r="J182" s="4" t="s">
        <v>63</v>
      </c>
      <c r="K182" s="4" t="s">
        <v>138</v>
      </c>
      <c r="L182" s="4" t="s">
        <v>40</v>
      </c>
      <c r="M182" s="4" t="s">
        <v>378</v>
      </c>
      <c r="N182" s="4" t="s">
        <v>413</v>
      </c>
      <c r="O182" s="4" t="s">
        <v>42</v>
      </c>
      <c r="P182" s="50" t="s">
        <v>43</v>
      </c>
      <c r="Q182" s="50">
        <v>37721919.113852128</v>
      </c>
      <c r="R182" s="50" t="s">
        <v>380</v>
      </c>
      <c r="S182" s="4" t="s">
        <v>43</v>
      </c>
      <c r="T182" s="4" t="s">
        <v>46</v>
      </c>
    </row>
    <row r="183" spans="3:20" hidden="1" x14ac:dyDescent="0.25">
      <c r="C183" s="4" t="s">
        <v>580</v>
      </c>
      <c r="D183" s="4" t="s">
        <v>581</v>
      </c>
      <c r="E183" s="4" t="s">
        <v>581</v>
      </c>
      <c r="F183" s="4">
        <v>5</v>
      </c>
      <c r="G183" s="4" t="s">
        <v>376</v>
      </c>
      <c r="H183" s="4" t="s">
        <v>46</v>
      </c>
      <c r="I183" s="4" t="s">
        <v>1030</v>
      </c>
      <c r="J183" s="4" t="s">
        <v>331</v>
      </c>
      <c r="K183" s="4" t="s">
        <v>138</v>
      </c>
      <c r="L183" s="4" t="s">
        <v>40</v>
      </c>
      <c r="M183" s="4" t="s">
        <v>984</v>
      </c>
      <c r="N183" s="4" t="s">
        <v>580</v>
      </c>
      <c r="O183" s="4" t="s">
        <v>42</v>
      </c>
      <c r="P183" s="50" t="s">
        <v>43</v>
      </c>
      <c r="Q183" s="50">
        <v>36137502.216028072</v>
      </c>
      <c r="R183" s="50" t="s">
        <v>557</v>
      </c>
      <c r="S183" s="4" t="s">
        <v>43</v>
      </c>
      <c r="T183" s="4" t="s">
        <v>46</v>
      </c>
    </row>
    <row r="184" spans="3:20" hidden="1" x14ac:dyDescent="0.25">
      <c r="C184" s="4" t="s">
        <v>756</v>
      </c>
      <c r="D184" s="4" t="s">
        <v>757</v>
      </c>
      <c r="E184" s="4" t="s">
        <v>757</v>
      </c>
      <c r="F184" s="4">
        <v>5</v>
      </c>
      <c r="G184" s="4" t="s">
        <v>376</v>
      </c>
      <c r="H184" s="4" t="s">
        <v>46</v>
      </c>
      <c r="I184" s="4" t="s">
        <v>1031</v>
      </c>
      <c r="J184" s="4" t="s">
        <v>84</v>
      </c>
      <c r="K184" s="4" t="s">
        <v>54</v>
      </c>
      <c r="L184" s="4" t="s">
        <v>55</v>
      </c>
      <c r="M184" s="4" t="s">
        <v>378</v>
      </c>
      <c r="N184" s="4" t="s">
        <v>756</v>
      </c>
      <c r="O184" s="4" t="s">
        <v>42</v>
      </c>
      <c r="P184" s="50" t="s">
        <v>43</v>
      </c>
      <c r="Q184" s="50">
        <v>37863948.014555074</v>
      </c>
      <c r="R184" s="50" t="s">
        <v>741</v>
      </c>
      <c r="S184" s="4" t="s">
        <v>43</v>
      </c>
      <c r="T184" s="4" t="s">
        <v>46</v>
      </c>
    </row>
    <row r="185" spans="3:20" hidden="1" x14ac:dyDescent="0.25">
      <c r="C185" s="4" t="s">
        <v>812</v>
      </c>
      <c r="D185" s="4" t="s">
        <v>813</v>
      </c>
      <c r="E185" s="4" t="s">
        <v>813</v>
      </c>
      <c r="F185" s="4">
        <v>5</v>
      </c>
      <c r="G185" s="4" t="s">
        <v>376</v>
      </c>
      <c r="H185" s="4" t="s">
        <v>46</v>
      </c>
      <c r="I185" s="4" t="s">
        <v>1030</v>
      </c>
      <c r="J185" s="4" t="s">
        <v>146</v>
      </c>
      <c r="K185" s="4" t="s">
        <v>59</v>
      </c>
      <c r="L185" s="4" t="s">
        <v>40</v>
      </c>
      <c r="M185" s="4" t="s">
        <v>1035</v>
      </c>
      <c r="N185" s="4" t="s">
        <v>812</v>
      </c>
      <c r="O185" s="4" t="s">
        <v>42</v>
      </c>
      <c r="P185" s="50" t="s">
        <v>43</v>
      </c>
      <c r="Q185" s="50">
        <v>33084723.734985504</v>
      </c>
      <c r="R185" s="50" t="s">
        <v>799</v>
      </c>
      <c r="S185" s="4" t="s">
        <v>43</v>
      </c>
      <c r="T185" s="4" t="s">
        <v>46</v>
      </c>
    </row>
    <row r="186" spans="3:20" hidden="1" x14ac:dyDescent="0.25">
      <c r="C186" s="4" t="s">
        <v>141</v>
      </c>
      <c r="D186" s="4" t="s">
        <v>142</v>
      </c>
      <c r="E186" s="4" t="s">
        <v>142</v>
      </c>
      <c r="F186" s="4" t="s">
        <v>36</v>
      </c>
      <c r="G186" s="4" t="s">
        <v>37</v>
      </c>
      <c r="H186" s="4" t="s">
        <v>81</v>
      </c>
      <c r="I186" s="4" t="s">
        <v>1030</v>
      </c>
      <c r="J186" s="4">
        <v>0</v>
      </c>
      <c r="K186" s="4" t="s">
        <v>143</v>
      </c>
      <c r="L186" s="4" t="s">
        <v>40</v>
      </c>
      <c r="M186" s="4">
        <v>0</v>
      </c>
      <c r="N186" s="4" t="s">
        <v>141</v>
      </c>
      <c r="O186" s="4" t="s">
        <v>42</v>
      </c>
      <c r="P186" s="50" t="s">
        <v>43</v>
      </c>
      <c r="Q186" s="50" t="s">
        <v>36</v>
      </c>
      <c r="R186" s="50">
        <v>0</v>
      </c>
      <c r="S186" s="4" t="s">
        <v>36</v>
      </c>
      <c r="T186" s="4" t="s">
        <v>81</v>
      </c>
    </row>
    <row r="187" spans="3:20" hidden="1" x14ac:dyDescent="0.25">
      <c r="C187" s="4" t="s">
        <v>437</v>
      </c>
      <c r="D187" s="4" t="s">
        <v>438</v>
      </c>
      <c r="E187" s="4" t="s">
        <v>439</v>
      </c>
      <c r="F187" s="4">
        <v>5</v>
      </c>
      <c r="G187" s="4" t="s">
        <v>376</v>
      </c>
      <c r="H187" s="4" t="s">
        <v>81</v>
      </c>
      <c r="I187" s="4" t="s">
        <v>1030</v>
      </c>
      <c r="J187" s="4" t="s">
        <v>94</v>
      </c>
      <c r="K187" s="4" t="s">
        <v>64</v>
      </c>
      <c r="L187" s="4" t="s">
        <v>40</v>
      </c>
      <c r="M187" s="4" t="s">
        <v>1035</v>
      </c>
      <c r="N187" s="4" t="s">
        <v>437</v>
      </c>
      <c r="O187" s="4" t="s">
        <v>42</v>
      </c>
      <c r="P187" s="50" t="s">
        <v>43</v>
      </c>
      <c r="Q187" s="50">
        <v>32589711.543751661</v>
      </c>
      <c r="R187" s="50" t="s">
        <v>423</v>
      </c>
      <c r="S187" s="4" t="s">
        <v>440</v>
      </c>
      <c r="T187" s="4" t="s">
        <v>81</v>
      </c>
    </row>
    <row r="188" spans="3:20" hidden="1" x14ac:dyDescent="0.25">
      <c r="C188" s="4" t="s">
        <v>497</v>
      </c>
      <c r="D188" s="4" t="s">
        <v>498</v>
      </c>
      <c r="E188" s="4" t="s">
        <v>499</v>
      </c>
      <c r="F188" s="4">
        <v>5</v>
      </c>
      <c r="G188" s="4" t="s">
        <v>376</v>
      </c>
      <c r="H188" s="4" t="s">
        <v>46</v>
      </c>
      <c r="I188" s="4" t="s">
        <v>1030</v>
      </c>
      <c r="J188" s="4" t="s">
        <v>466</v>
      </c>
      <c r="K188" s="4" t="s">
        <v>51</v>
      </c>
      <c r="L188" s="4" t="s">
        <v>40</v>
      </c>
      <c r="M188" s="4" t="s">
        <v>1035</v>
      </c>
      <c r="N188" s="4" t="s">
        <v>497</v>
      </c>
      <c r="O188" s="4" t="s">
        <v>42</v>
      </c>
      <c r="P188" s="50" t="s">
        <v>43</v>
      </c>
      <c r="Q188" s="50">
        <v>33249946.910340812</v>
      </c>
      <c r="R188" s="50" t="s">
        <v>467</v>
      </c>
      <c r="S188" s="4" t="s">
        <v>43</v>
      </c>
      <c r="T188" s="4" t="s">
        <v>46</v>
      </c>
    </row>
    <row r="189" spans="3:20" hidden="1" x14ac:dyDescent="0.25">
      <c r="C189" s="4" t="s">
        <v>144</v>
      </c>
      <c r="D189" s="4" t="s">
        <v>145</v>
      </c>
      <c r="E189" s="4" t="s">
        <v>145</v>
      </c>
      <c r="F189" s="4" t="s">
        <v>36</v>
      </c>
      <c r="G189" s="4" t="s">
        <v>37</v>
      </c>
      <c r="H189" s="4" t="s">
        <v>46</v>
      </c>
      <c r="I189" s="4" t="s">
        <v>1030</v>
      </c>
      <c r="J189" s="4" t="s">
        <v>146</v>
      </c>
      <c r="K189" s="4" t="s">
        <v>138</v>
      </c>
      <c r="L189" s="4" t="s">
        <v>40</v>
      </c>
      <c r="M189" s="4">
        <v>0</v>
      </c>
      <c r="N189" s="4" t="s">
        <v>144</v>
      </c>
      <c r="O189" s="4" t="s">
        <v>42</v>
      </c>
      <c r="P189" s="50" t="s">
        <v>43</v>
      </c>
      <c r="Q189" s="50" t="s">
        <v>36</v>
      </c>
      <c r="R189" s="50">
        <v>0</v>
      </c>
      <c r="S189" s="4" t="s">
        <v>36</v>
      </c>
      <c r="T189" s="4" t="s">
        <v>46</v>
      </c>
    </row>
    <row r="190" spans="3:20" hidden="1" x14ac:dyDescent="0.25">
      <c r="C190" s="4" t="s">
        <v>784</v>
      </c>
      <c r="D190" s="4" t="s">
        <v>785</v>
      </c>
      <c r="E190" s="4" t="s">
        <v>785</v>
      </c>
      <c r="F190" s="4">
        <v>5.45</v>
      </c>
      <c r="G190" s="4" t="s">
        <v>376</v>
      </c>
      <c r="H190" s="4" t="s">
        <v>46</v>
      </c>
      <c r="I190" s="4" t="s">
        <v>1031</v>
      </c>
      <c r="J190" s="4" t="s">
        <v>89</v>
      </c>
      <c r="K190" s="4" t="s">
        <v>109</v>
      </c>
      <c r="L190" s="4" t="s">
        <v>91</v>
      </c>
      <c r="M190" s="4" t="s">
        <v>378</v>
      </c>
      <c r="N190" s="4" t="s">
        <v>784</v>
      </c>
      <c r="O190" s="4" t="s">
        <v>42</v>
      </c>
      <c r="P190" s="50" t="s">
        <v>43</v>
      </c>
      <c r="Q190" s="50">
        <v>46937762.676390357</v>
      </c>
      <c r="R190" s="50" t="s">
        <v>772</v>
      </c>
      <c r="S190" s="4" t="s">
        <v>43</v>
      </c>
      <c r="T190" s="4" t="s">
        <v>46</v>
      </c>
    </row>
    <row r="191" spans="3:20" hidden="1" x14ac:dyDescent="0.25">
      <c r="C191" s="4" t="s">
        <v>147</v>
      </c>
      <c r="D191" s="4" t="s">
        <v>148</v>
      </c>
      <c r="E191" s="4" t="s">
        <v>148</v>
      </c>
      <c r="F191" s="4" t="s">
        <v>36</v>
      </c>
      <c r="G191" s="4" t="s">
        <v>37</v>
      </c>
      <c r="H191" s="4" t="s">
        <v>46</v>
      </c>
      <c r="I191" s="4" t="s">
        <v>1030</v>
      </c>
      <c r="J191" s="4" t="s">
        <v>50</v>
      </c>
      <c r="K191" s="4" t="s">
        <v>51</v>
      </c>
      <c r="L191" s="4" t="s">
        <v>40</v>
      </c>
      <c r="M191" s="4">
        <v>0</v>
      </c>
      <c r="N191" s="4" t="s">
        <v>147</v>
      </c>
      <c r="O191" s="4" t="s">
        <v>42</v>
      </c>
      <c r="P191" s="50" t="s">
        <v>43</v>
      </c>
      <c r="Q191" s="50" t="s">
        <v>36</v>
      </c>
      <c r="R191" s="50">
        <v>0</v>
      </c>
      <c r="S191" s="4" t="s">
        <v>36</v>
      </c>
      <c r="T191" s="4" t="s">
        <v>46</v>
      </c>
    </row>
    <row r="192" spans="3:20" hidden="1" x14ac:dyDescent="0.25">
      <c r="C192" s="4" t="s">
        <v>149</v>
      </c>
      <c r="D192" s="4" t="s">
        <v>150</v>
      </c>
      <c r="E192" s="4" t="s">
        <v>150</v>
      </c>
      <c r="F192" s="4" t="s">
        <v>36</v>
      </c>
      <c r="G192" s="4" t="s">
        <v>37</v>
      </c>
      <c r="H192" s="4" t="s">
        <v>81</v>
      </c>
      <c r="I192" s="4" t="s">
        <v>1030</v>
      </c>
      <c r="J192" s="4" t="s">
        <v>100</v>
      </c>
      <c r="K192" s="4" t="s">
        <v>59</v>
      </c>
      <c r="L192" s="4" t="s">
        <v>40</v>
      </c>
      <c r="M192" s="4">
        <v>0</v>
      </c>
      <c r="N192" s="4" t="s">
        <v>149</v>
      </c>
      <c r="O192" s="4" t="s">
        <v>42</v>
      </c>
      <c r="P192" s="50" t="s">
        <v>43</v>
      </c>
      <c r="Q192" s="50" t="s">
        <v>36</v>
      </c>
      <c r="R192" s="50">
        <v>0</v>
      </c>
      <c r="S192" s="4" t="s">
        <v>36</v>
      </c>
      <c r="T192" s="4" t="s">
        <v>81</v>
      </c>
    </row>
    <row r="193" spans="3:20" hidden="1" x14ac:dyDescent="0.25">
      <c r="C193" s="4" t="s">
        <v>151</v>
      </c>
      <c r="D193" s="4" t="s">
        <v>152</v>
      </c>
      <c r="E193" s="4" t="s">
        <v>152</v>
      </c>
      <c r="F193" s="4" t="s">
        <v>36</v>
      </c>
      <c r="G193" s="4" t="s">
        <v>37</v>
      </c>
      <c r="H193" s="4" t="s">
        <v>88</v>
      </c>
      <c r="I193" s="4" t="s">
        <v>1030</v>
      </c>
      <c r="J193" s="4" t="s">
        <v>132</v>
      </c>
      <c r="K193" s="4" t="s">
        <v>133</v>
      </c>
      <c r="L193" s="4" t="s">
        <v>40</v>
      </c>
      <c r="M193" s="4">
        <v>0</v>
      </c>
      <c r="N193" s="4" t="s">
        <v>151</v>
      </c>
      <c r="O193" s="4" t="s">
        <v>42</v>
      </c>
      <c r="P193" s="50" t="s">
        <v>43</v>
      </c>
      <c r="Q193" s="50" t="s">
        <v>36</v>
      </c>
      <c r="R193" s="50">
        <v>0</v>
      </c>
      <c r="S193" s="4" t="s">
        <v>36</v>
      </c>
      <c r="T193" s="4" t="s">
        <v>88</v>
      </c>
    </row>
    <row r="194" spans="3:20" hidden="1" x14ac:dyDescent="0.25">
      <c r="C194" s="4" t="s">
        <v>786</v>
      </c>
      <c r="D194" s="4" t="s">
        <v>787</v>
      </c>
      <c r="E194" s="4" t="s">
        <v>787</v>
      </c>
      <c r="F194" s="4">
        <v>5</v>
      </c>
      <c r="G194" s="4" t="s">
        <v>376</v>
      </c>
      <c r="H194" s="4" t="s">
        <v>81</v>
      </c>
      <c r="I194" s="4" t="s">
        <v>1031</v>
      </c>
      <c r="J194" s="4" t="s">
        <v>89</v>
      </c>
      <c r="K194" s="4" t="s">
        <v>109</v>
      </c>
      <c r="L194" s="4" t="s">
        <v>91</v>
      </c>
      <c r="M194" s="4" t="s">
        <v>378</v>
      </c>
      <c r="N194" s="4" t="s">
        <v>786</v>
      </c>
      <c r="O194" s="4" t="s">
        <v>42</v>
      </c>
      <c r="P194" s="50" t="s">
        <v>43</v>
      </c>
      <c r="Q194" s="50">
        <v>46680079.843526401</v>
      </c>
      <c r="R194" s="50" t="s">
        <v>772</v>
      </c>
      <c r="S194" s="4" t="s">
        <v>440</v>
      </c>
      <c r="T194" s="4" t="s">
        <v>81</v>
      </c>
    </row>
    <row r="195" spans="3:20" hidden="1" x14ac:dyDescent="0.25">
      <c r="C195" s="4" t="s">
        <v>582</v>
      </c>
      <c r="D195" s="4" t="s">
        <v>583</v>
      </c>
      <c r="E195" s="4" t="s">
        <v>583</v>
      </c>
      <c r="F195" s="4">
        <v>5</v>
      </c>
      <c r="G195" s="4" t="s">
        <v>376</v>
      </c>
      <c r="H195" s="4" t="s">
        <v>46</v>
      </c>
      <c r="I195" s="4" t="s">
        <v>1030</v>
      </c>
      <c r="J195" s="4" t="s">
        <v>331</v>
      </c>
      <c r="K195" s="4" t="s">
        <v>138</v>
      </c>
      <c r="L195" s="4" t="s">
        <v>40</v>
      </c>
      <c r="M195" s="4" t="s">
        <v>984</v>
      </c>
      <c r="N195" s="4" t="s">
        <v>582</v>
      </c>
      <c r="O195" s="4" t="s">
        <v>42</v>
      </c>
      <c r="P195" s="50" t="s">
        <v>43</v>
      </c>
      <c r="Q195" s="50">
        <v>57032304.862221025</v>
      </c>
      <c r="R195" s="50" t="s">
        <v>557</v>
      </c>
      <c r="S195" s="4" t="s">
        <v>43</v>
      </c>
      <c r="T195" s="4" t="s">
        <v>46</v>
      </c>
    </row>
    <row r="196" spans="3:20" hidden="1" x14ac:dyDescent="0.25">
      <c r="C196" s="4" t="s">
        <v>714</v>
      </c>
      <c r="D196" s="4" t="s">
        <v>715</v>
      </c>
      <c r="E196" s="4" t="s">
        <v>715</v>
      </c>
      <c r="F196" s="4">
        <v>5</v>
      </c>
      <c r="G196" s="4" t="s">
        <v>376</v>
      </c>
      <c r="H196" s="4" t="s">
        <v>46</v>
      </c>
      <c r="I196" s="4" t="s">
        <v>1031</v>
      </c>
      <c r="J196" s="4" t="s">
        <v>84</v>
      </c>
      <c r="K196" s="4" t="s">
        <v>54</v>
      </c>
      <c r="L196" s="4" t="s">
        <v>55</v>
      </c>
      <c r="M196" s="4" t="s">
        <v>378</v>
      </c>
      <c r="N196" s="4" t="s">
        <v>714</v>
      </c>
      <c r="O196" s="4" t="s">
        <v>42</v>
      </c>
      <c r="P196" s="50" t="s">
        <v>43</v>
      </c>
      <c r="Q196" s="50">
        <v>39786457.227298982</v>
      </c>
      <c r="R196" s="50" t="s">
        <v>702</v>
      </c>
      <c r="S196" s="4" t="s">
        <v>43</v>
      </c>
      <c r="T196" s="4" t="s">
        <v>46</v>
      </c>
    </row>
    <row r="197" spans="3:20" hidden="1" x14ac:dyDescent="0.25">
      <c r="C197" s="4" t="s">
        <v>153</v>
      </c>
      <c r="D197" s="4" t="s">
        <v>154</v>
      </c>
      <c r="E197" s="4" t="s">
        <v>155</v>
      </c>
      <c r="F197" s="4" t="s">
        <v>36</v>
      </c>
      <c r="G197" s="4" t="s">
        <v>37</v>
      </c>
      <c r="H197" s="4" t="s">
        <v>81</v>
      </c>
      <c r="I197" s="4" t="s">
        <v>1030</v>
      </c>
      <c r="J197" s="4" t="s">
        <v>84</v>
      </c>
      <c r="K197" s="4" t="s">
        <v>54</v>
      </c>
      <c r="L197" s="4" t="s">
        <v>55</v>
      </c>
      <c r="M197" s="4">
        <v>0</v>
      </c>
      <c r="N197" s="4" t="s">
        <v>153</v>
      </c>
      <c r="O197" s="4" t="s">
        <v>42</v>
      </c>
      <c r="P197" s="50" t="s">
        <v>43</v>
      </c>
      <c r="Q197" s="50" t="s">
        <v>36</v>
      </c>
      <c r="R197" s="50">
        <v>0</v>
      </c>
      <c r="S197" s="4" t="s">
        <v>36</v>
      </c>
      <c r="T197" s="4" t="s">
        <v>81</v>
      </c>
    </row>
    <row r="198" spans="3:20" hidden="1" x14ac:dyDescent="0.25">
      <c r="C198" s="4" t="s">
        <v>912</v>
      </c>
      <c r="D198" s="4" t="s">
        <v>913</v>
      </c>
      <c r="E198" s="4" t="s">
        <v>913</v>
      </c>
      <c r="F198" s="4">
        <v>5</v>
      </c>
      <c r="G198" s="4" t="s">
        <v>376</v>
      </c>
      <c r="H198" s="4" t="s">
        <v>81</v>
      </c>
      <c r="I198" s="4" t="s">
        <v>1030</v>
      </c>
      <c r="J198" s="4" t="s">
        <v>73</v>
      </c>
      <c r="K198" s="4" t="s">
        <v>914</v>
      </c>
      <c r="L198" s="4" t="s">
        <v>40</v>
      </c>
      <c r="M198" s="4" t="s">
        <v>514</v>
      </c>
      <c r="N198" s="4" t="s">
        <v>912</v>
      </c>
      <c r="O198" s="4" t="s">
        <v>42</v>
      </c>
      <c r="P198" s="50" t="s">
        <v>43</v>
      </c>
      <c r="Q198" s="50">
        <v>29973680.215344973</v>
      </c>
      <c r="R198" s="50" t="s">
        <v>886</v>
      </c>
      <c r="S198" s="4" t="s">
        <v>43</v>
      </c>
      <c r="T198" s="4" t="s">
        <v>81</v>
      </c>
    </row>
    <row r="199" spans="3:20" hidden="1" x14ac:dyDescent="0.25">
      <c r="C199" s="4" t="s">
        <v>500</v>
      </c>
      <c r="D199" s="4" t="s">
        <v>501</v>
      </c>
      <c r="E199" s="4" t="s">
        <v>501</v>
      </c>
      <c r="F199" s="4">
        <v>5</v>
      </c>
      <c r="G199" s="4" t="s">
        <v>376</v>
      </c>
      <c r="H199" s="4" t="s">
        <v>46</v>
      </c>
      <c r="I199" s="4" t="s">
        <v>1030</v>
      </c>
      <c r="J199" s="4" t="s">
        <v>466</v>
      </c>
      <c r="K199" s="4" t="s">
        <v>51</v>
      </c>
      <c r="L199" s="4" t="s">
        <v>40</v>
      </c>
      <c r="M199" s="4" t="s">
        <v>1035</v>
      </c>
      <c r="N199" s="4" t="s">
        <v>500</v>
      </c>
      <c r="O199" s="4" t="s">
        <v>42</v>
      </c>
      <c r="P199" s="50" t="s">
        <v>43</v>
      </c>
      <c r="Q199" s="50">
        <v>39319372.436379328</v>
      </c>
      <c r="R199" s="50" t="s">
        <v>467</v>
      </c>
      <c r="S199" s="4" t="s">
        <v>43</v>
      </c>
      <c r="T199" s="4" t="s">
        <v>46</v>
      </c>
    </row>
    <row r="200" spans="3:20" hidden="1" x14ac:dyDescent="0.25">
      <c r="C200" s="4" t="s">
        <v>441</v>
      </c>
      <c r="D200" s="4" t="s">
        <v>442</v>
      </c>
      <c r="E200" s="4" t="s">
        <v>442</v>
      </c>
      <c r="F200" s="4">
        <v>5</v>
      </c>
      <c r="G200" s="4" t="s">
        <v>376</v>
      </c>
      <c r="H200" s="4" t="s">
        <v>46</v>
      </c>
      <c r="I200" s="4" t="s">
        <v>1030</v>
      </c>
      <c r="J200" s="4" t="s">
        <v>94</v>
      </c>
      <c r="K200" s="4" t="s">
        <v>64</v>
      </c>
      <c r="L200" s="4" t="s">
        <v>40</v>
      </c>
      <c r="M200" s="4" t="s">
        <v>1035</v>
      </c>
      <c r="N200" s="4" t="s">
        <v>441</v>
      </c>
      <c r="O200" s="4" t="s">
        <v>42</v>
      </c>
      <c r="P200" s="50" t="s">
        <v>440</v>
      </c>
      <c r="Q200" s="50">
        <v>32316526.996697605</v>
      </c>
      <c r="R200" s="50" t="s">
        <v>423</v>
      </c>
      <c r="S200" s="4" t="s">
        <v>43</v>
      </c>
      <c r="T200" s="4" t="s">
        <v>46</v>
      </c>
    </row>
    <row r="201" spans="3:20" hidden="1" x14ac:dyDescent="0.25">
      <c r="C201" s="4" t="s">
        <v>156</v>
      </c>
      <c r="D201" s="4" t="s">
        <v>157</v>
      </c>
      <c r="E201" s="4" t="s">
        <v>157</v>
      </c>
      <c r="F201" s="4" t="s">
        <v>36</v>
      </c>
      <c r="G201" s="4" t="s">
        <v>37</v>
      </c>
      <c r="H201" s="4" t="s">
        <v>46</v>
      </c>
      <c r="I201" s="4" t="s">
        <v>1030</v>
      </c>
      <c r="J201" s="4">
        <v>0</v>
      </c>
      <c r="K201" s="4" t="s">
        <v>51</v>
      </c>
      <c r="L201" s="4" t="s">
        <v>40</v>
      </c>
      <c r="M201" s="4">
        <v>0</v>
      </c>
      <c r="N201" s="4" t="s">
        <v>156</v>
      </c>
      <c r="O201" s="4" t="s">
        <v>42</v>
      </c>
      <c r="P201" s="50" t="s">
        <v>43</v>
      </c>
      <c r="Q201" s="50" t="s">
        <v>36</v>
      </c>
      <c r="R201" s="50">
        <v>0</v>
      </c>
      <c r="S201" s="4" t="s">
        <v>36</v>
      </c>
      <c r="T201" s="4" t="s">
        <v>46</v>
      </c>
    </row>
    <row r="202" spans="3:20" hidden="1" x14ac:dyDescent="0.25">
      <c r="C202" s="4" t="s">
        <v>875</v>
      </c>
      <c r="D202" s="4" t="s">
        <v>876</v>
      </c>
      <c r="E202" s="4" t="s">
        <v>876</v>
      </c>
      <c r="F202" s="4">
        <v>5</v>
      </c>
      <c r="G202" s="4" t="s">
        <v>376</v>
      </c>
      <c r="H202" s="4" t="s">
        <v>81</v>
      </c>
      <c r="I202" s="4" t="s">
        <v>1030</v>
      </c>
      <c r="J202" s="4" t="s">
        <v>132</v>
      </c>
      <c r="K202" s="4" t="s">
        <v>856</v>
      </c>
      <c r="L202" s="4" t="s">
        <v>40</v>
      </c>
      <c r="M202" s="4" t="s">
        <v>1035</v>
      </c>
      <c r="N202" s="4" t="s">
        <v>875</v>
      </c>
      <c r="O202" s="4" t="s">
        <v>42</v>
      </c>
      <c r="P202" s="50" t="s">
        <v>43</v>
      </c>
      <c r="Q202" s="50">
        <v>31706420.53620895</v>
      </c>
      <c r="R202" s="50" t="s">
        <v>847</v>
      </c>
      <c r="S202" s="4" t="s">
        <v>43</v>
      </c>
      <c r="T202" s="4" t="s">
        <v>81</v>
      </c>
    </row>
    <row r="203" spans="3:20" hidden="1" x14ac:dyDescent="0.25">
      <c r="C203" s="4" t="s">
        <v>158</v>
      </c>
      <c r="D203" s="4" t="s">
        <v>159</v>
      </c>
      <c r="E203" s="4" t="s">
        <v>159</v>
      </c>
      <c r="F203" s="4" t="s">
        <v>36</v>
      </c>
      <c r="G203" s="4" t="s">
        <v>37</v>
      </c>
      <c r="H203" s="4" t="s">
        <v>81</v>
      </c>
      <c r="I203" s="4" t="s">
        <v>1030</v>
      </c>
      <c r="J203" s="4" t="s">
        <v>160</v>
      </c>
      <c r="K203" s="4" t="s">
        <v>161</v>
      </c>
      <c r="L203" s="4" t="s">
        <v>55</v>
      </c>
      <c r="M203" s="4">
        <v>0</v>
      </c>
      <c r="N203" s="4" t="s">
        <v>158</v>
      </c>
      <c r="O203" s="4" t="s">
        <v>42</v>
      </c>
      <c r="P203" s="50" t="s">
        <v>43</v>
      </c>
      <c r="Q203" s="50" t="s">
        <v>36</v>
      </c>
      <c r="R203" s="50">
        <v>0</v>
      </c>
      <c r="S203" s="4" t="s">
        <v>36</v>
      </c>
      <c r="T203" s="4" t="s">
        <v>81</v>
      </c>
    </row>
    <row r="204" spans="3:20" hidden="1" x14ac:dyDescent="0.25">
      <c r="C204" s="4" t="s">
        <v>814</v>
      </c>
      <c r="D204" s="4" t="s">
        <v>815</v>
      </c>
      <c r="E204" s="4" t="s">
        <v>816</v>
      </c>
      <c r="F204" s="4">
        <v>5</v>
      </c>
      <c r="G204" s="4" t="s">
        <v>376</v>
      </c>
      <c r="H204" s="4" t="s">
        <v>81</v>
      </c>
      <c r="I204" s="4" t="s">
        <v>1030</v>
      </c>
      <c r="J204" s="4" t="s">
        <v>146</v>
      </c>
      <c r="K204" s="4" t="s">
        <v>59</v>
      </c>
      <c r="L204" s="4" t="s">
        <v>40</v>
      </c>
      <c r="M204" s="4" t="s">
        <v>1035</v>
      </c>
      <c r="N204" s="4" t="s">
        <v>814</v>
      </c>
      <c r="O204" s="4" t="s">
        <v>42</v>
      </c>
      <c r="P204" s="50" t="s">
        <v>43</v>
      </c>
      <c r="Q204" s="50">
        <v>43290541.159786969</v>
      </c>
      <c r="R204" s="50" t="s">
        <v>799</v>
      </c>
      <c r="S204" s="4" t="s">
        <v>43</v>
      </c>
      <c r="T204" s="4" t="s">
        <v>81</v>
      </c>
    </row>
    <row r="205" spans="3:20" hidden="1" x14ac:dyDescent="0.25">
      <c r="C205" s="4" t="s">
        <v>598</v>
      </c>
      <c r="D205" s="4" t="s">
        <v>599</v>
      </c>
      <c r="E205" s="4" t="s">
        <v>600</v>
      </c>
      <c r="F205" s="4">
        <v>5</v>
      </c>
      <c r="G205" s="4" t="s">
        <v>376</v>
      </c>
      <c r="H205" s="4" t="s">
        <v>81</v>
      </c>
      <c r="I205" s="4" t="s">
        <v>1030</v>
      </c>
      <c r="J205" s="4" t="s">
        <v>50</v>
      </c>
      <c r="K205" s="4" t="s">
        <v>601</v>
      </c>
      <c r="L205" s="4" t="s">
        <v>40</v>
      </c>
      <c r="M205" s="4" t="s">
        <v>514</v>
      </c>
      <c r="N205" s="4" t="s">
        <v>598</v>
      </c>
      <c r="O205" s="4" t="s">
        <v>42</v>
      </c>
      <c r="P205" s="50" t="s">
        <v>43</v>
      </c>
      <c r="Q205" s="50">
        <v>45202950.487857006</v>
      </c>
      <c r="R205" s="50" t="s">
        <v>597</v>
      </c>
      <c r="S205" s="4" t="s">
        <v>440</v>
      </c>
      <c r="T205" s="4" t="s">
        <v>81</v>
      </c>
    </row>
    <row r="206" spans="3:20" hidden="1" x14ac:dyDescent="0.25">
      <c r="C206" s="4" t="s">
        <v>162</v>
      </c>
      <c r="D206" s="4" t="s">
        <v>163</v>
      </c>
      <c r="E206" s="4" t="s">
        <v>163</v>
      </c>
      <c r="F206" s="4" t="s">
        <v>36</v>
      </c>
      <c r="G206" s="4" t="s">
        <v>37</v>
      </c>
      <c r="H206" s="4" t="s">
        <v>88</v>
      </c>
      <c r="I206" s="4" t="s">
        <v>1030</v>
      </c>
      <c r="J206" s="4" t="s">
        <v>63</v>
      </c>
      <c r="K206" s="4" t="s">
        <v>138</v>
      </c>
      <c r="L206" s="4" t="s">
        <v>40</v>
      </c>
      <c r="M206" s="4">
        <v>0</v>
      </c>
      <c r="N206" s="4" t="s">
        <v>162</v>
      </c>
      <c r="O206" s="4" t="s">
        <v>42</v>
      </c>
      <c r="P206" s="50" t="s">
        <v>43</v>
      </c>
      <c r="Q206" s="50" t="s">
        <v>36</v>
      </c>
      <c r="R206" s="50">
        <v>0</v>
      </c>
      <c r="S206" s="4" t="s">
        <v>36</v>
      </c>
      <c r="T206" s="4" t="s">
        <v>88</v>
      </c>
    </row>
    <row r="207" spans="3:20" hidden="1" x14ac:dyDescent="0.25">
      <c r="C207" s="4" t="s">
        <v>716</v>
      </c>
      <c r="D207" s="4" t="s">
        <v>717</v>
      </c>
      <c r="E207" s="4" t="s">
        <v>718</v>
      </c>
      <c r="F207" s="4">
        <v>5</v>
      </c>
      <c r="G207" s="4" t="s">
        <v>376</v>
      </c>
      <c r="H207" s="4" t="s">
        <v>46</v>
      </c>
      <c r="I207" s="4" t="s">
        <v>1031</v>
      </c>
      <c r="J207" s="4" t="s">
        <v>84</v>
      </c>
      <c r="K207" s="4" t="s">
        <v>54</v>
      </c>
      <c r="L207" s="4" t="s">
        <v>55</v>
      </c>
      <c r="M207" s="4" t="s">
        <v>378</v>
      </c>
      <c r="N207" s="4" t="s">
        <v>716</v>
      </c>
      <c r="O207" s="4" t="s">
        <v>42</v>
      </c>
      <c r="P207" s="50" t="s">
        <v>440</v>
      </c>
      <c r="Q207" s="50">
        <v>34070806.600098222</v>
      </c>
      <c r="R207" s="50" t="s">
        <v>702</v>
      </c>
      <c r="S207" s="4" t="s">
        <v>43</v>
      </c>
      <c r="T207" s="4" t="s">
        <v>46</v>
      </c>
    </row>
    <row r="208" spans="3:20" hidden="1" x14ac:dyDescent="0.25">
      <c r="C208" s="4" t="s">
        <v>788</v>
      </c>
      <c r="D208" s="4" t="s">
        <v>789</v>
      </c>
      <c r="E208" s="4" t="s">
        <v>790</v>
      </c>
      <c r="F208" s="4">
        <v>5</v>
      </c>
      <c r="G208" s="4" t="s">
        <v>376</v>
      </c>
      <c r="H208" s="4" t="s">
        <v>81</v>
      </c>
      <c r="I208" s="4" t="s">
        <v>1031</v>
      </c>
      <c r="J208" s="4" t="s">
        <v>89</v>
      </c>
      <c r="K208" s="4" t="s">
        <v>109</v>
      </c>
      <c r="L208" s="4" t="s">
        <v>91</v>
      </c>
      <c r="M208" s="4" t="s">
        <v>378</v>
      </c>
      <c r="N208" s="4" t="s">
        <v>788</v>
      </c>
      <c r="O208" s="4" t="s">
        <v>42</v>
      </c>
      <c r="P208" s="50" t="s">
        <v>43</v>
      </c>
      <c r="Q208" s="50">
        <v>43443995.012618087</v>
      </c>
      <c r="R208" s="50" t="s">
        <v>772</v>
      </c>
      <c r="S208" s="4" t="s">
        <v>43</v>
      </c>
      <c r="T208" s="4" t="s">
        <v>81</v>
      </c>
    </row>
    <row r="209" spans="3:20" hidden="1" x14ac:dyDescent="0.25">
      <c r="C209" s="4" t="s">
        <v>443</v>
      </c>
      <c r="D209" s="4" t="s">
        <v>444</v>
      </c>
      <c r="E209" s="4" t="s">
        <v>444</v>
      </c>
      <c r="F209" s="4">
        <v>5</v>
      </c>
      <c r="G209" s="4" t="s">
        <v>376</v>
      </c>
      <c r="H209" s="4" t="s">
        <v>81</v>
      </c>
      <c r="I209" s="4" t="s">
        <v>1030</v>
      </c>
      <c r="J209" s="4" t="s">
        <v>94</v>
      </c>
      <c r="K209" s="4" t="s">
        <v>64</v>
      </c>
      <c r="L209" s="4" t="s">
        <v>40</v>
      </c>
      <c r="M209" s="4" t="s">
        <v>1035</v>
      </c>
      <c r="N209" s="4" t="s">
        <v>443</v>
      </c>
      <c r="O209" s="4" t="s">
        <v>42</v>
      </c>
      <c r="P209" s="50" t="s">
        <v>43</v>
      </c>
      <c r="Q209" s="50">
        <v>23045349.264148679</v>
      </c>
      <c r="R209" s="50" t="s">
        <v>423</v>
      </c>
      <c r="S209" s="4" t="s">
        <v>43</v>
      </c>
      <c r="T209" s="4" t="s">
        <v>81</v>
      </c>
    </row>
    <row r="210" spans="3:20" hidden="1" x14ac:dyDescent="0.25">
      <c r="C210" s="4" t="s">
        <v>415</v>
      </c>
      <c r="D210" s="4" t="s">
        <v>416</v>
      </c>
      <c r="E210" s="4" t="s">
        <v>416</v>
      </c>
      <c r="F210" s="4">
        <v>5</v>
      </c>
      <c r="G210" s="4" t="s">
        <v>376</v>
      </c>
      <c r="H210" s="4" t="s">
        <v>81</v>
      </c>
      <c r="I210" s="4" t="s">
        <v>1031</v>
      </c>
      <c r="J210" s="4" t="s">
        <v>63</v>
      </c>
      <c r="K210" s="4" t="s">
        <v>138</v>
      </c>
      <c r="L210" s="4" t="s">
        <v>40</v>
      </c>
      <c r="M210" s="4" t="s">
        <v>378</v>
      </c>
      <c r="N210" s="4" t="s">
        <v>415</v>
      </c>
      <c r="O210" s="4" t="s">
        <v>42</v>
      </c>
      <c r="P210" s="50" t="s">
        <v>43</v>
      </c>
      <c r="Q210" s="50">
        <v>33250319.413874671</v>
      </c>
      <c r="R210" s="50" t="s">
        <v>380</v>
      </c>
      <c r="S210" s="4" t="s">
        <v>43</v>
      </c>
      <c r="T210" s="4" t="s">
        <v>81</v>
      </c>
    </row>
    <row r="211" spans="3:20" hidden="1" x14ac:dyDescent="0.25">
      <c r="C211" s="4" t="s">
        <v>915</v>
      </c>
      <c r="D211" s="4" t="s">
        <v>916</v>
      </c>
      <c r="E211" s="4" t="s">
        <v>916</v>
      </c>
      <c r="F211" s="4">
        <v>5</v>
      </c>
      <c r="G211" s="4" t="s">
        <v>376</v>
      </c>
      <c r="H211" s="4" t="s">
        <v>81</v>
      </c>
      <c r="I211" s="4" t="s">
        <v>1030</v>
      </c>
      <c r="J211" s="4" t="s">
        <v>73</v>
      </c>
      <c r="K211" s="4" t="s">
        <v>133</v>
      </c>
      <c r="L211" s="4" t="s">
        <v>40</v>
      </c>
      <c r="M211" s="4" t="s">
        <v>514</v>
      </c>
      <c r="N211" s="4" t="s">
        <v>915</v>
      </c>
      <c r="O211" s="4" t="s">
        <v>42</v>
      </c>
      <c r="P211" s="50" t="s">
        <v>43</v>
      </c>
      <c r="Q211" s="50">
        <v>28039882.043143079</v>
      </c>
      <c r="R211" s="50" t="s">
        <v>886</v>
      </c>
      <c r="S211" s="4" t="s">
        <v>43</v>
      </c>
      <c r="T211" s="4" t="s">
        <v>81</v>
      </c>
    </row>
    <row r="212" spans="3:20" hidden="1" x14ac:dyDescent="0.25">
      <c r="C212" s="4" t="s">
        <v>164</v>
      </c>
      <c r="D212" s="4" t="s">
        <v>165</v>
      </c>
      <c r="E212" s="4" t="s">
        <v>165</v>
      </c>
      <c r="F212" s="4" t="s">
        <v>36</v>
      </c>
      <c r="G212" s="4" t="s">
        <v>37</v>
      </c>
      <c r="H212" s="4" t="s">
        <v>46</v>
      </c>
      <c r="I212" s="4" t="s">
        <v>1030</v>
      </c>
      <c r="J212" s="4" t="s">
        <v>58</v>
      </c>
      <c r="K212" s="4" t="s">
        <v>138</v>
      </c>
      <c r="L212" s="4" t="s">
        <v>40</v>
      </c>
      <c r="M212" s="4">
        <v>0</v>
      </c>
      <c r="N212" s="4" t="s">
        <v>164</v>
      </c>
      <c r="O212" s="4" t="s">
        <v>42</v>
      </c>
      <c r="P212" s="50" t="s">
        <v>43</v>
      </c>
      <c r="Q212" s="50" t="s">
        <v>36</v>
      </c>
      <c r="R212" s="50">
        <v>0</v>
      </c>
      <c r="S212" s="4" t="s">
        <v>36</v>
      </c>
      <c r="T212" s="4" t="s">
        <v>46</v>
      </c>
    </row>
    <row r="213" spans="3:20" hidden="1" x14ac:dyDescent="0.25">
      <c r="C213" s="4" t="s">
        <v>166</v>
      </c>
      <c r="D213" s="4" t="s">
        <v>167</v>
      </c>
      <c r="E213" s="4" t="s">
        <v>167</v>
      </c>
      <c r="F213" s="4" t="s">
        <v>36</v>
      </c>
      <c r="G213" s="4" t="s">
        <v>37</v>
      </c>
      <c r="H213" s="4" t="s">
        <v>81</v>
      </c>
      <c r="I213" s="4" t="s">
        <v>1030</v>
      </c>
      <c r="J213" s="4" t="s">
        <v>58</v>
      </c>
      <c r="K213" s="4" t="s">
        <v>59</v>
      </c>
      <c r="L213" s="4" t="s">
        <v>40</v>
      </c>
      <c r="M213" s="4">
        <v>0</v>
      </c>
      <c r="N213" s="4" t="s">
        <v>166</v>
      </c>
      <c r="O213" s="4" t="s">
        <v>42</v>
      </c>
      <c r="P213" s="50" t="s">
        <v>43</v>
      </c>
      <c r="Q213" s="50" t="s">
        <v>36</v>
      </c>
      <c r="R213" s="50">
        <v>0</v>
      </c>
      <c r="S213" s="4" t="s">
        <v>36</v>
      </c>
      <c r="T213" s="4" t="s">
        <v>81</v>
      </c>
    </row>
    <row r="214" spans="3:20" hidden="1" x14ac:dyDescent="0.25">
      <c r="C214" s="4" t="s">
        <v>168</v>
      </c>
      <c r="D214" s="4" t="s">
        <v>169</v>
      </c>
      <c r="E214" s="4" t="s">
        <v>170</v>
      </c>
      <c r="F214" s="4" t="s">
        <v>36</v>
      </c>
      <c r="G214" s="4" t="s">
        <v>37</v>
      </c>
      <c r="H214" s="4" t="s">
        <v>46</v>
      </c>
      <c r="I214" s="4" t="s">
        <v>1030</v>
      </c>
      <c r="J214" s="4" t="s">
        <v>160</v>
      </c>
      <c r="K214" s="4" t="s">
        <v>59</v>
      </c>
      <c r="L214" s="4" t="s">
        <v>40</v>
      </c>
      <c r="M214" s="4">
        <v>0</v>
      </c>
      <c r="N214" s="4" t="s">
        <v>168</v>
      </c>
      <c r="O214" s="4" t="s">
        <v>42</v>
      </c>
      <c r="P214" s="50" t="s">
        <v>43</v>
      </c>
      <c r="Q214" s="50" t="s">
        <v>36</v>
      </c>
      <c r="R214" s="50">
        <v>0</v>
      </c>
      <c r="S214" s="4" t="s">
        <v>36</v>
      </c>
      <c r="T214" s="4" t="s">
        <v>46</v>
      </c>
    </row>
    <row r="215" spans="3:20" hidden="1" x14ac:dyDescent="0.25">
      <c r="C215" s="4" t="s">
        <v>171</v>
      </c>
      <c r="D215" s="4" t="s">
        <v>172</v>
      </c>
      <c r="E215" s="4" t="s">
        <v>172</v>
      </c>
      <c r="F215" s="4" t="s">
        <v>36</v>
      </c>
      <c r="G215" s="4" t="s">
        <v>37</v>
      </c>
      <c r="H215" s="4" t="s">
        <v>81</v>
      </c>
      <c r="I215" s="4" t="s">
        <v>1030</v>
      </c>
      <c r="J215" s="4" t="s">
        <v>89</v>
      </c>
      <c r="K215" s="4" t="s">
        <v>109</v>
      </c>
      <c r="L215" s="4" t="s">
        <v>91</v>
      </c>
      <c r="M215" s="4">
        <v>0</v>
      </c>
      <c r="N215" s="4" t="s">
        <v>171</v>
      </c>
      <c r="O215" s="4" t="s">
        <v>42</v>
      </c>
      <c r="P215" s="50" t="s">
        <v>43</v>
      </c>
      <c r="Q215" s="50" t="s">
        <v>36</v>
      </c>
      <c r="R215" s="50" t="s">
        <v>772</v>
      </c>
      <c r="S215" s="4" t="s">
        <v>36</v>
      </c>
      <c r="T215" s="4" t="s">
        <v>81</v>
      </c>
    </row>
    <row r="216" spans="3:20" hidden="1" x14ac:dyDescent="0.25">
      <c r="C216" s="4" t="s">
        <v>173</v>
      </c>
      <c r="D216" s="4" t="s">
        <v>174</v>
      </c>
      <c r="E216" s="4" t="s">
        <v>174</v>
      </c>
      <c r="F216" s="4" t="s">
        <v>36</v>
      </c>
      <c r="G216" s="4" t="s">
        <v>37</v>
      </c>
      <c r="H216" s="4" t="s">
        <v>46</v>
      </c>
      <c r="I216" s="4" t="s">
        <v>1030</v>
      </c>
      <c r="J216" s="4" t="s">
        <v>73</v>
      </c>
      <c r="K216" s="4" t="s">
        <v>64</v>
      </c>
      <c r="L216" s="4" t="s">
        <v>40</v>
      </c>
      <c r="M216" s="4">
        <v>0</v>
      </c>
      <c r="N216" s="4" t="s">
        <v>173</v>
      </c>
      <c r="O216" s="4" t="s">
        <v>42</v>
      </c>
      <c r="P216" s="50" t="s">
        <v>43</v>
      </c>
      <c r="Q216" s="50" t="s">
        <v>36</v>
      </c>
      <c r="R216" s="50">
        <v>0</v>
      </c>
      <c r="S216" s="4" t="s">
        <v>36</v>
      </c>
      <c r="T216" s="4" t="s">
        <v>46</v>
      </c>
    </row>
    <row r="217" spans="3:20" hidden="1" x14ac:dyDescent="0.25">
      <c r="C217" s="4" t="s">
        <v>584</v>
      </c>
      <c r="D217" s="4" t="s">
        <v>585</v>
      </c>
      <c r="E217" s="4" t="s">
        <v>585</v>
      </c>
      <c r="F217" s="4">
        <v>5</v>
      </c>
      <c r="G217" s="4" t="s">
        <v>376</v>
      </c>
      <c r="H217" s="4" t="s">
        <v>46</v>
      </c>
      <c r="I217" s="4" t="s">
        <v>1030</v>
      </c>
      <c r="J217" s="4" t="s">
        <v>331</v>
      </c>
      <c r="K217" s="4" t="s">
        <v>138</v>
      </c>
      <c r="L217" s="4" t="s">
        <v>40</v>
      </c>
      <c r="M217" s="4" t="s">
        <v>984</v>
      </c>
      <c r="N217" s="4" t="s">
        <v>584</v>
      </c>
      <c r="O217" s="4" t="s">
        <v>42</v>
      </c>
      <c r="P217" s="50" t="s">
        <v>43</v>
      </c>
      <c r="Q217" s="50">
        <v>40667367.710454151</v>
      </c>
      <c r="R217" s="50" t="s">
        <v>557</v>
      </c>
      <c r="S217" s="4" t="s">
        <v>43</v>
      </c>
      <c r="T217" s="4" t="s">
        <v>46</v>
      </c>
    </row>
    <row r="218" spans="3:20" hidden="1" x14ac:dyDescent="0.25">
      <c r="C218" s="4" t="s">
        <v>917</v>
      </c>
      <c r="D218" s="4" t="s">
        <v>918</v>
      </c>
      <c r="E218" s="4" t="s">
        <v>918</v>
      </c>
      <c r="F218" s="4">
        <v>5</v>
      </c>
      <c r="G218" s="4" t="s">
        <v>376</v>
      </c>
      <c r="H218" s="4" t="s">
        <v>46</v>
      </c>
      <c r="I218" s="4" t="s">
        <v>1030</v>
      </c>
      <c r="J218" s="4" t="s">
        <v>73</v>
      </c>
      <c r="K218" s="4" t="s">
        <v>605</v>
      </c>
      <c r="L218" s="4" t="s">
        <v>40</v>
      </c>
      <c r="M218" s="4" t="s">
        <v>514</v>
      </c>
      <c r="N218" s="4" t="s">
        <v>917</v>
      </c>
      <c r="O218" s="4" t="s">
        <v>42</v>
      </c>
      <c r="P218" s="50" t="s">
        <v>43</v>
      </c>
      <c r="Q218" s="50">
        <v>33263880.015893098</v>
      </c>
      <c r="R218" s="50" t="s">
        <v>886</v>
      </c>
      <c r="S218" s="4" t="s">
        <v>43</v>
      </c>
      <c r="T218" s="4" t="s">
        <v>46</v>
      </c>
    </row>
    <row r="219" spans="3:20" hidden="1" x14ac:dyDescent="0.25">
      <c r="C219" s="4" t="s">
        <v>877</v>
      </c>
      <c r="D219" s="4" t="s">
        <v>878</v>
      </c>
      <c r="E219" s="4" t="s">
        <v>878</v>
      </c>
      <c r="F219" s="4">
        <v>5</v>
      </c>
      <c r="G219" s="4" t="s">
        <v>376</v>
      </c>
      <c r="H219" s="4" t="s">
        <v>81</v>
      </c>
      <c r="I219" s="4" t="s">
        <v>1030</v>
      </c>
      <c r="J219" s="4" t="s">
        <v>132</v>
      </c>
      <c r="K219" s="4" t="s">
        <v>856</v>
      </c>
      <c r="L219" s="4" t="s">
        <v>40</v>
      </c>
      <c r="M219" s="4" t="s">
        <v>1035</v>
      </c>
      <c r="N219" s="4" t="s">
        <v>877</v>
      </c>
      <c r="O219" s="4" t="s">
        <v>42</v>
      </c>
      <c r="P219" s="50" t="s">
        <v>43</v>
      </c>
      <c r="Q219" s="50">
        <v>38650567.800121106</v>
      </c>
      <c r="R219" s="50" t="s">
        <v>847</v>
      </c>
      <c r="S219" s="4" t="s">
        <v>43</v>
      </c>
      <c r="T219" s="4" t="s">
        <v>81</v>
      </c>
    </row>
    <row r="220" spans="3:20" hidden="1" x14ac:dyDescent="0.25">
      <c r="C220" s="4" t="s">
        <v>586</v>
      </c>
      <c r="D220" s="4" t="s">
        <v>587</v>
      </c>
      <c r="E220" s="4" t="s">
        <v>587</v>
      </c>
      <c r="F220" s="4">
        <v>5</v>
      </c>
      <c r="G220" s="4" t="s">
        <v>376</v>
      </c>
      <c r="H220" s="4" t="s">
        <v>46</v>
      </c>
      <c r="I220" s="4" t="s">
        <v>1030</v>
      </c>
      <c r="J220" s="4" t="s">
        <v>331</v>
      </c>
      <c r="K220" s="4" t="s">
        <v>138</v>
      </c>
      <c r="L220" s="4" t="s">
        <v>40</v>
      </c>
      <c r="M220" s="4" t="s">
        <v>984</v>
      </c>
      <c r="N220" s="4" t="s">
        <v>586</v>
      </c>
      <c r="O220" s="4" t="s">
        <v>42</v>
      </c>
      <c r="P220" s="50" t="s">
        <v>43</v>
      </c>
      <c r="Q220" s="50">
        <v>66987940.808253437</v>
      </c>
      <c r="R220" s="50" t="s">
        <v>557</v>
      </c>
      <c r="S220" s="4" t="s">
        <v>43</v>
      </c>
      <c r="T220" s="4" t="s">
        <v>46</v>
      </c>
    </row>
    <row r="221" spans="3:20" hidden="1" x14ac:dyDescent="0.25">
      <c r="C221" s="4" t="s">
        <v>175</v>
      </c>
      <c r="D221" s="4" t="s">
        <v>176</v>
      </c>
      <c r="E221" s="4" t="s">
        <v>176</v>
      </c>
      <c r="F221" s="4" t="s">
        <v>36</v>
      </c>
      <c r="G221" s="4" t="s">
        <v>37</v>
      </c>
      <c r="H221" s="4" t="s">
        <v>46</v>
      </c>
      <c r="I221" s="4" t="s">
        <v>1030</v>
      </c>
      <c r="J221" s="4" t="s">
        <v>132</v>
      </c>
      <c r="K221" s="4" t="s">
        <v>64</v>
      </c>
      <c r="L221" s="4" t="s">
        <v>40</v>
      </c>
      <c r="M221" s="4">
        <v>0</v>
      </c>
      <c r="N221" s="4" t="s">
        <v>175</v>
      </c>
      <c r="O221" s="4" t="s">
        <v>42</v>
      </c>
      <c r="P221" s="50" t="s">
        <v>43</v>
      </c>
      <c r="Q221" s="50" t="s">
        <v>36</v>
      </c>
      <c r="R221" s="50">
        <v>0</v>
      </c>
      <c r="S221" s="4" t="s">
        <v>36</v>
      </c>
      <c r="T221" s="4" t="s">
        <v>46</v>
      </c>
    </row>
    <row r="222" spans="3:20" hidden="1" x14ac:dyDescent="0.25">
      <c r="C222" s="4" t="s">
        <v>177</v>
      </c>
      <c r="D222" s="4" t="s">
        <v>178</v>
      </c>
      <c r="E222" s="4" t="s">
        <v>178</v>
      </c>
      <c r="F222" s="4" t="s">
        <v>36</v>
      </c>
      <c r="G222" s="4" t="s">
        <v>37</v>
      </c>
      <c r="H222" s="4" t="s">
        <v>81</v>
      </c>
      <c r="I222" s="4" t="s">
        <v>1030</v>
      </c>
      <c r="J222" s="4" t="s">
        <v>84</v>
      </c>
      <c r="K222" s="4" t="s">
        <v>179</v>
      </c>
      <c r="L222" s="4" t="s">
        <v>55</v>
      </c>
      <c r="M222" s="4">
        <v>0</v>
      </c>
      <c r="N222" s="4" t="s">
        <v>177</v>
      </c>
      <c r="O222" s="4" t="s">
        <v>42</v>
      </c>
      <c r="P222" s="50" t="s">
        <v>43</v>
      </c>
      <c r="Q222" s="50" t="s">
        <v>36</v>
      </c>
      <c r="R222" s="50">
        <v>0</v>
      </c>
      <c r="S222" s="4" t="s">
        <v>36</v>
      </c>
      <c r="T222" s="4" t="s">
        <v>81</v>
      </c>
    </row>
    <row r="223" spans="3:20" hidden="1" x14ac:dyDescent="0.25">
      <c r="C223" s="4" t="s">
        <v>180</v>
      </c>
      <c r="D223" s="4" t="s">
        <v>181</v>
      </c>
      <c r="E223" s="4" t="s">
        <v>181</v>
      </c>
      <c r="F223" s="4" t="s">
        <v>36</v>
      </c>
      <c r="G223" s="4" t="s">
        <v>37</v>
      </c>
      <c r="H223" s="4" t="s">
        <v>81</v>
      </c>
      <c r="I223" s="4" t="s">
        <v>1030</v>
      </c>
      <c r="J223" s="4" t="s">
        <v>84</v>
      </c>
      <c r="K223" s="4" t="s">
        <v>182</v>
      </c>
      <c r="L223" s="4" t="s">
        <v>55</v>
      </c>
      <c r="M223" s="4">
        <v>0</v>
      </c>
      <c r="N223" s="4" t="s">
        <v>180</v>
      </c>
      <c r="O223" s="4" t="s">
        <v>42</v>
      </c>
      <c r="P223" s="50" t="s">
        <v>43</v>
      </c>
      <c r="Q223" s="50" t="s">
        <v>36</v>
      </c>
      <c r="R223" s="50">
        <v>0</v>
      </c>
      <c r="S223" s="4" t="s">
        <v>36</v>
      </c>
      <c r="T223" s="4" t="s">
        <v>81</v>
      </c>
    </row>
    <row r="224" spans="3:20" hidden="1" x14ac:dyDescent="0.25">
      <c r="C224" s="4" t="s">
        <v>588</v>
      </c>
      <c r="D224" s="4" t="s">
        <v>589</v>
      </c>
      <c r="E224" s="4" t="s">
        <v>589</v>
      </c>
      <c r="F224" s="4">
        <v>5</v>
      </c>
      <c r="G224" s="4" t="s">
        <v>376</v>
      </c>
      <c r="H224" s="4" t="s">
        <v>46</v>
      </c>
      <c r="I224" s="4" t="s">
        <v>1030</v>
      </c>
      <c r="J224" s="4" t="s">
        <v>331</v>
      </c>
      <c r="K224" s="4" t="s">
        <v>138</v>
      </c>
      <c r="L224" s="4" t="s">
        <v>40</v>
      </c>
      <c r="M224" s="4" t="s">
        <v>984</v>
      </c>
      <c r="N224" s="4" t="s">
        <v>588</v>
      </c>
      <c r="O224" s="4" t="s">
        <v>42</v>
      </c>
      <c r="P224" s="50" t="s">
        <v>43</v>
      </c>
      <c r="Q224" s="50">
        <v>52283549.188641325</v>
      </c>
      <c r="R224" s="50" t="s">
        <v>557</v>
      </c>
      <c r="S224" s="4" t="s">
        <v>43</v>
      </c>
      <c r="T224" s="4" t="s">
        <v>46</v>
      </c>
    </row>
    <row r="225" spans="3:20" hidden="1" x14ac:dyDescent="0.25">
      <c r="C225" s="4" t="s">
        <v>183</v>
      </c>
      <c r="D225" s="4" t="s">
        <v>184</v>
      </c>
      <c r="E225" s="4" t="s">
        <v>184</v>
      </c>
      <c r="F225" s="4" t="s">
        <v>36</v>
      </c>
      <c r="G225" s="4" t="s">
        <v>37</v>
      </c>
      <c r="H225" s="4" t="s">
        <v>81</v>
      </c>
      <c r="I225" s="4" t="s">
        <v>1030</v>
      </c>
      <c r="J225" s="4">
        <v>0</v>
      </c>
      <c r="K225" s="4" t="s">
        <v>64</v>
      </c>
      <c r="L225" s="4" t="s">
        <v>40</v>
      </c>
      <c r="M225" s="4">
        <v>0</v>
      </c>
      <c r="N225" s="4" t="s">
        <v>183</v>
      </c>
      <c r="O225" s="4" t="s">
        <v>42</v>
      </c>
      <c r="P225" s="50" t="s">
        <v>43</v>
      </c>
      <c r="Q225" s="50" t="s">
        <v>36</v>
      </c>
      <c r="R225" s="50">
        <v>0</v>
      </c>
      <c r="S225" s="4" t="s">
        <v>36</v>
      </c>
      <c r="T225" s="4" t="s">
        <v>81</v>
      </c>
    </row>
    <row r="226" spans="3:20" hidden="1" x14ac:dyDescent="0.25">
      <c r="C226" s="4" t="s">
        <v>185</v>
      </c>
      <c r="D226" s="4" t="s">
        <v>186</v>
      </c>
      <c r="E226" s="4" t="s">
        <v>186</v>
      </c>
      <c r="F226" s="4" t="s">
        <v>36</v>
      </c>
      <c r="G226" s="4" t="s">
        <v>37</v>
      </c>
      <c r="H226" s="4" t="s">
        <v>46</v>
      </c>
      <c r="I226" s="4" t="s">
        <v>1030</v>
      </c>
      <c r="J226" s="4" t="s">
        <v>94</v>
      </c>
      <c r="K226" s="4" t="s">
        <v>64</v>
      </c>
      <c r="L226" s="4" t="s">
        <v>40</v>
      </c>
      <c r="M226" s="4">
        <v>0</v>
      </c>
      <c r="N226" s="4" t="s">
        <v>185</v>
      </c>
      <c r="O226" s="4" t="s">
        <v>42</v>
      </c>
      <c r="P226" s="50" t="s">
        <v>43</v>
      </c>
      <c r="Q226" s="50" t="s">
        <v>36</v>
      </c>
      <c r="R226" s="50">
        <v>0</v>
      </c>
      <c r="S226" s="4" t="s">
        <v>36</v>
      </c>
      <c r="T226" s="4" t="s">
        <v>46</v>
      </c>
    </row>
    <row r="227" spans="3:20" hidden="1" x14ac:dyDescent="0.25">
      <c r="C227" s="4" t="s">
        <v>445</v>
      </c>
      <c r="D227" s="4" t="s">
        <v>446</v>
      </c>
      <c r="E227" s="4" t="s">
        <v>446</v>
      </c>
      <c r="F227" s="4">
        <v>5</v>
      </c>
      <c r="G227" s="4" t="s">
        <v>376</v>
      </c>
      <c r="H227" s="4" t="s">
        <v>46</v>
      </c>
      <c r="I227" s="4" t="s">
        <v>1030</v>
      </c>
      <c r="J227" s="4" t="s">
        <v>94</v>
      </c>
      <c r="K227" s="4" t="s">
        <v>64</v>
      </c>
      <c r="L227" s="4" t="s">
        <v>40</v>
      </c>
      <c r="M227" s="4" t="s">
        <v>1035</v>
      </c>
      <c r="N227" s="4" t="s">
        <v>445</v>
      </c>
      <c r="O227" s="4" t="s">
        <v>42</v>
      </c>
      <c r="P227" s="50" t="s">
        <v>43</v>
      </c>
      <c r="Q227" s="50">
        <v>27495403.535830081</v>
      </c>
      <c r="R227" s="50" t="s">
        <v>423</v>
      </c>
      <c r="S227" s="4" t="s">
        <v>43</v>
      </c>
      <c r="T227" s="4" t="s">
        <v>46</v>
      </c>
    </row>
    <row r="228" spans="3:20" hidden="1" x14ac:dyDescent="0.25">
      <c r="C228" s="4" t="s">
        <v>817</v>
      </c>
      <c r="D228" s="4" t="s">
        <v>818</v>
      </c>
      <c r="E228" s="4" t="s">
        <v>818</v>
      </c>
      <c r="F228" s="4">
        <v>5</v>
      </c>
      <c r="G228" s="4" t="s">
        <v>376</v>
      </c>
      <c r="H228" s="4" t="s">
        <v>46</v>
      </c>
      <c r="I228" s="4" t="s">
        <v>1030</v>
      </c>
      <c r="J228" s="4" t="s">
        <v>146</v>
      </c>
      <c r="K228" s="4" t="s">
        <v>59</v>
      </c>
      <c r="L228" s="4" t="s">
        <v>40</v>
      </c>
      <c r="M228" s="4" t="s">
        <v>1035</v>
      </c>
      <c r="N228" s="4" t="s">
        <v>817</v>
      </c>
      <c r="O228" s="4" t="s">
        <v>42</v>
      </c>
      <c r="P228" s="50" t="s">
        <v>43</v>
      </c>
      <c r="Q228" s="50">
        <v>39598027.949558318</v>
      </c>
      <c r="R228" s="50" t="s">
        <v>799</v>
      </c>
      <c r="S228" s="4" t="s">
        <v>43</v>
      </c>
      <c r="T228" s="4" t="s">
        <v>46</v>
      </c>
    </row>
    <row r="229" spans="3:20" hidden="1" x14ac:dyDescent="0.25">
      <c r="C229" s="4" t="s">
        <v>187</v>
      </c>
      <c r="D229" s="4" t="s">
        <v>188</v>
      </c>
      <c r="E229" s="4" t="s">
        <v>188</v>
      </c>
      <c r="F229" s="4" t="s">
        <v>36</v>
      </c>
      <c r="G229" s="4" t="s">
        <v>37</v>
      </c>
      <c r="H229" s="4" t="s">
        <v>81</v>
      </c>
      <c r="I229" s="4" t="s">
        <v>1030</v>
      </c>
      <c r="J229" s="4" t="s">
        <v>160</v>
      </c>
      <c r="K229" s="4" t="s">
        <v>64</v>
      </c>
      <c r="L229" s="4" t="s">
        <v>40</v>
      </c>
      <c r="M229" s="4">
        <v>0</v>
      </c>
      <c r="N229" s="4" t="s">
        <v>187</v>
      </c>
      <c r="O229" s="4" t="s">
        <v>42</v>
      </c>
      <c r="P229" s="50" t="s">
        <v>43</v>
      </c>
      <c r="Q229" s="50" t="s">
        <v>36</v>
      </c>
      <c r="R229" s="50">
        <v>0</v>
      </c>
      <c r="S229" s="4" t="s">
        <v>36</v>
      </c>
      <c r="T229" s="4" t="s">
        <v>81</v>
      </c>
    </row>
    <row r="230" spans="3:20" hidden="1" x14ac:dyDescent="0.25">
      <c r="C230" s="4" t="s">
        <v>189</v>
      </c>
      <c r="D230" s="4" t="s">
        <v>190</v>
      </c>
      <c r="E230" s="4" t="s">
        <v>190</v>
      </c>
      <c r="F230" s="4" t="s">
        <v>36</v>
      </c>
      <c r="G230" s="4" t="s">
        <v>37</v>
      </c>
      <c r="H230" s="4" t="s">
        <v>81</v>
      </c>
      <c r="I230" s="4" t="s">
        <v>1030</v>
      </c>
      <c r="J230" s="4" t="s">
        <v>73</v>
      </c>
      <c r="K230" s="4" t="s">
        <v>64</v>
      </c>
      <c r="L230" s="4" t="s">
        <v>40</v>
      </c>
      <c r="M230" s="4">
        <v>0</v>
      </c>
      <c r="N230" s="4" t="s">
        <v>189</v>
      </c>
      <c r="O230" s="4" t="s">
        <v>42</v>
      </c>
      <c r="P230" s="50" t="s">
        <v>43</v>
      </c>
      <c r="Q230" s="50" t="s">
        <v>36</v>
      </c>
      <c r="R230" s="50">
        <v>0</v>
      </c>
      <c r="S230" s="4" t="s">
        <v>36</v>
      </c>
      <c r="T230" s="4" t="s">
        <v>81</v>
      </c>
    </row>
    <row r="231" spans="3:20" hidden="1" x14ac:dyDescent="0.25">
      <c r="C231" s="4" t="s">
        <v>602</v>
      </c>
      <c r="D231" s="4" t="s">
        <v>603</v>
      </c>
      <c r="E231" s="4" t="s">
        <v>604</v>
      </c>
      <c r="F231" s="4">
        <v>5</v>
      </c>
      <c r="G231" s="4" t="s">
        <v>376</v>
      </c>
      <c r="H231" s="4" t="s">
        <v>81</v>
      </c>
      <c r="I231" s="4" t="s">
        <v>1030</v>
      </c>
      <c r="J231" s="4" t="s">
        <v>50</v>
      </c>
      <c r="K231" s="4" t="s">
        <v>605</v>
      </c>
      <c r="L231" s="4" t="s">
        <v>40</v>
      </c>
      <c r="M231" s="4" t="s">
        <v>514</v>
      </c>
      <c r="N231" s="4" t="s">
        <v>602</v>
      </c>
      <c r="O231" s="4" t="s">
        <v>42</v>
      </c>
      <c r="P231" s="50" t="s">
        <v>43</v>
      </c>
      <c r="Q231" s="50">
        <v>58293690.030571193</v>
      </c>
      <c r="R231" s="50" t="s">
        <v>597</v>
      </c>
      <c r="S231" s="4" t="s">
        <v>440</v>
      </c>
      <c r="T231" s="4" t="s">
        <v>81</v>
      </c>
    </row>
    <row r="232" spans="3:20" hidden="1" x14ac:dyDescent="0.25">
      <c r="C232" s="4" t="s">
        <v>191</v>
      </c>
      <c r="D232" s="4" t="s">
        <v>192</v>
      </c>
      <c r="E232" s="4" t="s">
        <v>193</v>
      </c>
      <c r="F232" s="4" t="s">
        <v>36</v>
      </c>
      <c r="G232" s="4" t="s">
        <v>37</v>
      </c>
      <c r="H232" s="4" t="s">
        <v>81</v>
      </c>
      <c r="I232" s="4" t="s">
        <v>1030</v>
      </c>
      <c r="J232" s="4" t="s">
        <v>94</v>
      </c>
      <c r="K232" s="4" t="s">
        <v>64</v>
      </c>
      <c r="L232" s="4" t="s">
        <v>40</v>
      </c>
      <c r="M232" s="4">
        <v>0</v>
      </c>
      <c r="N232" s="4" t="s">
        <v>191</v>
      </c>
      <c r="O232" s="4" t="s">
        <v>42</v>
      </c>
      <c r="P232" s="50" t="s">
        <v>43</v>
      </c>
      <c r="Q232" s="50" t="s">
        <v>36</v>
      </c>
      <c r="R232" s="50">
        <v>0</v>
      </c>
      <c r="S232" s="4" t="s">
        <v>36</v>
      </c>
      <c r="T232" s="4" t="s">
        <v>81</v>
      </c>
    </row>
    <row r="233" spans="3:20" hidden="1" x14ac:dyDescent="0.25">
      <c r="C233" s="4" t="s">
        <v>194</v>
      </c>
      <c r="D233" s="4" t="s">
        <v>195</v>
      </c>
      <c r="E233" s="4" t="s">
        <v>196</v>
      </c>
      <c r="F233" s="4" t="s">
        <v>36</v>
      </c>
      <c r="G233" s="4" t="s">
        <v>37</v>
      </c>
      <c r="H233" s="4" t="s">
        <v>88</v>
      </c>
      <c r="I233" s="4" t="s">
        <v>1030</v>
      </c>
      <c r="J233" s="4" t="s">
        <v>84</v>
      </c>
      <c r="K233" s="4" t="s">
        <v>85</v>
      </c>
      <c r="L233" s="4" t="s">
        <v>55</v>
      </c>
      <c r="M233" s="4">
        <v>0</v>
      </c>
      <c r="N233" s="4" t="s">
        <v>194</v>
      </c>
      <c r="O233" s="4" t="s">
        <v>42</v>
      </c>
      <c r="P233" s="50" t="s">
        <v>43</v>
      </c>
      <c r="Q233" s="50" t="s">
        <v>36</v>
      </c>
      <c r="R233" s="50">
        <v>0</v>
      </c>
      <c r="S233" s="4" t="s">
        <v>36</v>
      </c>
      <c r="T233" s="4" t="s">
        <v>88</v>
      </c>
    </row>
    <row r="234" spans="3:20" hidden="1" x14ac:dyDescent="0.25">
      <c r="C234" s="4" t="s">
        <v>719</v>
      </c>
      <c r="D234" s="4" t="s">
        <v>720</v>
      </c>
      <c r="E234" s="4" t="s">
        <v>721</v>
      </c>
      <c r="F234" s="4">
        <v>5</v>
      </c>
      <c r="G234" s="4" t="s">
        <v>376</v>
      </c>
      <c r="H234" s="4" t="s">
        <v>81</v>
      </c>
      <c r="I234" s="4" t="s">
        <v>1031</v>
      </c>
      <c r="J234" s="4" t="s">
        <v>84</v>
      </c>
      <c r="K234" s="4" t="s">
        <v>722</v>
      </c>
      <c r="L234" s="4" t="s">
        <v>55</v>
      </c>
      <c r="M234" s="4" t="s">
        <v>378</v>
      </c>
      <c r="N234" s="4" t="s">
        <v>719</v>
      </c>
      <c r="O234" s="4" t="s">
        <v>42</v>
      </c>
      <c r="P234" s="50" t="s">
        <v>43</v>
      </c>
      <c r="Q234" s="50">
        <v>33443205.533291884</v>
      </c>
      <c r="R234" s="50" t="s">
        <v>702</v>
      </c>
      <c r="S234" s="4" t="s">
        <v>43</v>
      </c>
      <c r="T234" s="4" t="s">
        <v>81</v>
      </c>
    </row>
    <row r="235" spans="3:20" hidden="1" x14ac:dyDescent="0.25">
      <c r="C235" s="4" t="s">
        <v>197</v>
      </c>
      <c r="D235" s="4" t="s">
        <v>198</v>
      </c>
      <c r="E235" s="4" t="s">
        <v>198</v>
      </c>
      <c r="F235" s="4" t="s">
        <v>36</v>
      </c>
      <c r="G235" s="4" t="s">
        <v>37</v>
      </c>
      <c r="H235" s="4" t="s">
        <v>46</v>
      </c>
      <c r="I235" s="4" t="s">
        <v>1030</v>
      </c>
      <c r="J235" s="4" t="s">
        <v>63</v>
      </c>
      <c r="K235" s="4" t="s">
        <v>138</v>
      </c>
      <c r="L235" s="4" t="s">
        <v>40</v>
      </c>
      <c r="M235" s="4">
        <v>0</v>
      </c>
      <c r="N235" s="4" t="s">
        <v>197</v>
      </c>
      <c r="O235" s="4" t="s">
        <v>42</v>
      </c>
      <c r="P235" s="50" t="s">
        <v>43</v>
      </c>
      <c r="Q235" s="50" t="s">
        <v>36</v>
      </c>
      <c r="R235" s="50">
        <v>0</v>
      </c>
      <c r="S235" s="4" t="s">
        <v>36</v>
      </c>
      <c r="T235" s="4" t="s">
        <v>46</v>
      </c>
    </row>
    <row r="236" spans="3:20" hidden="1" x14ac:dyDescent="0.25">
      <c r="C236" s="4" t="s">
        <v>199</v>
      </c>
      <c r="D236" s="4" t="s">
        <v>200</v>
      </c>
      <c r="E236" s="4" t="s">
        <v>201</v>
      </c>
      <c r="F236" s="4" t="s">
        <v>36</v>
      </c>
      <c r="G236" s="4" t="s">
        <v>37</v>
      </c>
      <c r="H236" s="4" t="s">
        <v>202</v>
      </c>
      <c r="I236" s="4" t="s">
        <v>1030</v>
      </c>
      <c r="J236" s="4">
        <v>0</v>
      </c>
      <c r="K236" s="4" t="s">
        <v>59</v>
      </c>
      <c r="L236" s="4" t="s">
        <v>40</v>
      </c>
      <c r="M236" s="4">
        <v>0</v>
      </c>
      <c r="N236" s="4" t="s">
        <v>199</v>
      </c>
      <c r="O236" s="4" t="s">
        <v>42</v>
      </c>
      <c r="P236" s="50" t="s">
        <v>43</v>
      </c>
      <c r="Q236" s="50" t="s">
        <v>36</v>
      </c>
      <c r="R236" s="50">
        <v>0</v>
      </c>
      <c r="S236" s="4" t="s">
        <v>36</v>
      </c>
      <c r="T236" s="4" t="s">
        <v>202</v>
      </c>
    </row>
    <row r="237" spans="3:20" hidden="1" x14ac:dyDescent="0.25">
      <c r="C237" s="4" t="s">
        <v>723</v>
      </c>
      <c r="D237" s="4" t="s">
        <v>724</v>
      </c>
      <c r="E237" s="4" t="s">
        <v>725</v>
      </c>
      <c r="F237" s="4">
        <v>5</v>
      </c>
      <c r="G237" s="4" t="s">
        <v>376</v>
      </c>
      <c r="H237" s="4" t="s">
        <v>46</v>
      </c>
      <c r="I237" s="4" t="s">
        <v>1031</v>
      </c>
      <c r="J237" s="4" t="s">
        <v>84</v>
      </c>
      <c r="K237" s="4" t="s">
        <v>54</v>
      </c>
      <c r="L237" s="4" t="s">
        <v>55</v>
      </c>
      <c r="M237" s="4" t="s">
        <v>378</v>
      </c>
      <c r="N237" s="4" t="s">
        <v>723</v>
      </c>
      <c r="O237" s="4" t="s">
        <v>42</v>
      </c>
      <c r="P237" s="50" t="s">
        <v>440</v>
      </c>
      <c r="Q237" s="50">
        <v>35468481.783305638</v>
      </c>
      <c r="R237" s="50" t="s">
        <v>702</v>
      </c>
      <c r="S237" s="4" t="s">
        <v>43</v>
      </c>
      <c r="T237" s="4" t="s">
        <v>46</v>
      </c>
    </row>
    <row r="238" spans="3:20" hidden="1" x14ac:dyDescent="0.25">
      <c r="C238" s="4" t="s">
        <v>819</v>
      </c>
      <c r="D238" s="4" t="s">
        <v>820</v>
      </c>
      <c r="E238" s="4" t="s">
        <v>820</v>
      </c>
      <c r="F238" s="4">
        <v>6</v>
      </c>
      <c r="G238" s="4" t="s">
        <v>376</v>
      </c>
      <c r="H238" s="4" t="s">
        <v>46</v>
      </c>
      <c r="I238" s="4" t="s">
        <v>1030</v>
      </c>
      <c r="J238" s="4" t="s">
        <v>146</v>
      </c>
      <c r="K238" s="4" t="s">
        <v>59</v>
      </c>
      <c r="L238" s="4" t="s">
        <v>40</v>
      </c>
      <c r="M238" s="4" t="s">
        <v>1035</v>
      </c>
      <c r="N238" s="4" t="s">
        <v>819</v>
      </c>
      <c r="O238" s="4" t="s">
        <v>42</v>
      </c>
      <c r="P238" s="50" t="s">
        <v>43</v>
      </c>
      <c r="Q238" s="50">
        <v>59127309.549791224</v>
      </c>
      <c r="R238" s="50" t="s">
        <v>799</v>
      </c>
      <c r="S238" s="4" t="s">
        <v>43</v>
      </c>
      <c r="T238" s="4" t="s">
        <v>46</v>
      </c>
    </row>
    <row r="239" spans="3:20" hidden="1" x14ac:dyDescent="0.25">
      <c r="C239" s="4" t="s">
        <v>821</v>
      </c>
      <c r="D239" s="4" t="s">
        <v>822</v>
      </c>
      <c r="E239" s="4" t="s">
        <v>822</v>
      </c>
      <c r="F239" s="4">
        <v>5</v>
      </c>
      <c r="G239" s="4" t="s">
        <v>376</v>
      </c>
      <c r="H239" s="4" t="s">
        <v>46</v>
      </c>
      <c r="I239" s="4" t="s">
        <v>1030</v>
      </c>
      <c r="J239" s="4" t="s">
        <v>146</v>
      </c>
      <c r="K239" s="4" t="s">
        <v>59</v>
      </c>
      <c r="L239" s="4" t="s">
        <v>40</v>
      </c>
      <c r="M239" s="4" t="s">
        <v>1035</v>
      </c>
      <c r="N239" s="4" t="s">
        <v>821</v>
      </c>
      <c r="O239" s="4" t="s">
        <v>42</v>
      </c>
      <c r="P239" s="50" t="s">
        <v>43</v>
      </c>
      <c r="Q239" s="50">
        <v>51932073.596709132</v>
      </c>
      <c r="R239" s="50" t="s">
        <v>799</v>
      </c>
      <c r="S239" s="4" t="s">
        <v>43</v>
      </c>
      <c r="T239" s="4" t="s">
        <v>46</v>
      </c>
    </row>
    <row r="240" spans="3:20" hidden="1" x14ac:dyDescent="0.25">
      <c r="C240" s="4" t="s">
        <v>203</v>
      </c>
      <c r="D240" s="4" t="s">
        <v>204</v>
      </c>
      <c r="E240" s="4" t="s">
        <v>204</v>
      </c>
      <c r="F240" s="4" t="s">
        <v>36</v>
      </c>
      <c r="G240" s="4" t="s">
        <v>37</v>
      </c>
      <c r="H240" s="4" t="s">
        <v>46</v>
      </c>
      <c r="I240" s="4" t="s">
        <v>1030</v>
      </c>
      <c r="J240" s="4">
        <v>0</v>
      </c>
      <c r="K240" s="4" t="s">
        <v>205</v>
      </c>
      <c r="L240" s="4" t="s">
        <v>40</v>
      </c>
      <c r="M240" s="4">
        <v>0</v>
      </c>
      <c r="N240" s="4" t="s">
        <v>203</v>
      </c>
      <c r="O240" s="4" t="s">
        <v>42</v>
      </c>
      <c r="P240" s="50" t="s">
        <v>43</v>
      </c>
      <c r="Q240" s="50" t="s">
        <v>36</v>
      </c>
      <c r="R240" s="50">
        <v>0</v>
      </c>
      <c r="S240" s="4" t="s">
        <v>36</v>
      </c>
      <c r="T240" s="4" t="s">
        <v>46</v>
      </c>
    </row>
    <row r="241" spans="3:20" hidden="1" x14ac:dyDescent="0.25">
      <c r="C241" s="4" t="s">
        <v>206</v>
      </c>
      <c r="D241" s="4" t="s">
        <v>207</v>
      </c>
      <c r="E241" s="4" t="s">
        <v>207</v>
      </c>
      <c r="F241" s="4" t="s">
        <v>36</v>
      </c>
      <c r="G241" s="4" t="s">
        <v>37</v>
      </c>
      <c r="H241" s="4" t="s">
        <v>46</v>
      </c>
      <c r="I241" s="4" t="s">
        <v>1030</v>
      </c>
      <c r="J241" s="4" t="s">
        <v>58</v>
      </c>
      <c r="K241" s="4" t="s">
        <v>64</v>
      </c>
      <c r="L241" s="4" t="s">
        <v>40</v>
      </c>
      <c r="M241" s="4">
        <v>0</v>
      </c>
      <c r="N241" s="4" t="s">
        <v>206</v>
      </c>
      <c r="O241" s="4" t="s">
        <v>42</v>
      </c>
      <c r="P241" s="50" t="s">
        <v>43</v>
      </c>
      <c r="Q241" s="50" t="s">
        <v>36</v>
      </c>
      <c r="R241" s="50">
        <v>0</v>
      </c>
      <c r="S241" s="4" t="s">
        <v>36</v>
      </c>
      <c r="T241" s="4" t="s">
        <v>46</v>
      </c>
    </row>
    <row r="242" spans="3:20" hidden="1" x14ac:dyDescent="0.25">
      <c r="C242" s="4" t="s">
        <v>758</v>
      </c>
      <c r="D242" s="4" t="s">
        <v>759</v>
      </c>
      <c r="E242" s="4" t="s">
        <v>760</v>
      </c>
      <c r="F242" s="4">
        <v>5</v>
      </c>
      <c r="G242" s="4" t="s">
        <v>376</v>
      </c>
      <c r="H242" s="4" t="s">
        <v>81</v>
      </c>
      <c r="I242" s="4" t="s">
        <v>1031</v>
      </c>
      <c r="J242" s="4" t="s">
        <v>84</v>
      </c>
      <c r="K242" s="4" t="s">
        <v>54</v>
      </c>
      <c r="L242" s="4" t="s">
        <v>55</v>
      </c>
      <c r="M242" s="4" t="s">
        <v>378</v>
      </c>
      <c r="N242" s="4" t="s">
        <v>758</v>
      </c>
      <c r="O242" s="4" t="s">
        <v>42</v>
      </c>
      <c r="P242" s="50" t="s">
        <v>43</v>
      </c>
      <c r="Q242" s="50">
        <v>35767177.11239627</v>
      </c>
      <c r="R242" s="50" t="s">
        <v>741</v>
      </c>
      <c r="S242" s="4" t="s">
        <v>43</v>
      </c>
      <c r="T242" s="4" t="s">
        <v>81</v>
      </c>
    </row>
    <row r="243" spans="3:20" hidden="1" x14ac:dyDescent="0.25">
      <c r="C243" s="4" t="s">
        <v>208</v>
      </c>
      <c r="D243" s="4" t="s">
        <v>209</v>
      </c>
      <c r="E243" s="4" t="s">
        <v>209</v>
      </c>
      <c r="F243" s="4" t="s">
        <v>36</v>
      </c>
      <c r="G243" s="4" t="s">
        <v>37</v>
      </c>
      <c r="H243" s="4" t="s">
        <v>81</v>
      </c>
      <c r="I243" s="4" t="s">
        <v>1030</v>
      </c>
      <c r="J243" s="4">
        <v>0</v>
      </c>
      <c r="K243" s="4" t="s">
        <v>78</v>
      </c>
      <c r="L243" s="4" t="s">
        <v>40</v>
      </c>
      <c r="M243" s="4">
        <v>0</v>
      </c>
      <c r="N243" s="4" t="s">
        <v>208</v>
      </c>
      <c r="O243" s="4" t="s">
        <v>42</v>
      </c>
      <c r="P243" s="50" t="s">
        <v>43</v>
      </c>
      <c r="Q243" s="50" t="s">
        <v>36</v>
      </c>
      <c r="R243" s="50">
        <v>0</v>
      </c>
      <c r="S243" s="4" t="s">
        <v>36</v>
      </c>
      <c r="T243" s="4" t="s">
        <v>81</v>
      </c>
    </row>
    <row r="244" spans="3:20" hidden="1" x14ac:dyDescent="0.25">
      <c r="C244" s="4" t="s">
        <v>606</v>
      </c>
      <c r="D244" s="4" t="s">
        <v>607</v>
      </c>
      <c r="E244" s="4" t="s">
        <v>608</v>
      </c>
      <c r="F244" s="4">
        <v>5</v>
      </c>
      <c r="G244" s="4" t="s">
        <v>376</v>
      </c>
      <c r="H244" s="4" t="s">
        <v>46</v>
      </c>
      <c r="I244" s="4" t="s">
        <v>1030</v>
      </c>
      <c r="J244" s="4" t="s">
        <v>50</v>
      </c>
      <c r="K244" s="4" t="s">
        <v>609</v>
      </c>
      <c r="L244" s="4" t="s">
        <v>40</v>
      </c>
      <c r="M244" s="4" t="s">
        <v>514</v>
      </c>
      <c r="N244" s="4" t="s">
        <v>606</v>
      </c>
      <c r="O244" s="4" t="s">
        <v>42</v>
      </c>
      <c r="P244" s="50" t="s">
        <v>43</v>
      </c>
      <c r="Q244" s="50">
        <v>34463726.621425137</v>
      </c>
      <c r="R244" s="50" t="s">
        <v>597</v>
      </c>
      <c r="S244" s="4" t="s">
        <v>43</v>
      </c>
      <c r="T244" s="4" t="s">
        <v>46</v>
      </c>
    </row>
    <row r="245" spans="3:20" hidden="1" x14ac:dyDescent="0.25">
      <c r="C245" s="4" t="s">
        <v>210</v>
      </c>
      <c r="D245" s="4" t="s">
        <v>211</v>
      </c>
      <c r="E245" s="4" t="s">
        <v>212</v>
      </c>
      <c r="F245" s="4" t="s">
        <v>36</v>
      </c>
      <c r="G245" s="4" t="s">
        <v>37</v>
      </c>
      <c r="H245" s="4" t="s">
        <v>46</v>
      </c>
      <c r="I245" s="4" t="s">
        <v>1030</v>
      </c>
      <c r="J245" s="4">
        <v>0</v>
      </c>
      <c r="K245" s="4" t="s">
        <v>59</v>
      </c>
      <c r="L245" s="4" t="s">
        <v>40</v>
      </c>
      <c r="M245" s="4">
        <v>0</v>
      </c>
      <c r="N245" s="4" t="s">
        <v>210</v>
      </c>
      <c r="O245" s="4" t="s">
        <v>42</v>
      </c>
      <c r="P245" s="50" t="s">
        <v>43</v>
      </c>
      <c r="Q245" s="50" t="s">
        <v>36</v>
      </c>
      <c r="R245" s="50">
        <v>0</v>
      </c>
      <c r="S245" s="4" t="s">
        <v>36</v>
      </c>
      <c r="T245" s="4" t="s">
        <v>46</v>
      </c>
    </row>
    <row r="246" spans="3:20" hidden="1" x14ac:dyDescent="0.25">
      <c r="C246" s="4" t="s">
        <v>213</v>
      </c>
      <c r="D246" s="4" t="s">
        <v>214</v>
      </c>
      <c r="E246" s="4" t="s">
        <v>214</v>
      </c>
      <c r="F246" s="4" t="s">
        <v>36</v>
      </c>
      <c r="G246" s="4" t="s">
        <v>37</v>
      </c>
      <c r="H246" s="4" t="s">
        <v>202</v>
      </c>
      <c r="I246" s="4" t="s">
        <v>1030</v>
      </c>
      <c r="J246" s="4">
        <v>0</v>
      </c>
      <c r="K246" s="4" t="s">
        <v>59</v>
      </c>
      <c r="L246" s="4" t="s">
        <v>40</v>
      </c>
      <c r="M246" s="4">
        <v>0</v>
      </c>
      <c r="N246" s="4" t="s">
        <v>213</v>
      </c>
      <c r="O246" s="4" t="s">
        <v>42</v>
      </c>
      <c r="P246" s="50" t="s">
        <v>43</v>
      </c>
      <c r="Q246" s="50" t="s">
        <v>36</v>
      </c>
      <c r="R246" s="50">
        <v>0</v>
      </c>
      <c r="S246" s="4" t="s">
        <v>36</v>
      </c>
      <c r="T246" s="4" t="s">
        <v>202</v>
      </c>
    </row>
    <row r="247" spans="3:20" hidden="1" x14ac:dyDescent="0.25">
      <c r="C247" s="4" t="s">
        <v>215</v>
      </c>
      <c r="D247" s="4" t="s">
        <v>216</v>
      </c>
      <c r="E247" s="4" t="s">
        <v>216</v>
      </c>
      <c r="F247" s="4" t="s">
        <v>36</v>
      </c>
      <c r="G247" s="4" t="s">
        <v>37</v>
      </c>
      <c r="H247" s="4" t="s">
        <v>81</v>
      </c>
      <c r="I247" s="4" t="s">
        <v>1030</v>
      </c>
      <c r="J247" s="4" t="s">
        <v>67</v>
      </c>
      <c r="K247" s="4" t="s">
        <v>138</v>
      </c>
      <c r="L247" s="4" t="s">
        <v>40</v>
      </c>
      <c r="M247" s="4">
        <v>0</v>
      </c>
      <c r="N247" s="4" t="s">
        <v>215</v>
      </c>
      <c r="O247" s="4" t="s">
        <v>42</v>
      </c>
      <c r="P247" s="50" t="s">
        <v>43</v>
      </c>
      <c r="Q247" s="50" t="s">
        <v>36</v>
      </c>
      <c r="R247" s="50">
        <v>0</v>
      </c>
      <c r="S247" s="4" t="s">
        <v>36</v>
      </c>
      <c r="T247" s="4" t="s">
        <v>81</v>
      </c>
    </row>
    <row r="248" spans="3:20" hidden="1" x14ac:dyDescent="0.25">
      <c r="C248" s="4" t="s">
        <v>548</v>
      </c>
      <c r="D248" s="4" t="s">
        <v>549</v>
      </c>
      <c r="E248" s="4" t="s">
        <v>550</v>
      </c>
      <c r="F248" s="4">
        <v>5</v>
      </c>
      <c r="G248" s="4" t="s">
        <v>376</v>
      </c>
      <c r="H248" s="4" t="s">
        <v>81</v>
      </c>
      <c r="I248" s="4" t="s">
        <v>1030</v>
      </c>
      <c r="J248" s="4" t="s">
        <v>100</v>
      </c>
      <c r="K248" s="4" t="s">
        <v>138</v>
      </c>
      <c r="L248" s="4" t="s">
        <v>40</v>
      </c>
      <c r="M248" s="4" t="s">
        <v>514</v>
      </c>
      <c r="N248" s="4" t="s">
        <v>548</v>
      </c>
      <c r="O248" s="4" t="s">
        <v>42</v>
      </c>
      <c r="P248" s="50" t="s">
        <v>43</v>
      </c>
      <c r="Q248" s="50">
        <v>28939099.630051952</v>
      </c>
      <c r="R248" s="50" t="s">
        <v>515</v>
      </c>
      <c r="S248" s="4" t="s">
        <v>43</v>
      </c>
      <c r="T248" s="4" t="s">
        <v>81</v>
      </c>
    </row>
    <row r="249" spans="3:20" hidden="1" x14ac:dyDescent="0.25">
      <c r="C249" s="4" t="s">
        <v>726</v>
      </c>
      <c r="D249" s="4" t="s">
        <v>727</v>
      </c>
      <c r="E249" s="4" t="s">
        <v>727</v>
      </c>
      <c r="F249" s="4">
        <v>5</v>
      </c>
      <c r="G249" s="4" t="s">
        <v>37</v>
      </c>
      <c r="H249" s="4" t="s">
        <v>81</v>
      </c>
      <c r="I249" s="4" t="s">
        <v>1030</v>
      </c>
      <c r="J249" s="4" t="s">
        <v>84</v>
      </c>
      <c r="K249" s="4" t="s">
        <v>54</v>
      </c>
      <c r="L249" s="4" t="s">
        <v>55</v>
      </c>
      <c r="M249" s="4" t="s">
        <v>378</v>
      </c>
      <c r="N249" s="4" t="s">
        <v>726</v>
      </c>
      <c r="O249" s="4" t="s">
        <v>42</v>
      </c>
      <c r="P249" s="50" t="s">
        <v>43</v>
      </c>
      <c r="Q249" s="50">
        <v>0</v>
      </c>
      <c r="R249" s="50" t="s">
        <v>702</v>
      </c>
      <c r="S249" s="4" t="s">
        <v>43</v>
      </c>
      <c r="T249" s="4" t="s">
        <v>81</v>
      </c>
    </row>
    <row r="250" spans="3:20" hidden="1" x14ac:dyDescent="0.25">
      <c r="C250" s="4" t="s">
        <v>217</v>
      </c>
      <c r="D250" s="4" t="s">
        <v>218</v>
      </c>
      <c r="E250" s="4"/>
      <c r="F250" s="4" t="s">
        <v>36</v>
      </c>
      <c r="G250" s="4" t="s">
        <v>37</v>
      </c>
      <c r="H250" s="4" t="s">
        <v>81</v>
      </c>
      <c r="I250" s="4" t="s">
        <v>1030</v>
      </c>
      <c r="J250" s="4">
        <v>0</v>
      </c>
      <c r="K250" s="4" t="s">
        <v>59</v>
      </c>
      <c r="L250" s="4" t="s">
        <v>40</v>
      </c>
      <c r="M250" s="4">
        <v>0</v>
      </c>
      <c r="N250" s="4" t="s">
        <v>217</v>
      </c>
      <c r="O250" s="4" t="s">
        <v>42</v>
      </c>
      <c r="P250" s="50" t="s">
        <v>43</v>
      </c>
      <c r="Q250" s="50" t="s">
        <v>36</v>
      </c>
      <c r="R250" s="50">
        <v>0</v>
      </c>
      <c r="S250" s="4" t="s">
        <v>36</v>
      </c>
      <c r="T250" s="4" t="s">
        <v>81</v>
      </c>
    </row>
    <row r="251" spans="3:20" hidden="1" x14ac:dyDescent="0.25">
      <c r="C251" s="4" t="s">
        <v>551</v>
      </c>
      <c r="D251" s="4" t="s">
        <v>552</v>
      </c>
      <c r="E251" s="4" t="s">
        <v>999</v>
      </c>
      <c r="F251" s="4">
        <v>5</v>
      </c>
      <c r="G251" s="4" t="s">
        <v>37</v>
      </c>
      <c r="H251" s="4" t="s">
        <v>46</v>
      </c>
      <c r="I251" s="4" t="s">
        <v>1030</v>
      </c>
      <c r="J251" s="4" t="s">
        <v>100</v>
      </c>
      <c r="K251" s="4" t="s">
        <v>138</v>
      </c>
      <c r="L251" s="4" t="s">
        <v>40</v>
      </c>
      <c r="M251" s="4" t="s">
        <v>514</v>
      </c>
      <c r="N251" s="4" t="s">
        <v>551</v>
      </c>
      <c r="O251" s="4" t="s">
        <v>42</v>
      </c>
      <c r="P251" s="50" t="s">
        <v>440</v>
      </c>
      <c r="Q251" s="50">
        <v>24371484.854618333</v>
      </c>
      <c r="R251" s="50" t="s">
        <v>515</v>
      </c>
      <c r="S251" s="4" t="s">
        <v>43</v>
      </c>
      <c r="T251" s="4" t="s">
        <v>46</v>
      </c>
    </row>
    <row r="252" spans="3:20" hidden="1" x14ac:dyDescent="0.25">
      <c r="C252" s="4" t="s">
        <v>219</v>
      </c>
      <c r="D252" s="4" t="s">
        <v>220</v>
      </c>
      <c r="E252" s="4" t="s">
        <v>220</v>
      </c>
      <c r="F252" s="4" t="s">
        <v>36</v>
      </c>
      <c r="G252" s="4" t="s">
        <v>37</v>
      </c>
      <c r="H252" s="4" t="s">
        <v>38</v>
      </c>
      <c r="I252" s="4" t="s">
        <v>1030</v>
      </c>
      <c r="J252" s="4" t="s">
        <v>100</v>
      </c>
      <c r="K252" s="4" t="s">
        <v>59</v>
      </c>
      <c r="L252" s="4" t="s">
        <v>40</v>
      </c>
      <c r="M252" s="4">
        <v>0</v>
      </c>
      <c r="N252" s="4" t="s">
        <v>219</v>
      </c>
      <c r="O252" s="4" t="s">
        <v>42</v>
      </c>
      <c r="P252" s="50" t="s">
        <v>43</v>
      </c>
      <c r="Q252" s="50" t="s">
        <v>36</v>
      </c>
      <c r="R252" s="50">
        <v>0</v>
      </c>
      <c r="S252" s="4" t="s">
        <v>36</v>
      </c>
      <c r="T252" s="4" t="s">
        <v>38</v>
      </c>
    </row>
    <row r="253" spans="3:20" hidden="1" x14ac:dyDescent="0.25">
      <c r="C253" s="4" t="s">
        <v>221</v>
      </c>
      <c r="D253" s="4" t="s">
        <v>222</v>
      </c>
      <c r="E253" s="4" t="s">
        <v>223</v>
      </c>
      <c r="F253" s="4" t="s">
        <v>36</v>
      </c>
      <c r="G253" s="4" t="s">
        <v>37</v>
      </c>
      <c r="H253" s="4" t="s">
        <v>38</v>
      </c>
      <c r="I253" s="4" t="s">
        <v>1030</v>
      </c>
      <c r="J253" s="4">
        <v>0</v>
      </c>
      <c r="K253" s="4" t="s">
        <v>47</v>
      </c>
      <c r="L253" s="4" t="s">
        <v>40</v>
      </c>
      <c r="M253" s="4">
        <v>0</v>
      </c>
      <c r="N253" s="4" t="s">
        <v>221</v>
      </c>
      <c r="O253" s="4" t="s">
        <v>42</v>
      </c>
      <c r="P253" s="50" t="s">
        <v>43</v>
      </c>
      <c r="Q253" s="50" t="s">
        <v>36</v>
      </c>
      <c r="R253" s="50">
        <v>0</v>
      </c>
      <c r="S253" s="4" t="s">
        <v>36</v>
      </c>
      <c r="T253" s="4" t="s">
        <v>38</v>
      </c>
    </row>
    <row r="254" spans="3:20" hidden="1" x14ac:dyDescent="0.25">
      <c r="C254" s="4" t="s">
        <v>224</v>
      </c>
      <c r="D254" s="4" t="s">
        <v>225</v>
      </c>
      <c r="E254" s="4" t="s">
        <v>226</v>
      </c>
      <c r="F254" s="4" t="s">
        <v>36</v>
      </c>
      <c r="G254" s="4" t="s">
        <v>37</v>
      </c>
      <c r="H254" s="4" t="s">
        <v>38</v>
      </c>
      <c r="I254" s="4" t="s">
        <v>1030</v>
      </c>
      <c r="J254" s="4">
        <v>0</v>
      </c>
      <c r="K254" s="4" t="s">
        <v>59</v>
      </c>
      <c r="L254" s="4" t="s">
        <v>40</v>
      </c>
      <c r="M254" s="4">
        <v>0</v>
      </c>
      <c r="N254" s="4" t="s">
        <v>224</v>
      </c>
      <c r="O254" s="4" t="s">
        <v>42</v>
      </c>
      <c r="P254" s="50" t="s">
        <v>43</v>
      </c>
      <c r="Q254" s="50" t="s">
        <v>36</v>
      </c>
      <c r="R254" s="50">
        <v>0</v>
      </c>
      <c r="S254" s="4" t="s">
        <v>36</v>
      </c>
      <c r="T254" s="4" t="s">
        <v>38</v>
      </c>
    </row>
    <row r="255" spans="3:20" hidden="1" x14ac:dyDescent="0.25">
      <c r="C255" s="4" t="s">
        <v>502</v>
      </c>
      <c r="D255" s="4" t="s">
        <v>503</v>
      </c>
      <c r="E255" s="4" t="s">
        <v>504</v>
      </c>
      <c r="F255" s="4">
        <v>5</v>
      </c>
      <c r="G255" s="4" t="s">
        <v>376</v>
      </c>
      <c r="H255" s="4" t="s">
        <v>46</v>
      </c>
      <c r="I255" s="4" t="s">
        <v>1030</v>
      </c>
      <c r="J255" s="4" t="s">
        <v>466</v>
      </c>
      <c r="K255" s="4" t="s">
        <v>51</v>
      </c>
      <c r="L255" s="4" t="s">
        <v>40</v>
      </c>
      <c r="M255" s="4" t="s">
        <v>1035</v>
      </c>
      <c r="N255" s="4" t="s">
        <v>502</v>
      </c>
      <c r="O255" s="4" t="s">
        <v>42</v>
      </c>
      <c r="P255" s="50" t="s">
        <v>43</v>
      </c>
      <c r="Q255" s="50">
        <v>33060774.674376812</v>
      </c>
      <c r="R255" s="50" t="s">
        <v>467</v>
      </c>
      <c r="S255" s="4" t="s">
        <v>43</v>
      </c>
      <c r="T255" s="4" t="s">
        <v>46</v>
      </c>
    </row>
    <row r="256" spans="3:20" hidden="1" x14ac:dyDescent="0.25">
      <c r="C256" s="4" t="s">
        <v>227</v>
      </c>
      <c r="D256" s="4" t="s">
        <v>228</v>
      </c>
      <c r="E256" s="4" t="s">
        <v>229</v>
      </c>
      <c r="F256" s="4" t="s">
        <v>36</v>
      </c>
      <c r="G256" s="4" t="s">
        <v>37</v>
      </c>
      <c r="H256" s="4" t="s">
        <v>38</v>
      </c>
      <c r="I256" s="4" t="s">
        <v>1030</v>
      </c>
      <c r="J256" s="4">
        <v>0</v>
      </c>
      <c r="K256" s="4" t="s">
        <v>54</v>
      </c>
      <c r="L256" s="4" t="s">
        <v>55</v>
      </c>
      <c r="M256" s="4">
        <v>0</v>
      </c>
      <c r="N256" s="4" t="s">
        <v>227</v>
      </c>
      <c r="O256" s="4" t="s">
        <v>42</v>
      </c>
      <c r="P256" s="50" t="s">
        <v>43</v>
      </c>
      <c r="Q256" s="50" t="s">
        <v>36</v>
      </c>
      <c r="R256" s="50">
        <v>0</v>
      </c>
      <c r="S256" s="4" t="s">
        <v>36</v>
      </c>
      <c r="T256" s="4" t="s">
        <v>38</v>
      </c>
    </row>
    <row r="257" spans="3:20" hidden="1" x14ac:dyDescent="0.25">
      <c r="C257" s="4" t="s">
        <v>728</v>
      </c>
      <c r="D257" s="4" t="s">
        <v>729</v>
      </c>
      <c r="E257" s="4" t="s">
        <v>730</v>
      </c>
      <c r="F257" s="4">
        <v>5</v>
      </c>
      <c r="G257" s="4" t="s">
        <v>376</v>
      </c>
      <c r="H257" s="4" t="s">
        <v>46</v>
      </c>
      <c r="I257" s="4" t="s">
        <v>1031</v>
      </c>
      <c r="J257" s="4" t="s">
        <v>84</v>
      </c>
      <c r="K257" s="4" t="s">
        <v>722</v>
      </c>
      <c r="L257" s="4" t="s">
        <v>55</v>
      </c>
      <c r="M257" s="4" t="s">
        <v>378</v>
      </c>
      <c r="N257" s="4" t="s">
        <v>728</v>
      </c>
      <c r="O257" s="4" t="s">
        <v>42</v>
      </c>
      <c r="P257" s="50" t="s">
        <v>440</v>
      </c>
      <c r="Q257" s="50">
        <v>34725452.932682283</v>
      </c>
      <c r="R257" s="50" t="s">
        <v>702</v>
      </c>
      <c r="S257" s="4" t="s">
        <v>43</v>
      </c>
      <c r="T257" s="4" t="s">
        <v>46</v>
      </c>
    </row>
    <row r="258" spans="3:20" hidden="1" x14ac:dyDescent="0.25">
      <c r="C258" s="4" t="s">
        <v>230</v>
      </c>
      <c r="D258" s="4" t="s">
        <v>231</v>
      </c>
      <c r="E258" s="4" t="s">
        <v>232</v>
      </c>
      <c r="F258" s="4" t="s">
        <v>36</v>
      </c>
      <c r="G258" s="4" t="s">
        <v>37</v>
      </c>
      <c r="H258" s="4" t="s">
        <v>38</v>
      </c>
      <c r="I258" s="4" t="s">
        <v>1030</v>
      </c>
      <c r="J258" s="4" t="s">
        <v>84</v>
      </c>
      <c r="K258" s="4" t="s">
        <v>54</v>
      </c>
      <c r="L258" s="4" t="s">
        <v>55</v>
      </c>
      <c r="M258" s="4">
        <v>0</v>
      </c>
      <c r="N258" s="4" t="s">
        <v>230</v>
      </c>
      <c r="O258" s="4" t="s">
        <v>42</v>
      </c>
      <c r="P258" s="50" t="s">
        <v>43</v>
      </c>
      <c r="Q258" s="50" t="s">
        <v>36</v>
      </c>
      <c r="R258" s="50" t="s">
        <v>702</v>
      </c>
      <c r="S258" s="4" t="s">
        <v>36</v>
      </c>
      <c r="T258" s="4" t="s">
        <v>38</v>
      </c>
    </row>
    <row r="259" spans="3:20" hidden="1" x14ac:dyDescent="0.25">
      <c r="C259" s="4" t="s">
        <v>233</v>
      </c>
      <c r="D259" s="4" t="s">
        <v>234</v>
      </c>
      <c r="E259" s="4" t="s">
        <v>235</v>
      </c>
      <c r="F259" s="4" t="s">
        <v>36</v>
      </c>
      <c r="G259" s="4" t="s">
        <v>37</v>
      </c>
      <c r="H259" s="4" t="s">
        <v>38</v>
      </c>
      <c r="I259" s="4" t="s">
        <v>1030</v>
      </c>
      <c r="J259" s="4" t="s">
        <v>84</v>
      </c>
      <c r="K259" s="4" t="s">
        <v>54</v>
      </c>
      <c r="L259" s="4" t="s">
        <v>55</v>
      </c>
      <c r="M259" s="4">
        <v>0</v>
      </c>
      <c r="N259" s="4" t="s">
        <v>233</v>
      </c>
      <c r="O259" s="4" t="s">
        <v>42</v>
      </c>
      <c r="P259" s="50" t="s">
        <v>43</v>
      </c>
      <c r="Q259" s="50" t="s">
        <v>36</v>
      </c>
      <c r="R259" s="50">
        <v>0</v>
      </c>
      <c r="S259" s="4" t="s">
        <v>36</v>
      </c>
      <c r="T259" s="4" t="s">
        <v>38</v>
      </c>
    </row>
    <row r="260" spans="3:20" hidden="1" x14ac:dyDescent="0.25">
      <c r="C260" s="4" t="s">
        <v>236</v>
      </c>
      <c r="D260" s="4" t="s">
        <v>237</v>
      </c>
      <c r="E260" s="4" t="s">
        <v>237</v>
      </c>
      <c r="F260" s="4" t="s">
        <v>36</v>
      </c>
      <c r="G260" s="4" t="s">
        <v>37</v>
      </c>
      <c r="H260" s="4" t="s">
        <v>38</v>
      </c>
      <c r="I260" s="4" t="s">
        <v>1030</v>
      </c>
      <c r="J260" s="4">
        <v>0</v>
      </c>
      <c r="K260" s="4" t="s">
        <v>59</v>
      </c>
      <c r="L260" s="4" t="s">
        <v>40</v>
      </c>
      <c r="M260" s="4">
        <v>0</v>
      </c>
      <c r="N260" s="4" t="s">
        <v>236</v>
      </c>
      <c r="O260" s="4" t="s">
        <v>42</v>
      </c>
      <c r="P260" s="50" t="s">
        <v>43</v>
      </c>
      <c r="Q260" s="50" t="s">
        <v>36</v>
      </c>
      <c r="R260" s="50">
        <v>0</v>
      </c>
      <c r="S260" s="4" t="s">
        <v>36</v>
      </c>
      <c r="T260" s="4" t="s">
        <v>38</v>
      </c>
    </row>
    <row r="261" spans="3:20" hidden="1" x14ac:dyDescent="0.25">
      <c r="C261" s="4" t="s">
        <v>238</v>
      </c>
      <c r="D261" s="4" t="s">
        <v>239</v>
      </c>
      <c r="E261" s="4" t="s">
        <v>240</v>
      </c>
      <c r="F261" s="4" t="s">
        <v>36</v>
      </c>
      <c r="G261" s="4" t="s">
        <v>37</v>
      </c>
      <c r="H261" s="4" t="s">
        <v>38</v>
      </c>
      <c r="I261" s="4" t="s">
        <v>1030</v>
      </c>
      <c r="J261" s="4" t="s">
        <v>146</v>
      </c>
      <c r="K261" s="4" t="s">
        <v>59</v>
      </c>
      <c r="L261" s="4" t="s">
        <v>40</v>
      </c>
      <c r="M261" s="4">
        <v>0</v>
      </c>
      <c r="N261" s="4" t="s">
        <v>238</v>
      </c>
      <c r="O261" s="4" t="s">
        <v>42</v>
      </c>
      <c r="P261" s="50" t="s">
        <v>43</v>
      </c>
      <c r="Q261" s="50" t="s">
        <v>36</v>
      </c>
      <c r="R261" s="50">
        <v>0</v>
      </c>
      <c r="S261" s="4" t="s">
        <v>36</v>
      </c>
      <c r="T261" s="4" t="s">
        <v>38</v>
      </c>
    </row>
    <row r="262" spans="3:20" hidden="1" x14ac:dyDescent="0.25">
      <c r="C262" s="4" t="s">
        <v>962</v>
      </c>
      <c r="D262" s="4" t="s">
        <v>963</v>
      </c>
      <c r="E262" s="4" t="s">
        <v>964</v>
      </c>
      <c r="F262" s="4">
        <v>5</v>
      </c>
      <c r="G262" s="4" t="s">
        <v>376</v>
      </c>
      <c r="H262" s="4" t="s">
        <v>46</v>
      </c>
      <c r="I262" s="4" t="s">
        <v>1030</v>
      </c>
      <c r="J262" s="4" t="s">
        <v>160</v>
      </c>
      <c r="K262" s="4" t="s">
        <v>371</v>
      </c>
      <c r="L262" s="4" t="s">
        <v>40</v>
      </c>
      <c r="M262" s="4" t="s">
        <v>984</v>
      </c>
      <c r="N262" s="4" t="s">
        <v>962</v>
      </c>
      <c r="O262" s="4" t="s">
        <v>42</v>
      </c>
      <c r="P262" s="50" t="s">
        <v>440</v>
      </c>
      <c r="Q262" s="50">
        <v>33399153.369515959</v>
      </c>
      <c r="R262" s="50" t="s">
        <v>931</v>
      </c>
      <c r="S262" s="4" t="s">
        <v>43</v>
      </c>
      <c r="T262" s="4" t="s">
        <v>46</v>
      </c>
    </row>
    <row r="263" spans="3:20" hidden="1" x14ac:dyDescent="0.25">
      <c r="C263" s="4" t="s">
        <v>687</v>
      </c>
      <c r="D263" s="4" t="s">
        <v>688</v>
      </c>
      <c r="E263" s="4" t="s">
        <v>689</v>
      </c>
      <c r="F263" s="4">
        <v>6</v>
      </c>
      <c r="G263" s="4" t="s">
        <v>376</v>
      </c>
      <c r="H263" s="4" t="s">
        <v>46</v>
      </c>
      <c r="I263" s="4" t="s">
        <v>1030</v>
      </c>
      <c r="J263" s="4" t="s">
        <v>248</v>
      </c>
      <c r="K263" s="4" t="s">
        <v>51</v>
      </c>
      <c r="L263" s="4" t="s">
        <v>40</v>
      </c>
      <c r="M263" s="4" t="s">
        <v>984</v>
      </c>
      <c r="N263" s="4" t="s">
        <v>687</v>
      </c>
      <c r="O263" s="4" t="s">
        <v>42</v>
      </c>
      <c r="P263" s="50" t="s">
        <v>440</v>
      </c>
      <c r="Q263" s="50">
        <v>53608857.389439084</v>
      </c>
      <c r="R263" s="50" t="s">
        <v>51</v>
      </c>
      <c r="S263" s="4" t="s">
        <v>43</v>
      </c>
      <c r="T263" s="4" t="s">
        <v>46</v>
      </c>
    </row>
    <row r="264" spans="3:20" hidden="1" x14ac:dyDescent="0.25">
      <c r="C264" s="4" t="s">
        <v>241</v>
      </c>
      <c r="D264" s="4" t="s">
        <v>242</v>
      </c>
      <c r="E264" s="4" t="s">
        <v>243</v>
      </c>
      <c r="F264" s="4" t="s">
        <v>36</v>
      </c>
      <c r="G264" s="4" t="s">
        <v>37</v>
      </c>
      <c r="H264" s="4" t="s">
        <v>38</v>
      </c>
      <c r="I264" s="4" t="s">
        <v>1030</v>
      </c>
      <c r="J264" s="4" t="s">
        <v>132</v>
      </c>
      <c r="K264" s="4" t="s">
        <v>64</v>
      </c>
      <c r="L264" s="4" t="s">
        <v>40</v>
      </c>
      <c r="M264" s="4">
        <v>0</v>
      </c>
      <c r="N264" s="4" t="s">
        <v>241</v>
      </c>
      <c r="O264" s="4" t="s">
        <v>42</v>
      </c>
      <c r="P264" s="50" t="s">
        <v>43</v>
      </c>
      <c r="Q264" s="50" t="s">
        <v>36</v>
      </c>
      <c r="R264" s="50">
        <v>0</v>
      </c>
      <c r="S264" s="4" t="s">
        <v>36</v>
      </c>
      <c r="T264" s="4" t="s">
        <v>38</v>
      </c>
    </row>
    <row r="265" spans="3:20" hidden="1" x14ac:dyDescent="0.25">
      <c r="C265" s="4" t="s">
        <v>244</v>
      </c>
      <c r="D265" s="4" t="s">
        <v>245</v>
      </c>
      <c r="E265" s="4" t="s">
        <v>245</v>
      </c>
      <c r="F265" s="4" t="s">
        <v>36</v>
      </c>
      <c r="G265" s="4" t="s">
        <v>37</v>
      </c>
      <c r="H265" s="4" t="s">
        <v>81</v>
      </c>
      <c r="I265" s="4" t="s">
        <v>1030</v>
      </c>
      <c r="J265" s="4">
        <v>0</v>
      </c>
      <c r="K265" s="4" t="s">
        <v>133</v>
      </c>
      <c r="L265" s="4" t="s">
        <v>40</v>
      </c>
      <c r="M265" s="4">
        <v>0</v>
      </c>
      <c r="N265" s="4" t="s">
        <v>244</v>
      </c>
      <c r="O265" s="4" t="s">
        <v>42</v>
      </c>
      <c r="P265" s="50" t="s">
        <v>43</v>
      </c>
      <c r="Q265" s="50" t="s">
        <v>36</v>
      </c>
      <c r="R265" s="50">
        <v>0</v>
      </c>
      <c r="S265" s="4" t="s">
        <v>36</v>
      </c>
      <c r="T265" s="4" t="s">
        <v>81</v>
      </c>
    </row>
    <row r="266" spans="3:20" hidden="1" x14ac:dyDescent="0.25">
      <c r="C266" s="4" t="s">
        <v>246</v>
      </c>
      <c r="D266" s="4" t="s">
        <v>247</v>
      </c>
      <c r="E266" s="4" t="s">
        <v>247</v>
      </c>
      <c r="F266" s="4" t="s">
        <v>36</v>
      </c>
      <c r="G266" s="4" t="s">
        <v>37</v>
      </c>
      <c r="H266" s="4" t="s">
        <v>38</v>
      </c>
      <c r="I266" s="4" t="s">
        <v>1030</v>
      </c>
      <c r="J266" s="4" t="s">
        <v>248</v>
      </c>
      <c r="K266" s="4" t="s">
        <v>138</v>
      </c>
      <c r="L266" s="4" t="s">
        <v>40</v>
      </c>
      <c r="M266" s="4">
        <v>0</v>
      </c>
      <c r="N266" s="4" t="s">
        <v>246</v>
      </c>
      <c r="O266" s="4" t="s">
        <v>42</v>
      </c>
      <c r="P266" s="50" t="s">
        <v>43</v>
      </c>
      <c r="Q266" s="50" t="s">
        <v>36</v>
      </c>
      <c r="R266" s="50">
        <v>0</v>
      </c>
      <c r="S266" s="4" t="s">
        <v>36</v>
      </c>
      <c r="T266" s="4" t="s">
        <v>38</v>
      </c>
    </row>
    <row r="267" spans="3:20" hidden="1" x14ac:dyDescent="0.25">
      <c r="C267" s="4" t="s">
        <v>249</v>
      </c>
      <c r="D267" s="4" t="s">
        <v>250</v>
      </c>
      <c r="E267" s="4" t="s">
        <v>250</v>
      </c>
      <c r="F267" s="4" t="s">
        <v>36</v>
      </c>
      <c r="G267" s="4" t="s">
        <v>37</v>
      </c>
      <c r="H267" s="4" t="s">
        <v>38</v>
      </c>
      <c r="I267" s="4" t="s">
        <v>1030</v>
      </c>
      <c r="J267" s="4" t="s">
        <v>94</v>
      </c>
      <c r="K267" s="4" t="s">
        <v>138</v>
      </c>
      <c r="L267" s="4" t="s">
        <v>40</v>
      </c>
      <c r="M267" s="4">
        <v>0</v>
      </c>
      <c r="N267" s="4" t="s">
        <v>249</v>
      </c>
      <c r="O267" s="4" t="s">
        <v>42</v>
      </c>
      <c r="P267" s="50" t="s">
        <v>43</v>
      </c>
      <c r="Q267" s="50" t="s">
        <v>36</v>
      </c>
      <c r="R267" s="50">
        <v>0</v>
      </c>
      <c r="S267" s="4" t="s">
        <v>36</v>
      </c>
      <c r="T267" s="4" t="s">
        <v>38</v>
      </c>
    </row>
    <row r="268" spans="3:20" hidden="1" x14ac:dyDescent="0.25">
      <c r="C268" s="4" t="s">
        <v>251</v>
      </c>
      <c r="D268" s="4" t="s">
        <v>252</v>
      </c>
      <c r="E268" s="4" t="s">
        <v>253</v>
      </c>
      <c r="F268" s="4" t="s">
        <v>36</v>
      </c>
      <c r="G268" s="4" t="s">
        <v>37</v>
      </c>
      <c r="H268" s="4" t="s">
        <v>38</v>
      </c>
      <c r="I268" s="4" t="s">
        <v>1030</v>
      </c>
      <c r="J268" s="4">
        <v>0</v>
      </c>
      <c r="K268" s="4" t="s">
        <v>64</v>
      </c>
      <c r="L268" s="4" t="s">
        <v>40</v>
      </c>
      <c r="M268" s="4">
        <v>0</v>
      </c>
      <c r="N268" s="4" t="s">
        <v>251</v>
      </c>
      <c r="O268" s="4" t="s">
        <v>42</v>
      </c>
      <c r="P268" s="50" t="s">
        <v>43</v>
      </c>
      <c r="Q268" s="50" t="s">
        <v>36</v>
      </c>
      <c r="R268" s="50">
        <v>0</v>
      </c>
      <c r="S268" s="4" t="s">
        <v>36</v>
      </c>
      <c r="T268" s="4" t="s">
        <v>38</v>
      </c>
    </row>
    <row r="269" spans="3:20" hidden="1" x14ac:dyDescent="0.25">
      <c r="C269" s="4" t="s">
        <v>254</v>
      </c>
      <c r="D269" s="4" t="s">
        <v>255</v>
      </c>
      <c r="E269" s="4" t="s">
        <v>255</v>
      </c>
      <c r="F269" s="4" t="s">
        <v>36</v>
      </c>
      <c r="G269" s="4" t="s">
        <v>37</v>
      </c>
      <c r="H269" s="4" t="s">
        <v>38</v>
      </c>
      <c r="I269" s="4" t="s">
        <v>1030</v>
      </c>
      <c r="J269" s="4">
        <v>0</v>
      </c>
      <c r="K269" s="4" t="s">
        <v>51</v>
      </c>
      <c r="L269" s="4" t="s">
        <v>40</v>
      </c>
      <c r="M269" s="4">
        <v>0</v>
      </c>
      <c r="N269" s="4" t="s">
        <v>254</v>
      </c>
      <c r="O269" s="4" t="s">
        <v>42</v>
      </c>
      <c r="P269" s="50" t="s">
        <v>43</v>
      </c>
      <c r="Q269" s="50" t="s">
        <v>36</v>
      </c>
      <c r="R269" s="50">
        <v>0</v>
      </c>
      <c r="S269" s="4" t="s">
        <v>36</v>
      </c>
      <c r="T269" s="4" t="s">
        <v>38</v>
      </c>
    </row>
    <row r="270" spans="3:20" hidden="1" x14ac:dyDescent="0.25">
      <c r="C270" s="4" t="s">
        <v>590</v>
      </c>
      <c r="D270" s="4" t="s">
        <v>591</v>
      </c>
      <c r="E270" s="4" t="s">
        <v>591</v>
      </c>
      <c r="F270" s="4">
        <v>5</v>
      </c>
      <c r="G270" s="4" t="s">
        <v>376</v>
      </c>
      <c r="H270" s="4" t="s">
        <v>46</v>
      </c>
      <c r="I270" s="4" t="s">
        <v>1030</v>
      </c>
      <c r="J270" s="4" t="s">
        <v>331</v>
      </c>
      <c r="K270" s="4" t="s">
        <v>138</v>
      </c>
      <c r="L270" s="4" t="s">
        <v>40</v>
      </c>
      <c r="M270" s="4" t="s">
        <v>984</v>
      </c>
      <c r="N270" s="4" t="s">
        <v>590</v>
      </c>
      <c r="O270" s="4" t="s">
        <v>42</v>
      </c>
      <c r="P270" s="50" t="s">
        <v>43</v>
      </c>
      <c r="Q270" s="50">
        <v>55828345.263703704</v>
      </c>
      <c r="R270" s="50" t="s">
        <v>557</v>
      </c>
      <c r="S270" s="4" t="s">
        <v>43</v>
      </c>
      <c r="T270" s="4" t="s">
        <v>46</v>
      </c>
    </row>
    <row r="271" spans="3:20" hidden="1" x14ac:dyDescent="0.25">
      <c r="C271" s="4" t="s">
        <v>447</v>
      </c>
      <c r="D271" s="4" t="s">
        <v>448</v>
      </c>
      <c r="E271" s="4" t="s">
        <v>449</v>
      </c>
      <c r="F271" s="4">
        <v>6</v>
      </c>
      <c r="G271" s="4" t="s">
        <v>376</v>
      </c>
      <c r="H271" s="4" t="s">
        <v>46</v>
      </c>
      <c r="I271" s="4" t="s">
        <v>1030</v>
      </c>
      <c r="J271" s="4" t="s">
        <v>94</v>
      </c>
      <c r="K271" s="4" t="s">
        <v>64</v>
      </c>
      <c r="L271" s="4" t="s">
        <v>40</v>
      </c>
      <c r="M271" s="4" t="s">
        <v>1035</v>
      </c>
      <c r="N271" s="4" t="s">
        <v>447</v>
      </c>
      <c r="O271" s="4" t="s">
        <v>42</v>
      </c>
      <c r="P271" s="50" t="s">
        <v>440</v>
      </c>
      <c r="Q271" s="50">
        <v>38807690.064736687</v>
      </c>
      <c r="R271" s="50" t="s">
        <v>423</v>
      </c>
      <c r="S271" s="4" t="s">
        <v>43</v>
      </c>
      <c r="T271" s="4" t="s">
        <v>46</v>
      </c>
    </row>
    <row r="272" spans="3:20" hidden="1" x14ac:dyDescent="0.25">
      <c r="C272" s="4" t="s">
        <v>256</v>
      </c>
      <c r="D272" s="4" t="s">
        <v>257</v>
      </c>
      <c r="E272" s="4" t="s">
        <v>257</v>
      </c>
      <c r="F272" s="4" t="s">
        <v>36</v>
      </c>
      <c r="G272" s="4" t="s">
        <v>37</v>
      </c>
      <c r="H272" s="4" t="s">
        <v>38</v>
      </c>
      <c r="I272" s="4" t="s">
        <v>1030</v>
      </c>
      <c r="J272" s="4">
        <v>0</v>
      </c>
      <c r="K272" s="4" t="s">
        <v>138</v>
      </c>
      <c r="L272" s="4" t="s">
        <v>40</v>
      </c>
      <c r="M272" s="4">
        <v>0</v>
      </c>
      <c r="N272" s="4" t="s">
        <v>256</v>
      </c>
      <c r="O272" s="4" t="s">
        <v>42</v>
      </c>
      <c r="P272" s="50" t="s">
        <v>43</v>
      </c>
      <c r="Q272" s="50" t="s">
        <v>36</v>
      </c>
      <c r="R272" s="50">
        <v>0</v>
      </c>
      <c r="S272" s="4" t="s">
        <v>36</v>
      </c>
      <c r="T272" s="4" t="s">
        <v>38</v>
      </c>
    </row>
    <row r="273" spans="3:20" hidden="1" x14ac:dyDescent="0.25">
      <c r="C273" s="4" t="s">
        <v>450</v>
      </c>
      <c r="D273" s="4" t="s">
        <v>451</v>
      </c>
      <c r="E273" s="4" t="s">
        <v>452</v>
      </c>
      <c r="F273" s="4">
        <v>5</v>
      </c>
      <c r="G273" s="4" t="s">
        <v>376</v>
      </c>
      <c r="H273" s="4" t="s">
        <v>46</v>
      </c>
      <c r="I273" s="4" t="s">
        <v>1030</v>
      </c>
      <c r="J273" s="4" t="s">
        <v>94</v>
      </c>
      <c r="K273" s="4" t="s">
        <v>64</v>
      </c>
      <c r="L273" s="4" t="s">
        <v>40</v>
      </c>
      <c r="M273" s="4" t="s">
        <v>1035</v>
      </c>
      <c r="N273" s="4" t="s">
        <v>450</v>
      </c>
      <c r="O273" s="4" t="s">
        <v>42</v>
      </c>
      <c r="P273" s="50" t="s">
        <v>43</v>
      </c>
      <c r="Q273" s="50">
        <v>37701839.942894928</v>
      </c>
      <c r="R273" s="50" t="s">
        <v>423</v>
      </c>
      <c r="S273" s="4" t="s">
        <v>43</v>
      </c>
      <c r="T273" s="4" t="s">
        <v>46</v>
      </c>
    </row>
    <row r="274" spans="3:20" hidden="1" x14ac:dyDescent="0.25">
      <c r="C274" s="4" t="s">
        <v>965</v>
      </c>
      <c r="D274" s="4" t="s">
        <v>966</v>
      </c>
      <c r="E274" s="4" t="s">
        <v>967</v>
      </c>
      <c r="F274" s="4">
        <v>5</v>
      </c>
      <c r="G274" s="4" t="s">
        <v>376</v>
      </c>
      <c r="H274" s="4" t="s">
        <v>46</v>
      </c>
      <c r="I274" s="4" t="s">
        <v>1030</v>
      </c>
      <c r="J274" s="4" t="s">
        <v>160</v>
      </c>
      <c r="K274" s="4" t="s">
        <v>353</v>
      </c>
      <c r="L274" s="4" t="s">
        <v>40</v>
      </c>
      <c r="M274" s="4" t="s">
        <v>984</v>
      </c>
      <c r="N274" s="4" t="s">
        <v>965</v>
      </c>
      <c r="O274" s="4" t="s">
        <v>42</v>
      </c>
      <c r="P274" s="50" t="s">
        <v>43</v>
      </c>
      <c r="Q274" s="50">
        <v>34034483.712910607</v>
      </c>
      <c r="R274" s="50" t="s">
        <v>931</v>
      </c>
      <c r="S274" s="4" t="s">
        <v>43</v>
      </c>
      <c r="T274" s="4" t="s">
        <v>46</v>
      </c>
    </row>
    <row r="275" spans="3:20" hidden="1" x14ac:dyDescent="0.25">
      <c r="C275" s="4" t="s">
        <v>258</v>
      </c>
      <c r="D275" s="4" t="s">
        <v>259</v>
      </c>
      <c r="E275" s="4" t="s">
        <v>260</v>
      </c>
      <c r="F275" s="4" t="s">
        <v>36</v>
      </c>
      <c r="G275" s="4" t="s">
        <v>37</v>
      </c>
      <c r="H275" s="4" t="s">
        <v>38</v>
      </c>
      <c r="I275" s="4" t="s">
        <v>1030</v>
      </c>
      <c r="J275" s="4" t="s">
        <v>50</v>
      </c>
      <c r="K275" s="4" t="s">
        <v>51</v>
      </c>
      <c r="L275" s="4" t="s">
        <v>40</v>
      </c>
      <c r="M275" s="4">
        <v>0</v>
      </c>
      <c r="N275" s="4" t="s">
        <v>258</v>
      </c>
      <c r="O275" s="4" t="s">
        <v>42</v>
      </c>
      <c r="P275" s="50" t="s">
        <v>43</v>
      </c>
      <c r="Q275" s="50" t="s">
        <v>36</v>
      </c>
      <c r="R275" s="50">
        <v>0</v>
      </c>
      <c r="S275" s="4" t="s">
        <v>36</v>
      </c>
      <c r="T275" s="4" t="s">
        <v>38</v>
      </c>
    </row>
    <row r="276" spans="3:20" hidden="1" x14ac:dyDescent="0.25">
      <c r="C276" s="4" t="s">
        <v>261</v>
      </c>
      <c r="D276" s="4" t="s">
        <v>262</v>
      </c>
      <c r="E276" s="4" t="s">
        <v>263</v>
      </c>
      <c r="F276" s="4" t="s">
        <v>36</v>
      </c>
      <c r="G276" s="4" t="s">
        <v>37</v>
      </c>
      <c r="H276" s="4" t="s">
        <v>38</v>
      </c>
      <c r="I276" s="4" t="s">
        <v>1030</v>
      </c>
      <c r="J276" s="4" t="s">
        <v>58</v>
      </c>
      <c r="K276" s="4" t="s">
        <v>138</v>
      </c>
      <c r="L276" s="4" t="s">
        <v>40</v>
      </c>
      <c r="M276" s="4">
        <v>0</v>
      </c>
      <c r="N276" s="4" t="s">
        <v>261</v>
      </c>
      <c r="O276" s="4" t="s">
        <v>42</v>
      </c>
      <c r="P276" s="50" t="s">
        <v>43</v>
      </c>
      <c r="Q276" s="50" t="s">
        <v>36</v>
      </c>
      <c r="R276" s="50">
        <v>0</v>
      </c>
      <c r="S276" s="4" t="s">
        <v>36</v>
      </c>
      <c r="T276" s="4" t="s">
        <v>38</v>
      </c>
    </row>
    <row r="277" spans="3:20" hidden="1" x14ac:dyDescent="0.25">
      <c r="C277" s="4" t="s">
        <v>791</v>
      </c>
      <c r="D277" s="4" t="s">
        <v>793</v>
      </c>
      <c r="E277" s="4" t="s">
        <v>1000</v>
      </c>
      <c r="F277" s="4">
        <v>3.36</v>
      </c>
      <c r="G277" s="4" t="s">
        <v>376</v>
      </c>
      <c r="H277" s="4" t="s">
        <v>46</v>
      </c>
      <c r="I277" s="4" t="s">
        <v>1031</v>
      </c>
      <c r="J277" s="4" t="s">
        <v>89</v>
      </c>
      <c r="K277" s="4" t="s">
        <v>109</v>
      </c>
      <c r="L277" s="4" t="s">
        <v>91</v>
      </c>
      <c r="M277" s="4" t="s">
        <v>378</v>
      </c>
      <c r="N277" s="4" t="s">
        <v>791</v>
      </c>
      <c r="O277" s="4" t="s">
        <v>42</v>
      </c>
      <c r="P277" s="50" t="s">
        <v>43</v>
      </c>
      <c r="Q277" s="50">
        <v>0</v>
      </c>
      <c r="R277" s="50" t="s">
        <v>772</v>
      </c>
      <c r="S277" s="4" t="s">
        <v>43</v>
      </c>
      <c r="T277" s="4" t="s">
        <v>46</v>
      </c>
    </row>
    <row r="278" spans="3:20" hidden="1" x14ac:dyDescent="0.25">
      <c r="C278" s="4" t="s">
        <v>264</v>
      </c>
      <c r="D278" s="4" t="s">
        <v>265</v>
      </c>
      <c r="E278" s="4" t="s">
        <v>266</v>
      </c>
      <c r="F278" s="4" t="s">
        <v>36</v>
      </c>
      <c r="G278" s="4" t="s">
        <v>37</v>
      </c>
      <c r="H278" s="4" t="s">
        <v>38</v>
      </c>
      <c r="I278" s="4" t="s">
        <v>1030</v>
      </c>
      <c r="J278" s="4">
        <v>0</v>
      </c>
      <c r="K278" s="4" t="s">
        <v>51</v>
      </c>
      <c r="L278" s="4" t="s">
        <v>40</v>
      </c>
      <c r="M278" s="4">
        <v>0</v>
      </c>
      <c r="N278" s="4" t="s">
        <v>264</v>
      </c>
      <c r="O278" s="4" t="s">
        <v>42</v>
      </c>
      <c r="P278" s="50" t="s">
        <v>43</v>
      </c>
      <c r="Q278" s="50" t="s">
        <v>36</v>
      </c>
      <c r="R278" s="50">
        <v>0</v>
      </c>
      <c r="S278" s="4" t="s">
        <v>36</v>
      </c>
      <c r="T278" s="4" t="s">
        <v>38</v>
      </c>
    </row>
    <row r="279" spans="3:20" hidden="1" x14ac:dyDescent="0.25">
      <c r="C279" s="4" t="s">
        <v>267</v>
      </c>
      <c r="D279" s="4" t="s">
        <v>268</v>
      </c>
      <c r="E279" s="4" t="s">
        <v>269</v>
      </c>
      <c r="F279" s="4" t="s">
        <v>36</v>
      </c>
      <c r="G279" s="4" t="s">
        <v>37</v>
      </c>
      <c r="H279" s="4" t="s">
        <v>38</v>
      </c>
      <c r="I279" s="4" t="s">
        <v>1030</v>
      </c>
      <c r="J279" s="4">
        <v>0</v>
      </c>
      <c r="K279" s="4" t="s">
        <v>51</v>
      </c>
      <c r="L279" s="4" t="s">
        <v>40</v>
      </c>
      <c r="M279" s="4">
        <v>0</v>
      </c>
      <c r="N279" s="4" t="s">
        <v>267</v>
      </c>
      <c r="O279" s="4" t="s">
        <v>42</v>
      </c>
      <c r="P279" s="50" t="s">
        <v>43</v>
      </c>
      <c r="Q279" s="50" t="s">
        <v>36</v>
      </c>
      <c r="R279" s="50">
        <v>0</v>
      </c>
      <c r="S279" s="4" t="s">
        <v>36</v>
      </c>
      <c r="T279" s="4" t="s">
        <v>38</v>
      </c>
    </row>
    <row r="280" spans="3:20" hidden="1" x14ac:dyDescent="0.25">
      <c r="C280" s="4" t="s">
        <v>270</v>
      </c>
      <c r="D280" s="4" t="s">
        <v>271</v>
      </c>
      <c r="E280" s="4" t="s">
        <v>271</v>
      </c>
      <c r="F280" s="4" t="s">
        <v>36</v>
      </c>
      <c r="G280" s="4" t="s">
        <v>37</v>
      </c>
      <c r="H280" s="4" t="s">
        <v>38</v>
      </c>
      <c r="I280" s="4" t="s">
        <v>1030</v>
      </c>
      <c r="J280" s="4" t="s">
        <v>100</v>
      </c>
      <c r="K280" s="4" t="s">
        <v>59</v>
      </c>
      <c r="L280" s="4" t="s">
        <v>40</v>
      </c>
      <c r="M280" s="4">
        <v>0</v>
      </c>
      <c r="N280" s="4" t="s">
        <v>270</v>
      </c>
      <c r="O280" s="4" t="s">
        <v>42</v>
      </c>
      <c r="P280" s="50" t="s">
        <v>43</v>
      </c>
      <c r="Q280" s="50" t="s">
        <v>36</v>
      </c>
      <c r="R280" s="50">
        <v>0</v>
      </c>
      <c r="S280" s="4" t="s">
        <v>36</v>
      </c>
      <c r="T280" s="4" t="s">
        <v>38</v>
      </c>
    </row>
    <row r="281" spans="3:20" hidden="1" x14ac:dyDescent="0.25">
      <c r="C281" s="4" t="s">
        <v>631</v>
      </c>
      <c r="D281" s="4" t="s">
        <v>633</v>
      </c>
      <c r="E281" s="4" t="s">
        <v>1001</v>
      </c>
      <c r="F281" s="47">
        <v>5.6</v>
      </c>
      <c r="G281" s="4" t="s">
        <v>376</v>
      </c>
      <c r="H281" s="4" t="s">
        <v>46</v>
      </c>
      <c r="I281" s="4" t="s">
        <v>1030</v>
      </c>
      <c r="J281" s="4" t="s">
        <v>50</v>
      </c>
      <c r="K281" s="4" t="s">
        <v>51</v>
      </c>
      <c r="L281" s="4" t="s">
        <v>40</v>
      </c>
      <c r="M281" s="4" t="s">
        <v>514</v>
      </c>
      <c r="N281" s="4" t="s">
        <v>631</v>
      </c>
      <c r="O281" s="4" t="s">
        <v>42</v>
      </c>
      <c r="P281" s="50" t="s">
        <v>43</v>
      </c>
      <c r="Q281" s="50">
        <v>0</v>
      </c>
      <c r="R281" s="50" t="s">
        <v>597</v>
      </c>
      <c r="S281" s="4" t="s">
        <v>43</v>
      </c>
      <c r="T281" s="4" t="s">
        <v>46</v>
      </c>
    </row>
    <row r="282" spans="3:20" hidden="1" x14ac:dyDescent="0.25">
      <c r="C282" s="4" t="s">
        <v>272</v>
      </c>
      <c r="D282" s="4" t="s">
        <v>273</v>
      </c>
      <c r="E282" s="4" t="s">
        <v>274</v>
      </c>
      <c r="F282" s="4" t="s">
        <v>36</v>
      </c>
      <c r="G282" s="4" t="s">
        <v>37</v>
      </c>
      <c r="H282" s="4" t="s">
        <v>38</v>
      </c>
      <c r="I282" s="4" t="s">
        <v>1030</v>
      </c>
      <c r="J282" s="4" t="s">
        <v>73</v>
      </c>
      <c r="K282" s="4" t="s">
        <v>275</v>
      </c>
      <c r="L282" s="4" t="s">
        <v>40</v>
      </c>
      <c r="M282" s="4">
        <v>0</v>
      </c>
      <c r="N282" s="4" t="s">
        <v>272</v>
      </c>
      <c r="O282" s="4" t="s">
        <v>42</v>
      </c>
      <c r="P282" s="50" t="s">
        <v>43</v>
      </c>
      <c r="Q282" s="50" t="s">
        <v>36</v>
      </c>
      <c r="R282" s="50">
        <v>0</v>
      </c>
      <c r="S282" s="4" t="s">
        <v>36</v>
      </c>
      <c r="T282" s="4" t="s">
        <v>38</v>
      </c>
    </row>
    <row r="283" spans="3:20" hidden="1" x14ac:dyDescent="0.25">
      <c r="C283" s="4" t="s">
        <v>690</v>
      </c>
      <c r="D283" s="4" t="s">
        <v>691</v>
      </c>
      <c r="E283" s="4" t="s">
        <v>692</v>
      </c>
      <c r="F283" s="4">
        <v>5</v>
      </c>
      <c r="G283" s="4" t="s">
        <v>376</v>
      </c>
      <c r="H283" s="4" t="s">
        <v>46</v>
      </c>
      <c r="I283" s="4" t="s">
        <v>1030</v>
      </c>
      <c r="J283" s="4" t="s">
        <v>248</v>
      </c>
      <c r="K283" s="4" t="s">
        <v>51</v>
      </c>
      <c r="L283" s="4" t="s">
        <v>40</v>
      </c>
      <c r="M283" s="4" t="s">
        <v>984</v>
      </c>
      <c r="N283" s="4" t="s">
        <v>690</v>
      </c>
      <c r="O283" s="4" t="s">
        <v>42</v>
      </c>
      <c r="P283" s="50" t="s">
        <v>440</v>
      </c>
      <c r="Q283" s="50">
        <v>40313027.819758102</v>
      </c>
      <c r="R283" s="50" t="s">
        <v>51</v>
      </c>
      <c r="S283" s="4" t="s">
        <v>43</v>
      </c>
      <c r="T283" s="4" t="s">
        <v>46</v>
      </c>
    </row>
    <row r="284" spans="3:20" hidden="1" x14ac:dyDescent="0.25">
      <c r="C284" s="4" t="s">
        <v>276</v>
      </c>
      <c r="D284" s="4" t="s">
        <v>277</v>
      </c>
      <c r="E284" s="4" t="s">
        <v>278</v>
      </c>
      <c r="F284" s="4" t="s">
        <v>36</v>
      </c>
      <c r="G284" s="4" t="s">
        <v>37</v>
      </c>
      <c r="H284" s="4" t="s">
        <v>38</v>
      </c>
      <c r="I284" s="4" t="s">
        <v>1030</v>
      </c>
      <c r="J284" s="4" t="s">
        <v>84</v>
      </c>
      <c r="K284" s="4" t="s">
        <v>279</v>
      </c>
      <c r="L284" s="4" t="s">
        <v>55</v>
      </c>
      <c r="M284" s="4">
        <v>0</v>
      </c>
      <c r="N284" s="4" t="s">
        <v>276</v>
      </c>
      <c r="O284" s="4" t="s">
        <v>42</v>
      </c>
      <c r="P284" s="50" t="s">
        <v>43</v>
      </c>
      <c r="Q284" s="50" t="s">
        <v>36</v>
      </c>
      <c r="R284" s="50">
        <v>0</v>
      </c>
      <c r="S284" s="4" t="s">
        <v>36</v>
      </c>
      <c r="T284" s="4" t="s">
        <v>38</v>
      </c>
    </row>
    <row r="285" spans="3:20" hidden="1" x14ac:dyDescent="0.25">
      <c r="C285" s="4" t="s">
        <v>731</v>
      </c>
      <c r="D285" s="4" t="s">
        <v>732</v>
      </c>
      <c r="E285" s="4" t="s">
        <v>54</v>
      </c>
      <c r="F285" s="4">
        <v>5</v>
      </c>
      <c r="G285" s="4" t="s">
        <v>376</v>
      </c>
      <c r="H285" s="4" t="s">
        <v>46</v>
      </c>
      <c r="I285" s="4" t="s">
        <v>1031</v>
      </c>
      <c r="J285" s="4" t="s">
        <v>84</v>
      </c>
      <c r="K285" s="4" t="s">
        <v>54</v>
      </c>
      <c r="L285" s="4" t="s">
        <v>55</v>
      </c>
      <c r="M285" s="4" t="s">
        <v>378</v>
      </c>
      <c r="N285" s="4" t="s">
        <v>731</v>
      </c>
      <c r="O285" s="4" t="s">
        <v>42</v>
      </c>
      <c r="P285" s="50" t="s">
        <v>440</v>
      </c>
      <c r="Q285" s="50">
        <v>26520760.13215863</v>
      </c>
      <c r="R285" s="50" t="s">
        <v>702</v>
      </c>
      <c r="S285" s="4" t="s">
        <v>43</v>
      </c>
      <c r="T285" s="4" t="s">
        <v>46</v>
      </c>
    </row>
    <row r="286" spans="3:20" hidden="1" x14ac:dyDescent="0.25">
      <c r="C286" s="4" t="s">
        <v>453</v>
      </c>
      <c r="D286" s="4" t="s">
        <v>454</v>
      </c>
      <c r="E286" s="4" t="s">
        <v>454</v>
      </c>
      <c r="F286" s="4">
        <v>5</v>
      </c>
      <c r="G286" s="4" t="s">
        <v>376</v>
      </c>
      <c r="H286" s="4" t="s">
        <v>46</v>
      </c>
      <c r="I286" s="4" t="s">
        <v>1030</v>
      </c>
      <c r="J286" s="4" t="s">
        <v>94</v>
      </c>
      <c r="K286" s="4" t="s">
        <v>64</v>
      </c>
      <c r="L286" s="4" t="s">
        <v>40</v>
      </c>
      <c r="M286" s="4" t="s">
        <v>1035</v>
      </c>
      <c r="N286" s="4" t="s">
        <v>453</v>
      </c>
      <c r="O286" s="4" t="s">
        <v>42</v>
      </c>
      <c r="P286" s="50" t="s">
        <v>440</v>
      </c>
      <c r="Q286" s="50">
        <v>37073594.4295488</v>
      </c>
      <c r="R286" s="50" t="s">
        <v>423</v>
      </c>
      <c r="S286" s="4" t="s">
        <v>43</v>
      </c>
      <c r="T286" s="4" t="s">
        <v>46</v>
      </c>
    </row>
    <row r="287" spans="3:20" hidden="1" x14ac:dyDescent="0.25">
      <c r="C287" s="4" t="s">
        <v>280</v>
      </c>
      <c r="D287" s="4" t="s">
        <v>281</v>
      </c>
      <c r="E287" s="4" t="s">
        <v>281</v>
      </c>
      <c r="F287" s="4" t="s">
        <v>36</v>
      </c>
      <c r="G287" s="4" t="s">
        <v>37</v>
      </c>
      <c r="H287" s="4" t="s">
        <v>38</v>
      </c>
      <c r="I287" s="4" t="s">
        <v>1030</v>
      </c>
      <c r="J287" s="4" t="s">
        <v>132</v>
      </c>
      <c r="K287" s="4" t="s">
        <v>64</v>
      </c>
      <c r="L287" s="4" t="s">
        <v>40</v>
      </c>
      <c r="M287" s="4">
        <v>0</v>
      </c>
      <c r="N287" s="4" t="s">
        <v>280</v>
      </c>
      <c r="O287" s="4" t="s">
        <v>42</v>
      </c>
      <c r="P287" s="50" t="s">
        <v>43</v>
      </c>
      <c r="Q287" s="50" t="s">
        <v>36</v>
      </c>
      <c r="R287" s="50">
        <v>0</v>
      </c>
      <c r="S287" s="4" t="s">
        <v>36</v>
      </c>
      <c r="T287" s="4" t="s">
        <v>38</v>
      </c>
    </row>
    <row r="288" spans="3:20" hidden="1" x14ac:dyDescent="0.25">
      <c r="C288" s="4" t="s">
        <v>282</v>
      </c>
      <c r="D288" s="4" t="s">
        <v>283</v>
      </c>
      <c r="E288" s="4" t="s">
        <v>284</v>
      </c>
      <c r="F288" s="4" t="s">
        <v>36</v>
      </c>
      <c r="G288" s="4" t="s">
        <v>37</v>
      </c>
      <c r="H288" s="4" t="s">
        <v>38</v>
      </c>
      <c r="I288" s="4" t="s">
        <v>1030</v>
      </c>
      <c r="J288" s="4">
        <v>0</v>
      </c>
      <c r="K288" s="4" t="s">
        <v>279</v>
      </c>
      <c r="L288" s="4" t="s">
        <v>55</v>
      </c>
      <c r="M288" s="4">
        <v>0</v>
      </c>
      <c r="N288" s="4" t="s">
        <v>282</v>
      </c>
      <c r="O288" s="4" t="s">
        <v>42</v>
      </c>
      <c r="P288" s="50" t="s">
        <v>43</v>
      </c>
      <c r="Q288" s="50" t="s">
        <v>36</v>
      </c>
      <c r="R288" s="50">
        <v>0</v>
      </c>
      <c r="S288" s="4" t="s">
        <v>36</v>
      </c>
      <c r="T288" s="4" t="s">
        <v>38</v>
      </c>
    </row>
    <row r="289" spans="3:20" hidden="1" x14ac:dyDescent="0.25">
      <c r="C289" s="4" t="s">
        <v>455</v>
      </c>
      <c r="D289" s="4" t="s">
        <v>456</v>
      </c>
      <c r="E289" s="4" t="s">
        <v>1002</v>
      </c>
      <c r="F289" s="4">
        <v>5</v>
      </c>
      <c r="G289" s="4" t="s">
        <v>376</v>
      </c>
      <c r="H289" s="4" t="s">
        <v>46</v>
      </c>
      <c r="I289" s="4" t="s">
        <v>1030</v>
      </c>
      <c r="J289" s="4" t="s">
        <v>94</v>
      </c>
      <c r="K289" s="4" t="s">
        <v>64</v>
      </c>
      <c r="L289" s="4" t="s">
        <v>40</v>
      </c>
      <c r="M289" s="4" t="s">
        <v>1035</v>
      </c>
      <c r="N289" s="4" t="s">
        <v>455</v>
      </c>
      <c r="O289" s="4" t="s">
        <v>42</v>
      </c>
      <c r="P289" s="50" t="s">
        <v>440</v>
      </c>
      <c r="Q289" s="50">
        <v>45949103.944959685</v>
      </c>
      <c r="R289" s="50" t="s">
        <v>423</v>
      </c>
      <c r="S289" s="4" t="s">
        <v>43</v>
      </c>
      <c r="T289" s="4" t="s">
        <v>46</v>
      </c>
    </row>
    <row r="290" spans="3:20" hidden="1" x14ac:dyDescent="0.25">
      <c r="C290" s="4" t="s">
        <v>285</v>
      </c>
      <c r="D290" s="4" t="s">
        <v>286</v>
      </c>
      <c r="E290" s="4" t="s">
        <v>287</v>
      </c>
      <c r="F290" s="4" t="s">
        <v>36</v>
      </c>
      <c r="G290" s="4" t="s">
        <v>37</v>
      </c>
      <c r="H290" s="4" t="s">
        <v>38</v>
      </c>
      <c r="I290" s="4" t="s">
        <v>1030</v>
      </c>
      <c r="J290" s="4">
        <v>0</v>
      </c>
      <c r="K290" s="4" t="s">
        <v>51</v>
      </c>
      <c r="L290" s="4" t="s">
        <v>40</v>
      </c>
      <c r="M290" s="4">
        <v>0</v>
      </c>
      <c r="N290" s="4" t="s">
        <v>285</v>
      </c>
      <c r="O290" s="4" t="s">
        <v>42</v>
      </c>
      <c r="P290" s="50" t="s">
        <v>43</v>
      </c>
      <c r="Q290" s="50" t="s">
        <v>36</v>
      </c>
      <c r="R290" s="50">
        <v>0</v>
      </c>
      <c r="S290" s="4" t="s">
        <v>36</v>
      </c>
      <c r="T290" s="4" t="s">
        <v>38</v>
      </c>
    </row>
    <row r="291" spans="3:20" hidden="1" x14ac:dyDescent="0.25">
      <c r="C291" s="4" t="s">
        <v>288</v>
      </c>
      <c r="D291" s="4" t="s">
        <v>289</v>
      </c>
      <c r="E291" s="4" t="s">
        <v>290</v>
      </c>
      <c r="F291" s="4" t="s">
        <v>36</v>
      </c>
      <c r="G291" s="4" t="s">
        <v>37</v>
      </c>
      <c r="H291" s="4" t="s">
        <v>38</v>
      </c>
      <c r="I291" s="4" t="s">
        <v>1030</v>
      </c>
      <c r="J291" s="4">
        <v>0</v>
      </c>
      <c r="K291" s="4" t="s">
        <v>59</v>
      </c>
      <c r="L291" s="4" t="s">
        <v>40</v>
      </c>
      <c r="M291" s="4">
        <v>0</v>
      </c>
      <c r="N291" s="4" t="s">
        <v>288</v>
      </c>
      <c r="O291" s="4" t="s">
        <v>42</v>
      </c>
      <c r="P291" s="50" t="s">
        <v>43</v>
      </c>
      <c r="Q291" s="50" t="s">
        <v>36</v>
      </c>
      <c r="R291" s="50">
        <v>0</v>
      </c>
      <c r="S291" s="4" t="s">
        <v>36</v>
      </c>
      <c r="T291" s="4" t="s">
        <v>38</v>
      </c>
    </row>
    <row r="292" spans="3:20" hidden="1" x14ac:dyDescent="0.25">
      <c r="C292" s="4" t="s">
        <v>291</v>
      </c>
      <c r="D292" s="4" t="s">
        <v>292</v>
      </c>
      <c r="E292" s="4" t="s">
        <v>292</v>
      </c>
      <c r="F292" s="4" t="s">
        <v>36</v>
      </c>
      <c r="G292" s="4" t="s">
        <v>37</v>
      </c>
      <c r="H292" s="4" t="s">
        <v>38</v>
      </c>
      <c r="I292" s="4" t="s">
        <v>1030</v>
      </c>
      <c r="J292" s="4" t="s">
        <v>94</v>
      </c>
      <c r="K292" s="4" t="s">
        <v>51</v>
      </c>
      <c r="L292" s="4" t="s">
        <v>40</v>
      </c>
      <c r="M292" s="4">
        <v>0</v>
      </c>
      <c r="N292" s="4" t="s">
        <v>291</v>
      </c>
      <c r="O292" s="4" t="s">
        <v>42</v>
      </c>
      <c r="P292" s="50" t="s">
        <v>43</v>
      </c>
      <c r="Q292" s="50" t="s">
        <v>36</v>
      </c>
      <c r="R292" s="50">
        <v>0</v>
      </c>
      <c r="S292" s="4" t="s">
        <v>36</v>
      </c>
      <c r="T292" s="4" t="s">
        <v>38</v>
      </c>
    </row>
    <row r="293" spans="3:20" hidden="1" x14ac:dyDescent="0.25">
      <c r="C293" s="4" t="s">
        <v>293</v>
      </c>
      <c r="D293" s="4" t="s">
        <v>294</v>
      </c>
      <c r="E293" s="4" t="s">
        <v>294</v>
      </c>
      <c r="F293" s="4" t="s">
        <v>36</v>
      </c>
      <c r="G293" s="4" t="s">
        <v>37</v>
      </c>
      <c r="H293" s="4" t="s">
        <v>38</v>
      </c>
      <c r="I293" s="4" t="s">
        <v>1030</v>
      </c>
      <c r="J293" s="4" t="s">
        <v>73</v>
      </c>
      <c r="K293" s="4" t="s">
        <v>64</v>
      </c>
      <c r="L293" s="4" t="s">
        <v>40</v>
      </c>
      <c r="M293" s="4">
        <v>0</v>
      </c>
      <c r="N293" s="4" t="s">
        <v>293</v>
      </c>
      <c r="O293" s="4" t="s">
        <v>42</v>
      </c>
      <c r="P293" s="50" t="s">
        <v>43</v>
      </c>
      <c r="Q293" s="50" t="s">
        <v>36</v>
      </c>
      <c r="R293" s="50">
        <v>0</v>
      </c>
      <c r="S293" s="4" t="s">
        <v>36</v>
      </c>
      <c r="T293" s="4" t="s">
        <v>38</v>
      </c>
    </row>
    <row r="294" spans="3:20" hidden="1" x14ac:dyDescent="0.25">
      <c r="C294" s="4" t="s">
        <v>295</v>
      </c>
      <c r="D294" s="4" t="s">
        <v>296</v>
      </c>
      <c r="E294" s="4" t="s">
        <v>297</v>
      </c>
      <c r="F294" s="4" t="s">
        <v>36</v>
      </c>
      <c r="G294" s="4" t="s">
        <v>37</v>
      </c>
      <c r="H294" s="4" t="s">
        <v>38</v>
      </c>
      <c r="I294" s="4" t="s">
        <v>1030</v>
      </c>
      <c r="J294" s="4" t="s">
        <v>94</v>
      </c>
      <c r="K294" s="4" t="s">
        <v>64</v>
      </c>
      <c r="L294" s="4" t="s">
        <v>40</v>
      </c>
      <c r="M294" s="4">
        <v>0</v>
      </c>
      <c r="N294" s="4" t="s">
        <v>295</v>
      </c>
      <c r="O294" s="4" t="s">
        <v>42</v>
      </c>
      <c r="P294" s="50" t="s">
        <v>43</v>
      </c>
      <c r="Q294" s="50" t="s">
        <v>36</v>
      </c>
      <c r="R294" s="50">
        <v>0</v>
      </c>
      <c r="S294" s="4" t="s">
        <v>36</v>
      </c>
      <c r="T294" s="4" t="s">
        <v>38</v>
      </c>
    </row>
    <row r="295" spans="3:20" hidden="1" x14ac:dyDescent="0.25">
      <c r="C295" s="4" t="s">
        <v>298</v>
      </c>
      <c r="D295" s="4" t="s">
        <v>299</v>
      </c>
      <c r="E295" s="4" t="s">
        <v>300</v>
      </c>
      <c r="F295" s="4" t="s">
        <v>36</v>
      </c>
      <c r="G295" s="4" t="s">
        <v>37</v>
      </c>
      <c r="H295" s="4" t="s">
        <v>38</v>
      </c>
      <c r="I295" s="4" t="s">
        <v>1030</v>
      </c>
      <c r="J295" s="4" t="s">
        <v>58</v>
      </c>
      <c r="K295" s="4" t="s">
        <v>59</v>
      </c>
      <c r="L295" s="4" t="s">
        <v>40</v>
      </c>
      <c r="M295" s="4">
        <v>0</v>
      </c>
      <c r="N295" s="4" t="s">
        <v>298</v>
      </c>
      <c r="O295" s="4" t="s">
        <v>42</v>
      </c>
      <c r="P295" s="50" t="s">
        <v>43</v>
      </c>
      <c r="Q295" s="50" t="s">
        <v>36</v>
      </c>
      <c r="R295" s="50">
        <v>0</v>
      </c>
      <c r="S295" s="4" t="s">
        <v>36</v>
      </c>
      <c r="T295" s="4" t="s">
        <v>38</v>
      </c>
    </row>
    <row r="296" spans="3:20" hidden="1" x14ac:dyDescent="0.25">
      <c r="C296" s="4" t="s">
        <v>794</v>
      </c>
      <c r="D296" s="4" t="s">
        <v>795</v>
      </c>
      <c r="E296" s="4" t="s">
        <v>795</v>
      </c>
      <c r="F296" s="4">
        <v>0</v>
      </c>
      <c r="G296" s="4" t="s">
        <v>37</v>
      </c>
      <c r="H296" s="4" t="s">
        <v>46</v>
      </c>
      <c r="I296" s="4" t="s">
        <v>1031</v>
      </c>
      <c r="J296" s="4" t="s">
        <v>89</v>
      </c>
      <c r="K296" s="4" t="s">
        <v>109</v>
      </c>
      <c r="L296" s="4" t="s">
        <v>91</v>
      </c>
      <c r="M296" s="4" t="s">
        <v>378</v>
      </c>
      <c r="N296" s="4" t="s">
        <v>794</v>
      </c>
      <c r="O296" s="4" t="s">
        <v>42</v>
      </c>
      <c r="P296" s="50" t="s">
        <v>43</v>
      </c>
      <c r="Q296" s="50" t="s">
        <v>36</v>
      </c>
      <c r="R296" s="50" t="s">
        <v>772</v>
      </c>
      <c r="S296" s="4" t="s">
        <v>36</v>
      </c>
      <c r="T296" s="4" t="s">
        <v>46</v>
      </c>
    </row>
    <row r="297" spans="3:20" hidden="1" x14ac:dyDescent="0.25">
      <c r="C297" s="4" t="s">
        <v>620</v>
      </c>
      <c r="D297" s="4" t="s">
        <v>622</v>
      </c>
      <c r="E297" s="4" t="s">
        <v>622</v>
      </c>
      <c r="F297" s="4">
        <v>5.04</v>
      </c>
      <c r="G297" s="4" t="s">
        <v>376</v>
      </c>
      <c r="H297" s="4" t="s">
        <v>46</v>
      </c>
      <c r="I297" s="4" t="s">
        <v>1030</v>
      </c>
      <c r="J297" s="4" t="s">
        <v>50</v>
      </c>
      <c r="K297" s="4" t="s">
        <v>59</v>
      </c>
      <c r="L297" s="4" t="s">
        <v>40</v>
      </c>
      <c r="M297" s="4" t="s">
        <v>514</v>
      </c>
      <c r="N297" s="4" t="s">
        <v>620</v>
      </c>
      <c r="O297" s="4" t="s">
        <v>42</v>
      </c>
      <c r="P297" s="50" t="s">
        <v>43</v>
      </c>
      <c r="Q297" s="50">
        <v>36058936.801244996</v>
      </c>
      <c r="R297" s="50" t="s">
        <v>597</v>
      </c>
      <c r="S297" s="4" t="s">
        <v>43</v>
      </c>
      <c r="T297" s="4" t="s">
        <v>46</v>
      </c>
    </row>
    <row r="298" spans="3:20" hidden="1" x14ac:dyDescent="0.25">
      <c r="C298" s="4" t="s">
        <v>733</v>
      </c>
      <c r="D298" s="4" t="s">
        <v>734</v>
      </c>
      <c r="E298" s="4" t="s">
        <v>735</v>
      </c>
      <c r="F298" s="4">
        <v>6</v>
      </c>
      <c r="G298" s="4" t="s">
        <v>376</v>
      </c>
      <c r="H298" s="4" t="s">
        <v>46</v>
      </c>
      <c r="I298" s="4" t="s">
        <v>1031</v>
      </c>
      <c r="J298" s="4" t="s">
        <v>84</v>
      </c>
      <c r="K298" s="4" t="s">
        <v>54</v>
      </c>
      <c r="L298" s="4" t="s">
        <v>55</v>
      </c>
      <c r="M298" s="4" t="s">
        <v>378</v>
      </c>
      <c r="N298" s="4" t="s">
        <v>733</v>
      </c>
      <c r="O298" s="4" t="s">
        <v>42</v>
      </c>
      <c r="P298" s="50" t="s">
        <v>43</v>
      </c>
      <c r="Q298" s="50">
        <v>63391139.742829196</v>
      </c>
      <c r="R298" s="50" t="s">
        <v>702</v>
      </c>
      <c r="S298" s="4" t="s">
        <v>43</v>
      </c>
      <c r="T298" s="4" t="s">
        <v>46</v>
      </c>
    </row>
    <row r="299" spans="3:20" hidden="1" x14ac:dyDescent="0.25">
      <c r="C299" s="4" t="s">
        <v>301</v>
      </c>
      <c r="D299" s="4" t="s">
        <v>302</v>
      </c>
      <c r="E299" s="4" t="s">
        <v>303</v>
      </c>
      <c r="F299" s="4" t="s">
        <v>36</v>
      </c>
      <c r="G299" s="4" t="s">
        <v>37</v>
      </c>
      <c r="H299" s="4" t="s">
        <v>38</v>
      </c>
      <c r="I299" s="4" t="s">
        <v>1030</v>
      </c>
      <c r="J299" s="4" t="s">
        <v>132</v>
      </c>
      <c r="K299" s="4" t="s">
        <v>133</v>
      </c>
      <c r="L299" s="4" t="s">
        <v>40</v>
      </c>
      <c r="M299" s="4">
        <v>0</v>
      </c>
      <c r="N299" s="4" t="s">
        <v>301</v>
      </c>
      <c r="O299" s="4" t="s">
        <v>42</v>
      </c>
      <c r="P299" s="50" t="s">
        <v>43</v>
      </c>
      <c r="Q299" s="50" t="s">
        <v>36</v>
      </c>
      <c r="R299" s="50">
        <v>0</v>
      </c>
      <c r="S299" s="4" t="s">
        <v>36</v>
      </c>
      <c r="T299" s="4" t="s">
        <v>38</v>
      </c>
    </row>
    <row r="300" spans="3:20" hidden="1" x14ac:dyDescent="0.25">
      <c r="C300" s="4" t="s">
        <v>505</v>
      </c>
      <c r="D300" s="4" t="s">
        <v>506</v>
      </c>
      <c r="E300" s="4" t="s">
        <v>506</v>
      </c>
      <c r="F300" s="4">
        <v>5</v>
      </c>
      <c r="G300" s="4" t="s">
        <v>376</v>
      </c>
      <c r="H300" s="4" t="s">
        <v>46</v>
      </c>
      <c r="I300" s="4" t="s">
        <v>1030</v>
      </c>
      <c r="J300" s="4" t="s">
        <v>466</v>
      </c>
      <c r="K300" s="4" t="s">
        <v>51</v>
      </c>
      <c r="L300" s="4" t="s">
        <v>40</v>
      </c>
      <c r="M300" s="4" t="s">
        <v>1035</v>
      </c>
      <c r="N300" s="4" t="s">
        <v>505</v>
      </c>
      <c r="O300" s="4" t="s">
        <v>42</v>
      </c>
      <c r="P300" s="50" t="s">
        <v>43</v>
      </c>
      <c r="Q300" s="50">
        <v>36101155.951210409</v>
      </c>
      <c r="R300" s="50" t="s">
        <v>467</v>
      </c>
      <c r="S300" s="4" t="s">
        <v>43</v>
      </c>
      <c r="T300" s="4" t="s">
        <v>46</v>
      </c>
    </row>
    <row r="301" spans="3:20" hidden="1" x14ac:dyDescent="0.25">
      <c r="C301" s="4" t="s">
        <v>304</v>
      </c>
      <c r="D301" s="4" t="s">
        <v>305</v>
      </c>
      <c r="E301" s="4" t="s">
        <v>305</v>
      </c>
      <c r="F301" s="4" t="s">
        <v>36</v>
      </c>
      <c r="G301" s="4" t="s">
        <v>37</v>
      </c>
      <c r="H301" s="4" t="s">
        <v>81</v>
      </c>
      <c r="I301" s="4" t="s">
        <v>1030</v>
      </c>
      <c r="J301" s="4" t="s">
        <v>132</v>
      </c>
      <c r="K301" s="4" t="s">
        <v>51</v>
      </c>
      <c r="L301" s="4" t="s">
        <v>40</v>
      </c>
      <c r="M301" s="4">
        <v>0</v>
      </c>
      <c r="N301" s="4" t="s">
        <v>304</v>
      </c>
      <c r="O301" s="4" t="s">
        <v>42</v>
      </c>
      <c r="P301" s="50" t="s">
        <v>43</v>
      </c>
      <c r="Q301" s="50" t="s">
        <v>36</v>
      </c>
      <c r="R301" s="50">
        <v>0</v>
      </c>
      <c r="S301" s="4" t="s">
        <v>36</v>
      </c>
      <c r="T301" s="4" t="s">
        <v>81</v>
      </c>
    </row>
    <row r="302" spans="3:20" hidden="1" x14ac:dyDescent="0.25">
      <c r="C302" s="4" t="s">
        <v>306</v>
      </c>
      <c r="D302" s="4" t="s">
        <v>307</v>
      </c>
      <c r="E302" s="4" t="s">
        <v>307</v>
      </c>
      <c r="F302" s="4" t="s">
        <v>36</v>
      </c>
      <c r="G302" s="4" t="s">
        <v>37</v>
      </c>
      <c r="H302" s="4" t="s">
        <v>46</v>
      </c>
      <c r="I302" s="4" t="s">
        <v>1030</v>
      </c>
      <c r="J302" s="4">
        <v>0</v>
      </c>
      <c r="K302" s="4" t="s">
        <v>138</v>
      </c>
      <c r="L302" s="4" t="s">
        <v>40</v>
      </c>
      <c r="M302" s="4">
        <v>0</v>
      </c>
      <c r="N302" s="4" t="s">
        <v>306</v>
      </c>
      <c r="O302" s="4" t="s">
        <v>42</v>
      </c>
      <c r="P302" s="50" t="s">
        <v>43</v>
      </c>
      <c r="Q302" s="50" t="s">
        <v>36</v>
      </c>
      <c r="R302" s="50">
        <v>0</v>
      </c>
      <c r="S302" s="4" t="s">
        <v>36</v>
      </c>
      <c r="T302" s="4" t="s">
        <v>46</v>
      </c>
    </row>
    <row r="303" spans="3:20" hidden="1" x14ac:dyDescent="0.25">
      <c r="C303" s="4" t="s">
        <v>308</v>
      </c>
      <c r="D303" s="4" t="s">
        <v>309</v>
      </c>
      <c r="E303" s="4" t="s">
        <v>309</v>
      </c>
      <c r="F303" s="4" t="s">
        <v>36</v>
      </c>
      <c r="G303" s="4" t="s">
        <v>37</v>
      </c>
      <c r="H303" s="4" t="s">
        <v>46</v>
      </c>
      <c r="I303" s="4" t="s">
        <v>1030</v>
      </c>
      <c r="J303" s="4">
        <v>0</v>
      </c>
      <c r="K303" s="4" t="s">
        <v>279</v>
      </c>
      <c r="L303" s="4" t="s">
        <v>55</v>
      </c>
      <c r="M303" s="4">
        <v>0</v>
      </c>
      <c r="N303" s="4" t="s">
        <v>308</v>
      </c>
      <c r="O303" s="4" t="s">
        <v>42</v>
      </c>
      <c r="P303" s="50" t="s">
        <v>43</v>
      </c>
      <c r="Q303" s="50" t="s">
        <v>36</v>
      </c>
      <c r="R303" s="50">
        <v>0</v>
      </c>
      <c r="S303" s="4" t="s">
        <v>36</v>
      </c>
      <c r="T303" s="4" t="s">
        <v>46</v>
      </c>
    </row>
    <row r="304" spans="3:20" hidden="1" x14ac:dyDescent="0.25">
      <c r="C304" s="4" t="s">
        <v>310</v>
      </c>
      <c r="D304" s="4" t="s">
        <v>311</v>
      </c>
      <c r="E304" s="4" t="s">
        <v>312</v>
      </c>
      <c r="F304" s="4" t="s">
        <v>36</v>
      </c>
      <c r="G304" s="4" t="s">
        <v>37</v>
      </c>
      <c r="H304" s="4" t="s">
        <v>81</v>
      </c>
      <c r="I304" s="4" t="s">
        <v>1030</v>
      </c>
      <c r="J304" s="4" t="s">
        <v>160</v>
      </c>
      <c r="K304" s="4" t="s">
        <v>64</v>
      </c>
      <c r="L304" s="4" t="s">
        <v>40</v>
      </c>
      <c r="M304" s="4">
        <v>0</v>
      </c>
      <c r="N304" s="4" t="s">
        <v>310</v>
      </c>
      <c r="O304" s="4" t="s">
        <v>42</v>
      </c>
      <c r="P304" s="50" t="s">
        <v>43</v>
      </c>
      <c r="Q304" s="50" t="s">
        <v>36</v>
      </c>
      <c r="R304" s="50">
        <v>0</v>
      </c>
      <c r="S304" s="4" t="s">
        <v>36</v>
      </c>
      <c r="T304" s="4" t="s">
        <v>81</v>
      </c>
    </row>
    <row r="305" spans="3:20" hidden="1" x14ac:dyDescent="0.25">
      <c r="C305" s="4" t="s">
        <v>968</v>
      </c>
      <c r="D305" s="4" t="s">
        <v>969</v>
      </c>
      <c r="E305" s="4" t="s">
        <v>969</v>
      </c>
      <c r="F305" s="4">
        <v>5</v>
      </c>
      <c r="G305" s="4" t="s">
        <v>376</v>
      </c>
      <c r="H305" s="4" t="s">
        <v>46</v>
      </c>
      <c r="I305" s="4" t="s">
        <v>1030</v>
      </c>
      <c r="J305" s="4" t="s">
        <v>160</v>
      </c>
      <c r="K305" s="4" t="s">
        <v>39</v>
      </c>
      <c r="L305" s="4" t="s">
        <v>40</v>
      </c>
      <c r="M305" s="4" t="s">
        <v>984</v>
      </c>
      <c r="N305" s="4" t="s">
        <v>968</v>
      </c>
      <c r="O305" s="4" t="s">
        <v>42</v>
      </c>
      <c r="P305" s="50" t="s">
        <v>440</v>
      </c>
      <c r="Q305" s="50">
        <v>30401971.241418313</v>
      </c>
      <c r="R305" s="50" t="s">
        <v>931</v>
      </c>
      <c r="S305" s="4" t="s">
        <v>43</v>
      </c>
      <c r="T305" s="4" t="s">
        <v>46</v>
      </c>
    </row>
    <row r="306" spans="3:20" hidden="1" x14ac:dyDescent="0.25">
      <c r="C306" s="4" t="s">
        <v>313</v>
      </c>
      <c r="D306" s="4" t="s">
        <v>314</v>
      </c>
      <c r="E306" s="4" t="s">
        <v>314</v>
      </c>
      <c r="F306" s="4" t="s">
        <v>36</v>
      </c>
      <c r="G306" s="4" t="s">
        <v>37</v>
      </c>
      <c r="H306" s="4" t="s">
        <v>81</v>
      </c>
      <c r="I306" s="4" t="s">
        <v>1030</v>
      </c>
      <c r="J306" s="4">
        <v>0</v>
      </c>
      <c r="K306" s="4" t="s">
        <v>315</v>
      </c>
      <c r="L306" s="4" t="s">
        <v>40</v>
      </c>
      <c r="M306" s="4">
        <v>0</v>
      </c>
      <c r="N306" s="4" t="s">
        <v>313</v>
      </c>
      <c r="O306" s="4" t="s">
        <v>42</v>
      </c>
      <c r="P306" s="50" t="s">
        <v>43</v>
      </c>
      <c r="Q306" s="50" t="s">
        <v>36</v>
      </c>
      <c r="R306" s="50">
        <v>0</v>
      </c>
      <c r="S306" s="4" t="s">
        <v>36</v>
      </c>
      <c r="T306" s="4" t="s">
        <v>81</v>
      </c>
    </row>
    <row r="307" spans="3:20" hidden="1" x14ac:dyDescent="0.25">
      <c r="C307" s="4" t="s">
        <v>823</v>
      </c>
      <c r="D307" s="4" t="s">
        <v>824</v>
      </c>
      <c r="E307" s="4" t="s">
        <v>824</v>
      </c>
      <c r="F307" s="4">
        <v>5</v>
      </c>
      <c r="G307" s="4" t="s">
        <v>376</v>
      </c>
      <c r="H307" s="4" t="s">
        <v>46</v>
      </c>
      <c r="I307" s="4" t="s">
        <v>1030</v>
      </c>
      <c r="J307" s="4" t="s">
        <v>146</v>
      </c>
      <c r="K307" s="4" t="s">
        <v>59</v>
      </c>
      <c r="L307" s="4" t="s">
        <v>40</v>
      </c>
      <c r="M307" s="4" t="s">
        <v>1035</v>
      </c>
      <c r="N307" s="4" t="s">
        <v>823</v>
      </c>
      <c r="O307" s="4" t="s">
        <v>42</v>
      </c>
      <c r="P307" s="50" t="s">
        <v>43</v>
      </c>
      <c r="Q307" s="50">
        <v>37382366.273336999</v>
      </c>
      <c r="R307" s="50" t="s">
        <v>799</v>
      </c>
      <c r="S307" s="4" t="s">
        <v>43</v>
      </c>
      <c r="T307" s="4" t="s">
        <v>46</v>
      </c>
    </row>
    <row r="308" spans="3:20" hidden="1" x14ac:dyDescent="0.25">
      <c r="C308" s="4" t="s">
        <v>316</v>
      </c>
      <c r="D308" s="4" t="s">
        <v>317</v>
      </c>
      <c r="E308" s="4" t="s">
        <v>318</v>
      </c>
      <c r="F308" s="4" t="s">
        <v>36</v>
      </c>
      <c r="G308" s="4" t="s">
        <v>37</v>
      </c>
      <c r="H308" s="4" t="s">
        <v>81</v>
      </c>
      <c r="I308" s="4" t="s">
        <v>1030</v>
      </c>
      <c r="J308" s="4" t="s">
        <v>67</v>
      </c>
      <c r="K308" s="4" t="s">
        <v>59</v>
      </c>
      <c r="L308" s="4" t="s">
        <v>40</v>
      </c>
      <c r="M308" s="4">
        <v>0</v>
      </c>
      <c r="N308" s="4" t="s">
        <v>316</v>
      </c>
      <c r="O308" s="4" t="s">
        <v>42</v>
      </c>
      <c r="P308" s="50" t="s">
        <v>43</v>
      </c>
      <c r="Q308" s="50" t="s">
        <v>36</v>
      </c>
      <c r="R308" s="50">
        <v>0</v>
      </c>
      <c r="S308" s="4" t="s">
        <v>36</v>
      </c>
      <c r="T308" s="4" t="s">
        <v>81</v>
      </c>
    </row>
    <row r="309" spans="3:20" hidden="1" x14ac:dyDescent="0.25">
      <c r="C309" s="4" t="s">
        <v>319</v>
      </c>
      <c r="D309" s="4" t="s">
        <v>320</v>
      </c>
      <c r="E309" s="4" t="s">
        <v>320</v>
      </c>
      <c r="F309" s="4" t="s">
        <v>36</v>
      </c>
      <c r="G309" s="4" t="s">
        <v>37</v>
      </c>
      <c r="H309" s="4" t="s">
        <v>46</v>
      </c>
      <c r="I309" s="4" t="s">
        <v>1030</v>
      </c>
      <c r="J309" s="4">
        <v>0</v>
      </c>
      <c r="K309" s="4" t="s">
        <v>97</v>
      </c>
      <c r="L309" s="4" t="s">
        <v>40</v>
      </c>
      <c r="M309" s="4">
        <v>0</v>
      </c>
      <c r="N309" s="4" t="s">
        <v>319</v>
      </c>
      <c r="O309" s="4" t="s">
        <v>42</v>
      </c>
      <c r="P309" s="50" t="s">
        <v>43</v>
      </c>
      <c r="Q309" s="50" t="s">
        <v>36</v>
      </c>
      <c r="R309" s="50">
        <v>0</v>
      </c>
      <c r="S309" s="4" t="s">
        <v>36</v>
      </c>
      <c r="T309" s="4" t="s">
        <v>46</v>
      </c>
    </row>
    <row r="310" spans="3:20" hidden="1" x14ac:dyDescent="0.25">
      <c r="C310" s="4" t="s">
        <v>321</v>
      </c>
      <c r="D310" s="4" t="s">
        <v>322</v>
      </c>
      <c r="E310" s="4" t="s">
        <v>322</v>
      </c>
      <c r="F310" s="4" t="s">
        <v>36</v>
      </c>
      <c r="G310" s="4" t="s">
        <v>37</v>
      </c>
      <c r="H310" s="4" t="s">
        <v>81</v>
      </c>
      <c r="I310" s="4" t="s">
        <v>1030</v>
      </c>
      <c r="J310" s="4" t="s">
        <v>50</v>
      </c>
      <c r="K310" s="4" t="s">
        <v>51</v>
      </c>
      <c r="L310" s="4" t="s">
        <v>40</v>
      </c>
      <c r="M310" s="4">
        <v>0</v>
      </c>
      <c r="N310" s="4" t="s">
        <v>321</v>
      </c>
      <c r="O310" s="4" t="s">
        <v>42</v>
      </c>
      <c r="P310" s="50" t="s">
        <v>43</v>
      </c>
      <c r="Q310" s="50" t="s">
        <v>36</v>
      </c>
      <c r="R310" s="50">
        <v>0</v>
      </c>
      <c r="S310" s="4" t="s">
        <v>36</v>
      </c>
      <c r="T310" s="4" t="s">
        <v>81</v>
      </c>
    </row>
    <row r="311" spans="3:20" hidden="1" x14ac:dyDescent="0.25">
      <c r="C311" s="4" t="s">
        <v>457</v>
      </c>
      <c r="D311" s="4" t="s">
        <v>458</v>
      </c>
      <c r="E311" s="4" t="s">
        <v>458</v>
      </c>
      <c r="F311" s="4">
        <v>5</v>
      </c>
      <c r="G311" s="4" t="s">
        <v>376</v>
      </c>
      <c r="H311" s="4" t="s">
        <v>81</v>
      </c>
      <c r="I311" s="4" t="s">
        <v>1030</v>
      </c>
      <c r="J311" s="4" t="s">
        <v>94</v>
      </c>
      <c r="K311" s="4" t="s">
        <v>205</v>
      </c>
      <c r="L311" s="4" t="s">
        <v>40</v>
      </c>
      <c r="M311" s="4" t="s">
        <v>1035</v>
      </c>
      <c r="N311" s="4" t="s">
        <v>457</v>
      </c>
      <c r="O311" s="4" t="s">
        <v>42</v>
      </c>
      <c r="P311" s="50" t="s">
        <v>43</v>
      </c>
      <c r="Q311" s="50">
        <v>50653228.27036716</v>
      </c>
      <c r="R311" s="50" t="s">
        <v>423</v>
      </c>
      <c r="S311" s="4" t="s">
        <v>440</v>
      </c>
      <c r="T311" s="4" t="s">
        <v>81</v>
      </c>
    </row>
    <row r="312" spans="3:20" hidden="1" x14ac:dyDescent="0.25">
      <c r="C312" s="4" t="s">
        <v>323</v>
      </c>
      <c r="D312" s="4" t="s">
        <v>324</v>
      </c>
      <c r="E312" s="4" t="s">
        <v>324</v>
      </c>
      <c r="F312" s="4" t="s">
        <v>36</v>
      </c>
      <c r="G312" s="4" t="s">
        <v>37</v>
      </c>
      <c r="H312" s="4" t="s">
        <v>46</v>
      </c>
      <c r="I312" s="4" t="s">
        <v>1030</v>
      </c>
      <c r="J312" s="4" t="s">
        <v>58</v>
      </c>
      <c r="K312" s="4" t="s">
        <v>138</v>
      </c>
      <c r="L312" s="4" t="s">
        <v>40</v>
      </c>
      <c r="M312" s="4">
        <v>0</v>
      </c>
      <c r="N312" s="4" t="s">
        <v>323</v>
      </c>
      <c r="O312" s="4" t="s">
        <v>42</v>
      </c>
      <c r="P312" s="50" t="s">
        <v>43</v>
      </c>
      <c r="Q312" s="50" t="s">
        <v>36</v>
      </c>
      <c r="R312" s="50">
        <v>0</v>
      </c>
      <c r="S312" s="4" t="s">
        <v>36</v>
      </c>
      <c r="T312" s="4" t="s">
        <v>46</v>
      </c>
    </row>
    <row r="313" spans="3:20" hidden="1" x14ac:dyDescent="0.25">
      <c r="C313" s="4" t="s">
        <v>325</v>
      </c>
      <c r="D313" s="4" t="s">
        <v>326</v>
      </c>
      <c r="E313" s="4" t="s">
        <v>326</v>
      </c>
      <c r="F313" s="4" t="s">
        <v>36</v>
      </c>
      <c r="G313" s="4" t="s">
        <v>37</v>
      </c>
      <c r="H313" s="4" t="s">
        <v>46</v>
      </c>
      <c r="I313" s="4" t="s">
        <v>1030</v>
      </c>
      <c r="J313" s="4" t="s">
        <v>67</v>
      </c>
      <c r="K313" s="4" t="s">
        <v>59</v>
      </c>
      <c r="L313" s="4" t="s">
        <v>40</v>
      </c>
      <c r="M313" s="4">
        <v>0</v>
      </c>
      <c r="N313" s="4" t="s">
        <v>325</v>
      </c>
      <c r="O313" s="4" t="s">
        <v>42</v>
      </c>
      <c r="P313" s="50" t="s">
        <v>43</v>
      </c>
      <c r="Q313" s="50" t="s">
        <v>36</v>
      </c>
      <c r="R313" s="50">
        <v>0</v>
      </c>
      <c r="S313" s="4" t="s">
        <v>36</v>
      </c>
      <c r="T313" s="4" t="s">
        <v>46</v>
      </c>
    </row>
    <row r="314" spans="3:20" hidden="1" x14ac:dyDescent="0.25">
      <c r="C314" s="4" t="s">
        <v>459</v>
      </c>
      <c r="D314" s="4" t="s">
        <v>460</v>
      </c>
      <c r="E314" s="4" t="s">
        <v>460</v>
      </c>
      <c r="F314" s="4">
        <v>5</v>
      </c>
      <c r="G314" s="4" t="s">
        <v>376</v>
      </c>
      <c r="H314" s="4" t="s">
        <v>46</v>
      </c>
      <c r="I314" s="4" t="s">
        <v>1030</v>
      </c>
      <c r="J314" s="4" t="s">
        <v>94</v>
      </c>
      <c r="K314" s="4" t="s">
        <v>64</v>
      </c>
      <c r="L314" s="4" t="s">
        <v>40</v>
      </c>
      <c r="M314" s="4" t="s">
        <v>1035</v>
      </c>
      <c r="N314" s="4" t="s">
        <v>459</v>
      </c>
      <c r="O314" s="4" t="s">
        <v>42</v>
      </c>
      <c r="P314" s="50" t="s">
        <v>43</v>
      </c>
      <c r="Q314" s="50">
        <v>43603136.413714305</v>
      </c>
      <c r="R314" s="50" t="s">
        <v>423</v>
      </c>
      <c r="S314" s="4" t="s">
        <v>43</v>
      </c>
      <c r="T314" s="4" t="s">
        <v>46</v>
      </c>
    </row>
    <row r="315" spans="3:20" hidden="1" x14ac:dyDescent="0.25">
      <c r="C315" s="4" t="s">
        <v>919</v>
      </c>
      <c r="D315" s="4" t="s">
        <v>920</v>
      </c>
      <c r="E315" s="4" t="s">
        <v>920</v>
      </c>
      <c r="F315" s="4">
        <v>5</v>
      </c>
      <c r="G315" s="4" t="s">
        <v>376</v>
      </c>
      <c r="H315" s="4" t="s">
        <v>81</v>
      </c>
      <c r="I315" s="4" t="s">
        <v>1030</v>
      </c>
      <c r="J315" s="4" t="s">
        <v>73</v>
      </c>
      <c r="K315" s="4" t="s">
        <v>315</v>
      </c>
      <c r="L315" s="4" t="s">
        <v>40</v>
      </c>
      <c r="M315" s="4" t="s">
        <v>514</v>
      </c>
      <c r="N315" s="4" t="s">
        <v>919</v>
      </c>
      <c r="O315" s="4" t="s">
        <v>42</v>
      </c>
      <c r="P315" s="50" t="s">
        <v>43</v>
      </c>
      <c r="Q315" s="50">
        <v>28819268.935949974</v>
      </c>
      <c r="R315" s="50" t="s">
        <v>886</v>
      </c>
      <c r="S315" s="4" t="s">
        <v>43</v>
      </c>
      <c r="T315" s="4" t="s">
        <v>81</v>
      </c>
    </row>
    <row r="316" spans="3:20" hidden="1" x14ac:dyDescent="0.25">
      <c r="C316" s="4" t="s">
        <v>610</v>
      </c>
      <c r="D316" s="4" t="s">
        <v>611</v>
      </c>
      <c r="E316" s="4" t="s">
        <v>611</v>
      </c>
      <c r="F316" s="4">
        <v>5</v>
      </c>
      <c r="G316" s="4" t="s">
        <v>376</v>
      </c>
      <c r="H316" s="4" t="s">
        <v>81</v>
      </c>
      <c r="I316" s="4" t="s">
        <v>1030</v>
      </c>
      <c r="J316" s="4" t="s">
        <v>50</v>
      </c>
      <c r="K316" s="4" t="s">
        <v>59</v>
      </c>
      <c r="L316" s="4" t="s">
        <v>40</v>
      </c>
      <c r="M316" s="4" t="s">
        <v>514</v>
      </c>
      <c r="N316" s="4" t="s">
        <v>610</v>
      </c>
      <c r="O316" s="4" t="s">
        <v>42</v>
      </c>
      <c r="P316" s="50" t="s">
        <v>43</v>
      </c>
      <c r="Q316" s="50">
        <v>35471499.312201388</v>
      </c>
      <c r="R316" s="50" t="s">
        <v>597</v>
      </c>
      <c r="S316" s="4" t="s">
        <v>43</v>
      </c>
      <c r="T316" s="4" t="s">
        <v>81</v>
      </c>
    </row>
    <row r="317" spans="3:20" hidden="1" x14ac:dyDescent="0.25">
      <c r="C317" s="4" t="s">
        <v>461</v>
      </c>
      <c r="D317" s="4" t="s">
        <v>462</v>
      </c>
      <c r="E317" s="4" t="s">
        <v>462</v>
      </c>
      <c r="F317" s="4">
        <v>5</v>
      </c>
      <c r="G317" s="4" t="s">
        <v>376</v>
      </c>
      <c r="H317" s="4" t="s">
        <v>46</v>
      </c>
      <c r="I317" s="4" t="s">
        <v>1030</v>
      </c>
      <c r="J317" s="4" t="s">
        <v>94</v>
      </c>
      <c r="K317" s="4" t="s">
        <v>64</v>
      </c>
      <c r="L317" s="4" t="s">
        <v>40</v>
      </c>
      <c r="M317" s="4" t="s">
        <v>1035</v>
      </c>
      <c r="N317" s="4" t="s">
        <v>461</v>
      </c>
      <c r="O317" s="4" t="s">
        <v>42</v>
      </c>
      <c r="P317" s="50" t="s">
        <v>440</v>
      </c>
      <c r="Q317" s="50">
        <v>32825747.217289697</v>
      </c>
      <c r="R317" s="50" t="s">
        <v>423</v>
      </c>
      <c r="S317" s="4" t="s">
        <v>43</v>
      </c>
      <c r="T317" s="4" t="s">
        <v>46</v>
      </c>
    </row>
    <row r="318" spans="3:20" hidden="1" x14ac:dyDescent="0.25">
      <c r="C318" s="4" t="s">
        <v>639</v>
      </c>
      <c r="D318" s="4" t="s">
        <v>640</v>
      </c>
      <c r="E318" s="4" t="s">
        <v>641</v>
      </c>
      <c r="F318" s="4">
        <v>5</v>
      </c>
      <c r="G318" s="4" t="s">
        <v>376</v>
      </c>
      <c r="H318" s="4" t="s">
        <v>81</v>
      </c>
      <c r="I318" s="4" t="s">
        <v>1030</v>
      </c>
      <c r="J318" s="4" t="s">
        <v>50</v>
      </c>
      <c r="K318" s="4" t="s">
        <v>64</v>
      </c>
      <c r="L318" s="4" t="s">
        <v>40</v>
      </c>
      <c r="M318" s="4" t="s">
        <v>514</v>
      </c>
      <c r="N318" s="4" t="s">
        <v>639</v>
      </c>
      <c r="O318" s="4" t="s">
        <v>42</v>
      </c>
      <c r="P318" s="50" t="s">
        <v>43</v>
      </c>
      <c r="Q318" s="50">
        <v>50152384.181898005</v>
      </c>
      <c r="R318" s="50" t="s">
        <v>597</v>
      </c>
      <c r="S318" s="4" t="s">
        <v>440</v>
      </c>
      <c r="T318" s="4" t="s">
        <v>81</v>
      </c>
    </row>
    <row r="319" spans="3:20" hidden="1" x14ac:dyDescent="0.25">
      <c r="C319" s="4" t="s">
        <v>327</v>
      </c>
      <c r="D319" s="4" t="s">
        <v>328</v>
      </c>
      <c r="E319" s="4" t="s">
        <v>328</v>
      </c>
      <c r="F319" s="4" t="s">
        <v>36</v>
      </c>
      <c r="G319" s="4" t="s">
        <v>37</v>
      </c>
      <c r="H319" s="4" t="s">
        <v>81</v>
      </c>
      <c r="I319" s="4" t="s">
        <v>1030</v>
      </c>
      <c r="J319" s="4" t="s">
        <v>63</v>
      </c>
      <c r="K319" s="4" t="s">
        <v>138</v>
      </c>
      <c r="L319" s="4" t="s">
        <v>40</v>
      </c>
      <c r="M319" s="4">
        <v>0</v>
      </c>
      <c r="N319" s="4" t="s">
        <v>327</v>
      </c>
      <c r="O319" s="4" t="s">
        <v>42</v>
      </c>
      <c r="P319" s="50" t="s">
        <v>43</v>
      </c>
      <c r="Q319" s="50" t="s">
        <v>36</v>
      </c>
      <c r="R319" s="50">
        <v>0</v>
      </c>
      <c r="S319" s="4" t="s">
        <v>36</v>
      </c>
      <c r="T319" s="4" t="s">
        <v>81</v>
      </c>
    </row>
    <row r="320" spans="3:20" hidden="1" x14ac:dyDescent="0.25">
      <c r="C320" s="4" t="s">
        <v>329</v>
      </c>
      <c r="D320" s="4" t="s">
        <v>330</v>
      </c>
      <c r="E320" s="4" t="s">
        <v>330</v>
      </c>
      <c r="F320" s="4" t="s">
        <v>36</v>
      </c>
      <c r="G320" s="4" t="s">
        <v>37</v>
      </c>
      <c r="H320" s="4" t="s">
        <v>46</v>
      </c>
      <c r="I320" s="4" t="s">
        <v>1030</v>
      </c>
      <c r="J320" s="4" t="s">
        <v>331</v>
      </c>
      <c r="K320" s="4" t="s">
        <v>138</v>
      </c>
      <c r="L320" s="4" t="s">
        <v>40</v>
      </c>
      <c r="M320" s="4">
        <v>0</v>
      </c>
      <c r="N320" s="4" t="s">
        <v>329</v>
      </c>
      <c r="O320" s="4" t="s">
        <v>42</v>
      </c>
      <c r="P320" s="50" t="s">
        <v>43</v>
      </c>
      <c r="Q320" s="50" t="s">
        <v>36</v>
      </c>
      <c r="R320" s="50">
        <v>0</v>
      </c>
      <c r="S320" s="4" t="s">
        <v>36</v>
      </c>
      <c r="T320" s="4" t="s">
        <v>46</v>
      </c>
    </row>
    <row r="321" spans="3:20" hidden="1" x14ac:dyDescent="0.25">
      <c r="C321" s="4" t="s">
        <v>332</v>
      </c>
      <c r="D321" s="4" t="s">
        <v>333</v>
      </c>
      <c r="E321" s="4" t="s">
        <v>333</v>
      </c>
      <c r="F321" s="4" t="s">
        <v>36</v>
      </c>
      <c r="G321" s="4" t="s">
        <v>37</v>
      </c>
      <c r="H321" s="4" t="s">
        <v>81</v>
      </c>
      <c r="I321" s="4" t="s">
        <v>1030</v>
      </c>
      <c r="J321" s="4">
        <v>0</v>
      </c>
      <c r="K321" s="4" t="s">
        <v>59</v>
      </c>
      <c r="L321" s="4" t="s">
        <v>40</v>
      </c>
      <c r="M321" s="4">
        <v>0</v>
      </c>
      <c r="N321" s="4" t="s">
        <v>332</v>
      </c>
      <c r="O321" s="4" t="s">
        <v>42</v>
      </c>
      <c r="P321" s="50" t="s">
        <v>43</v>
      </c>
      <c r="Q321" s="50" t="s">
        <v>36</v>
      </c>
      <c r="R321" s="50">
        <v>0</v>
      </c>
      <c r="S321" s="4" t="s">
        <v>36</v>
      </c>
      <c r="T321" s="4" t="s">
        <v>81</v>
      </c>
    </row>
    <row r="322" spans="3:20" hidden="1" x14ac:dyDescent="0.25">
      <c r="C322" s="4" t="s">
        <v>334</v>
      </c>
      <c r="D322" s="4" t="s">
        <v>335</v>
      </c>
      <c r="E322" s="4" t="s">
        <v>336</v>
      </c>
      <c r="F322" s="4" t="s">
        <v>36</v>
      </c>
      <c r="G322" s="4" t="s">
        <v>37</v>
      </c>
      <c r="H322" s="4" t="s">
        <v>46</v>
      </c>
      <c r="I322" s="4" t="s">
        <v>1030</v>
      </c>
      <c r="J322" s="4">
        <v>0</v>
      </c>
      <c r="K322" s="4" t="s">
        <v>47</v>
      </c>
      <c r="L322" s="4" t="s">
        <v>40</v>
      </c>
      <c r="M322" s="4">
        <v>0</v>
      </c>
      <c r="N322" s="4" t="s">
        <v>334</v>
      </c>
      <c r="O322" s="4" t="s">
        <v>42</v>
      </c>
      <c r="P322" s="50" t="s">
        <v>43</v>
      </c>
      <c r="Q322" s="50" t="s">
        <v>36</v>
      </c>
      <c r="R322" s="50">
        <v>0</v>
      </c>
      <c r="S322" s="4" t="s">
        <v>36</v>
      </c>
      <c r="T322" s="4" t="s">
        <v>46</v>
      </c>
    </row>
    <row r="323" spans="3:20" hidden="1" x14ac:dyDescent="0.25">
      <c r="C323" s="4" t="s">
        <v>507</v>
      </c>
      <c r="D323" s="4" t="s">
        <v>508</v>
      </c>
      <c r="E323" s="4" t="s">
        <v>508</v>
      </c>
      <c r="F323" s="4">
        <v>5</v>
      </c>
      <c r="G323" s="4" t="s">
        <v>376</v>
      </c>
      <c r="H323" s="4" t="s">
        <v>46</v>
      </c>
      <c r="I323" s="4" t="s">
        <v>1030</v>
      </c>
      <c r="J323" s="4" t="s">
        <v>466</v>
      </c>
      <c r="K323" s="4" t="s">
        <v>51</v>
      </c>
      <c r="L323" s="4" t="s">
        <v>40</v>
      </c>
      <c r="M323" s="4" t="s">
        <v>1035</v>
      </c>
      <c r="N323" s="4" t="s">
        <v>507</v>
      </c>
      <c r="O323" s="4" t="s">
        <v>42</v>
      </c>
      <c r="P323" s="50" t="s">
        <v>43</v>
      </c>
      <c r="Q323" s="50">
        <v>31352685.588945717</v>
      </c>
      <c r="R323" s="50" t="s">
        <v>467</v>
      </c>
      <c r="S323" s="4" t="s">
        <v>43</v>
      </c>
      <c r="T323" s="4" t="s">
        <v>46</v>
      </c>
    </row>
    <row r="324" spans="3:20" hidden="1" x14ac:dyDescent="0.25">
      <c r="C324" s="4" t="s">
        <v>417</v>
      </c>
      <c r="D324" s="4" t="s">
        <v>418</v>
      </c>
      <c r="E324" s="4" t="s">
        <v>418</v>
      </c>
      <c r="F324" s="4">
        <v>5</v>
      </c>
      <c r="G324" s="4" t="s">
        <v>376</v>
      </c>
      <c r="H324" s="4" t="s">
        <v>46</v>
      </c>
      <c r="I324" s="4" t="s">
        <v>1031</v>
      </c>
      <c r="J324" s="4" t="s">
        <v>63</v>
      </c>
      <c r="K324" s="4" t="s">
        <v>138</v>
      </c>
      <c r="L324" s="4" t="s">
        <v>40</v>
      </c>
      <c r="M324" s="4" t="s">
        <v>378</v>
      </c>
      <c r="N324" s="4" t="s">
        <v>417</v>
      </c>
      <c r="O324" s="4" t="s">
        <v>42</v>
      </c>
      <c r="P324" s="50" t="s">
        <v>43</v>
      </c>
      <c r="Q324" s="50">
        <v>26737322.09044113</v>
      </c>
      <c r="R324" s="50" t="s">
        <v>380</v>
      </c>
      <c r="S324" s="4" t="s">
        <v>43</v>
      </c>
      <c r="T324" s="4" t="s">
        <v>46</v>
      </c>
    </row>
    <row r="325" spans="3:20" hidden="1" x14ac:dyDescent="0.25">
      <c r="C325" s="4" t="s">
        <v>337</v>
      </c>
      <c r="D325" s="4" t="s">
        <v>338</v>
      </c>
      <c r="E325" s="4" t="s">
        <v>338</v>
      </c>
      <c r="F325" s="4" t="s">
        <v>36</v>
      </c>
      <c r="G325" s="4" t="s">
        <v>37</v>
      </c>
      <c r="H325" s="4" t="s">
        <v>81</v>
      </c>
      <c r="I325" s="4" t="s">
        <v>1030</v>
      </c>
      <c r="J325" s="4" t="s">
        <v>89</v>
      </c>
      <c r="K325" s="4" t="s">
        <v>109</v>
      </c>
      <c r="L325" s="4" t="s">
        <v>91</v>
      </c>
      <c r="M325" s="4">
        <v>0</v>
      </c>
      <c r="N325" s="4" t="s">
        <v>337</v>
      </c>
      <c r="O325" s="4" t="s">
        <v>42</v>
      </c>
      <c r="P325" s="50" t="s">
        <v>43</v>
      </c>
      <c r="Q325" s="50" t="s">
        <v>36</v>
      </c>
      <c r="R325" s="50">
        <v>0</v>
      </c>
      <c r="S325" s="4" t="s">
        <v>36</v>
      </c>
      <c r="T325" s="4" t="s">
        <v>81</v>
      </c>
    </row>
    <row r="326" spans="3:20" hidden="1" x14ac:dyDescent="0.25">
      <c r="C326" s="4" t="s">
        <v>339</v>
      </c>
      <c r="D326" s="4" t="s">
        <v>340</v>
      </c>
      <c r="E326" s="4" t="s">
        <v>341</v>
      </c>
      <c r="F326" s="4" t="s">
        <v>36</v>
      </c>
      <c r="G326" s="4" t="s">
        <v>37</v>
      </c>
      <c r="H326" s="4" t="s">
        <v>46</v>
      </c>
      <c r="I326" s="4" t="s">
        <v>1030</v>
      </c>
      <c r="J326" s="4">
        <v>0</v>
      </c>
      <c r="K326" s="4" t="s">
        <v>47</v>
      </c>
      <c r="L326" s="4" t="s">
        <v>40</v>
      </c>
      <c r="M326" s="4">
        <v>0</v>
      </c>
      <c r="N326" s="4" t="s">
        <v>339</v>
      </c>
      <c r="O326" s="4" t="s">
        <v>42</v>
      </c>
      <c r="P326" s="50" t="s">
        <v>43</v>
      </c>
      <c r="Q326" s="50" t="s">
        <v>36</v>
      </c>
      <c r="R326" s="50">
        <v>0</v>
      </c>
      <c r="S326" s="4" t="s">
        <v>36</v>
      </c>
      <c r="T326" s="4" t="s">
        <v>46</v>
      </c>
    </row>
    <row r="327" spans="3:20" hidden="1" x14ac:dyDescent="0.25">
      <c r="C327" s="4" t="s">
        <v>825</v>
      </c>
      <c r="D327" s="4" t="s">
        <v>826</v>
      </c>
      <c r="E327" s="4" t="s">
        <v>827</v>
      </c>
      <c r="F327" s="4">
        <v>5</v>
      </c>
      <c r="G327" s="4" t="s">
        <v>376</v>
      </c>
      <c r="H327" s="4" t="s">
        <v>81</v>
      </c>
      <c r="I327" s="4" t="s">
        <v>1030</v>
      </c>
      <c r="J327" s="4" t="s">
        <v>146</v>
      </c>
      <c r="K327" s="4" t="s">
        <v>59</v>
      </c>
      <c r="L327" s="4" t="s">
        <v>40</v>
      </c>
      <c r="M327" s="4" t="s">
        <v>1035</v>
      </c>
      <c r="N327" s="4" t="s">
        <v>825</v>
      </c>
      <c r="O327" s="4" t="s">
        <v>42</v>
      </c>
      <c r="P327" s="50" t="s">
        <v>43</v>
      </c>
      <c r="Q327" s="50">
        <v>45767956.884096004</v>
      </c>
      <c r="R327" s="50" t="s">
        <v>799</v>
      </c>
      <c r="S327" s="4" t="s">
        <v>440</v>
      </c>
      <c r="T327" s="4" t="s">
        <v>81</v>
      </c>
    </row>
    <row r="328" spans="3:20" hidden="1" x14ac:dyDescent="0.25">
      <c r="C328" s="4" t="s">
        <v>828</v>
      </c>
      <c r="D328" s="4" t="s">
        <v>829</v>
      </c>
      <c r="E328" s="4" t="s">
        <v>829</v>
      </c>
      <c r="F328" s="4">
        <v>5.68</v>
      </c>
      <c r="G328" s="4" t="s">
        <v>376</v>
      </c>
      <c r="H328" s="4" t="s">
        <v>46</v>
      </c>
      <c r="I328" s="4" t="s">
        <v>1030</v>
      </c>
      <c r="J328" s="4" t="s">
        <v>146</v>
      </c>
      <c r="K328" s="4" t="s">
        <v>59</v>
      </c>
      <c r="L328" s="4" t="s">
        <v>40</v>
      </c>
      <c r="M328" s="4" t="s">
        <v>1035</v>
      </c>
      <c r="N328" s="4" t="s">
        <v>828</v>
      </c>
      <c r="O328" s="4" t="s">
        <v>42</v>
      </c>
      <c r="P328" s="50" t="s">
        <v>43</v>
      </c>
      <c r="Q328" s="50">
        <v>57661706.348627843</v>
      </c>
      <c r="R328" s="50" t="s">
        <v>799</v>
      </c>
      <c r="S328" s="4" t="s">
        <v>43</v>
      </c>
      <c r="T328" s="4" t="s">
        <v>46</v>
      </c>
    </row>
    <row r="329" spans="3:20" hidden="1" x14ac:dyDescent="0.25">
      <c r="C329" s="4" t="s">
        <v>342</v>
      </c>
      <c r="D329" s="4" t="s">
        <v>343</v>
      </c>
      <c r="E329" s="4" t="s">
        <v>343</v>
      </c>
      <c r="F329" s="4" t="s">
        <v>36</v>
      </c>
      <c r="G329" s="4" t="s">
        <v>37</v>
      </c>
      <c r="H329" s="4" t="s">
        <v>81</v>
      </c>
      <c r="I329" s="4" t="s">
        <v>1030</v>
      </c>
      <c r="J329" s="4" t="s">
        <v>132</v>
      </c>
      <c r="K329" s="4" t="s">
        <v>51</v>
      </c>
      <c r="L329" s="4" t="s">
        <v>40</v>
      </c>
      <c r="M329" s="4">
        <v>0</v>
      </c>
      <c r="N329" s="4" t="s">
        <v>342</v>
      </c>
      <c r="O329" s="4" t="s">
        <v>42</v>
      </c>
      <c r="P329" s="50" t="s">
        <v>43</v>
      </c>
      <c r="Q329" s="50" t="s">
        <v>36</v>
      </c>
      <c r="R329" s="50">
        <v>0</v>
      </c>
      <c r="S329" s="4" t="s">
        <v>36</v>
      </c>
      <c r="T329" s="4" t="s">
        <v>81</v>
      </c>
    </row>
    <row r="330" spans="3:20" hidden="1" x14ac:dyDescent="0.25">
      <c r="C330" s="4" t="s">
        <v>830</v>
      </c>
      <c r="D330" s="4" t="s">
        <v>831</v>
      </c>
      <c r="E330" s="4" t="s">
        <v>832</v>
      </c>
      <c r="F330" s="4">
        <v>5</v>
      </c>
      <c r="G330" s="4" t="s">
        <v>376</v>
      </c>
      <c r="H330" s="4" t="s">
        <v>46</v>
      </c>
      <c r="I330" s="4" t="s">
        <v>1030</v>
      </c>
      <c r="J330" s="4" t="s">
        <v>146</v>
      </c>
      <c r="K330" s="4" t="s">
        <v>59</v>
      </c>
      <c r="L330" s="4" t="s">
        <v>40</v>
      </c>
      <c r="M330" s="4" t="s">
        <v>1035</v>
      </c>
      <c r="N330" s="4" t="s">
        <v>830</v>
      </c>
      <c r="O330" s="4" t="s">
        <v>42</v>
      </c>
      <c r="P330" s="50" t="s">
        <v>43</v>
      </c>
      <c r="Q330" s="50">
        <v>29084984.173371509</v>
      </c>
      <c r="R330" s="50" t="s">
        <v>799</v>
      </c>
      <c r="S330" s="4" t="s">
        <v>43</v>
      </c>
      <c r="T330" s="4" t="s">
        <v>46</v>
      </c>
    </row>
    <row r="331" spans="3:20" hidden="1" x14ac:dyDescent="0.25">
      <c r="C331" s="4" t="s">
        <v>921</v>
      </c>
      <c r="D331" s="4" t="s">
        <v>922</v>
      </c>
      <c r="E331" s="4" t="s">
        <v>911</v>
      </c>
      <c r="F331" s="4">
        <v>5</v>
      </c>
      <c r="G331" s="4" t="s">
        <v>376</v>
      </c>
      <c r="H331" s="4" t="s">
        <v>81</v>
      </c>
      <c r="I331" s="4" t="s">
        <v>1030</v>
      </c>
      <c r="J331" s="4" t="s">
        <v>73</v>
      </c>
      <c r="K331" s="4" t="s">
        <v>911</v>
      </c>
      <c r="L331" s="4" t="s">
        <v>40</v>
      </c>
      <c r="M331" s="4" t="s">
        <v>514</v>
      </c>
      <c r="N331" s="4" t="s">
        <v>921</v>
      </c>
      <c r="O331" s="4" t="s">
        <v>42</v>
      </c>
      <c r="P331" s="50" t="s">
        <v>43</v>
      </c>
      <c r="Q331" s="50">
        <v>32195378.647655886</v>
      </c>
      <c r="R331" s="50" t="s">
        <v>886</v>
      </c>
      <c r="S331" s="4" t="s">
        <v>43</v>
      </c>
      <c r="T331" s="4" t="s">
        <v>81</v>
      </c>
    </row>
    <row r="332" spans="3:20" hidden="1" x14ac:dyDescent="0.25">
      <c r="C332" s="4" t="s">
        <v>970</v>
      </c>
      <c r="D332" s="4" t="s">
        <v>971</v>
      </c>
      <c r="E332" s="4" t="s">
        <v>972</v>
      </c>
      <c r="F332" s="4">
        <v>5</v>
      </c>
      <c r="G332" s="4" t="s">
        <v>376</v>
      </c>
      <c r="H332" s="4" t="s">
        <v>81</v>
      </c>
      <c r="I332" s="4" t="s">
        <v>1030</v>
      </c>
      <c r="J332" s="4" t="s">
        <v>160</v>
      </c>
      <c r="K332" s="4" t="s">
        <v>353</v>
      </c>
      <c r="L332" s="4" t="s">
        <v>40</v>
      </c>
      <c r="M332" s="4" t="s">
        <v>984</v>
      </c>
      <c r="N332" s="4" t="s">
        <v>970</v>
      </c>
      <c r="O332" s="4" t="s">
        <v>42</v>
      </c>
      <c r="P332" s="50" t="s">
        <v>43</v>
      </c>
      <c r="Q332" s="50">
        <v>34871122.736135729</v>
      </c>
      <c r="R332" s="50" t="s">
        <v>931</v>
      </c>
      <c r="S332" s="4" t="s">
        <v>43</v>
      </c>
      <c r="T332" s="4" t="s">
        <v>81</v>
      </c>
    </row>
    <row r="333" spans="3:20" hidden="1" x14ac:dyDescent="0.25">
      <c r="C333" s="4" t="s">
        <v>344</v>
      </c>
      <c r="D333" s="4" t="s">
        <v>345</v>
      </c>
      <c r="E333" s="4" t="s">
        <v>345</v>
      </c>
      <c r="F333" s="4" t="s">
        <v>36</v>
      </c>
      <c r="G333" s="4" t="s">
        <v>37</v>
      </c>
      <c r="H333" s="4" t="s">
        <v>88</v>
      </c>
      <c r="I333" s="4" t="s">
        <v>1030</v>
      </c>
      <c r="J333" s="4">
        <v>0</v>
      </c>
      <c r="K333" s="4" t="s">
        <v>346</v>
      </c>
      <c r="L333" s="4" t="s">
        <v>40</v>
      </c>
      <c r="M333" s="4">
        <v>0</v>
      </c>
      <c r="N333" s="4" t="s">
        <v>344</v>
      </c>
      <c r="O333" s="4" t="s">
        <v>42</v>
      </c>
      <c r="P333" s="50" t="s">
        <v>43</v>
      </c>
      <c r="Q333" s="50" t="s">
        <v>36</v>
      </c>
      <c r="R333" s="50">
        <v>0</v>
      </c>
      <c r="S333" s="4" t="s">
        <v>36</v>
      </c>
      <c r="T333" s="4" t="s">
        <v>88</v>
      </c>
    </row>
    <row r="334" spans="3:20" hidden="1" x14ac:dyDescent="0.25">
      <c r="C334" s="4" t="s">
        <v>879</v>
      </c>
      <c r="D334" s="4" t="s">
        <v>880</v>
      </c>
      <c r="E334" s="4" t="s">
        <v>880</v>
      </c>
      <c r="F334" s="4">
        <v>3.92</v>
      </c>
      <c r="G334" s="4" t="s">
        <v>376</v>
      </c>
      <c r="H334" s="4" t="s">
        <v>46</v>
      </c>
      <c r="I334" s="4" t="s">
        <v>1030</v>
      </c>
      <c r="J334" s="4" t="s">
        <v>132</v>
      </c>
      <c r="K334" s="4" t="s">
        <v>138</v>
      </c>
      <c r="L334" s="4" t="s">
        <v>40</v>
      </c>
      <c r="M334" s="4" t="s">
        <v>1035</v>
      </c>
      <c r="N334" s="4" t="s">
        <v>879</v>
      </c>
      <c r="O334" s="4" t="s">
        <v>42</v>
      </c>
      <c r="P334" s="50" t="s">
        <v>43</v>
      </c>
      <c r="Q334" s="50">
        <v>43197519.884878643</v>
      </c>
      <c r="R334" s="50" t="s">
        <v>847</v>
      </c>
      <c r="S334" s="4" t="s">
        <v>43</v>
      </c>
      <c r="T334" s="4" t="s">
        <v>46</v>
      </c>
    </row>
    <row r="335" spans="3:20" hidden="1" x14ac:dyDescent="0.25">
      <c r="C335" s="4" t="s">
        <v>553</v>
      </c>
      <c r="D335" s="4" t="s">
        <v>554</v>
      </c>
      <c r="E335" s="4" t="s">
        <v>554</v>
      </c>
      <c r="F335" s="4">
        <v>5</v>
      </c>
      <c r="G335" s="4" t="s">
        <v>376</v>
      </c>
      <c r="H335" s="4" t="s">
        <v>46</v>
      </c>
      <c r="I335" s="4" t="s">
        <v>1030</v>
      </c>
      <c r="J335" s="4" t="s">
        <v>100</v>
      </c>
      <c r="K335" s="4" t="s">
        <v>138</v>
      </c>
      <c r="L335" s="4" t="s">
        <v>40</v>
      </c>
      <c r="M335" s="4" t="s">
        <v>514</v>
      </c>
      <c r="N335" s="4" t="s">
        <v>553</v>
      </c>
      <c r="O335" s="4" t="s">
        <v>42</v>
      </c>
      <c r="P335" s="50" t="s">
        <v>43</v>
      </c>
      <c r="Q335" s="50">
        <v>27845354.916605998</v>
      </c>
      <c r="R335" s="50" t="s">
        <v>515</v>
      </c>
      <c r="S335" s="4" t="s">
        <v>43</v>
      </c>
      <c r="T335" s="4" t="s">
        <v>46</v>
      </c>
    </row>
    <row r="336" spans="3:20" hidden="1" x14ac:dyDescent="0.25">
      <c r="C336" s="4" t="s">
        <v>923</v>
      </c>
      <c r="D336" s="4" t="s">
        <v>924</v>
      </c>
      <c r="E336" s="4" t="s">
        <v>924</v>
      </c>
      <c r="F336" s="4">
        <v>5</v>
      </c>
      <c r="G336" s="4" t="s">
        <v>376</v>
      </c>
      <c r="H336" s="4" t="s">
        <v>46</v>
      </c>
      <c r="I336" s="4" t="s">
        <v>1030</v>
      </c>
      <c r="J336" s="4" t="s">
        <v>73</v>
      </c>
      <c r="K336" s="4" t="s">
        <v>133</v>
      </c>
      <c r="L336" s="4" t="s">
        <v>40</v>
      </c>
      <c r="M336" s="4" t="s">
        <v>514</v>
      </c>
      <c r="N336" s="4" t="s">
        <v>923</v>
      </c>
      <c r="O336" s="4" t="s">
        <v>42</v>
      </c>
      <c r="P336" s="50" t="s">
        <v>43</v>
      </c>
      <c r="Q336" s="50">
        <v>36863862.083965793</v>
      </c>
      <c r="R336" s="50" t="s">
        <v>886</v>
      </c>
      <c r="S336" s="4" t="s">
        <v>43</v>
      </c>
      <c r="T336" s="4" t="s">
        <v>46</v>
      </c>
    </row>
    <row r="337" spans="3:20" hidden="1" x14ac:dyDescent="0.25">
      <c r="C337" s="4" t="s">
        <v>761</v>
      </c>
      <c r="D337" s="4" t="s">
        <v>762</v>
      </c>
      <c r="E337" s="4" t="s">
        <v>762</v>
      </c>
      <c r="F337" s="4">
        <v>5</v>
      </c>
      <c r="G337" s="4" t="s">
        <v>376</v>
      </c>
      <c r="H337" s="4" t="s">
        <v>46</v>
      </c>
      <c r="I337" s="4" t="s">
        <v>1031</v>
      </c>
      <c r="J337" s="4" t="s">
        <v>84</v>
      </c>
      <c r="K337" s="4" t="s">
        <v>54</v>
      </c>
      <c r="L337" s="4" t="s">
        <v>55</v>
      </c>
      <c r="M337" s="4" t="s">
        <v>378</v>
      </c>
      <c r="N337" s="4" t="s">
        <v>761</v>
      </c>
      <c r="O337" s="4" t="s">
        <v>42</v>
      </c>
      <c r="P337" s="50" t="s">
        <v>440</v>
      </c>
      <c r="Q337" s="50">
        <v>44534937.244495049</v>
      </c>
      <c r="R337" s="50" t="s">
        <v>741</v>
      </c>
      <c r="S337" s="4" t="s">
        <v>43</v>
      </c>
      <c r="T337" s="4" t="s">
        <v>46</v>
      </c>
    </row>
    <row r="338" spans="3:20" x14ac:dyDescent="0.25">
      <c r="C338" s="97" t="s">
        <v>509</v>
      </c>
      <c r="D338" s="97" t="s">
        <v>510</v>
      </c>
      <c r="E338" s="4" t="s">
        <v>510</v>
      </c>
      <c r="F338" s="97">
        <v>5</v>
      </c>
      <c r="G338" s="4" t="s">
        <v>376</v>
      </c>
      <c r="H338" s="4" t="s">
        <v>46</v>
      </c>
      <c r="I338" s="4" t="s">
        <v>1030</v>
      </c>
      <c r="J338" s="4" t="s">
        <v>466</v>
      </c>
      <c r="K338" s="4" t="s">
        <v>51</v>
      </c>
      <c r="L338" s="4" t="s">
        <v>40</v>
      </c>
      <c r="M338" s="4" t="s">
        <v>1035</v>
      </c>
      <c r="N338" s="4" t="s">
        <v>509</v>
      </c>
      <c r="O338" s="4" t="s">
        <v>42</v>
      </c>
      <c r="P338" s="50" t="s">
        <v>43</v>
      </c>
      <c r="Q338" s="50">
        <v>43593371.102844708</v>
      </c>
      <c r="R338" s="50" t="s">
        <v>467</v>
      </c>
      <c r="S338" s="4" t="s">
        <v>43</v>
      </c>
      <c r="T338" s="4" t="s">
        <v>46</v>
      </c>
    </row>
    <row r="339" spans="3:20" hidden="1" x14ac:dyDescent="0.25">
      <c r="C339" s="4" t="s">
        <v>347</v>
      </c>
      <c r="D339" s="4" t="s">
        <v>348</v>
      </c>
      <c r="E339" s="4" t="s">
        <v>348</v>
      </c>
      <c r="F339" s="4" t="s">
        <v>36</v>
      </c>
      <c r="G339" s="4" t="s">
        <v>37</v>
      </c>
      <c r="H339" s="4" t="s">
        <v>81</v>
      </c>
      <c r="I339" s="4" t="s">
        <v>1030</v>
      </c>
      <c r="J339" s="4" t="s">
        <v>58</v>
      </c>
      <c r="K339" s="4" t="s">
        <v>59</v>
      </c>
      <c r="L339" s="4" t="s">
        <v>40</v>
      </c>
      <c r="M339" s="4">
        <v>0</v>
      </c>
      <c r="N339" s="4" t="s">
        <v>347</v>
      </c>
      <c r="O339" s="4" t="s">
        <v>42</v>
      </c>
      <c r="P339" s="50" t="s">
        <v>43</v>
      </c>
      <c r="Q339" s="50" t="s">
        <v>36</v>
      </c>
      <c r="R339" s="50">
        <v>0</v>
      </c>
      <c r="S339" s="4" t="s">
        <v>36</v>
      </c>
      <c r="T339" s="4" t="s">
        <v>81</v>
      </c>
    </row>
    <row r="340" spans="3:20" hidden="1" x14ac:dyDescent="0.25">
      <c r="C340" s="4" t="s">
        <v>973</v>
      </c>
      <c r="D340" s="4" t="s">
        <v>974</v>
      </c>
      <c r="E340" s="4" t="s">
        <v>974</v>
      </c>
      <c r="F340" s="4">
        <v>5</v>
      </c>
      <c r="G340" s="4" t="s">
        <v>376</v>
      </c>
      <c r="H340" s="4" t="s">
        <v>46</v>
      </c>
      <c r="I340" s="4" t="s">
        <v>1030</v>
      </c>
      <c r="J340" s="4" t="s">
        <v>160</v>
      </c>
      <c r="K340" s="4" t="s">
        <v>39</v>
      </c>
      <c r="L340" s="4" t="s">
        <v>40</v>
      </c>
      <c r="M340" s="4" t="s">
        <v>984</v>
      </c>
      <c r="N340" s="4" t="s">
        <v>973</v>
      </c>
      <c r="O340" s="4" t="s">
        <v>42</v>
      </c>
      <c r="P340" s="50" t="s">
        <v>43</v>
      </c>
      <c r="Q340" s="50">
        <v>31288926.085618723</v>
      </c>
      <c r="R340" s="50" t="s">
        <v>931</v>
      </c>
      <c r="S340" s="4" t="s">
        <v>43</v>
      </c>
      <c r="T340" s="4" t="s">
        <v>46</v>
      </c>
    </row>
    <row r="341" spans="3:20" hidden="1" x14ac:dyDescent="0.25">
      <c r="C341" s="4" t="s">
        <v>349</v>
      </c>
      <c r="D341" s="4" t="s">
        <v>350</v>
      </c>
      <c r="E341" s="4" t="s">
        <v>350</v>
      </c>
      <c r="F341" s="4" t="s">
        <v>36</v>
      </c>
      <c r="G341" s="4" t="s">
        <v>37</v>
      </c>
      <c r="H341" s="4" t="s">
        <v>46</v>
      </c>
      <c r="I341" s="4" t="s">
        <v>1030</v>
      </c>
      <c r="J341" s="4">
        <v>0</v>
      </c>
      <c r="K341" s="4" t="s">
        <v>138</v>
      </c>
      <c r="L341" s="4" t="s">
        <v>40</v>
      </c>
      <c r="M341" s="4">
        <v>0</v>
      </c>
      <c r="N341" s="4" t="s">
        <v>349</v>
      </c>
      <c r="O341" s="4" t="s">
        <v>42</v>
      </c>
      <c r="P341" s="50" t="s">
        <v>43</v>
      </c>
      <c r="Q341" s="50" t="s">
        <v>36</v>
      </c>
      <c r="R341" s="50">
        <v>0</v>
      </c>
      <c r="S341" s="4" t="s">
        <v>36</v>
      </c>
      <c r="T341" s="4" t="s">
        <v>46</v>
      </c>
    </row>
    <row r="342" spans="3:20" hidden="1" x14ac:dyDescent="0.25">
      <c r="C342" s="4" t="s">
        <v>351</v>
      </c>
      <c r="D342" s="4" t="s">
        <v>352</v>
      </c>
      <c r="E342" s="4" t="s">
        <v>352</v>
      </c>
      <c r="F342" s="4" t="s">
        <v>36</v>
      </c>
      <c r="G342" s="4" t="s">
        <v>37</v>
      </c>
      <c r="H342" s="4" t="s">
        <v>46</v>
      </c>
      <c r="I342" s="4" t="s">
        <v>1030</v>
      </c>
      <c r="J342" s="4" t="s">
        <v>331</v>
      </c>
      <c r="K342" s="4" t="s">
        <v>353</v>
      </c>
      <c r="L342" s="4" t="s">
        <v>40</v>
      </c>
      <c r="M342" s="4">
        <v>0</v>
      </c>
      <c r="N342" s="4" t="s">
        <v>351</v>
      </c>
      <c r="O342" s="4" t="s">
        <v>42</v>
      </c>
      <c r="P342" s="50" t="s">
        <v>43</v>
      </c>
      <c r="Q342" s="50" t="s">
        <v>36</v>
      </c>
      <c r="R342" s="50">
        <v>0</v>
      </c>
      <c r="S342" s="4" t="s">
        <v>36</v>
      </c>
      <c r="T342" s="4" t="s">
        <v>46</v>
      </c>
    </row>
    <row r="343" spans="3:20" hidden="1" x14ac:dyDescent="0.25">
      <c r="C343" s="4" t="s">
        <v>833</v>
      </c>
      <c r="D343" s="4" t="s">
        <v>834</v>
      </c>
      <c r="E343" s="4" t="s">
        <v>835</v>
      </c>
      <c r="F343" s="4">
        <v>5</v>
      </c>
      <c r="G343" s="4" t="s">
        <v>376</v>
      </c>
      <c r="H343" s="4" t="s">
        <v>46</v>
      </c>
      <c r="I343" s="4" t="s">
        <v>1030</v>
      </c>
      <c r="J343" s="4" t="s">
        <v>146</v>
      </c>
      <c r="K343" s="4" t="s">
        <v>59</v>
      </c>
      <c r="L343" s="4" t="s">
        <v>40</v>
      </c>
      <c r="M343" s="4" t="s">
        <v>1035</v>
      </c>
      <c r="N343" s="4" t="s">
        <v>833</v>
      </c>
      <c r="O343" s="4" t="s">
        <v>42</v>
      </c>
      <c r="P343" s="50" t="s">
        <v>43</v>
      </c>
      <c r="Q343" s="50">
        <v>57527524.881853528</v>
      </c>
      <c r="R343" s="50" t="s">
        <v>799</v>
      </c>
      <c r="S343" s="4" t="s">
        <v>43</v>
      </c>
      <c r="T343" s="4" t="s">
        <v>46</v>
      </c>
    </row>
    <row r="344" spans="3:20" hidden="1" x14ac:dyDescent="0.25">
      <c r="C344" s="4" t="s">
        <v>354</v>
      </c>
      <c r="D344" s="4" t="s">
        <v>355</v>
      </c>
      <c r="E344" s="4" t="s">
        <v>355</v>
      </c>
      <c r="F344" s="4" t="s">
        <v>36</v>
      </c>
      <c r="G344" s="4" t="s">
        <v>37</v>
      </c>
      <c r="H344" s="4" t="s">
        <v>46</v>
      </c>
      <c r="I344" s="4" t="s">
        <v>1030</v>
      </c>
      <c r="J344" s="4" t="s">
        <v>67</v>
      </c>
      <c r="K344" s="4" t="s">
        <v>59</v>
      </c>
      <c r="L344" s="4" t="s">
        <v>40</v>
      </c>
      <c r="M344" s="4">
        <v>0</v>
      </c>
      <c r="N344" s="4" t="s">
        <v>354</v>
      </c>
      <c r="O344" s="4" t="s">
        <v>42</v>
      </c>
      <c r="P344" s="50" t="s">
        <v>43</v>
      </c>
      <c r="Q344" s="50" t="s">
        <v>36</v>
      </c>
      <c r="R344" s="50">
        <v>0</v>
      </c>
      <c r="S344" s="4" t="s">
        <v>36</v>
      </c>
      <c r="T344" s="4" t="s">
        <v>46</v>
      </c>
    </row>
    <row r="345" spans="3:20" hidden="1" x14ac:dyDescent="0.25">
      <c r="C345" s="4" t="s">
        <v>693</v>
      </c>
      <c r="D345" s="4" t="s">
        <v>694</v>
      </c>
      <c r="E345" s="4" t="s">
        <v>694</v>
      </c>
      <c r="F345" s="4">
        <v>5</v>
      </c>
      <c r="G345" s="4" t="s">
        <v>376</v>
      </c>
      <c r="H345" s="4" t="s">
        <v>46</v>
      </c>
      <c r="I345" s="4" t="s">
        <v>1030</v>
      </c>
      <c r="J345" s="4" t="s">
        <v>248</v>
      </c>
      <c r="K345" s="4" t="s">
        <v>51</v>
      </c>
      <c r="L345" s="4" t="s">
        <v>40</v>
      </c>
      <c r="M345" s="4" t="s">
        <v>984</v>
      </c>
      <c r="N345" s="4" t="s">
        <v>693</v>
      </c>
      <c r="O345" s="4" t="s">
        <v>42</v>
      </c>
      <c r="P345" s="50" t="s">
        <v>43</v>
      </c>
      <c r="Q345" s="50">
        <v>28162977.626011349</v>
      </c>
      <c r="R345" s="50" t="s">
        <v>51</v>
      </c>
      <c r="S345" s="4" t="s">
        <v>43</v>
      </c>
      <c r="T345" s="4" t="s">
        <v>46</v>
      </c>
    </row>
    <row r="346" spans="3:20" hidden="1" x14ac:dyDescent="0.25">
      <c r="C346" s="4" t="s">
        <v>356</v>
      </c>
      <c r="D346" s="4" t="s">
        <v>357</v>
      </c>
      <c r="E346" s="4" t="s">
        <v>357</v>
      </c>
      <c r="F346" s="4" t="s">
        <v>36</v>
      </c>
      <c r="G346" s="4" t="s">
        <v>37</v>
      </c>
      <c r="H346" s="4" t="s">
        <v>81</v>
      </c>
      <c r="I346" s="4" t="s">
        <v>1030</v>
      </c>
      <c r="J346" s="4" t="s">
        <v>89</v>
      </c>
      <c r="K346" s="4" t="s">
        <v>109</v>
      </c>
      <c r="L346" s="4" t="s">
        <v>91</v>
      </c>
      <c r="M346" s="4">
        <v>0</v>
      </c>
      <c r="N346" s="4" t="s">
        <v>356</v>
      </c>
      <c r="O346" s="4" t="s">
        <v>42</v>
      </c>
      <c r="P346" s="50" t="s">
        <v>43</v>
      </c>
      <c r="Q346" s="50" t="s">
        <v>36</v>
      </c>
      <c r="R346" s="50">
        <v>0</v>
      </c>
      <c r="S346" s="4" t="s">
        <v>36</v>
      </c>
      <c r="T346" s="4" t="s">
        <v>81</v>
      </c>
    </row>
    <row r="347" spans="3:20" hidden="1" x14ac:dyDescent="0.25">
      <c r="C347" s="4" t="s">
        <v>925</v>
      </c>
      <c r="D347" s="4" t="s">
        <v>926</v>
      </c>
      <c r="E347" s="4" t="s">
        <v>927</v>
      </c>
      <c r="F347" s="4">
        <v>5</v>
      </c>
      <c r="G347" s="4" t="s">
        <v>376</v>
      </c>
      <c r="H347" s="4" t="s">
        <v>81</v>
      </c>
      <c r="I347" s="4" t="s">
        <v>1030</v>
      </c>
      <c r="J347" s="4" t="s">
        <v>73</v>
      </c>
      <c r="K347" s="4" t="s">
        <v>928</v>
      </c>
      <c r="L347" s="4" t="s">
        <v>40</v>
      </c>
      <c r="M347" s="4" t="s">
        <v>514</v>
      </c>
      <c r="N347" s="4" t="s">
        <v>925</v>
      </c>
      <c r="O347" s="4" t="s">
        <v>42</v>
      </c>
      <c r="P347" s="50" t="s">
        <v>43</v>
      </c>
      <c r="Q347" s="50">
        <v>31402718.924341157</v>
      </c>
      <c r="R347" s="50" t="s">
        <v>886</v>
      </c>
      <c r="S347" s="4" t="s">
        <v>440</v>
      </c>
      <c r="T347" s="4" t="s">
        <v>81</v>
      </c>
    </row>
    <row r="348" spans="3:20" hidden="1" x14ac:dyDescent="0.25">
      <c r="C348" s="4" t="s">
        <v>358</v>
      </c>
      <c r="D348" s="4" t="s">
        <v>359</v>
      </c>
      <c r="E348" s="4" t="s">
        <v>359</v>
      </c>
      <c r="F348" s="4" t="s">
        <v>36</v>
      </c>
      <c r="G348" s="4" t="s">
        <v>37</v>
      </c>
      <c r="H348" s="4" t="s">
        <v>81</v>
      </c>
      <c r="I348" s="4" t="s">
        <v>1030</v>
      </c>
      <c r="J348" s="4" t="s">
        <v>248</v>
      </c>
      <c r="K348" s="4" t="s">
        <v>138</v>
      </c>
      <c r="L348" s="4" t="s">
        <v>40</v>
      </c>
      <c r="M348" s="4">
        <v>0</v>
      </c>
      <c r="N348" s="4" t="s">
        <v>358</v>
      </c>
      <c r="O348" s="4" t="s">
        <v>42</v>
      </c>
      <c r="P348" s="50" t="s">
        <v>43</v>
      </c>
      <c r="Q348" s="50" t="s">
        <v>36</v>
      </c>
      <c r="R348" s="50">
        <v>0</v>
      </c>
      <c r="S348" s="4" t="s">
        <v>36</v>
      </c>
      <c r="T348" s="4" t="s">
        <v>81</v>
      </c>
    </row>
    <row r="349" spans="3:20" hidden="1" x14ac:dyDescent="0.25">
      <c r="C349" s="4" t="s">
        <v>695</v>
      </c>
      <c r="D349" s="4" t="s">
        <v>696</v>
      </c>
      <c r="E349" s="4" t="s">
        <v>696</v>
      </c>
      <c r="F349" s="4">
        <v>5</v>
      </c>
      <c r="G349" s="4" t="s">
        <v>376</v>
      </c>
      <c r="H349" s="4" t="s">
        <v>46</v>
      </c>
      <c r="I349" s="4" t="s">
        <v>1030</v>
      </c>
      <c r="J349" s="4" t="s">
        <v>248</v>
      </c>
      <c r="K349" s="4" t="s">
        <v>51</v>
      </c>
      <c r="L349" s="4" t="s">
        <v>40</v>
      </c>
      <c r="M349" s="4" t="s">
        <v>984</v>
      </c>
      <c r="N349" s="4" t="s">
        <v>695</v>
      </c>
      <c r="O349" s="4" t="s">
        <v>42</v>
      </c>
      <c r="P349" s="50" t="s">
        <v>43</v>
      </c>
      <c r="Q349" s="50">
        <v>52004431.462933823</v>
      </c>
      <c r="R349" s="50" t="s">
        <v>51</v>
      </c>
      <c r="S349" s="4" t="s">
        <v>43</v>
      </c>
      <c r="T349" s="4" t="s">
        <v>46</v>
      </c>
    </row>
    <row r="350" spans="3:20" hidden="1" x14ac:dyDescent="0.25">
      <c r="C350" s="4" t="s">
        <v>360</v>
      </c>
      <c r="D350" s="4" t="s">
        <v>361</v>
      </c>
      <c r="E350" s="4" t="s">
        <v>361</v>
      </c>
      <c r="F350" s="4" t="s">
        <v>36</v>
      </c>
      <c r="G350" s="4" t="s">
        <v>37</v>
      </c>
      <c r="H350" s="4" t="s">
        <v>46</v>
      </c>
      <c r="I350" s="4" t="s">
        <v>1030</v>
      </c>
      <c r="J350" s="4" t="s">
        <v>67</v>
      </c>
      <c r="K350" s="4" t="s">
        <v>59</v>
      </c>
      <c r="L350" s="4" t="s">
        <v>40</v>
      </c>
      <c r="M350" s="4">
        <v>0</v>
      </c>
      <c r="N350" s="4" t="s">
        <v>360</v>
      </c>
      <c r="O350" s="4" t="s">
        <v>42</v>
      </c>
      <c r="P350" s="50" t="s">
        <v>43</v>
      </c>
      <c r="Q350" s="50" t="s">
        <v>36</v>
      </c>
      <c r="R350" s="50">
        <v>0</v>
      </c>
      <c r="S350" s="4" t="s">
        <v>36</v>
      </c>
      <c r="T350" s="4" t="s">
        <v>46</v>
      </c>
    </row>
    <row r="351" spans="3:20" hidden="1" x14ac:dyDescent="0.25">
      <c r="C351" s="4" t="s">
        <v>362</v>
      </c>
      <c r="D351" s="4" t="s">
        <v>363</v>
      </c>
      <c r="E351" s="4" t="s">
        <v>363</v>
      </c>
      <c r="F351" s="4" t="s">
        <v>36</v>
      </c>
      <c r="G351" s="4" t="s">
        <v>37</v>
      </c>
      <c r="H351" s="4" t="s">
        <v>81</v>
      </c>
      <c r="I351" s="4" t="s">
        <v>1030</v>
      </c>
      <c r="J351" s="4" t="s">
        <v>73</v>
      </c>
      <c r="K351" s="4" t="s">
        <v>364</v>
      </c>
      <c r="L351" s="4" t="s">
        <v>40</v>
      </c>
      <c r="M351" s="4">
        <v>0</v>
      </c>
      <c r="N351" s="4" t="s">
        <v>362</v>
      </c>
      <c r="O351" s="4" t="s">
        <v>42</v>
      </c>
      <c r="P351" s="50" t="s">
        <v>43</v>
      </c>
      <c r="Q351" s="50" t="s">
        <v>36</v>
      </c>
      <c r="R351" s="50">
        <v>0</v>
      </c>
      <c r="S351" s="4" t="s">
        <v>36</v>
      </c>
      <c r="T351" s="4" t="s">
        <v>81</v>
      </c>
    </row>
    <row r="352" spans="3:20" hidden="1" x14ac:dyDescent="0.25">
      <c r="C352" s="4" t="s">
        <v>592</v>
      </c>
      <c r="D352" s="4" t="s">
        <v>593</v>
      </c>
      <c r="E352" s="4" t="s">
        <v>593</v>
      </c>
      <c r="F352" s="4">
        <v>5</v>
      </c>
      <c r="G352" s="4" t="s">
        <v>376</v>
      </c>
      <c r="H352" s="4" t="s">
        <v>81</v>
      </c>
      <c r="I352" s="4" t="s">
        <v>1030</v>
      </c>
      <c r="J352" s="4" t="s">
        <v>331</v>
      </c>
      <c r="K352" s="4" t="s">
        <v>138</v>
      </c>
      <c r="L352" s="4" t="s">
        <v>40</v>
      </c>
      <c r="M352" s="4" t="s">
        <v>984</v>
      </c>
      <c r="N352" s="4" t="s">
        <v>592</v>
      </c>
      <c r="O352" s="4" t="s">
        <v>42</v>
      </c>
      <c r="P352" s="50" t="s">
        <v>43</v>
      </c>
      <c r="Q352" s="50">
        <v>32230000.188000001</v>
      </c>
      <c r="R352" s="50" t="s">
        <v>557</v>
      </c>
      <c r="S352" s="4" t="s">
        <v>440</v>
      </c>
      <c r="T352" s="4" t="s">
        <v>81</v>
      </c>
    </row>
    <row r="353" spans="3:20" hidden="1" x14ac:dyDescent="0.25">
      <c r="C353" s="4" t="s">
        <v>365</v>
      </c>
      <c r="D353" s="4" t="s">
        <v>366</v>
      </c>
      <c r="E353" s="4" t="s">
        <v>367</v>
      </c>
      <c r="F353" s="4" t="s">
        <v>36</v>
      </c>
      <c r="G353" s="4" t="s">
        <v>37</v>
      </c>
      <c r="H353" s="4" t="s">
        <v>81</v>
      </c>
      <c r="I353" s="4" t="s">
        <v>1030</v>
      </c>
      <c r="J353" s="4" t="s">
        <v>146</v>
      </c>
      <c r="K353" s="4" t="s">
        <v>59</v>
      </c>
      <c r="L353" s="4" t="s">
        <v>40</v>
      </c>
      <c r="M353" s="4">
        <v>0</v>
      </c>
      <c r="N353" s="4" t="s">
        <v>365</v>
      </c>
      <c r="O353" s="4" t="s">
        <v>42</v>
      </c>
      <c r="P353" s="50" t="s">
        <v>43</v>
      </c>
      <c r="Q353" s="50" t="s">
        <v>36</v>
      </c>
      <c r="R353" s="50">
        <v>0</v>
      </c>
      <c r="S353" s="4" t="s">
        <v>36</v>
      </c>
      <c r="T353" s="4" t="s">
        <v>81</v>
      </c>
    </row>
    <row r="354" spans="3:20" hidden="1" x14ac:dyDescent="0.25">
      <c r="C354" s="4" t="s">
        <v>763</v>
      </c>
      <c r="D354" s="4" t="s">
        <v>764</v>
      </c>
      <c r="E354" s="4" t="s">
        <v>765</v>
      </c>
      <c r="F354" s="4">
        <v>5</v>
      </c>
      <c r="G354" s="4" t="s">
        <v>376</v>
      </c>
      <c r="H354" s="4" t="s">
        <v>81</v>
      </c>
      <c r="I354" s="4" t="s">
        <v>1031</v>
      </c>
      <c r="J354" s="4" t="s">
        <v>84</v>
      </c>
      <c r="K354" s="4" t="s">
        <v>279</v>
      </c>
      <c r="L354" s="4" t="s">
        <v>55</v>
      </c>
      <c r="M354" s="4" t="s">
        <v>378</v>
      </c>
      <c r="N354" s="4" t="s">
        <v>763</v>
      </c>
      <c r="O354" s="4" t="s">
        <v>42</v>
      </c>
      <c r="P354" s="50" t="s">
        <v>43</v>
      </c>
      <c r="Q354" s="50">
        <v>33647377.570175998</v>
      </c>
      <c r="R354" s="50" t="s">
        <v>741</v>
      </c>
      <c r="S354" s="4" t="s">
        <v>440</v>
      </c>
      <c r="T354" s="4" t="s">
        <v>81</v>
      </c>
    </row>
    <row r="355" spans="3:20" hidden="1" x14ac:dyDescent="0.25">
      <c r="C355" s="4" t="s">
        <v>836</v>
      </c>
      <c r="D355" s="4" t="s">
        <v>837</v>
      </c>
      <c r="E355" s="4" t="s">
        <v>838</v>
      </c>
      <c r="F355" s="4">
        <v>5</v>
      </c>
      <c r="G355" s="4" t="s">
        <v>376</v>
      </c>
      <c r="H355" s="4" t="s">
        <v>81</v>
      </c>
      <c r="I355" s="4" t="s">
        <v>1030</v>
      </c>
      <c r="J355" s="4" t="s">
        <v>146</v>
      </c>
      <c r="K355" s="4" t="s">
        <v>59</v>
      </c>
      <c r="L355" s="4" t="s">
        <v>40</v>
      </c>
      <c r="M355" s="4" t="s">
        <v>1035</v>
      </c>
      <c r="N355" s="4" t="s">
        <v>836</v>
      </c>
      <c r="O355" s="4" t="s">
        <v>42</v>
      </c>
      <c r="P355" s="50" t="s">
        <v>43</v>
      </c>
      <c r="Q355" s="50">
        <v>46394194.943459071</v>
      </c>
      <c r="R355" s="50" t="s">
        <v>799</v>
      </c>
      <c r="S355" s="4" t="s">
        <v>43</v>
      </c>
      <c r="T355" s="4" t="s">
        <v>81</v>
      </c>
    </row>
    <row r="356" spans="3:20" hidden="1" x14ac:dyDescent="0.25">
      <c r="C356" s="4" t="s">
        <v>975</v>
      </c>
      <c r="D356" s="4" t="s">
        <v>976</v>
      </c>
      <c r="E356" s="4" t="s">
        <v>976</v>
      </c>
      <c r="F356" s="4">
        <v>2</v>
      </c>
      <c r="G356" s="4" t="s">
        <v>376</v>
      </c>
      <c r="H356" s="4" t="s">
        <v>46</v>
      </c>
      <c r="I356" s="4" t="s">
        <v>1030</v>
      </c>
      <c r="J356" s="4" t="s">
        <v>160</v>
      </c>
      <c r="K356" s="4" t="s">
        <v>39</v>
      </c>
      <c r="L356" s="4" t="s">
        <v>40</v>
      </c>
      <c r="M356" s="4" t="s">
        <v>984</v>
      </c>
      <c r="N356" s="4" t="s">
        <v>975</v>
      </c>
      <c r="O356" s="4" t="s">
        <v>42</v>
      </c>
      <c r="P356" s="50" t="s">
        <v>43</v>
      </c>
      <c r="Q356" s="50">
        <v>15691995.5625</v>
      </c>
      <c r="R356" s="50" t="s">
        <v>931</v>
      </c>
      <c r="S356" s="4" t="s">
        <v>43</v>
      </c>
      <c r="T356" s="4" t="s">
        <v>46</v>
      </c>
    </row>
    <row r="357" spans="3:20" hidden="1" x14ac:dyDescent="0.25">
      <c r="C357" s="4" t="s">
        <v>766</v>
      </c>
      <c r="D357" s="4" t="s">
        <v>767</v>
      </c>
      <c r="E357" s="4" t="s">
        <v>768</v>
      </c>
      <c r="F357" s="4">
        <v>4.4800000000000004</v>
      </c>
      <c r="G357" s="4" t="s">
        <v>376</v>
      </c>
      <c r="H357" s="4" t="s">
        <v>81</v>
      </c>
      <c r="I357" s="4" t="s">
        <v>1031</v>
      </c>
      <c r="J357" s="4" t="s">
        <v>84</v>
      </c>
      <c r="K357" s="4" t="s">
        <v>54</v>
      </c>
      <c r="L357" s="4" t="s">
        <v>55</v>
      </c>
      <c r="M357" s="4" t="s">
        <v>378</v>
      </c>
      <c r="N357" s="4" t="s">
        <v>766</v>
      </c>
      <c r="O357" s="4" t="s">
        <v>42</v>
      </c>
      <c r="P357" s="50" t="s">
        <v>43</v>
      </c>
      <c r="Q357" s="50">
        <v>30614190.495000001</v>
      </c>
      <c r="R357" s="50" t="s">
        <v>741</v>
      </c>
      <c r="S357" s="4" t="s">
        <v>440</v>
      </c>
      <c r="T357" s="4" t="s">
        <v>81</v>
      </c>
    </row>
    <row r="358" spans="3:20" hidden="1" x14ac:dyDescent="0.25">
      <c r="C358" s="4" t="s">
        <v>368</v>
      </c>
      <c r="D358" s="4" t="s">
        <v>369</v>
      </c>
      <c r="E358" s="4" t="s">
        <v>370</v>
      </c>
      <c r="F358" s="4" t="s">
        <v>36</v>
      </c>
      <c r="G358" s="4" t="s">
        <v>37</v>
      </c>
      <c r="H358" s="4" t="s">
        <v>88</v>
      </c>
      <c r="I358" s="4" t="s">
        <v>1030</v>
      </c>
      <c r="J358" s="4" t="s">
        <v>160</v>
      </c>
      <c r="K358" s="4" t="s">
        <v>371</v>
      </c>
      <c r="L358" s="4" t="s">
        <v>40</v>
      </c>
      <c r="M358" s="4">
        <v>0</v>
      </c>
      <c r="N358" s="4" t="s">
        <v>368</v>
      </c>
      <c r="O358" s="4" t="s">
        <v>42</v>
      </c>
      <c r="P358" s="50" t="s">
        <v>43</v>
      </c>
      <c r="Q358" s="50" t="s">
        <v>36</v>
      </c>
      <c r="R358" s="50">
        <v>0</v>
      </c>
      <c r="S358" s="4" t="s">
        <v>36</v>
      </c>
      <c r="T358" s="4" t="s">
        <v>88</v>
      </c>
    </row>
    <row r="359" spans="3:20" hidden="1" x14ac:dyDescent="0.25">
      <c r="C359" s="4" t="s">
        <v>736</v>
      </c>
      <c r="D359" s="4" t="s">
        <v>737</v>
      </c>
      <c r="E359" s="4" t="s">
        <v>738</v>
      </c>
      <c r="F359" s="4">
        <v>6</v>
      </c>
      <c r="G359" s="4" t="s">
        <v>376</v>
      </c>
      <c r="H359" s="4" t="s">
        <v>81</v>
      </c>
      <c r="I359" s="4" t="s">
        <v>1031</v>
      </c>
      <c r="J359" s="4" t="s">
        <v>84</v>
      </c>
      <c r="K359" s="4" t="s">
        <v>722</v>
      </c>
      <c r="L359" s="4" t="s">
        <v>55</v>
      </c>
      <c r="M359" s="4" t="s">
        <v>378</v>
      </c>
      <c r="N359" s="4" t="s">
        <v>736</v>
      </c>
      <c r="O359" s="4">
        <v>0</v>
      </c>
      <c r="P359" s="50" t="s">
        <v>43</v>
      </c>
      <c r="Q359" s="50">
        <v>42547358.491123497</v>
      </c>
      <c r="R359" s="50" t="s">
        <v>702</v>
      </c>
      <c r="S359" s="4" t="s">
        <v>440</v>
      </c>
      <c r="T359" s="4" t="s">
        <v>81</v>
      </c>
    </row>
    <row r="360" spans="3:20" hidden="1" x14ac:dyDescent="0.25">
      <c r="C360" s="4" t="s">
        <v>612</v>
      </c>
      <c r="D360" s="4" t="s">
        <v>613</v>
      </c>
      <c r="E360" s="4" t="s">
        <v>613</v>
      </c>
      <c r="F360" s="4">
        <v>5</v>
      </c>
      <c r="G360" s="4" t="s">
        <v>376</v>
      </c>
      <c r="H360" s="4" t="s">
        <v>81</v>
      </c>
      <c r="I360" s="4" t="s">
        <v>1030</v>
      </c>
      <c r="J360" s="4" t="s">
        <v>50</v>
      </c>
      <c r="K360" s="4" t="s">
        <v>364</v>
      </c>
      <c r="L360" s="4" t="s">
        <v>40</v>
      </c>
      <c r="M360" s="4" t="s">
        <v>514</v>
      </c>
      <c r="N360" s="4" t="s">
        <v>612</v>
      </c>
      <c r="O360" s="4" t="s">
        <v>42</v>
      </c>
      <c r="P360" s="50" t="s">
        <v>43</v>
      </c>
      <c r="Q360" s="50">
        <v>52586087.454591595</v>
      </c>
      <c r="R360" s="50" t="s">
        <v>597</v>
      </c>
      <c r="S360" s="4" t="s">
        <v>440</v>
      </c>
      <c r="T360" s="4" t="s">
        <v>81</v>
      </c>
    </row>
    <row r="361" spans="3:20" hidden="1" x14ac:dyDescent="0.25">
      <c r="C361" s="4" t="s">
        <v>614</v>
      </c>
      <c r="D361" s="4" t="s">
        <v>615</v>
      </c>
      <c r="E361" s="4" t="s">
        <v>615</v>
      </c>
      <c r="F361" s="4">
        <v>5</v>
      </c>
      <c r="G361" s="4" t="s">
        <v>376</v>
      </c>
      <c r="H361" s="4" t="s">
        <v>81</v>
      </c>
      <c r="I361" s="4" t="s">
        <v>1030</v>
      </c>
      <c r="J361" s="4" t="s">
        <v>50</v>
      </c>
      <c r="K361" s="4" t="s">
        <v>64</v>
      </c>
      <c r="L361" s="4" t="s">
        <v>40</v>
      </c>
      <c r="M361" s="4" t="s">
        <v>514</v>
      </c>
      <c r="N361" s="4" t="s">
        <v>614</v>
      </c>
      <c r="O361" s="4" t="s">
        <v>42</v>
      </c>
      <c r="P361" s="50" t="s">
        <v>43</v>
      </c>
      <c r="Q361" s="50">
        <v>41850805.917110406</v>
      </c>
      <c r="R361" s="50" t="s">
        <v>597</v>
      </c>
      <c r="S361" s="4" t="s">
        <v>440</v>
      </c>
      <c r="T361" s="4" t="s">
        <v>81</v>
      </c>
    </row>
    <row r="362" spans="3:20" hidden="1" x14ac:dyDescent="0.25">
      <c r="C362" s="4" t="s">
        <v>372</v>
      </c>
      <c r="D362" s="4" t="s">
        <v>372</v>
      </c>
      <c r="E362" s="4" t="s">
        <v>372</v>
      </c>
      <c r="F362" s="4"/>
      <c r="G362" s="4" t="s">
        <v>372</v>
      </c>
      <c r="H362" s="4" t="s">
        <v>372</v>
      </c>
      <c r="I362" s="4" t="s">
        <v>372</v>
      </c>
      <c r="J362" s="4" t="s">
        <v>372</v>
      </c>
      <c r="K362" s="4" t="s">
        <v>372</v>
      </c>
      <c r="L362" s="4" t="s">
        <v>372</v>
      </c>
      <c r="M362" s="4" t="s">
        <v>372</v>
      </c>
      <c r="N362" s="4" t="s">
        <v>372</v>
      </c>
      <c r="O362" s="4" t="s">
        <v>372</v>
      </c>
      <c r="P362" s="4" t="s">
        <v>372</v>
      </c>
      <c r="Q362" s="50" t="s">
        <v>36</v>
      </c>
      <c r="R362" s="4" t="s">
        <v>372</v>
      </c>
      <c r="S362" s="4" t="s">
        <v>36</v>
      </c>
      <c r="T362" s="4" t="s">
        <v>372</v>
      </c>
    </row>
    <row r="363" spans="3:20" hidden="1" x14ac:dyDescent="0.25">
      <c r="C363" s="4" t="s">
        <v>839</v>
      </c>
      <c r="D363" s="4" t="s">
        <v>840</v>
      </c>
      <c r="E363" s="4" t="s">
        <v>840</v>
      </c>
      <c r="F363" s="4">
        <v>5.6</v>
      </c>
      <c r="G363" s="4" t="s">
        <v>376</v>
      </c>
      <c r="H363" s="4" t="s">
        <v>81</v>
      </c>
      <c r="I363" s="4" t="s">
        <v>1030</v>
      </c>
      <c r="J363" s="4" t="s">
        <v>146</v>
      </c>
      <c r="K363" s="4" t="s">
        <v>59</v>
      </c>
      <c r="L363" s="4" t="s">
        <v>40</v>
      </c>
      <c r="M363" s="4"/>
      <c r="N363" s="4" t="s">
        <v>839</v>
      </c>
      <c r="O363" s="4"/>
      <c r="P363" s="4"/>
      <c r="Q363" s="50" t="s">
        <v>36</v>
      </c>
      <c r="R363" s="4"/>
      <c r="S363" s="4" t="s">
        <v>36</v>
      </c>
      <c r="T363" s="4" t="s">
        <v>81</v>
      </c>
    </row>
    <row r="364" spans="3:20" hidden="1" x14ac:dyDescent="0.25">
      <c r="C364" s="4" t="s">
        <v>697</v>
      </c>
      <c r="D364" s="4" t="s">
        <v>698</v>
      </c>
      <c r="E364" s="4" t="s">
        <v>698</v>
      </c>
      <c r="F364" s="4">
        <v>5.6</v>
      </c>
      <c r="G364" s="4" t="s">
        <v>376</v>
      </c>
      <c r="H364" s="4" t="s">
        <v>81</v>
      </c>
      <c r="I364" s="4" t="s">
        <v>1030</v>
      </c>
      <c r="J364" s="4" t="s">
        <v>248</v>
      </c>
      <c r="K364" s="4" t="s">
        <v>51</v>
      </c>
      <c r="L364" s="4" t="s">
        <v>40</v>
      </c>
      <c r="M364" s="4" t="s">
        <v>984</v>
      </c>
      <c r="N364" s="4" t="s">
        <v>697</v>
      </c>
      <c r="O364" s="4" t="s">
        <v>42</v>
      </c>
      <c r="P364" s="50" t="s">
        <v>43</v>
      </c>
      <c r="Q364" s="50">
        <v>41725091.563443601</v>
      </c>
      <c r="R364" s="50" t="s">
        <v>51</v>
      </c>
      <c r="S364" s="4" t="s">
        <v>440</v>
      </c>
      <c r="T364" s="4" t="s">
        <v>81</v>
      </c>
    </row>
    <row r="365" spans="3:20" hidden="1" x14ac:dyDescent="0.25">
      <c r="C365" s="4" t="s">
        <v>623</v>
      </c>
      <c r="D365" s="4" t="s">
        <v>625</v>
      </c>
      <c r="E365" s="4" t="s">
        <v>625</v>
      </c>
      <c r="F365" s="4">
        <v>5.04</v>
      </c>
      <c r="G365" s="4" t="s">
        <v>1042</v>
      </c>
      <c r="H365" s="4" t="s">
        <v>81</v>
      </c>
      <c r="I365" s="4" t="s">
        <v>1030</v>
      </c>
      <c r="J365" s="4" t="s">
        <v>50</v>
      </c>
      <c r="K365" s="4"/>
      <c r="L365" s="4"/>
      <c r="M365" s="4" t="s">
        <v>514</v>
      </c>
      <c r="N365" s="4" t="s">
        <v>623</v>
      </c>
      <c r="O365" s="4" t="s">
        <v>42</v>
      </c>
      <c r="P365" s="50" t="s">
        <v>43</v>
      </c>
      <c r="Q365" s="50"/>
      <c r="R365" s="50" t="s">
        <v>597</v>
      </c>
      <c r="S365" s="4" t="s">
        <v>43</v>
      </c>
      <c r="T365" s="4" t="s">
        <v>81</v>
      </c>
    </row>
    <row r="366" spans="3:20" hidden="1" x14ac:dyDescent="0.25">
      <c r="C366" s="4" t="s">
        <v>841</v>
      </c>
      <c r="D366" s="4" t="s">
        <v>842</v>
      </c>
      <c r="E366" s="4" t="s">
        <v>843</v>
      </c>
      <c r="F366" s="4">
        <v>5.6</v>
      </c>
      <c r="G366" s="4" t="s">
        <v>376</v>
      </c>
      <c r="H366" s="4" t="s">
        <v>46</v>
      </c>
      <c r="I366" s="4" t="s">
        <v>1030</v>
      </c>
      <c r="J366" s="4" t="s">
        <v>146</v>
      </c>
      <c r="K366" s="4"/>
      <c r="L366" s="4"/>
      <c r="M366" s="4" t="s">
        <v>1035</v>
      </c>
      <c r="N366" s="4" t="s">
        <v>841</v>
      </c>
      <c r="O366" s="4"/>
      <c r="P366" s="50"/>
      <c r="Q366" s="50"/>
      <c r="R366" s="50"/>
      <c r="S366" s="4"/>
      <c r="T366" s="4" t="s">
        <v>38</v>
      </c>
    </row>
    <row r="367" spans="3:20" ht="18" hidden="1" x14ac:dyDescent="0.25">
      <c r="F367" s="49">
        <f>SUM(F8:F361)</f>
        <v>1321.5300000000007</v>
      </c>
    </row>
    <row r="369" spans="3:6" x14ac:dyDescent="0.25">
      <c r="F369" s="48">
        <v>5700000</v>
      </c>
    </row>
    <row r="370" spans="3:6" x14ac:dyDescent="0.25">
      <c r="F370" s="48">
        <f>900000*3</f>
        <v>2700000</v>
      </c>
    </row>
    <row r="371" spans="3:6" x14ac:dyDescent="0.25">
      <c r="F371" s="48">
        <f>F369+F370</f>
        <v>8400000</v>
      </c>
    </row>
    <row r="373" spans="3:6" x14ac:dyDescent="0.25">
      <c r="F373" s="48">
        <v>1400000</v>
      </c>
    </row>
    <row r="374" spans="3:6" x14ac:dyDescent="0.25">
      <c r="F374" s="48">
        <f>F370-F373</f>
        <v>1300000</v>
      </c>
    </row>
    <row r="381" spans="3:6" x14ac:dyDescent="0.25">
      <c r="C381" s="4" t="s">
        <v>426</v>
      </c>
    </row>
    <row r="382" spans="3:6" x14ac:dyDescent="0.25">
      <c r="C382" s="4" t="s">
        <v>685</v>
      </c>
    </row>
    <row r="383" spans="3:6" x14ac:dyDescent="0.25">
      <c r="C383" s="4" t="s">
        <v>437</v>
      </c>
    </row>
    <row r="384" spans="3:6" x14ac:dyDescent="0.25">
      <c r="C384" s="4" t="s">
        <v>592</v>
      </c>
    </row>
  </sheetData>
  <autoFilter ref="C7:T367" xr:uid="{02124B76-05C7-4631-843E-5C9801B92E6E}">
    <filterColumn colId="1">
      <colorFilter dxfId="63"/>
    </filterColumn>
    <filterColumn colId="7">
      <filters>
        <filter val="LOPEZ MEZA LUIS JOSÉ"/>
      </filters>
    </filterColumn>
  </autoFilter>
  <pageMargins left="0.7" right="0.7" top="0.75" bottom="0.75" header="0.3" footer="0.3"/>
  <pageSetup paperSize="9" orientation="portrait" r:id="rId1"/>
  <headerFooter>
    <oddFooter>&amp;C_x000D_&amp;1#&amp;"Calibri"&amp;10&amp;K000000 OXXO | Uso Interno</oddFooter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0B5A5-DA0E-48B6-8114-C630BCBF4B01}">
  <dimension ref="C1:S382"/>
  <sheetViews>
    <sheetView topLeftCell="C334" zoomScaleNormal="100" workbookViewId="0">
      <selection activeCell="C1" sqref="C1"/>
    </sheetView>
  </sheetViews>
  <sheetFormatPr baseColWidth="10" defaultColWidth="10.81640625" defaultRowHeight="12.5" x14ac:dyDescent="0.25"/>
  <cols>
    <col min="1" max="1" width="6.453125" style="48" customWidth="1"/>
    <col min="2" max="2" width="5.26953125" style="48" customWidth="1"/>
    <col min="3" max="3" width="17.26953125" style="48" bestFit="1" customWidth="1"/>
    <col min="4" max="4" width="40.54296875" style="48" customWidth="1"/>
    <col min="5" max="5" width="42.54296875" style="48" bestFit="1" customWidth="1"/>
    <col min="6" max="6" width="23" style="48" customWidth="1"/>
    <col min="7" max="8" width="23.54296875" style="48" customWidth="1"/>
    <col min="9" max="9" width="30" style="48" customWidth="1"/>
    <col min="10" max="10" width="39.81640625" style="48" customWidth="1"/>
    <col min="11" max="13" width="31.453125" style="48" customWidth="1"/>
    <col min="14" max="14" width="10.81640625" style="48" customWidth="1"/>
    <col min="15" max="15" width="33.81640625" style="48" customWidth="1"/>
    <col min="16" max="16" width="23" style="48" customWidth="1"/>
    <col min="17" max="17" width="25.453125" style="48" customWidth="1"/>
    <col min="18" max="18" width="34.54296875" style="48" customWidth="1"/>
    <col min="19" max="19" width="16" style="48" bestFit="1" customWidth="1"/>
    <col min="20" max="16384" width="10.81640625" style="48"/>
  </cols>
  <sheetData>
    <row r="1" spans="3:19" x14ac:dyDescent="0.25">
      <c r="C1" s="53">
        <f>184/225</f>
        <v>0.81777777777777783</v>
      </c>
      <c r="D1" s="48">
        <v>14</v>
      </c>
      <c r="E1" s="48">
        <v>13</v>
      </c>
      <c r="F1" s="48">
        <f>E1/D1</f>
        <v>0.9285714285714286</v>
      </c>
    </row>
    <row r="2" spans="3:19" x14ac:dyDescent="0.25">
      <c r="D2" s="48" t="s">
        <v>18</v>
      </c>
      <c r="E2" s="48" t="s">
        <v>1043</v>
      </c>
    </row>
    <row r="3" spans="3:19" x14ac:dyDescent="0.25">
      <c r="D3" s="48">
        <v>5</v>
      </c>
      <c r="E3" s="48">
        <v>4</v>
      </c>
      <c r="F3" s="52">
        <f>E3/D3</f>
        <v>0.8</v>
      </c>
    </row>
    <row r="4" spans="3:19" x14ac:dyDescent="0.25">
      <c r="D4" s="48">
        <v>6</v>
      </c>
      <c r="E4" s="48">
        <v>5</v>
      </c>
      <c r="F4" s="48">
        <f>E4/D4</f>
        <v>0.83333333333333337</v>
      </c>
    </row>
    <row r="5" spans="3:19" x14ac:dyDescent="0.25">
      <c r="D5" s="54">
        <v>3.36</v>
      </c>
      <c r="E5" s="55">
        <f>D5-0.68</f>
        <v>2.6799999999999997</v>
      </c>
      <c r="F5" s="48">
        <f>E5/D5</f>
        <v>0.79761904761904756</v>
      </c>
    </row>
    <row r="6" spans="3:19" x14ac:dyDescent="0.25">
      <c r="C6" s="48">
        <v>1</v>
      </c>
      <c r="D6" s="48">
        <f>C6+1</f>
        <v>2</v>
      </c>
      <c r="E6" s="48">
        <f t="shared" ref="E6:O6" si="0">D6+1</f>
        <v>3</v>
      </c>
      <c r="F6" s="48">
        <f t="shared" si="0"/>
        <v>4</v>
      </c>
      <c r="G6" s="48">
        <v>5</v>
      </c>
      <c r="H6" s="48">
        <f>G6+1</f>
        <v>6</v>
      </c>
      <c r="I6" s="48">
        <f t="shared" si="0"/>
        <v>7</v>
      </c>
      <c r="J6" s="48">
        <f t="shared" si="0"/>
        <v>8</v>
      </c>
      <c r="K6" s="48">
        <f t="shared" si="0"/>
        <v>9</v>
      </c>
      <c r="L6" s="48">
        <f t="shared" si="0"/>
        <v>10</v>
      </c>
      <c r="M6" s="48">
        <f t="shared" si="0"/>
        <v>11</v>
      </c>
      <c r="N6" s="48">
        <f t="shared" si="0"/>
        <v>12</v>
      </c>
      <c r="O6" s="48">
        <f t="shared" si="0"/>
        <v>13</v>
      </c>
      <c r="P6" s="48">
        <v>14</v>
      </c>
      <c r="Q6" s="48">
        <v>15</v>
      </c>
      <c r="R6" s="48">
        <v>16</v>
      </c>
      <c r="S6" s="48">
        <v>17</v>
      </c>
    </row>
    <row r="7" spans="3:19" ht="13" x14ac:dyDescent="0.25">
      <c r="C7" s="1" t="s">
        <v>15</v>
      </c>
      <c r="D7" s="1" t="s">
        <v>16</v>
      </c>
      <c r="E7" s="1" t="s">
        <v>17</v>
      </c>
      <c r="F7" s="1" t="s">
        <v>18</v>
      </c>
      <c r="G7" s="1" t="s">
        <v>1040</v>
      </c>
      <c r="H7" s="1" t="s">
        <v>20</v>
      </c>
      <c r="I7" s="1" t="s">
        <v>21</v>
      </c>
      <c r="J7" s="1" t="s">
        <v>22</v>
      </c>
      <c r="K7" s="1" t="s">
        <v>24</v>
      </c>
      <c r="L7" s="1" t="s">
        <v>25</v>
      </c>
      <c r="M7" s="1" t="s">
        <v>26</v>
      </c>
      <c r="N7" s="1" t="s">
        <v>15</v>
      </c>
      <c r="O7" s="1" t="s">
        <v>27</v>
      </c>
      <c r="P7" s="1" t="s">
        <v>28</v>
      </c>
      <c r="Q7" s="1" t="s">
        <v>29</v>
      </c>
      <c r="R7" s="1" t="s">
        <v>30</v>
      </c>
      <c r="S7" s="1" t="s">
        <v>31</v>
      </c>
    </row>
    <row r="8" spans="3:19" x14ac:dyDescent="0.25">
      <c r="C8" s="4" t="s">
        <v>929</v>
      </c>
      <c r="D8" s="4" t="s">
        <v>930</v>
      </c>
      <c r="E8" s="4" t="s">
        <v>930</v>
      </c>
      <c r="F8" s="4">
        <v>11.68</v>
      </c>
      <c r="G8" s="4" t="s">
        <v>376</v>
      </c>
      <c r="H8" s="4" t="s">
        <v>46</v>
      </c>
      <c r="I8" s="4" t="s">
        <v>1030</v>
      </c>
      <c r="J8" s="4" t="s">
        <v>160</v>
      </c>
      <c r="K8" s="4" t="s">
        <v>353</v>
      </c>
      <c r="L8" s="4" t="s">
        <v>40</v>
      </c>
      <c r="M8" s="4" t="s">
        <v>984</v>
      </c>
      <c r="N8" s="4" t="s">
        <v>929</v>
      </c>
      <c r="O8" s="4" t="s">
        <v>379</v>
      </c>
      <c r="P8" s="50" t="s">
        <v>43</v>
      </c>
      <c r="Q8" s="50">
        <v>112775769.56287731</v>
      </c>
      <c r="R8" s="50" t="s">
        <v>931</v>
      </c>
      <c r="S8" s="4" t="s">
        <v>43</v>
      </c>
    </row>
    <row r="9" spans="3:19" x14ac:dyDescent="0.25">
      <c r="C9" s="4" t="s">
        <v>651</v>
      </c>
      <c r="D9" s="4" t="s">
        <v>652</v>
      </c>
      <c r="E9" s="4" t="s">
        <v>652</v>
      </c>
      <c r="F9" s="4">
        <v>12</v>
      </c>
      <c r="G9" s="4" t="s">
        <v>376</v>
      </c>
      <c r="H9" s="4" t="s">
        <v>46</v>
      </c>
      <c r="I9" s="4" t="s">
        <v>1030</v>
      </c>
      <c r="J9" s="4" t="s">
        <v>248</v>
      </c>
      <c r="K9" s="4" t="s">
        <v>51</v>
      </c>
      <c r="L9" s="4" t="s">
        <v>40</v>
      </c>
      <c r="M9" s="4" t="s">
        <v>984</v>
      </c>
      <c r="N9" s="4" t="s">
        <v>651</v>
      </c>
      <c r="O9" s="4" t="s">
        <v>379</v>
      </c>
      <c r="P9" s="50" t="s">
        <v>43</v>
      </c>
      <c r="Q9" s="50">
        <v>133874210.92526335</v>
      </c>
      <c r="R9" s="50" t="s">
        <v>51</v>
      </c>
      <c r="S9" s="4" t="s">
        <v>43</v>
      </c>
    </row>
    <row r="10" spans="3:19" x14ac:dyDescent="0.25">
      <c r="C10" s="4" t="s">
        <v>373</v>
      </c>
      <c r="D10" s="4" t="s">
        <v>374</v>
      </c>
      <c r="E10" s="4" t="s">
        <v>375</v>
      </c>
      <c r="F10" s="4">
        <v>11.68</v>
      </c>
      <c r="G10" s="4" t="s">
        <v>376</v>
      </c>
      <c r="H10" s="4" t="s">
        <v>46</v>
      </c>
      <c r="I10" s="4" t="s">
        <v>1031</v>
      </c>
      <c r="J10" s="4" t="s">
        <v>63</v>
      </c>
      <c r="K10" s="4" t="s">
        <v>138</v>
      </c>
      <c r="L10" s="4" t="s">
        <v>40</v>
      </c>
      <c r="M10" s="4" t="s">
        <v>378</v>
      </c>
      <c r="N10" s="4" t="s">
        <v>373</v>
      </c>
      <c r="O10" s="4" t="s">
        <v>379</v>
      </c>
      <c r="P10" s="50" t="s">
        <v>43</v>
      </c>
      <c r="Q10" s="50">
        <v>124534286.29749526</v>
      </c>
      <c r="R10" s="50" t="s">
        <v>380</v>
      </c>
      <c r="S10" s="4" t="s">
        <v>43</v>
      </c>
    </row>
    <row r="11" spans="3:19" x14ac:dyDescent="0.25">
      <c r="C11" s="4" t="s">
        <v>699</v>
      </c>
      <c r="D11" s="4" t="s">
        <v>985</v>
      </c>
      <c r="E11" s="4" t="s">
        <v>701</v>
      </c>
      <c r="F11" s="4">
        <v>10</v>
      </c>
      <c r="G11" s="4" t="s">
        <v>376</v>
      </c>
      <c r="H11" s="4" t="s">
        <v>46</v>
      </c>
      <c r="I11" s="4" t="s">
        <v>1031</v>
      </c>
      <c r="J11" s="4" t="s">
        <v>84</v>
      </c>
      <c r="K11" s="4" t="s">
        <v>54</v>
      </c>
      <c r="L11" s="4" t="s">
        <v>55</v>
      </c>
      <c r="M11" s="4" t="s">
        <v>378</v>
      </c>
      <c r="N11" s="4" t="s">
        <v>699</v>
      </c>
      <c r="O11" s="4" t="s">
        <v>379</v>
      </c>
      <c r="P11" s="50" t="s">
        <v>43</v>
      </c>
      <c r="Q11" s="50">
        <v>89651731.093659326</v>
      </c>
      <c r="R11" s="50" t="s">
        <v>702</v>
      </c>
      <c r="S11" s="4" t="s">
        <v>43</v>
      </c>
    </row>
    <row r="12" spans="3:19" x14ac:dyDescent="0.25">
      <c r="C12" s="4" t="s">
        <v>739</v>
      </c>
      <c r="D12" s="4" t="s">
        <v>740</v>
      </c>
      <c r="E12" s="4" t="s">
        <v>740</v>
      </c>
      <c r="F12" s="4">
        <v>9</v>
      </c>
      <c r="G12" s="4" t="s">
        <v>376</v>
      </c>
      <c r="H12" s="4" t="s">
        <v>46</v>
      </c>
      <c r="I12" s="4" t="s">
        <v>1031</v>
      </c>
      <c r="J12" s="4" t="s">
        <v>84</v>
      </c>
      <c r="K12" s="4" t="s">
        <v>54</v>
      </c>
      <c r="L12" s="4" t="s">
        <v>55</v>
      </c>
      <c r="M12" s="4" t="s">
        <v>378</v>
      </c>
      <c r="N12" s="4" t="s">
        <v>739</v>
      </c>
      <c r="O12" s="4" t="s">
        <v>379</v>
      </c>
      <c r="P12" s="50" t="s">
        <v>43</v>
      </c>
      <c r="Q12" s="50">
        <v>76236303.785670519</v>
      </c>
      <c r="R12" s="50" t="s">
        <v>741</v>
      </c>
      <c r="S12" s="4" t="s">
        <v>43</v>
      </c>
    </row>
    <row r="13" spans="3:19" x14ac:dyDescent="0.25">
      <c r="C13" s="4" t="s">
        <v>381</v>
      </c>
      <c r="D13" s="4" t="s">
        <v>382</v>
      </c>
      <c r="E13" s="4" t="s">
        <v>382</v>
      </c>
      <c r="F13" s="4">
        <v>8.4499999999999993</v>
      </c>
      <c r="G13" s="4" t="s">
        <v>376</v>
      </c>
      <c r="H13" s="4" t="s">
        <v>46</v>
      </c>
      <c r="I13" s="4" t="s">
        <v>1031</v>
      </c>
      <c r="J13" s="4" t="s">
        <v>63</v>
      </c>
      <c r="K13" s="4" t="s">
        <v>138</v>
      </c>
      <c r="L13" s="4" t="s">
        <v>40</v>
      </c>
      <c r="M13" s="4" t="s">
        <v>378</v>
      </c>
      <c r="N13" s="4" t="s">
        <v>381</v>
      </c>
      <c r="O13" s="4" t="s">
        <v>379</v>
      </c>
      <c r="P13" s="50" t="s">
        <v>43</v>
      </c>
      <c r="Q13" s="50">
        <v>63538067.809881926</v>
      </c>
      <c r="R13" s="50" t="s">
        <v>380</v>
      </c>
      <c r="S13" s="4" t="s">
        <v>43</v>
      </c>
    </row>
    <row r="14" spans="3:19" x14ac:dyDescent="0.25">
      <c r="C14" s="4" t="s">
        <v>511</v>
      </c>
      <c r="D14" s="4" t="s">
        <v>512</v>
      </c>
      <c r="E14" s="4" t="s">
        <v>513</v>
      </c>
      <c r="F14" s="4">
        <v>10.58</v>
      </c>
      <c r="G14" s="4" t="s">
        <v>376</v>
      </c>
      <c r="H14" s="4" t="s">
        <v>46</v>
      </c>
      <c r="I14" s="4" t="s">
        <v>1030</v>
      </c>
      <c r="J14" s="4" t="s">
        <v>100</v>
      </c>
      <c r="K14" s="4" t="s">
        <v>138</v>
      </c>
      <c r="L14" s="4" t="s">
        <v>40</v>
      </c>
      <c r="M14" s="4" t="s">
        <v>514</v>
      </c>
      <c r="N14" s="4" t="s">
        <v>511</v>
      </c>
      <c r="O14" s="4" t="s">
        <v>379</v>
      </c>
      <c r="P14" s="50" t="s">
        <v>43</v>
      </c>
      <c r="Q14" s="50">
        <v>87286202.94843246</v>
      </c>
      <c r="R14" s="50" t="s">
        <v>515</v>
      </c>
      <c r="S14" s="4" t="s">
        <v>43</v>
      </c>
    </row>
    <row r="15" spans="3:19" x14ac:dyDescent="0.25">
      <c r="C15" s="4" t="s">
        <v>516</v>
      </c>
      <c r="D15" s="4" t="s">
        <v>517</v>
      </c>
      <c r="E15" s="4" t="s">
        <v>518</v>
      </c>
      <c r="F15" s="4">
        <v>10.130000000000001</v>
      </c>
      <c r="G15" s="4" t="s">
        <v>376</v>
      </c>
      <c r="H15" s="4" t="s">
        <v>46</v>
      </c>
      <c r="I15" s="4" t="s">
        <v>1030</v>
      </c>
      <c r="J15" s="4" t="s">
        <v>100</v>
      </c>
      <c r="K15" s="4" t="s">
        <v>205</v>
      </c>
      <c r="L15" s="4" t="s">
        <v>40</v>
      </c>
      <c r="M15" s="4" t="s">
        <v>514</v>
      </c>
      <c r="N15" s="4" t="s">
        <v>516</v>
      </c>
      <c r="O15" s="4" t="s">
        <v>379</v>
      </c>
      <c r="P15" s="50" t="s">
        <v>43</v>
      </c>
      <c r="Q15" s="50">
        <v>81441457.221121192</v>
      </c>
      <c r="R15" s="50" t="s">
        <v>515</v>
      </c>
      <c r="S15" s="4" t="s">
        <v>43</v>
      </c>
    </row>
    <row r="16" spans="3:19" x14ac:dyDescent="0.25">
      <c r="C16" s="4" t="s">
        <v>796</v>
      </c>
      <c r="D16" s="4" t="s">
        <v>797</v>
      </c>
      <c r="E16" s="4" t="s">
        <v>797</v>
      </c>
      <c r="F16" s="4">
        <v>8</v>
      </c>
      <c r="G16" s="4" t="s">
        <v>376</v>
      </c>
      <c r="H16" s="4" t="s">
        <v>81</v>
      </c>
      <c r="I16" s="4" t="s">
        <v>1030</v>
      </c>
      <c r="J16" s="4" t="s">
        <v>146</v>
      </c>
      <c r="K16" s="4" t="s">
        <v>59</v>
      </c>
      <c r="L16" s="4" t="s">
        <v>40</v>
      </c>
      <c r="M16" s="4" t="s">
        <v>1035</v>
      </c>
      <c r="N16" s="4" t="s">
        <v>796</v>
      </c>
      <c r="O16" s="4" t="s">
        <v>379</v>
      </c>
      <c r="P16" s="50" t="s">
        <v>43</v>
      </c>
      <c r="Q16" s="50">
        <v>46991086.912183203</v>
      </c>
      <c r="R16" s="50" t="s">
        <v>799</v>
      </c>
      <c r="S16" s="4" t="s">
        <v>440</v>
      </c>
    </row>
    <row r="17" spans="3:19" x14ac:dyDescent="0.25">
      <c r="C17" s="4" t="s">
        <v>463</v>
      </c>
      <c r="D17" s="4" t="s">
        <v>464</v>
      </c>
      <c r="E17" s="4" t="s">
        <v>465</v>
      </c>
      <c r="F17" s="4">
        <v>8.9</v>
      </c>
      <c r="G17" s="4" t="s">
        <v>376</v>
      </c>
      <c r="H17" s="4" t="s">
        <v>46</v>
      </c>
      <c r="I17" s="4" t="s">
        <v>1030</v>
      </c>
      <c r="J17" s="4" t="s">
        <v>466</v>
      </c>
      <c r="K17" s="4" t="s">
        <v>51</v>
      </c>
      <c r="L17" s="4" t="s">
        <v>40</v>
      </c>
      <c r="M17" s="4" t="s">
        <v>1035</v>
      </c>
      <c r="N17" s="4" t="s">
        <v>463</v>
      </c>
      <c r="O17" s="4" t="s">
        <v>379</v>
      </c>
      <c r="P17" s="50" t="s">
        <v>43</v>
      </c>
      <c r="Q17" s="50">
        <v>77323848.559681073</v>
      </c>
      <c r="R17" s="50" t="s">
        <v>467</v>
      </c>
      <c r="S17" s="4" t="s">
        <v>43</v>
      </c>
    </row>
    <row r="18" spans="3:19" x14ac:dyDescent="0.25">
      <c r="C18" s="4" t="s">
        <v>383</v>
      </c>
      <c r="D18" s="4" t="s">
        <v>384</v>
      </c>
      <c r="E18" s="4" t="s">
        <v>384</v>
      </c>
      <c r="F18" s="4">
        <v>8</v>
      </c>
      <c r="G18" s="4" t="s">
        <v>376</v>
      </c>
      <c r="H18" s="4" t="s">
        <v>46</v>
      </c>
      <c r="I18" s="4" t="s">
        <v>1031</v>
      </c>
      <c r="J18" s="4" t="s">
        <v>63</v>
      </c>
      <c r="K18" s="4" t="s">
        <v>138</v>
      </c>
      <c r="L18" s="4" t="s">
        <v>40</v>
      </c>
      <c r="M18" s="4" t="s">
        <v>378</v>
      </c>
      <c r="N18" s="4" t="s">
        <v>383</v>
      </c>
      <c r="O18" s="4" t="s">
        <v>42</v>
      </c>
      <c r="P18" s="50" t="s">
        <v>43</v>
      </c>
      <c r="Q18" s="50">
        <v>98630857.29107435</v>
      </c>
      <c r="R18" s="50" t="s">
        <v>380</v>
      </c>
      <c r="S18" s="4" t="s">
        <v>43</v>
      </c>
    </row>
    <row r="19" spans="3:19" x14ac:dyDescent="0.25">
      <c r="C19" s="4" t="s">
        <v>646</v>
      </c>
      <c r="D19" s="4" t="s">
        <v>647</v>
      </c>
      <c r="E19" s="4" t="s">
        <v>647</v>
      </c>
      <c r="F19" s="4">
        <v>7</v>
      </c>
      <c r="G19" s="4" t="s">
        <v>376</v>
      </c>
      <c r="H19" s="4" t="s">
        <v>46</v>
      </c>
      <c r="I19" s="4" t="s">
        <v>1030</v>
      </c>
      <c r="J19" s="4" t="s">
        <v>50</v>
      </c>
      <c r="K19" s="4" t="s">
        <v>59</v>
      </c>
      <c r="L19" s="4" t="s">
        <v>40</v>
      </c>
      <c r="M19" s="4" t="s">
        <v>514</v>
      </c>
      <c r="N19" s="4" t="s">
        <v>646</v>
      </c>
      <c r="O19" s="4" t="s">
        <v>42</v>
      </c>
      <c r="P19" s="50" t="s">
        <v>43</v>
      </c>
      <c r="Q19" s="50">
        <v>71132894.640627801</v>
      </c>
      <c r="R19" s="50" t="s">
        <v>597</v>
      </c>
      <c r="S19" s="4" t="s">
        <v>43</v>
      </c>
    </row>
    <row r="20" spans="3:19" x14ac:dyDescent="0.25">
      <c r="C20" s="4" t="s">
        <v>648</v>
      </c>
      <c r="D20" s="4" t="s">
        <v>649</v>
      </c>
      <c r="E20" s="4" t="s">
        <v>650</v>
      </c>
      <c r="F20" s="4">
        <v>7.45</v>
      </c>
      <c r="G20" s="4" t="s">
        <v>376</v>
      </c>
      <c r="H20" s="4" t="s">
        <v>46</v>
      </c>
      <c r="I20" s="4" t="s">
        <v>1030</v>
      </c>
      <c r="J20" s="4" t="s">
        <v>50</v>
      </c>
      <c r="K20" s="4" t="s">
        <v>64</v>
      </c>
      <c r="L20" s="4" t="s">
        <v>40</v>
      </c>
      <c r="M20" s="4" t="s">
        <v>514</v>
      </c>
      <c r="N20" s="4" t="s">
        <v>648</v>
      </c>
      <c r="O20" s="4" t="s">
        <v>42</v>
      </c>
      <c r="P20" s="50" t="s">
        <v>43</v>
      </c>
      <c r="Q20" s="50">
        <v>78715357.523389563</v>
      </c>
      <c r="R20" s="50" t="s">
        <v>597</v>
      </c>
      <c r="S20" s="4" t="s">
        <v>43</v>
      </c>
    </row>
    <row r="21" spans="3:19" x14ac:dyDescent="0.25">
      <c r="C21" s="4" t="s">
        <v>642</v>
      </c>
      <c r="D21" s="4" t="s">
        <v>643</v>
      </c>
      <c r="E21" s="4" t="s">
        <v>643</v>
      </c>
      <c r="F21" s="4">
        <v>5.07</v>
      </c>
      <c r="G21" s="4" t="s">
        <v>376</v>
      </c>
      <c r="H21" s="4" t="s">
        <v>46</v>
      </c>
      <c r="I21" s="4" t="s">
        <v>1030</v>
      </c>
      <c r="J21" s="4" t="s">
        <v>50</v>
      </c>
      <c r="K21" s="4" t="s">
        <v>51</v>
      </c>
      <c r="L21" s="4" t="s">
        <v>40</v>
      </c>
      <c r="M21" s="4" t="s">
        <v>514</v>
      </c>
      <c r="N21" s="4" t="s">
        <v>642</v>
      </c>
      <c r="O21" s="4" t="s">
        <v>42</v>
      </c>
      <c r="P21" s="50" t="s">
        <v>43</v>
      </c>
      <c r="Q21" s="50">
        <v>89868954.783163846</v>
      </c>
      <c r="R21" s="50" t="s">
        <v>597</v>
      </c>
      <c r="S21" s="4" t="s">
        <v>43</v>
      </c>
    </row>
    <row r="22" spans="3:19" x14ac:dyDescent="0.25">
      <c r="C22" s="4" t="s">
        <v>468</v>
      </c>
      <c r="D22" s="4" t="s">
        <v>469</v>
      </c>
      <c r="E22" s="4" t="s">
        <v>470</v>
      </c>
      <c r="F22" s="4">
        <v>8.4499999999999993</v>
      </c>
      <c r="G22" s="4" t="s">
        <v>376</v>
      </c>
      <c r="H22" s="4" t="s">
        <v>46</v>
      </c>
      <c r="I22" s="4" t="s">
        <v>1030</v>
      </c>
      <c r="J22" s="4" t="s">
        <v>466</v>
      </c>
      <c r="K22" s="4" t="s">
        <v>51</v>
      </c>
      <c r="L22" s="4" t="s">
        <v>40</v>
      </c>
      <c r="M22" s="4" t="s">
        <v>1035</v>
      </c>
      <c r="N22" s="4" t="s">
        <v>468</v>
      </c>
      <c r="O22" s="4" t="s">
        <v>42</v>
      </c>
      <c r="P22" s="50" t="s">
        <v>43</v>
      </c>
      <c r="Q22" s="50">
        <v>115445639.34035835</v>
      </c>
      <c r="R22" s="50" t="s">
        <v>467</v>
      </c>
      <c r="S22" s="4" t="s">
        <v>43</v>
      </c>
    </row>
    <row r="23" spans="3:19" x14ac:dyDescent="0.25">
      <c r="C23" s="4" t="s">
        <v>932</v>
      </c>
      <c r="D23" s="4" t="s">
        <v>933</v>
      </c>
      <c r="E23" s="4" t="s">
        <v>933</v>
      </c>
      <c r="F23" s="4">
        <v>7</v>
      </c>
      <c r="G23" s="4" t="s">
        <v>376</v>
      </c>
      <c r="H23" s="4" t="s">
        <v>46</v>
      </c>
      <c r="I23" s="4" t="s">
        <v>1030</v>
      </c>
      <c r="J23" s="4" t="s">
        <v>160</v>
      </c>
      <c r="K23" s="4" t="s">
        <v>353</v>
      </c>
      <c r="L23" s="4" t="s">
        <v>40</v>
      </c>
      <c r="M23" s="4" t="s">
        <v>984</v>
      </c>
      <c r="N23" s="4" t="s">
        <v>932</v>
      </c>
      <c r="O23" s="4" t="s">
        <v>42</v>
      </c>
      <c r="P23" s="50" t="s">
        <v>43</v>
      </c>
      <c r="Q23" s="50">
        <v>63491399.450127386</v>
      </c>
      <c r="R23" s="50" t="s">
        <v>931</v>
      </c>
      <c r="S23" s="4" t="s">
        <v>43</v>
      </c>
    </row>
    <row r="24" spans="3:19" x14ac:dyDescent="0.25">
      <c r="C24" s="4" t="s">
        <v>390</v>
      </c>
      <c r="D24" s="4" t="s">
        <v>391</v>
      </c>
      <c r="E24" s="4" t="s">
        <v>391</v>
      </c>
      <c r="F24" s="4">
        <v>7</v>
      </c>
      <c r="G24" s="4" t="s">
        <v>376</v>
      </c>
      <c r="H24" s="4" t="s">
        <v>46</v>
      </c>
      <c r="I24" s="4" t="s">
        <v>1031</v>
      </c>
      <c r="J24" s="4" t="s">
        <v>63</v>
      </c>
      <c r="K24" s="4" t="s">
        <v>138</v>
      </c>
      <c r="L24" s="4" t="s">
        <v>40</v>
      </c>
      <c r="M24" s="4" t="s">
        <v>378</v>
      </c>
      <c r="N24" s="4" t="s">
        <v>390</v>
      </c>
      <c r="O24" s="4" t="s">
        <v>42</v>
      </c>
      <c r="P24" s="50" t="s">
        <v>43</v>
      </c>
      <c r="Q24" s="50">
        <v>85033924.351537138</v>
      </c>
      <c r="R24" s="50" t="s">
        <v>380</v>
      </c>
      <c r="S24" s="4" t="s">
        <v>43</v>
      </c>
    </row>
    <row r="25" spans="3:19" x14ac:dyDescent="0.25">
      <c r="C25" s="4" t="s">
        <v>883</v>
      </c>
      <c r="D25" s="4" t="s">
        <v>884</v>
      </c>
      <c r="E25" s="4" t="s">
        <v>986</v>
      </c>
      <c r="F25" s="4">
        <v>5.45</v>
      </c>
      <c r="G25" s="4" t="s">
        <v>376</v>
      </c>
      <c r="H25" s="4" t="s">
        <v>46</v>
      </c>
      <c r="I25" s="4" t="s">
        <v>1030</v>
      </c>
      <c r="J25" s="4" t="s">
        <v>73</v>
      </c>
      <c r="K25" s="4" t="s">
        <v>315</v>
      </c>
      <c r="L25" s="4" t="s">
        <v>40</v>
      </c>
      <c r="M25" s="4" t="s">
        <v>514</v>
      </c>
      <c r="N25" s="4" t="s">
        <v>883</v>
      </c>
      <c r="O25" s="4" t="s">
        <v>42</v>
      </c>
      <c r="P25" s="50" t="s">
        <v>440</v>
      </c>
      <c r="Q25" s="50">
        <v>39781057.242998622</v>
      </c>
      <c r="R25" s="50" t="s">
        <v>886</v>
      </c>
      <c r="S25" s="4" t="s">
        <v>43</v>
      </c>
    </row>
    <row r="26" spans="3:19" x14ac:dyDescent="0.25">
      <c r="C26" s="4" t="s">
        <v>387</v>
      </c>
      <c r="D26" s="4" t="s">
        <v>388</v>
      </c>
      <c r="E26" s="4" t="s">
        <v>389</v>
      </c>
      <c r="F26" s="4">
        <v>6.68</v>
      </c>
      <c r="G26" s="4" t="s">
        <v>376</v>
      </c>
      <c r="H26" s="4" t="s">
        <v>46</v>
      </c>
      <c r="I26" s="4" t="s">
        <v>1031</v>
      </c>
      <c r="J26" s="4" t="s">
        <v>63</v>
      </c>
      <c r="K26" s="4" t="s">
        <v>138</v>
      </c>
      <c r="L26" s="4" t="s">
        <v>40</v>
      </c>
      <c r="M26" s="4" t="s">
        <v>378</v>
      </c>
      <c r="N26" s="4" t="s">
        <v>387</v>
      </c>
      <c r="O26" s="4" t="s">
        <v>42</v>
      </c>
      <c r="P26" s="50" t="s">
        <v>43</v>
      </c>
      <c r="Q26" s="50">
        <v>72152679.597882897</v>
      </c>
      <c r="R26" s="50" t="s">
        <v>380</v>
      </c>
      <c r="S26" s="4" t="s">
        <v>43</v>
      </c>
    </row>
    <row r="27" spans="3:19" x14ac:dyDescent="0.25">
      <c r="C27" s="4" t="s">
        <v>519</v>
      </c>
      <c r="D27" s="4" t="s">
        <v>520</v>
      </c>
      <c r="E27" s="4" t="s">
        <v>520</v>
      </c>
      <c r="F27" s="4">
        <v>7</v>
      </c>
      <c r="G27" s="4" t="s">
        <v>376</v>
      </c>
      <c r="H27" s="4" t="s">
        <v>46</v>
      </c>
      <c r="I27" s="4" t="s">
        <v>1030</v>
      </c>
      <c r="J27" s="4" t="s">
        <v>100</v>
      </c>
      <c r="K27" s="4" t="s">
        <v>138</v>
      </c>
      <c r="L27" s="4" t="s">
        <v>40</v>
      </c>
      <c r="M27" s="4" t="s">
        <v>514</v>
      </c>
      <c r="N27" s="4" t="s">
        <v>519</v>
      </c>
      <c r="O27" s="4" t="s">
        <v>42</v>
      </c>
      <c r="P27" s="50" t="s">
        <v>43</v>
      </c>
      <c r="Q27" s="50">
        <v>75975943.400534123</v>
      </c>
      <c r="R27" s="50" t="s">
        <v>515</v>
      </c>
      <c r="S27" s="4" t="s">
        <v>43</v>
      </c>
    </row>
    <row r="28" spans="3:19" x14ac:dyDescent="0.25">
      <c r="C28" s="4" t="s">
        <v>887</v>
      </c>
      <c r="D28" s="4" t="s">
        <v>275</v>
      </c>
      <c r="E28" s="4" t="s">
        <v>888</v>
      </c>
      <c r="F28" s="4">
        <v>8.68</v>
      </c>
      <c r="G28" s="4" t="s">
        <v>376</v>
      </c>
      <c r="H28" s="4" t="s">
        <v>46</v>
      </c>
      <c r="I28" s="4" t="s">
        <v>1030</v>
      </c>
      <c r="J28" s="4" t="s">
        <v>73</v>
      </c>
      <c r="K28" s="4" t="s">
        <v>275</v>
      </c>
      <c r="L28" s="4" t="s">
        <v>40</v>
      </c>
      <c r="M28" s="4" t="s">
        <v>514</v>
      </c>
      <c r="N28" s="4" t="s">
        <v>887</v>
      </c>
      <c r="O28" s="4" t="s">
        <v>42</v>
      </c>
      <c r="P28" s="50" t="s">
        <v>43</v>
      </c>
      <c r="Q28" s="50">
        <v>96229867.599099442</v>
      </c>
      <c r="R28" s="50" t="s">
        <v>886</v>
      </c>
      <c r="S28" s="4" t="s">
        <v>43</v>
      </c>
    </row>
    <row r="29" spans="3:19" ht="13" x14ac:dyDescent="0.25">
      <c r="C29" s="4" t="s">
        <v>654</v>
      </c>
      <c r="D29" s="4" t="s">
        <v>655</v>
      </c>
      <c r="E29" s="4" t="s">
        <v>655</v>
      </c>
      <c r="F29" s="43">
        <v>7</v>
      </c>
      <c r="G29" s="4" t="s">
        <v>376</v>
      </c>
      <c r="H29" s="4" t="s">
        <v>46</v>
      </c>
      <c r="I29" s="4" t="s">
        <v>1030</v>
      </c>
      <c r="J29" s="4" t="s">
        <v>248</v>
      </c>
      <c r="K29" s="4" t="s">
        <v>51</v>
      </c>
      <c r="L29" s="4" t="s">
        <v>40</v>
      </c>
      <c r="M29" s="4" t="s">
        <v>984</v>
      </c>
      <c r="N29" s="4" t="s">
        <v>654</v>
      </c>
      <c r="O29" s="4" t="s">
        <v>42</v>
      </c>
      <c r="P29" s="50" t="s">
        <v>43</v>
      </c>
      <c r="Q29" s="50">
        <v>72488416.04857707</v>
      </c>
      <c r="R29" s="50" t="s">
        <v>51</v>
      </c>
      <c r="S29" s="4" t="s">
        <v>43</v>
      </c>
    </row>
    <row r="30" spans="3:19" x14ac:dyDescent="0.25">
      <c r="C30" s="4" t="s">
        <v>800</v>
      </c>
      <c r="D30" s="4" t="s">
        <v>801</v>
      </c>
      <c r="E30" s="4" t="s">
        <v>801</v>
      </c>
      <c r="F30" s="4">
        <v>7</v>
      </c>
      <c r="G30" s="4" t="s">
        <v>376</v>
      </c>
      <c r="H30" s="4" t="s">
        <v>46</v>
      </c>
      <c r="I30" s="4" t="s">
        <v>1030</v>
      </c>
      <c r="J30" s="4" t="s">
        <v>146</v>
      </c>
      <c r="K30" s="4" t="s">
        <v>59</v>
      </c>
      <c r="L30" s="4" t="s">
        <v>40</v>
      </c>
      <c r="M30" s="4" t="s">
        <v>1035</v>
      </c>
      <c r="N30" s="4" t="s">
        <v>800</v>
      </c>
      <c r="O30" s="4" t="s">
        <v>42</v>
      </c>
      <c r="P30" s="50" t="s">
        <v>43</v>
      </c>
      <c r="Q30" s="50">
        <v>45159464.64812535</v>
      </c>
      <c r="R30" s="50" t="s">
        <v>799</v>
      </c>
      <c r="S30" s="4" t="s">
        <v>43</v>
      </c>
    </row>
    <row r="31" spans="3:19" x14ac:dyDescent="0.25">
      <c r="C31" s="4" t="s">
        <v>385</v>
      </c>
      <c r="D31" s="4" t="s">
        <v>386</v>
      </c>
      <c r="E31" s="4" t="s">
        <v>386</v>
      </c>
      <c r="F31" s="4">
        <v>7</v>
      </c>
      <c r="G31" s="4" t="s">
        <v>376</v>
      </c>
      <c r="H31" s="4" t="s">
        <v>46</v>
      </c>
      <c r="I31" s="4" t="s">
        <v>1031</v>
      </c>
      <c r="J31" s="4" t="s">
        <v>63</v>
      </c>
      <c r="K31" s="4" t="s">
        <v>138</v>
      </c>
      <c r="L31" s="4" t="s">
        <v>40</v>
      </c>
      <c r="M31" s="4" t="s">
        <v>378</v>
      </c>
      <c r="N31" s="4" t="s">
        <v>385</v>
      </c>
      <c r="O31" s="4" t="s">
        <v>42</v>
      </c>
      <c r="P31" s="50" t="s">
        <v>43</v>
      </c>
      <c r="Q31" s="50">
        <v>89781567.399542093</v>
      </c>
      <c r="R31" s="50" t="s">
        <v>380</v>
      </c>
      <c r="S31" s="4" t="s">
        <v>43</v>
      </c>
    </row>
    <row r="32" spans="3:19" x14ac:dyDescent="0.25">
      <c r="C32" s="4" t="s">
        <v>934</v>
      </c>
      <c r="D32" s="4" t="s">
        <v>935</v>
      </c>
      <c r="E32" s="4" t="s">
        <v>935</v>
      </c>
      <c r="F32" s="4">
        <v>7</v>
      </c>
      <c r="G32" s="4" t="s">
        <v>376</v>
      </c>
      <c r="H32" s="4" t="s">
        <v>46</v>
      </c>
      <c r="I32" s="4" t="s">
        <v>1030</v>
      </c>
      <c r="J32" s="4" t="s">
        <v>160</v>
      </c>
      <c r="K32" s="4" t="s">
        <v>353</v>
      </c>
      <c r="L32" s="4" t="s">
        <v>40</v>
      </c>
      <c r="M32" s="4" t="s">
        <v>984</v>
      </c>
      <c r="N32" s="4" t="s">
        <v>934</v>
      </c>
      <c r="O32" s="4" t="s">
        <v>42</v>
      </c>
      <c r="P32" s="50" t="s">
        <v>43</v>
      </c>
      <c r="Q32" s="50">
        <v>63143164.797497667</v>
      </c>
      <c r="R32" s="50" t="s">
        <v>931</v>
      </c>
      <c r="S32" s="4" t="s">
        <v>43</v>
      </c>
    </row>
    <row r="33" spans="3:19" x14ac:dyDescent="0.25">
      <c r="C33" s="4" t="s">
        <v>573</v>
      </c>
      <c r="D33" s="4" t="s">
        <v>574</v>
      </c>
      <c r="E33" s="4" t="s">
        <v>575</v>
      </c>
      <c r="F33" s="4">
        <v>7</v>
      </c>
      <c r="G33" s="4" t="s">
        <v>376</v>
      </c>
      <c r="H33" s="4" t="s">
        <v>46</v>
      </c>
      <c r="I33" s="4" t="s">
        <v>1030</v>
      </c>
      <c r="J33" s="4" t="s">
        <v>331</v>
      </c>
      <c r="K33" s="4" t="s">
        <v>138</v>
      </c>
      <c r="L33" s="4" t="s">
        <v>40</v>
      </c>
      <c r="M33" s="4" t="s">
        <v>984</v>
      </c>
      <c r="N33" s="4" t="s">
        <v>573</v>
      </c>
      <c r="O33" s="4" t="s">
        <v>42</v>
      </c>
      <c r="P33" s="50" t="s">
        <v>440</v>
      </c>
      <c r="Q33" s="50">
        <v>78286930.600699171</v>
      </c>
      <c r="R33" s="50" t="s">
        <v>557</v>
      </c>
      <c r="S33" s="4" t="s">
        <v>43</v>
      </c>
    </row>
    <row r="34" spans="3:19" x14ac:dyDescent="0.25">
      <c r="C34" s="4" t="s">
        <v>804</v>
      </c>
      <c r="D34" s="4" t="s">
        <v>805</v>
      </c>
      <c r="E34" s="4" t="s">
        <v>806</v>
      </c>
      <c r="F34" s="4">
        <v>6.56</v>
      </c>
      <c r="G34" s="4" t="s">
        <v>376</v>
      </c>
      <c r="H34" s="4" t="s">
        <v>46</v>
      </c>
      <c r="I34" s="4" t="s">
        <v>1030</v>
      </c>
      <c r="J34" s="4" t="s">
        <v>146</v>
      </c>
      <c r="K34" s="4" t="s">
        <v>59</v>
      </c>
      <c r="L34" s="4" t="s">
        <v>40</v>
      </c>
      <c r="M34" s="4" t="s">
        <v>1035</v>
      </c>
      <c r="N34" s="4" t="s">
        <v>804</v>
      </c>
      <c r="O34" s="4" t="s">
        <v>42</v>
      </c>
      <c r="P34" s="50" t="s">
        <v>43</v>
      </c>
      <c r="Q34" s="50">
        <v>63499787.140132785</v>
      </c>
      <c r="R34" s="50" t="s">
        <v>799</v>
      </c>
      <c r="S34" s="4" t="s">
        <v>43</v>
      </c>
    </row>
    <row r="35" spans="3:19" x14ac:dyDescent="0.25">
      <c r="C35" s="4" t="s">
        <v>618</v>
      </c>
      <c r="D35" s="4" t="s">
        <v>619</v>
      </c>
      <c r="E35" s="4" t="s">
        <v>619</v>
      </c>
      <c r="F35" s="4">
        <v>6.68</v>
      </c>
      <c r="G35" s="4" t="s">
        <v>376</v>
      </c>
      <c r="H35" s="4" t="s">
        <v>46</v>
      </c>
      <c r="I35" s="4" t="s">
        <v>1030</v>
      </c>
      <c r="J35" s="4" t="s">
        <v>50</v>
      </c>
      <c r="K35" s="4" t="s">
        <v>59</v>
      </c>
      <c r="L35" s="4" t="s">
        <v>40</v>
      </c>
      <c r="M35" s="4" t="s">
        <v>514</v>
      </c>
      <c r="N35" s="4" t="s">
        <v>618</v>
      </c>
      <c r="O35" s="4" t="s">
        <v>42</v>
      </c>
      <c r="P35" s="50" t="s">
        <v>43</v>
      </c>
      <c r="Q35" s="50">
        <v>59949604.711131297</v>
      </c>
      <c r="R35" s="50" t="s">
        <v>597</v>
      </c>
      <c r="S35" s="4" t="s">
        <v>43</v>
      </c>
    </row>
    <row r="36" spans="3:19" x14ac:dyDescent="0.25">
      <c r="C36" s="4" t="s">
        <v>419</v>
      </c>
      <c r="D36" s="4" t="s">
        <v>420</v>
      </c>
      <c r="E36" s="4" t="s">
        <v>64</v>
      </c>
      <c r="F36" s="4">
        <v>6</v>
      </c>
      <c r="G36" s="4" t="s">
        <v>376</v>
      </c>
      <c r="H36" s="4" t="s">
        <v>46</v>
      </c>
      <c r="I36" s="4" t="s">
        <v>1030</v>
      </c>
      <c r="J36" s="4" t="s">
        <v>94</v>
      </c>
      <c r="K36" s="4" t="s">
        <v>64</v>
      </c>
      <c r="L36" s="4" t="s">
        <v>40</v>
      </c>
      <c r="M36" s="4" t="s">
        <v>1035</v>
      </c>
      <c r="N36" s="4" t="s">
        <v>419</v>
      </c>
      <c r="O36" s="4" t="s">
        <v>42</v>
      </c>
      <c r="P36" s="50" t="s">
        <v>43</v>
      </c>
      <c r="Q36" s="50">
        <v>60781634.469640426</v>
      </c>
      <c r="R36" s="50" t="s">
        <v>423</v>
      </c>
      <c r="S36" s="4" t="s">
        <v>43</v>
      </c>
    </row>
    <row r="37" spans="3:19" x14ac:dyDescent="0.25">
      <c r="C37" s="4" t="s">
        <v>521</v>
      </c>
      <c r="D37" s="4" t="s">
        <v>522</v>
      </c>
      <c r="E37" s="4" t="s">
        <v>522</v>
      </c>
      <c r="F37" s="44">
        <v>6</v>
      </c>
      <c r="G37" s="4" t="s">
        <v>376</v>
      </c>
      <c r="H37" s="4" t="s">
        <v>46</v>
      </c>
      <c r="I37" s="4" t="s">
        <v>1030</v>
      </c>
      <c r="J37" s="4" t="s">
        <v>100</v>
      </c>
      <c r="K37" s="4" t="s">
        <v>138</v>
      </c>
      <c r="L37" s="4" t="s">
        <v>40</v>
      </c>
      <c r="M37" s="4" t="s">
        <v>514</v>
      </c>
      <c r="N37" s="4" t="s">
        <v>521</v>
      </c>
      <c r="O37" s="4" t="s">
        <v>42</v>
      </c>
      <c r="P37" s="50" t="s">
        <v>43</v>
      </c>
      <c r="Q37" s="50">
        <v>56731195.364166535</v>
      </c>
      <c r="R37" s="50" t="s">
        <v>515</v>
      </c>
      <c r="S37" s="4" t="s">
        <v>43</v>
      </c>
    </row>
    <row r="38" spans="3:19" x14ac:dyDescent="0.25">
      <c r="C38" s="4" t="s">
        <v>844</v>
      </c>
      <c r="D38" s="4" t="s">
        <v>845</v>
      </c>
      <c r="E38" s="4" t="s">
        <v>846</v>
      </c>
      <c r="F38" s="4">
        <v>6</v>
      </c>
      <c r="G38" s="4" t="s">
        <v>376</v>
      </c>
      <c r="H38" s="4" t="s">
        <v>46</v>
      </c>
      <c r="I38" s="4" t="s">
        <v>1030</v>
      </c>
      <c r="J38" s="4" t="s">
        <v>132</v>
      </c>
      <c r="K38" s="4" t="s">
        <v>138</v>
      </c>
      <c r="L38" s="4" t="s">
        <v>40</v>
      </c>
      <c r="M38" s="4" t="s">
        <v>1035</v>
      </c>
      <c r="N38" s="4" t="s">
        <v>844</v>
      </c>
      <c r="O38" s="4" t="s">
        <v>42</v>
      </c>
      <c r="P38" s="50" t="s">
        <v>43</v>
      </c>
      <c r="Q38" s="50">
        <v>61222123.523738742</v>
      </c>
      <c r="R38" s="50" t="s">
        <v>847</v>
      </c>
      <c r="S38" s="4" t="s">
        <v>43</v>
      </c>
    </row>
    <row r="39" spans="3:19" x14ac:dyDescent="0.25">
      <c r="C39" s="4" t="s">
        <v>889</v>
      </c>
      <c r="D39" s="4" t="s">
        <v>890</v>
      </c>
      <c r="E39" s="4" t="s">
        <v>890</v>
      </c>
      <c r="F39" s="4">
        <v>6</v>
      </c>
      <c r="G39" s="4" t="s">
        <v>376</v>
      </c>
      <c r="H39" s="4" t="s">
        <v>46</v>
      </c>
      <c r="I39" s="4" t="s">
        <v>1030</v>
      </c>
      <c r="J39" s="4" t="s">
        <v>73</v>
      </c>
      <c r="K39" s="4" t="s">
        <v>97</v>
      </c>
      <c r="L39" s="4" t="s">
        <v>40</v>
      </c>
      <c r="M39" s="4" t="s">
        <v>514</v>
      </c>
      <c r="N39" s="4" t="s">
        <v>889</v>
      </c>
      <c r="O39" s="4" t="s">
        <v>42</v>
      </c>
      <c r="P39" s="50" t="s">
        <v>43</v>
      </c>
      <c r="Q39" s="50">
        <v>57522372.444257878</v>
      </c>
      <c r="R39" s="50" t="s">
        <v>886</v>
      </c>
      <c r="S39" s="4" t="s">
        <v>43</v>
      </c>
    </row>
    <row r="40" spans="3:19" x14ac:dyDescent="0.25">
      <c r="C40" s="4" t="s">
        <v>392</v>
      </c>
      <c r="D40" s="4" t="s">
        <v>393</v>
      </c>
      <c r="E40" s="4" t="s">
        <v>393</v>
      </c>
      <c r="F40" s="4">
        <v>5</v>
      </c>
      <c r="G40" s="4" t="s">
        <v>376</v>
      </c>
      <c r="H40" s="4" t="s">
        <v>46</v>
      </c>
      <c r="I40" s="4" t="s">
        <v>1031</v>
      </c>
      <c r="J40" s="4" t="s">
        <v>63</v>
      </c>
      <c r="K40" s="4" t="s">
        <v>138</v>
      </c>
      <c r="L40" s="4" t="s">
        <v>40</v>
      </c>
      <c r="M40" s="4" t="s">
        <v>378</v>
      </c>
      <c r="N40" s="4" t="s">
        <v>392</v>
      </c>
      <c r="O40" s="4" t="s">
        <v>42</v>
      </c>
      <c r="P40" s="50" t="s">
        <v>43</v>
      </c>
      <c r="Q40" s="50">
        <v>54479315.022079527</v>
      </c>
      <c r="R40" s="50" t="s">
        <v>380</v>
      </c>
      <c r="S40" s="4" t="s">
        <v>43</v>
      </c>
    </row>
    <row r="41" spans="3:19" x14ac:dyDescent="0.25">
      <c r="C41" s="4" t="s">
        <v>703</v>
      </c>
      <c r="D41" s="4" t="s">
        <v>704</v>
      </c>
      <c r="E41" s="4" t="s">
        <v>705</v>
      </c>
      <c r="F41" s="4">
        <v>5</v>
      </c>
      <c r="G41" s="4" t="s">
        <v>376</v>
      </c>
      <c r="H41" s="4" t="s">
        <v>46</v>
      </c>
      <c r="I41" s="4" t="s">
        <v>1031</v>
      </c>
      <c r="J41" s="4" t="s">
        <v>84</v>
      </c>
      <c r="K41" s="4" t="s">
        <v>706</v>
      </c>
      <c r="L41" s="4" t="s">
        <v>55</v>
      </c>
      <c r="M41" s="4" t="s">
        <v>378</v>
      </c>
      <c r="N41" s="4" t="s">
        <v>703</v>
      </c>
      <c r="O41" s="4" t="s">
        <v>42</v>
      </c>
      <c r="P41" s="50" t="s">
        <v>43</v>
      </c>
      <c r="Q41" s="50">
        <v>56219938.740000002</v>
      </c>
      <c r="R41" s="50" t="s">
        <v>702</v>
      </c>
      <c r="S41" s="4" t="s">
        <v>43</v>
      </c>
    </row>
    <row r="42" spans="3:19" x14ac:dyDescent="0.25">
      <c r="C42" s="4" t="s">
        <v>34</v>
      </c>
      <c r="D42" s="4" t="s">
        <v>35</v>
      </c>
      <c r="E42" s="4" t="s">
        <v>35</v>
      </c>
      <c r="F42" s="4" t="s">
        <v>36</v>
      </c>
      <c r="G42" s="4" t="s">
        <v>37</v>
      </c>
      <c r="H42" s="4" t="s">
        <v>38</v>
      </c>
      <c r="I42" s="4" t="s">
        <v>1030</v>
      </c>
      <c r="J42" s="4">
        <v>0</v>
      </c>
      <c r="K42" s="4" t="s">
        <v>39</v>
      </c>
      <c r="L42" s="4" t="s">
        <v>40</v>
      </c>
      <c r="M42" s="4">
        <v>0</v>
      </c>
      <c r="N42" s="4" t="s">
        <v>34</v>
      </c>
      <c r="O42" s="4" t="s">
        <v>42</v>
      </c>
      <c r="P42" s="50" t="s">
        <v>43</v>
      </c>
      <c r="Q42" s="50" t="s">
        <v>36</v>
      </c>
      <c r="R42" s="50">
        <v>0</v>
      </c>
      <c r="S42" s="4" t="s">
        <v>36</v>
      </c>
    </row>
    <row r="43" spans="3:19" x14ac:dyDescent="0.25">
      <c r="C43" s="4" t="s">
        <v>424</v>
      </c>
      <c r="D43" s="4" t="s">
        <v>425</v>
      </c>
      <c r="E43" s="4" t="s">
        <v>988</v>
      </c>
      <c r="F43" s="4">
        <v>6</v>
      </c>
      <c r="G43" s="4" t="s">
        <v>37</v>
      </c>
      <c r="H43" s="4" t="s">
        <v>46</v>
      </c>
      <c r="I43" s="4" t="s">
        <v>1030</v>
      </c>
      <c r="J43" s="4" t="s">
        <v>94</v>
      </c>
      <c r="K43" s="4" t="s">
        <v>64</v>
      </c>
      <c r="L43" s="4" t="s">
        <v>40</v>
      </c>
      <c r="M43" s="4" t="s">
        <v>1035</v>
      </c>
      <c r="N43" s="4" t="s">
        <v>424</v>
      </c>
      <c r="O43" s="4" t="s">
        <v>42</v>
      </c>
      <c r="P43" s="50" t="s">
        <v>43</v>
      </c>
      <c r="Q43" s="50" t="s">
        <v>36</v>
      </c>
      <c r="R43" s="50" t="s">
        <v>423</v>
      </c>
      <c r="S43" s="4" t="s">
        <v>36</v>
      </c>
    </row>
    <row r="44" spans="3:19" x14ac:dyDescent="0.25">
      <c r="C44" s="4" t="s">
        <v>471</v>
      </c>
      <c r="D44" s="4" t="s">
        <v>472</v>
      </c>
      <c r="E44" s="4" t="s">
        <v>473</v>
      </c>
      <c r="F44" s="4">
        <v>5</v>
      </c>
      <c r="G44" s="4" t="s">
        <v>376</v>
      </c>
      <c r="H44" s="4" t="s">
        <v>46</v>
      </c>
      <c r="I44" s="4" t="s">
        <v>1030</v>
      </c>
      <c r="J44" s="4" t="s">
        <v>466</v>
      </c>
      <c r="K44" s="4" t="s">
        <v>51</v>
      </c>
      <c r="L44" s="4" t="s">
        <v>40</v>
      </c>
      <c r="M44" s="4" t="s">
        <v>1035</v>
      </c>
      <c r="N44" s="4" t="s">
        <v>471</v>
      </c>
      <c r="O44" s="4" t="s">
        <v>42</v>
      </c>
      <c r="P44" s="50" t="s">
        <v>43</v>
      </c>
      <c r="Q44" s="50">
        <v>49941419.851312824</v>
      </c>
      <c r="R44" s="50" t="s">
        <v>467</v>
      </c>
      <c r="S44" s="4" t="s">
        <v>43</v>
      </c>
    </row>
    <row r="45" spans="3:19" x14ac:dyDescent="0.25">
      <c r="C45" s="4" t="s">
        <v>742</v>
      </c>
      <c r="D45" s="4" t="s">
        <v>744</v>
      </c>
      <c r="E45" s="51" t="s">
        <v>989</v>
      </c>
      <c r="F45" s="4">
        <v>6</v>
      </c>
      <c r="G45" s="4" t="s">
        <v>376</v>
      </c>
      <c r="H45" s="4" t="s">
        <v>46</v>
      </c>
      <c r="I45" s="4" t="s">
        <v>1031</v>
      </c>
      <c r="J45" s="4" t="s">
        <v>84</v>
      </c>
      <c r="K45" s="4" t="s">
        <v>54</v>
      </c>
      <c r="L45" s="4" t="s">
        <v>55</v>
      </c>
      <c r="M45" s="4" t="s">
        <v>378</v>
      </c>
      <c r="N45" s="4" t="s">
        <v>742</v>
      </c>
      <c r="O45" s="4" t="s">
        <v>42</v>
      </c>
      <c r="P45" s="50" t="s">
        <v>440</v>
      </c>
      <c r="Q45" s="50">
        <v>54570464.775227241</v>
      </c>
      <c r="R45" s="50" t="s">
        <v>741</v>
      </c>
      <c r="S45" s="4" t="s">
        <v>43</v>
      </c>
    </row>
    <row r="46" spans="3:19" x14ac:dyDescent="0.25">
      <c r="C46" s="4" t="s">
        <v>707</v>
      </c>
      <c r="D46" s="4" t="s">
        <v>706</v>
      </c>
      <c r="E46" s="4" t="s">
        <v>708</v>
      </c>
      <c r="F46" s="4">
        <v>5</v>
      </c>
      <c r="G46" s="4" t="s">
        <v>376</v>
      </c>
      <c r="H46" s="4" t="s">
        <v>46</v>
      </c>
      <c r="I46" s="4" t="s">
        <v>1031</v>
      </c>
      <c r="J46" s="4" t="s">
        <v>84</v>
      </c>
      <c r="K46" s="4" t="s">
        <v>706</v>
      </c>
      <c r="L46" s="4" t="s">
        <v>55</v>
      </c>
      <c r="M46" s="4" t="s">
        <v>378</v>
      </c>
      <c r="N46" s="4" t="s">
        <v>707</v>
      </c>
      <c r="O46" s="4" t="s">
        <v>42</v>
      </c>
      <c r="P46" s="50" t="s">
        <v>440</v>
      </c>
      <c r="Q46" s="50">
        <v>31397934.821930159</v>
      </c>
      <c r="R46" s="50" t="s">
        <v>702</v>
      </c>
      <c r="S46" s="4" t="s">
        <v>43</v>
      </c>
    </row>
    <row r="47" spans="3:19" x14ac:dyDescent="0.25">
      <c r="C47" s="4" t="s">
        <v>394</v>
      </c>
      <c r="D47" s="4" t="s">
        <v>395</v>
      </c>
      <c r="E47" s="4" t="s">
        <v>395</v>
      </c>
      <c r="F47" s="4">
        <v>6</v>
      </c>
      <c r="G47" s="4" t="s">
        <v>376</v>
      </c>
      <c r="H47" s="4" t="s">
        <v>46</v>
      </c>
      <c r="I47" s="4" t="s">
        <v>1031</v>
      </c>
      <c r="J47" s="4" t="s">
        <v>63</v>
      </c>
      <c r="K47" s="4" t="s">
        <v>138</v>
      </c>
      <c r="L47" s="4" t="s">
        <v>40</v>
      </c>
      <c r="M47" s="4" t="s">
        <v>378</v>
      </c>
      <c r="N47" s="4" t="s">
        <v>394</v>
      </c>
      <c r="O47" s="4" t="s">
        <v>42</v>
      </c>
      <c r="P47" s="50" t="s">
        <v>43</v>
      </c>
      <c r="Q47" s="50">
        <v>63058767.686712146</v>
      </c>
      <c r="R47" s="50" t="s">
        <v>380</v>
      </c>
      <c r="S47" s="4" t="s">
        <v>43</v>
      </c>
    </row>
    <row r="48" spans="3:19" x14ac:dyDescent="0.25">
      <c r="C48" s="4" t="s">
        <v>396</v>
      </c>
      <c r="D48" s="4" t="s">
        <v>397</v>
      </c>
      <c r="E48" s="4" t="s">
        <v>397</v>
      </c>
      <c r="F48" s="4">
        <v>6</v>
      </c>
      <c r="G48" s="4" t="s">
        <v>376</v>
      </c>
      <c r="H48" s="4" t="s">
        <v>46</v>
      </c>
      <c r="I48" s="4" t="s">
        <v>1031</v>
      </c>
      <c r="J48" s="4" t="s">
        <v>63</v>
      </c>
      <c r="K48" s="4" t="s">
        <v>138</v>
      </c>
      <c r="L48" s="4" t="s">
        <v>40</v>
      </c>
      <c r="M48" s="4" t="s">
        <v>378</v>
      </c>
      <c r="N48" s="4" t="s">
        <v>396</v>
      </c>
      <c r="O48" s="4" t="s">
        <v>42</v>
      </c>
      <c r="P48" s="50" t="s">
        <v>43</v>
      </c>
      <c r="Q48" s="50">
        <v>46334510.39920716</v>
      </c>
      <c r="R48" s="50" t="s">
        <v>380</v>
      </c>
      <c r="S48" s="4" t="s">
        <v>43</v>
      </c>
    </row>
    <row r="49" spans="3:19" x14ac:dyDescent="0.25">
      <c r="C49" s="4" t="s">
        <v>848</v>
      </c>
      <c r="D49" s="4" t="s">
        <v>849</v>
      </c>
      <c r="E49" s="4" t="s">
        <v>849</v>
      </c>
      <c r="F49" s="4">
        <v>9.68</v>
      </c>
      <c r="G49" s="4" t="s">
        <v>376</v>
      </c>
      <c r="H49" s="4" t="s">
        <v>46</v>
      </c>
      <c r="I49" s="4" t="s">
        <v>1030</v>
      </c>
      <c r="J49" s="4" t="s">
        <v>132</v>
      </c>
      <c r="K49" s="4" t="s">
        <v>138</v>
      </c>
      <c r="L49" s="4" t="s">
        <v>40</v>
      </c>
      <c r="M49" s="4" t="s">
        <v>1035</v>
      </c>
      <c r="N49" s="4" t="s">
        <v>848</v>
      </c>
      <c r="O49" s="4" t="s">
        <v>42</v>
      </c>
      <c r="P49" s="50" t="s">
        <v>43</v>
      </c>
      <c r="Q49" s="50">
        <v>79735707.137023851</v>
      </c>
      <c r="R49" s="50" t="s">
        <v>847</v>
      </c>
      <c r="S49" s="4" t="s">
        <v>43</v>
      </c>
    </row>
    <row r="50" spans="3:19" x14ac:dyDescent="0.25">
      <c r="C50" s="4" t="s">
        <v>936</v>
      </c>
      <c r="D50" s="4" t="s">
        <v>937</v>
      </c>
      <c r="E50" s="4" t="s">
        <v>938</v>
      </c>
      <c r="F50" s="4">
        <v>5</v>
      </c>
      <c r="G50" s="4" t="s">
        <v>376</v>
      </c>
      <c r="H50" s="4" t="s">
        <v>46</v>
      </c>
      <c r="I50" s="4" t="s">
        <v>1030</v>
      </c>
      <c r="J50" s="4" t="s">
        <v>160</v>
      </c>
      <c r="K50" s="4" t="s">
        <v>138</v>
      </c>
      <c r="L50" s="4" t="s">
        <v>40</v>
      </c>
      <c r="M50" s="4" t="s">
        <v>984</v>
      </c>
      <c r="N50" s="4" t="s">
        <v>936</v>
      </c>
      <c r="O50" s="4" t="s">
        <v>42</v>
      </c>
      <c r="P50" s="50" t="s">
        <v>43</v>
      </c>
      <c r="Q50" s="50">
        <v>49276992.986560598</v>
      </c>
      <c r="R50" s="50" t="s">
        <v>931</v>
      </c>
      <c r="S50" s="4" t="s">
        <v>43</v>
      </c>
    </row>
    <row r="51" spans="3:19" x14ac:dyDescent="0.25">
      <c r="C51" s="4" t="s">
        <v>939</v>
      </c>
      <c r="D51" s="4" t="s">
        <v>39</v>
      </c>
      <c r="E51" s="4" t="s">
        <v>39</v>
      </c>
      <c r="F51" s="4">
        <v>6.45</v>
      </c>
      <c r="G51" s="4" t="s">
        <v>376</v>
      </c>
      <c r="H51" s="4" t="s">
        <v>46</v>
      </c>
      <c r="I51" s="4" t="s">
        <v>1030</v>
      </c>
      <c r="J51" s="4" t="s">
        <v>160</v>
      </c>
      <c r="K51" s="4" t="s">
        <v>39</v>
      </c>
      <c r="L51" s="4" t="s">
        <v>40</v>
      </c>
      <c r="M51" s="4" t="s">
        <v>984</v>
      </c>
      <c r="N51" s="4" t="s">
        <v>939</v>
      </c>
      <c r="O51" s="4" t="s">
        <v>42</v>
      </c>
      <c r="P51" s="50" t="s">
        <v>43</v>
      </c>
      <c r="Q51" s="50">
        <v>70586340.972137973</v>
      </c>
      <c r="R51" s="50" t="s">
        <v>931</v>
      </c>
      <c r="S51" s="4" t="s">
        <v>43</v>
      </c>
    </row>
    <row r="52" spans="3:19" x14ac:dyDescent="0.25">
      <c r="C52" s="4" t="s">
        <v>44</v>
      </c>
      <c r="D52" s="4" t="s">
        <v>45</v>
      </c>
      <c r="E52" s="4" t="s">
        <v>45</v>
      </c>
      <c r="F52" s="4" t="s">
        <v>36</v>
      </c>
      <c r="G52" s="4" t="s">
        <v>37</v>
      </c>
      <c r="H52" s="4" t="s">
        <v>46</v>
      </c>
      <c r="I52" s="4" t="s">
        <v>1030</v>
      </c>
      <c r="J52" s="4">
        <v>0</v>
      </c>
      <c r="K52" s="4" t="s">
        <v>47</v>
      </c>
      <c r="L52" s="4" t="s">
        <v>40</v>
      </c>
      <c r="M52" s="4">
        <v>0</v>
      </c>
      <c r="N52" s="4" t="s">
        <v>44</v>
      </c>
      <c r="O52" s="4" t="s">
        <v>42</v>
      </c>
      <c r="P52" s="50" t="s">
        <v>43</v>
      </c>
      <c r="Q52" s="50" t="s">
        <v>36</v>
      </c>
      <c r="R52" s="50">
        <v>0</v>
      </c>
      <c r="S52" s="4" t="s">
        <v>36</v>
      </c>
    </row>
    <row r="53" spans="3:19" x14ac:dyDescent="0.25">
      <c r="C53" s="4" t="s">
        <v>940</v>
      </c>
      <c r="D53" s="4" t="s">
        <v>941</v>
      </c>
      <c r="E53" s="4" t="s">
        <v>941</v>
      </c>
      <c r="F53" s="44">
        <v>9</v>
      </c>
      <c r="G53" s="4" t="s">
        <v>376</v>
      </c>
      <c r="H53" s="4" t="s">
        <v>46</v>
      </c>
      <c r="I53" s="4" t="s">
        <v>1030</v>
      </c>
      <c r="J53" s="4" t="s">
        <v>160</v>
      </c>
      <c r="K53" s="4" t="s">
        <v>371</v>
      </c>
      <c r="L53" s="4" t="s">
        <v>40</v>
      </c>
      <c r="M53" s="4" t="s">
        <v>984</v>
      </c>
      <c r="N53" s="4" t="s">
        <v>940</v>
      </c>
      <c r="O53" s="4" t="s">
        <v>379</v>
      </c>
      <c r="P53" s="50" t="s">
        <v>43</v>
      </c>
      <c r="Q53" s="50">
        <v>69995911.881469473</v>
      </c>
      <c r="R53" s="50" t="s">
        <v>931</v>
      </c>
      <c r="S53" s="4" t="s">
        <v>43</v>
      </c>
    </row>
    <row r="54" spans="3:19" x14ac:dyDescent="0.25">
      <c r="C54" s="4" t="s">
        <v>850</v>
      </c>
      <c r="D54" s="4" t="s">
        <v>851</v>
      </c>
      <c r="E54" s="4" t="s">
        <v>851</v>
      </c>
      <c r="F54" s="4">
        <v>6</v>
      </c>
      <c r="G54" s="4" t="s">
        <v>376</v>
      </c>
      <c r="H54" s="4" t="s">
        <v>46</v>
      </c>
      <c r="I54" s="4" t="s">
        <v>1030</v>
      </c>
      <c r="J54" s="4" t="s">
        <v>132</v>
      </c>
      <c r="K54" s="4" t="s">
        <v>138</v>
      </c>
      <c r="L54" s="4" t="s">
        <v>40</v>
      </c>
      <c r="M54" s="4" t="s">
        <v>1035</v>
      </c>
      <c r="N54" s="4" t="s">
        <v>850</v>
      </c>
      <c r="O54" s="4" t="s">
        <v>42</v>
      </c>
      <c r="P54" s="50" t="s">
        <v>43</v>
      </c>
      <c r="Q54" s="50">
        <v>54732935.22296901</v>
      </c>
      <c r="R54" s="50" t="s">
        <v>847</v>
      </c>
      <c r="S54" s="4" t="s">
        <v>43</v>
      </c>
    </row>
    <row r="55" spans="3:19" x14ac:dyDescent="0.25">
      <c r="C55" s="4" t="s">
        <v>474</v>
      </c>
      <c r="D55" s="4" t="s">
        <v>475</v>
      </c>
      <c r="E55" s="4" t="s">
        <v>475</v>
      </c>
      <c r="F55" s="4">
        <v>6</v>
      </c>
      <c r="G55" s="4" t="s">
        <v>376</v>
      </c>
      <c r="H55" s="4" t="s">
        <v>46</v>
      </c>
      <c r="I55" s="4" t="s">
        <v>1030</v>
      </c>
      <c r="J55" s="4" t="s">
        <v>466</v>
      </c>
      <c r="K55" s="4" t="s">
        <v>51</v>
      </c>
      <c r="L55" s="4" t="s">
        <v>40</v>
      </c>
      <c r="M55" s="4">
        <v>0</v>
      </c>
      <c r="N55" s="4" t="s">
        <v>474</v>
      </c>
      <c r="O55" s="4" t="s">
        <v>42</v>
      </c>
      <c r="P55" s="50" t="s">
        <v>43</v>
      </c>
      <c r="Q55" s="50">
        <v>73684863.300144807</v>
      </c>
      <c r="R55" s="50" t="s">
        <v>467</v>
      </c>
      <c r="S55" s="4" t="s">
        <v>43</v>
      </c>
    </row>
    <row r="56" spans="3:19" x14ac:dyDescent="0.25">
      <c r="C56" s="4" t="s">
        <v>555</v>
      </c>
      <c r="D56" s="4" t="s">
        <v>556</v>
      </c>
      <c r="E56" s="4" t="s">
        <v>556</v>
      </c>
      <c r="F56" s="4">
        <v>5</v>
      </c>
      <c r="G56" s="4" t="s">
        <v>376</v>
      </c>
      <c r="H56" s="4" t="s">
        <v>46</v>
      </c>
      <c r="I56" s="4" t="s">
        <v>1030</v>
      </c>
      <c r="J56" s="4" t="s">
        <v>331</v>
      </c>
      <c r="K56" s="4" t="s">
        <v>138</v>
      </c>
      <c r="L56" s="4" t="s">
        <v>40</v>
      </c>
      <c r="M56" s="4" t="s">
        <v>984</v>
      </c>
      <c r="N56" s="4" t="s">
        <v>555</v>
      </c>
      <c r="O56" s="4" t="s">
        <v>42</v>
      </c>
      <c r="P56" s="50" t="s">
        <v>43</v>
      </c>
      <c r="Q56" s="50">
        <v>46856927.94333864</v>
      </c>
      <c r="R56" s="50" t="s">
        <v>557</v>
      </c>
      <c r="S56" s="4" t="s">
        <v>43</v>
      </c>
    </row>
    <row r="57" spans="3:19" x14ac:dyDescent="0.25">
      <c r="C57" s="4" t="s">
        <v>745</v>
      </c>
      <c r="D57" s="4" t="s">
        <v>746</v>
      </c>
      <c r="E57" s="4" t="s">
        <v>746</v>
      </c>
      <c r="F57" s="4">
        <v>9</v>
      </c>
      <c r="G57" s="4" t="s">
        <v>376</v>
      </c>
      <c r="H57" s="4" t="s">
        <v>46</v>
      </c>
      <c r="I57" s="4" t="s">
        <v>1031</v>
      </c>
      <c r="J57" s="4" t="s">
        <v>84</v>
      </c>
      <c r="K57" s="4" t="s">
        <v>279</v>
      </c>
      <c r="L57" s="4" t="s">
        <v>55</v>
      </c>
      <c r="M57" s="4" t="s">
        <v>378</v>
      </c>
      <c r="N57" s="4" t="s">
        <v>745</v>
      </c>
      <c r="O57" s="4" t="s">
        <v>379</v>
      </c>
      <c r="P57" s="50" t="s">
        <v>43</v>
      </c>
      <c r="Q57" s="50">
        <v>95716634.627310738</v>
      </c>
      <c r="R57" s="50" t="s">
        <v>741</v>
      </c>
      <c r="S57" s="4" t="s">
        <v>43</v>
      </c>
    </row>
    <row r="58" spans="3:19" x14ac:dyDescent="0.25">
      <c r="C58" s="4" t="s">
        <v>656</v>
      </c>
      <c r="D58" s="4" t="s">
        <v>657</v>
      </c>
      <c r="E58" s="4" t="s">
        <v>658</v>
      </c>
      <c r="F58" s="4">
        <v>5</v>
      </c>
      <c r="G58" s="4" t="s">
        <v>376</v>
      </c>
      <c r="H58" s="4" t="s">
        <v>46</v>
      </c>
      <c r="I58" s="4" t="s">
        <v>1030</v>
      </c>
      <c r="J58" s="4" t="s">
        <v>248</v>
      </c>
      <c r="K58" s="4" t="s">
        <v>51</v>
      </c>
      <c r="L58" s="4" t="s">
        <v>40</v>
      </c>
      <c r="M58" s="4" t="s">
        <v>984</v>
      </c>
      <c r="N58" s="4" t="s">
        <v>656</v>
      </c>
      <c r="O58" s="4" t="s">
        <v>42</v>
      </c>
      <c r="P58" s="50" t="s">
        <v>43</v>
      </c>
      <c r="Q58" s="50">
        <v>40461203.216717482</v>
      </c>
      <c r="R58" s="50" t="s">
        <v>51</v>
      </c>
      <c r="S58" s="4" t="s">
        <v>43</v>
      </c>
    </row>
    <row r="59" spans="3:19" x14ac:dyDescent="0.25">
      <c r="C59" s="4" t="s">
        <v>523</v>
      </c>
      <c r="D59" s="4" t="s">
        <v>524</v>
      </c>
      <c r="E59" s="4" t="s">
        <v>524</v>
      </c>
      <c r="F59" s="4">
        <v>6</v>
      </c>
      <c r="G59" s="4" t="s">
        <v>376</v>
      </c>
      <c r="H59" s="4" t="s">
        <v>46</v>
      </c>
      <c r="I59" s="4" t="s">
        <v>1030</v>
      </c>
      <c r="J59" s="4" t="s">
        <v>100</v>
      </c>
      <c r="K59" s="4" t="s">
        <v>138</v>
      </c>
      <c r="L59" s="4" t="s">
        <v>40</v>
      </c>
      <c r="M59" s="4" t="s">
        <v>514</v>
      </c>
      <c r="N59" s="4" t="s">
        <v>523</v>
      </c>
      <c r="O59" s="4" t="s">
        <v>42</v>
      </c>
      <c r="P59" s="50" t="s">
        <v>43</v>
      </c>
      <c r="Q59" s="50">
        <v>56772005.081436746</v>
      </c>
      <c r="R59" s="50" t="s">
        <v>515</v>
      </c>
      <c r="S59" s="4" t="s">
        <v>43</v>
      </c>
    </row>
    <row r="60" spans="3:19" x14ac:dyDescent="0.25">
      <c r="C60" s="4" t="s">
        <v>476</v>
      </c>
      <c r="D60" s="4" t="s">
        <v>477</v>
      </c>
      <c r="E60" s="4" t="s">
        <v>477</v>
      </c>
      <c r="F60" s="4">
        <v>5</v>
      </c>
      <c r="G60" s="4" t="s">
        <v>376</v>
      </c>
      <c r="H60" s="4" t="s">
        <v>46</v>
      </c>
      <c r="I60" s="4" t="s">
        <v>1030</v>
      </c>
      <c r="J60" s="4" t="s">
        <v>466</v>
      </c>
      <c r="K60" s="4" t="s">
        <v>51</v>
      </c>
      <c r="L60" s="4" t="s">
        <v>40</v>
      </c>
      <c r="M60" s="4" t="s">
        <v>1035</v>
      </c>
      <c r="N60" s="4" t="s">
        <v>476</v>
      </c>
      <c r="O60" s="4" t="s">
        <v>42</v>
      </c>
      <c r="P60" s="50" t="s">
        <v>43</v>
      </c>
      <c r="Q60" s="50">
        <v>70119596.602584064</v>
      </c>
      <c r="R60" s="50" t="s">
        <v>467</v>
      </c>
      <c r="S60" s="4" t="s">
        <v>43</v>
      </c>
    </row>
    <row r="61" spans="3:19" x14ac:dyDescent="0.25">
      <c r="C61" s="4" t="s">
        <v>659</v>
      </c>
      <c r="D61" s="4" t="s">
        <v>660</v>
      </c>
      <c r="E61" s="4" t="s">
        <v>661</v>
      </c>
      <c r="F61" s="4">
        <v>6</v>
      </c>
      <c r="G61" s="4" t="s">
        <v>376</v>
      </c>
      <c r="H61" s="4" t="s">
        <v>46</v>
      </c>
      <c r="I61" s="4" t="s">
        <v>1030</v>
      </c>
      <c r="J61" s="4" t="s">
        <v>248</v>
      </c>
      <c r="K61" s="4" t="s">
        <v>51</v>
      </c>
      <c r="L61" s="4" t="s">
        <v>40</v>
      </c>
      <c r="M61" s="4" t="s">
        <v>984</v>
      </c>
      <c r="N61" s="4" t="s">
        <v>659</v>
      </c>
      <c r="O61" s="4" t="s">
        <v>42</v>
      </c>
      <c r="P61" s="50" t="s">
        <v>43</v>
      </c>
      <c r="Q61" s="50">
        <v>41960496.332363345</v>
      </c>
      <c r="R61" s="50" t="s">
        <v>51</v>
      </c>
      <c r="S61" s="4" t="s">
        <v>43</v>
      </c>
    </row>
    <row r="62" spans="3:19" x14ac:dyDescent="0.25">
      <c r="C62" s="4" t="s">
        <v>644</v>
      </c>
      <c r="D62" s="4" t="s">
        <v>645</v>
      </c>
      <c r="E62" s="4" t="s">
        <v>645</v>
      </c>
      <c r="F62" s="4">
        <v>5.07</v>
      </c>
      <c r="G62" s="4" t="s">
        <v>376</v>
      </c>
      <c r="H62" s="4" t="s">
        <v>81</v>
      </c>
      <c r="I62" s="4" t="s">
        <v>1030</v>
      </c>
      <c r="J62" s="4" t="s">
        <v>50</v>
      </c>
      <c r="K62" s="4" t="s">
        <v>51</v>
      </c>
      <c r="L62" s="4" t="s">
        <v>40</v>
      </c>
      <c r="M62" s="4" t="s">
        <v>514</v>
      </c>
      <c r="N62" s="4" t="s">
        <v>644</v>
      </c>
      <c r="O62" s="4" t="s">
        <v>42</v>
      </c>
      <c r="P62" s="50" t="s">
        <v>43</v>
      </c>
      <c r="Q62" s="50">
        <v>79774767.274384141</v>
      </c>
      <c r="R62" s="50" t="s">
        <v>597</v>
      </c>
      <c r="S62" s="4" t="s">
        <v>43</v>
      </c>
    </row>
    <row r="63" spans="3:19" x14ac:dyDescent="0.25">
      <c r="C63" s="4" t="s">
        <v>398</v>
      </c>
      <c r="D63" s="4" t="s">
        <v>399</v>
      </c>
      <c r="E63" s="4" t="s">
        <v>399</v>
      </c>
      <c r="F63" s="4">
        <v>5</v>
      </c>
      <c r="G63" s="4" t="s">
        <v>376</v>
      </c>
      <c r="H63" s="4" t="s">
        <v>46</v>
      </c>
      <c r="I63" s="4" t="s">
        <v>1031</v>
      </c>
      <c r="J63" s="4" t="s">
        <v>63</v>
      </c>
      <c r="K63" s="4" t="s">
        <v>138</v>
      </c>
      <c r="L63" s="4" t="s">
        <v>40</v>
      </c>
      <c r="M63" s="4" t="s">
        <v>378</v>
      </c>
      <c r="N63" s="4" t="s">
        <v>398</v>
      </c>
      <c r="O63" s="4" t="s">
        <v>42</v>
      </c>
      <c r="P63" s="50" t="s">
        <v>43</v>
      </c>
      <c r="Q63" s="50">
        <v>56162794.864758506</v>
      </c>
      <c r="R63" s="50" t="s">
        <v>380</v>
      </c>
      <c r="S63" s="4" t="s">
        <v>43</v>
      </c>
    </row>
    <row r="64" spans="3:19" x14ac:dyDescent="0.25">
      <c r="C64" s="4" t="s">
        <v>634</v>
      </c>
      <c r="D64" s="4" t="s">
        <v>635</v>
      </c>
      <c r="E64" s="4" t="s">
        <v>635</v>
      </c>
      <c r="F64" s="4">
        <v>6</v>
      </c>
      <c r="G64" s="4" t="s">
        <v>376</v>
      </c>
      <c r="H64" s="4" t="s">
        <v>46</v>
      </c>
      <c r="I64" s="4" t="s">
        <v>1030</v>
      </c>
      <c r="J64" s="4" t="s">
        <v>50</v>
      </c>
      <c r="K64" s="4" t="s">
        <v>59</v>
      </c>
      <c r="L64" s="4" t="s">
        <v>40</v>
      </c>
      <c r="M64" s="4" t="s">
        <v>514</v>
      </c>
      <c r="N64" s="4" t="s">
        <v>634</v>
      </c>
      <c r="O64" s="4" t="s">
        <v>42</v>
      </c>
      <c r="P64" s="50" t="s">
        <v>43</v>
      </c>
      <c r="Q64" s="50">
        <v>63595870.468812659</v>
      </c>
      <c r="R64" s="50" t="s">
        <v>597</v>
      </c>
      <c r="S64" s="4" t="s">
        <v>43</v>
      </c>
    </row>
    <row r="65" spans="3:19" x14ac:dyDescent="0.25">
      <c r="C65" s="4" t="s">
        <v>558</v>
      </c>
      <c r="D65" s="4" t="s">
        <v>559</v>
      </c>
      <c r="E65" s="4" t="s">
        <v>560</v>
      </c>
      <c r="F65" s="4">
        <v>6</v>
      </c>
      <c r="G65" s="4" t="s">
        <v>376</v>
      </c>
      <c r="H65" s="4" t="s">
        <v>46</v>
      </c>
      <c r="I65" s="4" t="s">
        <v>1030</v>
      </c>
      <c r="J65" s="4" t="s">
        <v>331</v>
      </c>
      <c r="K65" s="4" t="s">
        <v>138</v>
      </c>
      <c r="L65" s="4" t="s">
        <v>40</v>
      </c>
      <c r="M65" s="4" t="s">
        <v>984</v>
      </c>
      <c r="N65" s="4" t="s">
        <v>558</v>
      </c>
      <c r="O65" s="4" t="s">
        <v>42</v>
      </c>
      <c r="P65" s="50" t="s">
        <v>43</v>
      </c>
      <c r="Q65" s="50">
        <v>69065770.656985804</v>
      </c>
      <c r="R65" s="50" t="s">
        <v>557</v>
      </c>
      <c r="S65" s="4" t="s">
        <v>43</v>
      </c>
    </row>
    <row r="66" spans="3:19" x14ac:dyDescent="0.25">
      <c r="C66" s="4" t="s">
        <v>561</v>
      </c>
      <c r="D66" s="4" t="s">
        <v>562</v>
      </c>
      <c r="E66" s="4" t="s">
        <v>563</v>
      </c>
      <c r="F66" s="4">
        <v>6</v>
      </c>
      <c r="G66" s="4" t="s">
        <v>376</v>
      </c>
      <c r="H66" s="4" t="s">
        <v>46</v>
      </c>
      <c r="I66" s="4" t="s">
        <v>1030</v>
      </c>
      <c r="J66" s="4" t="s">
        <v>331</v>
      </c>
      <c r="K66" s="4" t="s">
        <v>138</v>
      </c>
      <c r="L66" s="4" t="s">
        <v>40</v>
      </c>
      <c r="M66" s="4" t="s">
        <v>984</v>
      </c>
      <c r="N66" s="4" t="s">
        <v>561</v>
      </c>
      <c r="O66" s="4" t="s">
        <v>42</v>
      </c>
      <c r="P66" s="50" t="s">
        <v>43</v>
      </c>
      <c r="Q66" s="50">
        <v>41697776.084397741</v>
      </c>
      <c r="R66" s="50" t="s">
        <v>557</v>
      </c>
      <c r="S66" s="4" t="s">
        <v>43</v>
      </c>
    </row>
    <row r="67" spans="3:19" x14ac:dyDescent="0.25">
      <c r="C67" s="4" t="s">
        <v>478</v>
      </c>
      <c r="D67" s="4" t="s">
        <v>479</v>
      </c>
      <c r="E67" s="4" t="s">
        <v>479</v>
      </c>
      <c r="F67" s="4">
        <v>5</v>
      </c>
      <c r="G67" s="4" t="s">
        <v>376</v>
      </c>
      <c r="H67" s="4" t="s">
        <v>46</v>
      </c>
      <c r="I67" s="4" t="s">
        <v>1030</v>
      </c>
      <c r="J67" s="4" t="s">
        <v>466</v>
      </c>
      <c r="K67" s="4" t="s">
        <v>51</v>
      </c>
      <c r="L67" s="4" t="s">
        <v>40</v>
      </c>
      <c r="M67" s="4" t="s">
        <v>1035</v>
      </c>
      <c r="N67" s="4" t="s">
        <v>478</v>
      </c>
      <c r="O67" s="4" t="s">
        <v>42</v>
      </c>
      <c r="P67" s="50" t="s">
        <v>43</v>
      </c>
      <c r="Q67" s="50">
        <v>68029346.467390686</v>
      </c>
      <c r="R67" s="50" t="s">
        <v>467</v>
      </c>
      <c r="S67" s="4" t="s">
        <v>43</v>
      </c>
    </row>
    <row r="68" spans="3:19" x14ac:dyDescent="0.25">
      <c r="C68" s="4" t="s">
        <v>852</v>
      </c>
      <c r="D68" s="4" t="s">
        <v>853</v>
      </c>
      <c r="E68" s="4" t="s">
        <v>853</v>
      </c>
      <c r="F68" s="4">
        <v>5</v>
      </c>
      <c r="G68" s="4" t="s">
        <v>376</v>
      </c>
      <c r="H68" s="4" t="s">
        <v>46</v>
      </c>
      <c r="I68" s="4" t="s">
        <v>1030</v>
      </c>
      <c r="J68" s="4" t="s">
        <v>132</v>
      </c>
      <c r="K68" s="4" t="s">
        <v>138</v>
      </c>
      <c r="L68" s="4" t="s">
        <v>40</v>
      </c>
      <c r="M68" s="4" t="s">
        <v>1035</v>
      </c>
      <c r="N68" s="4" t="s">
        <v>852</v>
      </c>
      <c r="O68" s="4" t="s">
        <v>42</v>
      </c>
      <c r="P68" s="50" t="s">
        <v>43</v>
      </c>
      <c r="Q68" s="50">
        <v>48014544.016975418</v>
      </c>
      <c r="R68" s="50" t="s">
        <v>847</v>
      </c>
      <c r="S68" s="4" t="s">
        <v>43</v>
      </c>
    </row>
    <row r="69" spans="3:19" x14ac:dyDescent="0.25">
      <c r="C69" s="4" t="s">
        <v>426</v>
      </c>
      <c r="D69" s="4" t="s">
        <v>427</v>
      </c>
      <c r="E69" s="4" t="s">
        <v>428</v>
      </c>
      <c r="F69" s="4">
        <v>5</v>
      </c>
      <c r="G69" s="4" t="s">
        <v>376</v>
      </c>
      <c r="H69" s="4" t="s">
        <v>46</v>
      </c>
      <c r="I69" s="4" t="s">
        <v>1030</v>
      </c>
      <c r="J69" s="4" t="s">
        <v>94</v>
      </c>
      <c r="K69" s="4" t="s">
        <v>64</v>
      </c>
      <c r="L69" s="4" t="s">
        <v>40</v>
      </c>
      <c r="M69" s="4" t="s">
        <v>1035</v>
      </c>
      <c r="N69" s="4" t="s">
        <v>426</v>
      </c>
      <c r="O69" s="4" t="s">
        <v>42</v>
      </c>
      <c r="P69" s="50" t="s">
        <v>43</v>
      </c>
      <c r="Q69" s="50">
        <v>51307966.881055191</v>
      </c>
      <c r="R69" s="50" t="s">
        <v>423</v>
      </c>
      <c r="S69" s="4" t="s">
        <v>43</v>
      </c>
    </row>
    <row r="70" spans="3:19" x14ac:dyDescent="0.25">
      <c r="C70" s="4" t="s">
        <v>769</v>
      </c>
      <c r="D70" s="4" t="s">
        <v>771</v>
      </c>
      <c r="E70" s="4" t="s">
        <v>771</v>
      </c>
      <c r="F70" s="4">
        <v>6</v>
      </c>
      <c r="G70" s="4" t="s">
        <v>376</v>
      </c>
      <c r="H70" s="4" t="s">
        <v>46</v>
      </c>
      <c r="I70" s="4" t="s">
        <v>1031</v>
      </c>
      <c r="J70" s="4" t="s">
        <v>89</v>
      </c>
      <c r="K70" s="4" t="s">
        <v>109</v>
      </c>
      <c r="L70" s="4" t="s">
        <v>91</v>
      </c>
      <c r="M70" s="4" t="s">
        <v>378</v>
      </c>
      <c r="N70" s="4" t="s">
        <v>769</v>
      </c>
      <c r="O70" s="4" t="s">
        <v>42</v>
      </c>
      <c r="P70" s="50" t="s">
        <v>440</v>
      </c>
      <c r="Q70" s="50">
        <v>26177844.839830797</v>
      </c>
      <c r="R70" s="50" t="s">
        <v>772</v>
      </c>
      <c r="S70" s="4" t="s">
        <v>43</v>
      </c>
    </row>
    <row r="71" spans="3:19" x14ac:dyDescent="0.25">
      <c r="C71" s="4" t="s">
        <v>942</v>
      </c>
      <c r="D71" s="4" t="s">
        <v>944</v>
      </c>
      <c r="E71" s="4" t="s">
        <v>944</v>
      </c>
      <c r="F71" s="4">
        <v>6.9</v>
      </c>
      <c r="G71" s="4" t="s">
        <v>1044</v>
      </c>
      <c r="H71" s="4" t="s">
        <v>46</v>
      </c>
      <c r="I71" s="4" t="s">
        <v>1030</v>
      </c>
      <c r="J71" s="4" t="s">
        <v>160</v>
      </c>
      <c r="K71" s="4" t="s">
        <v>371</v>
      </c>
      <c r="L71" s="4" t="s">
        <v>40</v>
      </c>
      <c r="M71" s="4" t="s">
        <v>984</v>
      </c>
      <c r="N71" s="4" t="s">
        <v>942</v>
      </c>
      <c r="O71" s="4" t="s">
        <v>42</v>
      </c>
      <c r="P71" s="50" t="s">
        <v>43</v>
      </c>
      <c r="Q71" s="50">
        <v>51692242.380000003</v>
      </c>
      <c r="R71" s="50" t="s">
        <v>931</v>
      </c>
      <c r="S71" s="4" t="s">
        <v>43</v>
      </c>
    </row>
    <row r="72" spans="3:19" x14ac:dyDescent="0.25">
      <c r="C72" s="4" t="s">
        <v>525</v>
      </c>
      <c r="D72" s="4" t="s">
        <v>526</v>
      </c>
      <c r="E72" s="4" t="s">
        <v>527</v>
      </c>
      <c r="F72" s="44">
        <f>5.9+0.68</f>
        <v>6.58</v>
      </c>
      <c r="G72" s="4" t="s">
        <v>376</v>
      </c>
      <c r="H72" s="4" t="s">
        <v>46</v>
      </c>
      <c r="I72" s="4" t="s">
        <v>1030</v>
      </c>
      <c r="J72" s="4" t="s">
        <v>100</v>
      </c>
      <c r="K72" s="4" t="s">
        <v>138</v>
      </c>
      <c r="L72" s="4" t="s">
        <v>40</v>
      </c>
      <c r="M72" s="4" t="s">
        <v>514</v>
      </c>
      <c r="N72" s="4" t="s">
        <v>525</v>
      </c>
      <c r="O72" s="4" t="s">
        <v>42</v>
      </c>
      <c r="P72" s="50" t="s">
        <v>440</v>
      </c>
      <c r="Q72" s="50">
        <v>59446094.576131701</v>
      </c>
      <c r="R72" s="50" t="s">
        <v>515</v>
      </c>
      <c r="S72" s="4" t="s">
        <v>43</v>
      </c>
    </row>
    <row r="73" spans="3:19" x14ac:dyDescent="0.25">
      <c r="C73" s="4" t="s">
        <v>48</v>
      </c>
      <c r="D73" s="4" t="s">
        <v>49</v>
      </c>
      <c r="E73" s="4" t="s">
        <v>49</v>
      </c>
      <c r="F73" s="4" t="s">
        <v>36</v>
      </c>
      <c r="G73" s="4" t="s">
        <v>37</v>
      </c>
      <c r="H73" s="4" t="s">
        <v>38</v>
      </c>
      <c r="I73" s="4" t="s">
        <v>1030</v>
      </c>
      <c r="J73" s="4" t="s">
        <v>50</v>
      </c>
      <c r="K73" s="4" t="s">
        <v>51</v>
      </c>
      <c r="L73" s="4" t="s">
        <v>40</v>
      </c>
      <c r="M73" s="4">
        <v>0</v>
      </c>
      <c r="N73" s="4" t="s">
        <v>48</v>
      </c>
      <c r="O73" s="4" t="s">
        <v>42</v>
      </c>
      <c r="P73" s="50" t="s">
        <v>43</v>
      </c>
      <c r="Q73" s="50" t="s">
        <v>36</v>
      </c>
      <c r="R73" s="50">
        <v>0</v>
      </c>
      <c r="S73" s="4" t="s">
        <v>36</v>
      </c>
    </row>
    <row r="74" spans="3:19" x14ac:dyDescent="0.25">
      <c r="C74" s="4" t="s">
        <v>52</v>
      </c>
      <c r="D74" s="4" t="s">
        <v>53</v>
      </c>
      <c r="E74" s="4" t="s">
        <v>53</v>
      </c>
      <c r="F74" s="4" t="s">
        <v>36</v>
      </c>
      <c r="G74" s="4" t="s">
        <v>987</v>
      </c>
      <c r="H74" s="4" t="s">
        <v>38</v>
      </c>
      <c r="I74" s="4" t="s">
        <v>1030</v>
      </c>
      <c r="J74" s="4">
        <v>0</v>
      </c>
      <c r="K74" s="4" t="s">
        <v>54</v>
      </c>
      <c r="L74" s="4" t="s">
        <v>55</v>
      </c>
      <c r="M74" s="4">
        <v>0</v>
      </c>
      <c r="N74" s="4" t="s">
        <v>52</v>
      </c>
      <c r="O74" s="4" t="s">
        <v>42</v>
      </c>
      <c r="P74" s="50" t="s">
        <v>43</v>
      </c>
      <c r="Q74" s="50" t="s">
        <v>36</v>
      </c>
      <c r="R74" s="50">
        <v>0</v>
      </c>
      <c r="S74" s="4" t="s">
        <v>36</v>
      </c>
    </row>
    <row r="75" spans="3:19" x14ac:dyDescent="0.25">
      <c r="C75" s="4" t="s">
        <v>528</v>
      </c>
      <c r="D75" s="4" t="s">
        <v>530</v>
      </c>
      <c r="E75" s="4" t="s">
        <v>530</v>
      </c>
      <c r="F75" s="44">
        <f>5.9+0.68</f>
        <v>6.58</v>
      </c>
      <c r="G75" s="4" t="s">
        <v>1044</v>
      </c>
      <c r="H75" s="4" t="s">
        <v>46</v>
      </c>
      <c r="I75" s="4" t="s">
        <v>1030</v>
      </c>
      <c r="J75" s="4" t="s">
        <v>100</v>
      </c>
      <c r="K75" s="4" t="s">
        <v>64</v>
      </c>
      <c r="L75" s="4" t="s">
        <v>40</v>
      </c>
      <c r="M75" s="4" t="s">
        <v>514</v>
      </c>
      <c r="N75" s="4" t="s">
        <v>528</v>
      </c>
      <c r="O75" s="4" t="s">
        <v>42</v>
      </c>
      <c r="P75" s="50" t="s">
        <v>440</v>
      </c>
      <c r="Q75" s="50">
        <v>25789820.042685509</v>
      </c>
      <c r="R75" s="50" t="s">
        <v>515</v>
      </c>
      <c r="S75" s="4" t="s">
        <v>43</v>
      </c>
    </row>
    <row r="76" spans="3:19" x14ac:dyDescent="0.25">
      <c r="C76" s="4" t="s">
        <v>854</v>
      </c>
      <c r="D76" s="4" t="s">
        <v>982</v>
      </c>
      <c r="E76" s="4" t="s">
        <v>990</v>
      </c>
      <c r="F76" s="4">
        <v>6.45</v>
      </c>
      <c r="G76" s="4" t="s">
        <v>376</v>
      </c>
      <c r="H76" s="4" t="s">
        <v>46</v>
      </c>
      <c r="I76" s="4" t="s">
        <v>1030</v>
      </c>
      <c r="J76" s="4" t="s">
        <v>132</v>
      </c>
      <c r="K76" s="4" t="s">
        <v>856</v>
      </c>
      <c r="L76" s="4" t="s">
        <v>40</v>
      </c>
      <c r="M76" s="4" t="s">
        <v>1035</v>
      </c>
      <c r="N76" s="4" t="s">
        <v>854</v>
      </c>
      <c r="O76" s="4" t="s">
        <v>42</v>
      </c>
      <c r="P76" s="50" t="s">
        <v>440</v>
      </c>
      <c r="Q76" s="50">
        <v>48663902.729493409</v>
      </c>
      <c r="R76" s="50" t="s">
        <v>847</v>
      </c>
      <c r="S76" s="4" t="s">
        <v>43</v>
      </c>
    </row>
    <row r="77" spans="3:19" x14ac:dyDescent="0.25">
      <c r="C77" s="4" t="s">
        <v>531</v>
      </c>
      <c r="D77" s="4" t="s">
        <v>533</v>
      </c>
      <c r="E77" s="4" t="s">
        <v>991</v>
      </c>
      <c r="F77" s="4">
        <v>5.45</v>
      </c>
      <c r="G77" s="4" t="s">
        <v>376</v>
      </c>
      <c r="H77" s="4" t="s">
        <v>46</v>
      </c>
      <c r="I77" s="4" t="s">
        <v>1030</v>
      </c>
      <c r="J77" s="4" t="s">
        <v>100</v>
      </c>
      <c r="K77" s="4" t="s">
        <v>138</v>
      </c>
      <c r="L77" s="4" t="s">
        <v>40</v>
      </c>
      <c r="M77" s="4" t="s">
        <v>514</v>
      </c>
      <c r="N77" s="4" t="s">
        <v>531</v>
      </c>
      <c r="O77" s="4" t="s">
        <v>42</v>
      </c>
      <c r="P77" s="50" t="s">
        <v>440</v>
      </c>
      <c r="Q77" s="50">
        <v>41012319.220271096</v>
      </c>
      <c r="R77" s="50" t="s">
        <v>515</v>
      </c>
      <c r="S77" s="4" t="s">
        <v>43</v>
      </c>
    </row>
    <row r="78" spans="3:19" x14ac:dyDescent="0.25">
      <c r="C78" s="4" t="s">
        <v>945</v>
      </c>
      <c r="D78" s="4" t="s">
        <v>946</v>
      </c>
      <c r="E78" s="4" t="s">
        <v>947</v>
      </c>
      <c r="F78" s="4">
        <v>5.9</v>
      </c>
      <c r="G78" s="4" t="s">
        <v>376</v>
      </c>
      <c r="H78" s="4" t="s">
        <v>46</v>
      </c>
      <c r="I78" s="4" t="s">
        <v>1030</v>
      </c>
      <c r="J78" s="4" t="s">
        <v>160</v>
      </c>
      <c r="K78" s="4" t="s">
        <v>371</v>
      </c>
      <c r="L78" s="4" t="s">
        <v>40</v>
      </c>
      <c r="M78" s="4" t="s">
        <v>984</v>
      </c>
      <c r="N78" s="4" t="s">
        <v>945</v>
      </c>
      <c r="O78" s="4" t="s">
        <v>42</v>
      </c>
      <c r="P78" s="50" t="s">
        <v>440</v>
      </c>
      <c r="Q78" s="50">
        <v>48125650.131318294</v>
      </c>
      <c r="R78" s="50" t="s">
        <v>931</v>
      </c>
      <c r="S78" s="4" t="s">
        <v>43</v>
      </c>
    </row>
    <row r="79" spans="3:19" x14ac:dyDescent="0.25">
      <c r="C79" s="4" t="s">
        <v>773</v>
      </c>
      <c r="D79" s="4" t="s">
        <v>775</v>
      </c>
      <c r="E79" s="4" t="s">
        <v>775</v>
      </c>
      <c r="F79" s="4">
        <v>6.45</v>
      </c>
      <c r="G79" s="4" t="s">
        <v>1044</v>
      </c>
      <c r="H79" s="4" t="s">
        <v>46</v>
      </c>
      <c r="I79" s="4" t="s">
        <v>1031</v>
      </c>
      <c r="J79" s="4" t="s">
        <v>89</v>
      </c>
      <c r="K79" s="4" t="s">
        <v>776</v>
      </c>
      <c r="L79" s="4" t="s">
        <v>91</v>
      </c>
      <c r="M79" s="4" t="s">
        <v>378</v>
      </c>
      <c r="N79" s="4" t="s">
        <v>773</v>
      </c>
      <c r="O79" s="4" t="s">
        <v>42</v>
      </c>
      <c r="P79" s="50" t="s">
        <v>440</v>
      </c>
      <c r="Q79" s="50">
        <v>19728122.931342751</v>
      </c>
      <c r="R79" s="50" t="s">
        <v>772</v>
      </c>
      <c r="S79" s="4" t="s">
        <v>43</v>
      </c>
    </row>
    <row r="80" spans="3:19" x14ac:dyDescent="0.25">
      <c r="C80" s="4" t="s">
        <v>662</v>
      </c>
      <c r="D80" s="4" t="s">
        <v>664</v>
      </c>
      <c r="E80" s="4" t="s">
        <v>992</v>
      </c>
      <c r="F80" s="4">
        <v>5.04</v>
      </c>
      <c r="G80" s="4" t="s">
        <v>376</v>
      </c>
      <c r="H80" s="4" t="s">
        <v>46</v>
      </c>
      <c r="I80" s="4" t="s">
        <v>1030</v>
      </c>
      <c r="J80" s="4" t="s">
        <v>248</v>
      </c>
      <c r="K80" s="4" t="s">
        <v>51</v>
      </c>
      <c r="L80" s="4" t="s">
        <v>40</v>
      </c>
      <c r="M80" s="4" t="s">
        <v>984</v>
      </c>
      <c r="N80" s="4" t="s">
        <v>662</v>
      </c>
      <c r="O80" s="4" t="s">
        <v>42</v>
      </c>
      <c r="P80" s="50" t="s">
        <v>43</v>
      </c>
      <c r="Q80" s="50">
        <v>42738000</v>
      </c>
      <c r="R80" s="50" t="s">
        <v>51</v>
      </c>
      <c r="S80" s="4" t="s">
        <v>43</v>
      </c>
    </row>
    <row r="81" spans="3:19" x14ac:dyDescent="0.25">
      <c r="C81" s="4" t="s">
        <v>56</v>
      </c>
      <c r="D81" s="4" t="s">
        <v>57</v>
      </c>
      <c r="E81" s="4" t="s">
        <v>57</v>
      </c>
      <c r="F81" s="4" t="s">
        <v>36</v>
      </c>
      <c r="G81" s="4" t="s">
        <v>37</v>
      </c>
      <c r="H81" s="4" t="s">
        <v>38</v>
      </c>
      <c r="I81" s="4" t="s">
        <v>1030</v>
      </c>
      <c r="J81" s="4" t="s">
        <v>58</v>
      </c>
      <c r="K81" s="4" t="s">
        <v>59</v>
      </c>
      <c r="L81" s="4" t="s">
        <v>40</v>
      </c>
      <c r="M81" s="4">
        <v>0</v>
      </c>
      <c r="N81" s="4" t="s">
        <v>56</v>
      </c>
      <c r="O81" s="4" t="s">
        <v>42</v>
      </c>
      <c r="P81" s="50" t="s">
        <v>43</v>
      </c>
      <c r="Q81" s="50" t="s">
        <v>36</v>
      </c>
      <c r="R81" s="50">
        <v>0</v>
      </c>
      <c r="S81" s="4" t="s">
        <v>36</v>
      </c>
    </row>
    <row r="82" spans="3:19" x14ac:dyDescent="0.25">
      <c r="C82" s="4" t="s">
        <v>534</v>
      </c>
      <c r="D82" s="4" t="s">
        <v>535</v>
      </c>
      <c r="E82" s="4" t="s">
        <v>536</v>
      </c>
      <c r="F82" s="4">
        <v>5.45</v>
      </c>
      <c r="G82" s="4" t="s">
        <v>376</v>
      </c>
      <c r="H82" s="4" t="s">
        <v>46</v>
      </c>
      <c r="I82" s="4" t="s">
        <v>1030</v>
      </c>
      <c r="J82" s="4" t="s">
        <v>100</v>
      </c>
      <c r="K82" s="4" t="s">
        <v>138</v>
      </c>
      <c r="L82" s="4" t="s">
        <v>40</v>
      </c>
      <c r="M82" s="4" t="s">
        <v>514</v>
      </c>
      <c r="N82" s="4" t="s">
        <v>534</v>
      </c>
      <c r="O82" s="4" t="s">
        <v>42</v>
      </c>
      <c r="P82" s="50" t="s">
        <v>43</v>
      </c>
      <c r="Q82" s="50">
        <v>41652212.428192623</v>
      </c>
      <c r="R82" s="50" t="s">
        <v>515</v>
      </c>
      <c r="S82" s="4" t="s">
        <v>43</v>
      </c>
    </row>
    <row r="83" spans="3:19" x14ac:dyDescent="0.25">
      <c r="C83" s="4" t="s">
        <v>636</v>
      </c>
      <c r="D83" s="4" t="s">
        <v>637</v>
      </c>
      <c r="E83" s="4" t="s">
        <v>638</v>
      </c>
      <c r="F83" s="4">
        <v>6</v>
      </c>
      <c r="G83" s="4" t="s">
        <v>376</v>
      </c>
      <c r="H83" s="4" t="s">
        <v>46</v>
      </c>
      <c r="I83" s="4" t="s">
        <v>1030</v>
      </c>
      <c r="J83" s="4" t="s">
        <v>50</v>
      </c>
      <c r="K83" s="4" t="s">
        <v>315</v>
      </c>
      <c r="L83" s="4" t="s">
        <v>40</v>
      </c>
      <c r="M83" s="4" t="s">
        <v>514</v>
      </c>
      <c r="N83" s="4" t="s">
        <v>636</v>
      </c>
      <c r="O83" s="4" t="s">
        <v>42</v>
      </c>
      <c r="P83" s="50" t="s">
        <v>43</v>
      </c>
      <c r="Q83" s="50">
        <v>83990430.88962777</v>
      </c>
      <c r="R83" s="50" t="s">
        <v>597</v>
      </c>
      <c r="S83" s="4" t="s">
        <v>43</v>
      </c>
    </row>
    <row r="84" spans="3:19" x14ac:dyDescent="0.25">
      <c r="C84" s="4" t="s">
        <v>857</v>
      </c>
      <c r="D84" s="4" t="s">
        <v>859</v>
      </c>
      <c r="E84" s="4" t="s">
        <v>993</v>
      </c>
      <c r="F84" s="4">
        <v>5.9</v>
      </c>
      <c r="G84" s="4" t="s">
        <v>376</v>
      </c>
      <c r="H84" s="4" t="s">
        <v>46</v>
      </c>
      <c r="I84" s="4" t="s">
        <v>1030</v>
      </c>
      <c r="J84" s="4" t="s">
        <v>132</v>
      </c>
      <c r="K84" s="4" t="s">
        <v>138</v>
      </c>
      <c r="L84" s="4" t="s">
        <v>40</v>
      </c>
      <c r="M84" s="4" t="s">
        <v>1035</v>
      </c>
      <c r="N84" s="4" t="s">
        <v>857</v>
      </c>
      <c r="O84" s="4" t="s">
        <v>42</v>
      </c>
      <c r="P84" s="50" t="s">
        <v>43</v>
      </c>
      <c r="Q84" s="50">
        <v>79993179.035131857</v>
      </c>
      <c r="R84" s="50" t="s">
        <v>847</v>
      </c>
      <c r="S84" s="4" t="s">
        <v>43</v>
      </c>
    </row>
    <row r="85" spans="3:19" x14ac:dyDescent="0.25">
      <c r="C85" s="4" t="s">
        <v>747</v>
      </c>
      <c r="D85" s="4" t="s">
        <v>994</v>
      </c>
      <c r="E85" s="4" t="s">
        <v>749</v>
      </c>
      <c r="F85" s="4">
        <v>6.9</v>
      </c>
      <c r="G85" s="4" t="s">
        <v>376</v>
      </c>
      <c r="H85" s="4" t="s">
        <v>46</v>
      </c>
      <c r="I85" s="4" t="s">
        <v>1031</v>
      </c>
      <c r="J85" s="4" t="s">
        <v>84</v>
      </c>
      <c r="K85" s="4" t="s">
        <v>54</v>
      </c>
      <c r="L85" s="4" t="s">
        <v>55</v>
      </c>
      <c r="M85" s="4" t="s">
        <v>378</v>
      </c>
      <c r="N85" s="4" t="s">
        <v>747</v>
      </c>
      <c r="O85" s="4" t="s">
        <v>42</v>
      </c>
      <c r="P85" s="50" t="s">
        <v>43</v>
      </c>
      <c r="Q85" s="50">
        <v>73496872.695353776</v>
      </c>
      <c r="R85" s="50" t="s">
        <v>741</v>
      </c>
      <c r="S85" s="4" t="s">
        <v>43</v>
      </c>
    </row>
    <row r="86" spans="3:19" x14ac:dyDescent="0.25">
      <c r="C86" s="4" t="s">
        <v>564</v>
      </c>
      <c r="D86" s="4" t="s">
        <v>565</v>
      </c>
      <c r="E86" s="4" t="s">
        <v>566</v>
      </c>
      <c r="F86" s="4">
        <v>5.9</v>
      </c>
      <c r="G86" s="4" t="s">
        <v>376</v>
      </c>
      <c r="H86" s="4" t="s">
        <v>46</v>
      </c>
      <c r="I86" s="4" t="s">
        <v>1030</v>
      </c>
      <c r="J86" s="4" t="s">
        <v>331</v>
      </c>
      <c r="K86" s="4" t="s">
        <v>138</v>
      </c>
      <c r="L86" s="4" t="s">
        <v>40</v>
      </c>
      <c r="M86" s="4" t="s">
        <v>984</v>
      </c>
      <c r="N86" s="4" t="s">
        <v>564</v>
      </c>
      <c r="O86" s="4" t="s">
        <v>42</v>
      </c>
      <c r="P86" s="50" t="s">
        <v>440</v>
      </c>
      <c r="Q86" s="50">
        <v>35671381.462199993</v>
      </c>
      <c r="R86" s="50" t="s">
        <v>557</v>
      </c>
      <c r="S86" s="4" t="s">
        <v>43</v>
      </c>
    </row>
    <row r="87" spans="3:19" x14ac:dyDescent="0.25">
      <c r="C87" s="4" t="s">
        <v>709</v>
      </c>
      <c r="D87" s="4" t="s">
        <v>710</v>
      </c>
      <c r="E87" s="4" t="s">
        <v>711</v>
      </c>
      <c r="F87" s="4">
        <v>8</v>
      </c>
      <c r="G87" s="4" t="s">
        <v>376</v>
      </c>
      <c r="H87" s="4" t="s">
        <v>46</v>
      </c>
      <c r="I87" s="4" t="s">
        <v>1031</v>
      </c>
      <c r="J87" s="4" t="s">
        <v>84</v>
      </c>
      <c r="K87" s="4" t="s">
        <v>54</v>
      </c>
      <c r="L87" s="4" t="s">
        <v>55</v>
      </c>
      <c r="M87" s="4" t="s">
        <v>378</v>
      </c>
      <c r="N87" s="4" t="s">
        <v>709</v>
      </c>
      <c r="O87" s="4" t="s">
        <v>379</v>
      </c>
      <c r="P87" s="50" t="s">
        <v>440</v>
      </c>
      <c r="Q87" s="50">
        <v>52402279.202034116</v>
      </c>
      <c r="R87" s="50" t="s">
        <v>702</v>
      </c>
      <c r="S87" s="4" t="s">
        <v>43</v>
      </c>
    </row>
    <row r="88" spans="3:19" x14ac:dyDescent="0.25">
      <c r="C88" s="4" t="s">
        <v>60</v>
      </c>
      <c r="D88" s="4" t="s">
        <v>61</v>
      </c>
      <c r="E88" s="4" t="s">
        <v>62</v>
      </c>
      <c r="F88" s="4" t="s">
        <v>36</v>
      </c>
      <c r="G88" s="4" t="s">
        <v>37</v>
      </c>
      <c r="H88" s="4" t="s">
        <v>38</v>
      </c>
      <c r="I88" s="4" t="s">
        <v>1030</v>
      </c>
      <c r="J88" s="4" t="s">
        <v>63</v>
      </c>
      <c r="K88" s="4" t="s">
        <v>64</v>
      </c>
      <c r="L88" s="4" t="s">
        <v>40</v>
      </c>
      <c r="M88" s="4">
        <v>0</v>
      </c>
      <c r="N88" s="4" t="s">
        <v>60</v>
      </c>
      <c r="O88" s="4" t="s">
        <v>42</v>
      </c>
      <c r="P88" s="50" t="s">
        <v>43</v>
      </c>
      <c r="Q88" s="50" t="s">
        <v>36</v>
      </c>
      <c r="R88" s="50">
        <v>0</v>
      </c>
      <c r="S88" s="4" t="s">
        <v>36</v>
      </c>
    </row>
    <row r="89" spans="3:19" x14ac:dyDescent="0.25">
      <c r="C89" s="4" t="s">
        <v>861</v>
      </c>
      <c r="D89" s="4" t="s">
        <v>983</v>
      </c>
      <c r="E89" s="4" t="s">
        <v>995</v>
      </c>
      <c r="F89" s="4">
        <v>8.9</v>
      </c>
      <c r="G89" s="4" t="s">
        <v>376</v>
      </c>
      <c r="H89" s="4" t="s">
        <v>46</v>
      </c>
      <c r="I89" s="4" t="s">
        <v>1030</v>
      </c>
      <c r="J89" s="4" t="s">
        <v>132</v>
      </c>
      <c r="K89" s="4" t="s">
        <v>856</v>
      </c>
      <c r="L89" s="4" t="s">
        <v>40</v>
      </c>
      <c r="M89" s="4" t="s">
        <v>1035</v>
      </c>
      <c r="N89" s="4" t="s">
        <v>861</v>
      </c>
      <c r="O89" s="4" t="s">
        <v>379</v>
      </c>
      <c r="P89" s="50" t="s">
        <v>440</v>
      </c>
      <c r="Q89" s="50">
        <v>75046180.917772219</v>
      </c>
      <c r="R89" s="50" t="s">
        <v>847</v>
      </c>
      <c r="S89" s="4" t="s">
        <v>43</v>
      </c>
    </row>
    <row r="90" spans="3:19" x14ac:dyDescent="0.25">
      <c r="C90" s="4" t="s">
        <v>616</v>
      </c>
      <c r="D90" s="4" t="s">
        <v>617</v>
      </c>
      <c r="E90" s="4" t="s">
        <v>617</v>
      </c>
      <c r="F90" s="4">
        <v>5.45</v>
      </c>
      <c r="G90" s="4" t="s">
        <v>376</v>
      </c>
      <c r="H90" s="4" t="s">
        <v>46</v>
      </c>
      <c r="I90" s="4" t="s">
        <v>1030</v>
      </c>
      <c r="J90" s="4" t="s">
        <v>50</v>
      </c>
      <c r="K90" s="4" t="s">
        <v>138</v>
      </c>
      <c r="L90" s="4" t="s">
        <v>40</v>
      </c>
      <c r="M90" s="4" t="s">
        <v>514</v>
      </c>
      <c r="N90" s="4" t="s">
        <v>616</v>
      </c>
      <c r="O90" s="4" t="s">
        <v>42</v>
      </c>
      <c r="P90" s="50" t="s">
        <v>440</v>
      </c>
      <c r="Q90" s="50">
        <v>55799635.635743514</v>
      </c>
      <c r="R90" s="50" t="s">
        <v>597</v>
      </c>
      <c r="S90" s="4" t="s">
        <v>43</v>
      </c>
    </row>
    <row r="91" spans="3:19" x14ac:dyDescent="0.25">
      <c r="C91" s="4" t="s">
        <v>891</v>
      </c>
      <c r="D91" s="4" t="s">
        <v>892</v>
      </c>
      <c r="E91" s="4" t="s">
        <v>893</v>
      </c>
      <c r="F91" s="4">
        <v>5</v>
      </c>
      <c r="G91" s="4" t="s">
        <v>376</v>
      </c>
      <c r="H91" s="4" t="s">
        <v>46</v>
      </c>
      <c r="I91" s="4" t="s">
        <v>1030</v>
      </c>
      <c r="J91" s="4" t="s">
        <v>73</v>
      </c>
      <c r="K91" s="4" t="s">
        <v>47</v>
      </c>
      <c r="L91" s="4" t="s">
        <v>40</v>
      </c>
      <c r="M91" s="4" t="s">
        <v>514</v>
      </c>
      <c r="N91" s="4" t="s">
        <v>891</v>
      </c>
      <c r="O91" s="4" t="s">
        <v>42</v>
      </c>
      <c r="P91" s="50" t="s">
        <v>43</v>
      </c>
      <c r="Q91" s="50">
        <v>57498099.517944366</v>
      </c>
      <c r="R91" s="50" t="s">
        <v>886</v>
      </c>
      <c r="S91" s="4" t="s">
        <v>43</v>
      </c>
    </row>
    <row r="92" spans="3:19" x14ac:dyDescent="0.25">
      <c r="C92" s="4" t="s">
        <v>65</v>
      </c>
      <c r="D92" s="4" t="s">
        <v>66</v>
      </c>
      <c r="E92" s="4" t="s">
        <v>66</v>
      </c>
      <c r="F92" s="4" t="s">
        <v>36</v>
      </c>
      <c r="G92" s="4" t="s">
        <v>37</v>
      </c>
      <c r="H92" s="4" t="s">
        <v>38</v>
      </c>
      <c r="I92" s="4" t="s">
        <v>1030</v>
      </c>
      <c r="J92" s="4" t="s">
        <v>67</v>
      </c>
      <c r="K92" s="4" t="s">
        <v>59</v>
      </c>
      <c r="L92" s="4" t="s">
        <v>40</v>
      </c>
      <c r="M92" s="4">
        <v>0</v>
      </c>
      <c r="N92" s="4" t="s">
        <v>65</v>
      </c>
      <c r="O92" s="4" t="s">
        <v>42</v>
      </c>
      <c r="P92" s="50" t="s">
        <v>43</v>
      </c>
      <c r="Q92" s="50" t="s">
        <v>36</v>
      </c>
      <c r="R92" s="50">
        <v>0</v>
      </c>
      <c r="S92" s="4" t="s">
        <v>36</v>
      </c>
    </row>
    <row r="93" spans="3:19" x14ac:dyDescent="0.25">
      <c r="C93" s="4" t="s">
        <v>777</v>
      </c>
      <c r="D93" s="4" t="s">
        <v>779</v>
      </c>
      <c r="E93" s="4" t="s">
        <v>779</v>
      </c>
      <c r="F93" s="4">
        <v>6.45</v>
      </c>
      <c r="G93" s="4" t="s">
        <v>376</v>
      </c>
      <c r="H93" s="4" t="s">
        <v>46</v>
      </c>
      <c r="I93" s="4" t="s">
        <v>1031</v>
      </c>
      <c r="J93" s="4" t="s">
        <v>89</v>
      </c>
      <c r="K93" s="4" t="s">
        <v>90</v>
      </c>
      <c r="L93" s="4" t="s">
        <v>91</v>
      </c>
      <c r="M93" s="4" t="s">
        <v>378</v>
      </c>
      <c r="N93" s="4" t="s">
        <v>777</v>
      </c>
      <c r="O93" s="4" t="s">
        <v>42</v>
      </c>
      <c r="P93" s="50" t="s">
        <v>440</v>
      </c>
      <c r="Q93" s="50">
        <v>20970195.597252484</v>
      </c>
      <c r="R93" s="50" t="s">
        <v>772</v>
      </c>
      <c r="S93" s="4" t="s">
        <v>43</v>
      </c>
    </row>
    <row r="94" spans="3:19" x14ac:dyDescent="0.25">
      <c r="C94" s="4" t="s">
        <v>480</v>
      </c>
      <c r="D94" s="4" t="s">
        <v>481</v>
      </c>
      <c r="E94" s="4" t="s">
        <v>482</v>
      </c>
      <c r="F94" s="4">
        <v>5</v>
      </c>
      <c r="G94" s="4" t="s">
        <v>376</v>
      </c>
      <c r="H94" s="4" t="s">
        <v>46</v>
      </c>
      <c r="I94" s="4" t="s">
        <v>1030</v>
      </c>
      <c r="J94" s="4" t="s">
        <v>466</v>
      </c>
      <c r="K94" s="4" t="s">
        <v>51</v>
      </c>
      <c r="L94" s="4" t="s">
        <v>40</v>
      </c>
      <c r="M94" s="4" t="s">
        <v>1035</v>
      </c>
      <c r="N94" s="4" t="s">
        <v>480</v>
      </c>
      <c r="O94" s="4" t="s">
        <v>42</v>
      </c>
      <c r="P94" s="50" t="s">
        <v>43</v>
      </c>
      <c r="Q94" s="50">
        <v>38853967.738595851</v>
      </c>
      <c r="R94" s="50" t="s">
        <v>467</v>
      </c>
      <c r="S94" s="4" t="s">
        <v>43</v>
      </c>
    </row>
    <row r="95" spans="3:19" x14ac:dyDescent="0.25">
      <c r="C95" s="4" t="s">
        <v>807</v>
      </c>
      <c r="D95" s="4" t="s">
        <v>808</v>
      </c>
      <c r="E95" s="4" t="s">
        <v>809</v>
      </c>
      <c r="F95" s="44">
        <v>7</v>
      </c>
      <c r="G95" s="4" t="s">
        <v>376</v>
      </c>
      <c r="H95" s="4" t="s">
        <v>46</v>
      </c>
      <c r="I95" s="4" t="s">
        <v>1030</v>
      </c>
      <c r="J95" s="4" t="s">
        <v>146</v>
      </c>
      <c r="K95" s="4" t="s">
        <v>59</v>
      </c>
      <c r="L95" s="4" t="s">
        <v>40</v>
      </c>
      <c r="M95" s="4" t="s">
        <v>1035</v>
      </c>
      <c r="N95" s="4" t="s">
        <v>807</v>
      </c>
      <c r="O95" s="4" t="s">
        <v>42</v>
      </c>
      <c r="P95" s="50" t="s">
        <v>440</v>
      </c>
      <c r="Q95" s="50">
        <v>68115518.84649162</v>
      </c>
      <c r="R95" s="50" t="s">
        <v>799</v>
      </c>
      <c r="S95" s="4" t="s">
        <v>43</v>
      </c>
    </row>
    <row r="96" spans="3:19" x14ac:dyDescent="0.25">
      <c r="C96" s="4" t="s">
        <v>400</v>
      </c>
      <c r="D96" s="4" t="s">
        <v>401</v>
      </c>
      <c r="E96" s="4" t="s">
        <v>401</v>
      </c>
      <c r="F96" s="4">
        <v>5.45</v>
      </c>
      <c r="G96" s="4" t="s">
        <v>376</v>
      </c>
      <c r="H96" s="4" t="s">
        <v>46</v>
      </c>
      <c r="I96" s="4" t="s">
        <v>1031</v>
      </c>
      <c r="J96" s="4" t="s">
        <v>63</v>
      </c>
      <c r="K96" s="4" t="s">
        <v>138</v>
      </c>
      <c r="L96" s="4" t="s">
        <v>40</v>
      </c>
      <c r="M96" s="4" t="s">
        <v>378</v>
      </c>
      <c r="N96" s="4" t="s">
        <v>400</v>
      </c>
      <c r="O96" s="4" t="s">
        <v>42</v>
      </c>
      <c r="P96" s="50" t="s">
        <v>43</v>
      </c>
      <c r="Q96" s="50">
        <v>41128072.667667232</v>
      </c>
      <c r="R96" s="50" t="s">
        <v>380</v>
      </c>
      <c r="S96" s="4" t="s">
        <v>43</v>
      </c>
    </row>
    <row r="97" spans="3:19" x14ac:dyDescent="0.25">
      <c r="C97" s="4" t="s">
        <v>402</v>
      </c>
      <c r="D97" s="4" t="s">
        <v>403</v>
      </c>
      <c r="E97" s="4" t="s">
        <v>403</v>
      </c>
      <c r="F97" s="4">
        <v>5.45</v>
      </c>
      <c r="G97" s="4" t="s">
        <v>376</v>
      </c>
      <c r="H97" s="4" t="s">
        <v>46</v>
      </c>
      <c r="I97" s="4" t="s">
        <v>1031</v>
      </c>
      <c r="J97" s="4" t="s">
        <v>63</v>
      </c>
      <c r="K97" s="4" t="s">
        <v>138</v>
      </c>
      <c r="L97" s="4" t="s">
        <v>40</v>
      </c>
      <c r="M97" s="4" t="s">
        <v>378</v>
      </c>
      <c r="N97" s="4" t="s">
        <v>402</v>
      </c>
      <c r="O97" s="4" t="s">
        <v>42</v>
      </c>
      <c r="P97" s="50" t="s">
        <v>43</v>
      </c>
      <c r="Q97" s="50">
        <v>67101055.52139882</v>
      </c>
      <c r="R97" s="50" t="s">
        <v>380</v>
      </c>
      <c r="S97" s="4" t="s">
        <v>43</v>
      </c>
    </row>
    <row r="98" spans="3:19" x14ac:dyDescent="0.25">
      <c r="C98" s="44" t="s">
        <v>665</v>
      </c>
      <c r="D98" s="44" t="s">
        <v>666</v>
      </c>
      <c r="E98" s="44" t="s">
        <v>666</v>
      </c>
      <c r="F98" s="44">
        <v>6</v>
      </c>
      <c r="G98" s="4" t="s">
        <v>376</v>
      </c>
      <c r="H98" s="4" t="s">
        <v>46</v>
      </c>
      <c r="I98" s="4" t="s">
        <v>1030</v>
      </c>
      <c r="J98" s="4" t="s">
        <v>248</v>
      </c>
      <c r="K98" s="4" t="s">
        <v>51</v>
      </c>
      <c r="L98" s="4" t="s">
        <v>40</v>
      </c>
      <c r="M98" s="4" t="s">
        <v>984</v>
      </c>
      <c r="N98" s="4" t="s">
        <v>665</v>
      </c>
      <c r="O98" s="4" t="s">
        <v>42</v>
      </c>
      <c r="P98" s="50" t="s">
        <v>43</v>
      </c>
      <c r="Q98" s="50">
        <v>57350231.362937748</v>
      </c>
      <c r="R98" s="50" t="s">
        <v>51</v>
      </c>
      <c r="S98" s="4" t="s">
        <v>43</v>
      </c>
    </row>
    <row r="99" spans="3:19" x14ac:dyDescent="0.25">
      <c r="C99" s="4" t="s">
        <v>404</v>
      </c>
      <c r="D99" s="4" t="s">
        <v>405</v>
      </c>
      <c r="E99" s="4" t="s">
        <v>405</v>
      </c>
      <c r="F99" s="4">
        <v>5</v>
      </c>
      <c r="G99" s="4" t="s">
        <v>376</v>
      </c>
      <c r="H99" s="4" t="s">
        <v>46</v>
      </c>
      <c r="I99" s="4" t="s">
        <v>1031</v>
      </c>
      <c r="J99" s="4" t="s">
        <v>63</v>
      </c>
      <c r="K99" s="4" t="s">
        <v>138</v>
      </c>
      <c r="L99" s="4" t="s">
        <v>40</v>
      </c>
      <c r="M99" s="4" t="s">
        <v>378</v>
      </c>
      <c r="N99" s="4" t="s">
        <v>404</v>
      </c>
      <c r="O99" s="4" t="s">
        <v>42</v>
      </c>
      <c r="P99" s="50" t="s">
        <v>43</v>
      </c>
      <c r="Q99" s="50">
        <v>40704225.590095527</v>
      </c>
      <c r="R99" s="50" t="s">
        <v>380</v>
      </c>
      <c r="S99" s="4" t="s">
        <v>43</v>
      </c>
    </row>
    <row r="100" spans="3:19" x14ac:dyDescent="0.25">
      <c r="C100" s="4" t="s">
        <v>948</v>
      </c>
      <c r="D100" s="4" t="s">
        <v>949</v>
      </c>
      <c r="E100" s="4" t="s">
        <v>949</v>
      </c>
      <c r="F100" s="4">
        <v>5.45</v>
      </c>
      <c r="G100" s="4" t="s">
        <v>376</v>
      </c>
      <c r="H100" s="4" t="s">
        <v>46</v>
      </c>
      <c r="I100" s="4" t="s">
        <v>1030</v>
      </c>
      <c r="J100" s="4" t="s">
        <v>160</v>
      </c>
      <c r="K100" s="4" t="s">
        <v>353</v>
      </c>
      <c r="L100" s="4" t="s">
        <v>40</v>
      </c>
      <c r="M100" s="4" t="s">
        <v>984</v>
      </c>
      <c r="N100" s="4" t="s">
        <v>948</v>
      </c>
      <c r="O100" s="4" t="s">
        <v>42</v>
      </c>
      <c r="P100" s="50" t="s">
        <v>43</v>
      </c>
      <c r="Q100" s="50">
        <v>45204344.00645151</v>
      </c>
      <c r="R100" s="50" t="s">
        <v>931</v>
      </c>
      <c r="S100" s="4" t="s">
        <v>43</v>
      </c>
    </row>
    <row r="101" spans="3:19" x14ac:dyDescent="0.25">
      <c r="C101" s="4" t="s">
        <v>667</v>
      </c>
      <c r="D101" s="4" t="s">
        <v>668</v>
      </c>
      <c r="E101" s="4" t="s">
        <v>668</v>
      </c>
      <c r="F101" s="4">
        <v>6</v>
      </c>
      <c r="G101" s="4" t="s">
        <v>376</v>
      </c>
      <c r="H101" s="4" t="s">
        <v>46</v>
      </c>
      <c r="I101" s="4" t="s">
        <v>1030</v>
      </c>
      <c r="J101" s="4" t="s">
        <v>248</v>
      </c>
      <c r="K101" s="4" t="s">
        <v>51</v>
      </c>
      <c r="L101" s="4" t="s">
        <v>40</v>
      </c>
      <c r="M101" s="4" t="s">
        <v>984</v>
      </c>
      <c r="N101" s="4" t="s">
        <v>667</v>
      </c>
      <c r="O101" s="4" t="s">
        <v>42</v>
      </c>
      <c r="P101" s="50" t="s">
        <v>43</v>
      </c>
      <c r="Q101" s="50">
        <v>58929548.990307115</v>
      </c>
      <c r="R101" s="50" t="s">
        <v>51</v>
      </c>
      <c r="S101" s="4" t="s">
        <v>43</v>
      </c>
    </row>
    <row r="102" spans="3:19" x14ac:dyDescent="0.25">
      <c r="C102" s="44" t="s">
        <v>669</v>
      </c>
      <c r="D102" s="44" t="s">
        <v>670</v>
      </c>
      <c r="E102" s="44" t="s">
        <v>670</v>
      </c>
      <c r="F102" s="44">
        <v>5.45</v>
      </c>
      <c r="G102" s="4" t="s">
        <v>376</v>
      </c>
      <c r="H102" s="4" t="s">
        <v>46</v>
      </c>
      <c r="I102" s="4" t="s">
        <v>1030</v>
      </c>
      <c r="J102" s="4" t="s">
        <v>248</v>
      </c>
      <c r="K102" s="4" t="s">
        <v>51</v>
      </c>
      <c r="L102" s="4" t="s">
        <v>40</v>
      </c>
      <c r="M102" s="4" t="s">
        <v>984</v>
      </c>
      <c r="N102" s="4" t="s">
        <v>669</v>
      </c>
      <c r="O102" s="4" t="s">
        <v>42</v>
      </c>
      <c r="P102" s="50" t="s">
        <v>43</v>
      </c>
      <c r="Q102" s="50">
        <v>57178775.697329521</v>
      </c>
      <c r="R102" s="50" t="s">
        <v>51</v>
      </c>
      <c r="S102" s="4" t="s">
        <v>43</v>
      </c>
    </row>
    <row r="103" spans="3:19" x14ac:dyDescent="0.25">
      <c r="C103" s="4" t="s">
        <v>894</v>
      </c>
      <c r="D103" s="4" t="s">
        <v>895</v>
      </c>
      <c r="E103" s="4" t="s">
        <v>895</v>
      </c>
      <c r="F103" s="4">
        <v>5</v>
      </c>
      <c r="G103" s="4" t="s">
        <v>376</v>
      </c>
      <c r="H103" s="4" t="s">
        <v>46</v>
      </c>
      <c r="I103" s="4" t="s">
        <v>1030</v>
      </c>
      <c r="J103" s="4" t="s">
        <v>73</v>
      </c>
      <c r="K103" s="4" t="s">
        <v>609</v>
      </c>
      <c r="L103" s="4" t="s">
        <v>40</v>
      </c>
      <c r="M103" s="4" t="s">
        <v>514</v>
      </c>
      <c r="N103" s="4" t="s">
        <v>894</v>
      </c>
      <c r="O103" s="4" t="s">
        <v>42</v>
      </c>
      <c r="P103" s="50" t="s">
        <v>43</v>
      </c>
      <c r="Q103" s="50">
        <v>50646056.660200231</v>
      </c>
      <c r="R103" s="50" t="s">
        <v>886</v>
      </c>
      <c r="S103" s="4" t="s">
        <v>43</v>
      </c>
    </row>
    <row r="104" spans="3:19" x14ac:dyDescent="0.25">
      <c r="C104" s="4" t="s">
        <v>537</v>
      </c>
      <c r="D104" s="4" t="s">
        <v>538</v>
      </c>
      <c r="E104" s="4" t="s">
        <v>538</v>
      </c>
      <c r="F104" s="4">
        <v>6.13</v>
      </c>
      <c r="G104" s="4" t="s">
        <v>376</v>
      </c>
      <c r="H104" s="4" t="s">
        <v>46</v>
      </c>
      <c r="I104" s="4" t="s">
        <v>1030</v>
      </c>
      <c r="J104" s="4" t="s">
        <v>100</v>
      </c>
      <c r="K104" s="4" t="s">
        <v>64</v>
      </c>
      <c r="L104" s="4" t="s">
        <v>40</v>
      </c>
      <c r="M104" s="4" t="s">
        <v>514</v>
      </c>
      <c r="N104" s="4" t="s">
        <v>537</v>
      </c>
      <c r="O104" s="4" t="s">
        <v>42</v>
      </c>
      <c r="P104" s="50" t="s">
        <v>43</v>
      </c>
      <c r="Q104" s="50">
        <v>57839418.235837758</v>
      </c>
      <c r="R104" s="50" t="s">
        <v>515</v>
      </c>
      <c r="S104" s="4" t="s">
        <v>43</v>
      </c>
    </row>
    <row r="105" spans="3:19" x14ac:dyDescent="0.25">
      <c r="C105" s="4" t="s">
        <v>863</v>
      </c>
      <c r="D105" s="4" t="s">
        <v>864</v>
      </c>
      <c r="E105" s="4" t="s">
        <v>864</v>
      </c>
      <c r="F105" s="4">
        <v>6</v>
      </c>
      <c r="G105" s="4" t="s">
        <v>376</v>
      </c>
      <c r="H105" s="4" t="s">
        <v>46</v>
      </c>
      <c r="I105" s="4" t="s">
        <v>1030</v>
      </c>
      <c r="J105" s="4" t="s">
        <v>132</v>
      </c>
      <c r="K105" s="4" t="s">
        <v>138</v>
      </c>
      <c r="L105" s="4" t="s">
        <v>40</v>
      </c>
      <c r="M105" s="4" t="s">
        <v>1035</v>
      </c>
      <c r="N105" s="4" t="s">
        <v>863</v>
      </c>
      <c r="O105" s="4" t="s">
        <v>42</v>
      </c>
      <c r="P105" s="50" t="s">
        <v>43</v>
      </c>
      <c r="Q105" s="50">
        <v>48090751.575065963</v>
      </c>
      <c r="R105" s="50" t="s">
        <v>847</v>
      </c>
      <c r="S105" s="4" t="s">
        <v>43</v>
      </c>
    </row>
    <row r="106" spans="3:19" x14ac:dyDescent="0.25">
      <c r="C106" s="4" t="s">
        <v>896</v>
      </c>
      <c r="D106" s="4" t="s">
        <v>897</v>
      </c>
      <c r="E106" s="4" t="s">
        <v>897</v>
      </c>
      <c r="F106" s="4">
        <v>5</v>
      </c>
      <c r="G106" s="4" t="s">
        <v>376</v>
      </c>
      <c r="H106" s="4" t="s">
        <v>46</v>
      </c>
      <c r="I106" s="4" t="s">
        <v>1030</v>
      </c>
      <c r="J106" s="4" t="s">
        <v>73</v>
      </c>
      <c r="K106" s="4" t="s">
        <v>133</v>
      </c>
      <c r="L106" s="4" t="s">
        <v>40</v>
      </c>
      <c r="M106" s="4" t="s">
        <v>514</v>
      </c>
      <c r="N106" s="4" t="s">
        <v>896</v>
      </c>
      <c r="O106" s="4" t="s">
        <v>42</v>
      </c>
      <c r="P106" s="50" t="s">
        <v>43</v>
      </c>
      <c r="Q106" s="50">
        <v>35819112.041041493</v>
      </c>
      <c r="R106" s="50" t="s">
        <v>886</v>
      </c>
      <c r="S106" s="4" t="s">
        <v>43</v>
      </c>
    </row>
    <row r="107" spans="3:19" x14ac:dyDescent="0.25">
      <c r="C107" s="4" t="s">
        <v>898</v>
      </c>
      <c r="D107" s="4" t="s">
        <v>899</v>
      </c>
      <c r="E107" s="4" t="s">
        <v>899</v>
      </c>
      <c r="F107" s="4">
        <v>5.45</v>
      </c>
      <c r="G107" s="4" t="s">
        <v>376</v>
      </c>
      <c r="H107" s="4" t="s">
        <v>46</v>
      </c>
      <c r="I107" s="4" t="s">
        <v>1030</v>
      </c>
      <c r="J107" s="4" t="s">
        <v>73</v>
      </c>
      <c r="K107" s="4" t="s">
        <v>315</v>
      </c>
      <c r="L107" s="4" t="s">
        <v>40</v>
      </c>
      <c r="M107" s="4" t="s">
        <v>514</v>
      </c>
      <c r="N107" s="4" t="s">
        <v>898</v>
      </c>
      <c r="O107" s="4" t="s">
        <v>42</v>
      </c>
      <c r="P107" s="50" t="s">
        <v>440</v>
      </c>
      <c r="Q107" s="50">
        <v>54722902.514010504</v>
      </c>
      <c r="R107" s="50" t="s">
        <v>886</v>
      </c>
      <c r="S107" s="4" t="s">
        <v>43</v>
      </c>
    </row>
    <row r="108" spans="3:19" x14ac:dyDescent="0.25">
      <c r="C108" s="4" t="s">
        <v>950</v>
      </c>
      <c r="D108" s="4" t="s">
        <v>951</v>
      </c>
      <c r="E108" s="4" t="s">
        <v>951</v>
      </c>
      <c r="F108" s="4">
        <v>5.45</v>
      </c>
      <c r="G108" s="4" t="s">
        <v>376</v>
      </c>
      <c r="H108" s="4" t="s">
        <v>46</v>
      </c>
      <c r="I108" s="4" t="s">
        <v>1030</v>
      </c>
      <c r="J108" s="4" t="s">
        <v>160</v>
      </c>
      <c r="K108" s="4" t="s">
        <v>353</v>
      </c>
      <c r="L108" s="4" t="s">
        <v>40</v>
      </c>
      <c r="M108" s="4" t="s">
        <v>984</v>
      </c>
      <c r="N108" s="4" t="s">
        <v>950</v>
      </c>
      <c r="O108" s="4" t="s">
        <v>42</v>
      </c>
      <c r="P108" s="50" t="s">
        <v>43</v>
      </c>
      <c r="Q108" s="50">
        <v>42614264.595107347</v>
      </c>
      <c r="R108" s="50" t="s">
        <v>931</v>
      </c>
      <c r="S108" s="4" t="s">
        <v>43</v>
      </c>
    </row>
    <row r="109" spans="3:19" x14ac:dyDescent="0.25">
      <c r="C109" s="4" t="s">
        <v>406</v>
      </c>
      <c r="D109" s="4" t="s">
        <v>407</v>
      </c>
      <c r="E109" s="4" t="s">
        <v>407</v>
      </c>
      <c r="F109" s="4">
        <v>5.45</v>
      </c>
      <c r="G109" s="4" t="s">
        <v>376</v>
      </c>
      <c r="H109" s="4" t="s">
        <v>46</v>
      </c>
      <c r="I109" s="4" t="s">
        <v>1031</v>
      </c>
      <c r="J109" s="4" t="s">
        <v>63</v>
      </c>
      <c r="K109" s="4" t="s">
        <v>138</v>
      </c>
      <c r="L109" s="4" t="s">
        <v>40</v>
      </c>
      <c r="M109" s="4" t="s">
        <v>378</v>
      </c>
      <c r="N109" s="4" t="s">
        <v>406</v>
      </c>
      <c r="O109" s="4" t="s">
        <v>42</v>
      </c>
      <c r="P109" s="50" t="s">
        <v>43</v>
      </c>
      <c r="Q109" s="50">
        <v>48350261.802912205</v>
      </c>
      <c r="R109" s="50" t="s">
        <v>380</v>
      </c>
      <c r="S109" s="4" t="s">
        <v>43</v>
      </c>
    </row>
    <row r="110" spans="3:19" x14ac:dyDescent="0.25">
      <c r="C110" s="4" t="s">
        <v>429</v>
      </c>
      <c r="D110" s="4" t="s">
        <v>430</v>
      </c>
      <c r="E110" s="4" t="s">
        <v>431</v>
      </c>
      <c r="F110" s="4">
        <v>6</v>
      </c>
      <c r="G110" s="4" t="s">
        <v>376</v>
      </c>
      <c r="H110" s="4" t="s">
        <v>46</v>
      </c>
      <c r="I110" s="4" t="s">
        <v>1030</v>
      </c>
      <c r="J110" s="4" t="s">
        <v>94</v>
      </c>
      <c r="K110" s="4" t="s">
        <v>64</v>
      </c>
      <c r="L110" s="4" t="s">
        <v>40</v>
      </c>
      <c r="M110" s="4" t="s">
        <v>1035</v>
      </c>
      <c r="N110" s="4" t="s">
        <v>429</v>
      </c>
      <c r="O110" s="4" t="s">
        <v>42</v>
      </c>
      <c r="P110" s="50" t="s">
        <v>43</v>
      </c>
      <c r="Q110" s="50">
        <v>80270234.39988105</v>
      </c>
      <c r="R110" s="50" t="s">
        <v>423</v>
      </c>
      <c r="S110" s="4" t="s">
        <v>43</v>
      </c>
    </row>
    <row r="111" spans="3:19" x14ac:dyDescent="0.25">
      <c r="C111" s="4" t="s">
        <v>483</v>
      </c>
      <c r="D111" s="4" t="s">
        <v>484</v>
      </c>
      <c r="E111" s="4" t="s">
        <v>485</v>
      </c>
      <c r="F111" s="4">
        <v>5</v>
      </c>
      <c r="G111" s="4" t="s">
        <v>376</v>
      </c>
      <c r="H111" s="4" t="s">
        <v>46</v>
      </c>
      <c r="I111" s="4" t="s">
        <v>1030</v>
      </c>
      <c r="J111" s="4" t="s">
        <v>466</v>
      </c>
      <c r="K111" s="4" t="s">
        <v>51</v>
      </c>
      <c r="L111" s="4" t="s">
        <v>40</v>
      </c>
      <c r="M111" s="4" t="s">
        <v>1035</v>
      </c>
      <c r="N111" s="4" t="s">
        <v>483</v>
      </c>
      <c r="O111" s="4" t="s">
        <v>42</v>
      </c>
      <c r="P111" s="50" t="s">
        <v>43</v>
      </c>
      <c r="Q111" s="50">
        <v>68112880.945969582</v>
      </c>
      <c r="R111" s="50" t="s">
        <v>467</v>
      </c>
      <c r="S111" s="4" t="s">
        <v>43</v>
      </c>
    </row>
    <row r="112" spans="3:19" x14ac:dyDescent="0.25">
      <c r="C112" s="4" t="s">
        <v>539</v>
      </c>
      <c r="D112" s="4" t="s">
        <v>540</v>
      </c>
      <c r="E112" s="4" t="s">
        <v>541</v>
      </c>
      <c r="F112" s="4">
        <v>6.13</v>
      </c>
      <c r="G112" s="4" t="s">
        <v>376</v>
      </c>
      <c r="H112" s="4" t="s">
        <v>46</v>
      </c>
      <c r="I112" s="4" t="s">
        <v>1030</v>
      </c>
      <c r="J112" s="4" t="s">
        <v>100</v>
      </c>
      <c r="K112" s="4" t="s">
        <v>51</v>
      </c>
      <c r="L112" s="4" t="s">
        <v>40</v>
      </c>
      <c r="M112" s="4" t="s">
        <v>514</v>
      </c>
      <c r="N112" s="4" t="s">
        <v>539</v>
      </c>
      <c r="O112" s="4" t="s">
        <v>42</v>
      </c>
      <c r="P112" s="50" t="s">
        <v>43</v>
      </c>
      <c r="Q112" s="50">
        <v>57581330.069939882</v>
      </c>
      <c r="R112" s="50" t="s">
        <v>515</v>
      </c>
      <c r="S112" s="4" t="s">
        <v>43</v>
      </c>
    </row>
    <row r="113" spans="3:19" x14ac:dyDescent="0.25">
      <c r="C113" s="4" t="s">
        <v>432</v>
      </c>
      <c r="D113" s="4" t="s">
        <v>433</v>
      </c>
      <c r="E113" s="4" t="s">
        <v>434</v>
      </c>
      <c r="F113" s="4">
        <v>5.45</v>
      </c>
      <c r="G113" s="4" t="s">
        <v>376</v>
      </c>
      <c r="H113" s="4" t="s">
        <v>46</v>
      </c>
      <c r="I113" s="4" t="s">
        <v>1030</v>
      </c>
      <c r="J113" s="4" t="s">
        <v>94</v>
      </c>
      <c r="K113" s="4" t="s">
        <v>205</v>
      </c>
      <c r="L113" s="4" t="s">
        <v>40</v>
      </c>
      <c r="M113" s="4" t="s">
        <v>1035</v>
      </c>
      <c r="N113" s="4" t="s">
        <v>432</v>
      </c>
      <c r="O113" s="4" t="s">
        <v>42</v>
      </c>
      <c r="P113" s="50" t="s">
        <v>43</v>
      </c>
      <c r="Q113" s="50">
        <v>55861853.826456673</v>
      </c>
      <c r="R113" s="50" t="s">
        <v>423</v>
      </c>
      <c r="S113" s="4" t="s">
        <v>43</v>
      </c>
    </row>
    <row r="114" spans="3:19" x14ac:dyDescent="0.25">
      <c r="C114" s="4" t="s">
        <v>671</v>
      </c>
      <c r="D114" s="4" t="s">
        <v>672</v>
      </c>
      <c r="E114" s="4" t="s">
        <v>672</v>
      </c>
      <c r="F114" s="4">
        <v>5</v>
      </c>
      <c r="G114" s="4" t="s">
        <v>376</v>
      </c>
      <c r="H114" s="4" t="s">
        <v>46</v>
      </c>
      <c r="I114" s="4" t="s">
        <v>1030</v>
      </c>
      <c r="J114" s="4" t="s">
        <v>248</v>
      </c>
      <c r="K114" s="4" t="s">
        <v>51</v>
      </c>
      <c r="L114" s="4" t="s">
        <v>40</v>
      </c>
      <c r="M114" s="4" t="s">
        <v>984</v>
      </c>
      <c r="N114" s="4" t="s">
        <v>671</v>
      </c>
      <c r="O114" s="4" t="s">
        <v>42</v>
      </c>
      <c r="P114" s="50" t="s">
        <v>43</v>
      </c>
      <c r="Q114" s="50">
        <v>48172301.396687821</v>
      </c>
      <c r="R114" s="50" t="s">
        <v>51</v>
      </c>
      <c r="S114" s="4" t="s">
        <v>43</v>
      </c>
    </row>
    <row r="115" spans="3:19" x14ac:dyDescent="0.25">
      <c r="C115" s="4" t="s">
        <v>567</v>
      </c>
      <c r="D115" s="4" t="s">
        <v>568</v>
      </c>
      <c r="E115" s="4" t="s">
        <v>568</v>
      </c>
      <c r="F115" s="4">
        <v>5</v>
      </c>
      <c r="G115" s="4" t="s">
        <v>376</v>
      </c>
      <c r="H115" s="4" t="s">
        <v>46</v>
      </c>
      <c r="I115" s="4" t="s">
        <v>1030</v>
      </c>
      <c r="J115" s="4" t="s">
        <v>331</v>
      </c>
      <c r="K115" s="4" t="s">
        <v>138</v>
      </c>
      <c r="L115" s="4" t="s">
        <v>40</v>
      </c>
      <c r="M115" s="4" t="s">
        <v>984</v>
      </c>
      <c r="N115" s="4" t="s">
        <v>567</v>
      </c>
      <c r="O115" s="4" t="s">
        <v>42</v>
      </c>
      <c r="P115" s="50" t="s">
        <v>43</v>
      </c>
      <c r="Q115" s="50">
        <v>44138447.377480105</v>
      </c>
      <c r="R115" s="50" t="s">
        <v>557</v>
      </c>
      <c r="S115" s="4" t="s">
        <v>43</v>
      </c>
    </row>
    <row r="116" spans="3:19" x14ac:dyDescent="0.25">
      <c r="C116" s="4" t="s">
        <v>435</v>
      </c>
      <c r="D116" s="4" t="s">
        <v>436</v>
      </c>
      <c r="E116" s="4" t="s">
        <v>436</v>
      </c>
      <c r="F116" s="4">
        <v>5</v>
      </c>
      <c r="G116" s="4" t="s">
        <v>376</v>
      </c>
      <c r="H116" s="4" t="s">
        <v>46</v>
      </c>
      <c r="I116" s="4" t="s">
        <v>1030</v>
      </c>
      <c r="J116" s="4" t="s">
        <v>94</v>
      </c>
      <c r="K116" s="4" t="s">
        <v>64</v>
      </c>
      <c r="L116" s="4" t="s">
        <v>40</v>
      </c>
      <c r="M116" s="4" t="s">
        <v>1035</v>
      </c>
      <c r="N116" s="4" t="s">
        <v>435</v>
      </c>
      <c r="O116" s="4" t="s">
        <v>42</v>
      </c>
      <c r="P116" s="50" t="s">
        <v>43</v>
      </c>
      <c r="Q116" s="50">
        <v>63600972.760103814</v>
      </c>
      <c r="R116" s="50" t="s">
        <v>423</v>
      </c>
      <c r="S116" s="4" t="s">
        <v>43</v>
      </c>
    </row>
    <row r="117" spans="3:19" x14ac:dyDescent="0.25">
      <c r="C117" s="4" t="s">
        <v>865</v>
      </c>
      <c r="D117" s="4" t="s">
        <v>866</v>
      </c>
      <c r="E117" s="4" t="s">
        <v>866</v>
      </c>
      <c r="F117" s="4">
        <v>6</v>
      </c>
      <c r="G117" s="4" t="s">
        <v>376</v>
      </c>
      <c r="H117" s="4" t="s">
        <v>46</v>
      </c>
      <c r="I117" s="4" t="s">
        <v>1030</v>
      </c>
      <c r="J117" s="4" t="s">
        <v>132</v>
      </c>
      <c r="K117" s="4" t="s">
        <v>856</v>
      </c>
      <c r="L117" s="4" t="s">
        <v>40</v>
      </c>
      <c r="M117" s="4" t="s">
        <v>1035</v>
      </c>
      <c r="N117" s="4" t="s">
        <v>865</v>
      </c>
      <c r="O117" s="4" t="s">
        <v>42</v>
      </c>
      <c r="P117" s="50" t="s">
        <v>43</v>
      </c>
      <c r="Q117" s="50">
        <v>56351291.687915325</v>
      </c>
      <c r="R117" s="50" t="s">
        <v>847</v>
      </c>
      <c r="S117" s="4" t="s">
        <v>43</v>
      </c>
    </row>
    <row r="118" spans="3:19" x14ac:dyDescent="0.25">
      <c r="C118" s="4" t="s">
        <v>486</v>
      </c>
      <c r="D118" s="4" t="s">
        <v>487</v>
      </c>
      <c r="E118" s="4" t="s">
        <v>487</v>
      </c>
      <c r="F118" s="4">
        <v>5</v>
      </c>
      <c r="G118" s="4" t="s">
        <v>376</v>
      </c>
      <c r="H118" s="4" t="s">
        <v>46</v>
      </c>
      <c r="I118" s="4" t="s">
        <v>1030</v>
      </c>
      <c r="J118" s="4" t="s">
        <v>466</v>
      </c>
      <c r="K118" s="4" t="s">
        <v>51</v>
      </c>
      <c r="L118" s="4" t="s">
        <v>40</v>
      </c>
      <c r="M118" s="4" t="s">
        <v>1035</v>
      </c>
      <c r="N118" s="4" t="s">
        <v>486</v>
      </c>
      <c r="O118" s="4" t="s">
        <v>42</v>
      </c>
      <c r="P118" s="50" t="s">
        <v>43</v>
      </c>
      <c r="Q118" s="50">
        <v>48797500.393176541</v>
      </c>
      <c r="R118" s="50" t="s">
        <v>467</v>
      </c>
      <c r="S118" s="4" t="s">
        <v>43</v>
      </c>
    </row>
    <row r="119" spans="3:19" x14ac:dyDescent="0.25">
      <c r="C119" s="4" t="s">
        <v>673</v>
      </c>
      <c r="D119" s="4" t="s">
        <v>674</v>
      </c>
      <c r="E119" s="4" t="s">
        <v>674</v>
      </c>
      <c r="F119" s="4">
        <v>5.45</v>
      </c>
      <c r="G119" s="4" t="s">
        <v>376</v>
      </c>
      <c r="H119" s="4" t="s">
        <v>46</v>
      </c>
      <c r="I119" s="4" t="s">
        <v>1030</v>
      </c>
      <c r="J119" s="4" t="s">
        <v>248</v>
      </c>
      <c r="K119" s="4" t="s">
        <v>51</v>
      </c>
      <c r="L119" s="4" t="s">
        <v>40</v>
      </c>
      <c r="M119" s="4" t="s">
        <v>984</v>
      </c>
      <c r="N119" s="4" t="s">
        <v>673</v>
      </c>
      <c r="O119" s="4" t="s">
        <v>42</v>
      </c>
      <c r="P119" s="50" t="s">
        <v>43</v>
      </c>
      <c r="Q119" s="50">
        <v>41768196.211722031</v>
      </c>
      <c r="R119" s="50" t="s">
        <v>51</v>
      </c>
      <c r="S119" s="4" t="s">
        <v>43</v>
      </c>
    </row>
    <row r="120" spans="3:19" x14ac:dyDescent="0.25">
      <c r="C120" s="4" t="s">
        <v>569</v>
      </c>
      <c r="D120" s="4" t="s">
        <v>570</v>
      </c>
      <c r="E120" s="4" t="s">
        <v>570</v>
      </c>
      <c r="F120" s="4">
        <v>5.45</v>
      </c>
      <c r="G120" s="4" t="s">
        <v>376</v>
      </c>
      <c r="H120" s="4" t="s">
        <v>46</v>
      </c>
      <c r="I120" s="4" t="s">
        <v>1030</v>
      </c>
      <c r="J120" s="4" t="s">
        <v>331</v>
      </c>
      <c r="K120" s="4" t="s">
        <v>138</v>
      </c>
      <c r="L120" s="4" t="s">
        <v>40</v>
      </c>
      <c r="M120" s="4" t="s">
        <v>984</v>
      </c>
      <c r="N120" s="4" t="s">
        <v>569</v>
      </c>
      <c r="O120" s="4" t="s">
        <v>42</v>
      </c>
      <c r="P120" s="50" t="s">
        <v>43</v>
      </c>
      <c r="Q120" s="50">
        <v>55353417.179270662</v>
      </c>
      <c r="R120" s="50" t="s">
        <v>557</v>
      </c>
      <c r="S120" s="4" t="s">
        <v>43</v>
      </c>
    </row>
    <row r="121" spans="3:19" x14ac:dyDescent="0.25">
      <c r="C121" s="4" t="s">
        <v>750</v>
      </c>
      <c r="D121" s="4" t="s">
        <v>751</v>
      </c>
      <c r="E121" s="4" t="s">
        <v>751</v>
      </c>
      <c r="F121" s="4">
        <v>5</v>
      </c>
      <c r="G121" s="4" t="s">
        <v>376</v>
      </c>
      <c r="H121" s="4" t="s">
        <v>46</v>
      </c>
      <c r="I121" s="4" t="s">
        <v>1031</v>
      </c>
      <c r="J121" s="4" t="s">
        <v>84</v>
      </c>
      <c r="K121" s="4" t="s">
        <v>54</v>
      </c>
      <c r="L121" s="4" t="s">
        <v>55</v>
      </c>
      <c r="M121" s="4" t="s">
        <v>378</v>
      </c>
      <c r="N121" s="4" t="s">
        <v>750</v>
      </c>
      <c r="O121" s="4" t="s">
        <v>42</v>
      </c>
      <c r="P121" s="50" t="s">
        <v>43</v>
      </c>
      <c r="Q121" s="50">
        <v>45916522.708808511</v>
      </c>
      <c r="R121" s="50" t="s">
        <v>741</v>
      </c>
      <c r="S121" s="4" t="s">
        <v>43</v>
      </c>
    </row>
    <row r="122" spans="3:19" x14ac:dyDescent="0.25">
      <c r="C122" s="4" t="s">
        <v>488</v>
      </c>
      <c r="D122" s="4" t="s">
        <v>489</v>
      </c>
      <c r="E122" s="4" t="s">
        <v>490</v>
      </c>
      <c r="F122" s="4">
        <v>5</v>
      </c>
      <c r="G122" s="4" t="s">
        <v>376</v>
      </c>
      <c r="H122" s="4" t="s">
        <v>46</v>
      </c>
      <c r="I122" s="4" t="s">
        <v>1030</v>
      </c>
      <c r="J122" s="4" t="s">
        <v>466</v>
      </c>
      <c r="K122" s="4" t="s">
        <v>51</v>
      </c>
      <c r="L122" s="4" t="s">
        <v>40</v>
      </c>
      <c r="M122" s="4" t="s">
        <v>1035</v>
      </c>
      <c r="N122" s="4" t="s">
        <v>488</v>
      </c>
      <c r="O122" s="4" t="s">
        <v>42</v>
      </c>
      <c r="P122" s="50" t="s">
        <v>43</v>
      </c>
      <c r="Q122" s="50">
        <v>48555930.231781766</v>
      </c>
      <c r="R122" s="50" t="s">
        <v>467</v>
      </c>
      <c r="S122" s="4" t="s">
        <v>43</v>
      </c>
    </row>
    <row r="123" spans="3:19" x14ac:dyDescent="0.25">
      <c r="C123" s="4" t="s">
        <v>952</v>
      </c>
      <c r="D123" s="4" t="s">
        <v>953</v>
      </c>
      <c r="E123" s="4" t="s">
        <v>953</v>
      </c>
      <c r="F123" s="4">
        <v>5.45</v>
      </c>
      <c r="G123" s="4" t="s">
        <v>376</v>
      </c>
      <c r="H123" s="4" t="s">
        <v>46</v>
      </c>
      <c r="I123" s="4" t="s">
        <v>1030</v>
      </c>
      <c r="J123" s="4" t="s">
        <v>160</v>
      </c>
      <c r="K123" s="4" t="s">
        <v>371</v>
      </c>
      <c r="L123" s="4" t="s">
        <v>40</v>
      </c>
      <c r="M123" s="4" t="s">
        <v>984</v>
      </c>
      <c r="N123" s="4" t="s">
        <v>952</v>
      </c>
      <c r="O123" s="4" t="s">
        <v>42</v>
      </c>
      <c r="P123" s="50" t="s">
        <v>43</v>
      </c>
      <c r="Q123" s="50">
        <v>51897367.640558772</v>
      </c>
      <c r="R123" s="50" t="s">
        <v>931</v>
      </c>
      <c r="S123" s="4" t="s">
        <v>43</v>
      </c>
    </row>
    <row r="124" spans="3:19" x14ac:dyDescent="0.25">
      <c r="C124" s="4" t="s">
        <v>675</v>
      </c>
      <c r="D124" s="4" t="s">
        <v>676</v>
      </c>
      <c r="E124" s="4" t="s">
        <v>676</v>
      </c>
      <c r="F124" s="4">
        <v>5</v>
      </c>
      <c r="G124" s="4" t="s">
        <v>376</v>
      </c>
      <c r="H124" s="4" t="s">
        <v>81</v>
      </c>
      <c r="I124" s="4" t="s">
        <v>1030</v>
      </c>
      <c r="J124" s="4" t="s">
        <v>248</v>
      </c>
      <c r="K124" s="4" t="s">
        <v>51</v>
      </c>
      <c r="L124" s="4" t="s">
        <v>40</v>
      </c>
      <c r="M124" s="4" t="s">
        <v>984</v>
      </c>
      <c r="N124" s="4" t="s">
        <v>675</v>
      </c>
      <c r="O124" s="4" t="s">
        <v>42</v>
      </c>
      <c r="P124" s="50" t="s">
        <v>43</v>
      </c>
      <c r="Q124" s="50">
        <v>48634318.081191868</v>
      </c>
      <c r="R124" s="50" t="s">
        <v>51</v>
      </c>
      <c r="S124" s="4" t="s">
        <v>43</v>
      </c>
    </row>
    <row r="125" spans="3:19" x14ac:dyDescent="0.25">
      <c r="C125" s="4" t="s">
        <v>780</v>
      </c>
      <c r="D125" s="4" t="s">
        <v>781</v>
      </c>
      <c r="E125" s="4" t="s">
        <v>781</v>
      </c>
      <c r="F125" s="4">
        <v>5.45</v>
      </c>
      <c r="G125" s="4" t="s">
        <v>376</v>
      </c>
      <c r="H125" s="4" t="s">
        <v>46</v>
      </c>
      <c r="I125" s="4" t="s">
        <v>1031</v>
      </c>
      <c r="J125" s="4" t="s">
        <v>89</v>
      </c>
      <c r="K125" s="4" t="s">
        <v>109</v>
      </c>
      <c r="L125" s="4" t="s">
        <v>91</v>
      </c>
      <c r="M125" s="4" t="s">
        <v>378</v>
      </c>
      <c r="N125" s="4" t="s">
        <v>780</v>
      </c>
      <c r="O125" s="4" t="s">
        <v>42</v>
      </c>
      <c r="P125" s="50" t="s">
        <v>43</v>
      </c>
      <c r="Q125" s="50">
        <v>49761849.977338254</v>
      </c>
      <c r="R125" s="50" t="s">
        <v>772</v>
      </c>
      <c r="S125" s="4" t="s">
        <v>43</v>
      </c>
    </row>
    <row r="126" spans="3:19" x14ac:dyDescent="0.25">
      <c r="C126" s="4" t="s">
        <v>628</v>
      </c>
      <c r="D126" s="4" t="s">
        <v>996</v>
      </c>
      <c r="E126" s="4" t="s">
        <v>630</v>
      </c>
      <c r="F126" s="4">
        <v>5.07</v>
      </c>
      <c r="G126" s="4" t="s">
        <v>376</v>
      </c>
      <c r="H126" s="4" t="s">
        <v>46</v>
      </c>
      <c r="I126" s="4" t="s">
        <v>1030</v>
      </c>
      <c r="J126" s="4" t="s">
        <v>50</v>
      </c>
      <c r="K126" s="4" t="s">
        <v>64</v>
      </c>
      <c r="L126" s="4" t="s">
        <v>40</v>
      </c>
      <c r="M126" s="4" t="s">
        <v>514</v>
      </c>
      <c r="N126" s="4" t="s">
        <v>628</v>
      </c>
      <c r="O126" s="4" t="s">
        <v>42</v>
      </c>
      <c r="P126" s="50" t="s">
        <v>43</v>
      </c>
      <c r="Q126" s="50">
        <v>35971834.533899993</v>
      </c>
      <c r="R126" s="50" t="s">
        <v>597</v>
      </c>
      <c r="S126" s="4" t="s">
        <v>43</v>
      </c>
    </row>
    <row r="127" spans="3:19" x14ac:dyDescent="0.25">
      <c r="C127" s="4" t="s">
        <v>408</v>
      </c>
      <c r="D127" s="4" t="s">
        <v>409</v>
      </c>
      <c r="E127" s="4" t="s">
        <v>410</v>
      </c>
      <c r="F127" s="4">
        <v>5</v>
      </c>
      <c r="G127" s="4" t="s">
        <v>376</v>
      </c>
      <c r="H127" s="4" t="s">
        <v>46</v>
      </c>
      <c r="I127" s="4" t="s">
        <v>1031</v>
      </c>
      <c r="J127" s="4" t="s">
        <v>63</v>
      </c>
      <c r="K127" s="4" t="s">
        <v>138</v>
      </c>
      <c r="L127" s="4" t="s">
        <v>40</v>
      </c>
      <c r="M127" s="4" t="s">
        <v>378</v>
      </c>
      <c r="N127" s="4" t="s">
        <v>408</v>
      </c>
      <c r="O127" s="4" t="s">
        <v>42</v>
      </c>
      <c r="P127" s="50" t="s">
        <v>43</v>
      </c>
      <c r="Q127" s="50">
        <v>50344618.851810172</v>
      </c>
      <c r="R127" s="50" t="s">
        <v>380</v>
      </c>
      <c r="S127" s="4" t="s">
        <v>43</v>
      </c>
    </row>
    <row r="128" spans="3:19" x14ac:dyDescent="0.25">
      <c r="C128" s="4" t="s">
        <v>677</v>
      </c>
      <c r="D128" s="4" t="s">
        <v>678</v>
      </c>
      <c r="E128" s="4" t="s">
        <v>679</v>
      </c>
      <c r="F128" s="4">
        <v>5</v>
      </c>
      <c r="G128" s="4" t="s">
        <v>376</v>
      </c>
      <c r="H128" s="4" t="s">
        <v>46</v>
      </c>
      <c r="I128" s="4" t="s">
        <v>1030</v>
      </c>
      <c r="J128" s="4" t="s">
        <v>248</v>
      </c>
      <c r="K128" s="4" t="s">
        <v>51</v>
      </c>
      <c r="L128" s="4" t="s">
        <v>40</v>
      </c>
      <c r="M128" s="4" t="s">
        <v>984</v>
      </c>
      <c r="N128" s="4" t="s">
        <v>677</v>
      </c>
      <c r="O128" s="4" t="s">
        <v>42</v>
      </c>
      <c r="P128" s="50" t="s">
        <v>43</v>
      </c>
      <c r="Q128" s="50">
        <v>51338356.975515299</v>
      </c>
      <c r="R128" s="50" t="s">
        <v>51</v>
      </c>
      <c r="S128" s="4" t="s">
        <v>43</v>
      </c>
    </row>
    <row r="129" spans="3:19" x14ac:dyDescent="0.25">
      <c r="C129" s="4" t="s">
        <v>571</v>
      </c>
      <c r="D129" s="4" t="s">
        <v>572</v>
      </c>
      <c r="E129" s="4" t="s">
        <v>572</v>
      </c>
      <c r="F129" s="4">
        <v>6</v>
      </c>
      <c r="G129" s="4" t="s">
        <v>376</v>
      </c>
      <c r="H129" s="4" t="s">
        <v>46</v>
      </c>
      <c r="I129" s="4" t="s">
        <v>1030</v>
      </c>
      <c r="J129" s="4" t="s">
        <v>331</v>
      </c>
      <c r="K129" s="4" t="s">
        <v>138</v>
      </c>
      <c r="L129" s="4" t="s">
        <v>40</v>
      </c>
      <c r="M129" s="4" t="s">
        <v>984</v>
      </c>
      <c r="N129" s="4" t="s">
        <v>571</v>
      </c>
      <c r="O129" s="4" t="s">
        <v>42</v>
      </c>
      <c r="P129" s="50" t="s">
        <v>43</v>
      </c>
      <c r="Q129" s="50">
        <v>58947180.219210781</v>
      </c>
      <c r="R129" s="50" t="s">
        <v>557</v>
      </c>
      <c r="S129" s="4" t="s">
        <v>43</v>
      </c>
    </row>
    <row r="130" spans="3:19" x14ac:dyDescent="0.25">
      <c r="C130" s="4" t="s">
        <v>752</v>
      </c>
      <c r="D130" s="4" t="s">
        <v>753</v>
      </c>
      <c r="E130" s="4" t="s">
        <v>753</v>
      </c>
      <c r="F130" s="4">
        <v>8</v>
      </c>
      <c r="G130" s="4" t="s">
        <v>376</v>
      </c>
      <c r="H130" s="4" t="s">
        <v>46</v>
      </c>
      <c r="I130" s="4" t="s">
        <v>1031</v>
      </c>
      <c r="J130" s="4" t="s">
        <v>84</v>
      </c>
      <c r="K130" s="4" t="s">
        <v>54</v>
      </c>
      <c r="L130" s="4" t="s">
        <v>55</v>
      </c>
      <c r="M130" s="4" t="s">
        <v>378</v>
      </c>
      <c r="N130" s="4" t="s">
        <v>752</v>
      </c>
      <c r="O130" s="4" t="s">
        <v>379</v>
      </c>
      <c r="P130" s="50" t="s">
        <v>43</v>
      </c>
      <c r="Q130" s="50">
        <v>59895549.842438169</v>
      </c>
      <c r="R130" s="50" t="s">
        <v>741</v>
      </c>
      <c r="S130" s="4" t="s">
        <v>43</v>
      </c>
    </row>
    <row r="131" spans="3:19" x14ac:dyDescent="0.25">
      <c r="C131" s="4" t="s">
        <v>680</v>
      </c>
      <c r="D131" s="4" t="s">
        <v>681</v>
      </c>
      <c r="E131" s="4" t="s">
        <v>682</v>
      </c>
      <c r="F131" s="4">
        <v>5</v>
      </c>
      <c r="G131" s="4" t="s">
        <v>376</v>
      </c>
      <c r="H131" s="4" t="s">
        <v>46</v>
      </c>
      <c r="I131" s="4" t="s">
        <v>1030</v>
      </c>
      <c r="J131" s="4" t="s">
        <v>248</v>
      </c>
      <c r="K131" s="4" t="s">
        <v>51</v>
      </c>
      <c r="L131" s="4" t="s">
        <v>40</v>
      </c>
      <c r="M131" s="4" t="s">
        <v>984</v>
      </c>
      <c r="N131" s="4" t="s">
        <v>680</v>
      </c>
      <c r="O131" s="4" t="s">
        <v>42</v>
      </c>
      <c r="P131" s="50" t="s">
        <v>440</v>
      </c>
      <c r="Q131" s="50">
        <v>29835363.5621139</v>
      </c>
      <c r="R131" s="50" t="s">
        <v>51</v>
      </c>
      <c r="S131" s="4" t="s">
        <v>43</v>
      </c>
    </row>
    <row r="132" spans="3:19" x14ac:dyDescent="0.25">
      <c r="C132" s="4" t="s">
        <v>954</v>
      </c>
      <c r="D132" s="4" t="s">
        <v>955</v>
      </c>
      <c r="E132" s="4" t="s">
        <v>956</v>
      </c>
      <c r="F132" s="4">
        <v>5</v>
      </c>
      <c r="G132" s="4" t="s">
        <v>376</v>
      </c>
      <c r="H132" s="4" t="s">
        <v>46</v>
      </c>
      <c r="I132" s="4" t="s">
        <v>1030</v>
      </c>
      <c r="J132" s="4" t="s">
        <v>160</v>
      </c>
      <c r="K132" s="4" t="s">
        <v>353</v>
      </c>
      <c r="L132" s="4" t="s">
        <v>40</v>
      </c>
      <c r="M132" s="4" t="s">
        <v>984</v>
      </c>
      <c r="N132" s="4" t="s">
        <v>954</v>
      </c>
      <c r="O132" s="4" t="s">
        <v>42</v>
      </c>
      <c r="P132" s="50" t="s">
        <v>440</v>
      </c>
      <c r="Q132" s="50">
        <v>46106269.458120339</v>
      </c>
      <c r="R132" s="50" t="s">
        <v>931</v>
      </c>
      <c r="S132" s="4" t="s">
        <v>43</v>
      </c>
    </row>
    <row r="133" spans="3:19" x14ac:dyDescent="0.25">
      <c r="C133" s="4" t="s">
        <v>68</v>
      </c>
      <c r="D133" s="4" t="s">
        <v>69</v>
      </c>
      <c r="E133" s="4" t="s">
        <v>70</v>
      </c>
      <c r="F133" s="4" t="s">
        <v>36</v>
      </c>
      <c r="G133" s="4" t="s">
        <v>37</v>
      </c>
      <c r="H133" s="4" t="s">
        <v>38</v>
      </c>
      <c r="I133" s="4" t="s">
        <v>1030</v>
      </c>
      <c r="J133" s="4" t="s">
        <v>58</v>
      </c>
      <c r="K133" s="4" t="s">
        <v>64</v>
      </c>
      <c r="L133" s="4" t="s">
        <v>40</v>
      </c>
      <c r="M133" s="4">
        <v>0</v>
      </c>
      <c r="N133" s="4" t="s">
        <v>68</v>
      </c>
      <c r="O133" s="4" t="s">
        <v>42</v>
      </c>
      <c r="P133" s="50" t="s">
        <v>43</v>
      </c>
      <c r="Q133" s="50" t="s">
        <v>36</v>
      </c>
      <c r="R133" s="50">
        <v>0</v>
      </c>
      <c r="S133" s="4" t="s">
        <v>36</v>
      </c>
    </row>
    <row r="134" spans="3:19" x14ac:dyDescent="0.25">
      <c r="C134" s="4" t="s">
        <v>867</v>
      </c>
      <c r="D134" s="4" t="s">
        <v>997</v>
      </c>
      <c r="E134" s="4" t="s">
        <v>869</v>
      </c>
      <c r="F134" s="4">
        <v>5</v>
      </c>
      <c r="G134" s="4" t="s">
        <v>1044</v>
      </c>
      <c r="H134" s="4" t="s">
        <v>46</v>
      </c>
      <c r="I134" s="4" t="s">
        <v>1030</v>
      </c>
      <c r="J134" s="4" t="s">
        <v>132</v>
      </c>
      <c r="K134" s="4" t="s">
        <v>856</v>
      </c>
      <c r="L134" s="4" t="s">
        <v>40</v>
      </c>
      <c r="M134" s="4" t="s">
        <v>1035</v>
      </c>
      <c r="N134" s="4" t="s">
        <v>867</v>
      </c>
      <c r="O134" s="4" t="s">
        <v>42</v>
      </c>
      <c r="P134" s="50" t="s">
        <v>440</v>
      </c>
      <c r="Q134" s="50">
        <v>0</v>
      </c>
      <c r="R134" s="50" t="s">
        <v>847</v>
      </c>
      <c r="S134" s="4" t="s">
        <v>43</v>
      </c>
    </row>
    <row r="135" spans="3:19" x14ac:dyDescent="0.25">
      <c r="C135" s="4" t="s">
        <v>71</v>
      </c>
      <c r="D135" s="4" t="s">
        <v>72</v>
      </c>
      <c r="E135" s="4" t="s">
        <v>72</v>
      </c>
      <c r="F135" s="4">
        <v>0</v>
      </c>
      <c r="G135" s="4" t="s">
        <v>37</v>
      </c>
      <c r="H135" s="4" t="s">
        <v>46</v>
      </c>
      <c r="I135" s="4" t="s">
        <v>1030</v>
      </c>
      <c r="J135" s="4" t="s">
        <v>73</v>
      </c>
      <c r="K135" s="4" t="s">
        <v>74</v>
      </c>
      <c r="L135" s="4" t="s">
        <v>40</v>
      </c>
      <c r="M135" s="4">
        <v>0</v>
      </c>
      <c r="N135" s="4" t="s">
        <v>71</v>
      </c>
      <c r="O135" s="4" t="s">
        <v>42</v>
      </c>
      <c r="P135" s="50" t="s">
        <v>43</v>
      </c>
      <c r="Q135" s="50" t="s">
        <v>36</v>
      </c>
      <c r="R135" s="50">
        <v>0</v>
      </c>
      <c r="S135" s="4" t="s">
        <v>36</v>
      </c>
    </row>
    <row r="136" spans="3:19" x14ac:dyDescent="0.25">
      <c r="C136" s="4" t="s">
        <v>802</v>
      </c>
      <c r="D136" s="4" t="s">
        <v>803</v>
      </c>
      <c r="E136" s="4" t="s">
        <v>803</v>
      </c>
      <c r="F136" s="4">
        <v>7</v>
      </c>
      <c r="G136" s="4" t="s">
        <v>376</v>
      </c>
      <c r="H136" s="4" t="s">
        <v>46</v>
      </c>
      <c r="I136" s="4" t="s">
        <v>1030</v>
      </c>
      <c r="J136" s="4" t="s">
        <v>146</v>
      </c>
      <c r="K136" s="4" t="s">
        <v>59</v>
      </c>
      <c r="L136" s="4" t="s">
        <v>40</v>
      </c>
      <c r="M136" s="4" t="s">
        <v>1035</v>
      </c>
      <c r="N136" s="4" t="s">
        <v>802</v>
      </c>
      <c r="O136" s="4" t="s">
        <v>42</v>
      </c>
      <c r="P136" s="50" t="s">
        <v>43</v>
      </c>
      <c r="Q136" s="50">
        <v>66819316.025451712</v>
      </c>
      <c r="R136" s="50" t="s">
        <v>799</v>
      </c>
      <c r="S136" s="4" t="s">
        <v>43</v>
      </c>
    </row>
    <row r="137" spans="3:19" x14ac:dyDescent="0.25">
      <c r="C137" s="4" t="s">
        <v>957</v>
      </c>
      <c r="D137" s="4" t="s">
        <v>959</v>
      </c>
      <c r="E137" s="4" t="s">
        <v>998</v>
      </c>
      <c r="F137" s="44">
        <v>5.45</v>
      </c>
      <c r="G137" s="4" t="s">
        <v>376</v>
      </c>
      <c r="H137" s="4" t="s">
        <v>46</v>
      </c>
      <c r="I137" s="4" t="s">
        <v>1030</v>
      </c>
      <c r="J137" s="4" t="s">
        <v>160</v>
      </c>
      <c r="K137" s="4" t="s">
        <v>39</v>
      </c>
      <c r="L137" s="4" t="s">
        <v>40</v>
      </c>
      <c r="M137" s="4" t="s">
        <v>984</v>
      </c>
      <c r="N137" s="4" t="s">
        <v>957</v>
      </c>
      <c r="O137" s="4" t="s">
        <v>42</v>
      </c>
      <c r="P137" s="50" t="s">
        <v>43</v>
      </c>
      <c r="Q137" s="50">
        <v>71132904.015317902</v>
      </c>
      <c r="R137" s="50" t="s">
        <v>931</v>
      </c>
      <c r="S137" s="4" t="s">
        <v>43</v>
      </c>
    </row>
    <row r="138" spans="3:19" x14ac:dyDescent="0.25">
      <c r="C138" s="4" t="s">
        <v>75</v>
      </c>
      <c r="D138" s="4" t="s">
        <v>76</v>
      </c>
      <c r="E138" s="4" t="s">
        <v>77</v>
      </c>
      <c r="F138" s="4" t="s">
        <v>36</v>
      </c>
      <c r="G138" s="4" t="s">
        <v>37</v>
      </c>
      <c r="H138" s="4" t="s">
        <v>38</v>
      </c>
      <c r="I138" s="4" t="s">
        <v>1030</v>
      </c>
      <c r="J138" s="4">
        <v>0</v>
      </c>
      <c r="K138" s="4" t="s">
        <v>78</v>
      </c>
      <c r="L138" s="4" t="s">
        <v>40</v>
      </c>
      <c r="M138" s="4">
        <v>0</v>
      </c>
      <c r="N138" s="4" t="s">
        <v>75</v>
      </c>
      <c r="O138" s="4" t="s">
        <v>42</v>
      </c>
      <c r="P138" s="50" t="s">
        <v>43</v>
      </c>
      <c r="Q138" s="50" t="s">
        <v>36</v>
      </c>
      <c r="R138" s="50">
        <v>0</v>
      </c>
      <c r="S138" s="4" t="s">
        <v>36</v>
      </c>
    </row>
    <row r="139" spans="3:19" x14ac:dyDescent="0.25">
      <c r="C139" s="4" t="s">
        <v>491</v>
      </c>
      <c r="D139" s="4" t="s">
        <v>493</v>
      </c>
      <c r="E139" s="4" t="s">
        <v>493</v>
      </c>
      <c r="F139" s="4">
        <v>5</v>
      </c>
      <c r="G139" s="4" t="s">
        <v>376</v>
      </c>
      <c r="H139" s="4" t="s">
        <v>46</v>
      </c>
      <c r="I139" s="4" t="s">
        <v>1030</v>
      </c>
      <c r="J139" s="4" t="s">
        <v>466</v>
      </c>
      <c r="K139" s="4" t="s">
        <v>51</v>
      </c>
      <c r="L139" s="4" t="s">
        <v>40</v>
      </c>
      <c r="M139" s="4" t="s">
        <v>1035</v>
      </c>
      <c r="N139" s="4" t="s">
        <v>491</v>
      </c>
      <c r="O139" s="4" t="s">
        <v>42</v>
      </c>
      <c r="P139" s="50" t="s">
        <v>43</v>
      </c>
      <c r="Q139" s="50">
        <v>31666146.026867419</v>
      </c>
      <c r="R139" s="50" t="s">
        <v>467</v>
      </c>
      <c r="S139" s="4" t="s">
        <v>43</v>
      </c>
    </row>
    <row r="140" spans="3:19" x14ac:dyDescent="0.25">
      <c r="C140" s="4" t="s">
        <v>494</v>
      </c>
      <c r="D140" s="4" t="s">
        <v>495</v>
      </c>
      <c r="E140" s="4" t="s">
        <v>496</v>
      </c>
      <c r="F140" s="4">
        <v>5.04</v>
      </c>
      <c r="G140" s="4" t="s">
        <v>376</v>
      </c>
      <c r="H140" s="4" t="s">
        <v>46</v>
      </c>
      <c r="I140" s="4" t="s">
        <v>1030</v>
      </c>
      <c r="J140" s="4" t="s">
        <v>466</v>
      </c>
      <c r="K140" s="4" t="s">
        <v>51</v>
      </c>
      <c r="L140" s="4" t="s">
        <v>40</v>
      </c>
      <c r="M140" s="4" t="s">
        <v>1035</v>
      </c>
      <c r="N140" s="4" t="s">
        <v>494</v>
      </c>
      <c r="O140" s="4" t="s">
        <v>42</v>
      </c>
      <c r="P140" s="50" t="s">
        <v>43</v>
      </c>
      <c r="Q140" s="50">
        <v>34863600</v>
      </c>
      <c r="R140" s="50" t="s">
        <v>467</v>
      </c>
      <c r="S140" s="4" t="s">
        <v>43</v>
      </c>
    </row>
    <row r="141" spans="3:19" x14ac:dyDescent="0.25">
      <c r="C141" s="4" t="s">
        <v>542</v>
      </c>
      <c r="D141" s="4" t="s">
        <v>543</v>
      </c>
      <c r="E141" s="4" t="s">
        <v>543</v>
      </c>
      <c r="F141" s="4">
        <v>6</v>
      </c>
      <c r="G141" s="4" t="s">
        <v>376</v>
      </c>
      <c r="H141" s="4" t="s">
        <v>46</v>
      </c>
      <c r="I141" s="4" t="s">
        <v>1030</v>
      </c>
      <c r="J141" s="4" t="s">
        <v>100</v>
      </c>
      <c r="K141" s="4" t="s">
        <v>138</v>
      </c>
      <c r="L141" s="4" t="s">
        <v>40</v>
      </c>
      <c r="M141" s="4" t="s">
        <v>514</v>
      </c>
      <c r="N141" s="4" t="s">
        <v>542</v>
      </c>
      <c r="O141" s="4" t="s">
        <v>42</v>
      </c>
      <c r="P141" s="50" t="s">
        <v>43</v>
      </c>
      <c r="Q141" s="50">
        <v>61514712.058468357</v>
      </c>
      <c r="R141" s="50" t="s">
        <v>515</v>
      </c>
      <c r="S141" s="4" t="s">
        <v>43</v>
      </c>
    </row>
    <row r="142" spans="3:19" x14ac:dyDescent="0.25">
      <c r="C142" s="4" t="s">
        <v>544</v>
      </c>
      <c r="D142" s="4" t="s">
        <v>545</v>
      </c>
      <c r="E142" s="4" t="s">
        <v>545</v>
      </c>
      <c r="F142" s="4">
        <v>5</v>
      </c>
      <c r="G142" s="4" t="s">
        <v>376</v>
      </c>
      <c r="H142" s="4" t="s">
        <v>46</v>
      </c>
      <c r="I142" s="4" t="s">
        <v>1030</v>
      </c>
      <c r="J142" s="4" t="s">
        <v>100</v>
      </c>
      <c r="K142" s="4" t="s">
        <v>138</v>
      </c>
      <c r="L142" s="4" t="s">
        <v>40</v>
      </c>
      <c r="M142" s="4" t="s">
        <v>514</v>
      </c>
      <c r="N142" s="4" t="s">
        <v>544</v>
      </c>
      <c r="O142" s="4" t="s">
        <v>42</v>
      </c>
      <c r="P142" s="50" t="s">
        <v>43</v>
      </c>
      <c r="Q142" s="50">
        <v>43843538.629332624</v>
      </c>
      <c r="R142" s="50" t="s">
        <v>515</v>
      </c>
      <c r="S142" s="4" t="s">
        <v>43</v>
      </c>
    </row>
    <row r="143" spans="3:19" x14ac:dyDescent="0.25">
      <c r="C143" s="4" t="s">
        <v>810</v>
      </c>
      <c r="D143" s="4" t="s">
        <v>811</v>
      </c>
      <c r="E143" s="4" t="s">
        <v>811</v>
      </c>
      <c r="F143" s="4">
        <v>5</v>
      </c>
      <c r="G143" s="4" t="s">
        <v>376</v>
      </c>
      <c r="H143" s="4" t="s">
        <v>46</v>
      </c>
      <c r="I143" s="4" t="s">
        <v>1030</v>
      </c>
      <c r="J143" s="4" t="s">
        <v>146</v>
      </c>
      <c r="K143" s="4" t="s">
        <v>59</v>
      </c>
      <c r="L143" s="4" t="s">
        <v>40</v>
      </c>
      <c r="M143" s="4" t="s">
        <v>1035</v>
      </c>
      <c r="N143" s="4" t="s">
        <v>810</v>
      </c>
      <c r="O143" s="4" t="s">
        <v>42</v>
      </c>
      <c r="P143" s="50" t="s">
        <v>43</v>
      </c>
      <c r="Q143" s="50">
        <v>40891314.141333982</v>
      </c>
      <c r="R143" s="50" t="s">
        <v>799</v>
      </c>
      <c r="S143" s="4" t="s">
        <v>43</v>
      </c>
    </row>
    <row r="144" spans="3:19" x14ac:dyDescent="0.25">
      <c r="C144" s="4" t="s">
        <v>79</v>
      </c>
      <c r="D144" s="4" t="s">
        <v>80</v>
      </c>
      <c r="E144" s="4" t="s">
        <v>80</v>
      </c>
      <c r="F144" s="4" t="s">
        <v>36</v>
      </c>
      <c r="G144" s="4" t="s">
        <v>37</v>
      </c>
      <c r="H144" s="4" t="s">
        <v>81</v>
      </c>
      <c r="I144" s="4" t="s">
        <v>1030</v>
      </c>
      <c r="J144" s="4">
        <v>0</v>
      </c>
      <c r="K144" s="4" t="s">
        <v>59</v>
      </c>
      <c r="L144" s="4" t="s">
        <v>40</v>
      </c>
      <c r="M144" s="4">
        <v>0</v>
      </c>
      <c r="N144" s="4" t="s">
        <v>79</v>
      </c>
      <c r="O144" s="4" t="s">
        <v>42</v>
      </c>
      <c r="P144" s="50" t="s">
        <v>43</v>
      </c>
      <c r="Q144" s="50" t="s">
        <v>36</v>
      </c>
      <c r="R144" s="50">
        <v>0</v>
      </c>
      <c r="S144" s="4" t="s">
        <v>36</v>
      </c>
    </row>
    <row r="145" spans="3:19" x14ac:dyDescent="0.25">
      <c r="C145" s="4" t="s">
        <v>870</v>
      </c>
      <c r="D145" s="4" t="s">
        <v>871</v>
      </c>
      <c r="E145" s="4" t="s">
        <v>871</v>
      </c>
      <c r="F145" s="4">
        <v>5</v>
      </c>
      <c r="G145" s="4" t="s">
        <v>376</v>
      </c>
      <c r="H145" s="4" t="s">
        <v>46</v>
      </c>
      <c r="I145" s="4" t="s">
        <v>1030</v>
      </c>
      <c r="J145" s="4" t="s">
        <v>132</v>
      </c>
      <c r="K145" s="4" t="s">
        <v>856</v>
      </c>
      <c r="L145" s="4" t="s">
        <v>40</v>
      </c>
      <c r="M145" s="4" t="s">
        <v>1035</v>
      </c>
      <c r="N145" s="4" t="s">
        <v>870</v>
      </c>
      <c r="O145" s="4" t="s">
        <v>42</v>
      </c>
      <c r="P145" s="50" t="s">
        <v>43</v>
      </c>
      <c r="Q145" s="50">
        <v>45341306.274015613</v>
      </c>
      <c r="R145" s="50" t="s">
        <v>847</v>
      </c>
      <c r="S145" s="4" t="s">
        <v>43</v>
      </c>
    </row>
    <row r="146" spans="3:19" x14ac:dyDescent="0.25">
      <c r="C146" s="4">
        <v>50096</v>
      </c>
      <c r="D146" s="4" t="s">
        <v>683</v>
      </c>
      <c r="E146" s="4" t="s">
        <v>684</v>
      </c>
      <c r="F146" s="4">
        <v>5</v>
      </c>
      <c r="G146" s="4" t="s">
        <v>376</v>
      </c>
      <c r="H146" s="4" t="s">
        <v>81</v>
      </c>
      <c r="I146" s="4" t="s">
        <v>1030</v>
      </c>
      <c r="J146" s="4" t="s">
        <v>248</v>
      </c>
      <c r="K146" s="4" t="s">
        <v>51</v>
      </c>
      <c r="L146" s="4" t="s">
        <v>40</v>
      </c>
      <c r="M146" s="4" t="s">
        <v>984</v>
      </c>
      <c r="N146" s="4">
        <v>50096</v>
      </c>
      <c r="O146" s="4" t="s">
        <v>42</v>
      </c>
      <c r="P146" s="50" t="s">
        <v>43</v>
      </c>
      <c r="Q146" s="50">
        <v>39829244.403080992</v>
      </c>
      <c r="R146" s="50" t="s">
        <v>51</v>
      </c>
      <c r="S146" s="4" t="s">
        <v>43</v>
      </c>
    </row>
    <row r="147" spans="3:19" x14ac:dyDescent="0.25">
      <c r="C147" s="4">
        <v>50724</v>
      </c>
      <c r="D147" s="4" t="s">
        <v>900</v>
      </c>
      <c r="E147" s="4" t="s">
        <v>900</v>
      </c>
      <c r="F147" s="4">
        <v>5</v>
      </c>
      <c r="G147" s="4" t="s">
        <v>376</v>
      </c>
      <c r="H147" s="4" t="s">
        <v>46</v>
      </c>
      <c r="I147" s="4" t="s">
        <v>1030</v>
      </c>
      <c r="J147" s="4" t="s">
        <v>73</v>
      </c>
      <c r="K147" s="4" t="s">
        <v>609</v>
      </c>
      <c r="L147" s="4" t="s">
        <v>40</v>
      </c>
      <c r="M147" s="4" t="s">
        <v>514</v>
      </c>
      <c r="N147" s="4">
        <v>50724</v>
      </c>
      <c r="O147" s="4" t="s">
        <v>42</v>
      </c>
      <c r="P147" s="50" t="s">
        <v>43</v>
      </c>
      <c r="Q147" s="50">
        <v>35310339.803464487</v>
      </c>
      <c r="R147" s="50" t="s">
        <v>886</v>
      </c>
      <c r="S147" s="4" t="s">
        <v>43</v>
      </c>
    </row>
    <row r="148" spans="3:19" x14ac:dyDescent="0.25">
      <c r="C148" s="4">
        <v>50863</v>
      </c>
      <c r="D148" s="4" t="s">
        <v>901</v>
      </c>
      <c r="E148" s="4" t="s">
        <v>902</v>
      </c>
      <c r="F148" s="4">
        <v>5</v>
      </c>
      <c r="G148" s="4" t="s">
        <v>376</v>
      </c>
      <c r="H148" s="4" t="s">
        <v>81</v>
      </c>
      <c r="I148" s="4" t="s">
        <v>1030</v>
      </c>
      <c r="J148" s="4" t="s">
        <v>73</v>
      </c>
      <c r="K148" s="4" t="s">
        <v>364</v>
      </c>
      <c r="L148" s="4" t="s">
        <v>40</v>
      </c>
      <c r="M148" s="4" t="s">
        <v>514</v>
      </c>
      <c r="N148" s="4">
        <v>50863</v>
      </c>
      <c r="O148" s="4" t="s">
        <v>42</v>
      </c>
      <c r="P148" s="50" t="s">
        <v>43</v>
      </c>
      <c r="Q148" s="50">
        <v>51915645.025316305</v>
      </c>
      <c r="R148" s="50" t="s">
        <v>886</v>
      </c>
      <c r="S148" s="4" t="s">
        <v>43</v>
      </c>
    </row>
    <row r="149" spans="3:19" x14ac:dyDescent="0.25">
      <c r="C149" s="4" t="s">
        <v>82</v>
      </c>
      <c r="D149" s="4" t="s">
        <v>83</v>
      </c>
      <c r="E149" s="4" t="s">
        <v>83</v>
      </c>
      <c r="F149" s="4" t="s">
        <v>36</v>
      </c>
      <c r="G149" s="4" t="s">
        <v>37</v>
      </c>
      <c r="H149" s="4" t="s">
        <v>81</v>
      </c>
      <c r="I149" s="4" t="s">
        <v>1030</v>
      </c>
      <c r="J149" s="4" t="s">
        <v>84</v>
      </c>
      <c r="K149" s="4" t="s">
        <v>85</v>
      </c>
      <c r="L149" s="4" t="s">
        <v>55</v>
      </c>
      <c r="M149" s="4">
        <v>0</v>
      </c>
      <c r="N149" s="4" t="s">
        <v>82</v>
      </c>
      <c r="O149" s="4" t="s">
        <v>42</v>
      </c>
      <c r="P149" s="50" t="s">
        <v>43</v>
      </c>
      <c r="Q149" s="50" t="s">
        <v>36</v>
      </c>
      <c r="R149" s="50">
        <v>0</v>
      </c>
      <c r="S149" s="4" t="s">
        <v>36</v>
      </c>
    </row>
    <row r="150" spans="3:19" x14ac:dyDescent="0.25">
      <c r="C150" s="4" t="s">
        <v>86</v>
      </c>
      <c r="D150" s="4" t="s">
        <v>87</v>
      </c>
      <c r="E150" s="4" t="s">
        <v>87</v>
      </c>
      <c r="F150" s="4" t="s">
        <v>36</v>
      </c>
      <c r="G150" s="4" t="s">
        <v>37</v>
      </c>
      <c r="H150" s="4" t="s">
        <v>88</v>
      </c>
      <c r="I150" s="4" t="s">
        <v>1030</v>
      </c>
      <c r="J150" s="4" t="s">
        <v>89</v>
      </c>
      <c r="K150" s="4" t="s">
        <v>90</v>
      </c>
      <c r="L150" s="4" t="s">
        <v>91</v>
      </c>
      <c r="M150" s="4">
        <v>0</v>
      </c>
      <c r="N150" s="4" t="s">
        <v>86</v>
      </c>
      <c r="O150" s="4" t="s">
        <v>42</v>
      </c>
      <c r="P150" s="50" t="s">
        <v>43</v>
      </c>
      <c r="Q150" s="50" t="s">
        <v>36</v>
      </c>
      <c r="R150" s="50">
        <v>0</v>
      </c>
      <c r="S150" s="4" t="s">
        <v>36</v>
      </c>
    </row>
    <row r="151" spans="3:19" x14ac:dyDescent="0.25">
      <c r="C151" s="4" t="s">
        <v>576</v>
      </c>
      <c r="D151" s="4" t="s">
        <v>577</v>
      </c>
      <c r="E151" s="4" t="s">
        <v>577</v>
      </c>
      <c r="F151" s="4">
        <v>5</v>
      </c>
      <c r="G151" s="4" t="s">
        <v>376</v>
      </c>
      <c r="H151" s="4" t="s">
        <v>46</v>
      </c>
      <c r="I151" s="4" t="s">
        <v>1030</v>
      </c>
      <c r="J151" s="4" t="s">
        <v>331</v>
      </c>
      <c r="K151" s="4" t="s">
        <v>138</v>
      </c>
      <c r="L151" s="4" t="s">
        <v>40</v>
      </c>
      <c r="M151" s="4" t="s">
        <v>984</v>
      </c>
      <c r="N151" s="4" t="s">
        <v>576</v>
      </c>
      <c r="O151" s="4" t="s">
        <v>42</v>
      </c>
      <c r="P151" s="50" t="s">
        <v>43</v>
      </c>
      <c r="Q151" s="50">
        <v>53998644.26963339</v>
      </c>
      <c r="R151" s="50" t="s">
        <v>557</v>
      </c>
      <c r="S151" s="4" t="s">
        <v>43</v>
      </c>
    </row>
    <row r="152" spans="3:19" x14ac:dyDescent="0.25">
      <c r="C152" s="4" t="s">
        <v>92</v>
      </c>
      <c r="D152" s="4" t="s">
        <v>93</v>
      </c>
      <c r="E152" s="4" t="s">
        <v>93</v>
      </c>
      <c r="F152" s="4" t="s">
        <v>36</v>
      </c>
      <c r="G152" s="4" t="s">
        <v>37</v>
      </c>
      <c r="H152" s="4" t="s">
        <v>81</v>
      </c>
      <c r="I152" s="4" t="s">
        <v>1030</v>
      </c>
      <c r="J152" s="4" t="s">
        <v>94</v>
      </c>
      <c r="K152" s="4" t="s">
        <v>64</v>
      </c>
      <c r="L152" s="4" t="s">
        <v>40</v>
      </c>
      <c r="M152" s="4">
        <v>0</v>
      </c>
      <c r="N152" s="4" t="s">
        <v>92</v>
      </c>
      <c r="O152" s="4" t="s">
        <v>42</v>
      </c>
      <c r="P152" s="50" t="s">
        <v>43</v>
      </c>
      <c r="Q152" s="50" t="s">
        <v>36</v>
      </c>
      <c r="R152" s="50">
        <v>0</v>
      </c>
      <c r="S152" s="4" t="s">
        <v>36</v>
      </c>
    </row>
    <row r="153" spans="3:19" x14ac:dyDescent="0.25">
      <c r="C153" s="4" t="s">
        <v>782</v>
      </c>
      <c r="D153" s="4" t="s">
        <v>783</v>
      </c>
      <c r="E153" s="4" t="s">
        <v>783</v>
      </c>
      <c r="F153" s="4">
        <v>5</v>
      </c>
      <c r="G153" s="4" t="s">
        <v>376</v>
      </c>
      <c r="H153" s="4" t="s">
        <v>81</v>
      </c>
      <c r="I153" s="4" t="s">
        <v>1031</v>
      </c>
      <c r="J153" s="4" t="s">
        <v>89</v>
      </c>
      <c r="K153" s="4" t="s">
        <v>103</v>
      </c>
      <c r="L153" s="4" t="s">
        <v>104</v>
      </c>
      <c r="M153" s="4" t="s">
        <v>378</v>
      </c>
      <c r="N153" s="4" t="s">
        <v>782</v>
      </c>
      <c r="O153" s="4" t="s">
        <v>42</v>
      </c>
      <c r="P153" s="50" t="s">
        <v>43</v>
      </c>
      <c r="Q153" s="50">
        <v>35093910.303717181</v>
      </c>
      <c r="R153" s="50" t="s">
        <v>772</v>
      </c>
      <c r="S153" s="4" t="s">
        <v>43</v>
      </c>
    </row>
    <row r="154" spans="3:19" x14ac:dyDescent="0.25">
      <c r="C154" s="4" t="s">
        <v>95</v>
      </c>
      <c r="D154" s="4" t="s">
        <v>96</v>
      </c>
      <c r="E154" s="4" t="s">
        <v>96</v>
      </c>
      <c r="F154" s="4" t="s">
        <v>36</v>
      </c>
      <c r="G154" s="4" t="s">
        <v>37</v>
      </c>
      <c r="H154" s="4" t="s">
        <v>81</v>
      </c>
      <c r="I154" s="4" t="s">
        <v>1030</v>
      </c>
      <c r="J154" s="4">
        <v>0</v>
      </c>
      <c r="K154" s="4" t="s">
        <v>97</v>
      </c>
      <c r="L154" s="4" t="s">
        <v>40</v>
      </c>
      <c r="M154" s="4">
        <v>0</v>
      </c>
      <c r="N154" s="4" t="s">
        <v>95</v>
      </c>
      <c r="O154" s="4" t="s">
        <v>42</v>
      </c>
      <c r="P154" s="50" t="s">
        <v>43</v>
      </c>
      <c r="Q154" s="50" t="s">
        <v>36</v>
      </c>
      <c r="R154" s="50">
        <v>0</v>
      </c>
      <c r="S154" s="4" t="s">
        <v>36</v>
      </c>
    </row>
    <row r="155" spans="3:19" x14ac:dyDescent="0.25">
      <c r="C155" s="4" t="s">
        <v>98</v>
      </c>
      <c r="D155" s="4" t="s">
        <v>99</v>
      </c>
      <c r="E155" s="4" t="s">
        <v>99</v>
      </c>
      <c r="F155" s="4" t="s">
        <v>36</v>
      </c>
      <c r="G155" s="4" t="s">
        <v>37</v>
      </c>
      <c r="H155" s="4" t="s">
        <v>81</v>
      </c>
      <c r="I155" s="4" t="s">
        <v>1030</v>
      </c>
      <c r="J155" s="4" t="s">
        <v>100</v>
      </c>
      <c r="K155" s="4" t="s">
        <v>59</v>
      </c>
      <c r="L155" s="4" t="s">
        <v>40</v>
      </c>
      <c r="M155" s="4">
        <v>0</v>
      </c>
      <c r="N155" s="4" t="s">
        <v>98</v>
      </c>
      <c r="O155" s="4" t="s">
        <v>42</v>
      </c>
      <c r="P155" s="50" t="s">
        <v>43</v>
      </c>
      <c r="Q155" s="50" t="s">
        <v>36</v>
      </c>
      <c r="R155" s="50">
        <v>0</v>
      </c>
      <c r="S155" s="4" t="s">
        <v>36</v>
      </c>
    </row>
    <row r="156" spans="3:19" x14ac:dyDescent="0.25">
      <c r="C156" s="4" t="s">
        <v>712</v>
      </c>
      <c r="D156" s="4" t="s">
        <v>713</v>
      </c>
      <c r="E156" s="4" t="s">
        <v>713</v>
      </c>
      <c r="F156" s="4">
        <v>5</v>
      </c>
      <c r="G156" s="4" t="s">
        <v>376</v>
      </c>
      <c r="H156" s="4" t="s">
        <v>46</v>
      </c>
      <c r="I156" s="4" t="s">
        <v>1031</v>
      </c>
      <c r="J156" s="4" t="s">
        <v>84</v>
      </c>
      <c r="K156" s="4" t="s">
        <v>54</v>
      </c>
      <c r="L156" s="4" t="s">
        <v>55</v>
      </c>
      <c r="M156" s="4" t="s">
        <v>378</v>
      </c>
      <c r="N156" s="4" t="s">
        <v>712</v>
      </c>
      <c r="O156" s="4" t="s">
        <v>42</v>
      </c>
      <c r="P156" s="50" t="s">
        <v>43</v>
      </c>
      <c r="Q156" s="50">
        <v>28418156.919000559</v>
      </c>
      <c r="R156" s="50" t="s">
        <v>702</v>
      </c>
      <c r="S156" s="4" t="s">
        <v>43</v>
      </c>
    </row>
    <row r="157" spans="3:19" x14ac:dyDescent="0.25">
      <c r="C157" s="4" t="s">
        <v>101</v>
      </c>
      <c r="D157" s="4" t="s">
        <v>102</v>
      </c>
      <c r="E157" s="4" t="s">
        <v>102</v>
      </c>
      <c r="F157" s="4" t="s">
        <v>36</v>
      </c>
      <c r="G157" s="4" t="s">
        <v>37</v>
      </c>
      <c r="H157" s="4" t="s">
        <v>81</v>
      </c>
      <c r="I157" s="4" t="s">
        <v>1030</v>
      </c>
      <c r="J157" s="4" t="s">
        <v>73</v>
      </c>
      <c r="K157" s="4" t="s">
        <v>103</v>
      </c>
      <c r="L157" s="4" t="s">
        <v>104</v>
      </c>
      <c r="M157" s="4">
        <v>0</v>
      </c>
      <c r="N157" s="4" t="s">
        <v>101</v>
      </c>
      <c r="O157" s="4" t="s">
        <v>42</v>
      </c>
      <c r="P157" s="50" t="s">
        <v>43</v>
      </c>
      <c r="Q157" s="50" t="s">
        <v>36</v>
      </c>
      <c r="R157" s="50">
        <v>0</v>
      </c>
      <c r="S157" s="4" t="s">
        <v>36</v>
      </c>
    </row>
    <row r="158" spans="3:19" x14ac:dyDescent="0.25">
      <c r="C158" s="4" t="s">
        <v>105</v>
      </c>
      <c r="D158" s="4" t="s">
        <v>106</v>
      </c>
      <c r="E158" s="4" t="s">
        <v>106</v>
      </c>
      <c r="F158" s="4" t="s">
        <v>36</v>
      </c>
      <c r="G158" s="4" t="s">
        <v>37</v>
      </c>
      <c r="H158" s="4" t="s">
        <v>81</v>
      </c>
      <c r="I158" s="4" t="s">
        <v>1030</v>
      </c>
      <c r="J158" s="4" t="s">
        <v>100</v>
      </c>
      <c r="K158" s="4" t="s">
        <v>59</v>
      </c>
      <c r="L158" s="4" t="s">
        <v>40</v>
      </c>
      <c r="M158" s="4">
        <v>0</v>
      </c>
      <c r="N158" s="4" t="s">
        <v>105</v>
      </c>
      <c r="O158" s="4" t="s">
        <v>42</v>
      </c>
      <c r="P158" s="50" t="s">
        <v>43</v>
      </c>
      <c r="Q158" s="50" t="s">
        <v>36</v>
      </c>
      <c r="R158" s="50">
        <v>0</v>
      </c>
      <c r="S158" s="4" t="s">
        <v>36</v>
      </c>
    </row>
    <row r="159" spans="3:19" x14ac:dyDescent="0.25">
      <c r="C159" s="4" t="s">
        <v>903</v>
      </c>
      <c r="D159" s="4" t="s">
        <v>904</v>
      </c>
      <c r="E159" s="4" t="s">
        <v>904</v>
      </c>
      <c r="F159" s="4">
        <v>5</v>
      </c>
      <c r="G159" s="4" t="s">
        <v>376</v>
      </c>
      <c r="H159" s="4" t="s">
        <v>46</v>
      </c>
      <c r="I159" s="4" t="s">
        <v>1030</v>
      </c>
      <c r="J159" s="4" t="s">
        <v>73</v>
      </c>
      <c r="K159" s="4" t="s">
        <v>47</v>
      </c>
      <c r="L159" s="4" t="s">
        <v>40</v>
      </c>
      <c r="M159" s="4" t="s">
        <v>514</v>
      </c>
      <c r="N159" s="4" t="s">
        <v>903</v>
      </c>
      <c r="O159" s="4" t="s">
        <v>42</v>
      </c>
      <c r="P159" s="50" t="s">
        <v>43</v>
      </c>
      <c r="Q159" s="50">
        <v>32510112.54062546</v>
      </c>
      <c r="R159" s="50" t="s">
        <v>886</v>
      </c>
      <c r="S159" s="4" t="s">
        <v>43</v>
      </c>
    </row>
    <row r="160" spans="3:19" x14ac:dyDescent="0.25">
      <c r="C160" s="4" t="s">
        <v>107</v>
      </c>
      <c r="D160" s="4" t="s">
        <v>108</v>
      </c>
      <c r="E160" s="4" t="s">
        <v>108</v>
      </c>
      <c r="F160" s="4" t="s">
        <v>36</v>
      </c>
      <c r="G160" s="4" t="s">
        <v>37</v>
      </c>
      <c r="H160" s="4" t="s">
        <v>81</v>
      </c>
      <c r="I160" s="4" t="s">
        <v>1030</v>
      </c>
      <c r="J160" s="4" t="s">
        <v>89</v>
      </c>
      <c r="K160" s="4" t="s">
        <v>109</v>
      </c>
      <c r="L160" s="4" t="s">
        <v>91</v>
      </c>
      <c r="M160" s="4">
        <v>0</v>
      </c>
      <c r="N160" s="4" t="s">
        <v>107</v>
      </c>
      <c r="O160" s="4" t="s">
        <v>42</v>
      </c>
      <c r="P160" s="50" t="s">
        <v>43</v>
      </c>
      <c r="Q160" s="50" t="s">
        <v>36</v>
      </c>
      <c r="R160" s="50" t="s">
        <v>772</v>
      </c>
      <c r="S160" s="4" t="s">
        <v>36</v>
      </c>
    </row>
    <row r="161" spans="3:19" x14ac:dyDescent="0.25">
      <c r="C161" s="4" t="s">
        <v>110</v>
      </c>
      <c r="D161" s="4" t="s">
        <v>111</v>
      </c>
      <c r="E161" s="4" t="s">
        <v>111</v>
      </c>
      <c r="F161" s="4" t="s">
        <v>36</v>
      </c>
      <c r="G161" s="4" t="s">
        <v>37</v>
      </c>
      <c r="H161" s="4" t="s">
        <v>81</v>
      </c>
      <c r="I161" s="4" t="s">
        <v>1030</v>
      </c>
      <c r="J161" s="4" t="s">
        <v>58</v>
      </c>
      <c r="K161" s="4" t="s">
        <v>59</v>
      </c>
      <c r="L161" s="4" t="s">
        <v>40</v>
      </c>
      <c r="M161" s="4">
        <v>0</v>
      </c>
      <c r="N161" s="4" t="s">
        <v>110</v>
      </c>
      <c r="O161" s="4" t="s">
        <v>42</v>
      </c>
      <c r="P161" s="50" t="s">
        <v>43</v>
      </c>
      <c r="Q161" s="50" t="s">
        <v>36</v>
      </c>
      <c r="R161" s="50">
        <v>0</v>
      </c>
      <c r="S161" s="4" t="s">
        <v>36</v>
      </c>
    </row>
    <row r="162" spans="3:19" x14ac:dyDescent="0.25">
      <c r="C162" s="4" t="s">
        <v>112</v>
      </c>
      <c r="D162" s="4" t="s">
        <v>113</v>
      </c>
      <c r="E162" s="4" t="s">
        <v>114</v>
      </c>
      <c r="F162" s="4" t="s">
        <v>36</v>
      </c>
      <c r="G162" s="4" t="s">
        <v>37</v>
      </c>
      <c r="H162" s="4" t="s">
        <v>81</v>
      </c>
      <c r="I162" s="4" t="s">
        <v>1031</v>
      </c>
      <c r="J162" s="4" t="s">
        <v>73</v>
      </c>
      <c r="K162" s="4" t="s">
        <v>115</v>
      </c>
      <c r="L162" s="4" t="s">
        <v>116</v>
      </c>
      <c r="M162" s="4">
        <v>0</v>
      </c>
      <c r="N162" s="4" t="s">
        <v>112</v>
      </c>
      <c r="O162" s="4" t="s">
        <v>42</v>
      </c>
      <c r="P162" s="50" t="s">
        <v>43</v>
      </c>
      <c r="Q162" s="50" t="s">
        <v>36</v>
      </c>
      <c r="R162" s="50">
        <v>0</v>
      </c>
      <c r="S162" s="4" t="s">
        <v>36</v>
      </c>
    </row>
    <row r="163" spans="3:19" x14ac:dyDescent="0.25">
      <c r="C163" s="4" t="s">
        <v>905</v>
      </c>
      <c r="D163" s="4" t="s">
        <v>906</v>
      </c>
      <c r="E163" s="4" t="s">
        <v>906</v>
      </c>
      <c r="F163" s="4">
        <v>5</v>
      </c>
      <c r="G163" s="4" t="s">
        <v>376</v>
      </c>
      <c r="H163" s="4" t="s">
        <v>81</v>
      </c>
      <c r="I163" s="4" t="s">
        <v>1030</v>
      </c>
      <c r="J163" s="4" t="s">
        <v>73</v>
      </c>
      <c r="K163" s="4" t="s">
        <v>907</v>
      </c>
      <c r="L163" s="4" t="s">
        <v>40</v>
      </c>
      <c r="M163" s="4" t="s">
        <v>514</v>
      </c>
      <c r="N163" s="4" t="s">
        <v>905</v>
      </c>
      <c r="O163" s="4" t="s">
        <v>42</v>
      </c>
      <c r="P163" s="50" t="s">
        <v>43</v>
      </c>
      <c r="Q163" s="50">
        <v>37407670.200551964</v>
      </c>
      <c r="R163" s="50" t="s">
        <v>886</v>
      </c>
      <c r="S163" s="4" t="s">
        <v>43</v>
      </c>
    </row>
    <row r="164" spans="3:19" x14ac:dyDescent="0.25">
      <c r="C164" s="4" t="s">
        <v>685</v>
      </c>
      <c r="D164" s="4" t="s">
        <v>686</v>
      </c>
      <c r="E164" s="4" t="s">
        <v>686</v>
      </c>
      <c r="F164" s="4">
        <v>5</v>
      </c>
      <c r="G164" s="4" t="s">
        <v>376</v>
      </c>
      <c r="H164" s="4" t="s">
        <v>81</v>
      </c>
      <c r="I164" s="4" t="s">
        <v>1030</v>
      </c>
      <c r="J164" s="4" t="s">
        <v>248</v>
      </c>
      <c r="K164" s="4" t="s">
        <v>51</v>
      </c>
      <c r="L164" s="4" t="s">
        <v>40</v>
      </c>
      <c r="M164" s="4" t="s">
        <v>984</v>
      </c>
      <c r="N164" s="4" t="s">
        <v>685</v>
      </c>
      <c r="O164" s="4" t="s">
        <v>42</v>
      </c>
      <c r="P164" s="50" t="s">
        <v>43</v>
      </c>
      <c r="Q164" s="50">
        <v>25088572.038960148</v>
      </c>
      <c r="R164" s="50" t="s">
        <v>51</v>
      </c>
      <c r="S164" s="4" t="s">
        <v>440</v>
      </c>
    </row>
    <row r="165" spans="3:19" x14ac:dyDescent="0.25">
      <c r="C165" s="4" t="s">
        <v>960</v>
      </c>
      <c r="D165" s="4" t="s">
        <v>961</v>
      </c>
      <c r="E165" s="4" t="s">
        <v>961</v>
      </c>
      <c r="F165" s="4">
        <v>5</v>
      </c>
      <c r="G165" s="4" t="s">
        <v>376</v>
      </c>
      <c r="H165" s="4" t="s">
        <v>81</v>
      </c>
      <c r="I165" s="4" t="s">
        <v>1030</v>
      </c>
      <c r="J165" s="4" t="s">
        <v>160</v>
      </c>
      <c r="K165" s="4" t="s">
        <v>353</v>
      </c>
      <c r="L165" s="4" t="s">
        <v>40</v>
      </c>
      <c r="M165" s="4" t="s">
        <v>984</v>
      </c>
      <c r="N165" s="4" t="s">
        <v>960</v>
      </c>
      <c r="O165" s="4" t="s">
        <v>42</v>
      </c>
      <c r="P165" s="50" t="s">
        <v>43</v>
      </c>
      <c r="Q165" s="50">
        <v>46852410.127337664</v>
      </c>
      <c r="R165" s="50" t="s">
        <v>931</v>
      </c>
      <c r="S165" s="4" t="s">
        <v>43</v>
      </c>
    </row>
    <row r="166" spans="3:19" x14ac:dyDescent="0.25">
      <c r="C166" s="4" t="s">
        <v>754</v>
      </c>
      <c r="D166" s="4" t="s">
        <v>755</v>
      </c>
      <c r="E166" s="4" t="s">
        <v>755</v>
      </c>
      <c r="F166" s="4">
        <v>5</v>
      </c>
      <c r="G166" s="4" t="s">
        <v>376</v>
      </c>
      <c r="H166" s="4" t="s">
        <v>81</v>
      </c>
      <c r="I166" s="4" t="s">
        <v>1031</v>
      </c>
      <c r="J166" s="4" t="s">
        <v>84</v>
      </c>
      <c r="K166" s="4" t="s">
        <v>279</v>
      </c>
      <c r="L166" s="4" t="s">
        <v>55</v>
      </c>
      <c r="M166" s="4" t="s">
        <v>378</v>
      </c>
      <c r="N166" s="4" t="s">
        <v>754</v>
      </c>
      <c r="O166" s="4" t="s">
        <v>42</v>
      </c>
      <c r="P166" s="50" t="s">
        <v>43</v>
      </c>
      <c r="Q166" s="50">
        <v>39432535.153761752</v>
      </c>
      <c r="R166" s="50" t="s">
        <v>741</v>
      </c>
      <c r="S166" s="4" t="s">
        <v>43</v>
      </c>
    </row>
    <row r="167" spans="3:19" x14ac:dyDescent="0.25">
      <c r="C167" s="4" t="s">
        <v>872</v>
      </c>
      <c r="D167" s="4" t="s">
        <v>873</v>
      </c>
      <c r="E167" s="4" t="s">
        <v>874</v>
      </c>
      <c r="F167" s="4">
        <v>5</v>
      </c>
      <c r="G167" s="4" t="s">
        <v>376</v>
      </c>
      <c r="H167" s="4" t="s">
        <v>81</v>
      </c>
      <c r="I167" s="4" t="s">
        <v>1030</v>
      </c>
      <c r="J167" s="4" t="s">
        <v>132</v>
      </c>
      <c r="K167" s="4" t="s">
        <v>138</v>
      </c>
      <c r="L167" s="4" t="s">
        <v>40</v>
      </c>
      <c r="M167" s="4" t="s">
        <v>1035</v>
      </c>
      <c r="N167" s="4" t="s">
        <v>872</v>
      </c>
      <c r="O167" s="4" t="s">
        <v>42</v>
      </c>
      <c r="P167" s="50" t="s">
        <v>43</v>
      </c>
      <c r="Q167" s="50">
        <v>34932112.582131669</v>
      </c>
      <c r="R167" s="50" t="s">
        <v>847</v>
      </c>
      <c r="S167" s="4" t="s">
        <v>43</v>
      </c>
    </row>
    <row r="168" spans="3:19" x14ac:dyDescent="0.25">
      <c r="C168" s="4" t="s">
        <v>117</v>
      </c>
      <c r="D168" s="4" t="s">
        <v>118</v>
      </c>
      <c r="E168" s="4" t="s">
        <v>118</v>
      </c>
      <c r="F168" s="4" t="s">
        <v>36</v>
      </c>
      <c r="G168" s="4" t="s">
        <v>37</v>
      </c>
      <c r="H168" s="4" t="s">
        <v>81</v>
      </c>
      <c r="I168" s="4" t="s">
        <v>1030</v>
      </c>
      <c r="J168" s="4">
        <v>0</v>
      </c>
      <c r="K168" s="4" t="s">
        <v>59</v>
      </c>
      <c r="L168" s="4" t="s">
        <v>40</v>
      </c>
      <c r="M168" s="4">
        <v>0</v>
      </c>
      <c r="N168" s="4" t="s">
        <v>117</v>
      </c>
      <c r="O168" s="4" t="s">
        <v>42</v>
      </c>
      <c r="P168" s="50" t="s">
        <v>43</v>
      </c>
      <c r="Q168" s="50" t="s">
        <v>36</v>
      </c>
      <c r="R168" s="50">
        <v>0</v>
      </c>
      <c r="S168" s="4" t="s">
        <v>36</v>
      </c>
    </row>
    <row r="169" spans="3:19" x14ac:dyDescent="0.25">
      <c r="C169" s="4" t="s">
        <v>594</v>
      </c>
      <c r="D169" s="4" t="s">
        <v>595</v>
      </c>
      <c r="E169" s="4" t="s">
        <v>595</v>
      </c>
      <c r="F169" s="4">
        <v>5</v>
      </c>
      <c r="G169" s="4" t="s">
        <v>376</v>
      </c>
      <c r="H169" s="4" t="s">
        <v>81</v>
      </c>
      <c r="I169" s="4" t="s">
        <v>1030</v>
      </c>
      <c r="J169" s="4" t="s">
        <v>50</v>
      </c>
      <c r="K169" s="4" t="s">
        <v>596</v>
      </c>
      <c r="L169" s="4" t="s">
        <v>40</v>
      </c>
      <c r="M169" s="4" t="s">
        <v>514</v>
      </c>
      <c r="N169" s="4" t="s">
        <v>594</v>
      </c>
      <c r="O169" s="4" t="s">
        <v>42</v>
      </c>
      <c r="P169" s="50" t="s">
        <v>43</v>
      </c>
      <c r="Q169" s="50">
        <v>33509303.814126004</v>
      </c>
      <c r="R169" s="50" t="s">
        <v>597</v>
      </c>
      <c r="S169" s="4" t="s">
        <v>440</v>
      </c>
    </row>
    <row r="170" spans="3:19" x14ac:dyDescent="0.25">
      <c r="C170" s="4" t="s">
        <v>119</v>
      </c>
      <c r="D170" s="4" t="s">
        <v>120</v>
      </c>
      <c r="E170" s="4" t="s">
        <v>120</v>
      </c>
      <c r="F170" s="4" t="s">
        <v>36</v>
      </c>
      <c r="G170" s="4" t="s">
        <v>37</v>
      </c>
      <c r="H170" s="4" t="s">
        <v>81</v>
      </c>
      <c r="I170" s="4" t="s">
        <v>1030</v>
      </c>
      <c r="J170" s="4" t="s">
        <v>63</v>
      </c>
      <c r="K170" s="4" t="s">
        <v>64</v>
      </c>
      <c r="L170" s="4" t="s">
        <v>40</v>
      </c>
      <c r="M170" s="4">
        <v>0</v>
      </c>
      <c r="N170" s="4" t="s">
        <v>119</v>
      </c>
      <c r="O170" s="4" t="s">
        <v>42</v>
      </c>
      <c r="P170" s="50" t="s">
        <v>43</v>
      </c>
      <c r="Q170" s="50" t="s">
        <v>36</v>
      </c>
      <c r="R170" s="50">
        <v>0</v>
      </c>
      <c r="S170" s="4" t="s">
        <v>36</v>
      </c>
    </row>
    <row r="171" spans="3:19" x14ac:dyDescent="0.25">
      <c r="C171" s="4" t="s">
        <v>121</v>
      </c>
      <c r="D171" s="4" t="s">
        <v>122</v>
      </c>
      <c r="E171" s="4" t="s">
        <v>123</v>
      </c>
      <c r="F171" s="4" t="s">
        <v>36</v>
      </c>
      <c r="G171" s="4" t="s">
        <v>37</v>
      </c>
      <c r="H171" s="4" t="s">
        <v>81</v>
      </c>
      <c r="I171" s="4" t="s">
        <v>1030</v>
      </c>
      <c r="J171" s="4" t="s">
        <v>73</v>
      </c>
      <c r="K171" s="4" t="s">
        <v>122</v>
      </c>
      <c r="L171" s="4" t="s">
        <v>104</v>
      </c>
      <c r="M171" s="4">
        <v>0</v>
      </c>
      <c r="N171" s="4" t="s">
        <v>121</v>
      </c>
      <c r="O171" s="4" t="s">
        <v>42</v>
      </c>
      <c r="P171" s="50" t="s">
        <v>43</v>
      </c>
      <c r="Q171" s="50" t="s">
        <v>36</v>
      </c>
      <c r="R171" s="50">
        <v>0</v>
      </c>
      <c r="S171" s="4" t="s">
        <v>36</v>
      </c>
    </row>
    <row r="172" spans="3:19" x14ac:dyDescent="0.25">
      <c r="C172" s="4" t="s">
        <v>124</v>
      </c>
      <c r="D172" s="4" t="s">
        <v>125</v>
      </c>
      <c r="E172" s="4" t="s">
        <v>125</v>
      </c>
      <c r="F172" s="4" t="s">
        <v>36</v>
      </c>
      <c r="G172" s="4" t="s">
        <v>37</v>
      </c>
      <c r="H172" s="4" t="s">
        <v>81</v>
      </c>
      <c r="I172" s="4" t="s">
        <v>1030</v>
      </c>
      <c r="J172" s="4">
        <v>0</v>
      </c>
      <c r="K172" s="4" t="s">
        <v>51</v>
      </c>
      <c r="L172" s="4" t="s">
        <v>40</v>
      </c>
      <c r="M172" s="4">
        <v>0</v>
      </c>
      <c r="N172" s="4" t="s">
        <v>124</v>
      </c>
      <c r="O172" s="4" t="s">
        <v>42</v>
      </c>
      <c r="P172" s="50" t="s">
        <v>43</v>
      </c>
      <c r="Q172" s="50" t="s">
        <v>36</v>
      </c>
      <c r="R172" s="50">
        <v>0</v>
      </c>
      <c r="S172" s="4" t="s">
        <v>36</v>
      </c>
    </row>
    <row r="173" spans="3:19" x14ac:dyDescent="0.25">
      <c r="C173" s="4" t="s">
        <v>126</v>
      </c>
      <c r="D173" s="4" t="s">
        <v>127</v>
      </c>
      <c r="E173" s="4" t="s">
        <v>128</v>
      </c>
      <c r="F173" s="4" t="s">
        <v>36</v>
      </c>
      <c r="G173" s="4" t="s">
        <v>37</v>
      </c>
      <c r="H173" s="4" t="s">
        <v>81</v>
      </c>
      <c r="I173" s="4" t="s">
        <v>1030</v>
      </c>
      <c r="J173" s="4" t="s">
        <v>73</v>
      </c>
      <c r="K173" s="4" t="s">
        <v>129</v>
      </c>
      <c r="L173" s="4" t="s">
        <v>116</v>
      </c>
      <c r="M173" s="4">
        <v>0</v>
      </c>
      <c r="N173" s="4" t="s">
        <v>126</v>
      </c>
      <c r="O173" s="4" t="s">
        <v>42</v>
      </c>
      <c r="P173" s="50" t="s">
        <v>43</v>
      </c>
      <c r="Q173" s="50" t="s">
        <v>36</v>
      </c>
      <c r="R173" s="50">
        <v>0</v>
      </c>
      <c r="S173" s="4" t="s">
        <v>36</v>
      </c>
    </row>
    <row r="174" spans="3:19" x14ac:dyDescent="0.25">
      <c r="C174" s="4" t="s">
        <v>546</v>
      </c>
      <c r="D174" s="4" t="s">
        <v>547</v>
      </c>
      <c r="E174" s="4" t="s">
        <v>547</v>
      </c>
      <c r="F174" s="4">
        <v>5</v>
      </c>
      <c r="G174" s="4" t="s">
        <v>376</v>
      </c>
      <c r="H174" s="4" t="s">
        <v>46</v>
      </c>
      <c r="I174" s="4" t="s">
        <v>1030</v>
      </c>
      <c r="J174" s="4" t="s">
        <v>100</v>
      </c>
      <c r="K174" s="4" t="s">
        <v>138</v>
      </c>
      <c r="L174" s="4" t="s">
        <v>40</v>
      </c>
      <c r="M174" s="4" t="s">
        <v>514</v>
      </c>
      <c r="N174" s="4" t="s">
        <v>546</v>
      </c>
      <c r="O174" s="4" t="s">
        <v>42</v>
      </c>
      <c r="P174" s="50" t="s">
        <v>43</v>
      </c>
      <c r="Q174" s="50">
        <v>28310382.970107988</v>
      </c>
      <c r="R174" s="50" t="s">
        <v>515</v>
      </c>
      <c r="S174" s="4" t="s">
        <v>43</v>
      </c>
    </row>
    <row r="175" spans="3:19" x14ac:dyDescent="0.25">
      <c r="C175" s="4" t="s">
        <v>130</v>
      </c>
      <c r="D175" s="4" t="s">
        <v>131</v>
      </c>
      <c r="E175" s="4" t="s">
        <v>131</v>
      </c>
      <c r="F175" s="4" t="s">
        <v>36</v>
      </c>
      <c r="G175" s="4" t="s">
        <v>37</v>
      </c>
      <c r="H175" s="4" t="s">
        <v>81</v>
      </c>
      <c r="I175" s="4" t="s">
        <v>1030</v>
      </c>
      <c r="J175" s="4" t="s">
        <v>132</v>
      </c>
      <c r="K175" s="4" t="s">
        <v>133</v>
      </c>
      <c r="L175" s="4" t="s">
        <v>40</v>
      </c>
      <c r="M175" s="4">
        <v>0</v>
      </c>
      <c r="N175" s="4" t="s">
        <v>130</v>
      </c>
      <c r="O175" s="4" t="s">
        <v>42</v>
      </c>
      <c r="P175" s="50" t="s">
        <v>43</v>
      </c>
      <c r="Q175" s="50" t="s">
        <v>36</v>
      </c>
      <c r="R175" s="50">
        <v>0</v>
      </c>
      <c r="S175" s="4" t="s">
        <v>36</v>
      </c>
    </row>
    <row r="176" spans="3:19" x14ac:dyDescent="0.25">
      <c r="C176" s="4" t="s">
        <v>134</v>
      </c>
      <c r="D176" s="4" t="s">
        <v>135</v>
      </c>
      <c r="E176" s="4" t="s">
        <v>135</v>
      </c>
      <c r="F176" s="4" t="s">
        <v>36</v>
      </c>
      <c r="G176" s="4" t="s">
        <v>37</v>
      </c>
      <c r="H176" s="4" t="s">
        <v>81</v>
      </c>
      <c r="I176" s="4" t="s">
        <v>1030</v>
      </c>
      <c r="J176" s="4" t="s">
        <v>132</v>
      </c>
      <c r="K176" s="4" t="s">
        <v>51</v>
      </c>
      <c r="L176" s="4" t="s">
        <v>40</v>
      </c>
      <c r="M176" s="4">
        <v>0</v>
      </c>
      <c r="N176" s="4" t="s">
        <v>134</v>
      </c>
      <c r="O176" s="4" t="s">
        <v>42</v>
      </c>
      <c r="P176" s="50" t="s">
        <v>43</v>
      </c>
      <c r="Q176" s="50" t="s">
        <v>36</v>
      </c>
      <c r="R176" s="50">
        <v>0</v>
      </c>
      <c r="S176" s="4" t="s">
        <v>36</v>
      </c>
    </row>
    <row r="177" spans="3:19" x14ac:dyDescent="0.25">
      <c r="C177" s="4" t="s">
        <v>136</v>
      </c>
      <c r="D177" s="4" t="s">
        <v>137</v>
      </c>
      <c r="E177" s="4" t="s">
        <v>137</v>
      </c>
      <c r="F177" s="4" t="s">
        <v>36</v>
      </c>
      <c r="G177" s="4" t="s">
        <v>37</v>
      </c>
      <c r="H177" s="4" t="s">
        <v>88</v>
      </c>
      <c r="I177" s="4" t="s">
        <v>1030</v>
      </c>
      <c r="J177" s="4" t="s">
        <v>58</v>
      </c>
      <c r="K177" s="4" t="s">
        <v>138</v>
      </c>
      <c r="L177" s="4" t="s">
        <v>40</v>
      </c>
      <c r="M177" s="4">
        <v>0</v>
      </c>
      <c r="N177" s="4" t="s">
        <v>136</v>
      </c>
      <c r="O177" s="4" t="s">
        <v>42</v>
      </c>
      <c r="P177" s="50" t="s">
        <v>43</v>
      </c>
      <c r="Q177" s="50" t="s">
        <v>36</v>
      </c>
      <c r="R177" s="50">
        <v>0</v>
      </c>
      <c r="S177" s="4" t="s">
        <v>36</v>
      </c>
    </row>
    <row r="178" spans="3:19" x14ac:dyDescent="0.25">
      <c r="C178" s="4" t="s">
        <v>139</v>
      </c>
      <c r="D178" s="4" t="s">
        <v>140</v>
      </c>
      <c r="E178" s="4" t="s">
        <v>140</v>
      </c>
      <c r="F178" s="4" t="s">
        <v>36</v>
      </c>
      <c r="G178" s="4" t="s">
        <v>37</v>
      </c>
      <c r="H178" s="4" t="s">
        <v>88</v>
      </c>
      <c r="I178" s="4" t="s">
        <v>1030</v>
      </c>
      <c r="J178" s="4" t="s">
        <v>89</v>
      </c>
      <c r="K178" s="4" t="s">
        <v>109</v>
      </c>
      <c r="L178" s="4" t="s">
        <v>91</v>
      </c>
      <c r="M178" s="4">
        <v>0</v>
      </c>
      <c r="N178" s="4" t="s">
        <v>139</v>
      </c>
      <c r="O178" s="4" t="s">
        <v>42</v>
      </c>
      <c r="P178" s="50" t="s">
        <v>43</v>
      </c>
      <c r="Q178" s="50" t="s">
        <v>36</v>
      </c>
      <c r="R178" s="50">
        <v>0</v>
      </c>
      <c r="S178" s="4" t="s">
        <v>36</v>
      </c>
    </row>
    <row r="179" spans="3:19" x14ac:dyDescent="0.25">
      <c r="C179" s="4" t="s">
        <v>411</v>
      </c>
      <c r="D179" s="4" t="s">
        <v>412</v>
      </c>
      <c r="E179" s="4" t="s">
        <v>412</v>
      </c>
      <c r="F179" s="4">
        <v>5</v>
      </c>
      <c r="G179" s="4" t="s">
        <v>376</v>
      </c>
      <c r="H179" s="4" t="s">
        <v>46</v>
      </c>
      <c r="I179" s="4" t="s">
        <v>1031</v>
      </c>
      <c r="J179" s="4" t="s">
        <v>63</v>
      </c>
      <c r="K179" s="4" t="s">
        <v>138</v>
      </c>
      <c r="L179" s="4" t="s">
        <v>40</v>
      </c>
      <c r="M179" s="4" t="s">
        <v>378</v>
      </c>
      <c r="N179" s="4" t="s">
        <v>411</v>
      </c>
      <c r="O179" s="4" t="s">
        <v>42</v>
      </c>
      <c r="P179" s="50" t="s">
        <v>440</v>
      </c>
      <c r="Q179" s="50">
        <v>43012333.965821557</v>
      </c>
      <c r="R179" s="50" t="s">
        <v>380</v>
      </c>
      <c r="S179" s="4" t="s">
        <v>43</v>
      </c>
    </row>
    <row r="180" spans="3:19" x14ac:dyDescent="0.25">
      <c r="C180" s="4" t="s">
        <v>578</v>
      </c>
      <c r="D180" s="4" t="s">
        <v>579</v>
      </c>
      <c r="E180" s="4" t="s">
        <v>579</v>
      </c>
      <c r="F180" s="4">
        <v>5</v>
      </c>
      <c r="G180" s="4" t="s">
        <v>376</v>
      </c>
      <c r="H180" s="4" t="s">
        <v>46</v>
      </c>
      <c r="I180" s="4" t="s">
        <v>1030</v>
      </c>
      <c r="J180" s="4" t="s">
        <v>331</v>
      </c>
      <c r="K180" s="4" t="s">
        <v>138</v>
      </c>
      <c r="L180" s="4" t="s">
        <v>40</v>
      </c>
      <c r="M180" s="4" t="s">
        <v>984</v>
      </c>
      <c r="N180" s="4" t="s">
        <v>578</v>
      </c>
      <c r="O180" s="4" t="s">
        <v>42</v>
      </c>
      <c r="P180" s="50" t="s">
        <v>43</v>
      </c>
      <c r="Q180" s="50">
        <v>34873176.268875949</v>
      </c>
      <c r="R180" s="50" t="s">
        <v>557</v>
      </c>
      <c r="S180" s="4" t="s">
        <v>43</v>
      </c>
    </row>
    <row r="181" spans="3:19" x14ac:dyDescent="0.25">
      <c r="C181" s="4" t="s">
        <v>908</v>
      </c>
      <c r="D181" s="4" t="s">
        <v>909</v>
      </c>
      <c r="E181" s="4" t="s">
        <v>910</v>
      </c>
      <c r="F181" s="4">
        <v>5</v>
      </c>
      <c r="G181" s="4" t="s">
        <v>37</v>
      </c>
      <c r="H181" s="4" t="s">
        <v>81</v>
      </c>
      <c r="I181" s="4" t="s">
        <v>1030</v>
      </c>
      <c r="J181" s="4" t="s">
        <v>73</v>
      </c>
      <c r="K181" s="4" t="s">
        <v>911</v>
      </c>
      <c r="L181" s="4" t="s">
        <v>40</v>
      </c>
      <c r="M181" s="4" t="s">
        <v>514</v>
      </c>
      <c r="N181" s="4" t="s">
        <v>908</v>
      </c>
      <c r="O181" s="4" t="s">
        <v>42</v>
      </c>
      <c r="P181" s="50" t="s">
        <v>43</v>
      </c>
      <c r="Q181" s="50" t="s">
        <v>36</v>
      </c>
      <c r="R181" s="50" t="s">
        <v>886</v>
      </c>
      <c r="S181" s="4" t="s">
        <v>36</v>
      </c>
    </row>
    <row r="182" spans="3:19" x14ac:dyDescent="0.25">
      <c r="C182" s="4" t="s">
        <v>413</v>
      </c>
      <c r="D182" s="4" t="s">
        <v>414</v>
      </c>
      <c r="E182" s="4" t="s">
        <v>414</v>
      </c>
      <c r="F182" s="4">
        <v>5</v>
      </c>
      <c r="G182" s="4" t="s">
        <v>376</v>
      </c>
      <c r="H182" s="4" t="s">
        <v>46</v>
      </c>
      <c r="I182" s="4" t="s">
        <v>1031</v>
      </c>
      <c r="J182" s="4" t="s">
        <v>63</v>
      </c>
      <c r="K182" s="4" t="s">
        <v>138</v>
      </c>
      <c r="L182" s="4" t="s">
        <v>40</v>
      </c>
      <c r="M182" s="4" t="s">
        <v>378</v>
      </c>
      <c r="N182" s="4" t="s">
        <v>413</v>
      </c>
      <c r="O182" s="4" t="s">
        <v>42</v>
      </c>
      <c r="P182" s="50" t="s">
        <v>43</v>
      </c>
      <c r="Q182" s="50">
        <v>37721919.113852128</v>
      </c>
      <c r="R182" s="50" t="s">
        <v>380</v>
      </c>
      <c r="S182" s="4" t="s">
        <v>43</v>
      </c>
    </row>
    <row r="183" spans="3:19" x14ac:dyDescent="0.25">
      <c r="C183" s="4" t="s">
        <v>580</v>
      </c>
      <c r="D183" s="4" t="s">
        <v>581</v>
      </c>
      <c r="E183" s="4" t="s">
        <v>581</v>
      </c>
      <c r="F183" s="4">
        <v>5</v>
      </c>
      <c r="G183" s="4" t="s">
        <v>376</v>
      </c>
      <c r="H183" s="4" t="s">
        <v>46</v>
      </c>
      <c r="I183" s="4" t="s">
        <v>1030</v>
      </c>
      <c r="J183" s="4" t="s">
        <v>331</v>
      </c>
      <c r="K183" s="4" t="s">
        <v>138</v>
      </c>
      <c r="L183" s="4" t="s">
        <v>40</v>
      </c>
      <c r="M183" s="4" t="s">
        <v>984</v>
      </c>
      <c r="N183" s="4" t="s">
        <v>580</v>
      </c>
      <c r="O183" s="4" t="s">
        <v>42</v>
      </c>
      <c r="P183" s="50" t="s">
        <v>43</v>
      </c>
      <c r="Q183" s="50">
        <v>36137502.216028072</v>
      </c>
      <c r="R183" s="50" t="s">
        <v>557</v>
      </c>
      <c r="S183" s="4" t="s">
        <v>43</v>
      </c>
    </row>
    <row r="184" spans="3:19" x14ac:dyDescent="0.25">
      <c r="C184" s="4" t="s">
        <v>756</v>
      </c>
      <c r="D184" s="4" t="s">
        <v>757</v>
      </c>
      <c r="E184" s="4" t="s">
        <v>757</v>
      </c>
      <c r="F184" s="4">
        <v>5</v>
      </c>
      <c r="G184" s="4" t="s">
        <v>376</v>
      </c>
      <c r="H184" s="4" t="s">
        <v>46</v>
      </c>
      <c r="I184" s="4" t="s">
        <v>1031</v>
      </c>
      <c r="J184" s="4" t="s">
        <v>84</v>
      </c>
      <c r="K184" s="4" t="s">
        <v>54</v>
      </c>
      <c r="L184" s="4" t="s">
        <v>55</v>
      </c>
      <c r="M184" s="4" t="s">
        <v>378</v>
      </c>
      <c r="N184" s="4" t="s">
        <v>756</v>
      </c>
      <c r="O184" s="4" t="s">
        <v>42</v>
      </c>
      <c r="P184" s="50" t="s">
        <v>43</v>
      </c>
      <c r="Q184" s="50">
        <v>37863948.014555074</v>
      </c>
      <c r="R184" s="50" t="s">
        <v>741</v>
      </c>
      <c r="S184" s="4" t="s">
        <v>43</v>
      </c>
    </row>
    <row r="185" spans="3:19" x14ac:dyDescent="0.25">
      <c r="C185" s="4" t="s">
        <v>812</v>
      </c>
      <c r="D185" s="4" t="s">
        <v>813</v>
      </c>
      <c r="E185" s="4" t="s">
        <v>813</v>
      </c>
      <c r="F185" s="4">
        <v>5</v>
      </c>
      <c r="G185" s="4" t="s">
        <v>376</v>
      </c>
      <c r="H185" s="4" t="s">
        <v>46</v>
      </c>
      <c r="I185" s="4" t="s">
        <v>1030</v>
      </c>
      <c r="J185" s="4" t="s">
        <v>146</v>
      </c>
      <c r="K185" s="4" t="s">
        <v>59</v>
      </c>
      <c r="L185" s="4" t="s">
        <v>40</v>
      </c>
      <c r="M185" s="4" t="s">
        <v>1035</v>
      </c>
      <c r="N185" s="4" t="s">
        <v>812</v>
      </c>
      <c r="O185" s="4" t="s">
        <v>42</v>
      </c>
      <c r="P185" s="50" t="s">
        <v>43</v>
      </c>
      <c r="Q185" s="50">
        <v>33084723.734985504</v>
      </c>
      <c r="R185" s="50" t="s">
        <v>799</v>
      </c>
      <c r="S185" s="4" t="s">
        <v>43</v>
      </c>
    </row>
    <row r="186" spans="3:19" x14ac:dyDescent="0.25">
      <c r="C186" s="4" t="s">
        <v>141</v>
      </c>
      <c r="D186" s="4" t="s">
        <v>142</v>
      </c>
      <c r="E186" s="4" t="s">
        <v>142</v>
      </c>
      <c r="F186" s="4" t="s">
        <v>36</v>
      </c>
      <c r="G186" s="4" t="s">
        <v>37</v>
      </c>
      <c r="H186" s="4" t="s">
        <v>81</v>
      </c>
      <c r="I186" s="4" t="s">
        <v>1030</v>
      </c>
      <c r="J186" s="4">
        <v>0</v>
      </c>
      <c r="K186" s="4" t="s">
        <v>143</v>
      </c>
      <c r="L186" s="4" t="s">
        <v>40</v>
      </c>
      <c r="M186" s="4">
        <v>0</v>
      </c>
      <c r="N186" s="4" t="s">
        <v>141</v>
      </c>
      <c r="O186" s="4" t="s">
        <v>42</v>
      </c>
      <c r="P186" s="50" t="s">
        <v>43</v>
      </c>
      <c r="Q186" s="50" t="s">
        <v>36</v>
      </c>
      <c r="R186" s="50">
        <v>0</v>
      </c>
      <c r="S186" s="4" t="s">
        <v>36</v>
      </c>
    </row>
    <row r="187" spans="3:19" x14ac:dyDescent="0.25">
      <c r="C187" s="4" t="s">
        <v>437</v>
      </c>
      <c r="D187" s="4" t="s">
        <v>438</v>
      </c>
      <c r="E187" s="4" t="s">
        <v>439</v>
      </c>
      <c r="F187" s="4">
        <v>5</v>
      </c>
      <c r="G187" s="4" t="s">
        <v>376</v>
      </c>
      <c r="H187" s="4" t="s">
        <v>81</v>
      </c>
      <c r="I187" s="4" t="s">
        <v>1030</v>
      </c>
      <c r="J187" s="4" t="s">
        <v>94</v>
      </c>
      <c r="K187" s="4" t="s">
        <v>64</v>
      </c>
      <c r="L187" s="4" t="s">
        <v>40</v>
      </c>
      <c r="M187" s="4" t="s">
        <v>1035</v>
      </c>
      <c r="N187" s="4" t="s">
        <v>437</v>
      </c>
      <c r="O187" s="4" t="s">
        <v>42</v>
      </c>
      <c r="P187" s="50" t="s">
        <v>43</v>
      </c>
      <c r="Q187" s="50">
        <v>32589711.543751661</v>
      </c>
      <c r="R187" s="50" t="s">
        <v>423</v>
      </c>
      <c r="S187" s="4" t="s">
        <v>440</v>
      </c>
    </row>
    <row r="188" spans="3:19" x14ac:dyDescent="0.25">
      <c r="C188" s="4" t="s">
        <v>497</v>
      </c>
      <c r="D188" s="4" t="s">
        <v>498</v>
      </c>
      <c r="E188" s="4" t="s">
        <v>499</v>
      </c>
      <c r="F188" s="4">
        <v>5</v>
      </c>
      <c r="G188" s="4" t="s">
        <v>376</v>
      </c>
      <c r="H188" s="4" t="s">
        <v>46</v>
      </c>
      <c r="I188" s="4" t="s">
        <v>1030</v>
      </c>
      <c r="J188" s="4" t="s">
        <v>466</v>
      </c>
      <c r="K188" s="4" t="s">
        <v>51</v>
      </c>
      <c r="L188" s="4" t="s">
        <v>40</v>
      </c>
      <c r="M188" s="4" t="s">
        <v>1035</v>
      </c>
      <c r="N188" s="4" t="s">
        <v>497</v>
      </c>
      <c r="O188" s="4" t="s">
        <v>42</v>
      </c>
      <c r="P188" s="50" t="s">
        <v>43</v>
      </c>
      <c r="Q188" s="50">
        <v>33249946.910340812</v>
      </c>
      <c r="R188" s="50" t="s">
        <v>467</v>
      </c>
      <c r="S188" s="4" t="s">
        <v>43</v>
      </c>
    </row>
    <row r="189" spans="3:19" x14ac:dyDescent="0.25">
      <c r="C189" s="4" t="s">
        <v>144</v>
      </c>
      <c r="D189" s="4" t="s">
        <v>145</v>
      </c>
      <c r="E189" s="4" t="s">
        <v>145</v>
      </c>
      <c r="F189" s="4" t="s">
        <v>36</v>
      </c>
      <c r="G189" s="4" t="s">
        <v>37</v>
      </c>
      <c r="H189" s="4" t="s">
        <v>46</v>
      </c>
      <c r="I189" s="4" t="s">
        <v>1030</v>
      </c>
      <c r="J189" s="4" t="s">
        <v>146</v>
      </c>
      <c r="K189" s="4" t="s">
        <v>138</v>
      </c>
      <c r="L189" s="4" t="s">
        <v>40</v>
      </c>
      <c r="M189" s="4">
        <v>0</v>
      </c>
      <c r="N189" s="4" t="s">
        <v>144</v>
      </c>
      <c r="O189" s="4" t="s">
        <v>42</v>
      </c>
      <c r="P189" s="50" t="s">
        <v>43</v>
      </c>
      <c r="Q189" s="50" t="s">
        <v>36</v>
      </c>
      <c r="R189" s="50">
        <v>0</v>
      </c>
      <c r="S189" s="4" t="s">
        <v>36</v>
      </c>
    </row>
    <row r="190" spans="3:19" x14ac:dyDescent="0.25">
      <c r="C190" s="4" t="s">
        <v>784</v>
      </c>
      <c r="D190" s="4" t="s">
        <v>785</v>
      </c>
      <c r="E190" s="4" t="s">
        <v>785</v>
      </c>
      <c r="F190" s="4">
        <v>5.45</v>
      </c>
      <c r="G190" s="4" t="s">
        <v>376</v>
      </c>
      <c r="H190" s="4" t="s">
        <v>46</v>
      </c>
      <c r="I190" s="4" t="s">
        <v>1031</v>
      </c>
      <c r="J190" s="4" t="s">
        <v>89</v>
      </c>
      <c r="K190" s="4" t="s">
        <v>109</v>
      </c>
      <c r="L190" s="4" t="s">
        <v>91</v>
      </c>
      <c r="M190" s="4" t="s">
        <v>378</v>
      </c>
      <c r="N190" s="4" t="s">
        <v>784</v>
      </c>
      <c r="O190" s="4" t="s">
        <v>42</v>
      </c>
      <c r="P190" s="50" t="s">
        <v>43</v>
      </c>
      <c r="Q190" s="50">
        <v>46937762.676390357</v>
      </c>
      <c r="R190" s="50" t="s">
        <v>772</v>
      </c>
      <c r="S190" s="4" t="s">
        <v>43</v>
      </c>
    </row>
    <row r="191" spans="3:19" x14ac:dyDescent="0.25">
      <c r="C191" s="4" t="s">
        <v>147</v>
      </c>
      <c r="D191" s="4" t="s">
        <v>148</v>
      </c>
      <c r="E191" s="4" t="s">
        <v>148</v>
      </c>
      <c r="F191" s="4" t="s">
        <v>36</v>
      </c>
      <c r="G191" s="4" t="s">
        <v>37</v>
      </c>
      <c r="H191" s="4" t="s">
        <v>46</v>
      </c>
      <c r="I191" s="4" t="s">
        <v>1030</v>
      </c>
      <c r="J191" s="4" t="s">
        <v>50</v>
      </c>
      <c r="K191" s="4" t="s">
        <v>51</v>
      </c>
      <c r="L191" s="4" t="s">
        <v>40</v>
      </c>
      <c r="M191" s="4">
        <v>0</v>
      </c>
      <c r="N191" s="4" t="s">
        <v>147</v>
      </c>
      <c r="O191" s="4" t="s">
        <v>42</v>
      </c>
      <c r="P191" s="50" t="s">
        <v>43</v>
      </c>
      <c r="Q191" s="50" t="s">
        <v>36</v>
      </c>
      <c r="R191" s="50">
        <v>0</v>
      </c>
      <c r="S191" s="4" t="s">
        <v>36</v>
      </c>
    </row>
    <row r="192" spans="3:19" x14ac:dyDescent="0.25">
      <c r="C192" s="4" t="s">
        <v>149</v>
      </c>
      <c r="D192" s="4" t="s">
        <v>150</v>
      </c>
      <c r="E192" s="4" t="s">
        <v>150</v>
      </c>
      <c r="F192" s="4" t="s">
        <v>36</v>
      </c>
      <c r="G192" s="4" t="s">
        <v>37</v>
      </c>
      <c r="H192" s="4" t="s">
        <v>81</v>
      </c>
      <c r="I192" s="4" t="s">
        <v>1030</v>
      </c>
      <c r="J192" s="4" t="s">
        <v>100</v>
      </c>
      <c r="K192" s="4" t="s">
        <v>59</v>
      </c>
      <c r="L192" s="4" t="s">
        <v>40</v>
      </c>
      <c r="M192" s="4">
        <v>0</v>
      </c>
      <c r="N192" s="4" t="s">
        <v>149</v>
      </c>
      <c r="O192" s="4" t="s">
        <v>42</v>
      </c>
      <c r="P192" s="50" t="s">
        <v>43</v>
      </c>
      <c r="Q192" s="50" t="s">
        <v>36</v>
      </c>
      <c r="R192" s="50">
        <v>0</v>
      </c>
      <c r="S192" s="4" t="s">
        <v>36</v>
      </c>
    </row>
    <row r="193" spans="3:19" x14ac:dyDescent="0.25">
      <c r="C193" s="4" t="s">
        <v>151</v>
      </c>
      <c r="D193" s="4" t="s">
        <v>152</v>
      </c>
      <c r="E193" s="4" t="s">
        <v>152</v>
      </c>
      <c r="F193" s="4" t="s">
        <v>36</v>
      </c>
      <c r="G193" s="4" t="s">
        <v>37</v>
      </c>
      <c r="H193" s="4" t="s">
        <v>88</v>
      </c>
      <c r="I193" s="4" t="s">
        <v>1030</v>
      </c>
      <c r="J193" s="4" t="s">
        <v>132</v>
      </c>
      <c r="K193" s="4" t="s">
        <v>133</v>
      </c>
      <c r="L193" s="4" t="s">
        <v>40</v>
      </c>
      <c r="M193" s="4">
        <v>0</v>
      </c>
      <c r="N193" s="4" t="s">
        <v>151</v>
      </c>
      <c r="O193" s="4" t="s">
        <v>42</v>
      </c>
      <c r="P193" s="50" t="s">
        <v>43</v>
      </c>
      <c r="Q193" s="50" t="s">
        <v>36</v>
      </c>
      <c r="R193" s="50">
        <v>0</v>
      </c>
      <c r="S193" s="4" t="s">
        <v>36</v>
      </c>
    </row>
    <row r="194" spans="3:19" x14ac:dyDescent="0.25">
      <c r="C194" s="4" t="s">
        <v>786</v>
      </c>
      <c r="D194" s="4" t="s">
        <v>787</v>
      </c>
      <c r="E194" s="4" t="s">
        <v>787</v>
      </c>
      <c r="F194" s="4">
        <v>5</v>
      </c>
      <c r="G194" s="4" t="s">
        <v>376</v>
      </c>
      <c r="H194" s="4" t="s">
        <v>81</v>
      </c>
      <c r="I194" s="4" t="s">
        <v>1031</v>
      </c>
      <c r="J194" s="4" t="s">
        <v>89</v>
      </c>
      <c r="K194" s="4" t="s">
        <v>109</v>
      </c>
      <c r="L194" s="4" t="s">
        <v>91</v>
      </c>
      <c r="M194" s="4" t="s">
        <v>378</v>
      </c>
      <c r="N194" s="4" t="s">
        <v>786</v>
      </c>
      <c r="O194" s="4" t="s">
        <v>42</v>
      </c>
      <c r="P194" s="50" t="s">
        <v>43</v>
      </c>
      <c r="Q194" s="50">
        <v>46680079.843526401</v>
      </c>
      <c r="R194" s="50" t="s">
        <v>772</v>
      </c>
      <c r="S194" s="4" t="s">
        <v>440</v>
      </c>
    </row>
    <row r="195" spans="3:19" x14ac:dyDescent="0.25">
      <c r="C195" s="4" t="s">
        <v>582</v>
      </c>
      <c r="D195" s="4" t="s">
        <v>583</v>
      </c>
      <c r="E195" s="4" t="s">
        <v>583</v>
      </c>
      <c r="F195" s="4">
        <v>5</v>
      </c>
      <c r="G195" s="4" t="s">
        <v>376</v>
      </c>
      <c r="H195" s="4" t="s">
        <v>46</v>
      </c>
      <c r="I195" s="4" t="s">
        <v>1030</v>
      </c>
      <c r="J195" s="4" t="s">
        <v>331</v>
      </c>
      <c r="K195" s="4" t="s">
        <v>138</v>
      </c>
      <c r="L195" s="4" t="s">
        <v>40</v>
      </c>
      <c r="M195" s="4" t="s">
        <v>984</v>
      </c>
      <c r="N195" s="4" t="s">
        <v>582</v>
      </c>
      <c r="O195" s="4" t="s">
        <v>42</v>
      </c>
      <c r="P195" s="50" t="s">
        <v>43</v>
      </c>
      <c r="Q195" s="50">
        <v>57032304.862221025</v>
      </c>
      <c r="R195" s="50" t="s">
        <v>557</v>
      </c>
      <c r="S195" s="4" t="s">
        <v>43</v>
      </c>
    </row>
    <row r="196" spans="3:19" x14ac:dyDescent="0.25">
      <c r="C196" s="4" t="s">
        <v>714</v>
      </c>
      <c r="D196" s="4" t="s">
        <v>715</v>
      </c>
      <c r="E196" s="4" t="s">
        <v>715</v>
      </c>
      <c r="F196" s="4">
        <v>5</v>
      </c>
      <c r="G196" s="4" t="s">
        <v>376</v>
      </c>
      <c r="H196" s="4" t="s">
        <v>46</v>
      </c>
      <c r="I196" s="4" t="s">
        <v>1031</v>
      </c>
      <c r="J196" s="4" t="s">
        <v>84</v>
      </c>
      <c r="K196" s="4" t="s">
        <v>54</v>
      </c>
      <c r="L196" s="4" t="s">
        <v>55</v>
      </c>
      <c r="M196" s="4" t="s">
        <v>378</v>
      </c>
      <c r="N196" s="4" t="s">
        <v>714</v>
      </c>
      <c r="O196" s="4" t="s">
        <v>42</v>
      </c>
      <c r="P196" s="50" t="s">
        <v>43</v>
      </c>
      <c r="Q196" s="50">
        <v>39786457.227298982</v>
      </c>
      <c r="R196" s="50" t="s">
        <v>702</v>
      </c>
      <c r="S196" s="4" t="s">
        <v>43</v>
      </c>
    </row>
    <row r="197" spans="3:19" x14ac:dyDescent="0.25">
      <c r="C197" s="4" t="s">
        <v>153</v>
      </c>
      <c r="D197" s="4" t="s">
        <v>154</v>
      </c>
      <c r="E197" s="4" t="s">
        <v>155</v>
      </c>
      <c r="F197" s="4" t="s">
        <v>36</v>
      </c>
      <c r="G197" s="4" t="s">
        <v>37</v>
      </c>
      <c r="H197" s="4" t="s">
        <v>81</v>
      </c>
      <c r="I197" s="4" t="s">
        <v>1030</v>
      </c>
      <c r="J197" s="4" t="s">
        <v>84</v>
      </c>
      <c r="K197" s="4" t="s">
        <v>54</v>
      </c>
      <c r="L197" s="4" t="s">
        <v>55</v>
      </c>
      <c r="M197" s="4">
        <v>0</v>
      </c>
      <c r="N197" s="4" t="s">
        <v>153</v>
      </c>
      <c r="O197" s="4" t="s">
        <v>42</v>
      </c>
      <c r="P197" s="50" t="s">
        <v>43</v>
      </c>
      <c r="Q197" s="50" t="s">
        <v>36</v>
      </c>
      <c r="R197" s="50">
        <v>0</v>
      </c>
      <c r="S197" s="4" t="s">
        <v>36</v>
      </c>
    </row>
    <row r="198" spans="3:19" x14ac:dyDescent="0.25">
      <c r="C198" s="4" t="s">
        <v>912</v>
      </c>
      <c r="D198" s="4" t="s">
        <v>913</v>
      </c>
      <c r="E198" s="4" t="s">
        <v>913</v>
      </c>
      <c r="F198" s="4">
        <v>5</v>
      </c>
      <c r="G198" s="4" t="s">
        <v>376</v>
      </c>
      <c r="H198" s="4" t="s">
        <v>81</v>
      </c>
      <c r="I198" s="4" t="s">
        <v>1030</v>
      </c>
      <c r="J198" s="4" t="s">
        <v>73</v>
      </c>
      <c r="K198" s="4" t="s">
        <v>914</v>
      </c>
      <c r="L198" s="4" t="s">
        <v>40</v>
      </c>
      <c r="M198" s="4" t="s">
        <v>514</v>
      </c>
      <c r="N198" s="4" t="s">
        <v>912</v>
      </c>
      <c r="O198" s="4" t="s">
        <v>42</v>
      </c>
      <c r="P198" s="50" t="s">
        <v>43</v>
      </c>
      <c r="Q198" s="50">
        <v>29973680.215344973</v>
      </c>
      <c r="R198" s="50" t="s">
        <v>886</v>
      </c>
      <c r="S198" s="4" t="s">
        <v>43</v>
      </c>
    </row>
    <row r="199" spans="3:19" x14ac:dyDescent="0.25">
      <c r="C199" s="4" t="s">
        <v>500</v>
      </c>
      <c r="D199" s="4" t="s">
        <v>501</v>
      </c>
      <c r="E199" s="4" t="s">
        <v>501</v>
      </c>
      <c r="F199" s="4">
        <v>5</v>
      </c>
      <c r="G199" s="4" t="s">
        <v>376</v>
      </c>
      <c r="H199" s="4" t="s">
        <v>46</v>
      </c>
      <c r="I199" s="4" t="s">
        <v>1030</v>
      </c>
      <c r="J199" s="4" t="s">
        <v>466</v>
      </c>
      <c r="K199" s="4" t="s">
        <v>51</v>
      </c>
      <c r="L199" s="4" t="s">
        <v>40</v>
      </c>
      <c r="M199" s="4" t="s">
        <v>1035</v>
      </c>
      <c r="N199" s="4" t="s">
        <v>500</v>
      </c>
      <c r="O199" s="4" t="s">
        <v>42</v>
      </c>
      <c r="P199" s="50" t="s">
        <v>43</v>
      </c>
      <c r="Q199" s="50">
        <v>39319372.436379328</v>
      </c>
      <c r="R199" s="50" t="s">
        <v>467</v>
      </c>
      <c r="S199" s="4" t="s">
        <v>43</v>
      </c>
    </row>
    <row r="200" spans="3:19" x14ac:dyDescent="0.25">
      <c r="C200" s="4" t="s">
        <v>441</v>
      </c>
      <c r="D200" s="4" t="s">
        <v>442</v>
      </c>
      <c r="E200" s="4" t="s">
        <v>442</v>
      </c>
      <c r="F200" s="4">
        <v>5</v>
      </c>
      <c r="G200" s="4" t="s">
        <v>376</v>
      </c>
      <c r="H200" s="4" t="s">
        <v>46</v>
      </c>
      <c r="I200" s="4" t="s">
        <v>1030</v>
      </c>
      <c r="J200" s="4" t="s">
        <v>94</v>
      </c>
      <c r="K200" s="4" t="s">
        <v>64</v>
      </c>
      <c r="L200" s="4" t="s">
        <v>40</v>
      </c>
      <c r="M200" s="4" t="s">
        <v>1035</v>
      </c>
      <c r="N200" s="4" t="s">
        <v>441</v>
      </c>
      <c r="O200" s="4" t="s">
        <v>42</v>
      </c>
      <c r="P200" s="50" t="s">
        <v>440</v>
      </c>
      <c r="Q200" s="50">
        <v>32316526.996697605</v>
      </c>
      <c r="R200" s="50" t="s">
        <v>423</v>
      </c>
      <c r="S200" s="4" t="s">
        <v>43</v>
      </c>
    </row>
    <row r="201" spans="3:19" x14ac:dyDescent="0.25">
      <c r="C201" s="4" t="s">
        <v>156</v>
      </c>
      <c r="D201" s="4" t="s">
        <v>157</v>
      </c>
      <c r="E201" s="4" t="s">
        <v>157</v>
      </c>
      <c r="F201" s="4" t="s">
        <v>36</v>
      </c>
      <c r="G201" s="4" t="s">
        <v>37</v>
      </c>
      <c r="H201" s="4" t="s">
        <v>46</v>
      </c>
      <c r="I201" s="4" t="s">
        <v>1030</v>
      </c>
      <c r="J201" s="4">
        <v>0</v>
      </c>
      <c r="K201" s="4" t="s">
        <v>51</v>
      </c>
      <c r="L201" s="4" t="s">
        <v>40</v>
      </c>
      <c r="M201" s="4">
        <v>0</v>
      </c>
      <c r="N201" s="4" t="s">
        <v>156</v>
      </c>
      <c r="O201" s="4" t="s">
        <v>42</v>
      </c>
      <c r="P201" s="50" t="s">
        <v>43</v>
      </c>
      <c r="Q201" s="50" t="s">
        <v>36</v>
      </c>
      <c r="R201" s="50">
        <v>0</v>
      </c>
      <c r="S201" s="4" t="s">
        <v>36</v>
      </c>
    </row>
    <row r="202" spans="3:19" x14ac:dyDescent="0.25">
      <c r="C202" s="4" t="s">
        <v>875</v>
      </c>
      <c r="D202" s="4" t="s">
        <v>876</v>
      </c>
      <c r="E202" s="4" t="s">
        <v>876</v>
      </c>
      <c r="F202" s="4">
        <v>5</v>
      </c>
      <c r="G202" s="4" t="s">
        <v>376</v>
      </c>
      <c r="H202" s="4" t="s">
        <v>81</v>
      </c>
      <c r="I202" s="4" t="s">
        <v>1030</v>
      </c>
      <c r="J202" s="4" t="s">
        <v>132</v>
      </c>
      <c r="K202" s="4" t="s">
        <v>856</v>
      </c>
      <c r="L202" s="4" t="s">
        <v>40</v>
      </c>
      <c r="M202" s="4" t="s">
        <v>1035</v>
      </c>
      <c r="N202" s="4" t="s">
        <v>875</v>
      </c>
      <c r="O202" s="4" t="s">
        <v>42</v>
      </c>
      <c r="P202" s="50" t="s">
        <v>43</v>
      </c>
      <c r="Q202" s="50">
        <v>31706420.53620895</v>
      </c>
      <c r="R202" s="50" t="s">
        <v>847</v>
      </c>
      <c r="S202" s="4" t="s">
        <v>43</v>
      </c>
    </row>
    <row r="203" spans="3:19" x14ac:dyDescent="0.25">
      <c r="C203" s="4" t="s">
        <v>158</v>
      </c>
      <c r="D203" s="4" t="s">
        <v>159</v>
      </c>
      <c r="E203" s="4" t="s">
        <v>159</v>
      </c>
      <c r="F203" s="4" t="s">
        <v>36</v>
      </c>
      <c r="G203" s="4" t="s">
        <v>37</v>
      </c>
      <c r="H203" s="4" t="s">
        <v>81</v>
      </c>
      <c r="I203" s="4" t="s">
        <v>1030</v>
      </c>
      <c r="J203" s="4" t="s">
        <v>160</v>
      </c>
      <c r="K203" s="4" t="s">
        <v>161</v>
      </c>
      <c r="L203" s="4" t="s">
        <v>55</v>
      </c>
      <c r="M203" s="4">
        <v>0</v>
      </c>
      <c r="N203" s="4" t="s">
        <v>158</v>
      </c>
      <c r="O203" s="4" t="s">
        <v>42</v>
      </c>
      <c r="P203" s="50" t="s">
        <v>43</v>
      </c>
      <c r="Q203" s="50" t="s">
        <v>36</v>
      </c>
      <c r="R203" s="50">
        <v>0</v>
      </c>
      <c r="S203" s="4" t="s">
        <v>36</v>
      </c>
    </row>
    <row r="204" spans="3:19" x14ac:dyDescent="0.25">
      <c r="C204" s="4" t="s">
        <v>814</v>
      </c>
      <c r="D204" s="4" t="s">
        <v>815</v>
      </c>
      <c r="E204" s="4" t="s">
        <v>816</v>
      </c>
      <c r="F204" s="4">
        <v>5</v>
      </c>
      <c r="G204" s="4" t="s">
        <v>376</v>
      </c>
      <c r="H204" s="4" t="s">
        <v>81</v>
      </c>
      <c r="I204" s="4" t="s">
        <v>1030</v>
      </c>
      <c r="J204" s="4" t="s">
        <v>146</v>
      </c>
      <c r="K204" s="4" t="s">
        <v>59</v>
      </c>
      <c r="L204" s="4" t="s">
        <v>40</v>
      </c>
      <c r="M204" s="4" t="s">
        <v>1035</v>
      </c>
      <c r="N204" s="4" t="s">
        <v>814</v>
      </c>
      <c r="O204" s="4" t="s">
        <v>42</v>
      </c>
      <c r="P204" s="50" t="s">
        <v>43</v>
      </c>
      <c r="Q204" s="50">
        <v>43290541.159786969</v>
      </c>
      <c r="R204" s="50" t="s">
        <v>799</v>
      </c>
      <c r="S204" s="4" t="s">
        <v>43</v>
      </c>
    </row>
    <row r="205" spans="3:19" x14ac:dyDescent="0.25">
      <c r="C205" s="4" t="s">
        <v>598</v>
      </c>
      <c r="D205" s="4" t="s">
        <v>599</v>
      </c>
      <c r="E205" s="4" t="s">
        <v>600</v>
      </c>
      <c r="F205" s="4">
        <v>5</v>
      </c>
      <c r="G205" s="4" t="s">
        <v>376</v>
      </c>
      <c r="H205" s="4" t="s">
        <v>81</v>
      </c>
      <c r="I205" s="4" t="s">
        <v>1030</v>
      </c>
      <c r="J205" s="4" t="s">
        <v>50</v>
      </c>
      <c r="K205" s="4" t="s">
        <v>601</v>
      </c>
      <c r="L205" s="4" t="s">
        <v>40</v>
      </c>
      <c r="M205" s="4" t="s">
        <v>514</v>
      </c>
      <c r="N205" s="4" t="s">
        <v>598</v>
      </c>
      <c r="O205" s="4" t="s">
        <v>42</v>
      </c>
      <c r="P205" s="50" t="s">
        <v>43</v>
      </c>
      <c r="Q205" s="50">
        <v>45202950.487857006</v>
      </c>
      <c r="R205" s="50" t="s">
        <v>597</v>
      </c>
      <c r="S205" s="4" t="s">
        <v>440</v>
      </c>
    </row>
    <row r="206" spans="3:19" x14ac:dyDescent="0.25">
      <c r="C206" s="4" t="s">
        <v>162</v>
      </c>
      <c r="D206" s="4" t="s">
        <v>163</v>
      </c>
      <c r="E206" s="4" t="s">
        <v>163</v>
      </c>
      <c r="F206" s="4" t="s">
        <v>36</v>
      </c>
      <c r="G206" s="4" t="s">
        <v>37</v>
      </c>
      <c r="H206" s="4" t="s">
        <v>88</v>
      </c>
      <c r="I206" s="4" t="s">
        <v>1030</v>
      </c>
      <c r="J206" s="4" t="s">
        <v>63</v>
      </c>
      <c r="K206" s="4" t="s">
        <v>138</v>
      </c>
      <c r="L206" s="4" t="s">
        <v>40</v>
      </c>
      <c r="M206" s="4">
        <v>0</v>
      </c>
      <c r="N206" s="4" t="s">
        <v>162</v>
      </c>
      <c r="O206" s="4" t="s">
        <v>42</v>
      </c>
      <c r="P206" s="50" t="s">
        <v>43</v>
      </c>
      <c r="Q206" s="50" t="s">
        <v>36</v>
      </c>
      <c r="R206" s="50">
        <v>0</v>
      </c>
      <c r="S206" s="4" t="s">
        <v>36</v>
      </c>
    </row>
    <row r="207" spans="3:19" x14ac:dyDescent="0.25">
      <c r="C207" s="4" t="s">
        <v>716</v>
      </c>
      <c r="D207" s="4" t="s">
        <v>717</v>
      </c>
      <c r="E207" s="4" t="s">
        <v>718</v>
      </c>
      <c r="F207" s="4">
        <v>5</v>
      </c>
      <c r="G207" s="4" t="s">
        <v>376</v>
      </c>
      <c r="H207" s="4" t="s">
        <v>46</v>
      </c>
      <c r="I207" s="4" t="s">
        <v>1031</v>
      </c>
      <c r="J207" s="4" t="s">
        <v>84</v>
      </c>
      <c r="K207" s="4" t="s">
        <v>54</v>
      </c>
      <c r="L207" s="4" t="s">
        <v>55</v>
      </c>
      <c r="M207" s="4" t="s">
        <v>378</v>
      </c>
      <c r="N207" s="4" t="s">
        <v>716</v>
      </c>
      <c r="O207" s="4" t="s">
        <v>42</v>
      </c>
      <c r="P207" s="50" t="s">
        <v>440</v>
      </c>
      <c r="Q207" s="50">
        <v>34070806.600098222</v>
      </c>
      <c r="R207" s="50" t="s">
        <v>702</v>
      </c>
      <c r="S207" s="4" t="s">
        <v>43</v>
      </c>
    </row>
    <row r="208" spans="3:19" x14ac:dyDescent="0.25">
      <c r="C208" s="4" t="s">
        <v>788</v>
      </c>
      <c r="D208" s="4" t="s">
        <v>789</v>
      </c>
      <c r="E208" s="4" t="s">
        <v>790</v>
      </c>
      <c r="F208" s="4">
        <v>5</v>
      </c>
      <c r="G208" s="4" t="s">
        <v>376</v>
      </c>
      <c r="H208" s="4" t="s">
        <v>81</v>
      </c>
      <c r="I208" s="4" t="s">
        <v>1031</v>
      </c>
      <c r="J208" s="4" t="s">
        <v>89</v>
      </c>
      <c r="K208" s="4" t="s">
        <v>109</v>
      </c>
      <c r="L208" s="4" t="s">
        <v>91</v>
      </c>
      <c r="M208" s="4" t="s">
        <v>378</v>
      </c>
      <c r="N208" s="4" t="s">
        <v>788</v>
      </c>
      <c r="O208" s="4" t="s">
        <v>42</v>
      </c>
      <c r="P208" s="50" t="s">
        <v>43</v>
      </c>
      <c r="Q208" s="50">
        <v>43443995.012618087</v>
      </c>
      <c r="R208" s="50" t="s">
        <v>772</v>
      </c>
      <c r="S208" s="4" t="s">
        <v>43</v>
      </c>
    </row>
    <row r="209" spans="3:19" x14ac:dyDescent="0.25">
      <c r="C209" s="4" t="s">
        <v>443</v>
      </c>
      <c r="D209" s="4" t="s">
        <v>444</v>
      </c>
      <c r="E209" s="4" t="s">
        <v>444</v>
      </c>
      <c r="F209" s="4">
        <v>5</v>
      </c>
      <c r="G209" s="4" t="s">
        <v>376</v>
      </c>
      <c r="H209" s="4" t="s">
        <v>81</v>
      </c>
      <c r="I209" s="4" t="s">
        <v>1030</v>
      </c>
      <c r="J209" s="4" t="s">
        <v>94</v>
      </c>
      <c r="K209" s="4" t="s">
        <v>64</v>
      </c>
      <c r="L209" s="4" t="s">
        <v>40</v>
      </c>
      <c r="M209" s="4" t="s">
        <v>1035</v>
      </c>
      <c r="N209" s="4" t="s">
        <v>443</v>
      </c>
      <c r="O209" s="4" t="s">
        <v>42</v>
      </c>
      <c r="P209" s="50" t="s">
        <v>43</v>
      </c>
      <c r="Q209" s="50">
        <v>23045349.264148679</v>
      </c>
      <c r="R209" s="50" t="s">
        <v>423</v>
      </c>
      <c r="S209" s="4" t="s">
        <v>43</v>
      </c>
    </row>
    <row r="210" spans="3:19" x14ac:dyDescent="0.25">
      <c r="C210" s="4" t="s">
        <v>415</v>
      </c>
      <c r="D210" s="4" t="s">
        <v>416</v>
      </c>
      <c r="E210" s="4" t="s">
        <v>416</v>
      </c>
      <c r="F210" s="4">
        <v>5</v>
      </c>
      <c r="G210" s="4" t="s">
        <v>376</v>
      </c>
      <c r="H210" s="4" t="s">
        <v>81</v>
      </c>
      <c r="I210" s="4" t="s">
        <v>1031</v>
      </c>
      <c r="J210" s="4" t="s">
        <v>63</v>
      </c>
      <c r="K210" s="4" t="s">
        <v>138</v>
      </c>
      <c r="L210" s="4" t="s">
        <v>40</v>
      </c>
      <c r="M210" s="4" t="s">
        <v>378</v>
      </c>
      <c r="N210" s="4" t="s">
        <v>415</v>
      </c>
      <c r="O210" s="4" t="s">
        <v>42</v>
      </c>
      <c r="P210" s="50" t="s">
        <v>43</v>
      </c>
      <c r="Q210" s="50">
        <v>33250319.413874671</v>
      </c>
      <c r="R210" s="50" t="s">
        <v>380</v>
      </c>
      <c r="S210" s="4" t="s">
        <v>43</v>
      </c>
    </row>
    <row r="211" spans="3:19" x14ac:dyDescent="0.25">
      <c r="C211" s="4" t="s">
        <v>915</v>
      </c>
      <c r="D211" s="4" t="s">
        <v>916</v>
      </c>
      <c r="E211" s="4" t="s">
        <v>916</v>
      </c>
      <c r="F211" s="4">
        <v>5</v>
      </c>
      <c r="G211" s="4" t="s">
        <v>376</v>
      </c>
      <c r="H211" s="4" t="s">
        <v>81</v>
      </c>
      <c r="I211" s="4" t="s">
        <v>1030</v>
      </c>
      <c r="J211" s="4" t="s">
        <v>73</v>
      </c>
      <c r="K211" s="4" t="s">
        <v>133</v>
      </c>
      <c r="L211" s="4" t="s">
        <v>40</v>
      </c>
      <c r="M211" s="4" t="s">
        <v>514</v>
      </c>
      <c r="N211" s="4" t="s">
        <v>915</v>
      </c>
      <c r="O211" s="4" t="s">
        <v>42</v>
      </c>
      <c r="P211" s="50" t="s">
        <v>43</v>
      </c>
      <c r="Q211" s="50">
        <v>28039882.043143079</v>
      </c>
      <c r="R211" s="50" t="s">
        <v>886</v>
      </c>
      <c r="S211" s="4" t="s">
        <v>43</v>
      </c>
    </row>
    <row r="212" spans="3:19" x14ac:dyDescent="0.25">
      <c r="C212" s="4" t="s">
        <v>164</v>
      </c>
      <c r="D212" s="4" t="s">
        <v>165</v>
      </c>
      <c r="E212" s="4" t="s">
        <v>165</v>
      </c>
      <c r="F212" s="4" t="s">
        <v>36</v>
      </c>
      <c r="G212" s="4" t="s">
        <v>37</v>
      </c>
      <c r="H212" s="4" t="s">
        <v>46</v>
      </c>
      <c r="I212" s="4" t="s">
        <v>1030</v>
      </c>
      <c r="J212" s="4" t="s">
        <v>58</v>
      </c>
      <c r="K212" s="4" t="s">
        <v>138</v>
      </c>
      <c r="L212" s="4" t="s">
        <v>40</v>
      </c>
      <c r="M212" s="4">
        <v>0</v>
      </c>
      <c r="N212" s="4" t="s">
        <v>164</v>
      </c>
      <c r="O212" s="4" t="s">
        <v>42</v>
      </c>
      <c r="P212" s="50" t="s">
        <v>43</v>
      </c>
      <c r="Q212" s="50" t="s">
        <v>36</v>
      </c>
      <c r="R212" s="50">
        <v>0</v>
      </c>
      <c r="S212" s="4" t="s">
        <v>36</v>
      </c>
    </row>
    <row r="213" spans="3:19" x14ac:dyDescent="0.25">
      <c r="C213" s="4" t="s">
        <v>166</v>
      </c>
      <c r="D213" s="4" t="s">
        <v>167</v>
      </c>
      <c r="E213" s="4" t="s">
        <v>167</v>
      </c>
      <c r="F213" s="4" t="s">
        <v>36</v>
      </c>
      <c r="G213" s="4" t="s">
        <v>37</v>
      </c>
      <c r="H213" s="4" t="s">
        <v>81</v>
      </c>
      <c r="I213" s="4" t="s">
        <v>1030</v>
      </c>
      <c r="J213" s="4" t="s">
        <v>58</v>
      </c>
      <c r="K213" s="4" t="s">
        <v>59</v>
      </c>
      <c r="L213" s="4" t="s">
        <v>40</v>
      </c>
      <c r="M213" s="4">
        <v>0</v>
      </c>
      <c r="N213" s="4" t="s">
        <v>166</v>
      </c>
      <c r="O213" s="4" t="s">
        <v>42</v>
      </c>
      <c r="P213" s="50" t="s">
        <v>43</v>
      </c>
      <c r="Q213" s="50" t="s">
        <v>36</v>
      </c>
      <c r="R213" s="50">
        <v>0</v>
      </c>
      <c r="S213" s="4" t="s">
        <v>36</v>
      </c>
    </row>
    <row r="214" spans="3:19" x14ac:dyDescent="0.25">
      <c r="C214" s="4" t="s">
        <v>168</v>
      </c>
      <c r="D214" s="4" t="s">
        <v>169</v>
      </c>
      <c r="E214" s="4" t="s">
        <v>170</v>
      </c>
      <c r="F214" s="4" t="s">
        <v>36</v>
      </c>
      <c r="G214" s="4" t="s">
        <v>37</v>
      </c>
      <c r="H214" s="4" t="s">
        <v>46</v>
      </c>
      <c r="I214" s="4" t="s">
        <v>1030</v>
      </c>
      <c r="J214" s="4" t="s">
        <v>160</v>
      </c>
      <c r="K214" s="4" t="s">
        <v>59</v>
      </c>
      <c r="L214" s="4" t="s">
        <v>40</v>
      </c>
      <c r="M214" s="4">
        <v>0</v>
      </c>
      <c r="N214" s="4" t="s">
        <v>168</v>
      </c>
      <c r="O214" s="4" t="s">
        <v>42</v>
      </c>
      <c r="P214" s="50" t="s">
        <v>43</v>
      </c>
      <c r="Q214" s="50" t="s">
        <v>36</v>
      </c>
      <c r="R214" s="50">
        <v>0</v>
      </c>
      <c r="S214" s="4" t="s">
        <v>36</v>
      </c>
    </row>
    <row r="215" spans="3:19" x14ac:dyDescent="0.25">
      <c r="C215" s="4" t="s">
        <v>171</v>
      </c>
      <c r="D215" s="4" t="s">
        <v>172</v>
      </c>
      <c r="E215" s="4" t="s">
        <v>172</v>
      </c>
      <c r="F215" s="4" t="s">
        <v>36</v>
      </c>
      <c r="G215" s="4" t="s">
        <v>37</v>
      </c>
      <c r="H215" s="4" t="s">
        <v>81</v>
      </c>
      <c r="I215" s="4" t="s">
        <v>1030</v>
      </c>
      <c r="J215" s="4" t="s">
        <v>89</v>
      </c>
      <c r="K215" s="4" t="s">
        <v>109</v>
      </c>
      <c r="L215" s="4" t="s">
        <v>91</v>
      </c>
      <c r="M215" s="4">
        <v>0</v>
      </c>
      <c r="N215" s="4" t="s">
        <v>171</v>
      </c>
      <c r="O215" s="4" t="s">
        <v>42</v>
      </c>
      <c r="P215" s="50" t="s">
        <v>43</v>
      </c>
      <c r="Q215" s="50" t="s">
        <v>36</v>
      </c>
      <c r="R215" s="50" t="s">
        <v>772</v>
      </c>
      <c r="S215" s="4" t="s">
        <v>36</v>
      </c>
    </row>
    <row r="216" spans="3:19" x14ac:dyDescent="0.25">
      <c r="C216" s="4" t="s">
        <v>173</v>
      </c>
      <c r="D216" s="4" t="s">
        <v>174</v>
      </c>
      <c r="E216" s="4" t="s">
        <v>174</v>
      </c>
      <c r="F216" s="4" t="s">
        <v>36</v>
      </c>
      <c r="G216" s="4" t="s">
        <v>37</v>
      </c>
      <c r="H216" s="4" t="s">
        <v>46</v>
      </c>
      <c r="I216" s="4" t="s">
        <v>1030</v>
      </c>
      <c r="J216" s="4" t="s">
        <v>73</v>
      </c>
      <c r="K216" s="4" t="s">
        <v>64</v>
      </c>
      <c r="L216" s="4" t="s">
        <v>40</v>
      </c>
      <c r="M216" s="4">
        <v>0</v>
      </c>
      <c r="N216" s="4" t="s">
        <v>173</v>
      </c>
      <c r="O216" s="4" t="s">
        <v>42</v>
      </c>
      <c r="P216" s="50" t="s">
        <v>43</v>
      </c>
      <c r="Q216" s="50" t="s">
        <v>36</v>
      </c>
      <c r="R216" s="50">
        <v>0</v>
      </c>
      <c r="S216" s="4" t="s">
        <v>36</v>
      </c>
    </row>
    <row r="217" spans="3:19" x14ac:dyDescent="0.25">
      <c r="C217" s="4" t="s">
        <v>584</v>
      </c>
      <c r="D217" s="4" t="s">
        <v>585</v>
      </c>
      <c r="E217" s="4" t="s">
        <v>585</v>
      </c>
      <c r="F217" s="4">
        <v>5</v>
      </c>
      <c r="G217" s="4" t="s">
        <v>376</v>
      </c>
      <c r="H217" s="4" t="s">
        <v>46</v>
      </c>
      <c r="I217" s="4" t="s">
        <v>1030</v>
      </c>
      <c r="J217" s="4" t="s">
        <v>331</v>
      </c>
      <c r="K217" s="4" t="s">
        <v>138</v>
      </c>
      <c r="L217" s="4" t="s">
        <v>40</v>
      </c>
      <c r="M217" s="4" t="s">
        <v>984</v>
      </c>
      <c r="N217" s="4" t="s">
        <v>584</v>
      </c>
      <c r="O217" s="4" t="s">
        <v>42</v>
      </c>
      <c r="P217" s="50" t="s">
        <v>43</v>
      </c>
      <c r="Q217" s="50">
        <v>40667367.710454151</v>
      </c>
      <c r="R217" s="50" t="s">
        <v>557</v>
      </c>
      <c r="S217" s="4" t="s">
        <v>43</v>
      </c>
    </row>
    <row r="218" spans="3:19" x14ac:dyDescent="0.25">
      <c r="C218" s="4" t="s">
        <v>917</v>
      </c>
      <c r="D218" s="4" t="s">
        <v>918</v>
      </c>
      <c r="E218" s="4" t="s">
        <v>918</v>
      </c>
      <c r="F218" s="4">
        <v>5</v>
      </c>
      <c r="G218" s="4" t="s">
        <v>376</v>
      </c>
      <c r="H218" s="4" t="s">
        <v>46</v>
      </c>
      <c r="I218" s="4" t="s">
        <v>1030</v>
      </c>
      <c r="J218" s="4" t="s">
        <v>73</v>
      </c>
      <c r="K218" s="4" t="s">
        <v>605</v>
      </c>
      <c r="L218" s="4" t="s">
        <v>40</v>
      </c>
      <c r="M218" s="4" t="s">
        <v>514</v>
      </c>
      <c r="N218" s="4" t="s">
        <v>917</v>
      </c>
      <c r="O218" s="4" t="s">
        <v>42</v>
      </c>
      <c r="P218" s="50" t="s">
        <v>43</v>
      </c>
      <c r="Q218" s="50">
        <v>33263880.015893098</v>
      </c>
      <c r="R218" s="50" t="s">
        <v>886</v>
      </c>
      <c r="S218" s="4" t="s">
        <v>43</v>
      </c>
    </row>
    <row r="219" spans="3:19" x14ac:dyDescent="0.25">
      <c r="C219" s="4" t="s">
        <v>877</v>
      </c>
      <c r="D219" s="4" t="s">
        <v>878</v>
      </c>
      <c r="E219" s="4" t="s">
        <v>878</v>
      </c>
      <c r="F219" s="4">
        <v>5</v>
      </c>
      <c r="G219" s="4" t="s">
        <v>376</v>
      </c>
      <c r="H219" s="4" t="s">
        <v>81</v>
      </c>
      <c r="I219" s="4" t="s">
        <v>1030</v>
      </c>
      <c r="J219" s="4" t="s">
        <v>132</v>
      </c>
      <c r="K219" s="4" t="s">
        <v>856</v>
      </c>
      <c r="L219" s="4" t="s">
        <v>40</v>
      </c>
      <c r="M219" s="4" t="s">
        <v>1035</v>
      </c>
      <c r="N219" s="4" t="s">
        <v>877</v>
      </c>
      <c r="O219" s="4" t="s">
        <v>42</v>
      </c>
      <c r="P219" s="50" t="s">
        <v>43</v>
      </c>
      <c r="Q219" s="50">
        <v>38650567.800121106</v>
      </c>
      <c r="R219" s="50" t="s">
        <v>847</v>
      </c>
      <c r="S219" s="4" t="s">
        <v>43</v>
      </c>
    </row>
    <row r="220" spans="3:19" x14ac:dyDescent="0.25">
      <c r="C220" s="4" t="s">
        <v>586</v>
      </c>
      <c r="D220" s="4" t="s">
        <v>587</v>
      </c>
      <c r="E220" s="4" t="s">
        <v>587</v>
      </c>
      <c r="F220" s="4">
        <v>5</v>
      </c>
      <c r="G220" s="4" t="s">
        <v>376</v>
      </c>
      <c r="H220" s="4" t="s">
        <v>46</v>
      </c>
      <c r="I220" s="4" t="s">
        <v>1030</v>
      </c>
      <c r="J220" s="4" t="s">
        <v>331</v>
      </c>
      <c r="K220" s="4" t="s">
        <v>138</v>
      </c>
      <c r="L220" s="4" t="s">
        <v>40</v>
      </c>
      <c r="M220" s="4" t="s">
        <v>984</v>
      </c>
      <c r="N220" s="4" t="s">
        <v>586</v>
      </c>
      <c r="O220" s="4" t="s">
        <v>42</v>
      </c>
      <c r="P220" s="50" t="s">
        <v>43</v>
      </c>
      <c r="Q220" s="50">
        <v>66987940.808253437</v>
      </c>
      <c r="R220" s="50" t="s">
        <v>557</v>
      </c>
      <c r="S220" s="4" t="s">
        <v>43</v>
      </c>
    </row>
    <row r="221" spans="3:19" x14ac:dyDescent="0.25">
      <c r="C221" s="4" t="s">
        <v>175</v>
      </c>
      <c r="D221" s="4" t="s">
        <v>176</v>
      </c>
      <c r="E221" s="4" t="s">
        <v>176</v>
      </c>
      <c r="F221" s="4" t="s">
        <v>36</v>
      </c>
      <c r="G221" s="4" t="s">
        <v>37</v>
      </c>
      <c r="H221" s="4" t="s">
        <v>46</v>
      </c>
      <c r="I221" s="4" t="s">
        <v>1030</v>
      </c>
      <c r="J221" s="4" t="s">
        <v>132</v>
      </c>
      <c r="K221" s="4" t="s">
        <v>64</v>
      </c>
      <c r="L221" s="4" t="s">
        <v>40</v>
      </c>
      <c r="M221" s="4">
        <v>0</v>
      </c>
      <c r="N221" s="4" t="s">
        <v>175</v>
      </c>
      <c r="O221" s="4" t="s">
        <v>42</v>
      </c>
      <c r="P221" s="50" t="s">
        <v>43</v>
      </c>
      <c r="Q221" s="50" t="s">
        <v>36</v>
      </c>
      <c r="R221" s="50">
        <v>0</v>
      </c>
      <c r="S221" s="4" t="s">
        <v>36</v>
      </c>
    </row>
    <row r="222" spans="3:19" x14ac:dyDescent="0.25">
      <c r="C222" s="4" t="s">
        <v>177</v>
      </c>
      <c r="D222" s="4" t="s">
        <v>178</v>
      </c>
      <c r="E222" s="4" t="s">
        <v>178</v>
      </c>
      <c r="F222" s="4" t="s">
        <v>36</v>
      </c>
      <c r="G222" s="4" t="s">
        <v>37</v>
      </c>
      <c r="H222" s="4" t="s">
        <v>81</v>
      </c>
      <c r="I222" s="4" t="s">
        <v>1030</v>
      </c>
      <c r="J222" s="4" t="s">
        <v>84</v>
      </c>
      <c r="K222" s="4" t="s">
        <v>179</v>
      </c>
      <c r="L222" s="4" t="s">
        <v>55</v>
      </c>
      <c r="M222" s="4">
        <v>0</v>
      </c>
      <c r="N222" s="4" t="s">
        <v>177</v>
      </c>
      <c r="O222" s="4" t="s">
        <v>42</v>
      </c>
      <c r="P222" s="50" t="s">
        <v>43</v>
      </c>
      <c r="Q222" s="50" t="s">
        <v>36</v>
      </c>
      <c r="R222" s="50">
        <v>0</v>
      </c>
      <c r="S222" s="4" t="s">
        <v>36</v>
      </c>
    </row>
    <row r="223" spans="3:19" x14ac:dyDescent="0.25">
      <c r="C223" s="4" t="s">
        <v>180</v>
      </c>
      <c r="D223" s="4" t="s">
        <v>181</v>
      </c>
      <c r="E223" s="4" t="s">
        <v>181</v>
      </c>
      <c r="F223" s="4" t="s">
        <v>36</v>
      </c>
      <c r="G223" s="4" t="s">
        <v>37</v>
      </c>
      <c r="H223" s="4" t="s">
        <v>81</v>
      </c>
      <c r="I223" s="4" t="s">
        <v>1030</v>
      </c>
      <c r="J223" s="4" t="s">
        <v>84</v>
      </c>
      <c r="K223" s="4" t="s">
        <v>182</v>
      </c>
      <c r="L223" s="4" t="s">
        <v>55</v>
      </c>
      <c r="M223" s="4">
        <v>0</v>
      </c>
      <c r="N223" s="4" t="s">
        <v>180</v>
      </c>
      <c r="O223" s="4" t="s">
        <v>42</v>
      </c>
      <c r="P223" s="50" t="s">
        <v>43</v>
      </c>
      <c r="Q223" s="50" t="s">
        <v>36</v>
      </c>
      <c r="R223" s="50">
        <v>0</v>
      </c>
      <c r="S223" s="4" t="s">
        <v>36</v>
      </c>
    </row>
    <row r="224" spans="3:19" x14ac:dyDescent="0.25">
      <c r="C224" s="4" t="s">
        <v>588</v>
      </c>
      <c r="D224" s="4" t="s">
        <v>589</v>
      </c>
      <c r="E224" s="4" t="s">
        <v>589</v>
      </c>
      <c r="F224" s="4">
        <v>5</v>
      </c>
      <c r="G224" s="4" t="s">
        <v>376</v>
      </c>
      <c r="H224" s="4" t="s">
        <v>46</v>
      </c>
      <c r="I224" s="4" t="s">
        <v>1030</v>
      </c>
      <c r="J224" s="4" t="s">
        <v>331</v>
      </c>
      <c r="K224" s="4" t="s">
        <v>138</v>
      </c>
      <c r="L224" s="4" t="s">
        <v>40</v>
      </c>
      <c r="M224" s="4" t="s">
        <v>984</v>
      </c>
      <c r="N224" s="4" t="s">
        <v>588</v>
      </c>
      <c r="O224" s="4" t="s">
        <v>42</v>
      </c>
      <c r="P224" s="50" t="s">
        <v>43</v>
      </c>
      <c r="Q224" s="50">
        <v>52283549.188641325</v>
      </c>
      <c r="R224" s="50" t="s">
        <v>557</v>
      </c>
      <c r="S224" s="4" t="s">
        <v>43</v>
      </c>
    </row>
    <row r="225" spans="3:19" x14ac:dyDescent="0.25">
      <c r="C225" s="4" t="s">
        <v>183</v>
      </c>
      <c r="D225" s="4" t="s">
        <v>184</v>
      </c>
      <c r="E225" s="4" t="s">
        <v>184</v>
      </c>
      <c r="F225" s="4" t="s">
        <v>36</v>
      </c>
      <c r="G225" s="4" t="s">
        <v>37</v>
      </c>
      <c r="H225" s="4" t="s">
        <v>81</v>
      </c>
      <c r="I225" s="4" t="s">
        <v>1030</v>
      </c>
      <c r="J225" s="4">
        <v>0</v>
      </c>
      <c r="K225" s="4" t="s">
        <v>64</v>
      </c>
      <c r="L225" s="4" t="s">
        <v>40</v>
      </c>
      <c r="M225" s="4">
        <v>0</v>
      </c>
      <c r="N225" s="4" t="s">
        <v>183</v>
      </c>
      <c r="O225" s="4" t="s">
        <v>42</v>
      </c>
      <c r="P225" s="50" t="s">
        <v>43</v>
      </c>
      <c r="Q225" s="50" t="s">
        <v>36</v>
      </c>
      <c r="R225" s="50">
        <v>0</v>
      </c>
      <c r="S225" s="4" t="s">
        <v>36</v>
      </c>
    </row>
    <row r="226" spans="3:19" x14ac:dyDescent="0.25">
      <c r="C226" s="4" t="s">
        <v>185</v>
      </c>
      <c r="D226" s="4" t="s">
        <v>186</v>
      </c>
      <c r="E226" s="4" t="s">
        <v>186</v>
      </c>
      <c r="F226" s="4" t="s">
        <v>36</v>
      </c>
      <c r="G226" s="4" t="s">
        <v>37</v>
      </c>
      <c r="H226" s="4" t="s">
        <v>46</v>
      </c>
      <c r="I226" s="4" t="s">
        <v>1030</v>
      </c>
      <c r="J226" s="4" t="s">
        <v>94</v>
      </c>
      <c r="K226" s="4" t="s">
        <v>64</v>
      </c>
      <c r="L226" s="4" t="s">
        <v>40</v>
      </c>
      <c r="M226" s="4">
        <v>0</v>
      </c>
      <c r="N226" s="4" t="s">
        <v>185</v>
      </c>
      <c r="O226" s="4" t="s">
        <v>42</v>
      </c>
      <c r="P226" s="50" t="s">
        <v>43</v>
      </c>
      <c r="Q226" s="50" t="s">
        <v>36</v>
      </c>
      <c r="R226" s="50">
        <v>0</v>
      </c>
      <c r="S226" s="4" t="s">
        <v>36</v>
      </c>
    </row>
    <row r="227" spans="3:19" x14ac:dyDescent="0.25">
      <c r="C227" s="4" t="s">
        <v>445</v>
      </c>
      <c r="D227" s="4" t="s">
        <v>446</v>
      </c>
      <c r="E227" s="4" t="s">
        <v>446</v>
      </c>
      <c r="F227" s="4">
        <v>5</v>
      </c>
      <c r="G227" s="4" t="s">
        <v>376</v>
      </c>
      <c r="H227" s="4" t="s">
        <v>46</v>
      </c>
      <c r="I227" s="4" t="s">
        <v>1030</v>
      </c>
      <c r="J227" s="4" t="s">
        <v>94</v>
      </c>
      <c r="K227" s="4" t="s">
        <v>64</v>
      </c>
      <c r="L227" s="4" t="s">
        <v>40</v>
      </c>
      <c r="M227" s="4" t="s">
        <v>1035</v>
      </c>
      <c r="N227" s="4" t="s">
        <v>445</v>
      </c>
      <c r="O227" s="4" t="s">
        <v>42</v>
      </c>
      <c r="P227" s="50" t="s">
        <v>43</v>
      </c>
      <c r="Q227" s="50">
        <v>27495403.535830081</v>
      </c>
      <c r="R227" s="50" t="s">
        <v>423</v>
      </c>
      <c r="S227" s="4" t="s">
        <v>43</v>
      </c>
    </row>
    <row r="228" spans="3:19" x14ac:dyDescent="0.25">
      <c r="C228" s="4" t="s">
        <v>817</v>
      </c>
      <c r="D228" s="4" t="s">
        <v>818</v>
      </c>
      <c r="E228" s="4" t="s">
        <v>818</v>
      </c>
      <c r="F228" s="4">
        <v>5</v>
      </c>
      <c r="G228" s="4" t="s">
        <v>376</v>
      </c>
      <c r="H228" s="4" t="s">
        <v>46</v>
      </c>
      <c r="I228" s="4" t="s">
        <v>1030</v>
      </c>
      <c r="J228" s="4" t="s">
        <v>146</v>
      </c>
      <c r="K228" s="4" t="s">
        <v>59</v>
      </c>
      <c r="L228" s="4" t="s">
        <v>40</v>
      </c>
      <c r="M228" s="4" t="s">
        <v>1035</v>
      </c>
      <c r="N228" s="4" t="s">
        <v>817</v>
      </c>
      <c r="O228" s="4" t="s">
        <v>42</v>
      </c>
      <c r="P228" s="50" t="s">
        <v>43</v>
      </c>
      <c r="Q228" s="50">
        <v>39598027.949558318</v>
      </c>
      <c r="R228" s="50" t="s">
        <v>799</v>
      </c>
      <c r="S228" s="4" t="s">
        <v>43</v>
      </c>
    </row>
    <row r="229" spans="3:19" x14ac:dyDescent="0.25">
      <c r="C229" s="4" t="s">
        <v>187</v>
      </c>
      <c r="D229" s="4" t="s">
        <v>188</v>
      </c>
      <c r="E229" s="4" t="s">
        <v>188</v>
      </c>
      <c r="F229" s="4" t="s">
        <v>36</v>
      </c>
      <c r="G229" s="4" t="s">
        <v>37</v>
      </c>
      <c r="H229" s="4" t="s">
        <v>81</v>
      </c>
      <c r="I229" s="4" t="s">
        <v>1030</v>
      </c>
      <c r="J229" s="4" t="s">
        <v>160</v>
      </c>
      <c r="K229" s="4" t="s">
        <v>64</v>
      </c>
      <c r="L229" s="4" t="s">
        <v>40</v>
      </c>
      <c r="M229" s="4">
        <v>0</v>
      </c>
      <c r="N229" s="4" t="s">
        <v>187</v>
      </c>
      <c r="O229" s="4" t="s">
        <v>42</v>
      </c>
      <c r="P229" s="50" t="s">
        <v>43</v>
      </c>
      <c r="Q229" s="50" t="s">
        <v>36</v>
      </c>
      <c r="R229" s="50">
        <v>0</v>
      </c>
      <c r="S229" s="4" t="s">
        <v>36</v>
      </c>
    </row>
    <row r="230" spans="3:19" x14ac:dyDescent="0.25">
      <c r="C230" s="4" t="s">
        <v>189</v>
      </c>
      <c r="D230" s="4" t="s">
        <v>190</v>
      </c>
      <c r="E230" s="4" t="s">
        <v>190</v>
      </c>
      <c r="F230" s="4" t="s">
        <v>36</v>
      </c>
      <c r="G230" s="4" t="s">
        <v>37</v>
      </c>
      <c r="H230" s="4" t="s">
        <v>81</v>
      </c>
      <c r="I230" s="4" t="s">
        <v>1030</v>
      </c>
      <c r="J230" s="4" t="s">
        <v>73</v>
      </c>
      <c r="K230" s="4" t="s">
        <v>64</v>
      </c>
      <c r="L230" s="4" t="s">
        <v>40</v>
      </c>
      <c r="M230" s="4">
        <v>0</v>
      </c>
      <c r="N230" s="4" t="s">
        <v>189</v>
      </c>
      <c r="O230" s="4" t="s">
        <v>42</v>
      </c>
      <c r="P230" s="50" t="s">
        <v>43</v>
      </c>
      <c r="Q230" s="50" t="s">
        <v>36</v>
      </c>
      <c r="R230" s="50">
        <v>0</v>
      </c>
      <c r="S230" s="4" t="s">
        <v>36</v>
      </c>
    </row>
    <row r="231" spans="3:19" x14ac:dyDescent="0.25">
      <c r="C231" s="4" t="s">
        <v>602</v>
      </c>
      <c r="D231" s="4" t="s">
        <v>603</v>
      </c>
      <c r="E231" s="4" t="s">
        <v>604</v>
      </c>
      <c r="F231" s="4">
        <v>5</v>
      </c>
      <c r="G231" s="4" t="s">
        <v>376</v>
      </c>
      <c r="H231" s="4" t="s">
        <v>81</v>
      </c>
      <c r="I231" s="4" t="s">
        <v>1030</v>
      </c>
      <c r="J231" s="4" t="s">
        <v>50</v>
      </c>
      <c r="K231" s="4" t="s">
        <v>605</v>
      </c>
      <c r="L231" s="4" t="s">
        <v>40</v>
      </c>
      <c r="M231" s="4" t="s">
        <v>514</v>
      </c>
      <c r="N231" s="4" t="s">
        <v>602</v>
      </c>
      <c r="O231" s="4" t="s">
        <v>42</v>
      </c>
      <c r="P231" s="50" t="s">
        <v>43</v>
      </c>
      <c r="Q231" s="50">
        <v>58293690.030571193</v>
      </c>
      <c r="R231" s="50" t="s">
        <v>597</v>
      </c>
      <c r="S231" s="4" t="s">
        <v>440</v>
      </c>
    </row>
    <row r="232" spans="3:19" x14ac:dyDescent="0.25">
      <c r="C232" s="4" t="s">
        <v>191</v>
      </c>
      <c r="D232" s="4" t="s">
        <v>192</v>
      </c>
      <c r="E232" s="4" t="s">
        <v>193</v>
      </c>
      <c r="F232" s="4" t="s">
        <v>36</v>
      </c>
      <c r="G232" s="4" t="s">
        <v>37</v>
      </c>
      <c r="H232" s="4" t="s">
        <v>81</v>
      </c>
      <c r="I232" s="4" t="s">
        <v>1030</v>
      </c>
      <c r="J232" s="4" t="s">
        <v>94</v>
      </c>
      <c r="K232" s="4" t="s">
        <v>64</v>
      </c>
      <c r="L232" s="4" t="s">
        <v>40</v>
      </c>
      <c r="M232" s="4">
        <v>0</v>
      </c>
      <c r="N232" s="4" t="s">
        <v>191</v>
      </c>
      <c r="O232" s="4" t="s">
        <v>42</v>
      </c>
      <c r="P232" s="50" t="s">
        <v>43</v>
      </c>
      <c r="Q232" s="50" t="s">
        <v>36</v>
      </c>
      <c r="R232" s="50">
        <v>0</v>
      </c>
      <c r="S232" s="4" t="s">
        <v>36</v>
      </c>
    </row>
    <row r="233" spans="3:19" x14ac:dyDescent="0.25">
      <c r="C233" s="4" t="s">
        <v>194</v>
      </c>
      <c r="D233" s="4" t="s">
        <v>195</v>
      </c>
      <c r="E233" s="4" t="s">
        <v>196</v>
      </c>
      <c r="F233" s="4" t="s">
        <v>36</v>
      </c>
      <c r="G233" s="4" t="s">
        <v>37</v>
      </c>
      <c r="H233" s="4" t="s">
        <v>88</v>
      </c>
      <c r="I233" s="4" t="s">
        <v>1030</v>
      </c>
      <c r="J233" s="4" t="s">
        <v>84</v>
      </c>
      <c r="K233" s="4" t="s">
        <v>85</v>
      </c>
      <c r="L233" s="4" t="s">
        <v>55</v>
      </c>
      <c r="M233" s="4">
        <v>0</v>
      </c>
      <c r="N233" s="4" t="s">
        <v>194</v>
      </c>
      <c r="O233" s="4" t="s">
        <v>42</v>
      </c>
      <c r="P233" s="50" t="s">
        <v>43</v>
      </c>
      <c r="Q233" s="50" t="s">
        <v>36</v>
      </c>
      <c r="R233" s="50">
        <v>0</v>
      </c>
      <c r="S233" s="4" t="s">
        <v>36</v>
      </c>
    </row>
    <row r="234" spans="3:19" x14ac:dyDescent="0.25">
      <c r="C234" s="4" t="s">
        <v>719</v>
      </c>
      <c r="D234" s="4" t="s">
        <v>720</v>
      </c>
      <c r="E234" s="4" t="s">
        <v>721</v>
      </c>
      <c r="F234" s="4">
        <v>5</v>
      </c>
      <c r="G234" s="4" t="s">
        <v>376</v>
      </c>
      <c r="H234" s="4" t="s">
        <v>81</v>
      </c>
      <c r="I234" s="4" t="s">
        <v>1031</v>
      </c>
      <c r="J234" s="4" t="s">
        <v>84</v>
      </c>
      <c r="K234" s="4" t="s">
        <v>722</v>
      </c>
      <c r="L234" s="4" t="s">
        <v>55</v>
      </c>
      <c r="M234" s="4" t="s">
        <v>378</v>
      </c>
      <c r="N234" s="4" t="s">
        <v>719</v>
      </c>
      <c r="O234" s="4" t="s">
        <v>42</v>
      </c>
      <c r="P234" s="50" t="s">
        <v>43</v>
      </c>
      <c r="Q234" s="50">
        <v>33443205.533291884</v>
      </c>
      <c r="R234" s="50" t="s">
        <v>702</v>
      </c>
      <c r="S234" s="4" t="s">
        <v>43</v>
      </c>
    </row>
    <row r="235" spans="3:19" x14ac:dyDescent="0.25">
      <c r="C235" s="4" t="s">
        <v>197</v>
      </c>
      <c r="D235" s="4" t="s">
        <v>198</v>
      </c>
      <c r="E235" s="4" t="s">
        <v>198</v>
      </c>
      <c r="F235" s="4" t="s">
        <v>36</v>
      </c>
      <c r="G235" s="4" t="s">
        <v>37</v>
      </c>
      <c r="H235" s="4" t="s">
        <v>46</v>
      </c>
      <c r="I235" s="4" t="s">
        <v>1030</v>
      </c>
      <c r="J235" s="4" t="s">
        <v>63</v>
      </c>
      <c r="K235" s="4" t="s">
        <v>138</v>
      </c>
      <c r="L235" s="4" t="s">
        <v>40</v>
      </c>
      <c r="M235" s="4">
        <v>0</v>
      </c>
      <c r="N235" s="4" t="s">
        <v>197</v>
      </c>
      <c r="O235" s="4" t="s">
        <v>42</v>
      </c>
      <c r="P235" s="50" t="s">
        <v>43</v>
      </c>
      <c r="Q235" s="50" t="s">
        <v>36</v>
      </c>
      <c r="R235" s="50">
        <v>0</v>
      </c>
      <c r="S235" s="4" t="s">
        <v>36</v>
      </c>
    </row>
    <row r="236" spans="3:19" x14ac:dyDescent="0.25">
      <c r="C236" s="4" t="s">
        <v>199</v>
      </c>
      <c r="D236" s="4" t="s">
        <v>200</v>
      </c>
      <c r="E236" s="4" t="s">
        <v>201</v>
      </c>
      <c r="F236" s="4" t="s">
        <v>36</v>
      </c>
      <c r="G236" s="4" t="s">
        <v>37</v>
      </c>
      <c r="H236" s="4" t="s">
        <v>202</v>
      </c>
      <c r="I236" s="4" t="s">
        <v>1030</v>
      </c>
      <c r="J236" s="4">
        <v>0</v>
      </c>
      <c r="K236" s="4" t="s">
        <v>59</v>
      </c>
      <c r="L236" s="4" t="s">
        <v>40</v>
      </c>
      <c r="M236" s="4">
        <v>0</v>
      </c>
      <c r="N236" s="4" t="s">
        <v>199</v>
      </c>
      <c r="O236" s="4" t="s">
        <v>42</v>
      </c>
      <c r="P236" s="50" t="s">
        <v>43</v>
      </c>
      <c r="Q236" s="50" t="s">
        <v>36</v>
      </c>
      <c r="R236" s="50">
        <v>0</v>
      </c>
      <c r="S236" s="4" t="s">
        <v>36</v>
      </c>
    </row>
    <row r="237" spans="3:19" x14ac:dyDescent="0.25">
      <c r="C237" s="4" t="s">
        <v>723</v>
      </c>
      <c r="D237" s="4" t="s">
        <v>724</v>
      </c>
      <c r="E237" s="4" t="s">
        <v>725</v>
      </c>
      <c r="F237" s="4">
        <v>5</v>
      </c>
      <c r="G237" s="4" t="s">
        <v>376</v>
      </c>
      <c r="H237" s="4" t="s">
        <v>46</v>
      </c>
      <c r="I237" s="4" t="s">
        <v>1031</v>
      </c>
      <c r="J237" s="4" t="s">
        <v>84</v>
      </c>
      <c r="K237" s="4" t="s">
        <v>54</v>
      </c>
      <c r="L237" s="4" t="s">
        <v>55</v>
      </c>
      <c r="M237" s="4" t="s">
        <v>378</v>
      </c>
      <c r="N237" s="4" t="s">
        <v>723</v>
      </c>
      <c r="O237" s="4" t="s">
        <v>42</v>
      </c>
      <c r="P237" s="50" t="s">
        <v>440</v>
      </c>
      <c r="Q237" s="50">
        <v>35468481.783305638</v>
      </c>
      <c r="R237" s="50" t="s">
        <v>702</v>
      </c>
      <c r="S237" s="4" t="s">
        <v>43</v>
      </c>
    </row>
    <row r="238" spans="3:19" x14ac:dyDescent="0.25">
      <c r="C238" s="4" t="s">
        <v>819</v>
      </c>
      <c r="D238" s="4" t="s">
        <v>820</v>
      </c>
      <c r="E238" s="4" t="s">
        <v>820</v>
      </c>
      <c r="F238" s="4">
        <v>6</v>
      </c>
      <c r="G238" s="4" t="s">
        <v>376</v>
      </c>
      <c r="H238" s="4" t="s">
        <v>46</v>
      </c>
      <c r="I238" s="4" t="s">
        <v>1030</v>
      </c>
      <c r="J238" s="4" t="s">
        <v>146</v>
      </c>
      <c r="K238" s="4" t="s">
        <v>59</v>
      </c>
      <c r="L238" s="4" t="s">
        <v>40</v>
      </c>
      <c r="M238" s="4" t="s">
        <v>1035</v>
      </c>
      <c r="N238" s="4" t="s">
        <v>819</v>
      </c>
      <c r="O238" s="4" t="s">
        <v>42</v>
      </c>
      <c r="P238" s="50" t="s">
        <v>43</v>
      </c>
      <c r="Q238" s="50">
        <v>59127309.549791224</v>
      </c>
      <c r="R238" s="50" t="s">
        <v>799</v>
      </c>
      <c r="S238" s="4" t="s">
        <v>43</v>
      </c>
    </row>
    <row r="239" spans="3:19" x14ac:dyDescent="0.25">
      <c r="C239" s="4" t="s">
        <v>821</v>
      </c>
      <c r="D239" s="4" t="s">
        <v>822</v>
      </c>
      <c r="E239" s="4" t="s">
        <v>822</v>
      </c>
      <c r="F239" s="4">
        <v>5</v>
      </c>
      <c r="G239" s="4" t="s">
        <v>376</v>
      </c>
      <c r="H239" s="4" t="s">
        <v>46</v>
      </c>
      <c r="I239" s="4" t="s">
        <v>1030</v>
      </c>
      <c r="J239" s="4" t="s">
        <v>146</v>
      </c>
      <c r="K239" s="4" t="s">
        <v>59</v>
      </c>
      <c r="L239" s="4" t="s">
        <v>40</v>
      </c>
      <c r="M239" s="4" t="s">
        <v>1035</v>
      </c>
      <c r="N239" s="4" t="s">
        <v>821</v>
      </c>
      <c r="O239" s="4" t="s">
        <v>42</v>
      </c>
      <c r="P239" s="50" t="s">
        <v>43</v>
      </c>
      <c r="Q239" s="50">
        <v>51932073.596709132</v>
      </c>
      <c r="R239" s="50" t="s">
        <v>799</v>
      </c>
      <c r="S239" s="4" t="s">
        <v>43</v>
      </c>
    </row>
    <row r="240" spans="3:19" x14ac:dyDescent="0.25">
      <c r="C240" s="4" t="s">
        <v>203</v>
      </c>
      <c r="D240" s="4" t="s">
        <v>204</v>
      </c>
      <c r="E240" s="4" t="s">
        <v>204</v>
      </c>
      <c r="F240" s="4" t="s">
        <v>36</v>
      </c>
      <c r="G240" s="4" t="s">
        <v>37</v>
      </c>
      <c r="H240" s="4" t="s">
        <v>46</v>
      </c>
      <c r="I240" s="4" t="s">
        <v>1030</v>
      </c>
      <c r="J240" s="4">
        <v>0</v>
      </c>
      <c r="K240" s="4" t="s">
        <v>205</v>
      </c>
      <c r="L240" s="4" t="s">
        <v>40</v>
      </c>
      <c r="M240" s="4">
        <v>0</v>
      </c>
      <c r="N240" s="4" t="s">
        <v>203</v>
      </c>
      <c r="O240" s="4" t="s">
        <v>42</v>
      </c>
      <c r="P240" s="50" t="s">
        <v>43</v>
      </c>
      <c r="Q240" s="50" t="s">
        <v>36</v>
      </c>
      <c r="R240" s="50">
        <v>0</v>
      </c>
      <c r="S240" s="4" t="s">
        <v>36</v>
      </c>
    </row>
    <row r="241" spans="3:19" x14ac:dyDescent="0.25">
      <c r="C241" s="4" t="s">
        <v>206</v>
      </c>
      <c r="D241" s="4" t="s">
        <v>207</v>
      </c>
      <c r="E241" s="4" t="s">
        <v>207</v>
      </c>
      <c r="F241" s="4" t="s">
        <v>36</v>
      </c>
      <c r="G241" s="4" t="s">
        <v>37</v>
      </c>
      <c r="H241" s="4" t="s">
        <v>46</v>
      </c>
      <c r="I241" s="4" t="s">
        <v>1030</v>
      </c>
      <c r="J241" s="4" t="s">
        <v>58</v>
      </c>
      <c r="K241" s="4" t="s">
        <v>64</v>
      </c>
      <c r="L241" s="4" t="s">
        <v>40</v>
      </c>
      <c r="M241" s="4">
        <v>0</v>
      </c>
      <c r="N241" s="4" t="s">
        <v>206</v>
      </c>
      <c r="O241" s="4" t="s">
        <v>42</v>
      </c>
      <c r="P241" s="50" t="s">
        <v>43</v>
      </c>
      <c r="Q241" s="50" t="s">
        <v>36</v>
      </c>
      <c r="R241" s="50">
        <v>0</v>
      </c>
      <c r="S241" s="4" t="s">
        <v>36</v>
      </c>
    </row>
    <row r="242" spans="3:19" x14ac:dyDescent="0.25">
      <c r="C242" s="4" t="s">
        <v>758</v>
      </c>
      <c r="D242" s="4" t="s">
        <v>759</v>
      </c>
      <c r="E242" s="4" t="s">
        <v>760</v>
      </c>
      <c r="F242" s="4">
        <v>5</v>
      </c>
      <c r="G242" s="4" t="s">
        <v>376</v>
      </c>
      <c r="H242" s="4" t="s">
        <v>81</v>
      </c>
      <c r="I242" s="4" t="s">
        <v>1031</v>
      </c>
      <c r="J242" s="4" t="s">
        <v>84</v>
      </c>
      <c r="K242" s="4" t="s">
        <v>54</v>
      </c>
      <c r="L242" s="4" t="s">
        <v>55</v>
      </c>
      <c r="M242" s="4" t="s">
        <v>378</v>
      </c>
      <c r="N242" s="4" t="s">
        <v>758</v>
      </c>
      <c r="O242" s="4" t="s">
        <v>42</v>
      </c>
      <c r="P242" s="50" t="s">
        <v>43</v>
      </c>
      <c r="Q242" s="50">
        <v>35767177.11239627</v>
      </c>
      <c r="R242" s="50" t="s">
        <v>741</v>
      </c>
      <c r="S242" s="4" t="s">
        <v>43</v>
      </c>
    </row>
    <row r="243" spans="3:19" x14ac:dyDescent="0.25">
      <c r="C243" s="4" t="s">
        <v>208</v>
      </c>
      <c r="D243" s="4" t="s">
        <v>209</v>
      </c>
      <c r="E243" s="4" t="s">
        <v>209</v>
      </c>
      <c r="F243" s="4" t="s">
        <v>36</v>
      </c>
      <c r="G243" s="4" t="s">
        <v>37</v>
      </c>
      <c r="H243" s="4" t="s">
        <v>81</v>
      </c>
      <c r="I243" s="4" t="s">
        <v>1030</v>
      </c>
      <c r="J243" s="4">
        <v>0</v>
      </c>
      <c r="K243" s="4" t="s">
        <v>78</v>
      </c>
      <c r="L243" s="4" t="s">
        <v>40</v>
      </c>
      <c r="M243" s="4">
        <v>0</v>
      </c>
      <c r="N243" s="4" t="s">
        <v>208</v>
      </c>
      <c r="O243" s="4" t="s">
        <v>42</v>
      </c>
      <c r="P243" s="50" t="s">
        <v>43</v>
      </c>
      <c r="Q243" s="50" t="s">
        <v>36</v>
      </c>
      <c r="R243" s="50">
        <v>0</v>
      </c>
      <c r="S243" s="4" t="s">
        <v>36</v>
      </c>
    </row>
    <row r="244" spans="3:19" x14ac:dyDescent="0.25">
      <c r="C244" s="4" t="s">
        <v>606</v>
      </c>
      <c r="D244" s="4" t="s">
        <v>607</v>
      </c>
      <c r="E244" s="4" t="s">
        <v>608</v>
      </c>
      <c r="F244" s="4">
        <v>5</v>
      </c>
      <c r="G244" s="4" t="s">
        <v>376</v>
      </c>
      <c r="H244" s="4" t="s">
        <v>46</v>
      </c>
      <c r="I244" s="4" t="s">
        <v>1030</v>
      </c>
      <c r="J244" s="4" t="s">
        <v>50</v>
      </c>
      <c r="K244" s="4" t="s">
        <v>609</v>
      </c>
      <c r="L244" s="4" t="s">
        <v>40</v>
      </c>
      <c r="M244" s="4" t="s">
        <v>514</v>
      </c>
      <c r="N244" s="4" t="s">
        <v>606</v>
      </c>
      <c r="O244" s="4" t="s">
        <v>42</v>
      </c>
      <c r="P244" s="50" t="s">
        <v>43</v>
      </c>
      <c r="Q244" s="50">
        <v>34463726.621425137</v>
      </c>
      <c r="R244" s="50" t="s">
        <v>597</v>
      </c>
      <c r="S244" s="4" t="s">
        <v>43</v>
      </c>
    </row>
    <row r="245" spans="3:19" x14ac:dyDescent="0.25">
      <c r="C245" s="4" t="s">
        <v>210</v>
      </c>
      <c r="D245" s="4" t="s">
        <v>211</v>
      </c>
      <c r="E245" s="4" t="s">
        <v>212</v>
      </c>
      <c r="F245" s="4" t="s">
        <v>36</v>
      </c>
      <c r="G245" s="4" t="s">
        <v>37</v>
      </c>
      <c r="H245" s="4" t="s">
        <v>46</v>
      </c>
      <c r="I245" s="4" t="s">
        <v>1030</v>
      </c>
      <c r="J245" s="4">
        <v>0</v>
      </c>
      <c r="K245" s="4" t="s">
        <v>59</v>
      </c>
      <c r="L245" s="4" t="s">
        <v>40</v>
      </c>
      <c r="M245" s="4">
        <v>0</v>
      </c>
      <c r="N245" s="4" t="s">
        <v>210</v>
      </c>
      <c r="O245" s="4" t="s">
        <v>42</v>
      </c>
      <c r="P245" s="50" t="s">
        <v>43</v>
      </c>
      <c r="Q245" s="50" t="s">
        <v>36</v>
      </c>
      <c r="R245" s="50">
        <v>0</v>
      </c>
      <c r="S245" s="4" t="s">
        <v>36</v>
      </c>
    </row>
    <row r="246" spans="3:19" x14ac:dyDescent="0.25">
      <c r="C246" s="4" t="s">
        <v>213</v>
      </c>
      <c r="D246" s="4" t="s">
        <v>214</v>
      </c>
      <c r="E246" s="4" t="s">
        <v>214</v>
      </c>
      <c r="F246" s="4" t="s">
        <v>36</v>
      </c>
      <c r="G246" s="4" t="s">
        <v>37</v>
      </c>
      <c r="H246" s="4" t="s">
        <v>202</v>
      </c>
      <c r="I246" s="4" t="s">
        <v>1030</v>
      </c>
      <c r="J246" s="4">
        <v>0</v>
      </c>
      <c r="K246" s="4" t="s">
        <v>59</v>
      </c>
      <c r="L246" s="4" t="s">
        <v>40</v>
      </c>
      <c r="M246" s="4">
        <v>0</v>
      </c>
      <c r="N246" s="4" t="s">
        <v>213</v>
      </c>
      <c r="O246" s="4" t="s">
        <v>42</v>
      </c>
      <c r="P246" s="50" t="s">
        <v>43</v>
      </c>
      <c r="Q246" s="50" t="s">
        <v>36</v>
      </c>
      <c r="R246" s="50">
        <v>0</v>
      </c>
      <c r="S246" s="4" t="s">
        <v>36</v>
      </c>
    </row>
    <row r="247" spans="3:19" x14ac:dyDescent="0.25">
      <c r="C247" s="4" t="s">
        <v>215</v>
      </c>
      <c r="D247" s="4" t="s">
        <v>216</v>
      </c>
      <c r="E247" s="4" t="s">
        <v>216</v>
      </c>
      <c r="F247" s="4" t="s">
        <v>36</v>
      </c>
      <c r="G247" s="4" t="s">
        <v>37</v>
      </c>
      <c r="H247" s="4" t="s">
        <v>81</v>
      </c>
      <c r="I247" s="4" t="s">
        <v>1030</v>
      </c>
      <c r="J247" s="4" t="s">
        <v>67</v>
      </c>
      <c r="K247" s="4" t="s">
        <v>138</v>
      </c>
      <c r="L247" s="4" t="s">
        <v>40</v>
      </c>
      <c r="M247" s="4">
        <v>0</v>
      </c>
      <c r="N247" s="4" t="s">
        <v>215</v>
      </c>
      <c r="O247" s="4" t="s">
        <v>42</v>
      </c>
      <c r="P247" s="50" t="s">
        <v>43</v>
      </c>
      <c r="Q247" s="50" t="s">
        <v>36</v>
      </c>
      <c r="R247" s="50">
        <v>0</v>
      </c>
      <c r="S247" s="4" t="s">
        <v>36</v>
      </c>
    </row>
    <row r="248" spans="3:19" x14ac:dyDescent="0.25">
      <c r="C248" s="4" t="s">
        <v>548</v>
      </c>
      <c r="D248" s="4" t="s">
        <v>549</v>
      </c>
      <c r="E248" s="4" t="s">
        <v>550</v>
      </c>
      <c r="F248" s="4">
        <v>5</v>
      </c>
      <c r="G248" s="4" t="s">
        <v>376</v>
      </c>
      <c r="H248" s="4" t="s">
        <v>81</v>
      </c>
      <c r="I248" s="4" t="s">
        <v>1030</v>
      </c>
      <c r="J248" s="4" t="s">
        <v>100</v>
      </c>
      <c r="K248" s="4" t="s">
        <v>138</v>
      </c>
      <c r="L248" s="4" t="s">
        <v>40</v>
      </c>
      <c r="M248" s="4" t="s">
        <v>514</v>
      </c>
      <c r="N248" s="4" t="s">
        <v>548</v>
      </c>
      <c r="O248" s="4" t="s">
        <v>42</v>
      </c>
      <c r="P248" s="50" t="s">
        <v>43</v>
      </c>
      <c r="Q248" s="50">
        <v>28939099.630051952</v>
      </c>
      <c r="R248" s="50" t="s">
        <v>515</v>
      </c>
      <c r="S248" s="4" t="s">
        <v>43</v>
      </c>
    </row>
    <row r="249" spans="3:19" x14ac:dyDescent="0.25">
      <c r="C249" s="4" t="s">
        <v>726</v>
      </c>
      <c r="D249" s="4" t="s">
        <v>727</v>
      </c>
      <c r="E249" s="4" t="s">
        <v>727</v>
      </c>
      <c r="F249" s="4">
        <v>5</v>
      </c>
      <c r="G249" s="4" t="s">
        <v>37</v>
      </c>
      <c r="H249" s="4" t="s">
        <v>81</v>
      </c>
      <c r="I249" s="4" t="s">
        <v>1030</v>
      </c>
      <c r="J249" s="4" t="s">
        <v>84</v>
      </c>
      <c r="K249" s="4" t="s">
        <v>54</v>
      </c>
      <c r="L249" s="4" t="s">
        <v>55</v>
      </c>
      <c r="M249" s="4" t="s">
        <v>378</v>
      </c>
      <c r="N249" s="4" t="s">
        <v>726</v>
      </c>
      <c r="O249" s="4" t="s">
        <v>42</v>
      </c>
      <c r="P249" s="50" t="s">
        <v>43</v>
      </c>
      <c r="Q249" s="50">
        <v>0</v>
      </c>
      <c r="R249" s="50" t="s">
        <v>702</v>
      </c>
      <c r="S249" s="4" t="s">
        <v>43</v>
      </c>
    </row>
    <row r="250" spans="3:19" x14ac:dyDescent="0.25">
      <c r="C250" s="4" t="s">
        <v>217</v>
      </c>
      <c r="D250" s="4" t="s">
        <v>218</v>
      </c>
      <c r="E250" s="4"/>
      <c r="F250" s="4" t="s">
        <v>36</v>
      </c>
      <c r="G250" s="4" t="s">
        <v>37</v>
      </c>
      <c r="H250" s="4" t="s">
        <v>81</v>
      </c>
      <c r="I250" s="4" t="s">
        <v>1030</v>
      </c>
      <c r="J250" s="4">
        <v>0</v>
      </c>
      <c r="K250" s="4" t="s">
        <v>59</v>
      </c>
      <c r="L250" s="4" t="s">
        <v>40</v>
      </c>
      <c r="M250" s="4">
        <v>0</v>
      </c>
      <c r="N250" s="4" t="s">
        <v>217</v>
      </c>
      <c r="O250" s="4" t="s">
        <v>42</v>
      </c>
      <c r="P250" s="50" t="s">
        <v>43</v>
      </c>
      <c r="Q250" s="50" t="s">
        <v>36</v>
      </c>
      <c r="R250" s="50">
        <v>0</v>
      </c>
      <c r="S250" s="4" t="s">
        <v>36</v>
      </c>
    </row>
    <row r="251" spans="3:19" x14ac:dyDescent="0.25">
      <c r="C251" s="4" t="s">
        <v>551</v>
      </c>
      <c r="D251" s="4" t="s">
        <v>552</v>
      </c>
      <c r="E251" s="4" t="s">
        <v>999</v>
      </c>
      <c r="F251" s="4">
        <v>5</v>
      </c>
      <c r="G251" s="4" t="s">
        <v>376</v>
      </c>
      <c r="H251" s="4" t="s">
        <v>46</v>
      </c>
      <c r="I251" s="4" t="s">
        <v>1030</v>
      </c>
      <c r="J251" s="4" t="s">
        <v>100</v>
      </c>
      <c r="K251" s="4" t="s">
        <v>138</v>
      </c>
      <c r="L251" s="4" t="s">
        <v>40</v>
      </c>
      <c r="M251" s="4" t="s">
        <v>514</v>
      </c>
      <c r="N251" s="4" t="s">
        <v>551</v>
      </c>
      <c r="O251" s="4" t="s">
        <v>42</v>
      </c>
      <c r="P251" s="50" t="s">
        <v>440</v>
      </c>
      <c r="Q251" s="50">
        <v>24371484.854618333</v>
      </c>
      <c r="R251" s="50" t="s">
        <v>515</v>
      </c>
      <c r="S251" s="4" t="s">
        <v>43</v>
      </c>
    </row>
    <row r="252" spans="3:19" x14ac:dyDescent="0.25">
      <c r="C252" s="4" t="s">
        <v>219</v>
      </c>
      <c r="D252" s="4" t="s">
        <v>220</v>
      </c>
      <c r="E252" s="4" t="s">
        <v>220</v>
      </c>
      <c r="F252" s="4" t="s">
        <v>36</v>
      </c>
      <c r="G252" s="4" t="s">
        <v>37</v>
      </c>
      <c r="H252" s="4" t="s">
        <v>38</v>
      </c>
      <c r="I252" s="4" t="s">
        <v>1030</v>
      </c>
      <c r="J252" s="4" t="s">
        <v>100</v>
      </c>
      <c r="K252" s="4" t="s">
        <v>59</v>
      </c>
      <c r="L252" s="4" t="s">
        <v>40</v>
      </c>
      <c r="M252" s="4">
        <v>0</v>
      </c>
      <c r="N252" s="4" t="s">
        <v>219</v>
      </c>
      <c r="O252" s="4" t="s">
        <v>42</v>
      </c>
      <c r="P252" s="50" t="s">
        <v>43</v>
      </c>
      <c r="Q252" s="50" t="s">
        <v>36</v>
      </c>
      <c r="R252" s="50">
        <v>0</v>
      </c>
      <c r="S252" s="4" t="s">
        <v>36</v>
      </c>
    </row>
    <row r="253" spans="3:19" x14ac:dyDescent="0.25">
      <c r="C253" s="4" t="s">
        <v>221</v>
      </c>
      <c r="D253" s="4" t="s">
        <v>222</v>
      </c>
      <c r="E253" s="4" t="s">
        <v>223</v>
      </c>
      <c r="F253" s="4" t="s">
        <v>36</v>
      </c>
      <c r="G253" s="4" t="s">
        <v>37</v>
      </c>
      <c r="H253" s="4" t="s">
        <v>38</v>
      </c>
      <c r="I253" s="4" t="s">
        <v>1030</v>
      </c>
      <c r="J253" s="4">
        <v>0</v>
      </c>
      <c r="K253" s="4" t="s">
        <v>47</v>
      </c>
      <c r="L253" s="4" t="s">
        <v>40</v>
      </c>
      <c r="M253" s="4">
        <v>0</v>
      </c>
      <c r="N253" s="4" t="s">
        <v>221</v>
      </c>
      <c r="O253" s="4" t="s">
        <v>42</v>
      </c>
      <c r="P253" s="50" t="s">
        <v>43</v>
      </c>
      <c r="Q253" s="50" t="s">
        <v>36</v>
      </c>
      <c r="R253" s="50">
        <v>0</v>
      </c>
      <c r="S253" s="4" t="s">
        <v>36</v>
      </c>
    </row>
    <row r="254" spans="3:19" x14ac:dyDescent="0.25">
      <c r="C254" s="4" t="s">
        <v>224</v>
      </c>
      <c r="D254" s="4" t="s">
        <v>225</v>
      </c>
      <c r="E254" s="4" t="s">
        <v>226</v>
      </c>
      <c r="F254" s="4" t="s">
        <v>36</v>
      </c>
      <c r="G254" s="4" t="s">
        <v>37</v>
      </c>
      <c r="H254" s="4" t="s">
        <v>38</v>
      </c>
      <c r="I254" s="4" t="s">
        <v>1030</v>
      </c>
      <c r="J254" s="4">
        <v>0</v>
      </c>
      <c r="K254" s="4" t="s">
        <v>59</v>
      </c>
      <c r="L254" s="4" t="s">
        <v>40</v>
      </c>
      <c r="M254" s="4">
        <v>0</v>
      </c>
      <c r="N254" s="4" t="s">
        <v>224</v>
      </c>
      <c r="O254" s="4" t="s">
        <v>42</v>
      </c>
      <c r="P254" s="50" t="s">
        <v>43</v>
      </c>
      <c r="Q254" s="50" t="s">
        <v>36</v>
      </c>
      <c r="R254" s="50">
        <v>0</v>
      </c>
      <c r="S254" s="4" t="s">
        <v>36</v>
      </c>
    </row>
    <row r="255" spans="3:19" x14ac:dyDescent="0.25">
      <c r="C255" s="4" t="s">
        <v>502</v>
      </c>
      <c r="D255" s="4" t="s">
        <v>503</v>
      </c>
      <c r="E255" s="4" t="s">
        <v>504</v>
      </c>
      <c r="F255" s="4">
        <v>5</v>
      </c>
      <c r="G255" s="4" t="s">
        <v>376</v>
      </c>
      <c r="H255" s="4" t="s">
        <v>46</v>
      </c>
      <c r="I255" s="4" t="s">
        <v>1030</v>
      </c>
      <c r="J255" s="4" t="s">
        <v>466</v>
      </c>
      <c r="K255" s="4" t="s">
        <v>51</v>
      </c>
      <c r="L255" s="4" t="s">
        <v>40</v>
      </c>
      <c r="M255" s="4" t="s">
        <v>1035</v>
      </c>
      <c r="N255" s="4" t="s">
        <v>502</v>
      </c>
      <c r="O255" s="4" t="s">
        <v>42</v>
      </c>
      <c r="P255" s="50" t="s">
        <v>43</v>
      </c>
      <c r="Q255" s="50">
        <v>33060774.674376812</v>
      </c>
      <c r="R255" s="50" t="s">
        <v>467</v>
      </c>
      <c r="S255" s="4" t="s">
        <v>43</v>
      </c>
    </row>
    <row r="256" spans="3:19" x14ac:dyDescent="0.25">
      <c r="C256" s="4" t="s">
        <v>227</v>
      </c>
      <c r="D256" s="4" t="s">
        <v>228</v>
      </c>
      <c r="E256" s="4" t="s">
        <v>229</v>
      </c>
      <c r="F256" s="4" t="s">
        <v>36</v>
      </c>
      <c r="G256" s="4" t="s">
        <v>37</v>
      </c>
      <c r="H256" s="4" t="s">
        <v>38</v>
      </c>
      <c r="I256" s="4" t="s">
        <v>1030</v>
      </c>
      <c r="J256" s="4">
        <v>0</v>
      </c>
      <c r="K256" s="4" t="s">
        <v>54</v>
      </c>
      <c r="L256" s="4" t="s">
        <v>55</v>
      </c>
      <c r="M256" s="4">
        <v>0</v>
      </c>
      <c r="N256" s="4" t="s">
        <v>227</v>
      </c>
      <c r="O256" s="4" t="s">
        <v>42</v>
      </c>
      <c r="P256" s="50" t="s">
        <v>43</v>
      </c>
      <c r="Q256" s="50" t="s">
        <v>36</v>
      </c>
      <c r="R256" s="50">
        <v>0</v>
      </c>
      <c r="S256" s="4" t="s">
        <v>36</v>
      </c>
    </row>
    <row r="257" spans="3:19" x14ac:dyDescent="0.25">
      <c r="C257" s="4" t="s">
        <v>728</v>
      </c>
      <c r="D257" s="4" t="s">
        <v>729</v>
      </c>
      <c r="E257" s="4" t="s">
        <v>730</v>
      </c>
      <c r="F257" s="4">
        <v>5</v>
      </c>
      <c r="G257" s="4" t="s">
        <v>376</v>
      </c>
      <c r="H257" s="4" t="s">
        <v>46</v>
      </c>
      <c r="I257" s="4" t="s">
        <v>1031</v>
      </c>
      <c r="J257" s="4" t="s">
        <v>84</v>
      </c>
      <c r="K257" s="4" t="s">
        <v>722</v>
      </c>
      <c r="L257" s="4" t="s">
        <v>55</v>
      </c>
      <c r="M257" s="4" t="s">
        <v>378</v>
      </c>
      <c r="N257" s="4" t="s">
        <v>728</v>
      </c>
      <c r="O257" s="4" t="s">
        <v>42</v>
      </c>
      <c r="P257" s="50" t="s">
        <v>440</v>
      </c>
      <c r="Q257" s="50">
        <v>34725452.932682283</v>
      </c>
      <c r="R257" s="50" t="s">
        <v>702</v>
      </c>
      <c r="S257" s="4" t="s">
        <v>43</v>
      </c>
    </row>
    <row r="258" spans="3:19" x14ac:dyDescent="0.25">
      <c r="C258" s="4" t="s">
        <v>230</v>
      </c>
      <c r="D258" s="4" t="s">
        <v>231</v>
      </c>
      <c r="E258" s="4" t="s">
        <v>232</v>
      </c>
      <c r="F258" s="4" t="s">
        <v>36</v>
      </c>
      <c r="G258" s="4" t="s">
        <v>37</v>
      </c>
      <c r="H258" s="4" t="s">
        <v>38</v>
      </c>
      <c r="I258" s="4" t="s">
        <v>1030</v>
      </c>
      <c r="J258" s="4" t="s">
        <v>84</v>
      </c>
      <c r="K258" s="4" t="s">
        <v>54</v>
      </c>
      <c r="L258" s="4" t="s">
        <v>55</v>
      </c>
      <c r="M258" s="4">
        <v>0</v>
      </c>
      <c r="N258" s="4" t="s">
        <v>230</v>
      </c>
      <c r="O258" s="4" t="s">
        <v>42</v>
      </c>
      <c r="P258" s="50" t="s">
        <v>43</v>
      </c>
      <c r="Q258" s="50" t="s">
        <v>36</v>
      </c>
      <c r="R258" s="50" t="s">
        <v>702</v>
      </c>
      <c r="S258" s="4" t="s">
        <v>36</v>
      </c>
    </row>
    <row r="259" spans="3:19" x14ac:dyDescent="0.25">
      <c r="C259" s="4" t="s">
        <v>233</v>
      </c>
      <c r="D259" s="4" t="s">
        <v>234</v>
      </c>
      <c r="E259" s="4" t="s">
        <v>235</v>
      </c>
      <c r="F259" s="4" t="s">
        <v>36</v>
      </c>
      <c r="G259" s="4" t="s">
        <v>37</v>
      </c>
      <c r="H259" s="4" t="s">
        <v>38</v>
      </c>
      <c r="I259" s="4" t="s">
        <v>1030</v>
      </c>
      <c r="J259" s="4" t="s">
        <v>84</v>
      </c>
      <c r="K259" s="4" t="s">
        <v>54</v>
      </c>
      <c r="L259" s="4" t="s">
        <v>55</v>
      </c>
      <c r="M259" s="4">
        <v>0</v>
      </c>
      <c r="N259" s="4" t="s">
        <v>233</v>
      </c>
      <c r="O259" s="4" t="s">
        <v>42</v>
      </c>
      <c r="P259" s="50" t="s">
        <v>43</v>
      </c>
      <c r="Q259" s="50" t="s">
        <v>36</v>
      </c>
      <c r="R259" s="50">
        <v>0</v>
      </c>
      <c r="S259" s="4" t="s">
        <v>36</v>
      </c>
    </row>
    <row r="260" spans="3:19" x14ac:dyDescent="0.25">
      <c r="C260" s="4" t="s">
        <v>236</v>
      </c>
      <c r="D260" s="4" t="s">
        <v>237</v>
      </c>
      <c r="E260" s="4" t="s">
        <v>237</v>
      </c>
      <c r="F260" s="4" t="s">
        <v>36</v>
      </c>
      <c r="G260" s="4" t="s">
        <v>37</v>
      </c>
      <c r="H260" s="4" t="s">
        <v>38</v>
      </c>
      <c r="I260" s="4" t="s">
        <v>1030</v>
      </c>
      <c r="J260" s="4">
        <v>0</v>
      </c>
      <c r="K260" s="4" t="s">
        <v>59</v>
      </c>
      <c r="L260" s="4" t="s">
        <v>40</v>
      </c>
      <c r="M260" s="4">
        <v>0</v>
      </c>
      <c r="N260" s="4" t="s">
        <v>236</v>
      </c>
      <c r="O260" s="4" t="s">
        <v>42</v>
      </c>
      <c r="P260" s="50" t="s">
        <v>43</v>
      </c>
      <c r="Q260" s="50" t="s">
        <v>36</v>
      </c>
      <c r="R260" s="50">
        <v>0</v>
      </c>
      <c r="S260" s="4" t="s">
        <v>36</v>
      </c>
    </row>
    <row r="261" spans="3:19" x14ac:dyDescent="0.25">
      <c r="C261" s="4" t="s">
        <v>238</v>
      </c>
      <c r="D261" s="4" t="s">
        <v>239</v>
      </c>
      <c r="E261" s="4" t="s">
        <v>240</v>
      </c>
      <c r="F261" s="4" t="s">
        <v>36</v>
      </c>
      <c r="G261" s="4" t="s">
        <v>37</v>
      </c>
      <c r="H261" s="4" t="s">
        <v>38</v>
      </c>
      <c r="I261" s="4" t="s">
        <v>1030</v>
      </c>
      <c r="J261" s="4" t="s">
        <v>146</v>
      </c>
      <c r="K261" s="4" t="s">
        <v>59</v>
      </c>
      <c r="L261" s="4" t="s">
        <v>40</v>
      </c>
      <c r="M261" s="4">
        <v>0</v>
      </c>
      <c r="N261" s="4" t="s">
        <v>238</v>
      </c>
      <c r="O261" s="4" t="s">
        <v>42</v>
      </c>
      <c r="P261" s="50" t="s">
        <v>43</v>
      </c>
      <c r="Q261" s="50" t="s">
        <v>36</v>
      </c>
      <c r="R261" s="50">
        <v>0</v>
      </c>
      <c r="S261" s="4" t="s">
        <v>36</v>
      </c>
    </row>
    <row r="262" spans="3:19" x14ac:dyDescent="0.25">
      <c r="C262" s="4" t="s">
        <v>962</v>
      </c>
      <c r="D262" s="4" t="s">
        <v>963</v>
      </c>
      <c r="E262" s="4" t="s">
        <v>964</v>
      </c>
      <c r="F262" s="4">
        <v>5</v>
      </c>
      <c r="G262" s="4" t="s">
        <v>376</v>
      </c>
      <c r="H262" s="4" t="s">
        <v>46</v>
      </c>
      <c r="I262" s="4" t="s">
        <v>1030</v>
      </c>
      <c r="J262" s="4" t="s">
        <v>160</v>
      </c>
      <c r="K262" s="4" t="s">
        <v>371</v>
      </c>
      <c r="L262" s="4" t="s">
        <v>40</v>
      </c>
      <c r="M262" s="4" t="s">
        <v>984</v>
      </c>
      <c r="N262" s="4" t="s">
        <v>962</v>
      </c>
      <c r="O262" s="4" t="s">
        <v>42</v>
      </c>
      <c r="P262" s="50" t="s">
        <v>440</v>
      </c>
      <c r="Q262" s="50">
        <v>33399153.369515959</v>
      </c>
      <c r="R262" s="50" t="s">
        <v>931</v>
      </c>
      <c r="S262" s="4" t="s">
        <v>43</v>
      </c>
    </row>
    <row r="263" spans="3:19" x14ac:dyDescent="0.25">
      <c r="C263" s="4" t="s">
        <v>687</v>
      </c>
      <c r="D263" s="4" t="s">
        <v>688</v>
      </c>
      <c r="E263" s="4" t="s">
        <v>689</v>
      </c>
      <c r="F263" s="4">
        <v>6</v>
      </c>
      <c r="G263" s="4" t="s">
        <v>376</v>
      </c>
      <c r="H263" s="4" t="s">
        <v>46</v>
      </c>
      <c r="I263" s="4" t="s">
        <v>1030</v>
      </c>
      <c r="J263" s="4" t="s">
        <v>248</v>
      </c>
      <c r="K263" s="4" t="s">
        <v>51</v>
      </c>
      <c r="L263" s="4" t="s">
        <v>40</v>
      </c>
      <c r="M263" s="4" t="s">
        <v>984</v>
      </c>
      <c r="N263" s="4" t="s">
        <v>687</v>
      </c>
      <c r="O263" s="4" t="s">
        <v>42</v>
      </c>
      <c r="P263" s="50" t="s">
        <v>440</v>
      </c>
      <c r="Q263" s="50">
        <v>53608857.389439084</v>
      </c>
      <c r="R263" s="50" t="s">
        <v>51</v>
      </c>
      <c r="S263" s="4" t="s">
        <v>43</v>
      </c>
    </row>
    <row r="264" spans="3:19" x14ac:dyDescent="0.25">
      <c r="C264" s="4" t="s">
        <v>241</v>
      </c>
      <c r="D264" s="4" t="s">
        <v>242</v>
      </c>
      <c r="E264" s="4" t="s">
        <v>243</v>
      </c>
      <c r="F264" s="4" t="s">
        <v>36</v>
      </c>
      <c r="G264" s="4" t="s">
        <v>37</v>
      </c>
      <c r="H264" s="4" t="s">
        <v>38</v>
      </c>
      <c r="I264" s="4" t="s">
        <v>1030</v>
      </c>
      <c r="J264" s="4" t="s">
        <v>132</v>
      </c>
      <c r="K264" s="4" t="s">
        <v>64</v>
      </c>
      <c r="L264" s="4" t="s">
        <v>40</v>
      </c>
      <c r="M264" s="4">
        <v>0</v>
      </c>
      <c r="N264" s="4" t="s">
        <v>241</v>
      </c>
      <c r="O264" s="4" t="s">
        <v>42</v>
      </c>
      <c r="P264" s="50" t="s">
        <v>43</v>
      </c>
      <c r="Q264" s="50" t="s">
        <v>36</v>
      </c>
      <c r="R264" s="50">
        <v>0</v>
      </c>
      <c r="S264" s="4" t="s">
        <v>36</v>
      </c>
    </row>
    <row r="265" spans="3:19" x14ac:dyDescent="0.25">
      <c r="C265" s="4" t="s">
        <v>244</v>
      </c>
      <c r="D265" s="4" t="s">
        <v>245</v>
      </c>
      <c r="E265" s="4" t="s">
        <v>245</v>
      </c>
      <c r="F265" s="4" t="s">
        <v>36</v>
      </c>
      <c r="G265" s="4" t="s">
        <v>37</v>
      </c>
      <c r="H265" s="4" t="s">
        <v>81</v>
      </c>
      <c r="I265" s="4" t="s">
        <v>1030</v>
      </c>
      <c r="J265" s="4">
        <v>0</v>
      </c>
      <c r="K265" s="4" t="s">
        <v>133</v>
      </c>
      <c r="L265" s="4" t="s">
        <v>40</v>
      </c>
      <c r="M265" s="4">
        <v>0</v>
      </c>
      <c r="N265" s="4" t="s">
        <v>244</v>
      </c>
      <c r="O265" s="4" t="s">
        <v>42</v>
      </c>
      <c r="P265" s="50" t="s">
        <v>43</v>
      </c>
      <c r="Q265" s="50" t="s">
        <v>36</v>
      </c>
      <c r="R265" s="50">
        <v>0</v>
      </c>
      <c r="S265" s="4" t="s">
        <v>36</v>
      </c>
    </row>
    <row r="266" spans="3:19" x14ac:dyDescent="0.25">
      <c r="C266" s="4" t="s">
        <v>246</v>
      </c>
      <c r="D266" s="4" t="s">
        <v>247</v>
      </c>
      <c r="E266" s="4" t="s">
        <v>247</v>
      </c>
      <c r="F266" s="4" t="s">
        <v>36</v>
      </c>
      <c r="G266" s="4" t="s">
        <v>37</v>
      </c>
      <c r="H266" s="4" t="s">
        <v>38</v>
      </c>
      <c r="I266" s="4" t="s">
        <v>1030</v>
      </c>
      <c r="J266" s="4" t="s">
        <v>248</v>
      </c>
      <c r="K266" s="4" t="s">
        <v>138</v>
      </c>
      <c r="L266" s="4" t="s">
        <v>40</v>
      </c>
      <c r="M266" s="4">
        <v>0</v>
      </c>
      <c r="N266" s="4" t="s">
        <v>246</v>
      </c>
      <c r="O266" s="4" t="s">
        <v>42</v>
      </c>
      <c r="P266" s="50" t="s">
        <v>43</v>
      </c>
      <c r="Q266" s="50" t="s">
        <v>36</v>
      </c>
      <c r="R266" s="50">
        <v>0</v>
      </c>
      <c r="S266" s="4" t="s">
        <v>36</v>
      </c>
    </row>
    <row r="267" spans="3:19" x14ac:dyDescent="0.25">
      <c r="C267" s="4" t="s">
        <v>249</v>
      </c>
      <c r="D267" s="4" t="s">
        <v>250</v>
      </c>
      <c r="E267" s="4" t="s">
        <v>250</v>
      </c>
      <c r="F267" s="4" t="s">
        <v>36</v>
      </c>
      <c r="G267" s="4" t="s">
        <v>37</v>
      </c>
      <c r="H267" s="4" t="s">
        <v>38</v>
      </c>
      <c r="I267" s="4" t="s">
        <v>1030</v>
      </c>
      <c r="J267" s="4" t="s">
        <v>94</v>
      </c>
      <c r="K267" s="4" t="s">
        <v>138</v>
      </c>
      <c r="L267" s="4" t="s">
        <v>40</v>
      </c>
      <c r="M267" s="4">
        <v>0</v>
      </c>
      <c r="N267" s="4" t="s">
        <v>249</v>
      </c>
      <c r="O267" s="4" t="s">
        <v>42</v>
      </c>
      <c r="P267" s="50" t="s">
        <v>43</v>
      </c>
      <c r="Q267" s="50" t="s">
        <v>36</v>
      </c>
      <c r="R267" s="50">
        <v>0</v>
      </c>
      <c r="S267" s="4" t="s">
        <v>36</v>
      </c>
    </row>
    <row r="268" spans="3:19" x14ac:dyDescent="0.25">
      <c r="C268" s="4" t="s">
        <v>251</v>
      </c>
      <c r="D268" s="4" t="s">
        <v>252</v>
      </c>
      <c r="E268" s="4" t="s">
        <v>253</v>
      </c>
      <c r="F268" s="4" t="s">
        <v>36</v>
      </c>
      <c r="G268" s="4" t="s">
        <v>37</v>
      </c>
      <c r="H268" s="4" t="s">
        <v>38</v>
      </c>
      <c r="I268" s="4" t="s">
        <v>1030</v>
      </c>
      <c r="J268" s="4">
        <v>0</v>
      </c>
      <c r="K268" s="4" t="s">
        <v>64</v>
      </c>
      <c r="L268" s="4" t="s">
        <v>40</v>
      </c>
      <c r="M268" s="4">
        <v>0</v>
      </c>
      <c r="N268" s="4" t="s">
        <v>251</v>
      </c>
      <c r="O268" s="4" t="s">
        <v>42</v>
      </c>
      <c r="P268" s="50" t="s">
        <v>43</v>
      </c>
      <c r="Q268" s="50" t="s">
        <v>36</v>
      </c>
      <c r="R268" s="50">
        <v>0</v>
      </c>
      <c r="S268" s="4" t="s">
        <v>36</v>
      </c>
    </row>
    <row r="269" spans="3:19" x14ac:dyDescent="0.25">
      <c r="C269" s="4" t="s">
        <v>254</v>
      </c>
      <c r="D269" s="4" t="s">
        <v>255</v>
      </c>
      <c r="E269" s="4" t="s">
        <v>255</v>
      </c>
      <c r="F269" s="4" t="s">
        <v>36</v>
      </c>
      <c r="G269" s="4" t="s">
        <v>37</v>
      </c>
      <c r="H269" s="4" t="s">
        <v>38</v>
      </c>
      <c r="I269" s="4" t="s">
        <v>1030</v>
      </c>
      <c r="J269" s="4">
        <v>0</v>
      </c>
      <c r="K269" s="4" t="s">
        <v>51</v>
      </c>
      <c r="L269" s="4" t="s">
        <v>40</v>
      </c>
      <c r="M269" s="4">
        <v>0</v>
      </c>
      <c r="N269" s="4" t="s">
        <v>254</v>
      </c>
      <c r="O269" s="4" t="s">
        <v>42</v>
      </c>
      <c r="P269" s="50" t="s">
        <v>43</v>
      </c>
      <c r="Q269" s="50" t="s">
        <v>36</v>
      </c>
      <c r="R269" s="50">
        <v>0</v>
      </c>
      <c r="S269" s="4" t="s">
        <v>36</v>
      </c>
    </row>
    <row r="270" spans="3:19" x14ac:dyDescent="0.25">
      <c r="C270" s="4" t="s">
        <v>590</v>
      </c>
      <c r="D270" s="4" t="s">
        <v>591</v>
      </c>
      <c r="E270" s="4" t="s">
        <v>591</v>
      </c>
      <c r="F270" s="4">
        <v>5</v>
      </c>
      <c r="G270" s="4" t="s">
        <v>376</v>
      </c>
      <c r="H270" s="4" t="s">
        <v>46</v>
      </c>
      <c r="I270" s="4" t="s">
        <v>1030</v>
      </c>
      <c r="J270" s="4" t="s">
        <v>331</v>
      </c>
      <c r="K270" s="4" t="s">
        <v>138</v>
      </c>
      <c r="L270" s="4" t="s">
        <v>40</v>
      </c>
      <c r="M270" s="4" t="s">
        <v>984</v>
      </c>
      <c r="N270" s="4" t="s">
        <v>590</v>
      </c>
      <c r="O270" s="4" t="s">
        <v>42</v>
      </c>
      <c r="P270" s="50" t="s">
        <v>43</v>
      </c>
      <c r="Q270" s="50">
        <v>55828345.263703704</v>
      </c>
      <c r="R270" s="50" t="s">
        <v>557</v>
      </c>
      <c r="S270" s="4" t="s">
        <v>43</v>
      </c>
    </row>
    <row r="271" spans="3:19" x14ac:dyDescent="0.25">
      <c r="C271" s="4" t="s">
        <v>447</v>
      </c>
      <c r="D271" s="4" t="s">
        <v>448</v>
      </c>
      <c r="E271" s="4" t="s">
        <v>449</v>
      </c>
      <c r="F271" s="4">
        <v>6</v>
      </c>
      <c r="G271" s="4" t="s">
        <v>376</v>
      </c>
      <c r="H271" s="4" t="s">
        <v>46</v>
      </c>
      <c r="I271" s="4" t="s">
        <v>1030</v>
      </c>
      <c r="J271" s="4" t="s">
        <v>94</v>
      </c>
      <c r="K271" s="4" t="s">
        <v>64</v>
      </c>
      <c r="L271" s="4" t="s">
        <v>40</v>
      </c>
      <c r="M271" s="4" t="s">
        <v>1035</v>
      </c>
      <c r="N271" s="4" t="s">
        <v>447</v>
      </c>
      <c r="O271" s="4" t="s">
        <v>42</v>
      </c>
      <c r="P271" s="50" t="s">
        <v>440</v>
      </c>
      <c r="Q271" s="50">
        <v>38807690.064736687</v>
      </c>
      <c r="R271" s="50" t="s">
        <v>423</v>
      </c>
      <c r="S271" s="4" t="s">
        <v>43</v>
      </c>
    </row>
    <row r="272" spans="3:19" x14ac:dyDescent="0.25">
      <c r="C272" s="4" t="s">
        <v>256</v>
      </c>
      <c r="D272" s="4" t="s">
        <v>257</v>
      </c>
      <c r="E272" s="4" t="s">
        <v>257</v>
      </c>
      <c r="F272" s="4" t="s">
        <v>36</v>
      </c>
      <c r="G272" s="4" t="s">
        <v>37</v>
      </c>
      <c r="H272" s="4" t="s">
        <v>38</v>
      </c>
      <c r="I272" s="4" t="s">
        <v>1030</v>
      </c>
      <c r="J272" s="4">
        <v>0</v>
      </c>
      <c r="K272" s="4" t="s">
        <v>138</v>
      </c>
      <c r="L272" s="4" t="s">
        <v>40</v>
      </c>
      <c r="M272" s="4">
        <v>0</v>
      </c>
      <c r="N272" s="4" t="s">
        <v>256</v>
      </c>
      <c r="O272" s="4" t="s">
        <v>42</v>
      </c>
      <c r="P272" s="50" t="s">
        <v>43</v>
      </c>
      <c r="Q272" s="50" t="s">
        <v>36</v>
      </c>
      <c r="R272" s="50">
        <v>0</v>
      </c>
      <c r="S272" s="4" t="s">
        <v>36</v>
      </c>
    </row>
    <row r="273" spans="3:19" x14ac:dyDescent="0.25">
      <c r="C273" s="4" t="s">
        <v>450</v>
      </c>
      <c r="D273" s="4" t="s">
        <v>451</v>
      </c>
      <c r="E273" s="4" t="s">
        <v>452</v>
      </c>
      <c r="F273" s="4">
        <v>5</v>
      </c>
      <c r="G273" s="4" t="s">
        <v>376</v>
      </c>
      <c r="H273" s="4" t="s">
        <v>46</v>
      </c>
      <c r="I273" s="4" t="s">
        <v>1030</v>
      </c>
      <c r="J273" s="4" t="s">
        <v>94</v>
      </c>
      <c r="K273" s="4" t="s">
        <v>64</v>
      </c>
      <c r="L273" s="4" t="s">
        <v>40</v>
      </c>
      <c r="M273" s="4" t="s">
        <v>1035</v>
      </c>
      <c r="N273" s="4" t="s">
        <v>450</v>
      </c>
      <c r="O273" s="4" t="s">
        <v>42</v>
      </c>
      <c r="P273" s="50" t="s">
        <v>43</v>
      </c>
      <c r="Q273" s="50">
        <v>37701839.942894928</v>
      </c>
      <c r="R273" s="50" t="s">
        <v>423</v>
      </c>
      <c r="S273" s="4" t="s">
        <v>43</v>
      </c>
    </row>
    <row r="274" spans="3:19" x14ac:dyDescent="0.25">
      <c r="C274" s="4" t="s">
        <v>965</v>
      </c>
      <c r="D274" s="4" t="s">
        <v>966</v>
      </c>
      <c r="E274" s="4" t="s">
        <v>967</v>
      </c>
      <c r="F274" s="4">
        <v>5</v>
      </c>
      <c r="G274" s="4" t="s">
        <v>376</v>
      </c>
      <c r="H274" s="4" t="s">
        <v>46</v>
      </c>
      <c r="I274" s="4" t="s">
        <v>1030</v>
      </c>
      <c r="J274" s="4" t="s">
        <v>160</v>
      </c>
      <c r="K274" s="4" t="s">
        <v>353</v>
      </c>
      <c r="L274" s="4" t="s">
        <v>40</v>
      </c>
      <c r="M274" s="4" t="s">
        <v>984</v>
      </c>
      <c r="N274" s="4" t="s">
        <v>965</v>
      </c>
      <c r="O274" s="4" t="s">
        <v>42</v>
      </c>
      <c r="P274" s="50" t="s">
        <v>43</v>
      </c>
      <c r="Q274" s="50">
        <v>34034483.712910607</v>
      </c>
      <c r="R274" s="50" t="s">
        <v>931</v>
      </c>
      <c r="S274" s="4" t="s">
        <v>43</v>
      </c>
    </row>
    <row r="275" spans="3:19" x14ac:dyDescent="0.25">
      <c r="C275" s="4" t="s">
        <v>258</v>
      </c>
      <c r="D275" s="4" t="s">
        <v>259</v>
      </c>
      <c r="E275" s="4" t="s">
        <v>260</v>
      </c>
      <c r="F275" s="4" t="s">
        <v>36</v>
      </c>
      <c r="G275" s="4" t="s">
        <v>37</v>
      </c>
      <c r="H275" s="4" t="s">
        <v>38</v>
      </c>
      <c r="I275" s="4" t="s">
        <v>1030</v>
      </c>
      <c r="J275" s="4" t="s">
        <v>50</v>
      </c>
      <c r="K275" s="4" t="s">
        <v>51</v>
      </c>
      <c r="L275" s="4" t="s">
        <v>40</v>
      </c>
      <c r="M275" s="4">
        <v>0</v>
      </c>
      <c r="N275" s="4" t="s">
        <v>258</v>
      </c>
      <c r="O275" s="4" t="s">
        <v>42</v>
      </c>
      <c r="P275" s="50" t="s">
        <v>43</v>
      </c>
      <c r="Q275" s="50" t="s">
        <v>36</v>
      </c>
      <c r="R275" s="50">
        <v>0</v>
      </c>
      <c r="S275" s="4" t="s">
        <v>36</v>
      </c>
    </row>
    <row r="276" spans="3:19" x14ac:dyDescent="0.25">
      <c r="C276" s="4" t="s">
        <v>261</v>
      </c>
      <c r="D276" s="4" t="s">
        <v>262</v>
      </c>
      <c r="E276" s="4" t="s">
        <v>263</v>
      </c>
      <c r="F276" s="4" t="s">
        <v>36</v>
      </c>
      <c r="G276" s="4" t="s">
        <v>37</v>
      </c>
      <c r="H276" s="4" t="s">
        <v>38</v>
      </c>
      <c r="I276" s="4" t="s">
        <v>1030</v>
      </c>
      <c r="J276" s="4" t="s">
        <v>58</v>
      </c>
      <c r="K276" s="4" t="s">
        <v>138</v>
      </c>
      <c r="L276" s="4" t="s">
        <v>40</v>
      </c>
      <c r="M276" s="4">
        <v>0</v>
      </c>
      <c r="N276" s="4" t="s">
        <v>261</v>
      </c>
      <c r="O276" s="4" t="s">
        <v>42</v>
      </c>
      <c r="P276" s="50" t="s">
        <v>43</v>
      </c>
      <c r="Q276" s="50" t="s">
        <v>36</v>
      </c>
      <c r="R276" s="50">
        <v>0</v>
      </c>
      <c r="S276" s="4" t="s">
        <v>36</v>
      </c>
    </row>
    <row r="277" spans="3:19" x14ac:dyDescent="0.25">
      <c r="C277" s="4" t="s">
        <v>791</v>
      </c>
      <c r="D277" s="4" t="s">
        <v>793</v>
      </c>
      <c r="E277" s="4" t="s">
        <v>1000</v>
      </c>
      <c r="F277" s="4">
        <v>5</v>
      </c>
      <c r="G277" s="4" t="s">
        <v>1044</v>
      </c>
      <c r="H277" s="4" t="s">
        <v>46</v>
      </c>
      <c r="I277" s="4" t="s">
        <v>1031</v>
      </c>
      <c r="J277" s="4" t="s">
        <v>89</v>
      </c>
      <c r="K277" s="4" t="s">
        <v>109</v>
      </c>
      <c r="L277" s="4" t="s">
        <v>91</v>
      </c>
      <c r="M277" s="4" t="s">
        <v>378</v>
      </c>
      <c r="N277" s="4" t="s">
        <v>791</v>
      </c>
      <c r="O277" s="4" t="s">
        <v>42</v>
      </c>
      <c r="P277" s="50" t="s">
        <v>43</v>
      </c>
      <c r="Q277" s="50">
        <v>0</v>
      </c>
      <c r="R277" s="50" t="s">
        <v>772</v>
      </c>
      <c r="S277" s="4" t="s">
        <v>43</v>
      </c>
    </row>
    <row r="278" spans="3:19" x14ac:dyDescent="0.25">
      <c r="C278" s="4" t="s">
        <v>264</v>
      </c>
      <c r="D278" s="4" t="s">
        <v>265</v>
      </c>
      <c r="E278" s="4" t="s">
        <v>266</v>
      </c>
      <c r="F278" s="4" t="s">
        <v>36</v>
      </c>
      <c r="G278" s="4" t="s">
        <v>37</v>
      </c>
      <c r="H278" s="4" t="s">
        <v>38</v>
      </c>
      <c r="I278" s="4" t="s">
        <v>1030</v>
      </c>
      <c r="J278" s="4">
        <v>0</v>
      </c>
      <c r="K278" s="4" t="s">
        <v>51</v>
      </c>
      <c r="L278" s="4" t="s">
        <v>40</v>
      </c>
      <c r="M278" s="4">
        <v>0</v>
      </c>
      <c r="N278" s="4" t="s">
        <v>264</v>
      </c>
      <c r="O278" s="4" t="s">
        <v>42</v>
      </c>
      <c r="P278" s="50" t="s">
        <v>43</v>
      </c>
      <c r="Q278" s="50" t="s">
        <v>36</v>
      </c>
      <c r="R278" s="50">
        <v>0</v>
      </c>
      <c r="S278" s="4" t="s">
        <v>36</v>
      </c>
    </row>
    <row r="279" spans="3:19" x14ac:dyDescent="0.25">
      <c r="C279" s="4" t="s">
        <v>267</v>
      </c>
      <c r="D279" s="4" t="s">
        <v>268</v>
      </c>
      <c r="E279" s="4" t="s">
        <v>269</v>
      </c>
      <c r="F279" s="4" t="s">
        <v>36</v>
      </c>
      <c r="G279" s="4" t="s">
        <v>37</v>
      </c>
      <c r="H279" s="4" t="s">
        <v>38</v>
      </c>
      <c r="I279" s="4" t="s">
        <v>1030</v>
      </c>
      <c r="J279" s="4">
        <v>0</v>
      </c>
      <c r="K279" s="4" t="s">
        <v>51</v>
      </c>
      <c r="L279" s="4" t="s">
        <v>40</v>
      </c>
      <c r="M279" s="4">
        <v>0</v>
      </c>
      <c r="N279" s="4" t="s">
        <v>267</v>
      </c>
      <c r="O279" s="4" t="s">
        <v>42</v>
      </c>
      <c r="P279" s="50" t="s">
        <v>43</v>
      </c>
      <c r="Q279" s="50" t="s">
        <v>36</v>
      </c>
      <c r="R279" s="50">
        <v>0</v>
      </c>
      <c r="S279" s="4" t="s">
        <v>36</v>
      </c>
    </row>
    <row r="280" spans="3:19" x14ac:dyDescent="0.25">
      <c r="C280" s="4" t="s">
        <v>270</v>
      </c>
      <c r="D280" s="4" t="s">
        <v>271</v>
      </c>
      <c r="E280" s="4" t="s">
        <v>271</v>
      </c>
      <c r="F280" s="4" t="s">
        <v>36</v>
      </c>
      <c r="G280" s="4" t="s">
        <v>37</v>
      </c>
      <c r="H280" s="4" t="s">
        <v>38</v>
      </c>
      <c r="I280" s="4" t="s">
        <v>1030</v>
      </c>
      <c r="J280" s="4" t="s">
        <v>100</v>
      </c>
      <c r="K280" s="4" t="s">
        <v>59</v>
      </c>
      <c r="L280" s="4" t="s">
        <v>40</v>
      </c>
      <c r="M280" s="4">
        <v>0</v>
      </c>
      <c r="N280" s="4" t="s">
        <v>270</v>
      </c>
      <c r="O280" s="4" t="s">
        <v>42</v>
      </c>
      <c r="P280" s="50" t="s">
        <v>43</v>
      </c>
      <c r="Q280" s="50" t="s">
        <v>36</v>
      </c>
      <c r="R280" s="50">
        <v>0</v>
      </c>
      <c r="S280" s="4" t="s">
        <v>36</v>
      </c>
    </row>
    <row r="281" spans="3:19" x14ac:dyDescent="0.25">
      <c r="C281" s="4" t="s">
        <v>631</v>
      </c>
      <c r="D281" s="4" t="s">
        <v>633</v>
      </c>
      <c r="E281" s="4" t="s">
        <v>1001</v>
      </c>
      <c r="F281" s="47">
        <v>5</v>
      </c>
      <c r="G281" s="4" t="s">
        <v>1044</v>
      </c>
      <c r="H281" s="4" t="s">
        <v>46</v>
      </c>
      <c r="I281" s="4" t="s">
        <v>1030</v>
      </c>
      <c r="J281" s="4" t="s">
        <v>50</v>
      </c>
      <c r="K281" s="4" t="s">
        <v>51</v>
      </c>
      <c r="L281" s="4" t="s">
        <v>40</v>
      </c>
      <c r="M281" s="4" t="s">
        <v>514</v>
      </c>
      <c r="N281" s="4" t="s">
        <v>631</v>
      </c>
      <c r="O281" s="4" t="s">
        <v>42</v>
      </c>
      <c r="P281" s="50" t="s">
        <v>43</v>
      </c>
      <c r="Q281" s="50">
        <v>0</v>
      </c>
      <c r="R281" s="50" t="s">
        <v>597</v>
      </c>
      <c r="S281" s="4" t="s">
        <v>43</v>
      </c>
    </row>
    <row r="282" spans="3:19" x14ac:dyDescent="0.25">
      <c r="C282" s="4" t="s">
        <v>272</v>
      </c>
      <c r="D282" s="4" t="s">
        <v>273</v>
      </c>
      <c r="E282" s="4" t="s">
        <v>274</v>
      </c>
      <c r="F282" s="4" t="s">
        <v>36</v>
      </c>
      <c r="G282" s="4" t="s">
        <v>37</v>
      </c>
      <c r="H282" s="4" t="s">
        <v>38</v>
      </c>
      <c r="I282" s="4" t="s">
        <v>1030</v>
      </c>
      <c r="J282" s="4" t="s">
        <v>73</v>
      </c>
      <c r="K282" s="4" t="s">
        <v>275</v>
      </c>
      <c r="L282" s="4" t="s">
        <v>40</v>
      </c>
      <c r="M282" s="4">
        <v>0</v>
      </c>
      <c r="N282" s="4" t="s">
        <v>272</v>
      </c>
      <c r="O282" s="4" t="s">
        <v>42</v>
      </c>
      <c r="P282" s="50" t="s">
        <v>43</v>
      </c>
      <c r="Q282" s="50" t="s">
        <v>36</v>
      </c>
      <c r="R282" s="50">
        <v>0</v>
      </c>
      <c r="S282" s="4" t="s">
        <v>36</v>
      </c>
    </row>
    <row r="283" spans="3:19" x14ac:dyDescent="0.25">
      <c r="C283" s="4" t="s">
        <v>690</v>
      </c>
      <c r="D283" s="4" t="s">
        <v>691</v>
      </c>
      <c r="E283" s="4" t="s">
        <v>692</v>
      </c>
      <c r="F283" s="4">
        <v>5</v>
      </c>
      <c r="G283" s="4" t="s">
        <v>376</v>
      </c>
      <c r="H283" s="4" t="s">
        <v>46</v>
      </c>
      <c r="I283" s="4" t="s">
        <v>1030</v>
      </c>
      <c r="J283" s="4" t="s">
        <v>248</v>
      </c>
      <c r="K283" s="4" t="s">
        <v>51</v>
      </c>
      <c r="L283" s="4" t="s">
        <v>40</v>
      </c>
      <c r="M283" s="4" t="s">
        <v>984</v>
      </c>
      <c r="N283" s="4" t="s">
        <v>690</v>
      </c>
      <c r="O283" s="4" t="s">
        <v>42</v>
      </c>
      <c r="P283" s="50" t="s">
        <v>440</v>
      </c>
      <c r="Q283" s="50">
        <v>40313027.819758102</v>
      </c>
      <c r="R283" s="50" t="s">
        <v>51</v>
      </c>
      <c r="S283" s="4" t="s">
        <v>43</v>
      </c>
    </row>
    <row r="284" spans="3:19" x14ac:dyDescent="0.25">
      <c r="C284" s="4" t="s">
        <v>276</v>
      </c>
      <c r="D284" s="4" t="s">
        <v>277</v>
      </c>
      <c r="E284" s="4" t="s">
        <v>278</v>
      </c>
      <c r="F284" s="4" t="s">
        <v>36</v>
      </c>
      <c r="G284" s="4" t="s">
        <v>37</v>
      </c>
      <c r="H284" s="4" t="s">
        <v>38</v>
      </c>
      <c r="I284" s="4" t="s">
        <v>1030</v>
      </c>
      <c r="J284" s="4" t="s">
        <v>84</v>
      </c>
      <c r="K284" s="4" t="s">
        <v>279</v>
      </c>
      <c r="L284" s="4" t="s">
        <v>55</v>
      </c>
      <c r="M284" s="4">
        <v>0</v>
      </c>
      <c r="N284" s="4" t="s">
        <v>276</v>
      </c>
      <c r="O284" s="4" t="s">
        <v>42</v>
      </c>
      <c r="P284" s="50" t="s">
        <v>43</v>
      </c>
      <c r="Q284" s="50" t="s">
        <v>36</v>
      </c>
      <c r="R284" s="50">
        <v>0</v>
      </c>
      <c r="S284" s="4" t="s">
        <v>36</v>
      </c>
    </row>
    <row r="285" spans="3:19" x14ac:dyDescent="0.25">
      <c r="C285" s="4" t="s">
        <v>731</v>
      </c>
      <c r="D285" s="4" t="s">
        <v>732</v>
      </c>
      <c r="E285" s="4" t="s">
        <v>54</v>
      </c>
      <c r="F285" s="4">
        <v>5</v>
      </c>
      <c r="G285" s="4" t="s">
        <v>376</v>
      </c>
      <c r="H285" s="4" t="s">
        <v>46</v>
      </c>
      <c r="I285" s="4" t="s">
        <v>1031</v>
      </c>
      <c r="J285" s="4" t="s">
        <v>84</v>
      </c>
      <c r="K285" s="4" t="s">
        <v>54</v>
      </c>
      <c r="L285" s="4" t="s">
        <v>55</v>
      </c>
      <c r="M285" s="4" t="s">
        <v>378</v>
      </c>
      <c r="N285" s="4" t="s">
        <v>731</v>
      </c>
      <c r="O285" s="4" t="s">
        <v>42</v>
      </c>
      <c r="P285" s="50" t="s">
        <v>440</v>
      </c>
      <c r="Q285" s="50">
        <v>26520760.13215863</v>
      </c>
      <c r="R285" s="50" t="s">
        <v>702</v>
      </c>
      <c r="S285" s="4" t="s">
        <v>43</v>
      </c>
    </row>
    <row r="286" spans="3:19" x14ac:dyDescent="0.25">
      <c r="C286" s="4" t="s">
        <v>453</v>
      </c>
      <c r="D286" s="4" t="s">
        <v>454</v>
      </c>
      <c r="E286" s="4" t="s">
        <v>454</v>
      </c>
      <c r="F286" s="4">
        <v>5</v>
      </c>
      <c r="G286" s="4" t="s">
        <v>376</v>
      </c>
      <c r="H286" s="4" t="s">
        <v>46</v>
      </c>
      <c r="I286" s="4" t="s">
        <v>1030</v>
      </c>
      <c r="J286" s="4" t="s">
        <v>94</v>
      </c>
      <c r="K286" s="4" t="s">
        <v>64</v>
      </c>
      <c r="L286" s="4" t="s">
        <v>40</v>
      </c>
      <c r="M286" s="4" t="s">
        <v>1035</v>
      </c>
      <c r="N286" s="4" t="s">
        <v>453</v>
      </c>
      <c r="O286" s="4" t="s">
        <v>42</v>
      </c>
      <c r="P286" s="50" t="s">
        <v>440</v>
      </c>
      <c r="Q286" s="50">
        <v>37073594.4295488</v>
      </c>
      <c r="R286" s="50" t="s">
        <v>423</v>
      </c>
      <c r="S286" s="4" t="s">
        <v>43</v>
      </c>
    </row>
    <row r="287" spans="3:19" x14ac:dyDescent="0.25">
      <c r="C287" s="4" t="s">
        <v>280</v>
      </c>
      <c r="D287" s="4" t="s">
        <v>281</v>
      </c>
      <c r="E287" s="4" t="s">
        <v>281</v>
      </c>
      <c r="F287" s="4" t="s">
        <v>36</v>
      </c>
      <c r="G287" s="4" t="s">
        <v>37</v>
      </c>
      <c r="H287" s="4" t="s">
        <v>38</v>
      </c>
      <c r="I287" s="4" t="s">
        <v>1030</v>
      </c>
      <c r="J287" s="4" t="s">
        <v>132</v>
      </c>
      <c r="K287" s="4" t="s">
        <v>64</v>
      </c>
      <c r="L287" s="4" t="s">
        <v>40</v>
      </c>
      <c r="M287" s="4">
        <v>0</v>
      </c>
      <c r="N287" s="4" t="s">
        <v>280</v>
      </c>
      <c r="O287" s="4" t="s">
        <v>42</v>
      </c>
      <c r="P287" s="50" t="s">
        <v>43</v>
      </c>
      <c r="Q287" s="50" t="s">
        <v>36</v>
      </c>
      <c r="R287" s="50">
        <v>0</v>
      </c>
      <c r="S287" s="4" t="s">
        <v>36</v>
      </c>
    </row>
    <row r="288" spans="3:19" x14ac:dyDescent="0.25">
      <c r="C288" s="4" t="s">
        <v>282</v>
      </c>
      <c r="D288" s="4" t="s">
        <v>283</v>
      </c>
      <c r="E288" s="4" t="s">
        <v>284</v>
      </c>
      <c r="F288" s="4" t="s">
        <v>36</v>
      </c>
      <c r="G288" s="4" t="s">
        <v>37</v>
      </c>
      <c r="H288" s="4" t="s">
        <v>38</v>
      </c>
      <c r="I288" s="4" t="s">
        <v>1030</v>
      </c>
      <c r="J288" s="4">
        <v>0</v>
      </c>
      <c r="K288" s="4" t="s">
        <v>279</v>
      </c>
      <c r="L288" s="4" t="s">
        <v>55</v>
      </c>
      <c r="M288" s="4">
        <v>0</v>
      </c>
      <c r="N288" s="4" t="s">
        <v>282</v>
      </c>
      <c r="O288" s="4" t="s">
        <v>42</v>
      </c>
      <c r="P288" s="50" t="s">
        <v>43</v>
      </c>
      <c r="Q288" s="50" t="s">
        <v>36</v>
      </c>
      <c r="R288" s="50">
        <v>0</v>
      </c>
      <c r="S288" s="4" t="s">
        <v>36</v>
      </c>
    </row>
    <row r="289" spans="3:19" x14ac:dyDescent="0.25">
      <c r="C289" s="4" t="s">
        <v>455</v>
      </c>
      <c r="D289" s="4" t="s">
        <v>456</v>
      </c>
      <c r="E289" s="4" t="s">
        <v>1002</v>
      </c>
      <c r="F289" s="4">
        <v>5</v>
      </c>
      <c r="G289" s="4" t="s">
        <v>376</v>
      </c>
      <c r="H289" s="4" t="s">
        <v>46</v>
      </c>
      <c r="I289" s="4" t="s">
        <v>1030</v>
      </c>
      <c r="J289" s="4" t="s">
        <v>94</v>
      </c>
      <c r="K289" s="4" t="s">
        <v>64</v>
      </c>
      <c r="L289" s="4" t="s">
        <v>40</v>
      </c>
      <c r="M289" s="4" t="s">
        <v>1035</v>
      </c>
      <c r="N289" s="4" t="s">
        <v>455</v>
      </c>
      <c r="O289" s="4" t="s">
        <v>42</v>
      </c>
      <c r="P289" s="50" t="s">
        <v>440</v>
      </c>
      <c r="Q289" s="50">
        <v>45949103.944959685</v>
      </c>
      <c r="R289" s="50" t="s">
        <v>423</v>
      </c>
      <c r="S289" s="4" t="s">
        <v>43</v>
      </c>
    </row>
    <row r="290" spans="3:19" x14ac:dyDescent="0.25">
      <c r="C290" s="4" t="s">
        <v>285</v>
      </c>
      <c r="D290" s="4" t="s">
        <v>286</v>
      </c>
      <c r="E290" s="4" t="s">
        <v>287</v>
      </c>
      <c r="F290" s="4" t="s">
        <v>36</v>
      </c>
      <c r="G290" s="4" t="s">
        <v>37</v>
      </c>
      <c r="H290" s="4" t="s">
        <v>38</v>
      </c>
      <c r="I290" s="4" t="s">
        <v>1030</v>
      </c>
      <c r="J290" s="4">
        <v>0</v>
      </c>
      <c r="K290" s="4" t="s">
        <v>51</v>
      </c>
      <c r="L290" s="4" t="s">
        <v>40</v>
      </c>
      <c r="M290" s="4">
        <v>0</v>
      </c>
      <c r="N290" s="4" t="s">
        <v>285</v>
      </c>
      <c r="O290" s="4" t="s">
        <v>42</v>
      </c>
      <c r="P290" s="50" t="s">
        <v>43</v>
      </c>
      <c r="Q290" s="50" t="s">
        <v>36</v>
      </c>
      <c r="R290" s="50">
        <v>0</v>
      </c>
      <c r="S290" s="4" t="s">
        <v>36</v>
      </c>
    </row>
    <row r="291" spans="3:19" x14ac:dyDescent="0.25">
      <c r="C291" s="4" t="s">
        <v>288</v>
      </c>
      <c r="D291" s="4" t="s">
        <v>289</v>
      </c>
      <c r="E291" s="4" t="s">
        <v>290</v>
      </c>
      <c r="F291" s="4" t="s">
        <v>36</v>
      </c>
      <c r="G291" s="4" t="s">
        <v>37</v>
      </c>
      <c r="H291" s="4" t="s">
        <v>38</v>
      </c>
      <c r="I291" s="4" t="s">
        <v>1030</v>
      </c>
      <c r="J291" s="4">
        <v>0</v>
      </c>
      <c r="K291" s="4" t="s">
        <v>59</v>
      </c>
      <c r="L291" s="4" t="s">
        <v>40</v>
      </c>
      <c r="M291" s="4">
        <v>0</v>
      </c>
      <c r="N291" s="4" t="s">
        <v>288</v>
      </c>
      <c r="O291" s="4" t="s">
        <v>42</v>
      </c>
      <c r="P291" s="50" t="s">
        <v>43</v>
      </c>
      <c r="Q291" s="50" t="s">
        <v>36</v>
      </c>
      <c r="R291" s="50">
        <v>0</v>
      </c>
      <c r="S291" s="4" t="s">
        <v>36</v>
      </c>
    </row>
    <row r="292" spans="3:19" x14ac:dyDescent="0.25">
      <c r="C292" s="4" t="s">
        <v>291</v>
      </c>
      <c r="D292" s="4" t="s">
        <v>292</v>
      </c>
      <c r="E292" s="4" t="s">
        <v>292</v>
      </c>
      <c r="F292" s="4" t="s">
        <v>36</v>
      </c>
      <c r="G292" s="4" t="s">
        <v>37</v>
      </c>
      <c r="H292" s="4" t="s">
        <v>38</v>
      </c>
      <c r="I292" s="4" t="s">
        <v>1030</v>
      </c>
      <c r="J292" s="4" t="s">
        <v>94</v>
      </c>
      <c r="K292" s="4" t="s">
        <v>51</v>
      </c>
      <c r="L292" s="4" t="s">
        <v>40</v>
      </c>
      <c r="M292" s="4">
        <v>0</v>
      </c>
      <c r="N292" s="4" t="s">
        <v>291</v>
      </c>
      <c r="O292" s="4" t="s">
        <v>42</v>
      </c>
      <c r="P292" s="50" t="s">
        <v>43</v>
      </c>
      <c r="Q292" s="50" t="s">
        <v>36</v>
      </c>
      <c r="R292" s="50">
        <v>0</v>
      </c>
      <c r="S292" s="4" t="s">
        <v>36</v>
      </c>
    </row>
    <row r="293" spans="3:19" x14ac:dyDescent="0.25">
      <c r="C293" s="4" t="s">
        <v>293</v>
      </c>
      <c r="D293" s="4" t="s">
        <v>294</v>
      </c>
      <c r="E293" s="4" t="s">
        <v>294</v>
      </c>
      <c r="F293" s="4" t="s">
        <v>36</v>
      </c>
      <c r="G293" s="4" t="s">
        <v>37</v>
      </c>
      <c r="H293" s="4" t="s">
        <v>38</v>
      </c>
      <c r="I293" s="4" t="s">
        <v>1030</v>
      </c>
      <c r="J293" s="4" t="s">
        <v>73</v>
      </c>
      <c r="K293" s="4" t="s">
        <v>64</v>
      </c>
      <c r="L293" s="4" t="s">
        <v>40</v>
      </c>
      <c r="M293" s="4">
        <v>0</v>
      </c>
      <c r="N293" s="4" t="s">
        <v>293</v>
      </c>
      <c r="O293" s="4" t="s">
        <v>42</v>
      </c>
      <c r="P293" s="50" t="s">
        <v>43</v>
      </c>
      <c r="Q293" s="50" t="s">
        <v>36</v>
      </c>
      <c r="R293" s="50">
        <v>0</v>
      </c>
      <c r="S293" s="4" t="s">
        <v>36</v>
      </c>
    </row>
    <row r="294" spans="3:19" x14ac:dyDescent="0.25">
      <c r="C294" s="4" t="s">
        <v>295</v>
      </c>
      <c r="D294" s="4" t="s">
        <v>296</v>
      </c>
      <c r="E294" s="4" t="s">
        <v>297</v>
      </c>
      <c r="F294" s="4" t="s">
        <v>36</v>
      </c>
      <c r="G294" s="4" t="s">
        <v>37</v>
      </c>
      <c r="H294" s="4" t="s">
        <v>38</v>
      </c>
      <c r="I294" s="4" t="s">
        <v>1030</v>
      </c>
      <c r="J294" s="4" t="s">
        <v>94</v>
      </c>
      <c r="K294" s="4" t="s">
        <v>64</v>
      </c>
      <c r="L294" s="4" t="s">
        <v>40</v>
      </c>
      <c r="M294" s="4">
        <v>0</v>
      </c>
      <c r="N294" s="4" t="s">
        <v>295</v>
      </c>
      <c r="O294" s="4" t="s">
        <v>42</v>
      </c>
      <c r="P294" s="50" t="s">
        <v>43</v>
      </c>
      <c r="Q294" s="50" t="s">
        <v>36</v>
      </c>
      <c r="R294" s="50">
        <v>0</v>
      </c>
      <c r="S294" s="4" t="s">
        <v>36</v>
      </c>
    </row>
    <row r="295" spans="3:19" x14ac:dyDescent="0.25">
      <c r="C295" s="4" t="s">
        <v>298</v>
      </c>
      <c r="D295" s="4" t="s">
        <v>299</v>
      </c>
      <c r="E295" s="4" t="s">
        <v>300</v>
      </c>
      <c r="F295" s="4" t="s">
        <v>36</v>
      </c>
      <c r="G295" s="4" t="s">
        <v>37</v>
      </c>
      <c r="H295" s="4" t="s">
        <v>38</v>
      </c>
      <c r="I295" s="4" t="s">
        <v>1030</v>
      </c>
      <c r="J295" s="4" t="s">
        <v>58</v>
      </c>
      <c r="K295" s="4" t="s">
        <v>59</v>
      </c>
      <c r="L295" s="4" t="s">
        <v>40</v>
      </c>
      <c r="M295" s="4">
        <v>0</v>
      </c>
      <c r="N295" s="4" t="s">
        <v>298</v>
      </c>
      <c r="O295" s="4" t="s">
        <v>42</v>
      </c>
      <c r="P295" s="50" t="s">
        <v>43</v>
      </c>
      <c r="Q295" s="50" t="s">
        <v>36</v>
      </c>
      <c r="R295" s="50">
        <v>0</v>
      </c>
      <c r="S295" s="4" t="s">
        <v>36</v>
      </c>
    </row>
    <row r="296" spans="3:19" x14ac:dyDescent="0.25">
      <c r="C296" s="4" t="s">
        <v>794</v>
      </c>
      <c r="D296" s="4" t="s">
        <v>795</v>
      </c>
      <c r="E296" s="4" t="s">
        <v>795</v>
      </c>
      <c r="F296" s="4">
        <v>0</v>
      </c>
      <c r="G296" s="4" t="s">
        <v>37</v>
      </c>
      <c r="H296" s="4" t="s">
        <v>46</v>
      </c>
      <c r="I296" s="4" t="s">
        <v>1031</v>
      </c>
      <c r="J296" s="4" t="s">
        <v>89</v>
      </c>
      <c r="K296" s="4" t="s">
        <v>109</v>
      </c>
      <c r="L296" s="4" t="s">
        <v>91</v>
      </c>
      <c r="M296" s="4" t="s">
        <v>378</v>
      </c>
      <c r="N296" s="4" t="s">
        <v>794</v>
      </c>
      <c r="O296" s="4" t="s">
        <v>42</v>
      </c>
      <c r="P296" s="50" t="s">
        <v>43</v>
      </c>
      <c r="Q296" s="50" t="s">
        <v>36</v>
      </c>
      <c r="R296" s="50" t="s">
        <v>772</v>
      </c>
      <c r="S296" s="4" t="s">
        <v>36</v>
      </c>
    </row>
    <row r="297" spans="3:19" x14ac:dyDescent="0.25">
      <c r="C297" s="4" t="s">
        <v>620</v>
      </c>
      <c r="D297" s="4" t="s">
        <v>622</v>
      </c>
      <c r="E297" s="4" t="s">
        <v>622</v>
      </c>
      <c r="F297" s="4">
        <v>5</v>
      </c>
      <c r="G297" s="4" t="s">
        <v>376</v>
      </c>
      <c r="H297" s="4" t="s">
        <v>46</v>
      </c>
      <c r="I297" s="4" t="s">
        <v>1030</v>
      </c>
      <c r="J297" s="4" t="s">
        <v>50</v>
      </c>
      <c r="K297" s="4" t="s">
        <v>59</v>
      </c>
      <c r="L297" s="4" t="s">
        <v>40</v>
      </c>
      <c r="M297" s="4" t="s">
        <v>514</v>
      </c>
      <c r="N297" s="4" t="s">
        <v>620</v>
      </c>
      <c r="O297" s="4" t="s">
        <v>42</v>
      </c>
      <c r="P297" s="50" t="s">
        <v>43</v>
      </c>
      <c r="Q297" s="50">
        <v>36058936.801244996</v>
      </c>
      <c r="R297" s="50" t="s">
        <v>597</v>
      </c>
      <c r="S297" s="4" t="s">
        <v>43</v>
      </c>
    </row>
    <row r="298" spans="3:19" x14ac:dyDescent="0.25">
      <c r="C298" s="4" t="s">
        <v>733</v>
      </c>
      <c r="D298" s="4" t="s">
        <v>734</v>
      </c>
      <c r="E298" s="4" t="s">
        <v>735</v>
      </c>
      <c r="F298" s="4">
        <v>6</v>
      </c>
      <c r="G298" s="4" t="s">
        <v>376</v>
      </c>
      <c r="H298" s="4" t="s">
        <v>46</v>
      </c>
      <c r="I298" s="4" t="s">
        <v>1031</v>
      </c>
      <c r="J298" s="4" t="s">
        <v>84</v>
      </c>
      <c r="K298" s="4" t="s">
        <v>54</v>
      </c>
      <c r="L298" s="4" t="s">
        <v>55</v>
      </c>
      <c r="M298" s="4" t="s">
        <v>378</v>
      </c>
      <c r="N298" s="4" t="s">
        <v>733</v>
      </c>
      <c r="O298" s="4" t="s">
        <v>42</v>
      </c>
      <c r="P298" s="50" t="s">
        <v>43</v>
      </c>
      <c r="Q298" s="50">
        <v>63391139.742829196</v>
      </c>
      <c r="R298" s="50" t="s">
        <v>702</v>
      </c>
      <c r="S298" s="4" t="s">
        <v>43</v>
      </c>
    </row>
    <row r="299" spans="3:19" x14ac:dyDescent="0.25">
      <c r="C299" s="4" t="s">
        <v>301</v>
      </c>
      <c r="D299" s="4" t="s">
        <v>302</v>
      </c>
      <c r="E299" s="4" t="s">
        <v>303</v>
      </c>
      <c r="F299" s="4" t="s">
        <v>36</v>
      </c>
      <c r="G299" s="4" t="s">
        <v>37</v>
      </c>
      <c r="H299" s="4" t="s">
        <v>38</v>
      </c>
      <c r="I299" s="4" t="s">
        <v>1030</v>
      </c>
      <c r="J299" s="4" t="s">
        <v>132</v>
      </c>
      <c r="K299" s="4" t="s">
        <v>133</v>
      </c>
      <c r="L299" s="4" t="s">
        <v>40</v>
      </c>
      <c r="M299" s="4">
        <v>0</v>
      </c>
      <c r="N299" s="4" t="s">
        <v>301</v>
      </c>
      <c r="O299" s="4" t="s">
        <v>42</v>
      </c>
      <c r="P299" s="50" t="s">
        <v>43</v>
      </c>
      <c r="Q299" s="50" t="s">
        <v>36</v>
      </c>
      <c r="R299" s="50">
        <v>0</v>
      </c>
      <c r="S299" s="4" t="s">
        <v>36</v>
      </c>
    </row>
    <row r="300" spans="3:19" x14ac:dyDescent="0.25">
      <c r="C300" s="4" t="s">
        <v>505</v>
      </c>
      <c r="D300" s="4" t="s">
        <v>506</v>
      </c>
      <c r="E300" s="4" t="s">
        <v>506</v>
      </c>
      <c r="F300" s="4">
        <v>5</v>
      </c>
      <c r="G300" s="4" t="s">
        <v>376</v>
      </c>
      <c r="H300" s="4" t="s">
        <v>46</v>
      </c>
      <c r="I300" s="4" t="s">
        <v>1030</v>
      </c>
      <c r="J300" s="4" t="s">
        <v>466</v>
      </c>
      <c r="K300" s="4" t="s">
        <v>51</v>
      </c>
      <c r="L300" s="4" t="s">
        <v>40</v>
      </c>
      <c r="M300" s="4" t="s">
        <v>1035</v>
      </c>
      <c r="N300" s="4" t="s">
        <v>505</v>
      </c>
      <c r="O300" s="4" t="s">
        <v>42</v>
      </c>
      <c r="P300" s="50" t="s">
        <v>43</v>
      </c>
      <c r="Q300" s="50">
        <v>36101155.951210409</v>
      </c>
      <c r="R300" s="50" t="s">
        <v>467</v>
      </c>
      <c r="S300" s="4" t="s">
        <v>43</v>
      </c>
    </row>
    <row r="301" spans="3:19" x14ac:dyDescent="0.25">
      <c r="C301" s="4" t="s">
        <v>304</v>
      </c>
      <c r="D301" s="4" t="s">
        <v>305</v>
      </c>
      <c r="E301" s="4" t="s">
        <v>305</v>
      </c>
      <c r="F301" s="4" t="s">
        <v>36</v>
      </c>
      <c r="G301" s="4" t="s">
        <v>37</v>
      </c>
      <c r="H301" s="4" t="s">
        <v>81</v>
      </c>
      <c r="I301" s="4" t="s">
        <v>1030</v>
      </c>
      <c r="J301" s="4" t="s">
        <v>132</v>
      </c>
      <c r="K301" s="4" t="s">
        <v>51</v>
      </c>
      <c r="L301" s="4" t="s">
        <v>40</v>
      </c>
      <c r="M301" s="4">
        <v>0</v>
      </c>
      <c r="N301" s="4" t="s">
        <v>304</v>
      </c>
      <c r="O301" s="4" t="s">
        <v>42</v>
      </c>
      <c r="P301" s="50" t="s">
        <v>43</v>
      </c>
      <c r="Q301" s="50" t="s">
        <v>36</v>
      </c>
      <c r="R301" s="50">
        <v>0</v>
      </c>
      <c r="S301" s="4" t="s">
        <v>36</v>
      </c>
    </row>
    <row r="302" spans="3:19" x14ac:dyDescent="0.25">
      <c r="C302" s="4" t="s">
        <v>306</v>
      </c>
      <c r="D302" s="4" t="s">
        <v>307</v>
      </c>
      <c r="E302" s="4" t="s">
        <v>307</v>
      </c>
      <c r="F302" s="4" t="s">
        <v>36</v>
      </c>
      <c r="G302" s="4" t="s">
        <v>37</v>
      </c>
      <c r="H302" s="4" t="s">
        <v>46</v>
      </c>
      <c r="I302" s="4" t="s">
        <v>1030</v>
      </c>
      <c r="J302" s="4">
        <v>0</v>
      </c>
      <c r="K302" s="4" t="s">
        <v>138</v>
      </c>
      <c r="L302" s="4" t="s">
        <v>40</v>
      </c>
      <c r="M302" s="4">
        <v>0</v>
      </c>
      <c r="N302" s="4" t="s">
        <v>306</v>
      </c>
      <c r="O302" s="4" t="s">
        <v>42</v>
      </c>
      <c r="P302" s="50" t="s">
        <v>43</v>
      </c>
      <c r="Q302" s="50" t="s">
        <v>36</v>
      </c>
      <c r="R302" s="50">
        <v>0</v>
      </c>
      <c r="S302" s="4" t="s">
        <v>36</v>
      </c>
    </row>
    <row r="303" spans="3:19" x14ac:dyDescent="0.25">
      <c r="C303" s="4" t="s">
        <v>308</v>
      </c>
      <c r="D303" s="4" t="s">
        <v>309</v>
      </c>
      <c r="E303" s="4" t="s">
        <v>309</v>
      </c>
      <c r="F303" s="4" t="s">
        <v>36</v>
      </c>
      <c r="G303" s="4" t="s">
        <v>37</v>
      </c>
      <c r="H303" s="4" t="s">
        <v>46</v>
      </c>
      <c r="I303" s="4" t="s">
        <v>1030</v>
      </c>
      <c r="J303" s="4">
        <v>0</v>
      </c>
      <c r="K303" s="4" t="s">
        <v>279</v>
      </c>
      <c r="L303" s="4" t="s">
        <v>55</v>
      </c>
      <c r="M303" s="4">
        <v>0</v>
      </c>
      <c r="N303" s="4" t="s">
        <v>308</v>
      </c>
      <c r="O303" s="4" t="s">
        <v>42</v>
      </c>
      <c r="P303" s="50" t="s">
        <v>43</v>
      </c>
      <c r="Q303" s="50" t="s">
        <v>36</v>
      </c>
      <c r="R303" s="50">
        <v>0</v>
      </c>
      <c r="S303" s="4" t="s">
        <v>36</v>
      </c>
    </row>
    <row r="304" spans="3:19" x14ac:dyDescent="0.25">
      <c r="C304" s="4" t="s">
        <v>310</v>
      </c>
      <c r="D304" s="4" t="s">
        <v>311</v>
      </c>
      <c r="E304" s="4" t="s">
        <v>312</v>
      </c>
      <c r="F304" s="4" t="s">
        <v>36</v>
      </c>
      <c r="G304" s="4" t="s">
        <v>37</v>
      </c>
      <c r="H304" s="4" t="s">
        <v>81</v>
      </c>
      <c r="I304" s="4" t="s">
        <v>1030</v>
      </c>
      <c r="J304" s="4" t="s">
        <v>160</v>
      </c>
      <c r="K304" s="4" t="s">
        <v>64</v>
      </c>
      <c r="L304" s="4" t="s">
        <v>40</v>
      </c>
      <c r="M304" s="4">
        <v>0</v>
      </c>
      <c r="N304" s="4" t="s">
        <v>310</v>
      </c>
      <c r="O304" s="4" t="s">
        <v>42</v>
      </c>
      <c r="P304" s="50" t="s">
        <v>43</v>
      </c>
      <c r="Q304" s="50" t="s">
        <v>36</v>
      </c>
      <c r="R304" s="50">
        <v>0</v>
      </c>
      <c r="S304" s="4" t="s">
        <v>36</v>
      </c>
    </row>
    <row r="305" spans="3:19" x14ac:dyDescent="0.25">
      <c r="C305" s="4" t="s">
        <v>968</v>
      </c>
      <c r="D305" s="4" t="s">
        <v>969</v>
      </c>
      <c r="E305" s="4" t="s">
        <v>969</v>
      </c>
      <c r="F305" s="4">
        <v>5</v>
      </c>
      <c r="G305" s="4" t="s">
        <v>376</v>
      </c>
      <c r="H305" s="4" t="s">
        <v>46</v>
      </c>
      <c r="I305" s="4" t="s">
        <v>1030</v>
      </c>
      <c r="J305" s="4" t="s">
        <v>160</v>
      </c>
      <c r="K305" s="4" t="s">
        <v>39</v>
      </c>
      <c r="L305" s="4" t="s">
        <v>40</v>
      </c>
      <c r="M305" s="4" t="s">
        <v>984</v>
      </c>
      <c r="N305" s="4" t="s">
        <v>968</v>
      </c>
      <c r="O305" s="4" t="s">
        <v>42</v>
      </c>
      <c r="P305" s="50" t="s">
        <v>440</v>
      </c>
      <c r="Q305" s="50">
        <v>30401971.241418313</v>
      </c>
      <c r="R305" s="50" t="s">
        <v>931</v>
      </c>
      <c r="S305" s="4" t="s">
        <v>43</v>
      </c>
    </row>
    <row r="306" spans="3:19" x14ac:dyDescent="0.25">
      <c r="C306" s="4" t="s">
        <v>313</v>
      </c>
      <c r="D306" s="4" t="s">
        <v>314</v>
      </c>
      <c r="E306" s="4" t="s">
        <v>314</v>
      </c>
      <c r="F306" s="4" t="s">
        <v>36</v>
      </c>
      <c r="G306" s="4" t="s">
        <v>37</v>
      </c>
      <c r="H306" s="4" t="s">
        <v>81</v>
      </c>
      <c r="I306" s="4" t="s">
        <v>1030</v>
      </c>
      <c r="J306" s="4">
        <v>0</v>
      </c>
      <c r="K306" s="4" t="s">
        <v>315</v>
      </c>
      <c r="L306" s="4" t="s">
        <v>40</v>
      </c>
      <c r="M306" s="4">
        <v>0</v>
      </c>
      <c r="N306" s="4" t="s">
        <v>313</v>
      </c>
      <c r="O306" s="4" t="s">
        <v>42</v>
      </c>
      <c r="P306" s="50" t="s">
        <v>43</v>
      </c>
      <c r="Q306" s="50" t="s">
        <v>36</v>
      </c>
      <c r="R306" s="50">
        <v>0</v>
      </c>
      <c r="S306" s="4" t="s">
        <v>36</v>
      </c>
    </row>
    <row r="307" spans="3:19" x14ac:dyDescent="0.25">
      <c r="C307" s="4" t="s">
        <v>823</v>
      </c>
      <c r="D307" s="4" t="s">
        <v>824</v>
      </c>
      <c r="E307" s="4" t="s">
        <v>824</v>
      </c>
      <c r="F307" s="4">
        <v>5</v>
      </c>
      <c r="G307" s="4" t="s">
        <v>376</v>
      </c>
      <c r="H307" s="4" t="s">
        <v>46</v>
      </c>
      <c r="I307" s="4" t="s">
        <v>1030</v>
      </c>
      <c r="J307" s="4" t="s">
        <v>146</v>
      </c>
      <c r="K307" s="4" t="s">
        <v>59</v>
      </c>
      <c r="L307" s="4" t="s">
        <v>40</v>
      </c>
      <c r="M307" s="4" t="s">
        <v>1035</v>
      </c>
      <c r="N307" s="4" t="s">
        <v>823</v>
      </c>
      <c r="O307" s="4" t="s">
        <v>42</v>
      </c>
      <c r="P307" s="50" t="s">
        <v>43</v>
      </c>
      <c r="Q307" s="50">
        <v>37382366.273336999</v>
      </c>
      <c r="R307" s="50" t="s">
        <v>799</v>
      </c>
      <c r="S307" s="4" t="s">
        <v>43</v>
      </c>
    </row>
    <row r="308" spans="3:19" x14ac:dyDescent="0.25">
      <c r="C308" s="4" t="s">
        <v>316</v>
      </c>
      <c r="D308" s="4" t="s">
        <v>317</v>
      </c>
      <c r="E308" s="4" t="s">
        <v>318</v>
      </c>
      <c r="F308" s="4" t="s">
        <v>36</v>
      </c>
      <c r="G308" s="4" t="s">
        <v>37</v>
      </c>
      <c r="H308" s="4" t="s">
        <v>81</v>
      </c>
      <c r="I308" s="4" t="s">
        <v>1030</v>
      </c>
      <c r="J308" s="4" t="s">
        <v>67</v>
      </c>
      <c r="K308" s="4" t="s">
        <v>59</v>
      </c>
      <c r="L308" s="4" t="s">
        <v>40</v>
      </c>
      <c r="M308" s="4">
        <v>0</v>
      </c>
      <c r="N308" s="4" t="s">
        <v>316</v>
      </c>
      <c r="O308" s="4" t="s">
        <v>42</v>
      </c>
      <c r="P308" s="50" t="s">
        <v>43</v>
      </c>
      <c r="Q308" s="50" t="s">
        <v>36</v>
      </c>
      <c r="R308" s="50">
        <v>0</v>
      </c>
      <c r="S308" s="4" t="s">
        <v>36</v>
      </c>
    </row>
    <row r="309" spans="3:19" x14ac:dyDescent="0.25">
      <c r="C309" s="4" t="s">
        <v>319</v>
      </c>
      <c r="D309" s="4" t="s">
        <v>320</v>
      </c>
      <c r="E309" s="4" t="s">
        <v>320</v>
      </c>
      <c r="F309" s="4" t="s">
        <v>36</v>
      </c>
      <c r="G309" s="4" t="s">
        <v>37</v>
      </c>
      <c r="H309" s="4" t="s">
        <v>46</v>
      </c>
      <c r="I309" s="4" t="s">
        <v>1030</v>
      </c>
      <c r="J309" s="4">
        <v>0</v>
      </c>
      <c r="K309" s="4" t="s">
        <v>97</v>
      </c>
      <c r="L309" s="4" t="s">
        <v>40</v>
      </c>
      <c r="M309" s="4">
        <v>0</v>
      </c>
      <c r="N309" s="4" t="s">
        <v>319</v>
      </c>
      <c r="O309" s="4" t="s">
        <v>42</v>
      </c>
      <c r="P309" s="50" t="s">
        <v>43</v>
      </c>
      <c r="Q309" s="50" t="s">
        <v>36</v>
      </c>
      <c r="R309" s="50">
        <v>0</v>
      </c>
      <c r="S309" s="4" t="s">
        <v>36</v>
      </c>
    </row>
    <row r="310" spans="3:19" x14ac:dyDescent="0.25">
      <c r="C310" s="4" t="s">
        <v>321</v>
      </c>
      <c r="D310" s="4" t="s">
        <v>322</v>
      </c>
      <c r="E310" s="4" t="s">
        <v>322</v>
      </c>
      <c r="F310" s="4" t="s">
        <v>36</v>
      </c>
      <c r="G310" s="4" t="s">
        <v>37</v>
      </c>
      <c r="H310" s="4" t="s">
        <v>81</v>
      </c>
      <c r="I310" s="4" t="s">
        <v>1030</v>
      </c>
      <c r="J310" s="4" t="s">
        <v>50</v>
      </c>
      <c r="K310" s="4" t="s">
        <v>51</v>
      </c>
      <c r="L310" s="4" t="s">
        <v>40</v>
      </c>
      <c r="M310" s="4">
        <v>0</v>
      </c>
      <c r="N310" s="4" t="s">
        <v>321</v>
      </c>
      <c r="O310" s="4" t="s">
        <v>42</v>
      </c>
      <c r="P310" s="50" t="s">
        <v>43</v>
      </c>
      <c r="Q310" s="50" t="s">
        <v>36</v>
      </c>
      <c r="R310" s="50">
        <v>0</v>
      </c>
      <c r="S310" s="4" t="s">
        <v>36</v>
      </c>
    </row>
    <row r="311" spans="3:19" x14ac:dyDescent="0.25">
      <c r="C311" s="4" t="s">
        <v>457</v>
      </c>
      <c r="D311" s="4" t="s">
        <v>458</v>
      </c>
      <c r="E311" s="4" t="s">
        <v>458</v>
      </c>
      <c r="F311" s="4">
        <v>5</v>
      </c>
      <c r="G311" s="4" t="s">
        <v>376</v>
      </c>
      <c r="H311" s="4" t="s">
        <v>81</v>
      </c>
      <c r="I311" s="4" t="s">
        <v>1030</v>
      </c>
      <c r="J311" s="4" t="s">
        <v>94</v>
      </c>
      <c r="K311" s="4" t="s">
        <v>205</v>
      </c>
      <c r="L311" s="4" t="s">
        <v>40</v>
      </c>
      <c r="M311" s="4" t="s">
        <v>1035</v>
      </c>
      <c r="N311" s="4" t="s">
        <v>457</v>
      </c>
      <c r="O311" s="4" t="s">
        <v>42</v>
      </c>
      <c r="P311" s="50" t="s">
        <v>43</v>
      </c>
      <c r="Q311" s="50">
        <v>50653228.27036716</v>
      </c>
      <c r="R311" s="50" t="s">
        <v>423</v>
      </c>
      <c r="S311" s="4" t="s">
        <v>440</v>
      </c>
    </row>
    <row r="312" spans="3:19" x14ac:dyDescent="0.25">
      <c r="C312" s="4" t="s">
        <v>323</v>
      </c>
      <c r="D312" s="4" t="s">
        <v>324</v>
      </c>
      <c r="E312" s="4" t="s">
        <v>324</v>
      </c>
      <c r="F312" s="4" t="s">
        <v>36</v>
      </c>
      <c r="G312" s="4" t="s">
        <v>37</v>
      </c>
      <c r="H312" s="4" t="s">
        <v>46</v>
      </c>
      <c r="I312" s="4" t="s">
        <v>1030</v>
      </c>
      <c r="J312" s="4" t="s">
        <v>58</v>
      </c>
      <c r="K312" s="4" t="s">
        <v>138</v>
      </c>
      <c r="L312" s="4" t="s">
        <v>40</v>
      </c>
      <c r="M312" s="4">
        <v>0</v>
      </c>
      <c r="N312" s="4" t="s">
        <v>323</v>
      </c>
      <c r="O312" s="4" t="s">
        <v>42</v>
      </c>
      <c r="P312" s="50" t="s">
        <v>43</v>
      </c>
      <c r="Q312" s="50" t="s">
        <v>36</v>
      </c>
      <c r="R312" s="50">
        <v>0</v>
      </c>
      <c r="S312" s="4" t="s">
        <v>36</v>
      </c>
    </row>
    <row r="313" spans="3:19" x14ac:dyDescent="0.25">
      <c r="C313" s="4" t="s">
        <v>325</v>
      </c>
      <c r="D313" s="4" t="s">
        <v>326</v>
      </c>
      <c r="E313" s="4" t="s">
        <v>326</v>
      </c>
      <c r="F313" s="4" t="s">
        <v>36</v>
      </c>
      <c r="G313" s="4" t="s">
        <v>37</v>
      </c>
      <c r="H313" s="4" t="s">
        <v>46</v>
      </c>
      <c r="I313" s="4" t="s">
        <v>1030</v>
      </c>
      <c r="J313" s="4" t="s">
        <v>67</v>
      </c>
      <c r="K313" s="4" t="s">
        <v>59</v>
      </c>
      <c r="L313" s="4" t="s">
        <v>40</v>
      </c>
      <c r="M313" s="4">
        <v>0</v>
      </c>
      <c r="N313" s="4" t="s">
        <v>325</v>
      </c>
      <c r="O313" s="4" t="s">
        <v>42</v>
      </c>
      <c r="P313" s="50" t="s">
        <v>43</v>
      </c>
      <c r="Q313" s="50" t="s">
        <v>36</v>
      </c>
      <c r="R313" s="50">
        <v>0</v>
      </c>
      <c r="S313" s="4" t="s">
        <v>36</v>
      </c>
    </row>
    <row r="314" spans="3:19" x14ac:dyDescent="0.25">
      <c r="C314" s="4" t="s">
        <v>459</v>
      </c>
      <c r="D314" s="4" t="s">
        <v>460</v>
      </c>
      <c r="E314" s="4" t="s">
        <v>460</v>
      </c>
      <c r="F314" s="4">
        <v>5</v>
      </c>
      <c r="G314" s="4" t="s">
        <v>376</v>
      </c>
      <c r="H314" s="4" t="s">
        <v>46</v>
      </c>
      <c r="I314" s="4" t="s">
        <v>1030</v>
      </c>
      <c r="J314" s="4" t="s">
        <v>94</v>
      </c>
      <c r="K314" s="4" t="s">
        <v>64</v>
      </c>
      <c r="L314" s="4" t="s">
        <v>40</v>
      </c>
      <c r="M314" s="4" t="s">
        <v>1035</v>
      </c>
      <c r="N314" s="4" t="s">
        <v>459</v>
      </c>
      <c r="O314" s="4" t="s">
        <v>42</v>
      </c>
      <c r="P314" s="50" t="s">
        <v>43</v>
      </c>
      <c r="Q314" s="50">
        <v>43603136.413714305</v>
      </c>
      <c r="R314" s="50" t="s">
        <v>423</v>
      </c>
      <c r="S314" s="4" t="s">
        <v>43</v>
      </c>
    </row>
    <row r="315" spans="3:19" x14ac:dyDescent="0.25">
      <c r="C315" s="4" t="s">
        <v>919</v>
      </c>
      <c r="D315" s="4" t="s">
        <v>920</v>
      </c>
      <c r="E315" s="4" t="s">
        <v>920</v>
      </c>
      <c r="F315" s="4">
        <v>5</v>
      </c>
      <c r="G315" s="4" t="s">
        <v>376</v>
      </c>
      <c r="H315" s="4" t="s">
        <v>81</v>
      </c>
      <c r="I315" s="4" t="s">
        <v>1030</v>
      </c>
      <c r="J315" s="4" t="s">
        <v>73</v>
      </c>
      <c r="K315" s="4" t="s">
        <v>315</v>
      </c>
      <c r="L315" s="4" t="s">
        <v>40</v>
      </c>
      <c r="M315" s="4" t="s">
        <v>514</v>
      </c>
      <c r="N315" s="4" t="s">
        <v>919</v>
      </c>
      <c r="O315" s="4" t="s">
        <v>42</v>
      </c>
      <c r="P315" s="50" t="s">
        <v>43</v>
      </c>
      <c r="Q315" s="50">
        <v>28819268.935949974</v>
      </c>
      <c r="R315" s="50" t="s">
        <v>886</v>
      </c>
      <c r="S315" s="4" t="s">
        <v>43</v>
      </c>
    </row>
    <row r="316" spans="3:19" x14ac:dyDescent="0.25">
      <c r="C316" s="4" t="s">
        <v>610</v>
      </c>
      <c r="D316" s="4" t="s">
        <v>611</v>
      </c>
      <c r="E316" s="4" t="s">
        <v>611</v>
      </c>
      <c r="F316" s="4">
        <v>5</v>
      </c>
      <c r="G316" s="4" t="s">
        <v>376</v>
      </c>
      <c r="H316" s="4" t="s">
        <v>81</v>
      </c>
      <c r="I316" s="4" t="s">
        <v>1030</v>
      </c>
      <c r="J316" s="4" t="s">
        <v>50</v>
      </c>
      <c r="K316" s="4" t="s">
        <v>59</v>
      </c>
      <c r="L316" s="4" t="s">
        <v>40</v>
      </c>
      <c r="M316" s="4" t="s">
        <v>514</v>
      </c>
      <c r="N316" s="4" t="s">
        <v>610</v>
      </c>
      <c r="O316" s="4" t="s">
        <v>42</v>
      </c>
      <c r="P316" s="50" t="s">
        <v>43</v>
      </c>
      <c r="Q316" s="50">
        <v>35471499.312201388</v>
      </c>
      <c r="R316" s="50" t="s">
        <v>597</v>
      </c>
      <c r="S316" s="4" t="s">
        <v>43</v>
      </c>
    </row>
    <row r="317" spans="3:19" x14ac:dyDescent="0.25">
      <c r="C317" s="4" t="s">
        <v>461</v>
      </c>
      <c r="D317" s="4" t="s">
        <v>462</v>
      </c>
      <c r="E317" s="4" t="s">
        <v>462</v>
      </c>
      <c r="F317" s="4">
        <v>5</v>
      </c>
      <c r="G317" s="4" t="s">
        <v>376</v>
      </c>
      <c r="H317" s="4" t="s">
        <v>46</v>
      </c>
      <c r="I317" s="4" t="s">
        <v>1030</v>
      </c>
      <c r="J317" s="4" t="s">
        <v>94</v>
      </c>
      <c r="K317" s="4" t="s">
        <v>64</v>
      </c>
      <c r="L317" s="4" t="s">
        <v>40</v>
      </c>
      <c r="M317" s="4" t="s">
        <v>1035</v>
      </c>
      <c r="N317" s="4" t="s">
        <v>461</v>
      </c>
      <c r="O317" s="4" t="s">
        <v>42</v>
      </c>
      <c r="P317" s="50" t="s">
        <v>440</v>
      </c>
      <c r="Q317" s="50">
        <v>32825747.217289697</v>
      </c>
      <c r="R317" s="50" t="s">
        <v>423</v>
      </c>
      <c r="S317" s="4" t="s">
        <v>43</v>
      </c>
    </row>
    <row r="318" spans="3:19" x14ac:dyDescent="0.25">
      <c r="C318" s="4" t="s">
        <v>639</v>
      </c>
      <c r="D318" s="4" t="s">
        <v>640</v>
      </c>
      <c r="E318" s="4" t="s">
        <v>641</v>
      </c>
      <c r="F318" s="4">
        <v>5</v>
      </c>
      <c r="G318" s="4" t="s">
        <v>376</v>
      </c>
      <c r="H318" s="4" t="s">
        <v>81</v>
      </c>
      <c r="I318" s="4" t="s">
        <v>1030</v>
      </c>
      <c r="J318" s="4" t="s">
        <v>50</v>
      </c>
      <c r="K318" s="4" t="s">
        <v>64</v>
      </c>
      <c r="L318" s="4" t="s">
        <v>40</v>
      </c>
      <c r="M318" s="4" t="s">
        <v>514</v>
      </c>
      <c r="N318" s="4" t="s">
        <v>639</v>
      </c>
      <c r="O318" s="4" t="s">
        <v>42</v>
      </c>
      <c r="P318" s="50" t="s">
        <v>43</v>
      </c>
      <c r="Q318" s="50">
        <v>50152384.181898005</v>
      </c>
      <c r="R318" s="50" t="s">
        <v>597</v>
      </c>
      <c r="S318" s="4" t="s">
        <v>440</v>
      </c>
    </row>
    <row r="319" spans="3:19" x14ac:dyDescent="0.25">
      <c r="C319" s="4" t="s">
        <v>327</v>
      </c>
      <c r="D319" s="4" t="s">
        <v>328</v>
      </c>
      <c r="E319" s="4" t="s">
        <v>328</v>
      </c>
      <c r="F319" s="4" t="s">
        <v>36</v>
      </c>
      <c r="G319" s="4" t="s">
        <v>37</v>
      </c>
      <c r="H319" s="4" t="s">
        <v>81</v>
      </c>
      <c r="I319" s="4" t="s">
        <v>1030</v>
      </c>
      <c r="J319" s="4" t="s">
        <v>63</v>
      </c>
      <c r="K319" s="4" t="s">
        <v>138</v>
      </c>
      <c r="L319" s="4" t="s">
        <v>40</v>
      </c>
      <c r="M319" s="4">
        <v>0</v>
      </c>
      <c r="N319" s="4" t="s">
        <v>327</v>
      </c>
      <c r="O319" s="4" t="s">
        <v>42</v>
      </c>
      <c r="P319" s="50" t="s">
        <v>43</v>
      </c>
      <c r="Q319" s="50" t="s">
        <v>36</v>
      </c>
      <c r="R319" s="50">
        <v>0</v>
      </c>
      <c r="S319" s="4" t="s">
        <v>36</v>
      </c>
    </row>
    <row r="320" spans="3:19" x14ac:dyDescent="0.25">
      <c r="C320" s="4" t="s">
        <v>329</v>
      </c>
      <c r="D320" s="4" t="s">
        <v>330</v>
      </c>
      <c r="E320" s="4" t="s">
        <v>330</v>
      </c>
      <c r="F320" s="4" t="s">
        <v>36</v>
      </c>
      <c r="G320" s="4" t="s">
        <v>37</v>
      </c>
      <c r="H320" s="4" t="s">
        <v>46</v>
      </c>
      <c r="I320" s="4" t="s">
        <v>1030</v>
      </c>
      <c r="J320" s="4" t="s">
        <v>331</v>
      </c>
      <c r="K320" s="4" t="s">
        <v>138</v>
      </c>
      <c r="L320" s="4" t="s">
        <v>40</v>
      </c>
      <c r="M320" s="4">
        <v>0</v>
      </c>
      <c r="N320" s="4" t="s">
        <v>329</v>
      </c>
      <c r="O320" s="4" t="s">
        <v>42</v>
      </c>
      <c r="P320" s="50" t="s">
        <v>43</v>
      </c>
      <c r="Q320" s="50" t="s">
        <v>36</v>
      </c>
      <c r="R320" s="50">
        <v>0</v>
      </c>
      <c r="S320" s="4" t="s">
        <v>36</v>
      </c>
    </row>
    <row r="321" spans="3:19" x14ac:dyDescent="0.25">
      <c r="C321" s="4" t="s">
        <v>332</v>
      </c>
      <c r="D321" s="4" t="s">
        <v>333</v>
      </c>
      <c r="E321" s="4" t="s">
        <v>333</v>
      </c>
      <c r="F321" s="4" t="s">
        <v>36</v>
      </c>
      <c r="G321" s="4" t="s">
        <v>37</v>
      </c>
      <c r="H321" s="4" t="s">
        <v>81</v>
      </c>
      <c r="I321" s="4" t="s">
        <v>1030</v>
      </c>
      <c r="J321" s="4">
        <v>0</v>
      </c>
      <c r="K321" s="4" t="s">
        <v>59</v>
      </c>
      <c r="L321" s="4" t="s">
        <v>40</v>
      </c>
      <c r="M321" s="4">
        <v>0</v>
      </c>
      <c r="N321" s="4" t="s">
        <v>332</v>
      </c>
      <c r="O321" s="4" t="s">
        <v>42</v>
      </c>
      <c r="P321" s="50" t="s">
        <v>43</v>
      </c>
      <c r="Q321" s="50" t="s">
        <v>36</v>
      </c>
      <c r="R321" s="50">
        <v>0</v>
      </c>
      <c r="S321" s="4" t="s">
        <v>36</v>
      </c>
    </row>
    <row r="322" spans="3:19" x14ac:dyDescent="0.25">
      <c r="C322" s="4" t="s">
        <v>334</v>
      </c>
      <c r="D322" s="4" t="s">
        <v>335</v>
      </c>
      <c r="E322" s="4" t="s">
        <v>336</v>
      </c>
      <c r="F322" s="4" t="s">
        <v>36</v>
      </c>
      <c r="G322" s="4" t="s">
        <v>37</v>
      </c>
      <c r="H322" s="4" t="s">
        <v>46</v>
      </c>
      <c r="I322" s="4" t="s">
        <v>1030</v>
      </c>
      <c r="J322" s="4">
        <v>0</v>
      </c>
      <c r="K322" s="4" t="s">
        <v>47</v>
      </c>
      <c r="L322" s="4" t="s">
        <v>40</v>
      </c>
      <c r="M322" s="4">
        <v>0</v>
      </c>
      <c r="N322" s="4" t="s">
        <v>334</v>
      </c>
      <c r="O322" s="4" t="s">
        <v>42</v>
      </c>
      <c r="P322" s="50" t="s">
        <v>43</v>
      </c>
      <c r="Q322" s="50" t="s">
        <v>36</v>
      </c>
      <c r="R322" s="50">
        <v>0</v>
      </c>
      <c r="S322" s="4" t="s">
        <v>36</v>
      </c>
    </row>
    <row r="323" spans="3:19" x14ac:dyDescent="0.25">
      <c r="C323" s="4" t="s">
        <v>507</v>
      </c>
      <c r="D323" s="4" t="s">
        <v>508</v>
      </c>
      <c r="E323" s="4" t="s">
        <v>508</v>
      </c>
      <c r="F323" s="4">
        <v>5</v>
      </c>
      <c r="G323" s="4" t="s">
        <v>376</v>
      </c>
      <c r="H323" s="4" t="s">
        <v>46</v>
      </c>
      <c r="I323" s="4" t="s">
        <v>1030</v>
      </c>
      <c r="J323" s="4" t="s">
        <v>466</v>
      </c>
      <c r="K323" s="4" t="s">
        <v>51</v>
      </c>
      <c r="L323" s="4" t="s">
        <v>40</v>
      </c>
      <c r="M323" s="4" t="s">
        <v>1035</v>
      </c>
      <c r="N323" s="4" t="s">
        <v>507</v>
      </c>
      <c r="O323" s="4" t="s">
        <v>42</v>
      </c>
      <c r="P323" s="50" t="s">
        <v>43</v>
      </c>
      <c r="Q323" s="50">
        <v>31352685.588945717</v>
      </c>
      <c r="R323" s="50" t="s">
        <v>467</v>
      </c>
      <c r="S323" s="4" t="s">
        <v>43</v>
      </c>
    </row>
    <row r="324" spans="3:19" x14ac:dyDescent="0.25">
      <c r="C324" s="4" t="s">
        <v>417</v>
      </c>
      <c r="D324" s="4" t="s">
        <v>418</v>
      </c>
      <c r="E324" s="4" t="s">
        <v>418</v>
      </c>
      <c r="F324" s="4">
        <v>5</v>
      </c>
      <c r="G324" s="4" t="s">
        <v>376</v>
      </c>
      <c r="H324" s="4" t="s">
        <v>46</v>
      </c>
      <c r="I324" s="4" t="s">
        <v>1031</v>
      </c>
      <c r="J324" s="4" t="s">
        <v>63</v>
      </c>
      <c r="K324" s="4" t="s">
        <v>138</v>
      </c>
      <c r="L324" s="4" t="s">
        <v>40</v>
      </c>
      <c r="M324" s="4" t="s">
        <v>378</v>
      </c>
      <c r="N324" s="4" t="s">
        <v>417</v>
      </c>
      <c r="O324" s="4" t="s">
        <v>42</v>
      </c>
      <c r="P324" s="50" t="s">
        <v>43</v>
      </c>
      <c r="Q324" s="50">
        <v>26737322.09044113</v>
      </c>
      <c r="R324" s="50" t="s">
        <v>380</v>
      </c>
      <c r="S324" s="4" t="s">
        <v>43</v>
      </c>
    </row>
    <row r="325" spans="3:19" x14ac:dyDescent="0.25">
      <c r="C325" s="4" t="s">
        <v>337</v>
      </c>
      <c r="D325" s="4" t="s">
        <v>338</v>
      </c>
      <c r="E325" s="4" t="s">
        <v>338</v>
      </c>
      <c r="F325" s="4" t="s">
        <v>36</v>
      </c>
      <c r="G325" s="4" t="s">
        <v>37</v>
      </c>
      <c r="H325" s="4" t="s">
        <v>81</v>
      </c>
      <c r="I325" s="4" t="s">
        <v>1030</v>
      </c>
      <c r="J325" s="4" t="s">
        <v>89</v>
      </c>
      <c r="K325" s="4" t="s">
        <v>109</v>
      </c>
      <c r="L325" s="4" t="s">
        <v>91</v>
      </c>
      <c r="M325" s="4">
        <v>0</v>
      </c>
      <c r="N325" s="4" t="s">
        <v>337</v>
      </c>
      <c r="O325" s="4" t="s">
        <v>42</v>
      </c>
      <c r="P325" s="50" t="s">
        <v>43</v>
      </c>
      <c r="Q325" s="50" t="s">
        <v>36</v>
      </c>
      <c r="R325" s="50">
        <v>0</v>
      </c>
      <c r="S325" s="4" t="s">
        <v>36</v>
      </c>
    </row>
    <row r="326" spans="3:19" x14ac:dyDescent="0.25">
      <c r="C326" s="4" t="s">
        <v>339</v>
      </c>
      <c r="D326" s="4" t="s">
        <v>340</v>
      </c>
      <c r="E326" s="4" t="s">
        <v>341</v>
      </c>
      <c r="F326" s="4" t="s">
        <v>36</v>
      </c>
      <c r="G326" s="4" t="s">
        <v>37</v>
      </c>
      <c r="H326" s="4" t="s">
        <v>46</v>
      </c>
      <c r="I326" s="4" t="s">
        <v>1030</v>
      </c>
      <c r="J326" s="4">
        <v>0</v>
      </c>
      <c r="K326" s="4" t="s">
        <v>47</v>
      </c>
      <c r="L326" s="4" t="s">
        <v>40</v>
      </c>
      <c r="M326" s="4">
        <v>0</v>
      </c>
      <c r="N326" s="4" t="s">
        <v>339</v>
      </c>
      <c r="O326" s="4" t="s">
        <v>42</v>
      </c>
      <c r="P326" s="50" t="s">
        <v>43</v>
      </c>
      <c r="Q326" s="50" t="s">
        <v>36</v>
      </c>
      <c r="R326" s="50">
        <v>0</v>
      </c>
      <c r="S326" s="4" t="s">
        <v>36</v>
      </c>
    </row>
    <row r="327" spans="3:19" x14ac:dyDescent="0.25">
      <c r="C327" s="4" t="s">
        <v>825</v>
      </c>
      <c r="D327" s="4" t="s">
        <v>826</v>
      </c>
      <c r="E327" s="4" t="s">
        <v>827</v>
      </c>
      <c r="F327" s="4">
        <v>5</v>
      </c>
      <c r="G327" s="4" t="s">
        <v>376</v>
      </c>
      <c r="H327" s="4" t="s">
        <v>81</v>
      </c>
      <c r="I327" s="4" t="s">
        <v>1030</v>
      </c>
      <c r="J327" s="4" t="s">
        <v>146</v>
      </c>
      <c r="K327" s="4" t="s">
        <v>59</v>
      </c>
      <c r="L327" s="4" t="s">
        <v>40</v>
      </c>
      <c r="M327" s="4" t="s">
        <v>1035</v>
      </c>
      <c r="N327" s="4" t="s">
        <v>825</v>
      </c>
      <c r="O327" s="4" t="s">
        <v>42</v>
      </c>
      <c r="P327" s="50" t="s">
        <v>43</v>
      </c>
      <c r="Q327" s="50">
        <v>45767956.884096004</v>
      </c>
      <c r="R327" s="50" t="s">
        <v>799</v>
      </c>
      <c r="S327" s="4" t="s">
        <v>440</v>
      </c>
    </row>
    <row r="328" spans="3:19" x14ac:dyDescent="0.25">
      <c r="C328" s="4" t="s">
        <v>828</v>
      </c>
      <c r="D328" s="4" t="s">
        <v>829</v>
      </c>
      <c r="E328" s="4" t="s">
        <v>829</v>
      </c>
      <c r="F328" s="4">
        <v>5.68</v>
      </c>
      <c r="G328" s="4" t="s">
        <v>376</v>
      </c>
      <c r="H328" s="4" t="s">
        <v>46</v>
      </c>
      <c r="I328" s="4" t="s">
        <v>1030</v>
      </c>
      <c r="J328" s="4" t="s">
        <v>146</v>
      </c>
      <c r="K328" s="4" t="s">
        <v>59</v>
      </c>
      <c r="L328" s="4" t="s">
        <v>40</v>
      </c>
      <c r="M328" s="4" t="s">
        <v>1035</v>
      </c>
      <c r="N328" s="4" t="s">
        <v>828</v>
      </c>
      <c r="O328" s="4" t="s">
        <v>42</v>
      </c>
      <c r="P328" s="50" t="s">
        <v>43</v>
      </c>
      <c r="Q328" s="50">
        <v>57661706.348627843</v>
      </c>
      <c r="R328" s="50" t="s">
        <v>799</v>
      </c>
      <c r="S328" s="4" t="s">
        <v>43</v>
      </c>
    </row>
    <row r="329" spans="3:19" x14ac:dyDescent="0.25">
      <c r="C329" s="4" t="s">
        <v>342</v>
      </c>
      <c r="D329" s="4" t="s">
        <v>343</v>
      </c>
      <c r="E329" s="4" t="s">
        <v>343</v>
      </c>
      <c r="F329" s="4" t="s">
        <v>36</v>
      </c>
      <c r="G329" s="4" t="s">
        <v>37</v>
      </c>
      <c r="H329" s="4" t="s">
        <v>81</v>
      </c>
      <c r="I329" s="4" t="s">
        <v>1030</v>
      </c>
      <c r="J329" s="4" t="s">
        <v>132</v>
      </c>
      <c r="K329" s="4" t="s">
        <v>51</v>
      </c>
      <c r="L329" s="4" t="s">
        <v>40</v>
      </c>
      <c r="M329" s="4">
        <v>0</v>
      </c>
      <c r="N329" s="4" t="s">
        <v>342</v>
      </c>
      <c r="O329" s="4" t="s">
        <v>42</v>
      </c>
      <c r="P329" s="50" t="s">
        <v>43</v>
      </c>
      <c r="Q329" s="50" t="s">
        <v>36</v>
      </c>
      <c r="R329" s="50">
        <v>0</v>
      </c>
      <c r="S329" s="4" t="s">
        <v>36</v>
      </c>
    </row>
    <row r="330" spans="3:19" x14ac:dyDescent="0.25">
      <c r="C330" s="4" t="s">
        <v>830</v>
      </c>
      <c r="D330" s="4" t="s">
        <v>831</v>
      </c>
      <c r="E330" s="4" t="s">
        <v>832</v>
      </c>
      <c r="F330" s="4">
        <v>5</v>
      </c>
      <c r="G330" s="4" t="s">
        <v>376</v>
      </c>
      <c r="H330" s="4" t="s">
        <v>46</v>
      </c>
      <c r="I330" s="4" t="s">
        <v>1030</v>
      </c>
      <c r="J330" s="4" t="s">
        <v>146</v>
      </c>
      <c r="K330" s="4" t="s">
        <v>59</v>
      </c>
      <c r="L330" s="4" t="s">
        <v>40</v>
      </c>
      <c r="M330" s="4" t="s">
        <v>1035</v>
      </c>
      <c r="N330" s="4" t="s">
        <v>830</v>
      </c>
      <c r="O330" s="4" t="s">
        <v>42</v>
      </c>
      <c r="P330" s="50" t="s">
        <v>43</v>
      </c>
      <c r="Q330" s="50">
        <v>29084984.173371509</v>
      </c>
      <c r="R330" s="50" t="s">
        <v>799</v>
      </c>
      <c r="S330" s="4" t="s">
        <v>43</v>
      </c>
    </row>
    <row r="331" spans="3:19" x14ac:dyDescent="0.25">
      <c r="C331" s="4" t="s">
        <v>921</v>
      </c>
      <c r="D331" s="4" t="s">
        <v>922</v>
      </c>
      <c r="E331" s="4" t="s">
        <v>911</v>
      </c>
      <c r="F331" s="4">
        <v>5</v>
      </c>
      <c r="G331" s="4" t="s">
        <v>376</v>
      </c>
      <c r="H331" s="4" t="s">
        <v>81</v>
      </c>
      <c r="I331" s="4" t="s">
        <v>1030</v>
      </c>
      <c r="J331" s="4" t="s">
        <v>73</v>
      </c>
      <c r="K331" s="4" t="s">
        <v>911</v>
      </c>
      <c r="L331" s="4" t="s">
        <v>40</v>
      </c>
      <c r="M331" s="4" t="s">
        <v>514</v>
      </c>
      <c r="N331" s="4" t="s">
        <v>921</v>
      </c>
      <c r="O331" s="4" t="s">
        <v>42</v>
      </c>
      <c r="P331" s="50" t="s">
        <v>43</v>
      </c>
      <c r="Q331" s="50">
        <v>32195378.647655886</v>
      </c>
      <c r="R331" s="50" t="s">
        <v>886</v>
      </c>
      <c r="S331" s="4" t="s">
        <v>43</v>
      </c>
    </row>
    <row r="332" spans="3:19" x14ac:dyDescent="0.25">
      <c r="C332" s="4" t="s">
        <v>970</v>
      </c>
      <c r="D332" s="4" t="s">
        <v>971</v>
      </c>
      <c r="E332" s="4" t="s">
        <v>972</v>
      </c>
      <c r="F332" s="4">
        <v>5</v>
      </c>
      <c r="G332" s="4" t="s">
        <v>376</v>
      </c>
      <c r="H332" s="4" t="s">
        <v>81</v>
      </c>
      <c r="I332" s="4" t="s">
        <v>1030</v>
      </c>
      <c r="J332" s="4" t="s">
        <v>160</v>
      </c>
      <c r="K332" s="4" t="s">
        <v>353</v>
      </c>
      <c r="L332" s="4" t="s">
        <v>40</v>
      </c>
      <c r="M332" s="4" t="s">
        <v>984</v>
      </c>
      <c r="N332" s="4" t="s">
        <v>970</v>
      </c>
      <c r="O332" s="4" t="s">
        <v>42</v>
      </c>
      <c r="P332" s="50" t="s">
        <v>43</v>
      </c>
      <c r="Q332" s="50">
        <v>34871122.736135729</v>
      </c>
      <c r="R332" s="50" t="s">
        <v>931</v>
      </c>
      <c r="S332" s="4" t="s">
        <v>43</v>
      </c>
    </row>
    <row r="333" spans="3:19" x14ac:dyDescent="0.25">
      <c r="C333" s="4" t="s">
        <v>344</v>
      </c>
      <c r="D333" s="4" t="s">
        <v>345</v>
      </c>
      <c r="E333" s="4" t="s">
        <v>345</v>
      </c>
      <c r="F333" s="4" t="s">
        <v>36</v>
      </c>
      <c r="G333" s="4" t="s">
        <v>37</v>
      </c>
      <c r="H333" s="4" t="s">
        <v>88</v>
      </c>
      <c r="I333" s="4" t="s">
        <v>1030</v>
      </c>
      <c r="J333" s="4">
        <v>0</v>
      </c>
      <c r="K333" s="4" t="s">
        <v>346</v>
      </c>
      <c r="L333" s="4" t="s">
        <v>40</v>
      </c>
      <c r="M333" s="4">
        <v>0</v>
      </c>
      <c r="N333" s="4" t="s">
        <v>344</v>
      </c>
      <c r="O333" s="4" t="s">
        <v>42</v>
      </c>
      <c r="P333" s="50" t="s">
        <v>43</v>
      </c>
      <c r="Q333" s="50" t="s">
        <v>36</v>
      </c>
      <c r="R333" s="50">
        <v>0</v>
      </c>
      <c r="S333" s="4" t="s">
        <v>36</v>
      </c>
    </row>
    <row r="334" spans="3:19" x14ac:dyDescent="0.25">
      <c r="C334" s="4" t="s">
        <v>879</v>
      </c>
      <c r="D334" s="4" t="s">
        <v>880</v>
      </c>
      <c r="E334" s="4" t="s">
        <v>880</v>
      </c>
      <c r="F334" s="4">
        <v>5</v>
      </c>
      <c r="G334" s="4" t="s">
        <v>376</v>
      </c>
      <c r="H334" s="4" t="s">
        <v>46</v>
      </c>
      <c r="I334" s="4" t="s">
        <v>1030</v>
      </c>
      <c r="J334" s="4" t="s">
        <v>132</v>
      </c>
      <c r="K334" s="4" t="s">
        <v>138</v>
      </c>
      <c r="L334" s="4" t="s">
        <v>40</v>
      </c>
      <c r="M334" s="4" t="s">
        <v>1035</v>
      </c>
      <c r="N334" s="4" t="s">
        <v>879</v>
      </c>
      <c r="O334" s="4" t="s">
        <v>42</v>
      </c>
      <c r="P334" s="50" t="s">
        <v>43</v>
      </c>
      <c r="Q334" s="50">
        <v>43197519.884878643</v>
      </c>
      <c r="R334" s="50" t="s">
        <v>847</v>
      </c>
      <c r="S334" s="4" t="s">
        <v>43</v>
      </c>
    </row>
    <row r="335" spans="3:19" x14ac:dyDescent="0.25">
      <c r="C335" s="4" t="s">
        <v>553</v>
      </c>
      <c r="D335" s="4" t="s">
        <v>554</v>
      </c>
      <c r="E335" s="4" t="s">
        <v>554</v>
      </c>
      <c r="F335" s="4">
        <v>5</v>
      </c>
      <c r="G335" s="4" t="s">
        <v>376</v>
      </c>
      <c r="H335" s="4" t="s">
        <v>46</v>
      </c>
      <c r="I335" s="4" t="s">
        <v>1030</v>
      </c>
      <c r="J335" s="4" t="s">
        <v>100</v>
      </c>
      <c r="K335" s="4" t="s">
        <v>138</v>
      </c>
      <c r="L335" s="4" t="s">
        <v>40</v>
      </c>
      <c r="M335" s="4" t="s">
        <v>514</v>
      </c>
      <c r="N335" s="4" t="s">
        <v>553</v>
      </c>
      <c r="O335" s="4" t="s">
        <v>42</v>
      </c>
      <c r="P335" s="50" t="s">
        <v>43</v>
      </c>
      <c r="Q335" s="50">
        <v>27845354.916605998</v>
      </c>
      <c r="R335" s="50" t="s">
        <v>515</v>
      </c>
      <c r="S335" s="4" t="s">
        <v>43</v>
      </c>
    </row>
    <row r="336" spans="3:19" x14ac:dyDescent="0.25">
      <c r="C336" s="4" t="s">
        <v>923</v>
      </c>
      <c r="D336" s="4" t="s">
        <v>924</v>
      </c>
      <c r="E336" s="4" t="s">
        <v>924</v>
      </c>
      <c r="F336" s="4">
        <v>5</v>
      </c>
      <c r="G336" s="4" t="s">
        <v>376</v>
      </c>
      <c r="H336" s="4" t="s">
        <v>46</v>
      </c>
      <c r="I336" s="4" t="s">
        <v>1030</v>
      </c>
      <c r="J336" s="4" t="s">
        <v>73</v>
      </c>
      <c r="K336" s="4" t="s">
        <v>133</v>
      </c>
      <c r="L336" s="4" t="s">
        <v>40</v>
      </c>
      <c r="M336" s="4" t="s">
        <v>514</v>
      </c>
      <c r="N336" s="4" t="s">
        <v>923</v>
      </c>
      <c r="O336" s="4" t="s">
        <v>42</v>
      </c>
      <c r="P336" s="50" t="s">
        <v>43</v>
      </c>
      <c r="Q336" s="50">
        <v>36863862.083965793</v>
      </c>
      <c r="R336" s="50" t="s">
        <v>886</v>
      </c>
      <c r="S336" s="4" t="s">
        <v>43</v>
      </c>
    </row>
    <row r="337" spans="3:19" x14ac:dyDescent="0.25">
      <c r="C337" s="4" t="s">
        <v>761</v>
      </c>
      <c r="D337" s="4" t="s">
        <v>762</v>
      </c>
      <c r="E337" s="4" t="s">
        <v>762</v>
      </c>
      <c r="F337" s="4">
        <v>5</v>
      </c>
      <c r="G337" s="4" t="s">
        <v>376</v>
      </c>
      <c r="H337" s="4" t="s">
        <v>46</v>
      </c>
      <c r="I337" s="4" t="s">
        <v>1031</v>
      </c>
      <c r="J337" s="4" t="s">
        <v>84</v>
      </c>
      <c r="K337" s="4" t="s">
        <v>54</v>
      </c>
      <c r="L337" s="4" t="s">
        <v>55</v>
      </c>
      <c r="M337" s="4" t="s">
        <v>378</v>
      </c>
      <c r="N337" s="4" t="s">
        <v>761</v>
      </c>
      <c r="O337" s="4" t="s">
        <v>42</v>
      </c>
      <c r="P337" s="50" t="s">
        <v>440</v>
      </c>
      <c r="Q337" s="50">
        <v>44534937.244495049</v>
      </c>
      <c r="R337" s="50" t="s">
        <v>741</v>
      </c>
      <c r="S337" s="4" t="s">
        <v>43</v>
      </c>
    </row>
    <row r="338" spans="3:19" x14ac:dyDescent="0.25">
      <c r="C338" s="4" t="s">
        <v>509</v>
      </c>
      <c r="D338" s="4" t="s">
        <v>510</v>
      </c>
      <c r="E338" s="4" t="s">
        <v>510</v>
      </c>
      <c r="F338" s="4">
        <v>5</v>
      </c>
      <c r="G338" s="4" t="s">
        <v>376</v>
      </c>
      <c r="H338" s="4" t="s">
        <v>46</v>
      </c>
      <c r="I338" s="4" t="s">
        <v>1030</v>
      </c>
      <c r="J338" s="4" t="s">
        <v>466</v>
      </c>
      <c r="K338" s="4" t="s">
        <v>51</v>
      </c>
      <c r="L338" s="4" t="s">
        <v>40</v>
      </c>
      <c r="M338" s="4" t="s">
        <v>1035</v>
      </c>
      <c r="N338" s="4" t="s">
        <v>509</v>
      </c>
      <c r="O338" s="4" t="s">
        <v>42</v>
      </c>
      <c r="P338" s="50" t="s">
        <v>43</v>
      </c>
      <c r="Q338" s="50">
        <v>43593371.102844708</v>
      </c>
      <c r="R338" s="50" t="s">
        <v>467</v>
      </c>
      <c r="S338" s="4" t="s">
        <v>43</v>
      </c>
    </row>
    <row r="339" spans="3:19" x14ac:dyDescent="0.25">
      <c r="C339" s="4" t="s">
        <v>347</v>
      </c>
      <c r="D339" s="4" t="s">
        <v>348</v>
      </c>
      <c r="E339" s="4" t="s">
        <v>348</v>
      </c>
      <c r="F339" s="4" t="s">
        <v>36</v>
      </c>
      <c r="G339" s="4" t="s">
        <v>37</v>
      </c>
      <c r="H339" s="4" t="s">
        <v>81</v>
      </c>
      <c r="I339" s="4" t="s">
        <v>1030</v>
      </c>
      <c r="J339" s="4" t="s">
        <v>58</v>
      </c>
      <c r="K339" s="4" t="s">
        <v>59</v>
      </c>
      <c r="L339" s="4" t="s">
        <v>40</v>
      </c>
      <c r="M339" s="4">
        <v>0</v>
      </c>
      <c r="N339" s="4" t="s">
        <v>347</v>
      </c>
      <c r="O339" s="4" t="s">
        <v>42</v>
      </c>
      <c r="P339" s="50" t="s">
        <v>43</v>
      </c>
      <c r="Q339" s="50" t="s">
        <v>36</v>
      </c>
      <c r="R339" s="50">
        <v>0</v>
      </c>
      <c r="S339" s="4" t="s">
        <v>36</v>
      </c>
    </row>
    <row r="340" spans="3:19" x14ac:dyDescent="0.25">
      <c r="C340" s="4" t="s">
        <v>973</v>
      </c>
      <c r="D340" s="4" t="s">
        <v>974</v>
      </c>
      <c r="E340" s="4" t="s">
        <v>974</v>
      </c>
      <c r="F340" s="4">
        <v>5</v>
      </c>
      <c r="G340" s="4" t="s">
        <v>376</v>
      </c>
      <c r="H340" s="4" t="s">
        <v>46</v>
      </c>
      <c r="I340" s="4" t="s">
        <v>1030</v>
      </c>
      <c r="J340" s="4" t="s">
        <v>160</v>
      </c>
      <c r="K340" s="4" t="s">
        <v>39</v>
      </c>
      <c r="L340" s="4" t="s">
        <v>40</v>
      </c>
      <c r="M340" s="4" t="s">
        <v>984</v>
      </c>
      <c r="N340" s="4" t="s">
        <v>973</v>
      </c>
      <c r="O340" s="4" t="s">
        <v>42</v>
      </c>
      <c r="P340" s="50" t="s">
        <v>43</v>
      </c>
      <c r="Q340" s="50">
        <v>31288926.085618723</v>
      </c>
      <c r="R340" s="50" t="s">
        <v>931</v>
      </c>
      <c r="S340" s="4" t="s">
        <v>43</v>
      </c>
    </row>
    <row r="341" spans="3:19" x14ac:dyDescent="0.25">
      <c r="C341" s="4" t="s">
        <v>349</v>
      </c>
      <c r="D341" s="4" t="s">
        <v>350</v>
      </c>
      <c r="E341" s="4" t="s">
        <v>350</v>
      </c>
      <c r="F341" s="4" t="s">
        <v>36</v>
      </c>
      <c r="G341" s="4" t="s">
        <v>37</v>
      </c>
      <c r="H341" s="4" t="s">
        <v>46</v>
      </c>
      <c r="I341" s="4" t="s">
        <v>1030</v>
      </c>
      <c r="J341" s="4">
        <v>0</v>
      </c>
      <c r="K341" s="4" t="s">
        <v>138</v>
      </c>
      <c r="L341" s="4" t="s">
        <v>40</v>
      </c>
      <c r="M341" s="4">
        <v>0</v>
      </c>
      <c r="N341" s="4" t="s">
        <v>349</v>
      </c>
      <c r="O341" s="4" t="s">
        <v>42</v>
      </c>
      <c r="P341" s="50" t="s">
        <v>43</v>
      </c>
      <c r="Q341" s="50" t="s">
        <v>36</v>
      </c>
      <c r="R341" s="50">
        <v>0</v>
      </c>
      <c r="S341" s="4" t="s">
        <v>36</v>
      </c>
    </row>
    <row r="342" spans="3:19" x14ac:dyDescent="0.25">
      <c r="C342" s="4" t="s">
        <v>351</v>
      </c>
      <c r="D342" s="4" t="s">
        <v>352</v>
      </c>
      <c r="E342" s="4" t="s">
        <v>352</v>
      </c>
      <c r="F342" s="4" t="s">
        <v>36</v>
      </c>
      <c r="G342" s="4" t="s">
        <v>37</v>
      </c>
      <c r="H342" s="4" t="s">
        <v>46</v>
      </c>
      <c r="I342" s="4" t="s">
        <v>1030</v>
      </c>
      <c r="J342" s="4" t="s">
        <v>331</v>
      </c>
      <c r="K342" s="4" t="s">
        <v>353</v>
      </c>
      <c r="L342" s="4" t="s">
        <v>40</v>
      </c>
      <c r="M342" s="4">
        <v>0</v>
      </c>
      <c r="N342" s="4" t="s">
        <v>351</v>
      </c>
      <c r="O342" s="4" t="s">
        <v>42</v>
      </c>
      <c r="P342" s="50" t="s">
        <v>43</v>
      </c>
      <c r="Q342" s="50" t="s">
        <v>36</v>
      </c>
      <c r="R342" s="50">
        <v>0</v>
      </c>
      <c r="S342" s="4" t="s">
        <v>36</v>
      </c>
    </row>
    <row r="343" spans="3:19" x14ac:dyDescent="0.25">
      <c r="C343" s="4" t="s">
        <v>833</v>
      </c>
      <c r="D343" s="4" t="s">
        <v>834</v>
      </c>
      <c r="E343" s="4" t="s">
        <v>835</v>
      </c>
      <c r="F343" s="4">
        <v>5</v>
      </c>
      <c r="G343" s="4" t="s">
        <v>376</v>
      </c>
      <c r="H343" s="4" t="s">
        <v>46</v>
      </c>
      <c r="I343" s="4" t="s">
        <v>1030</v>
      </c>
      <c r="J343" s="4" t="s">
        <v>146</v>
      </c>
      <c r="K343" s="4" t="s">
        <v>59</v>
      </c>
      <c r="L343" s="4" t="s">
        <v>40</v>
      </c>
      <c r="M343" s="4" t="s">
        <v>1035</v>
      </c>
      <c r="N343" s="4" t="s">
        <v>833</v>
      </c>
      <c r="O343" s="4" t="s">
        <v>42</v>
      </c>
      <c r="P343" s="50" t="s">
        <v>43</v>
      </c>
      <c r="Q343" s="50">
        <v>57527524.881853528</v>
      </c>
      <c r="R343" s="50" t="s">
        <v>799</v>
      </c>
      <c r="S343" s="4" t="s">
        <v>43</v>
      </c>
    </row>
    <row r="344" spans="3:19" x14ac:dyDescent="0.25">
      <c r="C344" s="4" t="s">
        <v>354</v>
      </c>
      <c r="D344" s="4" t="s">
        <v>355</v>
      </c>
      <c r="E344" s="4" t="s">
        <v>355</v>
      </c>
      <c r="F344" s="4" t="s">
        <v>36</v>
      </c>
      <c r="G344" s="4" t="s">
        <v>37</v>
      </c>
      <c r="H344" s="4" t="s">
        <v>46</v>
      </c>
      <c r="I344" s="4" t="s">
        <v>1030</v>
      </c>
      <c r="J344" s="4" t="s">
        <v>67</v>
      </c>
      <c r="K344" s="4" t="s">
        <v>59</v>
      </c>
      <c r="L344" s="4" t="s">
        <v>40</v>
      </c>
      <c r="M344" s="4">
        <v>0</v>
      </c>
      <c r="N344" s="4" t="s">
        <v>354</v>
      </c>
      <c r="O344" s="4" t="s">
        <v>42</v>
      </c>
      <c r="P344" s="50" t="s">
        <v>43</v>
      </c>
      <c r="Q344" s="50" t="s">
        <v>36</v>
      </c>
      <c r="R344" s="50">
        <v>0</v>
      </c>
      <c r="S344" s="4" t="s">
        <v>36</v>
      </c>
    </row>
    <row r="345" spans="3:19" x14ac:dyDescent="0.25">
      <c r="C345" s="4" t="s">
        <v>693</v>
      </c>
      <c r="D345" s="4" t="s">
        <v>694</v>
      </c>
      <c r="E345" s="4" t="s">
        <v>694</v>
      </c>
      <c r="F345" s="4">
        <v>5</v>
      </c>
      <c r="G345" s="4" t="s">
        <v>376</v>
      </c>
      <c r="H345" s="4" t="s">
        <v>46</v>
      </c>
      <c r="I345" s="4" t="s">
        <v>1030</v>
      </c>
      <c r="J345" s="4" t="s">
        <v>248</v>
      </c>
      <c r="K345" s="4" t="s">
        <v>51</v>
      </c>
      <c r="L345" s="4" t="s">
        <v>40</v>
      </c>
      <c r="M345" s="4" t="s">
        <v>984</v>
      </c>
      <c r="N345" s="4" t="s">
        <v>693</v>
      </c>
      <c r="O345" s="4" t="s">
        <v>42</v>
      </c>
      <c r="P345" s="50" t="s">
        <v>43</v>
      </c>
      <c r="Q345" s="50">
        <v>28162977.626011349</v>
      </c>
      <c r="R345" s="50" t="s">
        <v>51</v>
      </c>
      <c r="S345" s="4" t="s">
        <v>43</v>
      </c>
    </row>
    <row r="346" spans="3:19" x14ac:dyDescent="0.25">
      <c r="C346" s="4" t="s">
        <v>356</v>
      </c>
      <c r="D346" s="4" t="s">
        <v>357</v>
      </c>
      <c r="E346" s="4" t="s">
        <v>357</v>
      </c>
      <c r="F346" s="4" t="s">
        <v>36</v>
      </c>
      <c r="G346" s="4" t="s">
        <v>37</v>
      </c>
      <c r="H346" s="4" t="s">
        <v>81</v>
      </c>
      <c r="I346" s="4" t="s">
        <v>1030</v>
      </c>
      <c r="J346" s="4" t="s">
        <v>89</v>
      </c>
      <c r="K346" s="4" t="s">
        <v>109</v>
      </c>
      <c r="L346" s="4" t="s">
        <v>91</v>
      </c>
      <c r="M346" s="4">
        <v>0</v>
      </c>
      <c r="N346" s="4" t="s">
        <v>356</v>
      </c>
      <c r="O346" s="4" t="s">
        <v>42</v>
      </c>
      <c r="P346" s="50" t="s">
        <v>43</v>
      </c>
      <c r="Q346" s="50" t="s">
        <v>36</v>
      </c>
      <c r="R346" s="50">
        <v>0</v>
      </c>
      <c r="S346" s="4" t="s">
        <v>36</v>
      </c>
    </row>
    <row r="347" spans="3:19" x14ac:dyDescent="0.25">
      <c r="C347" s="4" t="s">
        <v>925</v>
      </c>
      <c r="D347" s="4" t="s">
        <v>926</v>
      </c>
      <c r="E347" s="4" t="s">
        <v>927</v>
      </c>
      <c r="F347" s="4">
        <v>5</v>
      </c>
      <c r="G347" s="4" t="s">
        <v>376</v>
      </c>
      <c r="H347" s="4" t="s">
        <v>81</v>
      </c>
      <c r="I347" s="4" t="s">
        <v>1030</v>
      </c>
      <c r="J347" s="4" t="s">
        <v>73</v>
      </c>
      <c r="K347" s="4" t="s">
        <v>928</v>
      </c>
      <c r="L347" s="4" t="s">
        <v>40</v>
      </c>
      <c r="M347" s="4" t="s">
        <v>514</v>
      </c>
      <c r="N347" s="4" t="s">
        <v>925</v>
      </c>
      <c r="O347" s="4" t="s">
        <v>42</v>
      </c>
      <c r="P347" s="50" t="s">
        <v>43</v>
      </c>
      <c r="Q347" s="50">
        <v>31402718.924341157</v>
      </c>
      <c r="R347" s="50" t="s">
        <v>886</v>
      </c>
      <c r="S347" s="4" t="s">
        <v>440</v>
      </c>
    </row>
    <row r="348" spans="3:19" x14ac:dyDescent="0.25">
      <c r="C348" s="4" t="s">
        <v>358</v>
      </c>
      <c r="D348" s="4" t="s">
        <v>359</v>
      </c>
      <c r="E348" s="4" t="s">
        <v>359</v>
      </c>
      <c r="F348" s="4" t="s">
        <v>36</v>
      </c>
      <c r="G348" s="4" t="s">
        <v>37</v>
      </c>
      <c r="H348" s="4" t="s">
        <v>81</v>
      </c>
      <c r="I348" s="4" t="s">
        <v>1030</v>
      </c>
      <c r="J348" s="4" t="s">
        <v>248</v>
      </c>
      <c r="K348" s="4" t="s">
        <v>138</v>
      </c>
      <c r="L348" s="4" t="s">
        <v>40</v>
      </c>
      <c r="M348" s="4">
        <v>0</v>
      </c>
      <c r="N348" s="4" t="s">
        <v>358</v>
      </c>
      <c r="O348" s="4" t="s">
        <v>42</v>
      </c>
      <c r="P348" s="50" t="s">
        <v>43</v>
      </c>
      <c r="Q348" s="50" t="s">
        <v>36</v>
      </c>
      <c r="R348" s="50">
        <v>0</v>
      </c>
      <c r="S348" s="4" t="s">
        <v>36</v>
      </c>
    </row>
    <row r="349" spans="3:19" x14ac:dyDescent="0.25">
      <c r="C349" s="4" t="s">
        <v>695</v>
      </c>
      <c r="D349" s="4" t="s">
        <v>696</v>
      </c>
      <c r="E349" s="4" t="s">
        <v>696</v>
      </c>
      <c r="F349" s="4">
        <v>5</v>
      </c>
      <c r="G349" s="4" t="s">
        <v>376</v>
      </c>
      <c r="H349" s="4" t="s">
        <v>46</v>
      </c>
      <c r="I349" s="4" t="s">
        <v>1030</v>
      </c>
      <c r="J349" s="4" t="s">
        <v>248</v>
      </c>
      <c r="K349" s="4" t="s">
        <v>51</v>
      </c>
      <c r="L349" s="4" t="s">
        <v>40</v>
      </c>
      <c r="M349" s="4" t="s">
        <v>984</v>
      </c>
      <c r="N349" s="4" t="s">
        <v>695</v>
      </c>
      <c r="O349" s="4" t="s">
        <v>42</v>
      </c>
      <c r="P349" s="50" t="s">
        <v>43</v>
      </c>
      <c r="Q349" s="50">
        <v>52004431.462933823</v>
      </c>
      <c r="R349" s="50" t="s">
        <v>51</v>
      </c>
      <c r="S349" s="4" t="s">
        <v>43</v>
      </c>
    </row>
    <row r="350" spans="3:19" x14ac:dyDescent="0.25">
      <c r="C350" s="4" t="s">
        <v>360</v>
      </c>
      <c r="D350" s="4" t="s">
        <v>361</v>
      </c>
      <c r="E350" s="4" t="s">
        <v>361</v>
      </c>
      <c r="F350" s="4" t="s">
        <v>36</v>
      </c>
      <c r="G350" s="4" t="s">
        <v>37</v>
      </c>
      <c r="H350" s="4" t="s">
        <v>46</v>
      </c>
      <c r="I350" s="4" t="s">
        <v>1030</v>
      </c>
      <c r="J350" s="4" t="s">
        <v>67</v>
      </c>
      <c r="K350" s="4" t="s">
        <v>59</v>
      </c>
      <c r="L350" s="4" t="s">
        <v>40</v>
      </c>
      <c r="M350" s="4">
        <v>0</v>
      </c>
      <c r="N350" s="4" t="s">
        <v>360</v>
      </c>
      <c r="O350" s="4" t="s">
        <v>42</v>
      </c>
      <c r="P350" s="50" t="s">
        <v>43</v>
      </c>
      <c r="Q350" s="50" t="s">
        <v>36</v>
      </c>
      <c r="R350" s="50">
        <v>0</v>
      </c>
      <c r="S350" s="4" t="s">
        <v>36</v>
      </c>
    </row>
    <row r="351" spans="3:19" x14ac:dyDescent="0.25">
      <c r="C351" s="4" t="s">
        <v>362</v>
      </c>
      <c r="D351" s="4" t="s">
        <v>363</v>
      </c>
      <c r="E351" s="4" t="s">
        <v>363</v>
      </c>
      <c r="F351" s="4" t="s">
        <v>36</v>
      </c>
      <c r="G351" s="4" t="s">
        <v>37</v>
      </c>
      <c r="H351" s="4" t="s">
        <v>81</v>
      </c>
      <c r="I351" s="4" t="s">
        <v>1030</v>
      </c>
      <c r="J351" s="4" t="s">
        <v>73</v>
      </c>
      <c r="K351" s="4" t="s">
        <v>364</v>
      </c>
      <c r="L351" s="4" t="s">
        <v>40</v>
      </c>
      <c r="M351" s="4">
        <v>0</v>
      </c>
      <c r="N351" s="4" t="s">
        <v>362</v>
      </c>
      <c r="O351" s="4" t="s">
        <v>42</v>
      </c>
      <c r="P351" s="50" t="s">
        <v>43</v>
      </c>
      <c r="Q351" s="50" t="s">
        <v>36</v>
      </c>
      <c r="R351" s="50">
        <v>0</v>
      </c>
      <c r="S351" s="4" t="s">
        <v>36</v>
      </c>
    </row>
    <row r="352" spans="3:19" x14ac:dyDescent="0.25">
      <c r="C352" s="4" t="s">
        <v>592</v>
      </c>
      <c r="D352" s="4" t="s">
        <v>593</v>
      </c>
      <c r="E352" s="4" t="s">
        <v>593</v>
      </c>
      <c r="F352" s="4">
        <v>5</v>
      </c>
      <c r="G352" s="4" t="s">
        <v>376</v>
      </c>
      <c r="H352" s="4" t="s">
        <v>81</v>
      </c>
      <c r="I352" s="4" t="s">
        <v>1030</v>
      </c>
      <c r="J352" s="4" t="s">
        <v>331</v>
      </c>
      <c r="K352" s="4" t="s">
        <v>138</v>
      </c>
      <c r="L352" s="4" t="s">
        <v>40</v>
      </c>
      <c r="M352" s="4" t="s">
        <v>984</v>
      </c>
      <c r="N352" s="4" t="s">
        <v>592</v>
      </c>
      <c r="O352" s="4" t="s">
        <v>42</v>
      </c>
      <c r="P352" s="50" t="s">
        <v>43</v>
      </c>
      <c r="Q352" s="50">
        <v>32230000.188000001</v>
      </c>
      <c r="R352" s="50" t="s">
        <v>557</v>
      </c>
      <c r="S352" s="4" t="s">
        <v>440</v>
      </c>
    </row>
    <row r="353" spans="3:19" x14ac:dyDescent="0.25">
      <c r="C353" s="4" t="s">
        <v>365</v>
      </c>
      <c r="D353" s="4" t="s">
        <v>366</v>
      </c>
      <c r="E353" s="4" t="s">
        <v>367</v>
      </c>
      <c r="F353" s="4" t="s">
        <v>36</v>
      </c>
      <c r="G353" s="4" t="s">
        <v>37</v>
      </c>
      <c r="H353" s="4" t="s">
        <v>81</v>
      </c>
      <c r="I353" s="4" t="s">
        <v>1030</v>
      </c>
      <c r="J353" s="4" t="s">
        <v>146</v>
      </c>
      <c r="K353" s="4" t="s">
        <v>59</v>
      </c>
      <c r="L353" s="4" t="s">
        <v>40</v>
      </c>
      <c r="M353" s="4">
        <v>0</v>
      </c>
      <c r="N353" s="4" t="s">
        <v>365</v>
      </c>
      <c r="O353" s="4" t="s">
        <v>42</v>
      </c>
      <c r="P353" s="50" t="s">
        <v>43</v>
      </c>
      <c r="Q353" s="50" t="s">
        <v>36</v>
      </c>
      <c r="R353" s="50">
        <v>0</v>
      </c>
      <c r="S353" s="4" t="s">
        <v>36</v>
      </c>
    </row>
    <row r="354" spans="3:19" x14ac:dyDescent="0.25">
      <c r="C354" s="4" t="s">
        <v>763</v>
      </c>
      <c r="D354" s="4" t="s">
        <v>764</v>
      </c>
      <c r="E354" s="4" t="s">
        <v>765</v>
      </c>
      <c r="F354" s="4">
        <v>5</v>
      </c>
      <c r="G354" s="4" t="s">
        <v>376</v>
      </c>
      <c r="H354" s="4" t="s">
        <v>81</v>
      </c>
      <c r="I354" s="4" t="s">
        <v>1031</v>
      </c>
      <c r="J354" s="4" t="s">
        <v>84</v>
      </c>
      <c r="K354" s="4" t="s">
        <v>279</v>
      </c>
      <c r="L354" s="4" t="s">
        <v>55</v>
      </c>
      <c r="M354" s="4" t="s">
        <v>378</v>
      </c>
      <c r="N354" s="4" t="s">
        <v>763</v>
      </c>
      <c r="O354" s="4" t="s">
        <v>42</v>
      </c>
      <c r="P354" s="50" t="s">
        <v>43</v>
      </c>
      <c r="Q354" s="50">
        <v>33647377.570175998</v>
      </c>
      <c r="R354" s="50" t="s">
        <v>741</v>
      </c>
      <c r="S354" s="4" t="s">
        <v>440</v>
      </c>
    </row>
    <row r="355" spans="3:19" x14ac:dyDescent="0.25">
      <c r="C355" s="4" t="s">
        <v>836</v>
      </c>
      <c r="D355" s="4" t="s">
        <v>837</v>
      </c>
      <c r="E355" s="4" t="s">
        <v>838</v>
      </c>
      <c r="F355" s="4">
        <v>5</v>
      </c>
      <c r="G355" s="4" t="s">
        <v>376</v>
      </c>
      <c r="H355" s="4" t="s">
        <v>81</v>
      </c>
      <c r="I355" s="4" t="s">
        <v>1030</v>
      </c>
      <c r="J355" s="4" t="s">
        <v>146</v>
      </c>
      <c r="K355" s="4" t="s">
        <v>59</v>
      </c>
      <c r="L355" s="4" t="s">
        <v>40</v>
      </c>
      <c r="M355" s="4" t="s">
        <v>1035</v>
      </c>
      <c r="N355" s="4" t="s">
        <v>836</v>
      </c>
      <c r="O355" s="4" t="s">
        <v>42</v>
      </c>
      <c r="P355" s="50" t="s">
        <v>43</v>
      </c>
      <c r="Q355" s="50">
        <v>46394194.943459071</v>
      </c>
      <c r="R355" s="50" t="s">
        <v>799</v>
      </c>
      <c r="S355" s="4" t="s">
        <v>43</v>
      </c>
    </row>
    <row r="356" spans="3:19" x14ac:dyDescent="0.25">
      <c r="C356" s="4" t="s">
        <v>975</v>
      </c>
      <c r="D356" s="4" t="s">
        <v>976</v>
      </c>
      <c r="E356" s="4" t="s">
        <v>976</v>
      </c>
      <c r="F356" s="4">
        <v>2</v>
      </c>
      <c r="G356" s="4" t="s">
        <v>376</v>
      </c>
      <c r="H356" s="4" t="s">
        <v>46</v>
      </c>
      <c r="I356" s="4" t="s">
        <v>1030</v>
      </c>
      <c r="J356" s="4" t="s">
        <v>160</v>
      </c>
      <c r="K356" s="4" t="s">
        <v>39</v>
      </c>
      <c r="L356" s="4" t="s">
        <v>40</v>
      </c>
      <c r="M356" s="4" t="s">
        <v>984</v>
      </c>
      <c r="N356" s="4" t="s">
        <v>975</v>
      </c>
      <c r="O356" s="4" t="s">
        <v>42</v>
      </c>
      <c r="P356" s="50" t="s">
        <v>43</v>
      </c>
      <c r="Q356" s="50">
        <v>15691995.5625</v>
      </c>
      <c r="R356" s="50" t="s">
        <v>931</v>
      </c>
      <c r="S356" s="4" t="s">
        <v>43</v>
      </c>
    </row>
    <row r="357" spans="3:19" x14ac:dyDescent="0.25">
      <c r="C357" s="4" t="s">
        <v>766</v>
      </c>
      <c r="D357" s="4" t="s">
        <v>767</v>
      </c>
      <c r="E357" s="4" t="s">
        <v>768</v>
      </c>
      <c r="F357" s="4">
        <v>4.5</v>
      </c>
      <c r="G357" s="4" t="s">
        <v>376</v>
      </c>
      <c r="H357" s="4" t="s">
        <v>81</v>
      </c>
      <c r="I357" s="4" t="s">
        <v>1031</v>
      </c>
      <c r="J357" s="4" t="s">
        <v>84</v>
      </c>
      <c r="K357" s="4" t="s">
        <v>54</v>
      </c>
      <c r="L357" s="4" t="s">
        <v>55</v>
      </c>
      <c r="M357" s="4" t="s">
        <v>378</v>
      </c>
      <c r="N357" s="4" t="s">
        <v>766</v>
      </c>
      <c r="O357" s="4" t="s">
        <v>42</v>
      </c>
      <c r="P357" s="50" t="s">
        <v>43</v>
      </c>
      <c r="Q357" s="50">
        <v>30614190.495000001</v>
      </c>
      <c r="R357" s="50" t="s">
        <v>741</v>
      </c>
      <c r="S357" s="4" t="s">
        <v>440</v>
      </c>
    </row>
    <row r="358" spans="3:19" x14ac:dyDescent="0.25">
      <c r="C358" s="4" t="s">
        <v>368</v>
      </c>
      <c r="D358" s="4" t="s">
        <v>369</v>
      </c>
      <c r="E358" s="4" t="s">
        <v>370</v>
      </c>
      <c r="F358" s="4" t="s">
        <v>36</v>
      </c>
      <c r="G358" s="4" t="s">
        <v>37</v>
      </c>
      <c r="H358" s="4" t="s">
        <v>88</v>
      </c>
      <c r="I358" s="4" t="s">
        <v>1030</v>
      </c>
      <c r="J358" s="4" t="s">
        <v>160</v>
      </c>
      <c r="K358" s="4" t="s">
        <v>371</v>
      </c>
      <c r="L358" s="4" t="s">
        <v>40</v>
      </c>
      <c r="M358" s="4">
        <v>0</v>
      </c>
      <c r="N358" s="4" t="s">
        <v>368</v>
      </c>
      <c r="O358" s="4" t="s">
        <v>42</v>
      </c>
      <c r="P358" s="50" t="s">
        <v>43</v>
      </c>
      <c r="Q358" s="50" t="s">
        <v>36</v>
      </c>
      <c r="R358" s="50">
        <v>0</v>
      </c>
      <c r="S358" s="4" t="s">
        <v>36</v>
      </c>
    </row>
    <row r="359" spans="3:19" x14ac:dyDescent="0.25">
      <c r="C359" s="4" t="s">
        <v>736</v>
      </c>
      <c r="D359" s="4" t="s">
        <v>737</v>
      </c>
      <c r="E359" s="4" t="s">
        <v>738</v>
      </c>
      <c r="F359" s="4">
        <v>6</v>
      </c>
      <c r="G359" s="4" t="s">
        <v>376</v>
      </c>
      <c r="H359" s="4" t="s">
        <v>81</v>
      </c>
      <c r="I359" s="4" t="s">
        <v>1031</v>
      </c>
      <c r="J359" s="4" t="s">
        <v>84</v>
      </c>
      <c r="K359" s="4" t="s">
        <v>722</v>
      </c>
      <c r="L359" s="4" t="s">
        <v>55</v>
      </c>
      <c r="M359" s="4" t="s">
        <v>378</v>
      </c>
      <c r="N359" s="4" t="s">
        <v>736</v>
      </c>
      <c r="O359" s="4">
        <v>0</v>
      </c>
      <c r="P359" s="50" t="s">
        <v>43</v>
      </c>
      <c r="Q359" s="50">
        <v>42547358.491123497</v>
      </c>
      <c r="R359" s="50" t="s">
        <v>702</v>
      </c>
      <c r="S359" s="4" t="s">
        <v>440</v>
      </c>
    </row>
    <row r="360" spans="3:19" x14ac:dyDescent="0.25">
      <c r="C360" s="4" t="s">
        <v>612</v>
      </c>
      <c r="D360" s="4" t="s">
        <v>613</v>
      </c>
      <c r="E360" s="4" t="s">
        <v>613</v>
      </c>
      <c r="F360" s="4">
        <v>5</v>
      </c>
      <c r="G360" s="4" t="s">
        <v>376</v>
      </c>
      <c r="H360" s="4" t="s">
        <v>81</v>
      </c>
      <c r="I360" s="4" t="s">
        <v>1030</v>
      </c>
      <c r="J360" s="4" t="s">
        <v>50</v>
      </c>
      <c r="K360" s="4" t="s">
        <v>364</v>
      </c>
      <c r="L360" s="4" t="s">
        <v>40</v>
      </c>
      <c r="M360" s="4" t="s">
        <v>514</v>
      </c>
      <c r="N360" s="4" t="s">
        <v>612</v>
      </c>
      <c r="O360" s="4" t="s">
        <v>42</v>
      </c>
      <c r="P360" s="50" t="s">
        <v>43</v>
      </c>
      <c r="Q360" s="50">
        <v>52586087.454591595</v>
      </c>
      <c r="R360" s="50" t="s">
        <v>597</v>
      </c>
      <c r="S360" s="4" t="s">
        <v>440</v>
      </c>
    </row>
    <row r="361" spans="3:19" x14ac:dyDescent="0.25">
      <c r="C361" s="4" t="s">
        <v>614</v>
      </c>
      <c r="D361" s="4" t="s">
        <v>615</v>
      </c>
      <c r="E361" s="4" t="s">
        <v>615</v>
      </c>
      <c r="F361" s="4">
        <v>5</v>
      </c>
      <c r="G361" s="4" t="s">
        <v>376</v>
      </c>
      <c r="H361" s="4" t="s">
        <v>81</v>
      </c>
      <c r="I361" s="4" t="s">
        <v>1030</v>
      </c>
      <c r="J361" s="4" t="s">
        <v>50</v>
      </c>
      <c r="K361" s="4" t="s">
        <v>64</v>
      </c>
      <c r="L361" s="4" t="s">
        <v>40</v>
      </c>
      <c r="M361" s="4" t="s">
        <v>514</v>
      </c>
      <c r="N361" s="4" t="s">
        <v>614</v>
      </c>
      <c r="O361" s="4" t="s">
        <v>42</v>
      </c>
      <c r="P361" s="50" t="s">
        <v>43</v>
      </c>
      <c r="Q361" s="50">
        <v>41850805.917110406</v>
      </c>
      <c r="R361" s="50" t="s">
        <v>597</v>
      </c>
      <c r="S361" s="4" t="s">
        <v>440</v>
      </c>
    </row>
    <row r="362" spans="3:19" x14ac:dyDescent="0.25">
      <c r="C362" s="4" t="s">
        <v>372</v>
      </c>
      <c r="D362" s="4" t="s">
        <v>372</v>
      </c>
      <c r="E362" s="4" t="s">
        <v>372</v>
      </c>
      <c r="F362" s="4"/>
      <c r="G362" s="4" t="s">
        <v>372</v>
      </c>
      <c r="H362" s="4" t="s">
        <v>372</v>
      </c>
      <c r="I362" s="4" t="s">
        <v>372</v>
      </c>
      <c r="J362" s="4" t="s">
        <v>372</v>
      </c>
      <c r="K362" s="4" t="s">
        <v>372</v>
      </c>
      <c r="L362" s="4" t="s">
        <v>372</v>
      </c>
      <c r="M362" s="4" t="s">
        <v>372</v>
      </c>
      <c r="N362" s="4" t="s">
        <v>372</v>
      </c>
      <c r="O362" s="4" t="s">
        <v>372</v>
      </c>
      <c r="P362" s="4" t="s">
        <v>372</v>
      </c>
      <c r="Q362" s="50" t="s">
        <v>36</v>
      </c>
      <c r="R362" s="4" t="s">
        <v>372</v>
      </c>
      <c r="S362" s="4" t="s">
        <v>36</v>
      </c>
    </row>
    <row r="363" spans="3:19" x14ac:dyDescent="0.25">
      <c r="C363" s="4" t="s">
        <v>839</v>
      </c>
      <c r="D363" s="4" t="s">
        <v>840</v>
      </c>
      <c r="E363" s="4" t="s">
        <v>840</v>
      </c>
      <c r="F363" s="4">
        <v>5.07</v>
      </c>
      <c r="G363" s="4" t="s">
        <v>376</v>
      </c>
      <c r="H363" s="4" t="s">
        <v>81</v>
      </c>
      <c r="I363" s="4" t="s">
        <v>1030</v>
      </c>
      <c r="J363" s="4" t="s">
        <v>146</v>
      </c>
      <c r="K363" s="4" t="s">
        <v>59</v>
      </c>
      <c r="L363" s="4" t="s">
        <v>40</v>
      </c>
      <c r="M363" s="4"/>
      <c r="N363" s="4" t="s">
        <v>839</v>
      </c>
      <c r="O363" s="4"/>
      <c r="P363" s="4"/>
      <c r="Q363" s="50" t="s">
        <v>36</v>
      </c>
      <c r="R363" s="4"/>
      <c r="S363" s="4" t="s">
        <v>36</v>
      </c>
    </row>
    <row r="364" spans="3:19" x14ac:dyDescent="0.25">
      <c r="C364" s="4" t="s">
        <v>697</v>
      </c>
      <c r="D364" s="4" t="s">
        <v>698</v>
      </c>
      <c r="E364" s="4" t="s">
        <v>698</v>
      </c>
      <c r="F364" s="4">
        <v>5.07</v>
      </c>
      <c r="G364" s="4" t="s">
        <v>376</v>
      </c>
      <c r="H364" s="4" t="s">
        <v>81</v>
      </c>
      <c r="I364" s="4" t="s">
        <v>1030</v>
      </c>
      <c r="J364" s="4" t="s">
        <v>248</v>
      </c>
      <c r="K364" s="4" t="s">
        <v>51</v>
      </c>
      <c r="L364" s="4" t="s">
        <v>40</v>
      </c>
      <c r="M364" s="4" t="s">
        <v>984</v>
      </c>
      <c r="N364" s="4" t="s">
        <v>697</v>
      </c>
      <c r="O364" s="4" t="s">
        <v>42</v>
      </c>
      <c r="P364" s="50" t="s">
        <v>43</v>
      </c>
      <c r="Q364" s="50">
        <v>41725091.563443601</v>
      </c>
      <c r="R364" s="50" t="s">
        <v>51</v>
      </c>
      <c r="S364" s="4" t="s">
        <v>440</v>
      </c>
    </row>
    <row r="365" spans="3:19" ht="18" x14ac:dyDescent="0.25">
      <c r="F365" s="49">
        <f>SUM(F8:F361)</f>
        <v>1324.7900000000006</v>
      </c>
    </row>
    <row r="367" spans="3:19" x14ac:dyDescent="0.25">
      <c r="F367" s="48">
        <v>5700000</v>
      </c>
    </row>
    <row r="368" spans="3:19" x14ac:dyDescent="0.25">
      <c r="F368" s="48">
        <f>900000*3</f>
        <v>2700000</v>
      </c>
    </row>
    <row r="369" spans="3:6" x14ac:dyDescent="0.25">
      <c r="F369" s="48">
        <f>F367+F368</f>
        <v>8400000</v>
      </c>
    </row>
    <row r="371" spans="3:6" x14ac:dyDescent="0.25">
      <c r="F371" s="48">
        <v>1400000</v>
      </c>
    </row>
    <row r="372" spans="3:6" x14ac:dyDescent="0.25">
      <c r="F372" s="48">
        <f>F368-F371</f>
        <v>1300000</v>
      </c>
    </row>
    <row r="379" spans="3:6" x14ac:dyDescent="0.25">
      <c r="C379" s="4" t="s">
        <v>426</v>
      </c>
    </row>
    <row r="380" spans="3:6" x14ac:dyDescent="0.25">
      <c r="C380" s="4" t="s">
        <v>685</v>
      </c>
    </row>
    <row r="381" spans="3:6" x14ac:dyDescent="0.25">
      <c r="C381" s="4" t="s">
        <v>437</v>
      </c>
    </row>
    <row r="382" spans="3:6" x14ac:dyDescent="0.25">
      <c r="C382" s="4" t="s">
        <v>592</v>
      </c>
    </row>
  </sheetData>
  <autoFilter ref="C7:S365" xr:uid="{83D37DE2-5049-4F38-B432-C1FCFC2890A6}"/>
  <pageMargins left="0.7" right="0.7" top="0.75" bottom="0.75" header="0.3" footer="0.3"/>
  <pageSetup paperSize="9" orientation="portrait" r:id="rId1"/>
  <headerFooter>
    <oddFooter>&amp;C_x000D_&amp;1#&amp;"Calibri"&amp;10&amp;K000000 OXXO | Uso Interno</oddFooter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37DE2-5049-4F38-B432-C1FCFC2890A6}">
  <sheetPr codeName="Hoja1"/>
  <dimension ref="C1:S378"/>
  <sheetViews>
    <sheetView topLeftCell="A182" zoomScale="85" zoomScaleNormal="85" workbookViewId="0">
      <selection activeCell="G205" sqref="G205"/>
    </sheetView>
  </sheetViews>
  <sheetFormatPr baseColWidth="10" defaultColWidth="10.81640625" defaultRowHeight="12.5" x14ac:dyDescent="0.25"/>
  <cols>
    <col min="1" max="1" width="6.453125" style="48" customWidth="1"/>
    <col min="2" max="2" width="5.26953125" style="48" customWidth="1"/>
    <col min="3" max="3" width="17.26953125" style="48" bestFit="1" customWidth="1"/>
    <col min="4" max="4" width="40.54296875" style="48" customWidth="1"/>
    <col min="5" max="5" width="33.26953125" style="48" customWidth="1"/>
    <col min="6" max="6" width="23" style="48" customWidth="1"/>
    <col min="7" max="8" width="23.54296875" style="48" customWidth="1"/>
    <col min="9" max="9" width="30" style="48" customWidth="1"/>
    <col min="10" max="10" width="39.81640625" style="48" customWidth="1"/>
    <col min="11" max="13" width="31.453125" style="48" customWidth="1"/>
    <col min="14" max="14" width="10.81640625" style="48" customWidth="1"/>
    <col min="15" max="15" width="48" style="48" customWidth="1"/>
    <col min="16" max="16" width="23" style="48" customWidth="1"/>
    <col min="17" max="17" width="25.453125" style="48" customWidth="1"/>
    <col min="18" max="18" width="34.54296875" style="48" bestFit="1" customWidth="1"/>
    <col min="19" max="19" width="16" style="48" bestFit="1" customWidth="1"/>
    <col min="20" max="16384" width="10.81640625" style="48"/>
  </cols>
  <sheetData>
    <row r="1" spans="3:19" ht="15.5" x14ac:dyDescent="0.25">
      <c r="F1" s="13">
        <f>30/44</f>
        <v>0.68181818181818177</v>
      </c>
    </row>
    <row r="2" spans="3:19" x14ac:dyDescent="0.25">
      <c r="C2" s="48">
        <v>1</v>
      </c>
      <c r="D2" s="48">
        <f>C2+1</f>
        <v>2</v>
      </c>
      <c r="E2" s="48">
        <f t="shared" ref="E2:O2" si="0">D2+1</f>
        <v>3</v>
      </c>
      <c r="F2" s="48">
        <f t="shared" si="0"/>
        <v>4</v>
      </c>
      <c r="G2" s="48">
        <f t="shared" si="0"/>
        <v>5</v>
      </c>
      <c r="H2" s="48">
        <f>G2+1</f>
        <v>6</v>
      </c>
      <c r="I2" s="48">
        <f t="shared" si="0"/>
        <v>7</v>
      </c>
      <c r="J2" s="48">
        <f t="shared" si="0"/>
        <v>8</v>
      </c>
      <c r="K2" s="48">
        <f t="shared" si="0"/>
        <v>9</v>
      </c>
      <c r="L2" s="48">
        <f t="shared" si="0"/>
        <v>10</v>
      </c>
      <c r="M2" s="48">
        <f t="shared" si="0"/>
        <v>11</v>
      </c>
      <c r="N2" s="48">
        <f t="shared" si="0"/>
        <v>12</v>
      </c>
      <c r="O2" s="48">
        <f t="shared" si="0"/>
        <v>13</v>
      </c>
      <c r="P2" s="48">
        <v>14</v>
      </c>
      <c r="Q2" s="48">
        <v>15</v>
      </c>
      <c r="R2" s="48">
        <v>16</v>
      </c>
      <c r="S2" s="48" t="s">
        <v>1045</v>
      </c>
    </row>
    <row r="3" spans="3:19" ht="13" x14ac:dyDescent="0.25">
      <c r="C3" s="1" t="s">
        <v>15</v>
      </c>
      <c r="D3" s="1" t="s">
        <v>16</v>
      </c>
      <c r="E3" s="1" t="s">
        <v>17</v>
      </c>
      <c r="F3" s="1" t="s">
        <v>18</v>
      </c>
      <c r="G3" s="1" t="s">
        <v>1040</v>
      </c>
      <c r="H3" s="1" t="s">
        <v>20</v>
      </c>
      <c r="I3" s="1" t="s">
        <v>21</v>
      </c>
      <c r="J3" s="1" t="s">
        <v>22</v>
      </c>
      <c r="K3" s="1" t="s">
        <v>24</v>
      </c>
      <c r="L3" s="1" t="s">
        <v>25</v>
      </c>
      <c r="M3" s="1" t="s">
        <v>26</v>
      </c>
      <c r="N3" s="1" t="s">
        <v>15</v>
      </c>
      <c r="O3" s="1" t="s">
        <v>27</v>
      </c>
      <c r="P3" s="1" t="s">
        <v>28</v>
      </c>
      <c r="Q3" s="1" t="s">
        <v>29</v>
      </c>
      <c r="R3" s="1" t="s">
        <v>30</v>
      </c>
      <c r="S3" s="1" t="s">
        <v>31</v>
      </c>
    </row>
    <row r="4" spans="3:19" x14ac:dyDescent="0.25">
      <c r="C4" s="4" t="s">
        <v>929</v>
      </c>
      <c r="D4" s="4" t="s">
        <v>930</v>
      </c>
      <c r="E4" s="4" t="s">
        <v>930</v>
      </c>
      <c r="F4" s="4">
        <v>11.68</v>
      </c>
      <c r="G4" s="4" t="str">
        <f>VLOOKUP(C4,JUNIO!C3:G359,5,0)</f>
        <v>Abierta</v>
      </c>
      <c r="H4" s="4" t="s">
        <v>46</v>
      </c>
      <c r="I4" s="4" t="s">
        <v>1030</v>
      </c>
      <c r="J4" s="4" t="s">
        <v>160</v>
      </c>
      <c r="K4" s="4" t="s">
        <v>353</v>
      </c>
      <c r="L4" s="4" t="s">
        <v>40</v>
      </c>
      <c r="M4" s="4" t="s">
        <v>984</v>
      </c>
      <c r="N4" s="4" t="s">
        <v>929</v>
      </c>
      <c r="O4" s="4" t="s">
        <v>379</v>
      </c>
      <c r="P4" s="50" t="s">
        <v>43</v>
      </c>
      <c r="Q4" s="50">
        <v>109770762.98999999</v>
      </c>
      <c r="R4" s="50" t="s">
        <v>931</v>
      </c>
      <c r="S4" s="4" t="s">
        <v>43</v>
      </c>
    </row>
    <row r="5" spans="3:19" x14ac:dyDescent="0.25">
      <c r="C5" s="4" t="s">
        <v>651</v>
      </c>
      <c r="D5" s="4" t="s">
        <v>652</v>
      </c>
      <c r="E5" s="4" t="s">
        <v>652</v>
      </c>
      <c r="F5" s="4">
        <v>12</v>
      </c>
      <c r="G5" s="4" t="str">
        <f>VLOOKUP(C5,JUNIO!C4:G360,5,0)</f>
        <v>Abierta</v>
      </c>
      <c r="H5" s="4" t="s">
        <v>46</v>
      </c>
      <c r="I5" s="4" t="s">
        <v>1030</v>
      </c>
      <c r="J5" s="4" t="s">
        <v>248</v>
      </c>
      <c r="K5" s="4" t="s">
        <v>51</v>
      </c>
      <c r="L5" s="4" t="s">
        <v>40</v>
      </c>
      <c r="M5" s="4" t="s">
        <v>984</v>
      </c>
      <c r="N5" s="4" t="s">
        <v>651</v>
      </c>
      <c r="O5" s="4" t="s">
        <v>379</v>
      </c>
      <c r="P5" s="50" t="s">
        <v>43</v>
      </c>
      <c r="Q5" s="50">
        <v>154461033.98250002</v>
      </c>
      <c r="R5" s="50" t="s">
        <v>51</v>
      </c>
      <c r="S5" s="4" t="s">
        <v>43</v>
      </c>
    </row>
    <row r="6" spans="3:19" x14ac:dyDescent="0.25">
      <c r="C6" s="4" t="s">
        <v>373</v>
      </c>
      <c r="D6" s="4" t="s">
        <v>374</v>
      </c>
      <c r="E6" s="4" t="s">
        <v>375</v>
      </c>
      <c r="F6" s="4">
        <v>11.68</v>
      </c>
      <c r="G6" s="4" t="str">
        <f>VLOOKUP(C6,JUNIO!C5:G361,5,0)</f>
        <v>Abierta</v>
      </c>
      <c r="H6" s="4" t="s">
        <v>46</v>
      </c>
      <c r="I6" s="4" t="s">
        <v>1031</v>
      </c>
      <c r="J6" s="4" t="s">
        <v>63</v>
      </c>
      <c r="K6" s="4" t="s">
        <v>138</v>
      </c>
      <c r="L6" s="4" t="s">
        <v>40</v>
      </c>
      <c r="M6" s="4" t="s">
        <v>378</v>
      </c>
      <c r="N6" s="4" t="s">
        <v>373</v>
      </c>
      <c r="O6" s="4" t="s">
        <v>379</v>
      </c>
      <c r="P6" s="50" t="s">
        <v>43</v>
      </c>
      <c r="Q6" s="50">
        <v>140182736.11019996</v>
      </c>
      <c r="R6" s="50" t="s">
        <v>380</v>
      </c>
      <c r="S6" s="4" t="s">
        <v>43</v>
      </c>
    </row>
    <row r="7" spans="3:19" x14ac:dyDescent="0.25">
      <c r="C7" s="4" t="s">
        <v>699</v>
      </c>
      <c r="D7" s="4" t="s">
        <v>985</v>
      </c>
      <c r="E7" s="4" t="s">
        <v>701</v>
      </c>
      <c r="F7" s="4">
        <v>10</v>
      </c>
      <c r="G7" s="4" t="str">
        <f>VLOOKUP(C7,JUNIO!C6:G362,5,0)</f>
        <v>Abierta</v>
      </c>
      <c r="H7" s="4" t="s">
        <v>46</v>
      </c>
      <c r="I7" s="4" t="s">
        <v>1031</v>
      </c>
      <c r="J7" s="4" t="s">
        <v>84</v>
      </c>
      <c r="K7" s="4" t="s">
        <v>54</v>
      </c>
      <c r="L7" s="4" t="s">
        <v>55</v>
      </c>
      <c r="M7" s="4" t="s">
        <v>378</v>
      </c>
      <c r="N7" s="4" t="s">
        <v>699</v>
      </c>
      <c r="O7" s="4" t="s">
        <v>379</v>
      </c>
      <c r="P7" s="50" t="s">
        <v>43</v>
      </c>
      <c r="Q7" s="50">
        <v>102624295.87075499</v>
      </c>
      <c r="R7" s="50" t="s">
        <v>702</v>
      </c>
      <c r="S7" s="4" t="s">
        <v>43</v>
      </c>
    </row>
    <row r="8" spans="3:19" x14ac:dyDescent="0.25">
      <c r="C8" s="4" t="s">
        <v>739</v>
      </c>
      <c r="D8" s="4" t="s">
        <v>740</v>
      </c>
      <c r="E8" s="4" t="s">
        <v>740</v>
      </c>
      <c r="F8" s="4">
        <v>9</v>
      </c>
      <c r="G8" s="4" t="str">
        <f>VLOOKUP(C8,JUNIO!C7:G363,5,0)</f>
        <v>Abierta</v>
      </c>
      <c r="H8" s="4" t="s">
        <v>46</v>
      </c>
      <c r="I8" s="4" t="s">
        <v>1031</v>
      </c>
      <c r="J8" s="4" t="s">
        <v>84</v>
      </c>
      <c r="K8" s="4" t="s">
        <v>54</v>
      </c>
      <c r="L8" s="4" t="s">
        <v>55</v>
      </c>
      <c r="M8" s="4" t="s">
        <v>378</v>
      </c>
      <c r="N8" s="4" t="s">
        <v>739</v>
      </c>
      <c r="O8" s="4" t="s">
        <v>379</v>
      </c>
      <c r="P8" s="50" t="s">
        <v>43</v>
      </c>
      <c r="Q8" s="50">
        <v>83451104.313000008</v>
      </c>
      <c r="R8" s="50" t="s">
        <v>741</v>
      </c>
      <c r="S8" s="4" t="s">
        <v>43</v>
      </c>
    </row>
    <row r="9" spans="3:19" x14ac:dyDescent="0.25">
      <c r="C9" s="4" t="s">
        <v>381</v>
      </c>
      <c r="D9" s="4" t="s">
        <v>382</v>
      </c>
      <c r="E9" s="4" t="s">
        <v>382</v>
      </c>
      <c r="F9" s="4">
        <v>8.4499999999999993</v>
      </c>
      <c r="G9" s="4" t="str">
        <f>VLOOKUP(C9,JUNIO!C8:G364,5,0)</f>
        <v>Abierta</v>
      </c>
      <c r="H9" s="4" t="s">
        <v>46</v>
      </c>
      <c r="I9" s="4" t="s">
        <v>1031</v>
      </c>
      <c r="J9" s="4" t="s">
        <v>63</v>
      </c>
      <c r="K9" s="4" t="s">
        <v>138</v>
      </c>
      <c r="L9" s="4" t="s">
        <v>40</v>
      </c>
      <c r="M9" s="4" t="s">
        <v>378</v>
      </c>
      <c r="N9" s="4" t="s">
        <v>381</v>
      </c>
      <c r="O9" s="4" t="s">
        <v>379</v>
      </c>
      <c r="P9" s="50" t="s">
        <v>43</v>
      </c>
      <c r="Q9" s="50">
        <v>74084888.910752997</v>
      </c>
      <c r="R9" s="50" t="s">
        <v>380</v>
      </c>
      <c r="S9" s="4" t="s">
        <v>43</v>
      </c>
    </row>
    <row r="10" spans="3:19" x14ac:dyDescent="0.25">
      <c r="C10" s="4" t="s">
        <v>511</v>
      </c>
      <c r="D10" s="4" t="s">
        <v>512</v>
      </c>
      <c r="E10" s="4" t="s">
        <v>513</v>
      </c>
      <c r="F10" s="4">
        <v>10.58</v>
      </c>
      <c r="G10" s="4" t="str">
        <f>VLOOKUP(C10,JUNIO!C9:G365,5,0)</f>
        <v>Abierta</v>
      </c>
      <c r="H10" s="4" t="s">
        <v>46</v>
      </c>
      <c r="I10" s="4" t="s">
        <v>1030</v>
      </c>
      <c r="J10" s="4" t="s">
        <v>100</v>
      </c>
      <c r="K10" s="4" t="s">
        <v>138</v>
      </c>
      <c r="L10" s="4" t="s">
        <v>40</v>
      </c>
      <c r="M10" s="4" t="s">
        <v>514</v>
      </c>
      <c r="N10" s="4" t="s">
        <v>511</v>
      </c>
      <c r="O10" s="4" t="s">
        <v>379</v>
      </c>
      <c r="P10" s="50" t="s">
        <v>43</v>
      </c>
      <c r="Q10" s="50">
        <v>93240623.443500012</v>
      </c>
      <c r="R10" s="50" t="s">
        <v>515</v>
      </c>
      <c r="S10" s="4" t="s">
        <v>43</v>
      </c>
    </row>
    <row r="11" spans="3:19" x14ac:dyDescent="0.25">
      <c r="C11" s="4" t="s">
        <v>516</v>
      </c>
      <c r="D11" s="4" t="s">
        <v>517</v>
      </c>
      <c r="E11" s="4" t="s">
        <v>518</v>
      </c>
      <c r="F11" s="4">
        <v>10.130000000000001</v>
      </c>
      <c r="G11" s="4" t="str">
        <f>VLOOKUP(C11,JUNIO!C10:G366,5,0)</f>
        <v>Abierta</v>
      </c>
      <c r="H11" s="4" t="s">
        <v>46</v>
      </c>
      <c r="I11" s="4" t="s">
        <v>1030</v>
      </c>
      <c r="J11" s="4" t="s">
        <v>100</v>
      </c>
      <c r="K11" s="4" t="s">
        <v>205</v>
      </c>
      <c r="L11" s="4" t="s">
        <v>40</v>
      </c>
      <c r="M11" s="4" t="s">
        <v>514</v>
      </c>
      <c r="N11" s="4" t="s">
        <v>516</v>
      </c>
      <c r="O11" s="4" t="s">
        <v>379</v>
      </c>
      <c r="P11" s="50" t="s">
        <v>43</v>
      </c>
      <c r="Q11" s="50">
        <v>87722854.266000003</v>
      </c>
      <c r="R11" s="50" t="s">
        <v>515</v>
      </c>
      <c r="S11" s="4" t="s">
        <v>43</v>
      </c>
    </row>
    <row r="12" spans="3:19" x14ac:dyDescent="0.25">
      <c r="C12" s="4" t="s">
        <v>796</v>
      </c>
      <c r="D12" s="4" t="s">
        <v>797</v>
      </c>
      <c r="E12" s="4" t="s">
        <v>797</v>
      </c>
      <c r="F12" s="4">
        <v>8</v>
      </c>
      <c r="G12" s="4" t="str">
        <f>VLOOKUP(C12,JUNIO!C11:G367,5,0)</f>
        <v>Abierta</v>
      </c>
      <c r="H12" s="4" t="s">
        <v>81</v>
      </c>
      <c r="I12" s="4" t="s">
        <v>1030</v>
      </c>
      <c r="J12" s="4" t="s">
        <v>146</v>
      </c>
      <c r="K12" s="4" t="s">
        <v>59</v>
      </c>
      <c r="L12" s="4" t="s">
        <v>40</v>
      </c>
      <c r="M12" s="4" t="s">
        <v>1035</v>
      </c>
      <c r="N12" s="4" t="s">
        <v>796</v>
      </c>
      <c r="O12" s="4" t="s">
        <v>379</v>
      </c>
      <c r="P12" s="50" t="s">
        <v>43</v>
      </c>
      <c r="Q12" s="50">
        <v>45913516.364249997</v>
      </c>
      <c r="R12" s="50" t="s">
        <v>799</v>
      </c>
      <c r="S12" s="4" t="s">
        <v>440</v>
      </c>
    </row>
    <row r="13" spans="3:19" x14ac:dyDescent="0.25">
      <c r="C13" s="4" t="s">
        <v>463</v>
      </c>
      <c r="D13" s="4" t="s">
        <v>464</v>
      </c>
      <c r="E13" s="4" t="s">
        <v>465</v>
      </c>
      <c r="F13" s="4">
        <v>8.9</v>
      </c>
      <c r="G13" s="4" t="str">
        <f>VLOOKUP(C13,JUNIO!C12:G368,5,0)</f>
        <v>Abierta</v>
      </c>
      <c r="H13" s="4" t="s">
        <v>46</v>
      </c>
      <c r="I13" s="4" t="s">
        <v>1030</v>
      </c>
      <c r="J13" s="4" t="s">
        <v>466</v>
      </c>
      <c r="K13" s="4" t="s">
        <v>51</v>
      </c>
      <c r="L13" s="4" t="s">
        <v>40</v>
      </c>
      <c r="M13" s="4" t="s">
        <v>1035</v>
      </c>
      <c r="N13" s="4" t="s">
        <v>463</v>
      </c>
      <c r="O13" s="4" t="s">
        <v>379</v>
      </c>
      <c r="P13" s="50" t="s">
        <v>43</v>
      </c>
      <c r="Q13" s="50">
        <v>79731112.772196025</v>
      </c>
      <c r="R13" s="50" t="s">
        <v>467</v>
      </c>
      <c r="S13" s="4" t="s">
        <v>43</v>
      </c>
    </row>
    <row r="14" spans="3:19" x14ac:dyDescent="0.25">
      <c r="C14" s="4" t="s">
        <v>383</v>
      </c>
      <c r="D14" s="4" t="s">
        <v>384</v>
      </c>
      <c r="E14" s="4" t="s">
        <v>384</v>
      </c>
      <c r="F14" s="4">
        <v>8</v>
      </c>
      <c r="G14" s="4" t="str">
        <f>VLOOKUP(C14,JUNIO!C13:G369,5,0)</f>
        <v>Abierta</v>
      </c>
      <c r="H14" s="4" t="s">
        <v>46</v>
      </c>
      <c r="I14" s="4" t="s">
        <v>1031</v>
      </c>
      <c r="J14" s="4" t="s">
        <v>63</v>
      </c>
      <c r="K14" s="4" t="s">
        <v>138</v>
      </c>
      <c r="L14" s="4" t="s">
        <v>40</v>
      </c>
      <c r="M14" s="4" t="s">
        <v>378</v>
      </c>
      <c r="N14" s="4" t="s">
        <v>383</v>
      </c>
      <c r="O14" s="4" t="s">
        <v>42</v>
      </c>
      <c r="P14" s="50" t="s">
        <v>43</v>
      </c>
      <c r="Q14" s="50">
        <v>106637836.6785737</v>
      </c>
      <c r="R14" s="50" t="s">
        <v>380</v>
      </c>
      <c r="S14" s="4" t="s">
        <v>43</v>
      </c>
    </row>
    <row r="15" spans="3:19" x14ac:dyDescent="0.25">
      <c r="C15" s="4" t="s">
        <v>646</v>
      </c>
      <c r="D15" s="4" t="s">
        <v>647</v>
      </c>
      <c r="E15" s="4" t="s">
        <v>647</v>
      </c>
      <c r="F15" s="4">
        <v>7</v>
      </c>
      <c r="G15" s="4" t="str">
        <f>VLOOKUP(C15,JUNIO!C14:G370,5,0)</f>
        <v>Abierta</v>
      </c>
      <c r="H15" s="4" t="s">
        <v>46</v>
      </c>
      <c r="I15" s="4" t="s">
        <v>1030</v>
      </c>
      <c r="J15" s="4" t="s">
        <v>50</v>
      </c>
      <c r="K15" s="4" t="s">
        <v>59</v>
      </c>
      <c r="L15" s="4" t="s">
        <v>40</v>
      </c>
      <c r="M15" s="4" t="s">
        <v>514</v>
      </c>
      <c r="N15" s="4" t="s">
        <v>646</v>
      </c>
      <c r="O15" s="4" t="s">
        <v>42</v>
      </c>
      <c r="P15" s="50" t="s">
        <v>43</v>
      </c>
      <c r="Q15" s="50">
        <v>68655901.956943497</v>
      </c>
      <c r="R15" s="50" t="s">
        <v>597</v>
      </c>
      <c r="S15" s="4" t="s">
        <v>43</v>
      </c>
    </row>
    <row r="16" spans="3:19" x14ac:dyDescent="0.25">
      <c r="C16" s="4" t="s">
        <v>648</v>
      </c>
      <c r="D16" s="4" t="s">
        <v>649</v>
      </c>
      <c r="E16" s="4" t="s">
        <v>650</v>
      </c>
      <c r="F16" s="4">
        <v>7.45</v>
      </c>
      <c r="G16" s="4" t="str">
        <f>VLOOKUP(C16,JUNIO!C15:G371,5,0)</f>
        <v>Abierta</v>
      </c>
      <c r="H16" s="4" t="s">
        <v>46</v>
      </c>
      <c r="I16" s="4" t="s">
        <v>1030</v>
      </c>
      <c r="J16" s="4" t="s">
        <v>50</v>
      </c>
      <c r="K16" s="4" t="s">
        <v>64</v>
      </c>
      <c r="L16" s="4" t="s">
        <v>40</v>
      </c>
      <c r="M16" s="4" t="s">
        <v>514</v>
      </c>
      <c r="N16" s="4" t="s">
        <v>648</v>
      </c>
      <c r="O16" s="4" t="s">
        <v>42</v>
      </c>
      <c r="P16" s="50" t="s">
        <v>43</v>
      </c>
      <c r="Q16" s="50">
        <v>81899121.61754784</v>
      </c>
      <c r="R16" s="50" t="s">
        <v>597</v>
      </c>
      <c r="S16" s="4" t="s">
        <v>43</v>
      </c>
    </row>
    <row r="17" spans="3:19" x14ac:dyDescent="0.25">
      <c r="C17" s="4" t="s">
        <v>642</v>
      </c>
      <c r="D17" s="4" t="s">
        <v>643</v>
      </c>
      <c r="E17" s="4" t="s">
        <v>643</v>
      </c>
      <c r="F17" s="4">
        <v>5.07</v>
      </c>
      <c r="G17" s="4" t="str">
        <f>VLOOKUP(C17,JUNIO!C16:G372,5,0)</f>
        <v>Abierta</v>
      </c>
      <c r="H17" s="4" t="s">
        <v>46</v>
      </c>
      <c r="I17" s="4" t="s">
        <v>1030</v>
      </c>
      <c r="J17" s="4" t="s">
        <v>50</v>
      </c>
      <c r="K17" s="4" t="s">
        <v>51</v>
      </c>
      <c r="L17" s="4" t="s">
        <v>40</v>
      </c>
      <c r="M17" s="4" t="s">
        <v>514</v>
      </c>
      <c r="N17" s="4" t="s">
        <v>642</v>
      </c>
      <c r="O17" s="4" t="s">
        <v>42</v>
      </c>
      <c r="P17" s="50" t="s">
        <v>43</v>
      </c>
      <c r="Q17" s="50">
        <v>88970906.911380664</v>
      </c>
      <c r="R17" s="50" t="s">
        <v>597</v>
      </c>
      <c r="S17" s="4" t="s">
        <v>43</v>
      </c>
    </row>
    <row r="18" spans="3:19" x14ac:dyDescent="0.25">
      <c r="C18" s="4" t="s">
        <v>468</v>
      </c>
      <c r="D18" s="4" t="s">
        <v>469</v>
      </c>
      <c r="E18" s="4" t="s">
        <v>470</v>
      </c>
      <c r="F18" s="4">
        <v>8.4499999999999993</v>
      </c>
      <c r="G18" s="4" t="str">
        <f>VLOOKUP(C18,JUNIO!C17:G373,5,0)</f>
        <v>Abierta</v>
      </c>
      <c r="H18" s="4" t="s">
        <v>46</v>
      </c>
      <c r="I18" s="4" t="s">
        <v>1030</v>
      </c>
      <c r="J18" s="4" t="s">
        <v>466</v>
      </c>
      <c r="K18" s="4" t="s">
        <v>51</v>
      </c>
      <c r="L18" s="4" t="s">
        <v>40</v>
      </c>
      <c r="M18" s="4" t="s">
        <v>1035</v>
      </c>
      <c r="N18" s="4" t="s">
        <v>468</v>
      </c>
      <c r="O18" s="4" t="s">
        <v>42</v>
      </c>
      <c r="P18" s="50" t="s">
        <v>43</v>
      </c>
      <c r="Q18" s="50">
        <v>106872845.24775</v>
      </c>
      <c r="R18" s="50" t="s">
        <v>467</v>
      </c>
      <c r="S18" s="4" t="s">
        <v>43</v>
      </c>
    </row>
    <row r="19" spans="3:19" x14ac:dyDescent="0.25">
      <c r="C19" s="4" t="s">
        <v>932</v>
      </c>
      <c r="D19" s="4" t="s">
        <v>933</v>
      </c>
      <c r="E19" s="4" t="s">
        <v>933</v>
      </c>
      <c r="F19" s="4">
        <v>7</v>
      </c>
      <c r="G19" s="4" t="str">
        <f>VLOOKUP(C19,JUNIO!C18:G374,5,0)</f>
        <v>Abierta</v>
      </c>
      <c r="H19" s="4" t="s">
        <v>46</v>
      </c>
      <c r="I19" s="4" t="s">
        <v>1030</v>
      </c>
      <c r="J19" s="4" t="s">
        <v>160</v>
      </c>
      <c r="K19" s="4" t="s">
        <v>353</v>
      </c>
      <c r="L19" s="4" t="s">
        <v>40</v>
      </c>
      <c r="M19" s="4" t="s">
        <v>984</v>
      </c>
      <c r="N19" s="4" t="s">
        <v>932</v>
      </c>
      <c r="O19" s="4" t="s">
        <v>42</v>
      </c>
      <c r="P19" s="50" t="s">
        <v>43</v>
      </c>
      <c r="Q19" s="50">
        <v>72943062.879338995</v>
      </c>
      <c r="R19" s="50" t="s">
        <v>931</v>
      </c>
      <c r="S19" s="4" t="s">
        <v>43</v>
      </c>
    </row>
    <row r="20" spans="3:19" x14ac:dyDescent="0.25">
      <c r="C20" s="4" t="s">
        <v>390</v>
      </c>
      <c r="D20" s="4" t="s">
        <v>391</v>
      </c>
      <c r="E20" s="4" t="s">
        <v>391</v>
      </c>
      <c r="F20" s="4">
        <v>7</v>
      </c>
      <c r="G20" s="4" t="str">
        <f>VLOOKUP(C20,JUNIO!C19:G375,5,0)</f>
        <v>Abierta</v>
      </c>
      <c r="H20" s="4" t="s">
        <v>46</v>
      </c>
      <c r="I20" s="4" t="s">
        <v>1031</v>
      </c>
      <c r="J20" s="4" t="s">
        <v>63</v>
      </c>
      <c r="K20" s="4" t="s">
        <v>138</v>
      </c>
      <c r="L20" s="4" t="s">
        <v>40</v>
      </c>
      <c r="M20" s="4" t="s">
        <v>378</v>
      </c>
      <c r="N20" s="4" t="s">
        <v>390</v>
      </c>
      <c r="O20" s="4" t="s">
        <v>42</v>
      </c>
      <c r="P20" s="50" t="s">
        <v>43</v>
      </c>
      <c r="Q20" s="50">
        <v>90769339.905452281</v>
      </c>
      <c r="R20" s="50" t="s">
        <v>380</v>
      </c>
      <c r="S20" s="4" t="s">
        <v>43</v>
      </c>
    </row>
    <row r="21" spans="3:19" x14ac:dyDescent="0.25">
      <c r="C21" s="4" t="s">
        <v>883</v>
      </c>
      <c r="D21" s="4" t="s">
        <v>884</v>
      </c>
      <c r="E21" s="4" t="s">
        <v>986</v>
      </c>
      <c r="F21" s="4">
        <v>5.45</v>
      </c>
      <c r="G21" s="4" t="str">
        <f>VLOOKUP(C21,JUNIO!C20:G376,5,0)</f>
        <v>Abierta</v>
      </c>
      <c r="H21" s="4" t="s">
        <v>46</v>
      </c>
      <c r="I21" s="4" t="s">
        <v>1030</v>
      </c>
      <c r="J21" s="4" t="s">
        <v>73</v>
      </c>
      <c r="K21" s="4" t="s">
        <v>315</v>
      </c>
      <c r="L21" s="4" t="s">
        <v>40</v>
      </c>
      <c r="M21" s="4" t="s">
        <v>514</v>
      </c>
      <c r="N21" s="4" t="s">
        <v>883</v>
      </c>
      <c r="O21" s="4" t="s">
        <v>42</v>
      </c>
      <c r="P21" s="50" t="s">
        <v>440</v>
      </c>
      <c r="Q21" s="50">
        <v>43701008.062275007</v>
      </c>
      <c r="R21" s="50" t="s">
        <v>886</v>
      </c>
      <c r="S21" s="4" t="s">
        <v>43</v>
      </c>
    </row>
    <row r="22" spans="3:19" x14ac:dyDescent="0.25">
      <c r="C22" s="4" t="s">
        <v>387</v>
      </c>
      <c r="D22" s="4" t="s">
        <v>388</v>
      </c>
      <c r="E22" s="4" t="s">
        <v>389</v>
      </c>
      <c r="F22" s="4">
        <v>6.68</v>
      </c>
      <c r="G22" s="4" t="str">
        <f>VLOOKUP(C22,JUNIO!C21:G377,5,0)</f>
        <v>Abierta</v>
      </c>
      <c r="H22" s="4" t="s">
        <v>46</v>
      </c>
      <c r="I22" s="4" t="s">
        <v>1031</v>
      </c>
      <c r="J22" s="4" t="s">
        <v>63</v>
      </c>
      <c r="K22" s="4" t="s">
        <v>138</v>
      </c>
      <c r="L22" s="4" t="s">
        <v>40</v>
      </c>
      <c r="M22" s="4" t="s">
        <v>378</v>
      </c>
      <c r="N22" s="4" t="s">
        <v>387</v>
      </c>
      <c r="O22" s="4" t="s">
        <v>42</v>
      </c>
      <c r="P22" s="50" t="s">
        <v>43</v>
      </c>
      <c r="Q22" s="50">
        <v>74901677.620500013</v>
      </c>
      <c r="R22" s="50" t="s">
        <v>380</v>
      </c>
      <c r="S22" s="4" t="s">
        <v>43</v>
      </c>
    </row>
    <row r="23" spans="3:19" x14ac:dyDescent="0.25">
      <c r="C23" s="4" t="s">
        <v>519</v>
      </c>
      <c r="D23" s="4" t="s">
        <v>520</v>
      </c>
      <c r="E23" s="4" t="s">
        <v>520</v>
      </c>
      <c r="F23" s="4">
        <v>7</v>
      </c>
      <c r="G23" s="4" t="str">
        <f>VLOOKUP(C23,JUNIO!C22:G378,5,0)</f>
        <v>Abierta</v>
      </c>
      <c r="H23" s="4" t="s">
        <v>46</v>
      </c>
      <c r="I23" s="4" t="s">
        <v>1030</v>
      </c>
      <c r="J23" s="4" t="s">
        <v>100</v>
      </c>
      <c r="K23" s="4" t="s">
        <v>138</v>
      </c>
      <c r="L23" s="4" t="s">
        <v>40</v>
      </c>
      <c r="M23" s="4" t="s">
        <v>514</v>
      </c>
      <c r="N23" s="4" t="s">
        <v>519</v>
      </c>
      <c r="O23" s="4" t="s">
        <v>42</v>
      </c>
      <c r="P23" s="50" t="s">
        <v>43</v>
      </c>
      <c r="Q23" s="50">
        <v>80153945.79854998</v>
      </c>
      <c r="R23" s="50" t="s">
        <v>515</v>
      </c>
      <c r="S23" s="4" t="s">
        <v>43</v>
      </c>
    </row>
    <row r="24" spans="3:19" x14ac:dyDescent="0.25">
      <c r="C24" s="4" t="s">
        <v>887</v>
      </c>
      <c r="D24" s="4" t="s">
        <v>275</v>
      </c>
      <c r="E24" s="4" t="s">
        <v>888</v>
      </c>
      <c r="F24" s="4">
        <v>8.68</v>
      </c>
      <c r="G24" s="4" t="str">
        <f>VLOOKUP(C24,JUNIO!C23:G379,5,0)</f>
        <v>Abierta</v>
      </c>
      <c r="H24" s="4" t="s">
        <v>46</v>
      </c>
      <c r="I24" s="4" t="s">
        <v>1030</v>
      </c>
      <c r="J24" s="4" t="s">
        <v>73</v>
      </c>
      <c r="K24" s="4" t="s">
        <v>275</v>
      </c>
      <c r="L24" s="4" t="s">
        <v>40</v>
      </c>
      <c r="M24" s="4" t="s">
        <v>514</v>
      </c>
      <c r="N24" s="4" t="s">
        <v>887</v>
      </c>
      <c r="O24" s="4" t="s">
        <v>42</v>
      </c>
      <c r="P24" s="50" t="s">
        <v>43</v>
      </c>
      <c r="Q24" s="50">
        <v>100710415.67535</v>
      </c>
      <c r="R24" s="50" t="s">
        <v>886</v>
      </c>
      <c r="S24" s="4" t="s">
        <v>43</v>
      </c>
    </row>
    <row r="25" spans="3:19" ht="13" x14ac:dyDescent="0.25">
      <c r="C25" s="4" t="s">
        <v>654</v>
      </c>
      <c r="D25" s="4" t="s">
        <v>655</v>
      </c>
      <c r="E25" s="4" t="s">
        <v>655</v>
      </c>
      <c r="F25" s="43">
        <v>7</v>
      </c>
      <c r="G25" s="4" t="str">
        <f>VLOOKUP(C25,JUNIO!C24:G380,5,0)</f>
        <v>Abierta</v>
      </c>
      <c r="H25" s="4" t="s">
        <v>46</v>
      </c>
      <c r="I25" s="4" t="s">
        <v>1030</v>
      </c>
      <c r="J25" s="4" t="s">
        <v>248</v>
      </c>
      <c r="K25" s="4" t="s">
        <v>51</v>
      </c>
      <c r="L25" s="4" t="s">
        <v>40</v>
      </c>
      <c r="M25" s="4" t="s">
        <v>984</v>
      </c>
      <c r="N25" s="4" t="s">
        <v>654</v>
      </c>
      <c r="O25" s="4" t="s">
        <v>42</v>
      </c>
      <c r="P25" s="50" t="s">
        <v>43</v>
      </c>
      <c r="Q25" s="50">
        <v>77485943.166450009</v>
      </c>
      <c r="R25" s="50" t="s">
        <v>51</v>
      </c>
      <c r="S25" s="4" t="s">
        <v>43</v>
      </c>
    </row>
    <row r="26" spans="3:19" x14ac:dyDescent="0.25">
      <c r="C26" s="4" t="s">
        <v>800</v>
      </c>
      <c r="D26" s="4" t="s">
        <v>801</v>
      </c>
      <c r="E26" s="4" t="s">
        <v>801</v>
      </c>
      <c r="F26" s="4">
        <v>7</v>
      </c>
      <c r="G26" s="4" t="str">
        <f>VLOOKUP(C26,JUNIO!C25:G381,5,0)</f>
        <v>Abierta</v>
      </c>
      <c r="H26" s="4" t="s">
        <v>46</v>
      </c>
      <c r="I26" s="4" t="s">
        <v>1030</v>
      </c>
      <c r="J26" s="4" t="s">
        <v>146</v>
      </c>
      <c r="K26" s="4" t="s">
        <v>59</v>
      </c>
      <c r="L26" s="4" t="s">
        <v>40</v>
      </c>
      <c r="M26" s="4" t="s">
        <v>1035</v>
      </c>
      <c r="N26" s="4" t="s">
        <v>800</v>
      </c>
      <c r="O26" s="4" t="s">
        <v>42</v>
      </c>
      <c r="P26" s="50" t="s">
        <v>43</v>
      </c>
      <c r="Q26" s="50">
        <v>42035482.512500003</v>
      </c>
      <c r="R26" s="50" t="s">
        <v>799</v>
      </c>
      <c r="S26" s="4" t="s">
        <v>43</v>
      </c>
    </row>
    <row r="27" spans="3:19" x14ac:dyDescent="0.25">
      <c r="C27" s="4" t="s">
        <v>385</v>
      </c>
      <c r="D27" s="4" t="s">
        <v>386</v>
      </c>
      <c r="E27" s="4" t="s">
        <v>386</v>
      </c>
      <c r="F27" s="4">
        <v>7</v>
      </c>
      <c r="G27" s="4" t="str">
        <f>VLOOKUP(C27,JUNIO!C26:G382,5,0)</f>
        <v>Abierta</v>
      </c>
      <c r="H27" s="4" t="s">
        <v>46</v>
      </c>
      <c r="I27" s="4" t="s">
        <v>1031</v>
      </c>
      <c r="J27" s="4" t="s">
        <v>63</v>
      </c>
      <c r="K27" s="4" t="s">
        <v>138</v>
      </c>
      <c r="L27" s="4" t="s">
        <v>40</v>
      </c>
      <c r="M27" s="4" t="s">
        <v>378</v>
      </c>
      <c r="N27" s="4" t="s">
        <v>385</v>
      </c>
      <c r="O27" s="4" t="s">
        <v>42</v>
      </c>
      <c r="P27" s="50" t="s">
        <v>43</v>
      </c>
      <c r="Q27" s="50">
        <v>88936067.333354756</v>
      </c>
      <c r="R27" s="50" t="s">
        <v>380</v>
      </c>
      <c r="S27" s="4" t="s">
        <v>43</v>
      </c>
    </row>
    <row r="28" spans="3:19" x14ac:dyDescent="0.25">
      <c r="C28" s="4" t="s">
        <v>934</v>
      </c>
      <c r="D28" s="4" t="s">
        <v>935</v>
      </c>
      <c r="E28" s="4" t="s">
        <v>935</v>
      </c>
      <c r="F28" s="4">
        <v>7</v>
      </c>
      <c r="G28" s="4" t="str">
        <f>VLOOKUP(C28,JUNIO!C27:G383,5,0)</f>
        <v>Abierta</v>
      </c>
      <c r="H28" s="4" t="s">
        <v>46</v>
      </c>
      <c r="I28" s="4" t="s">
        <v>1030</v>
      </c>
      <c r="J28" s="4" t="s">
        <v>160</v>
      </c>
      <c r="K28" s="4" t="s">
        <v>353</v>
      </c>
      <c r="L28" s="4" t="s">
        <v>40</v>
      </c>
      <c r="M28" s="4" t="s">
        <v>984</v>
      </c>
      <c r="N28" s="4" t="s">
        <v>934</v>
      </c>
      <c r="O28" s="4" t="s">
        <v>42</v>
      </c>
      <c r="P28" s="50" t="s">
        <v>43</v>
      </c>
      <c r="Q28" s="50">
        <v>64045847.12813101</v>
      </c>
      <c r="R28" s="50" t="s">
        <v>931</v>
      </c>
      <c r="S28" s="4" t="s">
        <v>43</v>
      </c>
    </row>
    <row r="29" spans="3:19" x14ac:dyDescent="0.25">
      <c r="C29" s="4" t="s">
        <v>573</v>
      </c>
      <c r="D29" s="4" t="s">
        <v>574</v>
      </c>
      <c r="E29" s="4" t="s">
        <v>575</v>
      </c>
      <c r="F29" s="4">
        <v>7</v>
      </c>
      <c r="G29" s="4" t="str">
        <f>VLOOKUP(C29,JUNIO!C28:G384,5,0)</f>
        <v>Abierta</v>
      </c>
      <c r="H29" s="4" t="s">
        <v>46</v>
      </c>
      <c r="I29" s="4" t="s">
        <v>1030</v>
      </c>
      <c r="J29" s="4" t="s">
        <v>331</v>
      </c>
      <c r="K29" s="4" t="s">
        <v>138</v>
      </c>
      <c r="L29" s="4" t="s">
        <v>40</v>
      </c>
      <c r="M29" s="4" t="s">
        <v>984</v>
      </c>
      <c r="N29" s="4" t="s">
        <v>573</v>
      </c>
      <c r="O29" s="4" t="s">
        <v>42</v>
      </c>
      <c r="P29" s="50" t="s">
        <v>440</v>
      </c>
      <c r="Q29" s="50">
        <v>83647666.634569019</v>
      </c>
      <c r="R29" s="50" t="s">
        <v>557</v>
      </c>
      <c r="S29" s="4" t="s">
        <v>43</v>
      </c>
    </row>
    <row r="30" spans="3:19" x14ac:dyDescent="0.25">
      <c r="C30" s="4" t="s">
        <v>804</v>
      </c>
      <c r="D30" s="4" t="s">
        <v>805</v>
      </c>
      <c r="E30" s="4" t="s">
        <v>806</v>
      </c>
      <c r="F30" s="4">
        <v>6.56</v>
      </c>
      <c r="G30" s="4" t="str">
        <f>VLOOKUP(C30,JUNIO!C29:G385,5,0)</f>
        <v>Abierta</v>
      </c>
      <c r="H30" s="4" t="s">
        <v>46</v>
      </c>
      <c r="I30" s="4" t="s">
        <v>1030</v>
      </c>
      <c r="J30" s="4" t="s">
        <v>146</v>
      </c>
      <c r="K30" s="4" t="s">
        <v>59</v>
      </c>
      <c r="L30" s="4" t="s">
        <v>40</v>
      </c>
      <c r="M30" s="4" t="s">
        <v>1035</v>
      </c>
      <c r="N30" s="4" t="s">
        <v>804</v>
      </c>
      <c r="O30" s="4" t="s">
        <v>42</v>
      </c>
      <c r="P30" s="50" t="s">
        <v>43</v>
      </c>
      <c r="Q30" s="50">
        <v>56717955.576942496</v>
      </c>
      <c r="R30" s="50" t="s">
        <v>799</v>
      </c>
      <c r="S30" s="4" t="s">
        <v>43</v>
      </c>
    </row>
    <row r="31" spans="3:19" x14ac:dyDescent="0.25">
      <c r="C31" s="4" t="s">
        <v>618</v>
      </c>
      <c r="D31" s="4" t="s">
        <v>619</v>
      </c>
      <c r="E31" s="4" t="s">
        <v>619</v>
      </c>
      <c r="F31" s="4">
        <v>6.68</v>
      </c>
      <c r="G31" s="4" t="str">
        <f>VLOOKUP(C31,JUNIO!C30:G386,5,0)</f>
        <v>Abierta</v>
      </c>
      <c r="H31" s="4" t="s">
        <v>46</v>
      </c>
      <c r="I31" s="4" t="s">
        <v>1030</v>
      </c>
      <c r="J31" s="4" t="s">
        <v>50</v>
      </c>
      <c r="K31" s="4" t="s">
        <v>59</v>
      </c>
      <c r="L31" s="4" t="s">
        <v>40</v>
      </c>
      <c r="M31" s="4" t="s">
        <v>514</v>
      </c>
      <c r="N31" s="4" t="s">
        <v>618</v>
      </c>
      <c r="O31" s="4" t="s">
        <v>42</v>
      </c>
      <c r="P31" s="50" t="s">
        <v>43</v>
      </c>
      <c r="Q31" s="50">
        <v>63713409.927675478</v>
      </c>
      <c r="R31" s="50" t="s">
        <v>597</v>
      </c>
      <c r="S31" s="4" t="s">
        <v>43</v>
      </c>
    </row>
    <row r="32" spans="3:19" x14ac:dyDescent="0.25">
      <c r="C32" s="4" t="s">
        <v>419</v>
      </c>
      <c r="D32" s="4" t="s">
        <v>420</v>
      </c>
      <c r="E32" s="4" t="s">
        <v>64</v>
      </c>
      <c r="F32" s="4">
        <v>6</v>
      </c>
      <c r="G32" s="4" t="str">
        <f>VLOOKUP(C32,JUNIO!C31:G387,5,0)</f>
        <v>Abierta</v>
      </c>
      <c r="H32" s="4" t="s">
        <v>46</v>
      </c>
      <c r="I32" s="4" t="s">
        <v>1030</v>
      </c>
      <c r="J32" s="4" t="s">
        <v>94</v>
      </c>
      <c r="K32" s="4" t="s">
        <v>64</v>
      </c>
      <c r="L32" s="4" t="s">
        <v>40</v>
      </c>
      <c r="M32" s="4" t="s">
        <v>1035</v>
      </c>
      <c r="N32" s="4" t="s">
        <v>419</v>
      </c>
      <c r="O32" s="4" t="s">
        <v>42</v>
      </c>
      <c r="P32" s="50" t="s">
        <v>43</v>
      </c>
      <c r="Q32" s="50">
        <v>65189025.813675001</v>
      </c>
      <c r="R32" s="50" t="s">
        <v>423</v>
      </c>
      <c r="S32" s="4" t="s">
        <v>43</v>
      </c>
    </row>
    <row r="33" spans="3:19" x14ac:dyDescent="0.25">
      <c r="C33" s="4" t="s">
        <v>521</v>
      </c>
      <c r="D33" s="4" t="s">
        <v>522</v>
      </c>
      <c r="E33" s="4" t="s">
        <v>522</v>
      </c>
      <c r="F33" s="44">
        <v>6</v>
      </c>
      <c r="G33" s="4" t="str">
        <f>VLOOKUP(C33,JUNIO!C32:G388,5,0)</f>
        <v>Abierta</v>
      </c>
      <c r="H33" s="4" t="s">
        <v>46</v>
      </c>
      <c r="I33" s="4" t="s">
        <v>1030</v>
      </c>
      <c r="J33" s="4" t="s">
        <v>100</v>
      </c>
      <c r="K33" s="4" t="s">
        <v>138</v>
      </c>
      <c r="L33" s="4" t="s">
        <v>40</v>
      </c>
      <c r="M33" s="4" t="s">
        <v>514</v>
      </c>
      <c r="N33" s="4" t="s">
        <v>521</v>
      </c>
      <c r="O33" s="4" t="s">
        <v>42</v>
      </c>
      <c r="P33" s="50" t="s">
        <v>43</v>
      </c>
      <c r="Q33" s="50">
        <v>60377959.473299995</v>
      </c>
      <c r="R33" s="50" t="s">
        <v>515</v>
      </c>
      <c r="S33" s="4" t="s">
        <v>43</v>
      </c>
    </row>
    <row r="34" spans="3:19" x14ac:dyDescent="0.25">
      <c r="C34" s="4" t="s">
        <v>844</v>
      </c>
      <c r="D34" s="4" t="s">
        <v>845</v>
      </c>
      <c r="E34" s="4" t="s">
        <v>846</v>
      </c>
      <c r="F34" s="4">
        <v>6</v>
      </c>
      <c r="G34" s="4" t="str">
        <f>VLOOKUP(C34,JUNIO!C33:G389,5,0)</f>
        <v>Abierta</v>
      </c>
      <c r="H34" s="4" t="s">
        <v>46</v>
      </c>
      <c r="I34" s="4" t="s">
        <v>1030</v>
      </c>
      <c r="J34" s="4" t="s">
        <v>132</v>
      </c>
      <c r="K34" s="4" t="s">
        <v>138</v>
      </c>
      <c r="L34" s="4" t="s">
        <v>40</v>
      </c>
      <c r="M34" s="4" t="s">
        <v>1035</v>
      </c>
      <c r="N34" s="4" t="s">
        <v>844</v>
      </c>
      <c r="O34" s="4" t="s">
        <v>42</v>
      </c>
      <c r="P34" s="50" t="s">
        <v>43</v>
      </c>
      <c r="Q34" s="50">
        <v>58620645.36581251</v>
      </c>
      <c r="R34" s="50" t="s">
        <v>847</v>
      </c>
      <c r="S34" s="4" t="s">
        <v>43</v>
      </c>
    </row>
    <row r="35" spans="3:19" x14ac:dyDescent="0.25">
      <c r="C35" s="4" t="s">
        <v>889</v>
      </c>
      <c r="D35" s="4" t="s">
        <v>890</v>
      </c>
      <c r="E35" s="4" t="s">
        <v>890</v>
      </c>
      <c r="F35" s="4">
        <v>6</v>
      </c>
      <c r="G35" s="4" t="str">
        <f>VLOOKUP(C35,JUNIO!C34:G390,5,0)</f>
        <v>Abierta</v>
      </c>
      <c r="H35" s="4" t="s">
        <v>46</v>
      </c>
      <c r="I35" s="4" t="s">
        <v>1030</v>
      </c>
      <c r="J35" s="4" t="s">
        <v>73</v>
      </c>
      <c r="K35" s="4" t="s">
        <v>97</v>
      </c>
      <c r="L35" s="4" t="s">
        <v>40</v>
      </c>
      <c r="M35" s="4" t="s">
        <v>514</v>
      </c>
      <c r="N35" s="4" t="s">
        <v>889</v>
      </c>
      <c r="O35" s="4" t="s">
        <v>42</v>
      </c>
      <c r="P35" s="50" t="s">
        <v>43</v>
      </c>
      <c r="Q35" s="50">
        <v>63180896.43178536</v>
      </c>
      <c r="R35" s="50" t="s">
        <v>886</v>
      </c>
      <c r="S35" s="4" t="s">
        <v>43</v>
      </c>
    </row>
    <row r="36" spans="3:19" x14ac:dyDescent="0.25">
      <c r="C36" s="4" t="s">
        <v>392</v>
      </c>
      <c r="D36" s="4" t="s">
        <v>393</v>
      </c>
      <c r="E36" s="4" t="s">
        <v>393</v>
      </c>
      <c r="F36" s="4">
        <v>5</v>
      </c>
      <c r="G36" s="4" t="str">
        <f>VLOOKUP(C36,JUNIO!C35:G391,5,0)</f>
        <v>Abierta</v>
      </c>
      <c r="H36" s="4" t="s">
        <v>46</v>
      </c>
      <c r="I36" s="4" t="s">
        <v>1031</v>
      </c>
      <c r="J36" s="4" t="s">
        <v>63</v>
      </c>
      <c r="K36" s="4" t="s">
        <v>138</v>
      </c>
      <c r="L36" s="4" t="s">
        <v>40</v>
      </c>
      <c r="M36" s="4" t="s">
        <v>378</v>
      </c>
      <c r="N36" s="4" t="s">
        <v>392</v>
      </c>
      <c r="O36" s="4" t="s">
        <v>42</v>
      </c>
      <c r="P36" s="50" t="s">
        <v>43</v>
      </c>
      <c r="Q36" s="50">
        <v>58383286.138436943</v>
      </c>
      <c r="R36" s="50" t="s">
        <v>380</v>
      </c>
      <c r="S36" s="4" t="s">
        <v>43</v>
      </c>
    </row>
    <row r="37" spans="3:19" x14ac:dyDescent="0.25">
      <c r="C37" s="4" t="s">
        <v>703</v>
      </c>
      <c r="D37" s="4" t="s">
        <v>704</v>
      </c>
      <c r="E37" s="4" t="s">
        <v>705</v>
      </c>
      <c r="F37" s="4">
        <v>5</v>
      </c>
      <c r="G37" s="4" t="str">
        <f>VLOOKUP(C37,JUNIO!C36:G392,5,0)</f>
        <v>Abierta</v>
      </c>
      <c r="H37" s="4" t="s">
        <v>46</v>
      </c>
      <c r="I37" s="4" t="s">
        <v>1031</v>
      </c>
      <c r="J37" s="4" t="s">
        <v>84</v>
      </c>
      <c r="K37" s="4" t="s">
        <v>706</v>
      </c>
      <c r="L37" s="4" t="s">
        <v>55</v>
      </c>
      <c r="M37" s="4" t="s">
        <v>378</v>
      </c>
      <c r="N37" s="4" t="s">
        <v>703</v>
      </c>
      <c r="O37" s="4" t="s">
        <v>42</v>
      </c>
      <c r="P37" s="50" t="s">
        <v>43</v>
      </c>
      <c r="Q37" s="50">
        <v>52366516.207950011</v>
      </c>
      <c r="R37" s="50" t="s">
        <v>702</v>
      </c>
      <c r="S37" s="4" t="s">
        <v>43</v>
      </c>
    </row>
    <row r="38" spans="3:19" x14ac:dyDescent="0.25">
      <c r="C38" s="4" t="s">
        <v>34</v>
      </c>
      <c r="D38" s="4" t="s">
        <v>35</v>
      </c>
      <c r="E38" s="4" t="s">
        <v>35</v>
      </c>
      <c r="F38" s="4" t="s">
        <v>36</v>
      </c>
      <c r="G38" s="4" t="str">
        <f>VLOOKUP(C38,JUNIO!C37:G393,5,0)</f>
        <v>CIERRE DEFINITIVO</v>
      </c>
      <c r="H38" s="4" t="s">
        <v>38</v>
      </c>
      <c r="I38" s="4" t="s">
        <v>1030</v>
      </c>
      <c r="J38" s="4">
        <v>0</v>
      </c>
      <c r="K38" s="4" t="s">
        <v>39</v>
      </c>
      <c r="L38" s="4" t="s">
        <v>40</v>
      </c>
      <c r="M38" s="4">
        <v>0</v>
      </c>
      <c r="N38" s="4" t="s">
        <v>34</v>
      </c>
      <c r="O38" s="4" t="s">
        <v>42</v>
      </c>
      <c r="P38" s="50" t="s">
        <v>43</v>
      </c>
      <c r="Q38" s="50" t="s">
        <v>36</v>
      </c>
      <c r="R38" s="50">
        <v>0</v>
      </c>
      <c r="S38" s="4" t="s">
        <v>43</v>
      </c>
    </row>
    <row r="39" spans="3:19" x14ac:dyDescent="0.25">
      <c r="C39" s="4" t="s">
        <v>424</v>
      </c>
      <c r="D39" s="4" t="s">
        <v>425</v>
      </c>
      <c r="E39" s="4" t="s">
        <v>988</v>
      </c>
      <c r="F39" s="4">
        <v>6</v>
      </c>
      <c r="G39" s="4" t="str">
        <f>VLOOKUP(C39,JUNIO!C38:G394,5,0)</f>
        <v>CIERRE DEFINITIVO</v>
      </c>
      <c r="H39" s="4" t="s">
        <v>46</v>
      </c>
      <c r="I39" s="4" t="s">
        <v>1030</v>
      </c>
      <c r="J39" s="4" t="s">
        <v>94</v>
      </c>
      <c r="K39" s="4" t="s">
        <v>64</v>
      </c>
      <c r="L39" s="4" t="s">
        <v>40</v>
      </c>
      <c r="M39" s="4" t="s">
        <v>1035</v>
      </c>
      <c r="N39" s="4" t="s">
        <v>424</v>
      </c>
      <c r="O39" s="4" t="s">
        <v>42</v>
      </c>
      <c r="P39" s="50" t="s">
        <v>43</v>
      </c>
      <c r="Q39" s="50" t="s">
        <v>36</v>
      </c>
      <c r="R39" s="50" t="s">
        <v>423</v>
      </c>
      <c r="S39" s="4" t="s">
        <v>43</v>
      </c>
    </row>
    <row r="40" spans="3:19" x14ac:dyDescent="0.25">
      <c r="C40" s="4" t="s">
        <v>471</v>
      </c>
      <c r="D40" s="4" t="s">
        <v>472</v>
      </c>
      <c r="E40" s="4" t="s">
        <v>473</v>
      </c>
      <c r="F40" s="4">
        <v>5</v>
      </c>
      <c r="G40" s="4" t="str">
        <f>VLOOKUP(C40,JUNIO!C39:G395,5,0)</f>
        <v>Abierta</v>
      </c>
      <c r="H40" s="4" t="s">
        <v>46</v>
      </c>
      <c r="I40" s="4" t="s">
        <v>1030</v>
      </c>
      <c r="J40" s="4" t="s">
        <v>466</v>
      </c>
      <c r="K40" s="4" t="s">
        <v>51</v>
      </c>
      <c r="L40" s="4" t="s">
        <v>40</v>
      </c>
      <c r="M40" s="4" t="s">
        <v>1035</v>
      </c>
      <c r="N40" s="4" t="s">
        <v>471</v>
      </c>
      <c r="O40" s="4" t="s">
        <v>42</v>
      </c>
      <c r="P40" s="50" t="s">
        <v>43</v>
      </c>
      <c r="Q40" s="50">
        <v>54033947.649243005</v>
      </c>
      <c r="R40" s="50" t="s">
        <v>467</v>
      </c>
      <c r="S40" s="4" t="s">
        <v>43</v>
      </c>
    </row>
    <row r="41" spans="3:19" x14ac:dyDescent="0.25">
      <c r="C41" s="4" t="s">
        <v>742</v>
      </c>
      <c r="D41" s="4" t="s">
        <v>744</v>
      </c>
      <c r="E41" s="51" t="s">
        <v>989</v>
      </c>
      <c r="F41" s="4">
        <v>6</v>
      </c>
      <c r="G41" s="4" t="str">
        <f>VLOOKUP(C41,JUNIO!C40:G396,5,0)</f>
        <v>Abierta</v>
      </c>
      <c r="H41" s="4" t="s">
        <v>46</v>
      </c>
      <c r="I41" s="4" t="s">
        <v>1031</v>
      </c>
      <c r="J41" s="4" t="s">
        <v>84</v>
      </c>
      <c r="K41" s="4" t="s">
        <v>54</v>
      </c>
      <c r="L41" s="4" t="s">
        <v>55</v>
      </c>
      <c r="M41" s="4" t="s">
        <v>378</v>
      </c>
      <c r="N41" s="4" t="s">
        <v>742</v>
      </c>
      <c r="O41" s="4" t="s">
        <v>42</v>
      </c>
      <c r="P41" s="50" t="s">
        <v>440</v>
      </c>
      <c r="Q41" s="50">
        <v>41059385.043750003</v>
      </c>
      <c r="R41" s="50" t="s">
        <v>741</v>
      </c>
      <c r="S41" s="4" t="s">
        <v>43</v>
      </c>
    </row>
    <row r="42" spans="3:19" x14ac:dyDescent="0.25">
      <c r="C42" s="4" t="s">
        <v>707</v>
      </c>
      <c r="D42" s="4" t="s">
        <v>706</v>
      </c>
      <c r="E42" s="4" t="s">
        <v>708</v>
      </c>
      <c r="F42" s="4">
        <v>5</v>
      </c>
      <c r="G42" s="4" t="str">
        <f>VLOOKUP(C42,JUNIO!C41:G397,5,0)</f>
        <v>Abierta</v>
      </c>
      <c r="H42" s="4" t="s">
        <v>46</v>
      </c>
      <c r="I42" s="4" t="s">
        <v>1031</v>
      </c>
      <c r="J42" s="4" t="s">
        <v>84</v>
      </c>
      <c r="K42" s="4" t="s">
        <v>706</v>
      </c>
      <c r="L42" s="4" t="s">
        <v>55</v>
      </c>
      <c r="M42" s="4" t="s">
        <v>378</v>
      </c>
      <c r="N42" s="4" t="s">
        <v>707</v>
      </c>
      <c r="O42" s="4" t="s">
        <v>42</v>
      </c>
      <c r="P42" s="50" t="s">
        <v>440</v>
      </c>
      <c r="Q42" s="50">
        <v>35995302.403200001</v>
      </c>
      <c r="R42" s="50" t="s">
        <v>702</v>
      </c>
      <c r="S42" s="4" t="s">
        <v>43</v>
      </c>
    </row>
    <row r="43" spans="3:19" x14ac:dyDescent="0.25">
      <c r="C43" s="4" t="s">
        <v>394</v>
      </c>
      <c r="D43" s="4" t="s">
        <v>395</v>
      </c>
      <c r="E43" s="4" t="s">
        <v>395</v>
      </c>
      <c r="F43" s="4">
        <v>6</v>
      </c>
      <c r="G43" s="4" t="str">
        <f>VLOOKUP(C43,JUNIO!C42:G398,5,0)</f>
        <v>Abierta</v>
      </c>
      <c r="H43" s="4" t="s">
        <v>46</v>
      </c>
      <c r="I43" s="4" t="s">
        <v>1031</v>
      </c>
      <c r="J43" s="4" t="s">
        <v>63</v>
      </c>
      <c r="K43" s="4" t="s">
        <v>138</v>
      </c>
      <c r="L43" s="4" t="s">
        <v>40</v>
      </c>
      <c r="M43" s="4" t="s">
        <v>378</v>
      </c>
      <c r="N43" s="4" t="s">
        <v>394</v>
      </c>
      <c r="O43" s="4" t="s">
        <v>42</v>
      </c>
      <c r="P43" s="50" t="s">
        <v>43</v>
      </c>
      <c r="Q43" s="50">
        <v>68175612.554249987</v>
      </c>
      <c r="R43" s="50" t="s">
        <v>380</v>
      </c>
      <c r="S43" s="4" t="s">
        <v>43</v>
      </c>
    </row>
    <row r="44" spans="3:19" x14ac:dyDescent="0.25">
      <c r="C44" s="4" t="s">
        <v>396</v>
      </c>
      <c r="D44" s="4" t="s">
        <v>397</v>
      </c>
      <c r="E44" s="4" t="s">
        <v>397</v>
      </c>
      <c r="F44" s="4">
        <v>6</v>
      </c>
      <c r="G44" s="4" t="str">
        <f>VLOOKUP(C44,JUNIO!C43:G399,5,0)</f>
        <v>Abierta</v>
      </c>
      <c r="H44" s="4" t="s">
        <v>46</v>
      </c>
      <c r="I44" s="4" t="s">
        <v>1031</v>
      </c>
      <c r="J44" s="4" t="s">
        <v>63</v>
      </c>
      <c r="K44" s="4" t="s">
        <v>138</v>
      </c>
      <c r="L44" s="4" t="s">
        <v>40</v>
      </c>
      <c r="M44" s="4" t="s">
        <v>378</v>
      </c>
      <c r="N44" s="4" t="s">
        <v>396</v>
      </c>
      <c r="O44" s="4" t="s">
        <v>42</v>
      </c>
      <c r="P44" s="50" t="s">
        <v>43</v>
      </c>
      <c r="Q44" s="50">
        <v>53222175.811944008</v>
      </c>
      <c r="R44" s="50" t="s">
        <v>380</v>
      </c>
      <c r="S44" s="4" t="s">
        <v>43</v>
      </c>
    </row>
    <row r="45" spans="3:19" x14ac:dyDescent="0.25">
      <c r="C45" s="4" t="s">
        <v>848</v>
      </c>
      <c r="D45" s="4" t="s">
        <v>849</v>
      </c>
      <c r="E45" s="4" t="s">
        <v>849</v>
      </c>
      <c r="F45" s="4">
        <v>9.68</v>
      </c>
      <c r="G45" s="4" t="str">
        <f>VLOOKUP(C45,JUNIO!C44:G400,5,0)</f>
        <v>Abierta</v>
      </c>
      <c r="H45" s="4" t="s">
        <v>46</v>
      </c>
      <c r="I45" s="4" t="s">
        <v>1030</v>
      </c>
      <c r="J45" s="4" t="s">
        <v>132</v>
      </c>
      <c r="K45" s="4" t="s">
        <v>138</v>
      </c>
      <c r="L45" s="4" t="s">
        <v>40</v>
      </c>
      <c r="M45" s="4" t="s">
        <v>1035</v>
      </c>
      <c r="N45" s="4" t="s">
        <v>848</v>
      </c>
      <c r="O45" s="4" t="s">
        <v>42</v>
      </c>
      <c r="P45" s="50" t="s">
        <v>43</v>
      </c>
      <c r="Q45" s="50">
        <v>84112893.222425997</v>
      </c>
      <c r="R45" s="50" t="s">
        <v>847</v>
      </c>
      <c r="S45" s="4" t="s">
        <v>43</v>
      </c>
    </row>
    <row r="46" spans="3:19" x14ac:dyDescent="0.25">
      <c r="C46" s="4" t="s">
        <v>936</v>
      </c>
      <c r="D46" s="4" t="s">
        <v>937</v>
      </c>
      <c r="E46" s="4" t="s">
        <v>938</v>
      </c>
      <c r="F46" s="4">
        <v>5</v>
      </c>
      <c r="G46" s="4" t="str">
        <f>VLOOKUP(C46,JUNIO!C45:G401,5,0)</f>
        <v>Abierta</v>
      </c>
      <c r="H46" s="4" t="s">
        <v>46</v>
      </c>
      <c r="I46" s="4" t="s">
        <v>1030</v>
      </c>
      <c r="J46" s="4" t="s">
        <v>160</v>
      </c>
      <c r="K46" s="4" t="s">
        <v>138</v>
      </c>
      <c r="L46" s="4" t="s">
        <v>40</v>
      </c>
      <c r="M46" s="4" t="s">
        <v>984</v>
      </c>
      <c r="N46" s="4" t="s">
        <v>936</v>
      </c>
      <c r="O46" s="4" t="s">
        <v>42</v>
      </c>
      <c r="P46" s="50" t="s">
        <v>43</v>
      </c>
      <c r="Q46" s="50">
        <v>52179975.593102328</v>
      </c>
      <c r="R46" s="50" t="s">
        <v>931</v>
      </c>
      <c r="S46" s="4" t="s">
        <v>43</v>
      </c>
    </row>
    <row r="47" spans="3:19" x14ac:dyDescent="0.25">
      <c r="C47" s="4" t="s">
        <v>939</v>
      </c>
      <c r="D47" s="4" t="s">
        <v>39</v>
      </c>
      <c r="E47" s="4" t="s">
        <v>39</v>
      </c>
      <c r="F47" s="4">
        <v>6.45</v>
      </c>
      <c r="G47" s="4" t="str">
        <f>VLOOKUP(C47,JUNIO!C46:G402,5,0)</f>
        <v>Abierta</v>
      </c>
      <c r="H47" s="4" t="s">
        <v>46</v>
      </c>
      <c r="I47" s="4" t="s">
        <v>1030</v>
      </c>
      <c r="J47" s="4" t="s">
        <v>160</v>
      </c>
      <c r="K47" s="4" t="s">
        <v>39</v>
      </c>
      <c r="L47" s="4" t="s">
        <v>40</v>
      </c>
      <c r="M47" s="4" t="s">
        <v>984</v>
      </c>
      <c r="N47" s="4" t="s">
        <v>939</v>
      </c>
      <c r="O47" s="4" t="s">
        <v>42</v>
      </c>
      <c r="P47" s="50" t="s">
        <v>43</v>
      </c>
      <c r="Q47" s="50">
        <v>75876590.598749995</v>
      </c>
      <c r="R47" s="50" t="s">
        <v>931</v>
      </c>
      <c r="S47" s="4" t="s">
        <v>43</v>
      </c>
    </row>
    <row r="48" spans="3:19" x14ac:dyDescent="0.25">
      <c r="C48" s="4" t="s">
        <v>44</v>
      </c>
      <c r="D48" s="4" t="s">
        <v>45</v>
      </c>
      <c r="E48" s="4" t="s">
        <v>45</v>
      </c>
      <c r="F48" s="4" t="s">
        <v>36</v>
      </c>
      <c r="G48" s="4" t="str">
        <f>VLOOKUP(C48,JUNIO!C47:G403,5,0)</f>
        <v>CIERRE DEFINITIVO</v>
      </c>
      <c r="H48" s="4" t="s">
        <v>46</v>
      </c>
      <c r="I48" s="4" t="s">
        <v>1030</v>
      </c>
      <c r="J48" s="4">
        <v>0</v>
      </c>
      <c r="K48" s="4" t="s">
        <v>47</v>
      </c>
      <c r="L48" s="4" t="s">
        <v>40</v>
      </c>
      <c r="M48" s="4">
        <v>0</v>
      </c>
      <c r="N48" s="4" t="s">
        <v>44</v>
      </c>
      <c r="O48" s="4" t="s">
        <v>42</v>
      </c>
      <c r="P48" s="50" t="s">
        <v>43</v>
      </c>
      <c r="Q48" s="50" t="s">
        <v>36</v>
      </c>
      <c r="R48" s="50">
        <v>0</v>
      </c>
      <c r="S48" s="4" t="s">
        <v>43</v>
      </c>
    </row>
    <row r="49" spans="3:19" x14ac:dyDescent="0.25">
      <c r="C49" s="4" t="s">
        <v>940</v>
      </c>
      <c r="D49" s="4" t="s">
        <v>941</v>
      </c>
      <c r="E49" s="4" t="s">
        <v>941</v>
      </c>
      <c r="F49" s="44">
        <v>9</v>
      </c>
      <c r="G49" s="4" t="str">
        <f>VLOOKUP(C49,JUNIO!C48:G404,5,0)</f>
        <v>Abierta</v>
      </c>
      <c r="H49" s="4" t="s">
        <v>46</v>
      </c>
      <c r="I49" s="4" t="s">
        <v>1030</v>
      </c>
      <c r="J49" s="4" t="s">
        <v>160</v>
      </c>
      <c r="K49" s="4" t="s">
        <v>371</v>
      </c>
      <c r="L49" s="4" t="s">
        <v>40</v>
      </c>
      <c r="M49" s="4" t="s">
        <v>984</v>
      </c>
      <c r="N49" s="4" t="s">
        <v>940</v>
      </c>
      <c r="O49" s="4" t="s">
        <v>379</v>
      </c>
      <c r="P49" s="50" t="s">
        <v>43</v>
      </c>
      <c r="Q49" s="50">
        <v>77553417.482250005</v>
      </c>
      <c r="R49" s="50" t="s">
        <v>931</v>
      </c>
      <c r="S49" s="4" t="s">
        <v>43</v>
      </c>
    </row>
    <row r="50" spans="3:19" x14ac:dyDescent="0.25">
      <c r="C50" s="4" t="s">
        <v>850</v>
      </c>
      <c r="D50" s="4" t="s">
        <v>851</v>
      </c>
      <c r="E50" s="4" t="s">
        <v>851</v>
      </c>
      <c r="F50" s="4">
        <v>6</v>
      </c>
      <c r="G50" s="4" t="str">
        <f>VLOOKUP(C50,JUNIO!C49:G405,5,0)</f>
        <v>Abierta</v>
      </c>
      <c r="H50" s="4" t="s">
        <v>46</v>
      </c>
      <c r="I50" s="4" t="s">
        <v>1030</v>
      </c>
      <c r="J50" s="4" t="s">
        <v>132</v>
      </c>
      <c r="K50" s="4" t="s">
        <v>138</v>
      </c>
      <c r="L50" s="4" t="s">
        <v>40</v>
      </c>
      <c r="M50" s="4" t="s">
        <v>1035</v>
      </c>
      <c r="N50" s="4" t="s">
        <v>850</v>
      </c>
      <c r="O50" s="4" t="s">
        <v>42</v>
      </c>
      <c r="P50" s="50" t="s">
        <v>43</v>
      </c>
      <c r="Q50" s="50">
        <v>57610815.760400213</v>
      </c>
      <c r="R50" s="50" t="s">
        <v>847</v>
      </c>
      <c r="S50" s="4" t="s">
        <v>43</v>
      </c>
    </row>
    <row r="51" spans="3:19" x14ac:dyDescent="0.25">
      <c r="C51" s="4" t="s">
        <v>474</v>
      </c>
      <c r="D51" s="4" t="s">
        <v>475</v>
      </c>
      <c r="E51" s="4" t="s">
        <v>475</v>
      </c>
      <c r="F51" s="4">
        <v>6</v>
      </c>
      <c r="G51" s="4" t="str">
        <f>VLOOKUP(C51,JUNIO!C50:G406,5,0)</f>
        <v>Abierta</v>
      </c>
      <c r="H51" s="4" t="s">
        <v>46</v>
      </c>
      <c r="I51" s="4" t="s">
        <v>1030</v>
      </c>
      <c r="J51" s="4" t="s">
        <v>466</v>
      </c>
      <c r="K51" s="4" t="s">
        <v>51</v>
      </c>
      <c r="L51" s="4" t="s">
        <v>40</v>
      </c>
      <c r="M51" s="4">
        <v>0</v>
      </c>
      <c r="N51" s="4" t="s">
        <v>474</v>
      </c>
      <c r="O51" s="4" t="s">
        <v>42</v>
      </c>
      <c r="P51" s="50" t="s">
        <v>43</v>
      </c>
      <c r="Q51" s="50">
        <v>72119167.307189837</v>
      </c>
      <c r="R51" s="50" t="s">
        <v>467</v>
      </c>
      <c r="S51" s="4" t="s">
        <v>43</v>
      </c>
    </row>
    <row r="52" spans="3:19" x14ac:dyDescent="0.25">
      <c r="C52" s="4" t="s">
        <v>555</v>
      </c>
      <c r="D52" s="4" t="s">
        <v>556</v>
      </c>
      <c r="E52" s="4" t="s">
        <v>556</v>
      </c>
      <c r="F52" s="4">
        <v>5</v>
      </c>
      <c r="G52" s="4" t="str">
        <f>VLOOKUP(C52,JUNIO!C51:G407,5,0)</f>
        <v>Abierta</v>
      </c>
      <c r="H52" s="4" t="s">
        <v>46</v>
      </c>
      <c r="I52" s="4" t="s">
        <v>1030</v>
      </c>
      <c r="J52" s="4" t="s">
        <v>331</v>
      </c>
      <c r="K52" s="4" t="s">
        <v>138</v>
      </c>
      <c r="L52" s="4" t="s">
        <v>40</v>
      </c>
      <c r="M52" s="4" t="s">
        <v>984</v>
      </c>
      <c r="N52" s="4" t="s">
        <v>555</v>
      </c>
      <c r="O52" s="4" t="s">
        <v>42</v>
      </c>
      <c r="P52" s="50" t="s">
        <v>43</v>
      </c>
      <c r="Q52" s="50">
        <v>49535472.262500003</v>
      </c>
      <c r="R52" s="50" t="s">
        <v>557</v>
      </c>
      <c r="S52" s="4" t="s">
        <v>43</v>
      </c>
    </row>
    <row r="53" spans="3:19" x14ac:dyDescent="0.25">
      <c r="C53" s="4" t="s">
        <v>745</v>
      </c>
      <c r="D53" s="4" t="s">
        <v>746</v>
      </c>
      <c r="E53" s="4" t="s">
        <v>746</v>
      </c>
      <c r="F53" s="4">
        <v>9</v>
      </c>
      <c r="G53" s="4" t="str">
        <f>VLOOKUP(C53,JUNIO!C52:G408,5,0)</f>
        <v>Abierta</v>
      </c>
      <c r="H53" s="4" t="s">
        <v>46</v>
      </c>
      <c r="I53" s="4" t="s">
        <v>1031</v>
      </c>
      <c r="J53" s="4" t="s">
        <v>84</v>
      </c>
      <c r="K53" s="4" t="s">
        <v>279</v>
      </c>
      <c r="L53" s="4" t="s">
        <v>55</v>
      </c>
      <c r="M53" s="4" t="s">
        <v>378</v>
      </c>
      <c r="N53" s="4" t="s">
        <v>745</v>
      </c>
      <c r="O53" s="4" t="s">
        <v>379</v>
      </c>
      <c r="P53" s="50" t="s">
        <v>43</v>
      </c>
      <c r="Q53" s="50">
        <v>92453632.069742993</v>
      </c>
      <c r="R53" s="50" t="s">
        <v>741</v>
      </c>
      <c r="S53" s="4" t="s">
        <v>43</v>
      </c>
    </row>
    <row r="54" spans="3:19" x14ac:dyDescent="0.25">
      <c r="C54" s="4" t="s">
        <v>656</v>
      </c>
      <c r="D54" s="4" t="s">
        <v>657</v>
      </c>
      <c r="E54" s="4" t="s">
        <v>658</v>
      </c>
      <c r="F54" s="4">
        <v>5</v>
      </c>
      <c r="G54" s="4" t="str">
        <f>VLOOKUP(C54,JUNIO!C53:G409,5,0)</f>
        <v>Abierta</v>
      </c>
      <c r="H54" s="4" t="s">
        <v>46</v>
      </c>
      <c r="I54" s="4" t="s">
        <v>1030</v>
      </c>
      <c r="J54" s="4" t="s">
        <v>248</v>
      </c>
      <c r="K54" s="4" t="s">
        <v>51</v>
      </c>
      <c r="L54" s="4" t="s">
        <v>40</v>
      </c>
      <c r="M54" s="4" t="s">
        <v>984</v>
      </c>
      <c r="N54" s="4" t="s">
        <v>656</v>
      </c>
      <c r="O54" s="4" t="s">
        <v>42</v>
      </c>
      <c r="P54" s="50" t="s">
        <v>43</v>
      </c>
      <c r="Q54" s="50">
        <v>40871756.656412989</v>
      </c>
      <c r="R54" s="50" t="s">
        <v>51</v>
      </c>
      <c r="S54" s="4" t="s">
        <v>43</v>
      </c>
    </row>
    <row r="55" spans="3:19" x14ac:dyDescent="0.25">
      <c r="C55" s="4" t="s">
        <v>523</v>
      </c>
      <c r="D55" s="4" t="s">
        <v>524</v>
      </c>
      <c r="E55" s="4" t="s">
        <v>524</v>
      </c>
      <c r="F55" s="4">
        <v>6</v>
      </c>
      <c r="G55" s="4" t="str">
        <f>VLOOKUP(C55,JUNIO!C54:G410,5,0)</f>
        <v>Abierta</v>
      </c>
      <c r="H55" s="4" t="s">
        <v>46</v>
      </c>
      <c r="I55" s="4" t="s">
        <v>1030</v>
      </c>
      <c r="J55" s="4" t="s">
        <v>100</v>
      </c>
      <c r="K55" s="4" t="s">
        <v>138</v>
      </c>
      <c r="L55" s="4" t="s">
        <v>40</v>
      </c>
      <c r="M55" s="4" t="s">
        <v>514</v>
      </c>
      <c r="N55" s="4" t="s">
        <v>523</v>
      </c>
      <c r="O55" s="4" t="s">
        <v>42</v>
      </c>
      <c r="P55" s="50" t="s">
        <v>43</v>
      </c>
      <c r="Q55" s="50">
        <v>61389794.814449996</v>
      </c>
      <c r="R55" s="50" t="s">
        <v>515</v>
      </c>
      <c r="S55" s="4" t="s">
        <v>43</v>
      </c>
    </row>
    <row r="56" spans="3:19" x14ac:dyDescent="0.25">
      <c r="C56" s="4" t="s">
        <v>476</v>
      </c>
      <c r="D56" s="4" t="s">
        <v>477</v>
      </c>
      <c r="E56" s="4" t="s">
        <v>477</v>
      </c>
      <c r="F56" s="4">
        <v>5</v>
      </c>
      <c r="G56" s="4" t="str">
        <f>VLOOKUP(C56,JUNIO!C55:G411,5,0)</f>
        <v>Abierta</v>
      </c>
      <c r="H56" s="4" t="s">
        <v>46</v>
      </c>
      <c r="I56" s="4" t="s">
        <v>1030</v>
      </c>
      <c r="J56" s="4" t="s">
        <v>466</v>
      </c>
      <c r="K56" s="4" t="s">
        <v>51</v>
      </c>
      <c r="L56" s="4" t="s">
        <v>40</v>
      </c>
      <c r="M56" s="4" t="s">
        <v>1035</v>
      </c>
      <c r="N56" s="4" t="s">
        <v>476</v>
      </c>
      <c r="O56" s="4" t="s">
        <v>42</v>
      </c>
      <c r="P56" s="50" t="s">
        <v>43</v>
      </c>
      <c r="Q56" s="50">
        <v>75967808.526774019</v>
      </c>
      <c r="R56" s="50" t="s">
        <v>467</v>
      </c>
      <c r="S56" s="4" t="s">
        <v>43</v>
      </c>
    </row>
    <row r="57" spans="3:19" x14ac:dyDescent="0.25">
      <c r="C57" s="4" t="s">
        <v>659</v>
      </c>
      <c r="D57" s="4" t="s">
        <v>660</v>
      </c>
      <c r="E57" s="4" t="s">
        <v>661</v>
      </c>
      <c r="F57" s="4">
        <v>6</v>
      </c>
      <c r="G57" s="4" t="str">
        <f>VLOOKUP(C57,JUNIO!C56:G412,5,0)</f>
        <v>Abierta</v>
      </c>
      <c r="H57" s="4" t="s">
        <v>46</v>
      </c>
      <c r="I57" s="4" t="s">
        <v>1030</v>
      </c>
      <c r="J57" s="4" t="s">
        <v>248</v>
      </c>
      <c r="K57" s="4" t="s">
        <v>51</v>
      </c>
      <c r="L57" s="4" t="s">
        <v>40</v>
      </c>
      <c r="M57" s="4" t="s">
        <v>984</v>
      </c>
      <c r="N57" s="4" t="s">
        <v>659</v>
      </c>
      <c r="O57" s="4" t="s">
        <v>42</v>
      </c>
      <c r="P57" s="50" t="s">
        <v>43</v>
      </c>
      <c r="Q57" s="50">
        <v>46379963.174711391</v>
      </c>
      <c r="R57" s="50" t="s">
        <v>51</v>
      </c>
      <c r="S57" s="4" t="s">
        <v>43</v>
      </c>
    </row>
    <row r="58" spans="3:19" x14ac:dyDescent="0.25">
      <c r="C58" s="4" t="s">
        <v>644</v>
      </c>
      <c r="D58" s="4" t="s">
        <v>645</v>
      </c>
      <c r="E58" s="4" t="s">
        <v>645</v>
      </c>
      <c r="F58" s="4">
        <v>5.07</v>
      </c>
      <c r="G58" s="4" t="str">
        <f>VLOOKUP(C58,JUNIO!C57:G413,5,0)</f>
        <v>Abierta</v>
      </c>
      <c r="H58" s="4" t="s">
        <v>81</v>
      </c>
      <c r="I58" s="4" t="s">
        <v>1030</v>
      </c>
      <c r="J58" s="4" t="s">
        <v>50</v>
      </c>
      <c r="K58" s="4" t="s">
        <v>51</v>
      </c>
      <c r="L58" s="4" t="s">
        <v>40</v>
      </c>
      <c r="M58" s="4" t="s">
        <v>514</v>
      </c>
      <c r="N58" s="4" t="s">
        <v>644</v>
      </c>
      <c r="O58" s="4" t="s">
        <v>42</v>
      </c>
      <c r="P58" s="50" t="s">
        <v>43</v>
      </c>
      <c r="Q58" s="50">
        <v>85566258.019086123</v>
      </c>
      <c r="R58" s="50" t="s">
        <v>597</v>
      </c>
      <c r="S58" s="4" t="s">
        <v>43</v>
      </c>
    </row>
    <row r="59" spans="3:19" x14ac:dyDescent="0.25">
      <c r="C59" s="4" t="s">
        <v>398</v>
      </c>
      <c r="D59" s="4" t="s">
        <v>399</v>
      </c>
      <c r="E59" s="4" t="s">
        <v>399</v>
      </c>
      <c r="F59" s="4">
        <v>5</v>
      </c>
      <c r="G59" s="4" t="str">
        <f>VLOOKUP(C59,JUNIO!C58:G414,5,0)</f>
        <v>Abierta</v>
      </c>
      <c r="H59" s="4" t="s">
        <v>46</v>
      </c>
      <c r="I59" s="4" t="s">
        <v>1031</v>
      </c>
      <c r="J59" s="4" t="s">
        <v>63</v>
      </c>
      <c r="K59" s="4" t="s">
        <v>138</v>
      </c>
      <c r="L59" s="4" t="s">
        <v>40</v>
      </c>
      <c r="M59" s="4" t="s">
        <v>378</v>
      </c>
      <c r="N59" s="4" t="s">
        <v>398</v>
      </c>
      <c r="O59" s="4" t="s">
        <v>42</v>
      </c>
      <c r="P59" s="50" t="s">
        <v>43</v>
      </c>
      <c r="Q59" s="50">
        <v>60593054.493339561</v>
      </c>
      <c r="R59" s="50" t="s">
        <v>380</v>
      </c>
      <c r="S59" s="4" t="s">
        <v>43</v>
      </c>
    </row>
    <row r="60" spans="3:19" x14ac:dyDescent="0.25">
      <c r="C60" s="4" t="s">
        <v>634</v>
      </c>
      <c r="D60" s="4" t="s">
        <v>635</v>
      </c>
      <c r="E60" s="4" t="s">
        <v>635</v>
      </c>
      <c r="F60" s="4">
        <v>6</v>
      </c>
      <c r="G60" s="4" t="str">
        <f>VLOOKUP(C60,JUNIO!C59:G415,5,0)</f>
        <v>Abierta</v>
      </c>
      <c r="H60" s="4" t="s">
        <v>46</v>
      </c>
      <c r="I60" s="4" t="s">
        <v>1030</v>
      </c>
      <c r="J60" s="4" t="s">
        <v>50</v>
      </c>
      <c r="K60" s="4" t="s">
        <v>59</v>
      </c>
      <c r="L60" s="4" t="s">
        <v>40</v>
      </c>
      <c r="M60" s="4" t="s">
        <v>514</v>
      </c>
      <c r="N60" s="4" t="s">
        <v>634</v>
      </c>
      <c r="O60" s="4" t="s">
        <v>42</v>
      </c>
      <c r="P60" s="50" t="s">
        <v>43</v>
      </c>
      <c r="Q60" s="50">
        <v>69688477.347367346</v>
      </c>
      <c r="R60" s="50" t="s">
        <v>597</v>
      </c>
      <c r="S60" s="4" t="s">
        <v>43</v>
      </c>
    </row>
    <row r="61" spans="3:19" x14ac:dyDescent="0.25">
      <c r="C61" s="4" t="s">
        <v>558</v>
      </c>
      <c r="D61" s="4" t="s">
        <v>559</v>
      </c>
      <c r="E61" s="4" t="s">
        <v>560</v>
      </c>
      <c r="F61" s="4">
        <v>6</v>
      </c>
      <c r="G61" s="4" t="str">
        <f>VLOOKUP(C61,JUNIO!C60:G416,5,0)</f>
        <v>Abierta</v>
      </c>
      <c r="H61" s="4" t="s">
        <v>46</v>
      </c>
      <c r="I61" s="4" t="s">
        <v>1030</v>
      </c>
      <c r="J61" s="4" t="s">
        <v>331</v>
      </c>
      <c r="K61" s="4" t="s">
        <v>138</v>
      </c>
      <c r="L61" s="4" t="s">
        <v>40</v>
      </c>
      <c r="M61" s="4" t="s">
        <v>984</v>
      </c>
      <c r="N61" s="4" t="s">
        <v>558</v>
      </c>
      <c r="O61" s="4" t="s">
        <v>42</v>
      </c>
      <c r="P61" s="50" t="s">
        <v>43</v>
      </c>
      <c r="Q61" s="50">
        <v>65781734.569409527</v>
      </c>
      <c r="R61" s="50" t="s">
        <v>557</v>
      </c>
      <c r="S61" s="4" t="s">
        <v>43</v>
      </c>
    </row>
    <row r="62" spans="3:19" x14ac:dyDescent="0.25">
      <c r="C62" s="4" t="s">
        <v>561</v>
      </c>
      <c r="D62" s="4" t="s">
        <v>562</v>
      </c>
      <c r="E62" s="4" t="s">
        <v>563</v>
      </c>
      <c r="F62" s="4">
        <v>6</v>
      </c>
      <c r="G62" s="4" t="str">
        <f>VLOOKUP(C62,JUNIO!C61:G417,5,0)</f>
        <v>Abierta</v>
      </c>
      <c r="H62" s="4" t="s">
        <v>46</v>
      </c>
      <c r="I62" s="4" t="s">
        <v>1030</v>
      </c>
      <c r="J62" s="4" t="s">
        <v>331</v>
      </c>
      <c r="K62" s="4" t="s">
        <v>138</v>
      </c>
      <c r="L62" s="4" t="s">
        <v>40</v>
      </c>
      <c r="M62" s="4" t="s">
        <v>984</v>
      </c>
      <c r="N62" s="4" t="s">
        <v>561</v>
      </c>
      <c r="O62" s="4" t="s">
        <v>42</v>
      </c>
      <c r="P62" s="50" t="s">
        <v>43</v>
      </c>
      <c r="Q62" s="50">
        <v>45169669.153559707</v>
      </c>
      <c r="R62" s="50" t="s">
        <v>557</v>
      </c>
      <c r="S62" s="4" t="s">
        <v>43</v>
      </c>
    </row>
    <row r="63" spans="3:19" x14ac:dyDescent="0.25">
      <c r="C63" s="4" t="s">
        <v>478</v>
      </c>
      <c r="D63" s="4" t="s">
        <v>479</v>
      </c>
      <c r="E63" s="4" t="s">
        <v>479</v>
      </c>
      <c r="F63" s="4">
        <v>5</v>
      </c>
      <c r="G63" s="4" t="str">
        <f>VLOOKUP(C63,JUNIO!C62:G418,5,0)</f>
        <v>Abierta</v>
      </c>
      <c r="H63" s="4" t="s">
        <v>46</v>
      </c>
      <c r="I63" s="4" t="s">
        <v>1030</v>
      </c>
      <c r="J63" s="4" t="s">
        <v>466</v>
      </c>
      <c r="K63" s="4" t="s">
        <v>51</v>
      </c>
      <c r="L63" s="4" t="s">
        <v>40</v>
      </c>
      <c r="M63" s="4" t="s">
        <v>1035</v>
      </c>
      <c r="N63" s="4" t="s">
        <v>478</v>
      </c>
      <c r="O63" s="4" t="s">
        <v>42</v>
      </c>
      <c r="P63" s="50" t="s">
        <v>43</v>
      </c>
      <c r="Q63" s="50">
        <v>63099477.914999999</v>
      </c>
      <c r="R63" s="50" t="s">
        <v>467</v>
      </c>
      <c r="S63" s="4" t="s">
        <v>43</v>
      </c>
    </row>
    <row r="64" spans="3:19" x14ac:dyDescent="0.25">
      <c r="C64" s="4" t="s">
        <v>852</v>
      </c>
      <c r="D64" s="4" t="s">
        <v>853</v>
      </c>
      <c r="E64" s="4" t="s">
        <v>853</v>
      </c>
      <c r="F64" s="4">
        <v>5</v>
      </c>
      <c r="G64" s="4" t="str">
        <f>VLOOKUP(C64,JUNIO!C63:G419,5,0)</f>
        <v>Abierta</v>
      </c>
      <c r="H64" s="4" t="s">
        <v>46</v>
      </c>
      <c r="I64" s="4" t="s">
        <v>1030</v>
      </c>
      <c r="J64" s="4" t="s">
        <v>132</v>
      </c>
      <c r="K64" s="4" t="s">
        <v>138</v>
      </c>
      <c r="L64" s="4" t="s">
        <v>40</v>
      </c>
      <c r="M64" s="4" t="s">
        <v>1035</v>
      </c>
      <c r="N64" s="4" t="s">
        <v>852</v>
      </c>
      <c r="O64" s="4" t="s">
        <v>42</v>
      </c>
      <c r="P64" s="50" t="s">
        <v>43</v>
      </c>
      <c r="Q64" s="50">
        <v>43187672.100000001</v>
      </c>
      <c r="R64" s="50" t="s">
        <v>847</v>
      </c>
      <c r="S64" s="4" t="s">
        <v>43</v>
      </c>
    </row>
    <row r="65" spans="3:19" x14ac:dyDescent="0.25">
      <c r="C65" s="4" t="s">
        <v>426</v>
      </c>
      <c r="D65" s="4" t="s">
        <v>427</v>
      </c>
      <c r="E65" s="4" t="s">
        <v>428</v>
      </c>
      <c r="F65" s="4">
        <v>5</v>
      </c>
      <c r="G65" s="4" t="str">
        <f>VLOOKUP(C65,JUNIO!C64:G420,5,0)</f>
        <v>Abierta</v>
      </c>
      <c r="H65" s="4" t="s">
        <v>46</v>
      </c>
      <c r="I65" s="4" t="s">
        <v>1030</v>
      </c>
      <c r="J65" s="4" t="s">
        <v>94</v>
      </c>
      <c r="K65" s="4" t="s">
        <v>64</v>
      </c>
      <c r="L65" s="4" t="s">
        <v>40</v>
      </c>
      <c r="M65" s="4" t="s">
        <v>1035</v>
      </c>
      <c r="N65" s="4" t="s">
        <v>426</v>
      </c>
      <c r="O65" s="4" t="s">
        <v>42</v>
      </c>
      <c r="P65" s="50" t="s">
        <v>43</v>
      </c>
      <c r="Q65" s="50">
        <v>50819072.168664001</v>
      </c>
      <c r="R65" s="50" t="s">
        <v>423</v>
      </c>
      <c r="S65" s="4" t="s">
        <v>43</v>
      </c>
    </row>
    <row r="66" spans="3:19" x14ac:dyDescent="0.25">
      <c r="C66" s="4" t="s">
        <v>769</v>
      </c>
      <c r="D66" s="4" t="s">
        <v>771</v>
      </c>
      <c r="E66" s="4" t="s">
        <v>771</v>
      </c>
      <c r="F66" s="4">
        <v>6</v>
      </c>
      <c r="G66" s="4" t="str">
        <f>VLOOKUP(C66,JUNIO!C65:G421,5,0)</f>
        <v>Abierta</v>
      </c>
      <c r="H66" s="4" t="s">
        <v>46</v>
      </c>
      <c r="I66" s="4" t="s">
        <v>1031</v>
      </c>
      <c r="J66" s="4" t="s">
        <v>89</v>
      </c>
      <c r="K66" s="4" t="s">
        <v>109</v>
      </c>
      <c r="L66" s="4" t="s">
        <v>91</v>
      </c>
      <c r="M66" s="4" t="s">
        <v>378</v>
      </c>
      <c r="N66" s="4" t="s">
        <v>769</v>
      </c>
      <c r="O66" s="4" t="s">
        <v>42</v>
      </c>
      <c r="P66" s="50" t="s">
        <v>440</v>
      </c>
      <c r="Q66" s="50">
        <v>54647359.548389994</v>
      </c>
      <c r="R66" s="50" t="s">
        <v>772</v>
      </c>
      <c r="S66" s="4" t="s">
        <v>43</v>
      </c>
    </row>
    <row r="67" spans="3:19" x14ac:dyDescent="0.25">
      <c r="C67" s="4" t="s">
        <v>942</v>
      </c>
      <c r="D67" s="4" t="s">
        <v>944</v>
      </c>
      <c r="E67" s="4" t="s">
        <v>944</v>
      </c>
      <c r="F67" s="4">
        <v>6.9</v>
      </c>
      <c r="G67" s="4" t="str">
        <f>VLOOKUP(C67,JUNIO!C66:G422,5,0)</f>
        <v>Abierta</v>
      </c>
      <c r="H67" s="4" t="s">
        <v>46</v>
      </c>
      <c r="I67" s="4" t="s">
        <v>1030</v>
      </c>
      <c r="J67" s="4" t="s">
        <v>160</v>
      </c>
      <c r="K67" s="4" t="s">
        <v>371</v>
      </c>
      <c r="L67" s="4" t="s">
        <v>40</v>
      </c>
      <c r="M67" s="4" t="s">
        <v>984</v>
      </c>
      <c r="N67" s="4" t="s">
        <v>942</v>
      </c>
      <c r="O67" s="4" t="s">
        <v>42</v>
      </c>
      <c r="P67" s="50" t="s">
        <v>43</v>
      </c>
      <c r="Q67" s="50">
        <v>28082009.508458775</v>
      </c>
      <c r="R67" s="50" t="s">
        <v>931</v>
      </c>
      <c r="S67" s="4" t="s">
        <v>43</v>
      </c>
    </row>
    <row r="68" spans="3:19" x14ac:dyDescent="0.25">
      <c r="C68" s="4" t="s">
        <v>525</v>
      </c>
      <c r="D68" s="4" t="s">
        <v>526</v>
      </c>
      <c r="E68" s="4" t="s">
        <v>527</v>
      </c>
      <c r="F68" s="44">
        <f>5.9+0.68</f>
        <v>6.58</v>
      </c>
      <c r="G68" s="4" t="str">
        <f>VLOOKUP(C68,JUNIO!C67:G423,5,0)</f>
        <v>Abierta</v>
      </c>
      <c r="H68" s="4" t="s">
        <v>46</v>
      </c>
      <c r="I68" s="4" t="s">
        <v>1030</v>
      </c>
      <c r="J68" s="4" t="s">
        <v>100</v>
      </c>
      <c r="K68" s="4" t="s">
        <v>138</v>
      </c>
      <c r="L68" s="4" t="s">
        <v>40</v>
      </c>
      <c r="M68" s="4" t="s">
        <v>514</v>
      </c>
      <c r="N68" s="4" t="s">
        <v>525</v>
      </c>
      <c r="O68" s="4" t="s">
        <v>42</v>
      </c>
      <c r="P68" s="50" t="s">
        <v>440</v>
      </c>
      <c r="Q68" s="50">
        <v>60878445.038250014</v>
      </c>
      <c r="R68" s="50" t="s">
        <v>515</v>
      </c>
      <c r="S68" s="4" t="s">
        <v>43</v>
      </c>
    </row>
    <row r="69" spans="3:19" x14ac:dyDescent="0.25">
      <c r="C69" s="4" t="s">
        <v>48</v>
      </c>
      <c r="D69" s="4" t="s">
        <v>49</v>
      </c>
      <c r="E69" s="4" t="s">
        <v>49</v>
      </c>
      <c r="F69" s="4" t="s">
        <v>36</v>
      </c>
      <c r="G69" s="4" t="str">
        <f>VLOOKUP(C69,JUNIO!C68:G424,5,0)</f>
        <v>CIERRE DEFINITIVO</v>
      </c>
      <c r="H69" s="4" t="s">
        <v>38</v>
      </c>
      <c r="I69" s="4" t="s">
        <v>1030</v>
      </c>
      <c r="J69" s="4" t="s">
        <v>50</v>
      </c>
      <c r="K69" s="4" t="s">
        <v>51</v>
      </c>
      <c r="L69" s="4" t="s">
        <v>40</v>
      </c>
      <c r="M69" s="4">
        <v>0</v>
      </c>
      <c r="N69" s="4" t="s">
        <v>48</v>
      </c>
      <c r="O69" s="4" t="s">
        <v>42</v>
      </c>
      <c r="P69" s="50" t="s">
        <v>43</v>
      </c>
      <c r="Q69" s="50" t="s">
        <v>36</v>
      </c>
      <c r="R69" s="50">
        <v>0</v>
      </c>
      <c r="S69" s="4" t="s">
        <v>43</v>
      </c>
    </row>
    <row r="70" spans="3:19" x14ac:dyDescent="0.25">
      <c r="C70" s="4" t="s">
        <v>52</v>
      </c>
      <c r="D70" s="4" t="s">
        <v>53</v>
      </c>
      <c r="E70" s="4" t="s">
        <v>53</v>
      </c>
      <c r="F70" s="4" t="s">
        <v>36</v>
      </c>
      <c r="G70" s="4" t="str">
        <f>VLOOKUP(C70,JUNIO!C69:G425,5,0)</f>
        <v>CIERRE TEMPORAL</v>
      </c>
      <c r="H70" s="4" t="s">
        <v>38</v>
      </c>
      <c r="I70" s="4" t="s">
        <v>1030</v>
      </c>
      <c r="J70" s="4">
        <v>0</v>
      </c>
      <c r="K70" s="4" t="s">
        <v>54</v>
      </c>
      <c r="L70" s="4" t="s">
        <v>55</v>
      </c>
      <c r="M70" s="4">
        <v>0</v>
      </c>
      <c r="N70" s="4" t="s">
        <v>52</v>
      </c>
      <c r="O70" s="4" t="s">
        <v>42</v>
      </c>
      <c r="P70" s="50" t="s">
        <v>43</v>
      </c>
      <c r="Q70" s="50" t="s">
        <v>36</v>
      </c>
      <c r="R70" s="50">
        <v>0</v>
      </c>
      <c r="S70" s="4" t="s">
        <v>43</v>
      </c>
    </row>
    <row r="71" spans="3:19" x14ac:dyDescent="0.25">
      <c r="C71" s="4" t="s">
        <v>528</v>
      </c>
      <c r="D71" s="4" t="s">
        <v>530</v>
      </c>
      <c r="E71" s="4" t="s">
        <v>530</v>
      </c>
      <c r="F71" s="44">
        <f>5.9+0.68</f>
        <v>6.58</v>
      </c>
      <c r="G71" s="4" t="str">
        <f>VLOOKUP(C71,JUNIO!C70:G426,5,0)</f>
        <v>Abierta</v>
      </c>
      <c r="H71" s="4" t="s">
        <v>46</v>
      </c>
      <c r="I71" s="4" t="s">
        <v>1030</v>
      </c>
      <c r="J71" s="4" t="s">
        <v>100</v>
      </c>
      <c r="K71" s="4" t="s">
        <v>64</v>
      </c>
      <c r="L71" s="4" t="s">
        <v>40</v>
      </c>
      <c r="M71" s="4" t="s">
        <v>514</v>
      </c>
      <c r="N71" s="4" t="s">
        <v>528</v>
      </c>
      <c r="O71" s="4" t="s">
        <v>42</v>
      </c>
      <c r="P71" s="50" t="s">
        <v>440</v>
      </c>
      <c r="Q71" s="50">
        <v>26891032.207244322</v>
      </c>
      <c r="R71" s="50" t="s">
        <v>515</v>
      </c>
      <c r="S71" s="4" t="s">
        <v>43</v>
      </c>
    </row>
    <row r="72" spans="3:19" x14ac:dyDescent="0.25">
      <c r="C72" s="4" t="s">
        <v>854</v>
      </c>
      <c r="D72" s="4" t="s">
        <v>982</v>
      </c>
      <c r="E72" s="4" t="s">
        <v>990</v>
      </c>
      <c r="F72" s="4">
        <v>6.45</v>
      </c>
      <c r="G72" s="4" t="str">
        <f>VLOOKUP(C72,JUNIO!C71:G427,5,0)</f>
        <v>Abierta</v>
      </c>
      <c r="H72" s="4" t="s">
        <v>46</v>
      </c>
      <c r="I72" s="4" t="s">
        <v>1030</v>
      </c>
      <c r="J72" s="4" t="s">
        <v>132</v>
      </c>
      <c r="K72" s="4" t="s">
        <v>856</v>
      </c>
      <c r="L72" s="4" t="s">
        <v>40</v>
      </c>
      <c r="M72" s="4" t="s">
        <v>1035</v>
      </c>
      <c r="N72" s="4" t="s">
        <v>854</v>
      </c>
      <c r="O72" s="4" t="s">
        <v>42</v>
      </c>
      <c r="P72" s="50" t="s">
        <v>440</v>
      </c>
      <c r="Q72" s="50">
        <v>46231892.09640225</v>
      </c>
      <c r="R72" s="50" t="s">
        <v>847</v>
      </c>
      <c r="S72" s="4" t="s">
        <v>43</v>
      </c>
    </row>
    <row r="73" spans="3:19" x14ac:dyDescent="0.25">
      <c r="C73" s="4" t="s">
        <v>531</v>
      </c>
      <c r="D73" s="4" t="s">
        <v>533</v>
      </c>
      <c r="E73" s="4" t="s">
        <v>991</v>
      </c>
      <c r="F73" s="4">
        <v>5.45</v>
      </c>
      <c r="G73" s="4" t="str">
        <f>VLOOKUP(C73,JUNIO!C72:G428,5,0)</f>
        <v>Abierta</v>
      </c>
      <c r="H73" s="4" t="s">
        <v>46</v>
      </c>
      <c r="I73" s="4" t="s">
        <v>1030</v>
      </c>
      <c r="J73" s="4" t="s">
        <v>100</v>
      </c>
      <c r="K73" s="4" t="s">
        <v>138</v>
      </c>
      <c r="L73" s="4" t="s">
        <v>40</v>
      </c>
      <c r="M73" s="4" t="s">
        <v>514</v>
      </c>
      <c r="N73" s="4" t="s">
        <v>531</v>
      </c>
      <c r="O73" s="4" t="s">
        <v>42</v>
      </c>
      <c r="P73" s="50" t="s">
        <v>440</v>
      </c>
      <c r="Q73" s="50">
        <v>43105484.909358002</v>
      </c>
      <c r="R73" s="50" t="s">
        <v>515</v>
      </c>
      <c r="S73" s="4" t="s">
        <v>43</v>
      </c>
    </row>
    <row r="74" spans="3:19" x14ac:dyDescent="0.25">
      <c r="C74" s="4" t="s">
        <v>945</v>
      </c>
      <c r="D74" s="4" t="s">
        <v>946</v>
      </c>
      <c r="E74" s="4" t="s">
        <v>947</v>
      </c>
      <c r="F74" s="4">
        <v>5.9</v>
      </c>
      <c r="G74" s="4" t="str">
        <f>VLOOKUP(C74,JUNIO!C73:G429,5,0)</f>
        <v>Abierta</v>
      </c>
      <c r="H74" s="4" t="s">
        <v>46</v>
      </c>
      <c r="I74" s="4" t="s">
        <v>1030</v>
      </c>
      <c r="J74" s="4" t="s">
        <v>160</v>
      </c>
      <c r="K74" s="4" t="s">
        <v>371</v>
      </c>
      <c r="L74" s="4" t="s">
        <v>40</v>
      </c>
      <c r="M74" s="4" t="s">
        <v>984</v>
      </c>
      <c r="N74" s="4" t="s">
        <v>945</v>
      </c>
      <c r="O74" s="4" t="s">
        <v>42</v>
      </c>
      <c r="P74" s="50" t="s">
        <v>440</v>
      </c>
      <c r="Q74" s="50">
        <v>48475908.994500011</v>
      </c>
      <c r="R74" s="50" t="s">
        <v>931</v>
      </c>
      <c r="S74" s="4" t="s">
        <v>43</v>
      </c>
    </row>
    <row r="75" spans="3:19" x14ac:dyDescent="0.25">
      <c r="C75" s="4" t="s">
        <v>773</v>
      </c>
      <c r="D75" s="4" t="s">
        <v>775</v>
      </c>
      <c r="E75" s="4" t="s">
        <v>775</v>
      </c>
      <c r="F75" s="4">
        <v>6.45</v>
      </c>
      <c r="G75" s="4" t="str">
        <f>VLOOKUP(C75,JUNIO!C74:G430,5,0)</f>
        <v>Abierta</v>
      </c>
      <c r="H75" s="4" t="s">
        <v>46</v>
      </c>
      <c r="I75" s="4" t="s">
        <v>1031</v>
      </c>
      <c r="J75" s="4" t="s">
        <v>89</v>
      </c>
      <c r="K75" s="4" t="s">
        <v>776</v>
      </c>
      <c r="L75" s="4" t="s">
        <v>91</v>
      </c>
      <c r="M75" s="4" t="s">
        <v>378</v>
      </c>
      <c r="N75" s="4" t="s">
        <v>773</v>
      </c>
      <c r="O75" s="4" t="s">
        <v>42</v>
      </c>
      <c r="P75" s="50" t="s">
        <v>440</v>
      </c>
      <c r="Q75" s="50">
        <v>0</v>
      </c>
      <c r="R75" s="50" t="s">
        <v>772</v>
      </c>
      <c r="S75" s="4" t="s">
        <v>43</v>
      </c>
    </row>
    <row r="76" spans="3:19" x14ac:dyDescent="0.25">
      <c r="C76" s="4" t="s">
        <v>662</v>
      </c>
      <c r="D76" s="4" t="s">
        <v>664</v>
      </c>
      <c r="E76" s="4" t="s">
        <v>992</v>
      </c>
      <c r="F76" s="4">
        <v>5.9</v>
      </c>
      <c r="G76" s="4" t="str">
        <f>VLOOKUP(C76,JUNIO!C75:G431,5,0)</f>
        <v>TRANSFORMACION</v>
      </c>
      <c r="H76" s="4" t="s">
        <v>46</v>
      </c>
      <c r="I76" s="4" t="s">
        <v>1030</v>
      </c>
      <c r="J76" s="4" t="s">
        <v>248</v>
      </c>
      <c r="K76" s="4" t="s">
        <v>51</v>
      </c>
      <c r="L76" s="4" t="s">
        <v>40</v>
      </c>
      <c r="M76" s="4" t="s">
        <v>984</v>
      </c>
      <c r="N76" s="4" t="s">
        <v>662</v>
      </c>
      <c r="O76" s="4" t="s">
        <v>42</v>
      </c>
      <c r="P76" s="50" t="s">
        <v>43</v>
      </c>
      <c r="Q76" s="50">
        <v>28638043.616898522</v>
      </c>
      <c r="R76" s="50" t="s">
        <v>51</v>
      </c>
      <c r="S76" s="4" t="s">
        <v>43</v>
      </c>
    </row>
    <row r="77" spans="3:19" x14ac:dyDescent="0.25">
      <c r="C77" s="4" t="s">
        <v>56</v>
      </c>
      <c r="D77" s="4" t="s">
        <v>57</v>
      </c>
      <c r="E77" s="4" t="s">
        <v>57</v>
      </c>
      <c r="F77" s="4" t="s">
        <v>36</v>
      </c>
      <c r="G77" s="4" t="str">
        <f>VLOOKUP(C77,JUNIO!C76:G432,5,0)</f>
        <v>CIERRE DEFINITIVO</v>
      </c>
      <c r="H77" s="4" t="s">
        <v>38</v>
      </c>
      <c r="I77" s="4" t="s">
        <v>1030</v>
      </c>
      <c r="J77" s="4" t="s">
        <v>58</v>
      </c>
      <c r="K77" s="4" t="s">
        <v>59</v>
      </c>
      <c r="L77" s="4" t="s">
        <v>40</v>
      </c>
      <c r="M77" s="4">
        <v>0</v>
      </c>
      <c r="N77" s="4" t="s">
        <v>56</v>
      </c>
      <c r="O77" s="4" t="s">
        <v>42</v>
      </c>
      <c r="P77" s="50" t="s">
        <v>43</v>
      </c>
      <c r="Q77" s="50" t="s">
        <v>36</v>
      </c>
      <c r="R77" s="50">
        <v>0</v>
      </c>
      <c r="S77" s="4" t="s">
        <v>43</v>
      </c>
    </row>
    <row r="78" spans="3:19" x14ac:dyDescent="0.25">
      <c r="C78" s="4" t="s">
        <v>534</v>
      </c>
      <c r="D78" s="4" t="s">
        <v>535</v>
      </c>
      <c r="E78" s="4" t="s">
        <v>536</v>
      </c>
      <c r="F78" s="4">
        <v>5.45</v>
      </c>
      <c r="G78" s="4" t="str">
        <f>VLOOKUP(C78,JUNIO!C77:G433,5,0)</f>
        <v>Abierta</v>
      </c>
      <c r="H78" s="4" t="s">
        <v>46</v>
      </c>
      <c r="I78" s="4" t="s">
        <v>1030</v>
      </c>
      <c r="J78" s="4" t="s">
        <v>100</v>
      </c>
      <c r="K78" s="4" t="s">
        <v>138</v>
      </c>
      <c r="L78" s="4" t="s">
        <v>40</v>
      </c>
      <c r="M78" s="4" t="s">
        <v>514</v>
      </c>
      <c r="N78" s="4" t="s">
        <v>534</v>
      </c>
      <c r="O78" s="4" t="s">
        <v>42</v>
      </c>
      <c r="P78" s="50" t="s">
        <v>43</v>
      </c>
      <c r="Q78" s="50">
        <v>44275776.230099998</v>
      </c>
      <c r="R78" s="50" t="s">
        <v>515</v>
      </c>
      <c r="S78" s="4" t="s">
        <v>43</v>
      </c>
    </row>
    <row r="79" spans="3:19" x14ac:dyDescent="0.25">
      <c r="C79" s="4" t="s">
        <v>636</v>
      </c>
      <c r="D79" s="4" t="s">
        <v>637</v>
      </c>
      <c r="E79" s="4" t="s">
        <v>638</v>
      </c>
      <c r="F79" s="4">
        <v>6</v>
      </c>
      <c r="G79" s="4" t="str">
        <f>VLOOKUP(C79,JUNIO!C78:G434,5,0)</f>
        <v>Abierta</v>
      </c>
      <c r="H79" s="4" t="s">
        <v>46</v>
      </c>
      <c r="I79" s="4" t="s">
        <v>1030</v>
      </c>
      <c r="J79" s="4" t="s">
        <v>50</v>
      </c>
      <c r="K79" s="4" t="s">
        <v>315</v>
      </c>
      <c r="L79" s="4" t="s">
        <v>40</v>
      </c>
      <c r="M79" s="4" t="s">
        <v>514</v>
      </c>
      <c r="N79" s="4" t="s">
        <v>636</v>
      </c>
      <c r="O79" s="4" t="s">
        <v>42</v>
      </c>
      <c r="P79" s="50" t="s">
        <v>43</v>
      </c>
      <c r="Q79" s="50">
        <v>42637233.136039987</v>
      </c>
      <c r="R79" s="50" t="s">
        <v>597</v>
      </c>
      <c r="S79" s="4" t="s">
        <v>43</v>
      </c>
    </row>
    <row r="80" spans="3:19" x14ac:dyDescent="0.25">
      <c r="C80" s="4" t="s">
        <v>857</v>
      </c>
      <c r="D80" s="4" t="s">
        <v>859</v>
      </c>
      <c r="E80" s="4" t="s">
        <v>993</v>
      </c>
      <c r="F80" s="4">
        <v>5.9</v>
      </c>
      <c r="G80" s="4" t="str">
        <f>VLOOKUP(C80,JUNIO!C79:G435,5,0)</f>
        <v>Abierta</v>
      </c>
      <c r="H80" s="4" t="s">
        <v>46</v>
      </c>
      <c r="I80" s="4" t="s">
        <v>1030</v>
      </c>
      <c r="J80" s="4" t="s">
        <v>132</v>
      </c>
      <c r="K80" s="4" t="s">
        <v>138</v>
      </c>
      <c r="L80" s="4" t="s">
        <v>40</v>
      </c>
      <c r="M80" s="4" t="s">
        <v>1035</v>
      </c>
      <c r="N80" s="4" t="s">
        <v>857</v>
      </c>
      <c r="O80" s="4" t="s">
        <v>42</v>
      </c>
      <c r="P80" s="50" t="s">
        <v>43</v>
      </c>
      <c r="Q80" s="50">
        <v>84498932.80685474</v>
      </c>
      <c r="R80" s="50" t="s">
        <v>847</v>
      </c>
      <c r="S80" s="4" t="s">
        <v>43</v>
      </c>
    </row>
    <row r="81" spans="3:19" x14ac:dyDescent="0.25">
      <c r="C81" s="4" t="s">
        <v>747</v>
      </c>
      <c r="D81" s="4" t="s">
        <v>994</v>
      </c>
      <c r="E81" s="4" t="s">
        <v>749</v>
      </c>
      <c r="F81" s="4">
        <v>6.9</v>
      </c>
      <c r="G81" s="4" t="str">
        <f>VLOOKUP(C81,JUNIO!C80:G436,5,0)</f>
        <v>Abierta</v>
      </c>
      <c r="H81" s="4" t="s">
        <v>46</v>
      </c>
      <c r="I81" s="4" t="s">
        <v>1031</v>
      </c>
      <c r="J81" s="4" t="s">
        <v>84</v>
      </c>
      <c r="K81" s="4" t="s">
        <v>54</v>
      </c>
      <c r="L81" s="4" t="s">
        <v>55</v>
      </c>
      <c r="M81" s="4" t="s">
        <v>378</v>
      </c>
      <c r="N81" s="4" t="s">
        <v>747</v>
      </c>
      <c r="O81" s="4" t="s">
        <v>42</v>
      </c>
      <c r="P81" s="50" t="s">
        <v>43</v>
      </c>
      <c r="Q81" s="50">
        <v>77548940.998050004</v>
      </c>
      <c r="R81" s="50" t="s">
        <v>741</v>
      </c>
      <c r="S81" s="4" t="s">
        <v>43</v>
      </c>
    </row>
    <row r="82" spans="3:19" x14ac:dyDescent="0.25">
      <c r="C82" s="4" t="s">
        <v>564</v>
      </c>
      <c r="D82" s="4" t="s">
        <v>565</v>
      </c>
      <c r="E82" s="4" t="s">
        <v>566</v>
      </c>
      <c r="F82" s="4">
        <v>5.9</v>
      </c>
      <c r="G82" s="4" t="str">
        <f>VLOOKUP(C82,JUNIO!C81:G437,5,0)</f>
        <v>Abierta</v>
      </c>
      <c r="H82" s="4" t="s">
        <v>46</v>
      </c>
      <c r="I82" s="4" t="s">
        <v>1030</v>
      </c>
      <c r="J82" s="4" t="s">
        <v>331</v>
      </c>
      <c r="K82" s="4" t="s">
        <v>138</v>
      </c>
      <c r="L82" s="4" t="s">
        <v>40</v>
      </c>
      <c r="M82" s="4" t="s">
        <v>984</v>
      </c>
      <c r="N82" s="4" t="s">
        <v>564</v>
      </c>
      <c r="O82" s="4" t="s">
        <v>42</v>
      </c>
      <c r="P82" s="50" t="s">
        <v>440</v>
      </c>
      <c r="Q82" s="50">
        <v>0</v>
      </c>
      <c r="R82" s="50" t="s">
        <v>557</v>
      </c>
      <c r="S82" s="4" t="s">
        <v>43</v>
      </c>
    </row>
    <row r="83" spans="3:19" x14ac:dyDescent="0.25">
      <c r="C83" s="4" t="s">
        <v>709</v>
      </c>
      <c r="D83" s="4" t="s">
        <v>710</v>
      </c>
      <c r="E83" s="4" t="s">
        <v>711</v>
      </c>
      <c r="F83" s="4">
        <v>8</v>
      </c>
      <c r="G83" s="4" t="str">
        <f>VLOOKUP(C83,JUNIO!C82:G438,5,0)</f>
        <v>Abierta</v>
      </c>
      <c r="H83" s="4" t="s">
        <v>46</v>
      </c>
      <c r="I83" s="4" t="s">
        <v>1031</v>
      </c>
      <c r="J83" s="4" t="s">
        <v>84</v>
      </c>
      <c r="K83" s="4" t="s">
        <v>54</v>
      </c>
      <c r="L83" s="4" t="s">
        <v>55</v>
      </c>
      <c r="M83" s="4" t="s">
        <v>378</v>
      </c>
      <c r="N83" s="4" t="s">
        <v>709</v>
      </c>
      <c r="O83" s="4" t="s">
        <v>379</v>
      </c>
      <c r="P83" s="50" t="s">
        <v>440</v>
      </c>
      <c r="Q83" s="50">
        <v>57571971.985799998</v>
      </c>
      <c r="R83" s="50" t="s">
        <v>702</v>
      </c>
      <c r="S83" s="4" t="s">
        <v>43</v>
      </c>
    </row>
    <row r="84" spans="3:19" x14ac:dyDescent="0.25">
      <c r="C84" s="4" t="s">
        <v>60</v>
      </c>
      <c r="D84" s="4" t="s">
        <v>61</v>
      </c>
      <c r="E84" s="4" t="s">
        <v>62</v>
      </c>
      <c r="F84" s="4" t="s">
        <v>36</v>
      </c>
      <c r="G84" s="4" t="str">
        <f>VLOOKUP(C84,JUNIO!C83:G439,5,0)</f>
        <v>CIERRE DEFINITIVO</v>
      </c>
      <c r="H84" s="4" t="s">
        <v>38</v>
      </c>
      <c r="I84" s="4" t="s">
        <v>1030</v>
      </c>
      <c r="J84" s="4" t="s">
        <v>63</v>
      </c>
      <c r="K84" s="4" t="s">
        <v>64</v>
      </c>
      <c r="L84" s="4" t="s">
        <v>40</v>
      </c>
      <c r="M84" s="4">
        <v>0</v>
      </c>
      <c r="N84" s="4" t="s">
        <v>60</v>
      </c>
      <c r="O84" s="4" t="s">
        <v>42</v>
      </c>
      <c r="P84" s="50" t="s">
        <v>43</v>
      </c>
      <c r="Q84" s="50" t="s">
        <v>36</v>
      </c>
      <c r="R84" s="50">
        <v>0</v>
      </c>
      <c r="S84" s="4" t="s">
        <v>43</v>
      </c>
    </row>
    <row r="85" spans="3:19" x14ac:dyDescent="0.25">
      <c r="C85" s="4" t="s">
        <v>861</v>
      </c>
      <c r="D85" s="4" t="s">
        <v>983</v>
      </c>
      <c r="E85" s="4" t="s">
        <v>995</v>
      </c>
      <c r="F85" s="4">
        <v>8.9</v>
      </c>
      <c r="G85" s="4" t="str">
        <f>VLOOKUP(C85,JUNIO!C84:G440,5,0)</f>
        <v>Abierta</v>
      </c>
      <c r="H85" s="4" t="s">
        <v>46</v>
      </c>
      <c r="I85" s="4" t="s">
        <v>1030</v>
      </c>
      <c r="J85" s="4" t="s">
        <v>132</v>
      </c>
      <c r="K85" s="4" t="s">
        <v>856</v>
      </c>
      <c r="L85" s="4" t="s">
        <v>40</v>
      </c>
      <c r="M85" s="4" t="s">
        <v>1035</v>
      </c>
      <c r="N85" s="4" t="s">
        <v>861</v>
      </c>
      <c r="O85" s="4" t="s">
        <v>379</v>
      </c>
      <c r="P85" s="50" t="s">
        <v>440</v>
      </c>
      <c r="Q85" s="50">
        <v>49080065.654551588</v>
      </c>
      <c r="R85" s="50" t="s">
        <v>847</v>
      </c>
      <c r="S85" s="4" t="s">
        <v>43</v>
      </c>
    </row>
    <row r="86" spans="3:19" x14ac:dyDescent="0.25">
      <c r="C86" s="4" t="s">
        <v>616</v>
      </c>
      <c r="D86" s="4" t="s">
        <v>617</v>
      </c>
      <c r="E86" s="4" t="s">
        <v>617</v>
      </c>
      <c r="F86" s="4">
        <v>5.45</v>
      </c>
      <c r="G86" s="4" t="str">
        <f>VLOOKUP(C86,JUNIO!C85:G441,5,0)</f>
        <v>Abierta</v>
      </c>
      <c r="H86" s="4" t="s">
        <v>46</v>
      </c>
      <c r="I86" s="4" t="s">
        <v>1030</v>
      </c>
      <c r="J86" s="4" t="s">
        <v>50</v>
      </c>
      <c r="K86" s="4" t="s">
        <v>138</v>
      </c>
      <c r="L86" s="4" t="s">
        <v>40</v>
      </c>
      <c r="M86" s="4" t="s">
        <v>514</v>
      </c>
      <c r="N86" s="4" t="s">
        <v>616</v>
      </c>
      <c r="O86" s="4" t="s">
        <v>42</v>
      </c>
      <c r="P86" s="50" t="s">
        <v>440</v>
      </c>
      <c r="Q86" s="50">
        <v>53738299.771878012</v>
      </c>
      <c r="R86" s="50" t="s">
        <v>597</v>
      </c>
      <c r="S86" s="4" t="s">
        <v>43</v>
      </c>
    </row>
    <row r="87" spans="3:19" x14ac:dyDescent="0.25">
      <c r="C87" s="4" t="s">
        <v>891</v>
      </c>
      <c r="D87" s="4" t="s">
        <v>892</v>
      </c>
      <c r="E87" s="4" t="s">
        <v>893</v>
      </c>
      <c r="F87" s="4">
        <v>5</v>
      </c>
      <c r="G87" s="4" t="str">
        <f>VLOOKUP(C87,JUNIO!C86:G442,5,0)</f>
        <v>Abierta</v>
      </c>
      <c r="H87" s="4" t="s">
        <v>46</v>
      </c>
      <c r="I87" s="4" t="s">
        <v>1030</v>
      </c>
      <c r="J87" s="4" t="s">
        <v>73</v>
      </c>
      <c r="K87" s="4" t="s">
        <v>47</v>
      </c>
      <c r="L87" s="4" t="s">
        <v>40</v>
      </c>
      <c r="M87" s="4" t="s">
        <v>514</v>
      </c>
      <c r="N87" s="4" t="s">
        <v>891</v>
      </c>
      <c r="O87" s="4" t="s">
        <v>42</v>
      </c>
      <c r="P87" s="50" t="s">
        <v>43</v>
      </c>
      <c r="Q87" s="50">
        <v>61710400.136335492</v>
      </c>
      <c r="R87" s="50" t="s">
        <v>886</v>
      </c>
      <c r="S87" s="4" t="s">
        <v>43</v>
      </c>
    </row>
    <row r="88" spans="3:19" x14ac:dyDescent="0.25">
      <c r="C88" s="4" t="s">
        <v>65</v>
      </c>
      <c r="D88" s="4" t="s">
        <v>66</v>
      </c>
      <c r="E88" s="4" t="s">
        <v>66</v>
      </c>
      <c r="F88" s="4" t="s">
        <v>36</v>
      </c>
      <c r="G88" s="4" t="str">
        <f>VLOOKUP(C88,JUNIO!C87:G443,5,0)</f>
        <v>CIERRE DEFINITIVO</v>
      </c>
      <c r="H88" s="4" t="s">
        <v>38</v>
      </c>
      <c r="I88" s="4" t="s">
        <v>1030</v>
      </c>
      <c r="J88" s="4" t="s">
        <v>67</v>
      </c>
      <c r="K88" s="4" t="s">
        <v>59</v>
      </c>
      <c r="L88" s="4" t="s">
        <v>40</v>
      </c>
      <c r="M88" s="4">
        <v>0</v>
      </c>
      <c r="N88" s="4" t="s">
        <v>65</v>
      </c>
      <c r="O88" s="4" t="s">
        <v>42</v>
      </c>
      <c r="P88" s="50" t="s">
        <v>43</v>
      </c>
      <c r="Q88" s="50" t="s">
        <v>36</v>
      </c>
      <c r="R88" s="50">
        <v>0</v>
      </c>
      <c r="S88" s="4" t="s">
        <v>43</v>
      </c>
    </row>
    <row r="89" spans="3:19" x14ac:dyDescent="0.25">
      <c r="C89" s="4" t="s">
        <v>777</v>
      </c>
      <c r="D89" s="4" t="s">
        <v>779</v>
      </c>
      <c r="E89" s="4" t="s">
        <v>779</v>
      </c>
      <c r="F89" s="4">
        <v>6.45</v>
      </c>
      <c r="G89" s="4" t="str">
        <f>VLOOKUP(C89,JUNIO!C88:G444,5,0)</f>
        <v>Abierta</v>
      </c>
      <c r="H89" s="4" t="s">
        <v>46</v>
      </c>
      <c r="I89" s="4" t="s">
        <v>1031</v>
      </c>
      <c r="J89" s="4" t="s">
        <v>89</v>
      </c>
      <c r="K89" s="4" t="s">
        <v>90</v>
      </c>
      <c r="L89" s="4" t="s">
        <v>91</v>
      </c>
      <c r="M89" s="4" t="s">
        <v>378</v>
      </c>
      <c r="N89" s="4" t="s">
        <v>777</v>
      </c>
      <c r="O89" s="4" t="s">
        <v>42</v>
      </c>
      <c r="P89" s="50" t="s">
        <v>440</v>
      </c>
      <c r="Q89" s="50">
        <v>31313099.829337738</v>
      </c>
      <c r="R89" s="50" t="s">
        <v>772</v>
      </c>
      <c r="S89" s="4" t="s">
        <v>43</v>
      </c>
    </row>
    <row r="90" spans="3:19" x14ac:dyDescent="0.25">
      <c r="C90" s="4" t="s">
        <v>480</v>
      </c>
      <c r="D90" s="4" t="s">
        <v>481</v>
      </c>
      <c r="E90" s="4" t="s">
        <v>482</v>
      </c>
      <c r="F90" s="4">
        <v>5</v>
      </c>
      <c r="G90" s="4" t="str">
        <f>VLOOKUP(C90,JUNIO!C89:G445,5,0)</f>
        <v>Abierta</v>
      </c>
      <c r="H90" s="4" t="s">
        <v>46</v>
      </c>
      <c r="I90" s="4" t="s">
        <v>1030</v>
      </c>
      <c r="J90" s="4" t="s">
        <v>466</v>
      </c>
      <c r="K90" s="4" t="s">
        <v>51</v>
      </c>
      <c r="L90" s="4" t="s">
        <v>40</v>
      </c>
      <c r="M90" s="4" t="s">
        <v>1035</v>
      </c>
      <c r="N90" s="4" t="s">
        <v>480</v>
      </c>
      <c r="O90" s="4" t="s">
        <v>42</v>
      </c>
      <c r="P90" s="50" t="s">
        <v>43</v>
      </c>
      <c r="Q90" s="50">
        <v>42928025</v>
      </c>
      <c r="R90" s="50" t="s">
        <v>467</v>
      </c>
      <c r="S90" s="4" t="s">
        <v>43</v>
      </c>
    </row>
    <row r="91" spans="3:19" x14ac:dyDescent="0.25">
      <c r="C91" s="4" t="s">
        <v>807</v>
      </c>
      <c r="D91" s="4" t="s">
        <v>808</v>
      </c>
      <c r="E91" s="4" t="s">
        <v>809</v>
      </c>
      <c r="F91" s="44">
        <v>7</v>
      </c>
      <c r="G91" s="4" t="str">
        <f>VLOOKUP(C91,JUNIO!C90:G446,5,0)</f>
        <v>Abierta</v>
      </c>
      <c r="H91" s="4" t="s">
        <v>46</v>
      </c>
      <c r="I91" s="4" t="s">
        <v>1030</v>
      </c>
      <c r="J91" s="4" t="s">
        <v>146</v>
      </c>
      <c r="K91" s="4" t="s">
        <v>59</v>
      </c>
      <c r="L91" s="4" t="s">
        <v>40</v>
      </c>
      <c r="M91" s="4" t="s">
        <v>1035</v>
      </c>
      <c r="N91" s="4" t="s">
        <v>807</v>
      </c>
      <c r="O91" s="4" t="s">
        <v>42</v>
      </c>
      <c r="P91" s="50" t="s">
        <v>440</v>
      </c>
      <c r="Q91" s="50">
        <v>52893028.896087013</v>
      </c>
      <c r="R91" s="50" t="s">
        <v>799</v>
      </c>
      <c r="S91" s="4" t="s">
        <v>43</v>
      </c>
    </row>
    <row r="92" spans="3:19" x14ac:dyDescent="0.25">
      <c r="C92" s="4" t="s">
        <v>400</v>
      </c>
      <c r="D92" s="4" t="s">
        <v>401</v>
      </c>
      <c r="E92" s="4" t="s">
        <v>401</v>
      </c>
      <c r="F92" s="4">
        <v>5.45</v>
      </c>
      <c r="G92" s="4" t="str">
        <f>VLOOKUP(C92,JUNIO!C91:G447,5,0)</f>
        <v>Abierta</v>
      </c>
      <c r="H92" s="4" t="s">
        <v>46</v>
      </c>
      <c r="I92" s="4" t="s">
        <v>1031</v>
      </c>
      <c r="J92" s="4" t="s">
        <v>63</v>
      </c>
      <c r="K92" s="4" t="s">
        <v>138</v>
      </c>
      <c r="L92" s="4" t="s">
        <v>40</v>
      </c>
      <c r="M92" s="4" t="s">
        <v>378</v>
      </c>
      <c r="N92" s="4" t="s">
        <v>400</v>
      </c>
      <c r="O92" s="4" t="s">
        <v>42</v>
      </c>
      <c r="P92" s="50" t="s">
        <v>43</v>
      </c>
      <c r="Q92" s="50">
        <v>43851393.140040003</v>
      </c>
      <c r="R92" s="50" t="s">
        <v>380</v>
      </c>
      <c r="S92" s="4" t="s">
        <v>43</v>
      </c>
    </row>
    <row r="93" spans="3:19" x14ac:dyDescent="0.25">
      <c r="C93" s="4" t="s">
        <v>402</v>
      </c>
      <c r="D93" s="4" t="s">
        <v>403</v>
      </c>
      <c r="E93" s="4" t="s">
        <v>403</v>
      </c>
      <c r="F93" s="4">
        <v>5.45</v>
      </c>
      <c r="G93" s="4" t="str">
        <f>VLOOKUP(C93,JUNIO!C92:G448,5,0)</f>
        <v>Abierta</v>
      </c>
      <c r="H93" s="4" t="s">
        <v>46</v>
      </c>
      <c r="I93" s="4" t="s">
        <v>1031</v>
      </c>
      <c r="J93" s="4" t="s">
        <v>63</v>
      </c>
      <c r="K93" s="4" t="s">
        <v>138</v>
      </c>
      <c r="L93" s="4" t="s">
        <v>40</v>
      </c>
      <c r="M93" s="4" t="s">
        <v>378</v>
      </c>
      <c r="N93" s="4" t="s">
        <v>402</v>
      </c>
      <c r="O93" s="4" t="s">
        <v>42</v>
      </c>
      <c r="P93" s="50" t="s">
        <v>43</v>
      </c>
      <c r="Q93" s="50">
        <v>68366804.450000003</v>
      </c>
      <c r="R93" s="50" t="s">
        <v>380</v>
      </c>
      <c r="S93" s="4" t="s">
        <v>43</v>
      </c>
    </row>
    <row r="94" spans="3:19" x14ac:dyDescent="0.25">
      <c r="C94" s="44" t="s">
        <v>665</v>
      </c>
      <c r="D94" s="44" t="s">
        <v>666</v>
      </c>
      <c r="E94" s="44" t="s">
        <v>666</v>
      </c>
      <c r="F94" s="44">
        <v>6</v>
      </c>
      <c r="G94" s="4" t="str">
        <f>VLOOKUP(C94,JUNIO!C93:G449,5,0)</f>
        <v>Abierta</v>
      </c>
      <c r="H94" s="4" t="s">
        <v>46</v>
      </c>
      <c r="I94" s="4" t="s">
        <v>1030</v>
      </c>
      <c r="J94" s="4" t="s">
        <v>248</v>
      </c>
      <c r="K94" s="4" t="s">
        <v>51</v>
      </c>
      <c r="L94" s="4" t="s">
        <v>40</v>
      </c>
      <c r="M94" s="4" t="s">
        <v>984</v>
      </c>
      <c r="N94" s="4" t="s">
        <v>665</v>
      </c>
      <c r="O94" s="4" t="s">
        <v>42</v>
      </c>
      <c r="P94" s="50" t="s">
        <v>43</v>
      </c>
      <c r="Q94" s="50">
        <v>63711213.093216009</v>
      </c>
      <c r="R94" s="50" t="s">
        <v>51</v>
      </c>
      <c r="S94" s="4" t="s">
        <v>43</v>
      </c>
    </row>
    <row r="95" spans="3:19" x14ac:dyDescent="0.25">
      <c r="C95" s="4" t="s">
        <v>404</v>
      </c>
      <c r="D95" s="4" t="s">
        <v>405</v>
      </c>
      <c r="E95" s="4" t="s">
        <v>405</v>
      </c>
      <c r="F95" s="4">
        <v>5</v>
      </c>
      <c r="G95" s="4" t="str">
        <f>VLOOKUP(C95,JUNIO!C94:G450,5,0)</f>
        <v>Abierta</v>
      </c>
      <c r="H95" s="4" t="s">
        <v>46</v>
      </c>
      <c r="I95" s="4" t="s">
        <v>1031</v>
      </c>
      <c r="J95" s="4" t="s">
        <v>63</v>
      </c>
      <c r="K95" s="4" t="s">
        <v>138</v>
      </c>
      <c r="L95" s="4" t="s">
        <v>40</v>
      </c>
      <c r="M95" s="4" t="s">
        <v>378</v>
      </c>
      <c r="N95" s="4" t="s">
        <v>404</v>
      </c>
      <c r="O95" s="4" t="s">
        <v>42</v>
      </c>
      <c r="P95" s="50" t="s">
        <v>43</v>
      </c>
      <c r="Q95" s="50">
        <v>44777987.212935798</v>
      </c>
      <c r="R95" s="50" t="s">
        <v>380</v>
      </c>
      <c r="S95" s="4" t="s">
        <v>43</v>
      </c>
    </row>
    <row r="96" spans="3:19" x14ac:dyDescent="0.25">
      <c r="C96" s="4" t="s">
        <v>948</v>
      </c>
      <c r="D96" s="4" t="s">
        <v>949</v>
      </c>
      <c r="E96" s="4" t="s">
        <v>949</v>
      </c>
      <c r="F96" s="4">
        <v>5.45</v>
      </c>
      <c r="G96" s="4" t="str">
        <f>VLOOKUP(C96,JUNIO!C95:G451,5,0)</f>
        <v>Abierta</v>
      </c>
      <c r="H96" s="4" t="s">
        <v>46</v>
      </c>
      <c r="I96" s="4" t="s">
        <v>1030</v>
      </c>
      <c r="J96" s="4" t="s">
        <v>160</v>
      </c>
      <c r="K96" s="4" t="s">
        <v>353</v>
      </c>
      <c r="L96" s="4" t="s">
        <v>40</v>
      </c>
      <c r="M96" s="4" t="s">
        <v>984</v>
      </c>
      <c r="N96" s="4" t="s">
        <v>948</v>
      </c>
      <c r="O96" s="4" t="s">
        <v>42</v>
      </c>
      <c r="P96" s="50" t="s">
        <v>43</v>
      </c>
      <c r="Q96" s="50">
        <v>49201365.53888011</v>
      </c>
      <c r="R96" s="50" t="s">
        <v>931</v>
      </c>
      <c r="S96" s="4" t="s">
        <v>43</v>
      </c>
    </row>
    <row r="97" spans="3:19" x14ac:dyDescent="0.25">
      <c r="C97" s="4" t="s">
        <v>667</v>
      </c>
      <c r="D97" s="4" t="s">
        <v>668</v>
      </c>
      <c r="E97" s="4" t="s">
        <v>668</v>
      </c>
      <c r="F97" s="4">
        <v>6</v>
      </c>
      <c r="G97" s="4" t="str">
        <f>VLOOKUP(C97,JUNIO!C96:G452,5,0)</f>
        <v>Abierta</v>
      </c>
      <c r="H97" s="4" t="s">
        <v>46</v>
      </c>
      <c r="I97" s="4" t="s">
        <v>1030</v>
      </c>
      <c r="J97" s="4" t="s">
        <v>248</v>
      </c>
      <c r="K97" s="4" t="s">
        <v>51</v>
      </c>
      <c r="L97" s="4" t="s">
        <v>40</v>
      </c>
      <c r="M97" s="4" t="s">
        <v>984</v>
      </c>
      <c r="N97" s="4" t="s">
        <v>667</v>
      </c>
      <c r="O97" s="4" t="s">
        <v>42</v>
      </c>
      <c r="P97" s="50" t="s">
        <v>43</v>
      </c>
      <c r="Q97" s="50">
        <v>49431211.175000004</v>
      </c>
      <c r="R97" s="50" t="s">
        <v>51</v>
      </c>
      <c r="S97" s="4" t="s">
        <v>43</v>
      </c>
    </row>
    <row r="98" spans="3:19" x14ac:dyDescent="0.25">
      <c r="C98" s="44" t="s">
        <v>669</v>
      </c>
      <c r="D98" s="44" t="s">
        <v>670</v>
      </c>
      <c r="E98" s="44" t="s">
        <v>670</v>
      </c>
      <c r="F98" s="44">
        <v>5.45</v>
      </c>
      <c r="G98" s="4" t="str">
        <f>VLOOKUP(C98,JUNIO!C97:G453,5,0)</f>
        <v>Abierta</v>
      </c>
      <c r="H98" s="4" t="s">
        <v>46</v>
      </c>
      <c r="I98" s="4" t="s">
        <v>1030</v>
      </c>
      <c r="J98" s="4" t="s">
        <v>248</v>
      </c>
      <c r="K98" s="4" t="s">
        <v>51</v>
      </c>
      <c r="L98" s="4" t="s">
        <v>40</v>
      </c>
      <c r="M98" s="4" t="s">
        <v>984</v>
      </c>
      <c r="N98" s="4" t="s">
        <v>669</v>
      </c>
      <c r="O98" s="4" t="s">
        <v>42</v>
      </c>
      <c r="P98" s="50" t="s">
        <v>43</v>
      </c>
      <c r="Q98" s="50">
        <v>58755149.891194299</v>
      </c>
      <c r="R98" s="50" t="s">
        <v>51</v>
      </c>
      <c r="S98" s="4" t="s">
        <v>43</v>
      </c>
    </row>
    <row r="99" spans="3:19" x14ac:dyDescent="0.25">
      <c r="C99" s="4" t="s">
        <v>894</v>
      </c>
      <c r="D99" s="4" t="s">
        <v>895</v>
      </c>
      <c r="E99" s="4" t="s">
        <v>895</v>
      </c>
      <c r="F99" s="4">
        <v>5</v>
      </c>
      <c r="G99" s="4" t="str">
        <f>VLOOKUP(C99,JUNIO!C98:G454,5,0)</f>
        <v>Abierta</v>
      </c>
      <c r="H99" s="4" t="s">
        <v>46</v>
      </c>
      <c r="I99" s="4" t="s">
        <v>1030</v>
      </c>
      <c r="J99" s="4" t="s">
        <v>73</v>
      </c>
      <c r="K99" s="4" t="s">
        <v>609</v>
      </c>
      <c r="L99" s="4" t="s">
        <v>40</v>
      </c>
      <c r="M99" s="4" t="s">
        <v>514</v>
      </c>
      <c r="N99" s="4" t="s">
        <v>894</v>
      </c>
      <c r="O99" s="4" t="s">
        <v>42</v>
      </c>
      <c r="P99" s="50" t="s">
        <v>43</v>
      </c>
      <c r="Q99" s="50">
        <v>46720858.130307004</v>
      </c>
      <c r="R99" s="50" t="s">
        <v>886</v>
      </c>
      <c r="S99" s="4" t="s">
        <v>43</v>
      </c>
    </row>
    <row r="100" spans="3:19" x14ac:dyDescent="0.25">
      <c r="C100" s="4" t="s">
        <v>537</v>
      </c>
      <c r="D100" s="4" t="s">
        <v>538</v>
      </c>
      <c r="E100" s="4" t="s">
        <v>538</v>
      </c>
      <c r="F100" s="4">
        <v>6.13</v>
      </c>
      <c r="G100" s="4" t="str">
        <f>VLOOKUP(C100,JUNIO!C99:G455,5,0)</f>
        <v>Abierta</v>
      </c>
      <c r="H100" s="4" t="s">
        <v>46</v>
      </c>
      <c r="I100" s="4" t="s">
        <v>1030</v>
      </c>
      <c r="J100" s="4" t="s">
        <v>100</v>
      </c>
      <c r="K100" s="4" t="s">
        <v>64</v>
      </c>
      <c r="L100" s="4" t="s">
        <v>40</v>
      </c>
      <c r="M100" s="4" t="s">
        <v>514</v>
      </c>
      <c r="N100" s="4" t="s">
        <v>537</v>
      </c>
      <c r="O100" s="4" t="s">
        <v>42</v>
      </c>
      <c r="P100" s="50" t="s">
        <v>43</v>
      </c>
      <c r="Q100" s="50">
        <v>63029731.7104875</v>
      </c>
      <c r="R100" s="50" t="s">
        <v>515</v>
      </c>
      <c r="S100" s="4" t="s">
        <v>43</v>
      </c>
    </row>
    <row r="101" spans="3:19" x14ac:dyDescent="0.25">
      <c r="C101" s="4" t="s">
        <v>863</v>
      </c>
      <c r="D101" s="4" t="s">
        <v>864</v>
      </c>
      <c r="E101" s="4" t="s">
        <v>864</v>
      </c>
      <c r="F101" s="4">
        <v>6</v>
      </c>
      <c r="G101" s="4" t="str">
        <f>VLOOKUP(C101,JUNIO!C100:G456,5,0)</f>
        <v>Abierta</v>
      </c>
      <c r="H101" s="4" t="s">
        <v>46</v>
      </c>
      <c r="I101" s="4" t="s">
        <v>1030</v>
      </c>
      <c r="J101" s="4" t="s">
        <v>132</v>
      </c>
      <c r="K101" s="4" t="s">
        <v>138</v>
      </c>
      <c r="L101" s="4" t="s">
        <v>40</v>
      </c>
      <c r="M101" s="4" t="s">
        <v>1035</v>
      </c>
      <c r="N101" s="4" t="s">
        <v>863</v>
      </c>
      <c r="O101" s="4" t="s">
        <v>42</v>
      </c>
      <c r="P101" s="50" t="s">
        <v>43</v>
      </c>
      <c r="Q101" s="50">
        <v>50350438.219385251</v>
      </c>
      <c r="R101" s="50" t="s">
        <v>847</v>
      </c>
      <c r="S101" s="4" t="s">
        <v>43</v>
      </c>
    </row>
    <row r="102" spans="3:19" x14ac:dyDescent="0.25">
      <c r="C102" s="4" t="s">
        <v>896</v>
      </c>
      <c r="D102" s="4" t="s">
        <v>897</v>
      </c>
      <c r="E102" s="4" t="s">
        <v>897</v>
      </c>
      <c r="F102" s="4">
        <v>5</v>
      </c>
      <c r="G102" s="4" t="str">
        <f>VLOOKUP(C102,JUNIO!C101:G457,5,0)</f>
        <v>Abierta</v>
      </c>
      <c r="H102" s="4" t="s">
        <v>46</v>
      </c>
      <c r="I102" s="4" t="s">
        <v>1030</v>
      </c>
      <c r="J102" s="4" t="s">
        <v>73</v>
      </c>
      <c r="K102" s="4" t="s">
        <v>133</v>
      </c>
      <c r="L102" s="4" t="s">
        <v>40</v>
      </c>
      <c r="M102" s="4" t="s">
        <v>514</v>
      </c>
      <c r="N102" s="4" t="s">
        <v>896</v>
      </c>
      <c r="O102" s="4" t="s">
        <v>42</v>
      </c>
      <c r="P102" s="50" t="s">
        <v>43</v>
      </c>
      <c r="Q102" s="50">
        <v>44008141.114612497</v>
      </c>
      <c r="R102" s="50" t="s">
        <v>886</v>
      </c>
      <c r="S102" s="4" t="s">
        <v>43</v>
      </c>
    </row>
    <row r="103" spans="3:19" x14ac:dyDescent="0.25">
      <c r="C103" s="4" t="s">
        <v>898</v>
      </c>
      <c r="D103" s="4" t="s">
        <v>899</v>
      </c>
      <c r="E103" s="4" t="s">
        <v>899</v>
      </c>
      <c r="F103" s="4">
        <v>5.45</v>
      </c>
      <c r="G103" s="4" t="str">
        <f>VLOOKUP(C103,JUNIO!C102:G458,5,0)</f>
        <v>Abierta</v>
      </c>
      <c r="H103" s="4" t="s">
        <v>46</v>
      </c>
      <c r="I103" s="4" t="s">
        <v>1030</v>
      </c>
      <c r="J103" s="4" t="s">
        <v>73</v>
      </c>
      <c r="K103" s="4" t="s">
        <v>315</v>
      </c>
      <c r="L103" s="4" t="s">
        <v>40</v>
      </c>
      <c r="M103" s="4" t="s">
        <v>514</v>
      </c>
      <c r="N103" s="4" t="s">
        <v>898</v>
      </c>
      <c r="O103" s="4" t="s">
        <v>42</v>
      </c>
      <c r="P103" s="50" t="s">
        <v>440</v>
      </c>
      <c r="Q103" s="50">
        <v>55109031.848991022</v>
      </c>
      <c r="R103" s="50" t="s">
        <v>886</v>
      </c>
      <c r="S103" s="4" t="s">
        <v>43</v>
      </c>
    </row>
    <row r="104" spans="3:19" x14ac:dyDescent="0.25">
      <c r="C104" s="4" t="s">
        <v>950</v>
      </c>
      <c r="D104" s="4" t="s">
        <v>951</v>
      </c>
      <c r="E104" s="4" t="s">
        <v>951</v>
      </c>
      <c r="F104" s="4">
        <v>5.45</v>
      </c>
      <c r="G104" s="4" t="str">
        <f>VLOOKUP(C104,JUNIO!C103:G459,5,0)</f>
        <v>Abierta</v>
      </c>
      <c r="H104" s="4" t="s">
        <v>46</v>
      </c>
      <c r="I104" s="4" t="s">
        <v>1030</v>
      </c>
      <c r="J104" s="4" t="s">
        <v>160</v>
      </c>
      <c r="K104" s="4" t="s">
        <v>353</v>
      </c>
      <c r="L104" s="4" t="s">
        <v>40</v>
      </c>
      <c r="M104" s="4" t="s">
        <v>984</v>
      </c>
      <c r="N104" s="4" t="s">
        <v>950</v>
      </c>
      <c r="O104" s="4" t="s">
        <v>42</v>
      </c>
      <c r="P104" s="50" t="s">
        <v>43</v>
      </c>
      <c r="Q104" s="50">
        <v>42317538.762500003</v>
      </c>
      <c r="R104" s="50" t="s">
        <v>931</v>
      </c>
      <c r="S104" s="4" t="s">
        <v>43</v>
      </c>
    </row>
    <row r="105" spans="3:19" x14ac:dyDescent="0.25">
      <c r="C105" s="4" t="s">
        <v>406</v>
      </c>
      <c r="D105" s="4" t="s">
        <v>407</v>
      </c>
      <c r="E105" s="4" t="s">
        <v>407</v>
      </c>
      <c r="F105" s="4">
        <v>5.45</v>
      </c>
      <c r="G105" s="4" t="str">
        <f>VLOOKUP(C105,JUNIO!C104:G460,5,0)</f>
        <v>Abierta</v>
      </c>
      <c r="H105" s="4" t="s">
        <v>46</v>
      </c>
      <c r="I105" s="4" t="s">
        <v>1031</v>
      </c>
      <c r="J105" s="4" t="s">
        <v>63</v>
      </c>
      <c r="K105" s="4" t="s">
        <v>138</v>
      </c>
      <c r="L105" s="4" t="s">
        <v>40</v>
      </c>
      <c r="M105" s="4" t="s">
        <v>378</v>
      </c>
      <c r="N105" s="4" t="s">
        <v>406</v>
      </c>
      <c r="O105" s="4" t="s">
        <v>42</v>
      </c>
      <c r="P105" s="50" t="s">
        <v>43</v>
      </c>
      <c r="Q105" s="50">
        <v>49652164.431601033</v>
      </c>
      <c r="R105" s="50" t="s">
        <v>380</v>
      </c>
      <c r="S105" s="4" t="s">
        <v>43</v>
      </c>
    </row>
    <row r="106" spans="3:19" x14ac:dyDescent="0.25">
      <c r="C106" s="4" t="s">
        <v>429</v>
      </c>
      <c r="D106" s="4" t="s">
        <v>430</v>
      </c>
      <c r="E106" s="4" t="s">
        <v>431</v>
      </c>
      <c r="F106" s="4">
        <v>6</v>
      </c>
      <c r="G106" s="4" t="str">
        <f>VLOOKUP(C106,JUNIO!C105:G461,5,0)</f>
        <v>Abierta</v>
      </c>
      <c r="H106" s="4" t="s">
        <v>46</v>
      </c>
      <c r="I106" s="4" t="s">
        <v>1030</v>
      </c>
      <c r="J106" s="4" t="s">
        <v>94</v>
      </c>
      <c r="K106" s="4" t="s">
        <v>64</v>
      </c>
      <c r="L106" s="4" t="s">
        <v>40</v>
      </c>
      <c r="M106" s="4" t="s">
        <v>1035</v>
      </c>
      <c r="N106" s="4" t="s">
        <v>429</v>
      </c>
      <c r="O106" s="4" t="s">
        <v>42</v>
      </c>
      <c r="P106" s="50" t="s">
        <v>43</v>
      </c>
      <c r="Q106" s="50">
        <v>83380493.642550021</v>
      </c>
      <c r="R106" s="50" t="s">
        <v>423</v>
      </c>
      <c r="S106" s="4" t="s">
        <v>43</v>
      </c>
    </row>
    <row r="107" spans="3:19" x14ac:dyDescent="0.25">
      <c r="C107" s="4" t="s">
        <v>483</v>
      </c>
      <c r="D107" s="4" t="s">
        <v>484</v>
      </c>
      <c r="E107" s="4" t="s">
        <v>485</v>
      </c>
      <c r="F107" s="4">
        <v>5</v>
      </c>
      <c r="G107" s="4" t="str">
        <f>VLOOKUP(C107,JUNIO!C106:G462,5,0)</f>
        <v>Abierta</v>
      </c>
      <c r="H107" s="4" t="s">
        <v>46</v>
      </c>
      <c r="I107" s="4" t="s">
        <v>1030</v>
      </c>
      <c r="J107" s="4" t="s">
        <v>466</v>
      </c>
      <c r="K107" s="4" t="s">
        <v>51</v>
      </c>
      <c r="L107" s="4" t="s">
        <v>40</v>
      </c>
      <c r="M107" s="4" t="s">
        <v>1035</v>
      </c>
      <c r="N107" s="4" t="s">
        <v>483</v>
      </c>
      <c r="O107" s="4" t="s">
        <v>42</v>
      </c>
      <c r="P107" s="50" t="s">
        <v>43</v>
      </c>
      <c r="Q107" s="50">
        <v>70416140.295699</v>
      </c>
      <c r="R107" s="50" t="s">
        <v>467</v>
      </c>
      <c r="S107" s="4" t="s">
        <v>43</v>
      </c>
    </row>
    <row r="108" spans="3:19" x14ac:dyDescent="0.25">
      <c r="C108" s="4" t="s">
        <v>539</v>
      </c>
      <c r="D108" s="4" t="s">
        <v>540</v>
      </c>
      <c r="E108" s="4" t="s">
        <v>541</v>
      </c>
      <c r="F108" s="4">
        <v>6.13</v>
      </c>
      <c r="G108" s="4" t="str">
        <f>VLOOKUP(C108,JUNIO!C107:G463,5,0)</f>
        <v>Abierta</v>
      </c>
      <c r="H108" s="4" t="s">
        <v>46</v>
      </c>
      <c r="I108" s="4" t="s">
        <v>1030</v>
      </c>
      <c r="J108" s="4" t="s">
        <v>100</v>
      </c>
      <c r="K108" s="4" t="s">
        <v>51</v>
      </c>
      <c r="L108" s="4" t="s">
        <v>40</v>
      </c>
      <c r="M108" s="4" t="s">
        <v>514</v>
      </c>
      <c r="N108" s="4" t="s">
        <v>539</v>
      </c>
      <c r="O108" s="4" t="s">
        <v>42</v>
      </c>
      <c r="P108" s="50" t="s">
        <v>43</v>
      </c>
      <c r="Q108" s="50">
        <v>59492842.993200004</v>
      </c>
      <c r="R108" s="50" t="s">
        <v>515</v>
      </c>
      <c r="S108" s="4" t="s">
        <v>43</v>
      </c>
    </row>
    <row r="109" spans="3:19" x14ac:dyDescent="0.25">
      <c r="C109" s="4" t="s">
        <v>432</v>
      </c>
      <c r="D109" s="4" t="s">
        <v>433</v>
      </c>
      <c r="E109" s="4" t="s">
        <v>434</v>
      </c>
      <c r="F109" s="4">
        <v>5.45</v>
      </c>
      <c r="G109" s="4" t="str">
        <f>VLOOKUP(C109,JUNIO!C108:G464,5,0)</f>
        <v>Abierta</v>
      </c>
      <c r="H109" s="4" t="s">
        <v>46</v>
      </c>
      <c r="I109" s="4" t="s">
        <v>1030</v>
      </c>
      <c r="J109" s="4" t="s">
        <v>94</v>
      </c>
      <c r="K109" s="4" t="s">
        <v>205</v>
      </c>
      <c r="L109" s="4" t="s">
        <v>40</v>
      </c>
      <c r="M109" s="4" t="s">
        <v>1035</v>
      </c>
      <c r="N109" s="4" t="s">
        <v>432</v>
      </c>
      <c r="O109" s="4" t="s">
        <v>42</v>
      </c>
      <c r="P109" s="50" t="s">
        <v>43</v>
      </c>
      <c r="Q109" s="50">
        <v>58391319.536473505</v>
      </c>
      <c r="R109" s="50" t="s">
        <v>423</v>
      </c>
      <c r="S109" s="4" t="s">
        <v>43</v>
      </c>
    </row>
    <row r="110" spans="3:19" x14ac:dyDescent="0.25">
      <c r="C110" s="4" t="s">
        <v>671</v>
      </c>
      <c r="D110" s="4" t="s">
        <v>672</v>
      </c>
      <c r="E110" s="4" t="s">
        <v>672</v>
      </c>
      <c r="F110" s="4">
        <v>5</v>
      </c>
      <c r="G110" s="4" t="str">
        <f>VLOOKUP(C110,JUNIO!C109:G465,5,0)</f>
        <v>Abierta</v>
      </c>
      <c r="H110" s="4" t="s">
        <v>46</v>
      </c>
      <c r="I110" s="4" t="s">
        <v>1030</v>
      </c>
      <c r="J110" s="4" t="s">
        <v>248</v>
      </c>
      <c r="K110" s="4" t="s">
        <v>51</v>
      </c>
      <c r="L110" s="4" t="s">
        <v>40</v>
      </c>
      <c r="M110" s="4" t="s">
        <v>984</v>
      </c>
      <c r="N110" s="4" t="s">
        <v>671</v>
      </c>
      <c r="O110" s="4" t="s">
        <v>42</v>
      </c>
      <c r="P110" s="50" t="s">
        <v>43</v>
      </c>
      <c r="Q110" s="50">
        <v>52694663.450100005</v>
      </c>
      <c r="R110" s="50" t="s">
        <v>51</v>
      </c>
      <c r="S110" s="4" t="s">
        <v>43</v>
      </c>
    </row>
    <row r="111" spans="3:19" x14ac:dyDescent="0.25">
      <c r="C111" s="4" t="s">
        <v>567</v>
      </c>
      <c r="D111" s="4" t="s">
        <v>568</v>
      </c>
      <c r="E111" s="4" t="s">
        <v>568</v>
      </c>
      <c r="F111" s="4">
        <v>5</v>
      </c>
      <c r="G111" s="4" t="str">
        <f>VLOOKUP(C111,JUNIO!C110:G466,5,0)</f>
        <v>Abierta</v>
      </c>
      <c r="H111" s="4" t="s">
        <v>46</v>
      </c>
      <c r="I111" s="4" t="s">
        <v>1030</v>
      </c>
      <c r="J111" s="4" t="s">
        <v>331</v>
      </c>
      <c r="K111" s="4" t="s">
        <v>138</v>
      </c>
      <c r="L111" s="4" t="s">
        <v>40</v>
      </c>
      <c r="M111" s="4" t="s">
        <v>984</v>
      </c>
      <c r="N111" s="4" t="s">
        <v>567</v>
      </c>
      <c r="O111" s="4" t="s">
        <v>42</v>
      </c>
      <c r="P111" s="50" t="s">
        <v>43</v>
      </c>
      <c r="Q111" s="50">
        <v>46231880.503095008</v>
      </c>
      <c r="R111" s="50" t="s">
        <v>557</v>
      </c>
      <c r="S111" s="4" t="s">
        <v>43</v>
      </c>
    </row>
    <row r="112" spans="3:19" x14ac:dyDescent="0.25">
      <c r="C112" s="4" t="s">
        <v>435</v>
      </c>
      <c r="D112" s="4" t="s">
        <v>436</v>
      </c>
      <c r="E112" s="4" t="s">
        <v>436</v>
      </c>
      <c r="F112" s="4">
        <v>5</v>
      </c>
      <c r="G112" s="4" t="str">
        <f>VLOOKUP(C112,JUNIO!C111:G467,5,0)</f>
        <v>Abierta</v>
      </c>
      <c r="H112" s="4" t="s">
        <v>46</v>
      </c>
      <c r="I112" s="4" t="s">
        <v>1030</v>
      </c>
      <c r="J112" s="4" t="s">
        <v>94</v>
      </c>
      <c r="K112" s="4" t="s">
        <v>64</v>
      </c>
      <c r="L112" s="4" t="s">
        <v>40</v>
      </c>
      <c r="M112" s="4" t="s">
        <v>1035</v>
      </c>
      <c r="N112" s="4" t="s">
        <v>435</v>
      </c>
      <c r="O112" s="4" t="s">
        <v>42</v>
      </c>
      <c r="P112" s="50" t="s">
        <v>43</v>
      </c>
      <c r="Q112" s="50">
        <v>63633751.641037479</v>
      </c>
      <c r="R112" s="50" t="s">
        <v>423</v>
      </c>
      <c r="S112" s="4" t="s">
        <v>43</v>
      </c>
    </row>
    <row r="113" spans="3:19" x14ac:dyDescent="0.25">
      <c r="C113" s="4" t="s">
        <v>865</v>
      </c>
      <c r="D113" s="4" t="s">
        <v>866</v>
      </c>
      <c r="E113" s="4" t="s">
        <v>866</v>
      </c>
      <c r="F113" s="4">
        <v>6</v>
      </c>
      <c r="G113" s="4" t="str">
        <f>VLOOKUP(C113,JUNIO!C112:G468,5,0)</f>
        <v>Abierta</v>
      </c>
      <c r="H113" s="4" t="s">
        <v>46</v>
      </c>
      <c r="I113" s="4" t="s">
        <v>1030</v>
      </c>
      <c r="J113" s="4" t="s">
        <v>132</v>
      </c>
      <c r="K113" s="4" t="s">
        <v>856</v>
      </c>
      <c r="L113" s="4" t="s">
        <v>40</v>
      </c>
      <c r="M113" s="4" t="s">
        <v>1035</v>
      </c>
      <c r="N113" s="4" t="s">
        <v>865</v>
      </c>
      <c r="O113" s="4" t="s">
        <v>42</v>
      </c>
      <c r="P113" s="50" t="s">
        <v>43</v>
      </c>
      <c r="Q113" s="50">
        <v>64042208.151638746</v>
      </c>
      <c r="R113" s="50" t="s">
        <v>847</v>
      </c>
      <c r="S113" s="4" t="s">
        <v>43</v>
      </c>
    </row>
    <row r="114" spans="3:19" x14ac:dyDescent="0.25">
      <c r="C114" s="4" t="s">
        <v>486</v>
      </c>
      <c r="D114" s="4" t="s">
        <v>487</v>
      </c>
      <c r="E114" s="4" t="s">
        <v>487</v>
      </c>
      <c r="F114" s="4">
        <v>5</v>
      </c>
      <c r="G114" s="4" t="str">
        <f>VLOOKUP(C114,JUNIO!C113:G469,5,0)</f>
        <v>Abierta</v>
      </c>
      <c r="H114" s="4" t="s">
        <v>46</v>
      </c>
      <c r="I114" s="4" t="s">
        <v>1030</v>
      </c>
      <c r="J114" s="4" t="s">
        <v>466</v>
      </c>
      <c r="K114" s="4" t="s">
        <v>51</v>
      </c>
      <c r="L114" s="4" t="s">
        <v>40</v>
      </c>
      <c r="M114" s="4" t="s">
        <v>1035</v>
      </c>
      <c r="N114" s="4" t="s">
        <v>486</v>
      </c>
      <c r="O114" s="4" t="s">
        <v>42</v>
      </c>
      <c r="P114" s="50" t="s">
        <v>43</v>
      </c>
      <c r="Q114" s="50">
        <v>49453021.589900047</v>
      </c>
      <c r="R114" s="50" t="s">
        <v>467</v>
      </c>
      <c r="S114" s="4" t="s">
        <v>43</v>
      </c>
    </row>
    <row r="115" spans="3:19" x14ac:dyDescent="0.25">
      <c r="C115" s="4" t="s">
        <v>673</v>
      </c>
      <c r="D115" s="4" t="s">
        <v>674</v>
      </c>
      <c r="E115" s="4" t="s">
        <v>674</v>
      </c>
      <c r="F115" s="4">
        <v>5.45</v>
      </c>
      <c r="G115" s="4" t="str">
        <f>VLOOKUP(C115,JUNIO!C114:G470,5,0)</f>
        <v>Abierta</v>
      </c>
      <c r="H115" s="4" t="s">
        <v>46</v>
      </c>
      <c r="I115" s="4" t="s">
        <v>1030</v>
      </c>
      <c r="J115" s="4" t="s">
        <v>248</v>
      </c>
      <c r="K115" s="4" t="s">
        <v>51</v>
      </c>
      <c r="L115" s="4" t="s">
        <v>40</v>
      </c>
      <c r="M115" s="4" t="s">
        <v>984</v>
      </c>
      <c r="N115" s="4" t="s">
        <v>673</v>
      </c>
      <c r="O115" s="4" t="s">
        <v>42</v>
      </c>
      <c r="P115" s="50" t="s">
        <v>43</v>
      </c>
      <c r="Q115" s="50">
        <v>35134574.683131002</v>
      </c>
      <c r="R115" s="50" t="s">
        <v>51</v>
      </c>
      <c r="S115" s="4" t="s">
        <v>43</v>
      </c>
    </row>
    <row r="116" spans="3:19" x14ac:dyDescent="0.25">
      <c r="C116" s="4" t="s">
        <v>569</v>
      </c>
      <c r="D116" s="4" t="s">
        <v>570</v>
      </c>
      <c r="E116" s="4" t="s">
        <v>570</v>
      </c>
      <c r="F116" s="4">
        <v>5.45</v>
      </c>
      <c r="G116" s="4" t="str">
        <f>VLOOKUP(C116,JUNIO!C115:G471,5,0)</f>
        <v>Abierta</v>
      </c>
      <c r="H116" s="4" t="s">
        <v>46</v>
      </c>
      <c r="I116" s="4" t="s">
        <v>1030</v>
      </c>
      <c r="J116" s="4" t="s">
        <v>331</v>
      </c>
      <c r="K116" s="4" t="s">
        <v>138</v>
      </c>
      <c r="L116" s="4" t="s">
        <v>40</v>
      </c>
      <c r="M116" s="4" t="s">
        <v>984</v>
      </c>
      <c r="N116" s="4" t="s">
        <v>569</v>
      </c>
      <c r="O116" s="4" t="s">
        <v>42</v>
      </c>
      <c r="P116" s="50" t="s">
        <v>43</v>
      </c>
      <c r="Q116" s="50">
        <v>59807611.773926988</v>
      </c>
      <c r="R116" s="50" t="s">
        <v>557</v>
      </c>
      <c r="S116" s="4" t="s">
        <v>43</v>
      </c>
    </row>
    <row r="117" spans="3:19" x14ac:dyDescent="0.25">
      <c r="C117" s="4" t="s">
        <v>750</v>
      </c>
      <c r="D117" s="4" t="s">
        <v>751</v>
      </c>
      <c r="E117" s="4" t="s">
        <v>751</v>
      </c>
      <c r="F117" s="4">
        <v>5</v>
      </c>
      <c r="G117" s="4" t="str">
        <f>VLOOKUP(C117,JUNIO!C116:G472,5,0)</f>
        <v>Abierta</v>
      </c>
      <c r="H117" s="4" t="s">
        <v>46</v>
      </c>
      <c r="I117" s="4" t="s">
        <v>1031</v>
      </c>
      <c r="J117" s="4" t="s">
        <v>84</v>
      </c>
      <c r="K117" s="4" t="s">
        <v>54</v>
      </c>
      <c r="L117" s="4" t="s">
        <v>55</v>
      </c>
      <c r="M117" s="4" t="s">
        <v>378</v>
      </c>
      <c r="N117" s="4" t="s">
        <v>750</v>
      </c>
      <c r="O117" s="4" t="s">
        <v>42</v>
      </c>
      <c r="P117" s="50" t="s">
        <v>43</v>
      </c>
      <c r="Q117" s="50">
        <v>53250741.440100007</v>
      </c>
      <c r="R117" s="50" t="s">
        <v>741</v>
      </c>
      <c r="S117" s="4" t="s">
        <v>43</v>
      </c>
    </row>
    <row r="118" spans="3:19" x14ac:dyDescent="0.25">
      <c r="C118" s="4" t="s">
        <v>488</v>
      </c>
      <c r="D118" s="4" t="s">
        <v>489</v>
      </c>
      <c r="E118" s="4" t="s">
        <v>490</v>
      </c>
      <c r="F118" s="4">
        <v>5</v>
      </c>
      <c r="G118" s="4" t="str">
        <f>VLOOKUP(C118,JUNIO!C117:G473,5,0)</f>
        <v>Abierta</v>
      </c>
      <c r="H118" s="4" t="s">
        <v>46</v>
      </c>
      <c r="I118" s="4" t="s">
        <v>1030</v>
      </c>
      <c r="J118" s="4" t="s">
        <v>466</v>
      </c>
      <c r="K118" s="4" t="s">
        <v>51</v>
      </c>
      <c r="L118" s="4" t="s">
        <v>40</v>
      </c>
      <c r="M118" s="4" t="s">
        <v>1035</v>
      </c>
      <c r="N118" s="4" t="s">
        <v>488</v>
      </c>
      <c r="O118" s="4" t="s">
        <v>42</v>
      </c>
      <c r="P118" s="50" t="s">
        <v>43</v>
      </c>
      <c r="Q118" s="50">
        <v>46632971.735327341</v>
      </c>
      <c r="R118" s="50" t="s">
        <v>467</v>
      </c>
      <c r="S118" s="4" t="s">
        <v>43</v>
      </c>
    </row>
    <row r="119" spans="3:19" x14ac:dyDescent="0.25">
      <c r="C119" s="4" t="s">
        <v>952</v>
      </c>
      <c r="D119" s="4" t="s">
        <v>953</v>
      </c>
      <c r="E119" s="4" t="s">
        <v>953</v>
      </c>
      <c r="F119" s="4">
        <v>5.45</v>
      </c>
      <c r="G119" s="4" t="str">
        <f>VLOOKUP(C119,JUNIO!C118:G474,5,0)</f>
        <v>Abierta</v>
      </c>
      <c r="H119" s="4" t="s">
        <v>46</v>
      </c>
      <c r="I119" s="4" t="s">
        <v>1030</v>
      </c>
      <c r="J119" s="4" t="s">
        <v>160</v>
      </c>
      <c r="K119" s="4" t="s">
        <v>371</v>
      </c>
      <c r="L119" s="4" t="s">
        <v>40</v>
      </c>
      <c r="M119" s="4" t="s">
        <v>984</v>
      </c>
      <c r="N119" s="4" t="s">
        <v>952</v>
      </c>
      <c r="O119" s="4" t="s">
        <v>42</v>
      </c>
      <c r="P119" s="50" t="s">
        <v>43</v>
      </c>
      <c r="Q119" s="50">
        <v>55562315.194057159</v>
      </c>
      <c r="R119" s="50" t="s">
        <v>931</v>
      </c>
      <c r="S119" s="4" t="s">
        <v>43</v>
      </c>
    </row>
    <row r="120" spans="3:19" x14ac:dyDescent="0.25">
      <c r="C120" s="4" t="s">
        <v>675</v>
      </c>
      <c r="D120" s="4" t="s">
        <v>676</v>
      </c>
      <c r="E120" s="4" t="s">
        <v>676</v>
      </c>
      <c r="F120" s="4">
        <v>5</v>
      </c>
      <c r="G120" s="4" t="str">
        <f>VLOOKUP(C120,JUNIO!C119:G475,5,0)</f>
        <v>Abierta</v>
      </c>
      <c r="H120" s="4" t="s">
        <v>81</v>
      </c>
      <c r="I120" s="4" t="s">
        <v>1030</v>
      </c>
      <c r="J120" s="4" t="s">
        <v>248</v>
      </c>
      <c r="K120" s="4" t="s">
        <v>51</v>
      </c>
      <c r="L120" s="4" t="s">
        <v>40</v>
      </c>
      <c r="M120" s="4" t="s">
        <v>984</v>
      </c>
      <c r="N120" s="4" t="s">
        <v>675</v>
      </c>
      <c r="O120" s="4" t="s">
        <v>42</v>
      </c>
      <c r="P120" s="50" t="s">
        <v>43</v>
      </c>
      <c r="Q120" s="50">
        <v>44468931.480449997</v>
      </c>
      <c r="R120" s="50" t="s">
        <v>51</v>
      </c>
      <c r="S120" s="4" t="s">
        <v>43</v>
      </c>
    </row>
    <row r="121" spans="3:19" x14ac:dyDescent="0.25">
      <c r="C121" s="4" t="s">
        <v>780</v>
      </c>
      <c r="D121" s="4" t="s">
        <v>781</v>
      </c>
      <c r="E121" s="4" t="s">
        <v>781</v>
      </c>
      <c r="F121" s="4">
        <v>5.45</v>
      </c>
      <c r="G121" s="4" t="str">
        <f>VLOOKUP(C121,JUNIO!C120:G476,5,0)</f>
        <v>Abierta</v>
      </c>
      <c r="H121" s="4" t="s">
        <v>46</v>
      </c>
      <c r="I121" s="4" t="s">
        <v>1031</v>
      </c>
      <c r="J121" s="4" t="s">
        <v>89</v>
      </c>
      <c r="K121" s="4" t="s">
        <v>109</v>
      </c>
      <c r="L121" s="4" t="s">
        <v>91</v>
      </c>
      <c r="M121" s="4" t="s">
        <v>378</v>
      </c>
      <c r="N121" s="4" t="s">
        <v>780</v>
      </c>
      <c r="O121" s="4" t="s">
        <v>42</v>
      </c>
      <c r="P121" s="50" t="s">
        <v>43</v>
      </c>
      <c r="Q121" s="50">
        <v>42278165.012559243</v>
      </c>
      <c r="R121" s="50" t="s">
        <v>772</v>
      </c>
      <c r="S121" s="4" t="s">
        <v>43</v>
      </c>
    </row>
    <row r="122" spans="3:19" x14ac:dyDescent="0.25">
      <c r="C122" s="4" t="s">
        <v>628</v>
      </c>
      <c r="D122" s="4" t="s">
        <v>996</v>
      </c>
      <c r="E122" s="4" t="s">
        <v>630</v>
      </c>
      <c r="F122" s="4">
        <v>5.07</v>
      </c>
      <c r="G122" s="4" t="s">
        <v>376</v>
      </c>
      <c r="H122" s="4" t="s">
        <v>46</v>
      </c>
      <c r="I122" s="4" t="s">
        <v>1030</v>
      </c>
      <c r="J122" s="4" t="s">
        <v>50</v>
      </c>
      <c r="K122" s="4" t="s">
        <v>64</v>
      </c>
      <c r="L122" s="4" t="s">
        <v>40</v>
      </c>
      <c r="M122" s="4" t="s">
        <v>514</v>
      </c>
      <c r="N122" s="4" t="s">
        <v>628</v>
      </c>
      <c r="O122" s="4" t="s">
        <v>42</v>
      </c>
      <c r="P122" s="50" t="s">
        <v>43</v>
      </c>
      <c r="Q122" s="50">
        <v>26905971.577323597</v>
      </c>
      <c r="R122" s="50" t="s">
        <v>597</v>
      </c>
      <c r="S122" s="4" t="s">
        <v>43</v>
      </c>
    </row>
    <row r="123" spans="3:19" x14ac:dyDescent="0.25">
      <c r="C123" s="4" t="s">
        <v>408</v>
      </c>
      <c r="D123" s="4" t="s">
        <v>409</v>
      </c>
      <c r="E123" s="4" t="s">
        <v>410</v>
      </c>
      <c r="F123" s="4">
        <v>5</v>
      </c>
      <c r="G123" s="4" t="str">
        <f>VLOOKUP(C123,JUNIO!C122:G478,5,0)</f>
        <v>Abierta</v>
      </c>
      <c r="H123" s="4" t="s">
        <v>46</v>
      </c>
      <c r="I123" s="4" t="s">
        <v>1031</v>
      </c>
      <c r="J123" s="4" t="s">
        <v>63</v>
      </c>
      <c r="K123" s="4" t="s">
        <v>138</v>
      </c>
      <c r="L123" s="4" t="s">
        <v>40</v>
      </c>
      <c r="M123" s="4" t="s">
        <v>378</v>
      </c>
      <c r="N123" s="4" t="s">
        <v>408</v>
      </c>
      <c r="O123" s="4" t="s">
        <v>42</v>
      </c>
      <c r="P123" s="50" t="s">
        <v>43</v>
      </c>
      <c r="Q123" s="50">
        <v>53521735.722461641</v>
      </c>
      <c r="R123" s="50" t="s">
        <v>380</v>
      </c>
      <c r="S123" s="4" t="s">
        <v>43</v>
      </c>
    </row>
    <row r="124" spans="3:19" x14ac:dyDescent="0.25">
      <c r="C124" s="4" t="s">
        <v>677</v>
      </c>
      <c r="D124" s="4" t="s">
        <v>678</v>
      </c>
      <c r="E124" s="4" t="s">
        <v>679</v>
      </c>
      <c r="F124" s="4">
        <v>5</v>
      </c>
      <c r="G124" s="4" t="str">
        <f>VLOOKUP(C124,JUNIO!C123:G479,5,0)</f>
        <v>Abierta</v>
      </c>
      <c r="H124" s="4" t="s">
        <v>46</v>
      </c>
      <c r="I124" s="4" t="s">
        <v>1030</v>
      </c>
      <c r="J124" s="4" t="s">
        <v>248</v>
      </c>
      <c r="K124" s="4" t="s">
        <v>51</v>
      </c>
      <c r="L124" s="4" t="s">
        <v>40</v>
      </c>
      <c r="M124" s="4" t="s">
        <v>984</v>
      </c>
      <c r="N124" s="4" t="s">
        <v>677</v>
      </c>
      <c r="O124" s="4" t="s">
        <v>42</v>
      </c>
      <c r="P124" s="50" t="s">
        <v>43</v>
      </c>
      <c r="Q124" s="50">
        <v>50994758.206637993</v>
      </c>
      <c r="R124" s="50" t="s">
        <v>51</v>
      </c>
      <c r="S124" s="4" t="s">
        <v>43</v>
      </c>
    </row>
    <row r="125" spans="3:19" x14ac:dyDescent="0.25">
      <c r="C125" s="4" t="s">
        <v>571</v>
      </c>
      <c r="D125" s="4" t="s">
        <v>572</v>
      </c>
      <c r="E125" s="4" t="s">
        <v>572</v>
      </c>
      <c r="F125" s="4">
        <v>6</v>
      </c>
      <c r="G125" s="4" t="str">
        <f>VLOOKUP(C125,JUNIO!C124:G480,5,0)</f>
        <v>Abierta</v>
      </c>
      <c r="H125" s="4" t="s">
        <v>46</v>
      </c>
      <c r="I125" s="4" t="s">
        <v>1030</v>
      </c>
      <c r="J125" s="4" t="s">
        <v>331</v>
      </c>
      <c r="K125" s="4" t="s">
        <v>138</v>
      </c>
      <c r="L125" s="4" t="s">
        <v>40</v>
      </c>
      <c r="M125" s="4" t="s">
        <v>984</v>
      </c>
      <c r="N125" s="4" t="s">
        <v>571</v>
      </c>
      <c r="O125" s="4" t="s">
        <v>42</v>
      </c>
      <c r="P125" s="50" t="s">
        <v>43</v>
      </c>
      <c r="Q125" s="50">
        <v>64695693.225000001</v>
      </c>
      <c r="R125" s="50" t="s">
        <v>557</v>
      </c>
      <c r="S125" s="4" t="s">
        <v>43</v>
      </c>
    </row>
    <row r="126" spans="3:19" x14ac:dyDescent="0.25">
      <c r="C126" s="4" t="s">
        <v>752</v>
      </c>
      <c r="D126" s="4" t="s">
        <v>753</v>
      </c>
      <c r="E126" s="4" t="s">
        <v>753</v>
      </c>
      <c r="F126" s="4">
        <v>8</v>
      </c>
      <c r="G126" s="4" t="str">
        <f>VLOOKUP(C126,JUNIO!C125:G481,5,0)</f>
        <v>Abierta</v>
      </c>
      <c r="H126" s="4" t="s">
        <v>46</v>
      </c>
      <c r="I126" s="4" t="s">
        <v>1031</v>
      </c>
      <c r="J126" s="4" t="s">
        <v>84</v>
      </c>
      <c r="K126" s="4" t="s">
        <v>54</v>
      </c>
      <c r="L126" s="4" t="s">
        <v>55</v>
      </c>
      <c r="M126" s="4" t="s">
        <v>378</v>
      </c>
      <c r="N126" s="4" t="s">
        <v>752</v>
      </c>
      <c r="O126" s="4" t="s">
        <v>379</v>
      </c>
      <c r="P126" s="50" t="s">
        <v>43</v>
      </c>
      <c r="Q126" s="50">
        <v>61967532.731399998</v>
      </c>
      <c r="R126" s="50" t="s">
        <v>741</v>
      </c>
      <c r="S126" s="4" t="s">
        <v>43</v>
      </c>
    </row>
    <row r="127" spans="3:19" x14ac:dyDescent="0.25">
      <c r="C127" s="4" t="s">
        <v>680</v>
      </c>
      <c r="D127" s="4" t="s">
        <v>681</v>
      </c>
      <c r="E127" s="4" t="s">
        <v>682</v>
      </c>
      <c r="F127" s="4">
        <v>5</v>
      </c>
      <c r="G127" s="4" t="str">
        <f>VLOOKUP(C127,JUNIO!C126:G482,5,0)</f>
        <v>Abierta</v>
      </c>
      <c r="H127" s="4" t="s">
        <v>46</v>
      </c>
      <c r="I127" s="4" t="s">
        <v>1030</v>
      </c>
      <c r="J127" s="4" t="s">
        <v>248</v>
      </c>
      <c r="K127" s="4" t="s">
        <v>51</v>
      </c>
      <c r="L127" s="4" t="s">
        <v>40</v>
      </c>
      <c r="M127" s="4" t="s">
        <v>984</v>
      </c>
      <c r="N127" s="4" t="s">
        <v>680</v>
      </c>
      <c r="O127" s="4" t="s">
        <v>42</v>
      </c>
      <c r="P127" s="50" t="s">
        <v>440</v>
      </c>
      <c r="Q127" s="50">
        <v>31766535</v>
      </c>
      <c r="R127" s="50" t="s">
        <v>51</v>
      </c>
      <c r="S127" s="4" t="s">
        <v>43</v>
      </c>
    </row>
    <row r="128" spans="3:19" x14ac:dyDescent="0.25">
      <c r="C128" s="4" t="s">
        <v>954</v>
      </c>
      <c r="D128" s="4" t="s">
        <v>955</v>
      </c>
      <c r="E128" s="4" t="s">
        <v>956</v>
      </c>
      <c r="F128" s="4">
        <v>5</v>
      </c>
      <c r="G128" s="4" t="str">
        <f>VLOOKUP(C128,JUNIO!C127:G483,5,0)</f>
        <v>Abierta</v>
      </c>
      <c r="H128" s="4" t="s">
        <v>46</v>
      </c>
      <c r="I128" s="4" t="s">
        <v>1030</v>
      </c>
      <c r="J128" s="4" t="s">
        <v>160</v>
      </c>
      <c r="K128" s="4" t="s">
        <v>353</v>
      </c>
      <c r="L128" s="4" t="s">
        <v>40</v>
      </c>
      <c r="M128" s="4" t="s">
        <v>984</v>
      </c>
      <c r="N128" s="4" t="s">
        <v>954</v>
      </c>
      <c r="O128" s="4" t="s">
        <v>42</v>
      </c>
      <c r="P128" s="50" t="s">
        <v>440</v>
      </c>
      <c r="Q128" s="50">
        <v>48287178.795717008</v>
      </c>
      <c r="R128" s="50" t="s">
        <v>931</v>
      </c>
      <c r="S128" s="4" t="s">
        <v>43</v>
      </c>
    </row>
    <row r="129" spans="3:19" x14ac:dyDescent="0.25">
      <c r="C129" s="4" t="s">
        <v>68</v>
      </c>
      <c r="D129" s="4" t="s">
        <v>69</v>
      </c>
      <c r="E129" s="4" t="s">
        <v>70</v>
      </c>
      <c r="F129" s="4" t="s">
        <v>36</v>
      </c>
      <c r="G129" s="4" t="str">
        <f>VLOOKUP(C129,JUNIO!C128:G484,5,0)</f>
        <v>CIERRE DEFINITIVO</v>
      </c>
      <c r="H129" s="4" t="s">
        <v>38</v>
      </c>
      <c r="I129" s="4" t="s">
        <v>1030</v>
      </c>
      <c r="J129" s="4" t="s">
        <v>58</v>
      </c>
      <c r="K129" s="4" t="s">
        <v>64</v>
      </c>
      <c r="L129" s="4" t="s">
        <v>40</v>
      </c>
      <c r="M129" s="4">
        <v>0</v>
      </c>
      <c r="N129" s="4" t="s">
        <v>68</v>
      </c>
      <c r="O129" s="4" t="s">
        <v>42</v>
      </c>
      <c r="P129" s="50" t="s">
        <v>43</v>
      </c>
      <c r="Q129" s="50" t="s">
        <v>36</v>
      </c>
      <c r="R129" s="50">
        <v>0</v>
      </c>
      <c r="S129" s="4" t="s">
        <v>43</v>
      </c>
    </row>
    <row r="130" spans="3:19" x14ac:dyDescent="0.25">
      <c r="C130" s="4" t="s">
        <v>867</v>
      </c>
      <c r="D130" s="4" t="s">
        <v>997</v>
      </c>
      <c r="E130" s="4" t="s">
        <v>869</v>
      </c>
      <c r="F130" s="4">
        <v>5</v>
      </c>
      <c r="G130" s="4" t="s">
        <v>987</v>
      </c>
      <c r="H130" s="4" t="s">
        <v>46</v>
      </c>
      <c r="I130" s="4" t="s">
        <v>1030</v>
      </c>
      <c r="J130" s="4" t="s">
        <v>132</v>
      </c>
      <c r="K130" s="4" t="s">
        <v>856</v>
      </c>
      <c r="L130" s="4" t="s">
        <v>40</v>
      </c>
      <c r="M130" s="4" t="s">
        <v>1035</v>
      </c>
      <c r="N130" s="4" t="s">
        <v>867</v>
      </c>
      <c r="O130" s="4" t="s">
        <v>42</v>
      </c>
      <c r="P130" s="50" t="s">
        <v>440</v>
      </c>
      <c r="Q130" s="50">
        <v>0</v>
      </c>
      <c r="R130" s="50" t="s">
        <v>847</v>
      </c>
      <c r="S130" s="4" t="s">
        <v>43</v>
      </c>
    </row>
    <row r="131" spans="3:19" x14ac:dyDescent="0.25">
      <c r="C131" s="4" t="s">
        <v>71</v>
      </c>
      <c r="D131" s="4" t="s">
        <v>72</v>
      </c>
      <c r="E131" s="4" t="s">
        <v>72</v>
      </c>
      <c r="F131" s="4">
        <v>0</v>
      </c>
      <c r="G131" s="4" t="str">
        <f>VLOOKUP(C131,JUNIO!C130:G486,5,0)</f>
        <v>CIERRE DEFINITIVO</v>
      </c>
      <c r="H131" s="4" t="s">
        <v>46</v>
      </c>
      <c r="I131" s="4" t="s">
        <v>1030</v>
      </c>
      <c r="J131" s="4" t="s">
        <v>73</v>
      </c>
      <c r="K131" s="4" t="s">
        <v>74</v>
      </c>
      <c r="L131" s="4" t="s">
        <v>40</v>
      </c>
      <c r="M131" s="4">
        <v>0</v>
      </c>
      <c r="N131" s="4" t="s">
        <v>71</v>
      </c>
      <c r="O131" s="4" t="s">
        <v>42</v>
      </c>
      <c r="P131" s="50" t="s">
        <v>43</v>
      </c>
      <c r="Q131" s="50" t="s">
        <v>36</v>
      </c>
      <c r="R131" s="50">
        <v>0</v>
      </c>
      <c r="S131" s="4" t="s">
        <v>43</v>
      </c>
    </row>
    <row r="132" spans="3:19" x14ac:dyDescent="0.25">
      <c r="C132" s="4" t="s">
        <v>802</v>
      </c>
      <c r="D132" s="4" t="s">
        <v>803</v>
      </c>
      <c r="E132" s="4" t="s">
        <v>803</v>
      </c>
      <c r="F132" s="4">
        <v>7</v>
      </c>
      <c r="G132" s="4" t="str">
        <f>VLOOKUP(C132,JUNIO!C131:G487,5,0)</f>
        <v>Abierta</v>
      </c>
      <c r="H132" s="4" t="s">
        <v>46</v>
      </c>
      <c r="I132" s="4" t="s">
        <v>1030</v>
      </c>
      <c r="J132" s="4" t="s">
        <v>146</v>
      </c>
      <c r="K132" s="4" t="s">
        <v>59</v>
      </c>
      <c r="L132" s="4" t="s">
        <v>40</v>
      </c>
      <c r="M132" s="4" t="s">
        <v>1035</v>
      </c>
      <c r="N132" s="4" t="s">
        <v>802</v>
      </c>
      <c r="O132" s="4" t="s">
        <v>42</v>
      </c>
      <c r="P132" s="50" t="s">
        <v>43</v>
      </c>
      <c r="Q132" s="50">
        <v>72164254.828800008</v>
      </c>
      <c r="R132" s="50" t="s">
        <v>799</v>
      </c>
      <c r="S132" s="4" t="s">
        <v>43</v>
      </c>
    </row>
    <row r="133" spans="3:19" x14ac:dyDescent="0.25">
      <c r="C133" s="4" t="s">
        <v>957</v>
      </c>
      <c r="D133" s="4" t="s">
        <v>959</v>
      </c>
      <c r="E133" s="4" t="s">
        <v>998</v>
      </c>
      <c r="F133" s="44">
        <v>5.45</v>
      </c>
      <c r="G133" s="4" t="str">
        <f>VLOOKUP(C133,JUNIO!C132:G488,5,0)</f>
        <v>Abierta</v>
      </c>
      <c r="H133" s="4" t="s">
        <v>46</v>
      </c>
      <c r="I133" s="4" t="s">
        <v>1030</v>
      </c>
      <c r="J133" s="4" t="s">
        <v>160</v>
      </c>
      <c r="K133" s="4" t="s">
        <v>39</v>
      </c>
      <c r="L133" s="4" t="s">
        <v>40</v>
      </c>
      <c r="M133" s="4" t="s">
        <v>984</v>
      </c>
      <c r="N133" s="4" t="s">
        <v>957</v>
      </c>
      <c r="O133" s="4" t="s">
        <v>42</v>
      </c>
      <c r="P133" s="50" t="s">
        <v>43</v>
      </c>
      <c r="Q133" s="50">
        <v>73565960.991147593</v>
      </c>
      <c r="R133" s="50" t="s">
        <v>931</v>
      </c>
      <c r="S133" s="4" t="s">
        <v>43</v>
      </c>
    </row>
    <row r="134" spans="3:19" x14ac:dyDescent="0.25">
      <c r="C134" s="4" t="s">
        <v>75</v>
      </c>
      <c r="D134" s="4" t="s">
        <v>76</v>
      </c>
      <c r="E134" s="4" t="s">
        <v>77</v>
      </c>
      <c r="F134" s="4" t="s">
        <v>36</v>
      </c>
      <c r="G134" s="4" t="str">
        <f>VLOOKUP(C134,JUNIO!C133:G489,5,0)</f>
        <v>CIERRE DEFINITIVO</v>
      </c>
      <c r="H134" s="4" t="s">
        <v>38</v>
      </c>
      <c r="I134" s="4" t="s">
        <v>1030</v>
      </c>
      <c r="J134" s="4">
        <v>0</v>
      </c>
      <c r="K134" s="4" t="s">
        <v>78</v>
      </c>
      <c r="L134" s="4" t="s">
        <v>40</v>
      </c>
      <c r="M134" s="4">
        <v>0</v>
      </c>
      <c r="N134" s="4" t="s">
        <v>75</v>
      </c>
      <c r="O134" s="4" t="s">
        <v>42</v>
      </c>
      <c r="P134" s="50" t="s">
        <v>43</v>
      </c>
      <c r="Q134" s="50" t="s">
        <v>36</v>
      </c>
      <c r="R134" s="50">
        <v>0</v>
      </c>
      <c r="S134" s="4" t="s">
        <v>43</v>
      </c>
    </row>
    <row r="135" spans="3:19" x14ac:dyDescent="0.25">
      <c r="C135" s="4" t="s">
        <v>491</v>
      </c>
      <c r="D135" s="4" t="s">
        <v>493</v>
      </c>
      <c r="E135" s="4" t="s">
        <v>493</v>
      </c>
      <c r="F135" s="4">
        <v>5</v>
      </c>
      <c r="G135" s="4" t="str">
        <f>VLOOKUP(C135,JUNIO!C134:G490,5,0)</f>
        <v>Abierta</v>
      </c>
      <c r="H135" s="4" t="s">
        <v>46</v>
      </c>
      <c r="I135" s="4" t="s">
        <v>1030</v>
      </c>
      <c r="J135" s="4" t="s">
        <v>466</v>
      </c>
      <c r="K135" s="4" t="s">
        <v>51</v>
      </c>
      <c r="L135" s="4" t="s">
        <v>40</v>
      </c>
      <c r="M135" s="4" t="s">
        <v>1035</v>
      </c>
      <c r="N135" s="4" t="s">
        <v>491</v>
      </c>
      <c r="O135" s="4" t="s">
        <v>42</v>
      </c>
      <c r="P135" s="50" t="s">
        <v>43</v>
      </c>
      <c r="Q135" s="50">
        <v>32578459.221978001</v>
      </c>
      <c r="R135" s="50" t="s">
        <v>467</v>
      </c>
      <c r="S135" s="4" t="s">
        <v>43</v>
      </c>
    </row>
    <row r="136" spans="3:19" x14ac:dyDescent="0.25">
      <c r="C136" s="4" t="s">
        <v>494</v>
      </c>
      <c r="D136" s="4" t="s">
        <v>495</v>
      </c>
      <c r="E136" s="4" t="s">
        <v>496</v>
      </c>
      <c r="F136" s="4">
        <v>5</v>
      </c>
      <c r="G136" s="4" t="str">
        <f>VLOOKUP(C136,JUNIO!C135:G491,5,0)</f>
        <v>TRANSFORMACION</v>
      </c>
      <c r="H136" s="4" t="s">
        <v>46</v>
      </c>
      <c r="I136" s="4" t="s">
        <v>1030</v>
      </c>
      <c r="J136" s="4" t="s">
        <v>466</v>
      </c>
      <c r="K136" s="4" t="s">
        <v>51</v>
      </c>
      <c r="L136" s="4" t="s">
        <v>40</v>
      </c>
      <c r="M136" s="4" t="s">
        <v>1035</v>
      </c>
      <c r="N136" s="4" t="s">
        <v>494</v>
      </c>
      <c r="O136" s="4" t="s">
        <v>42</v>
      </c>
      <c r="P136" s="50" t="s">
        <v>43</v>
      </c>
      <c r="Q136" s="50">
        <v>15202161.018363697</v>
      </c>
      <c r="R136" s="50" t="s">
        <v>467</v>
      </c>
      <c r="S136" s="4" t="s">
        <v>43</v>
      </c>
    </row>
    <row r="137" spans="3:19" x14ac:dyDescent="0.25">
      <c r="C137" s="4" t="s">
        <v>542</v>
      </c>
      <c r="D137" s="4" t="s">
        <v>543</v>
      </c>
      <c r="E137" s="4" t="s">
        <v>543</v>
      </c>
      <c r="F137" s="4">
        <v>6</v>
      </c>
      <c r="G137" s="4" t="str">
        <f>VLOOKUP(C137,JUNIO!C136:G492,5,0)</f>
        <v>Abierta</v>
      </c>
      <c r="H137" s="4" t="s">
        <v>46</v>
      </c>
      <c r="I137" s="4" t="s">
        <v>1030</v>
      </c>
      <c r="J137" s="4" t="s">
        <v>100</v>
      </c>
      <c r="K137" s="4" t="s">
        <v>138</v>
      </c>
      <c r="L137" s="4" t="s">
        <v>40</v>
      </c>
      <c r="M137" s="4" t="s">
        <v>514</v>
      </c>
      <c r="N137" s="4" t="s">
        <v>542</v>
      </c>
      <c r="O137" s="4" t="s">
        <v>42</v>
      </c>
      <c r="P137" s="50" t="s">
        <v>43</v>
      </c>
      <c r="Q137" s="50">
        <v>67339815.731249988</v>
      </c>
      <c r="R137" s="50" t="s">
        <v>515</v>
      </c>
      <c r="S137" s="4" t="s">
        <v>43</v>
      </c>
    </row>
    <row r="138" spans="3:19" x14ac:dyDescent="0.25">
      <c r="C138" s="4" t="s">
        <v>544</v>
      </c>
      <c r="D138" s="4" t="s">
        <v>545</v>
      </c>
      <c r="E138" s="4" t="s">
        <v>545</v>
      </c>
      <c r="F138" s="4">
        <v>5</v>
      </c>
      <c r="G138" s="4" t="str">
        <f>VLOOKUP(C138,JUNIO!C137:G493,5,0)</f>
        <v>Abierta</v>
      </c>
      <c r="H138" s="4" t="s">
        <v>46</v>
      </c>
      <c r="I138" s="4" t="s">
        <v>1030</v>
      </c>
      <c r="J138" s="4" t="s">
        <v>100</v>
      </c>
      <c r="K138" s="4" t="s">
        <v>138</v>
      </c>
      <c r="L138" s="4" t="s">
        <v>40</v>
      </c>
      <c r="M138" s="4" t="s">
        <v>514</v>
      </c>
      <c r="N138" s="4" t="s">
        <v>544</v>
      </c>
      <c r="O138" s="4" t="s">
        <v>42</v>
      </c>
      <c r="P138" s="50" t="s">
        <v>43</v>
      </c>
      <c r="Q138" s="50">
        <v>47192506.376535006</v>
      </c>
      <c r="R138" s="50" t="s">
        <v>515</v>
      </c>
      <c r="S138" s="4" t="s">
        <v>43</v>
      </c>
    </row>
    <row r="139" spans="3:19" x14ac:dyDescent="0.25">
      <c r="C139" s="4" t="s">
        <v>810</v>
      </c>
      <c r="D139" s="4" t="s">
        <v>811</v>
      </c>
      <c r="E139" s="4" t="s">
        <v>811</v>
      </c>
      <c r="F139" s="4">
        <v>5</v>
      </c>
      <c r="G139" s="4" t="str">
        <f>VLOOKUP(C139,JUNIO!C138:G494,5,0)</f>
        <v>Abierta</v>
      </c>
      <c r="H139" s="4" t="s">
        <v>46</v>
      </c>
      <c r="I139" s="4" t="s">
        <v>1030</v>
      </c>
      <c r="J139" s="4" t="s">
        <v>146</v>
      </c>
      <c r="K139" s="4" t="s">
        <v>59</v>
      </c>
      <c r="L139" s="4" t="s">
        <v>40</v>
      </c>
      <c r="M139" s="4" t="s">
        <v>1035</v>
      </c>
      <c r="N139" s="4" t="s">
        <v>810</v>
      </c>
      <c r="O139" s="4" t="s">
        <v>42</v>
      </c>
      <c r="P139" s="50" t="s">
        <v>43</v>
      </c>
      <c r="Q139" s="50">
        <v>43969835.223545223</v>
      </c>
      <c r="R139" s="50" t="s">
        <v>799</v>
      </c>
      <c r="S139" s="4" t="s">
        <v>43</v>
      </c>
    </row>
    <row r="140" spans="3:19" x14ac:dyDescent="0.25">
      <c r="C140" s="4" t="s">
        <v>79</v>
      </c>
      <c r="D140" s="4" t="s">
        <v>80</v>
      </c>
      <c r="E140" s="4" t="s">
        <v>80</v>
      </c>
      <c r="F140" s="4" t="s">
        <v>36</v>
      </c>
      <c r="G140" s="4" t="str">
        <f>VLOOKUP(C140,JUNIO!C139:G495,5,0)</f>
        <v>CIERRE DEFINITIVO</v>
      </c>
      <c r="H140" s="4" t="s">
        <v>81</v>
      </c>
      <c r="I140" s="4" t="s">
        <v>1030</v>
      </c>
      <c r="J140" s="4">
        <v>0</v>
      </c>
      <c r="K140" s="4" t="s">
        <v>59</v>
      </c>
      <c r="L140" s="4" t="s">
        <v>40</v>
      </c>
      <c r="M140" s="4">
        <v>0</v>
      </c>
      <c r="N140" s="4" t="s">
        <v>79</v>
      </c>
      <c r="O140" s="4" t="s">
        <v>42</v>
      </c>
      <c r="P140" s="50" t="s">
        <v>43</v>
      </c>
      <c r="Q140" s="50" t="s">
        <v>36</v>
      </c>
      <c r="R140" s="50">
        <v>0</v>
      </c>
      <c r="S140" s="4" t="s">
        <v>43</v>
      </c>
    </row>
    <row r="141" spans="3:19" x14ac:dyDescent="0.25">
      <c r="C141" s="4" t="s">
        <v>870</v>
      </c>
      <c r="D141" s="4" t="s">
        <v>871</v>
      </c>
      <c r="E141" s="4" t="s">
        <v>871</v>
      </c>
      <c r="F141" s="4">
        <v>5</v>
      </c>
      <c r="G141" s="4" t="str">
        <f>VLOOKUP(C141,JUNIO!C140:G496,5,0)</f>
        <v>Abierta</v>
      </c>
      <c r="H141" s="4" t="s">
        <v>46</v>
      </c>
      <c r="I141" s="4" t="s">
        <v>1030</v>
      </c>
      <c r="J141" s="4" t="s">
        <v>132</v>
      </c>
      <c r="K141" s="4" t="s">
        <v>856</v>
      </c>
      <c r="L141" s="4" t="s">
        <v>40</v>
      </c>
      <c r="M141" s="4" t="s">
        <v>1035</v>
      </c>
      <c r="N141" s="4" t="s">
        <v>870</v>
      </c>
      <c r="O141" s="4" t="s">
        <v>42</v>
      </c>
      <c r="P141" s="50" t="s">
        <v>43</v>
      </c>
      <c r="Q141" s="50">
        <v>46660960.165050007</v>
      </c>
      <c r="R141" s="50" t="s">
        <v>847</v>
      </c>
      <c r="S141" s="4" t="s">
        <v>43</v>
      </c>
    </row>
    <row r="142" spans="3:19" x14ac:dyDescent="0.25">
      <c r="C142" s="4">
        <v>50096</v>
      </c>
      <c r="D142" s="4" t="s">
        <v>683</v>
      </c>
      <c r="E142" s="4" t="s">
        <v>684</v>
      </c>
      <c r="F142" s="4">
        <v>5</v>
      </c>
      <c r="G142" s="4" t="str">
        <f>VLOOKUP(C142,JUNIO!C141:G497,5,0)</f>
        <v>Abierta</v>
      </c>
      <c r="H142" s="4" t="s">
        <v>81</v>
      </c>
      <c r="I142" s="4" t="s">
        <v>1030</v>
      </c>
      <c r="J142" s="4" t="s">
        <v>248</v>
      </c>
      <c r="K142" s="4" t="s">
        <v>51</v>
      </c>
      <c r="L142" s="4" t="s">
        <v>40</v>
      </c>
      <c r="M142" s="4" t="s">
        <v>984</v>
      </c>
      <c r="N142" s="4">
        <v>50096</v>
      </c>
      <c r="O142" s="4" t="s">
        <v>42</v>
      </c>
      <c r="P142" s="50" t="s">
        <v>43</v>
      </c>
      <c r="Q142" s="50">
        <v>43245499.815000005</v>
      </c>
      <c r="R142" s="50" t="s">
        <v>51</v>
      </c>
      <c r="S142" s="4" t="s">
        <v>43</v>
      </c>
    </row>
    <row r="143" spans="3:19" x14ac:dyDescent="0.25">
      <c r="C143" s="4">
        <v>50724</v>
      </c>
      <c r="D143" s="4" t="s">
        <v>900</v>
      </c>
      <c r="E143" s="4" t="s">
        <v>900</v>
      </c>
      <c r="F143" s="4">
        <v>5</v>
      </c>
      <c r="G143" s="4" t="str">
        <f>VLOOKUP(C143,JUNIO!C142:G498,5,0)</f>
        <v>Abierta</v>
      </c>
      <c r="H143" s="4" t="s">
        <v>46</v>
      </c>
      <c r="I143" s="4" t="s">
        <v>1030</v>
      </c>
      <c r="J143" s="4" t="s">
        <v>73</v>
      </c>
      <c r="K143" s="4" t="s">
        <v>609</v>
      </c>
      <c r="L143" s="4" t="s">
        <v>40</v>
      </c>
      <c r="M143" s="4" t="s">
        <v>514</v>
      </c>
      <c r="N143" s="4">
        <v>50724</v>
      </c>
      <c r="O143" s="4" t="s">
        <v>42</v>
      </c>
      <c r="P143" s="50" t="s">
        <v>43</v>
      </c>
      <c r="Q143" s="50">
        <v>36113299.151884921</v>
      </c>
      <c r="R143" s="50" t="s">
        <v>886</v>
      </c>
      <c r="S143" s="4" t="s">
        <v>43</v>
      </c>
    </row>
    <row r="144" spans="3:19" x14ac:dyDescent="0.25">
      <c r="C144" s="4">
        <v>50863</v>
      </c>
      <c r="D144" s="4" t="s">
        <v>901</v>
      </c>
      <c r="E144" s="4" t="s">
        <v>902</v>
      </c>
      <c r="F144" s="4">
        <v>5</v>
      </c>
      <c r="G144" s="4" t="str">
        <f>VLOOKUP(C144,JUNIO!C143:G499,5,0)</f>
        <v>Abierta</v>
      </c>
      <c r="H144" s="4" t="s">
        <v>81</v>
      </c>
      <c r="I144" s="4" t="s">
        <v>1030</v>
      </c>
      <c r="J144" s="4" t="s">
        <v>73</v>
      </c>
      <c r="K144" s="4" t="s">
        <v>364</v>
      </c>
      <c r="L144" s="4" t="s">
        <v>40</v>
      </c>
      <c r="M144" s="4" t="s">
        <v>514</v>
      </c>
      <c r="N144" s="4">
        <v>50863</v>
      </c>
      <c r="O144" s="4" t="s">
        <v>42</v>
      </c>
      <c r="P144" s="50" t="s">
        <v>43</v>
      </c>
      <c r="Q144" s="50">
        <v>54845237.003642999</v>
      </c>
      <c r="R144" s="50" t="s">
        <v>886</v>
      </c>
      <c r="S144" s="4" t="s">
        <v>43</v>
      </c>
    </row>
    <row r="145" spans="3:19" x14ac:dyDescent="0.25">
      <c r="C145" s="4" t="s">
        <v>82</v>
      </c>
      <c r="D145" s="4" t="s">
        <v>83</v>
      </c>
      <c r="E145" s="4" t="s">
        <v>83</v>
      </c>
      <c r="F145" s="4" t="s">
        <v>36</v>
      </c>
      <c r="G145" s="4" t="str">
        <f>VLOOKUP(C145,JUNIO!C144:G500,5,0)</f>
        <v>CIERRE DEFINITIVO</v>
      </c>
      <c r="H145" s="4" t="s">
        <v>81</v>
      </c>
      <c r="I145" s="4" t="s">
        <v>1030</v>
      </c>
      <c r="J145" s="4" t="s">
        <v>84</v>
      </c>
      <c r="K145" s="4" t="s">
        <v>85</v>
      </c>
      <c r="L145" s="4" t="s">
        <v>55</v>
      </c>
      <c r="M145" s="4">
        <v>0</v>
      </c>
      <c r="N145" s="4" t="s">
        <v>82</v>
      </c>
      <c r="O145" s="4" t="s">
        <v>42</v>
      </c>
      <c r="P145" s="50" t="s">
        <v>43</v>
      </c>
      <c r="Q145" s="50" t="s">
        <v>36</v>
      </c>
      <c r="R145" s="50">
        <v>0</v>
      </c>
      <c r="S145" s="4" t="s">
        <v>43</v>
      </c>
    </row>
    <row r="146" spans="3:19" x14ac:dyDescent="0.25">
      <c r="C146" s="4" t="s">
        <v>86</v>
      </c>
      <c r="D146" s="4" t="s">
        <v>87</v>
      </c>
      <c r="E146" s="4" t="s">
        <v>87</v>
      </c>
      <c r="F146" s="4" t="s">
        <v>36</v>
      </c>
      <c r="G146" s="4" t="str">
        <f>VLOOKUP(C146,JUNIO!C145:G501,5,0)</f>
        <v>CIERRE DEFINITIVO</v>
      </c>
      <c r="H146" s="4" t="s">
        <v>88</v>
      </c>
      <c r="I146" s="4" t="s">
        <v>1030</v>
      </c>
      <c r="J146" s="4" t="s">
        <v>89</v>
      </c>
      <c r="K146" s="4" t="s">
        <v>90</v>
      </c>
      <c r="L146" s="4" t="s">
        <v>91</v>
      </c>
      <c r="M146" s="4">
        <v>0</v>
      </c>
      <c r="N146" s="4" t="s">
        <v>86</v>
      </c>
      <c r="O146" s="4" t="s">
        <v>42</v>
      </c>
      <c r="P146" s="50" t="s">
        <v>43</v>
      </c>
      <c r="Q146" s="50" t="s">
        <v>36</v>
      </c>
      <c r="R146" s="50">
        <v>0</v>
      </c>
      <c r="S146" s="4" t="s">
        <v>43</v>
      </c>
    </row>
    <row r="147" spans="3:19" x14ac:dyDescent="0.25">
      <c r="C147" s="4" t="s">
        <v>576</v>
      </c>
      <c r="D147" s="4" t="s">
        <v>577</v>
      </c>
      <c r="E147" s="4" t="s">
        <v>577</v>
      </c>
      <c r="F147" s="4">
        <v>5</v>
      </c>
      <c r="G147" s="4" t="str">
        <f>VLOOKUP(C147,JUNIO!C146:G502,5,0)</f>
        <v>Abierta</v>
      </c>
      <c r="H147" s="4" t="s">
        <v>46</v>
      </c>
      <c r="I147" s="4" t="s">
        <v>1030</v>
      </c>
      <c r="J147" s="4" t="s">
        <v>331</v>
      </c>
      <c r="K147" s="4" t="s">
        <v>138</v>
      </c>
      <c r="L147" s="4" t="s">
        <v>40</v>
      </c>
      <c r="M147" s="4" t="s">
        <v>984</v>
      </c>
      <c r="N147" s="4" t="s">
        <v>576</v>
      </c>
      <c r="O147" s="4" t="s">
        <v>42</v>
      </c>
      <c r="P147" s="50" t="s">
        <v>43</v>
      </c>
      <c r="Q147" s="50">
        <v>54237283.014805198</v>
      </c>
      <c r="R147" s="50" t="s">
        <v>557</v>
      </c>
      <c r="S147" s="4" t="s">
        <v>43</v>
      </c>
    </row>
    <row r="148" spans="3:19" x14ac:dyDescent="0.25">
      <c r="C148" s="4" t="s">
        <v>92</v>
      </c>
      <c r="D148" s="4" t="s">
        <v>93</v>
      </c>
      <c r="E148" s="4" t="s">
        <v>93</v>
      </c>
      <c r="F148" s="4" t="s">
        <v>36</v>
      </c>
      <c r="G148" s="4" t="str">
        <f>VLOOKUP(C148,JUNIO!C147:G503,5,0)</f>
        <v>CIERRE DEFINITIVO</v>
      </c>
      <c r="H148" s="4" t="s">
        <v>81</v>
      </c>
      <c r="I148" s="4" t="s">
        <v>1030</v>
      </c>
      <c r="J148" s="4" t="s">
        <v>94</v>
      </c>
      <c r="K148" s="4" t="s">
        <v>64</v>
      </c>
      <c r="L148" s="4" t="s">
        <v>40</v>
      </c>
      <c r="M148" s="4">
        <v>0</v>
      </c>
      <c r="N148" s="4" t="s">
        <v>92</v>
      </c>
      <c r="O148" s="4" t="s">
        <v>42</v>
      </c>
      <c r="P148" s="50" t="s">
        <v>43</v>
      </c>
      <c r="Q148" s="50" t="s">
        <v>36</v>
      </c>
      <c r="R148" s="50">
        <v>0</v>
      </c>
      <c r="S148" s="4" t="s">
        <v>43</v>
      </c>
    </row>
    <row r="149" spans="3:19" x14ac:dyDescent="0.25">
      <c r="C149" s="4" t="s">
        <v>782</v>
      </c>
      <c r="D149" s="4" t="s">
        <v>783</v>
      </c>
      <c r="E149" s="4" t="s">
        <v>783</v>
      </c>
      <c r="F149" s="4">
        <v>5</v>
      </c>
      <c r="G149" s="4" t="str">
        <f>VLOOKUP(C149,JUNIO!C148:G504,5,0)</f>
        <v>Abierta</v>
      </c>
      <c r="H149" s="4" t="s">
        <v>81</v>
      </c>
      <c r="I149" s="4" t="s">
        <v>1031</v>
      </c>
      <c r="J149" s="4" t="s">
        <v>89</v>
      </c>
      <c r="K149" s="4" t="s">
        <v>103</v>
      </c>
      <c r="L149" s="4" t="s">
        <v>104</v>
      </c>
      <c r="M149" s="4" t="s">
        <v>378</v>
      </c>
      <c r="N149" s="4" t="s">
        <v>782</v>
      </c>
      <c r="O149" s="4" t="s">
        <v>42</v>
      </c>
      <c r="P149" s="50" t="s">
        <v>43</v>
      </c>
      <c r="Q149" s="50">
        <v>30427951.652082007</v>
      </c>
      <c r="R149" s="50" t="s">
        <v>772</v>
      </c>
      <c r="S149" s="4" t="s">
        <v>43</v>
      </c>
    </row>
    <row r="150" spans="3:19" x14ac:dyDescent="0.25">
      <c r="C150" s="4" t="s">
        <v>95</v>
      </c>
      <c r="D150" s="4" t="s">
        <v>96</v>
      </c>
      <c r="E150" s="4" t="s">
        <v>96</v>
      </c>
      <c r="F150" s="4" t="s">
        <v>36</v>
      </c>
      <c r="G150" s="4" t="str">
        <f>VLOOKUP(C150,JUNIO!C149:G505,5,0)</f>
        <v>CIERRE DEFINITIVO</v>
      </c>
      <c r="H150" s="4" t="s">
        <v>81</v>
      </c>
      <c r="I150" s="4" t="s">
        <v>1030</v>
      </c>
      <c r="J150" s="4">
        <v>0</v>
      </c>
      <c r="K150" s="4" t="s">
        <v>97</v>
      </c>
      <c r="L150" s="4" t="s">
        <v>40</v>
      </c>
      <c r="M150" s="4">
        <v>0</v>
      </c>
      <c r="N150" s="4" t="s">
        <v>95</v>
      </c>
      <c r="O150" s="4" t="s">
        <v>42</v>
      </c>
      <c r="P150" s="50" t="s">
        <v>43</v>
      </c>
      <c r="Q150" s="50" t="s">
        <v>36</v>
      </c>
      <c r="R150" s="50">
        <v>0</v>
      </c>
      <c r="S150" s="4" t="s">
        <v>43</v>
      </c>
    </row>
    <row r="151" spans="3:19" x14ac:dyDescent="0.25">
      <c r="C151" s="4" t="s">
        <v>98</v>
      </c>
      <c r="D151" s="4" t="s">
        <v>99</v>
      </c>
      <c r="E151" s="4" t="s">
        <v>99</v>
      </c>
      <c r="F151" s="4" t="s">
        <v>36</v>
      </c>
      <c r="G151" s="4" t="str">
        <f>VLOOKUP(C151,JUNIO!C150:G506,5,0)</f>
        <v>CIERRE DEFINITIVO</v>
      </c>
      <c r="H151" s="4" t="s">
        <v>81</v>
      </c>
      <c r="I151" s="4" t="s">
        <v>1030</v>
      </c>
      <c r="J151" s="4" t="s">
        <v>100</v>
      </c>
      <c r="K151" s="4" t="s">
        <v>59</v>
      </c>
      <c r="L151" s="4" t="s">
        <v>40</v>
      </c>
      <c r="M151" s="4">
        <v>0</v>
      </c>
      <c r="N151" s="4" t="s">
        <v>98</v>
      </c>
      <c r="O151" s="4" t="s">
        <v>42</v>
      </c>
      <c r="P151" s="50" t="s">
        <v>43</v>
      </c>
      <c r="Q151" s="50" t="s">
        <v>36</v>
      </c>
      <c r="R151" s="50">
        <v>0</v>
      </c>
      <c r="S151" s="4" t="s">
        <v>43</v>
      </c>
    </row>
    <row r="152" spans="3:19" x14ac:dyDescent="0.25">
      <c r="C152" s="4" t="s">
        <v>712</v>
      </c>
      <c r="D152" s="4" t="s">
        <v>713</v>
      </c>
      <c r="E152" s="4" t="s">
        <v>713</v>
      </c>
      <c r="F152" s="4">
        <v>5</v>
      </c>
      <c r="G152" s="4" t="str">
        <f>VLOOKUP(C152,JUNIO!C151:G507,5,0)</f>
        <v>Abierta</v>
      </c>
      <c r="H152" s="4" t="s">
        <v>46</v>
      </c>
      <c r="I152" s="4" t="s">
        <v>1031</v>
      </c>
      <c r="J152" s="4" t="s">
        <v>84</v>
      </c>
      <c r="K152" s="4" t="s">
        <v>54</v>
      </c>
      <c r="L152" s="4" t="s">
        <v>55</v>
      </c>
      <c r="M152" s="4" t="s">
        <v>378</v>
      </c>
      <c r="N152" s="4" t="s">
        <v>712</v>
      </c>
      <c r="O152" s="4" t="s">
        <v>42</v>
      </c>
      <c r="P152" s="50" t="s">
        <v>43</v>
      </c>
      <c r="Q152" s="50">
        <v>32250019.965149995</v>
      </c>
      <c r="R152" s="50" t="s">
        <v>702</v>
      </c>
      <c r="S152" s="4" t="s">
        <v>43</v>
      </c>
    </row>
    <row r="153" spans="3:19" x14ac:dyDescent="0.25">
      <c r="C153" s="4" t="s">
        <v>101</v>
      </c>
      <c r="D153" s="4" t="s">
        <v>102</v>
      </c>
      <c r="E153" s="4" t="s">
        <v>102</v>
      </c>
      <c r="F153" s="4" t="s">
        <v>36</v>
      </c>
      <c r="G153" s="4" t="str">
        <f>VLOOKUP(C153,JUNIO!C152:G508,5,0)</f>
        <v>CIERRE DEFINITIVO</v>
      </c>
      <c r="H153" s="4" t="s">
        <v>81</v>
      </c>
      <c r="I153" s="4" t="s">
        <v>1030</v>
      </c>
      <c r="J153" s="4" t="s">
        <v>73</v>
      </c>
      <c r="K153" s="4" t="s">
        <v>103</v>
      </c>
      <c r="L153" s="4" t="s">
        <v>104</v>
      </c>
      <c r="M153" s="4">
        <v>0</v>
      </c>
      <c r="N153" s="4" t="s">
        <v>101</v>
      </c>
      <c r="O153" s="4" t="s">
        <v>42</v>
      </c>
      <c r="P153" s="50" t="s">
        <v>43</v>
      </c>
      <c r="Q153" s="50" t="s">
        <v>36</v>
      </c>
      <c r="R153" s="50">
        <v>0</v>
      </c>
      <c r="S153" s="4" t="s">
        <v>43</v>
      </c>
    </row>
    <row r="154" spans="3:19" x14ac:dyDescent="0.25">
      <c r="C154" s="4" t="s">
        <v>105</v>
      </c>
      <c r="D154" s="4" t="s">
        <v>106</v>
      </c>
      <c r="E154" s="4" t="s">
        <v>106</v>
      </c>
      <c r="F154" s="4" t="s">
        <v>36</v>
      </c>
      <c r="G154" s="4" t="str">
        <f>VLOOKUP(C154,JUNIO!C153:G509,5,0)</f>
        <v>CIERRE DEFINITIVO</v>
      </c>
      <c r="H154" s="4" t="s">
        <v>81</v>
      </c>
      <c r="I154" s="4" t="s">
        <v>1030</v>
      </c>
      <c r="J154" s="4" t="s">
        <v>100</v>
      </c>
      <c r="K154" s="4" t="s">
        <v>59</v>
      </c>
      <c r="L154" s="4" t="s">
        <v>40</v>
      </c>
      <c r="M154" s="4">
        <v>0</v>
      </c>
      <c r="N154" s="4" t="s">
        <v>105</v>
      </c>
      <c r="O154" s="4" t="s">
        <v>42</v>
      </c>
      <c r="P154" s="50" t="s">
        <v>43</v>
      </c>
      <c r="Q154" s="50" t="s">
        <v>36</v>
      </c>
      <c r="R154" s="50">
        <v>0</v>
      </c>
      <c r="S154" s="4" t="s">
        <v>43</v>
      </c>
    </row>
    <row r="155" spans="3:19" x14ac:dyDescent="0.25">
      <c r="C155" s="4" t="s">
        <v>903</v>
      </c>
      <c r="D155" s="4" t="s">
        <v>904</v>
      </c>
      <c r="E155" s="4" t="s">
        <v>904</v>
      </c>
      <c r="F155" s="4">
        <v>5</v>
      </c>
      <c r="G155" s="4" t="str">
        <f>VLOOKUP(C155,JUNIO!C154:G510,5,0)</f>
        <v>Abierta</v>
      </c>
      <c r="H155" s="4" t="s">
        <v>46</v>
      </c>
      <c r="I155" s="4" t="s">
        <v>1030</v>
      </c>
      <c r="J155" s="4" t="s">
        <v>73</v>
      </c>
      <c r="K155" s="4" t="s">
        <v>47</v>
      </c>
      <c r="L155" s="4" t="s">
        <v>40</v>
      </c>
      <c r="M155" s="4" t="s">
        <v>514</v>
      </c>
      <c r="N155" s="4" t="s">
        <v>903</v>
      </c>
      <c r="O155" s="4" t="s">
        <v>42</v>
      </c>
      <c r="P155" s="50" t="s">
        <v>43</v>
      </c>
      <c r="Q155" s="50">
        <v>35151936.131596901</v>
      </c>
      <c r="R155" s="50" t="s">
        <v>886</v>
      </c>
      <c r="S155" s="4" t="s">
        <v>43</v>
      </c>
    </row>
    <row r="156" spans="3:19" x14ac:dyDescent="0.25">
      <c r="C156" s="4" t="s">
        <v>107</v>
      </c>
      <c r="D156" s="4" t="s">
        <v>108</v>
      </c>
      <c r="E156" s="4" t="s">
        <v>108</v>
      </c>
      <c r="F156" s="4" t="s">
        <v>36</v>
      </c>
      <c r="G156" s="4" t="str">
        <f>VLOOKUP(C156,JUNIO!C155:G511,5,0)</f>
        <v>CIERRE DEFINITIVO</v>
      </c>
      <c r="H156" s="4" t="s">
        <v>81</v>
      </c>
      <c r="I156" s="4" t="s">
        <v>1030</v>
      </c>
      <c r="J156" s="4" t="s">
        <v>89</v>
      </c>
      <c r="K156" s="4" t="s">
        <v>109</v>
      </c>
      <c r="L156" s="4" t="s">
        <v>91</v>
      </c>
      <c r="M156" s="4">
        <v>0</v>
      </c>
      <c r="N156" s="4" t="s">
        <v>107</v>
      </c>
      <c r="O156" s="4" t="s">
        <v>42</v>
      </c>
      <c r="P156" s="50" t="s">
        <v>43</v>
      </c>
      <c r="Q156" s="50" t="s">
        <v>36</v>
      </c>
      <c r="R156" s="50" t="s">
        <v>772</v>
      </c>
      <c r="S156" s="4" t="s">
        <v>43</v>
      </c>
    </row>
    <row r="157" spans="3:19" x14ac:dyDescent="0.25">
      <c r="C157" s="4" t="s">
        <v>110</v>
      </c>
      <c r="D157" s="4" t="s">
        <v>111</v>
      </c>
      <c r="E157" s="4" t="s">
        <v>111</v>
      </c>
      <c r="F157" s="4" t="s">
        <v>36</v>
      </c>
      <c r="G157" s="4" t="str">
        <f>VLOOKUP(C157,JUNIO!C156:G512,5,0)</f>
        <v>CIERRE DEFINITIVO</v>
      </c>
      <c r="H157" s="4" t="s">
        <v>81</v>
      </c>
      <c r="I157" s="4" t="s">
        <v>1030</v>
      </c>
      <c r="J157" s="4" t="s">
        <v>58</v>
      </c>
      <c r="K157" s="4" t="s">
        <v>59</v>
      </c>
      <c r="L157" s="4" t="s">
        <v>40</v>
      </c>
      <c r="M157" s="4">
        <v>0</v>
      </c>
      <c r="N157" s="4" t="s">
        <v>110</v>
      </c>
      <c r="O157" s="4" t="s">
        <v>42</v>
      </c>
      <c r="P157" s="50" t="s">
        <v>43</v>
      </c>
      <c r="Q157" s="50" t="s">
        <v>36</v>
      </c>
      <c r="R157" s="50">
        <v>0</v>
      </c>
      <c r="S157" s="4" t="s">
        <v>43</v>
      </c>
    </row>
    <row r="158" spans="3:19" x14ac:dyDescent="0.25">
      <c r="C158" s="4" t="s">
        <v>112</v>
      </c>
      <c r="D158" s="4" t="s">
        <v>113</v>
      </c>
      <c r="E158" s="4" t="s">
        <v>114</v>
      </c>
      <c r="F158" s="4" t="s">
        <v>36</v>
      </c>
      <c r="G158" s="4" t="str">
        <f>VLOOKUP(C158,JUNIO!C157:G513,5,0)</f>
        <v>CIERRE DEFINITIVO</v>
      </c>
      <c r="H158" s="4" t="s">
        <v>81</v>
      </c>
      <c r="I158" s="4" t="s">
        <v>1031</v>
      </c>
      <c r="J158" s="4" t="s">
        <v>73</v>
      </c>
      <c r="K158" s="4" t="s">
        <v>115</v>
      </c>
      <c r="L158" s="4" t="s">
        <v>116</v>
      </c>
      <c r="M158" s="4">
        <v>0</v>
      </c>
      <c r="N158" s="4" t="s">
        <v>112</v>
      </c>
      <c r="O158" s="4" t="s">
        <v>42</v>
      </c>
      <c r="P158" s="50" t="s">
        <v>43</v>
      </c>
      <c r="Q158" s="50" t="s">
        <v>36</v>
      </c>
      <c r="R158" s="50">
        <v>0</v>
      </c>
      <c r="S158" s="4" t="s">
        <v>43</v>
      </c>
    </row>
    <row r="159" spans="3:19" x14ac:dyDescent="0.25">
      <c r="C159" s="4" t="s">
        <v>905</v>
      </c>
      <c r="D159" s="4" t="s">
        <v>906</v>
      </c>
      <c r="E159" s="4" t="s">
        <v>906</v>
      </c>
      <c r="F159" s="4">
        <v>5</v>
      </c>
      <c r="G159" s="4" t="str">
        <f>VLOOKUP(C159,JUNIO!C158:G514,5,0)</f>
        <v>Abierta</v>
      </c>
      <c r="H159" s="4" t="s">
        <v>81</v>
      </c>
      <c r="I159" s="4" t="s">
        <v>1030</v>
      </c>
      <c r="J159" s="4" t="s">
        <v>73</v>
      </c>
      <c r="K159" s="4" t="s">
        <v>907</v>
      </c>
      <c r="L159" s="4" t="s">
        <v>40</v>
      </c>
      <c r="M159" s="4" t="s">
        <v>514</v>
      </c>
      <c r="N159" s="4" t="s">
        <v>905</v>
      </c>
      <c r="O159" s="4" t="s">
        <v>42</v>
      </c>
      <c r="P159" s="50" t="s">
        <v>43</v>
      </c>
      <c r="Q159" s="50">
        <v>41053551.179887503</v>
      </c>
      <c r="R159" s="50" t="s">
        <v>886</v>
      </c>
      <c r="S159" s="4" t="s">
        <v>43</v>
      </c>
    </row>
    <row r="160" spans="3:19" x14ac:dyDescent="0.25">
      <c r="C160" s="4" t="s">
        <v>685</v>
      </c>
      <c r="D160" s="4" t="s">
        <v>686</v>
      </c>
      <c r="E160" s="4" t="s">
        <v>686</v>
      </c>
      <c r="F160" s="4">
        <v>5</v>
      </c>
      <c r="G160" s="4" t="str">
        <f>VLOOKUP(C160,JUNIO!C159:G515,5,0)</f>
        <v>Abierta</v>
      </c>
      <c r="H160" s="4" t="s">
        <v>81</v>
      </c>
      <c r="I160" s="4" t="s">
        <v>1030</v>
      </c>
      <c r="J160" s="4" t="s">
        <v>248</v>
      </c>
      <c r="K160" s="4" t="s">
        <v>51</v>
      </c>
      <c r="L160" s="4" t="s">
        <v>40</v>
      </c>
      <c r="M160" s="4" t="s">
        <v>984</v>
      </c>
      <c r="N160" s="4" t="s">
        <v>685</v>
      </c>
      <c r="O160" s="4" t="s">
        <v>42</v>
      </c>
      <c r="P160" s="50" t="s">
        <v>43</v>
      </c>
      <c r="Q160" s="50">
        <v>29012096.069999997</v>
      </c>
      <c r="R160" s="50" t="s">
        <v>51</v>
      </c>
      <c r="S160" s="4" t="s">
        <v>440</v>
      </c>
    </row>
    <row r="161" spans="3:19" x14ac:dyDescent="0.25">
      <c r="C161" s="4" t="s">
        <v>960</v>
      </c>
      <c r="D161" s="4" t="s">
        <v>961</v>
      </c>
      <c r="E161" s="4" t="s">
        <v>961</v>
      </c>
      <c r="F161" s="4">
        <v>5</v>
      </c>
      <c r="G161" s="4" t="str">
        <f>VLOOKUP(C161,JUNIO!C160:G516,5,0)</f>
        <v>Abierta</v>
      </c>
      <c r="H161" s="4" t="s">
        <v>81</v>
      </c>
      <c r="I161" s="4" t="s">
        <v>1030</v>
      </c>
      <c r="J161" s="4" t="s">
        <v>160</v>
      </c>
      <c r="K161" s="4" t="s">
        <v>353</v>
      </c>
      <c r="L161" s="4" t="s">
        <v>40</v>
      </c>
      <c r="M161" s="4" t="s">
        <v>984</v>
      </c>
      <c r="N161" s="4" t="s">
        <v>960</v>
      </c>
      <c r="O161" s="4" t="s">
        <v>42</v>
      </c>
      <c r="P161" s="50" t="s">
        <v>43</v>
      </c>
      <c r="Q161" s="50">
        <v>44151968.120355003</v>
      </c>
      <c r="R161" s="50" t="s">
        <v>931</v>
      </c>
      <c r="S161" s="4" t="s">
        <v>43</v>
      </c>
    </row>
    <row r="162" spans="3:19" x14ac:dyDescent="0.25">
      <c r="C162" s="4" t="s">
        <v>754</v>
      </c>
      <c r="D162" s="4" t="s">
        <v>755</v>
      </c>
      <c r="E162" s="4" t="s">
        <v>755</v>
      </c>
      <c r="F162" s="4">
        <v>5</v>
      </c>
      <c r="G162" s="4" t="str">
        <f>VLOOKUP(C162,JUNIO!C161:G517,5,0)</f>
        <v>Abierta</v>
      </c>
      <c r="H162" s="4" t="s">
        <v>81</v>
      </c>
      <c r="I162" s="4" t="s">
        <v>1031</v>
      </c>
      <c r="J162" s="4" t="s">
        <v>84</v>
      </c>
      <c r="K162" s="4" t="s">
        <v>279</v>
      </c>
      <c r="L162" s="4" t="s">
        <v>55</v>
      </c>
      <c r="M162" s="4" t="s">
        <v>378</v>
      </c>
      <c r="N162" s="4" t="s">
        <v>754</v>
      </c>
      <c r="O162" s="4" t="s">
        <v>42</v>
      </c>
      <c r="P162" s="50" t="s">
        <v>43</v>
      </c>
      <c r="Q162" s="50">
        <v>41256719.206406996</v>
      </c>
      <c r="R162" s="50" t="s">
        <v>741</v>
      </c>
      <c r="S162" s="4" t="s">
        <v>43</v>
      </c>
    </row>
    <row r="163" spans="3:19" x14ac:dyDescent="0.25">
      <c r="C163" s="4" t="s">
        <v>872</v>
      </c>
      <c r="D163" s="4" t="s">
        <v>873</v>
      </c>
      <c r="E163" s="4" t="s">
        <v>874</v>
      </c>
      <c r="F163" s="4">
        <v>5</v>
      </c>
      <c r="G163" s="4" t="str">
        <f>VLOOKUP(C163,JUNIO!C162:G518,5,0)</f>
        <v>Abierta</v>
      </c>
      <c r="H163" s="4" t="s">
        <v>81</v>
      </c>
      <c r="I163" s="4" t="s">
        <v>1030</v>
      </c>
      <c r="J163" s="4" t="s">
        <v>132</v>
      </c>
      <c r="K163" s="4" t="s">
        <v>138</v>
      </c>
      <c r="L163" s="4" t="s">
        <v>40</v>
      </c>
      <c r="M163" s="4" t="s">
        <v>1035</v>
      </c>
      <c r="N163" s="4" t="s">
        <v>872</v>
      </c>
      <c r="O163" s="4" t="s">
        <v>42</v>
      </c>
      <c r="P163" s="50" t="s">
        <v>43</v>
      </c>
      <c r="Q163" s="50">
        <v>37193686.68508435</v>
      </c>
      <c r="R163" s="50" t="s">
        <v>847</v>
      </c>
      <c r="S163" s="4" t="s">
        <v>43</v>
      </c>
    </row>
    <row r="164" spans="3:19" x14ac:dyDescent="0.25">
      <c r="C164" s="4" t="s">
        <v>117</v>
      </c>
      <c r="D164" s="4" t="s">
        <v>118</v>
      </c>
      <c r="E164" s="4" t="s">
        <v>118</v>
      </c>
      <c r="F164" s="4" t="s">
        <v>36</v>
      </c>
      <c r="G164" s="4" t="str">
        <f>VLOOKUP(C164,JUNIO!C163:G519,5,0)</f>
        <v>CIERRE DEFINITIVO</v>
      </c>
      <c r="H164" s="4" t="s">
        <v>81</v>
      </c>
      <c r="I164" s="4" t="s">
        <v>1030</v>
      </c>
      <c r="J164" s="4">
        <v>0</v>
      </c>
      <c r="K164" s="4" t="s">
        <v>59</v>
      </c>
      <c r="L164" s="4" t="s">
        <v>40</v>
      </c>
      <c r="M164" s="4">
        <v>0</v>
      </c>
      <c r="N164" s="4" t="s">
        <v>117</v>
      </c>
      <c r="O164" s="4" t="s">
        <v>42</v>
      </c>
      <c r="P164" s="50" t="s">
        <v>43</v>
      </c>
      <c r="Q164" s="50" t="s">
        <v>36</v>
      </c>
      <c r="R164" s="50">
        <v>0</v>
      </c>
      <c r="S164" s="4" t="s">
        <v>43</v>
      </c>
    </row>
    <row r="165" spans="3:19" x14ac:dyDescent="0.25">
      <c r="C165" s="4" t="s">
        <v>594</v>
      </c>
      <c r="D165" s="4" t="s">
        <v>595</v>
      </c>
      <c r="E165" s="4" t="s">
        <v>595</v>
      </c>
      <c r="F165" s="4">
        <v>5</v>
      </c>
      <c r="G165" s="4" t="str">
        <f>VLOOKUP(C165,JUNIO!C164:G520,5,0)</f>
        <v>Abierta</v>
      </c>
      <c r="H165" s="4" t="s">
        <v>81</v>
      </c>
      <c r="I165" s="4" t="s">
        <v>1030</v>
      </c>
      <c r="J165" s="4" t="s">
        <v>50</v>
      </c>
      <c r="K165" s="4" t="s">
        <v>596</v>
      </c>
      <c r="L165" s="4" t="s">
        <v>40</v>
      </c>
      <c r="M165" s="4" t="s">
        <v>514</v>
      </c>
      <c r="N165" s="4" t="s">
        <v>594</v>
      </c>
      <c r="O165" s="4" t="s">
        <v>42</v>
      </c>
      <c r="P165" s="50" t="s">
        <v>43</v>
      </c>
      <c r="Q165" s="50">
        <v>36843257.909249999</v>
      </c>
      <c r="R165" s="50" t="s">
        <v>597</v>
      </c>
      <c r="S165" s="4" t="s">
        <v>440</v>
      </c>
    </row>
    <row r="166" spans="3:19" x14ac:dyDescent="0.25">
      <c r="C166" s="4" t="s">
        <v>119</v>
      </c>
      <c r="D166" s="4" t="s">
        <v>120</v>
      </c>
      <c r="E166" s="4" t="s">
        <v>120</v>
      </c>
      <c r="F166" s="4" t="s">
        <v>36</v>
      </c>
      <c r="G166" s="4" t="str">
        <f>VLOOKUP(C166,JUNIO!C165:G521,5,0)</f>
        <v>CIERRE DEFINITIVO</v>
      </c>
      <c r="H166" s="4" t="s">
        <v>81</v>
      </c>
      <c r="I166" s="4" t="s">
        <v>1030</v>
      </c>
      <c r="J166" s="4" t="s">
        <v>63</v>
      </c>
      <c r="K166" s="4" t="s">
        <v>64</v>
      </c>
      <c r="L166" s="4" t="s">
        <v>40</v>
      </c>
      <c r="M166" s="4">
        <v>0</v>
      </c>
      <c r="N166" s="4" t="s">
        <v>119</v>
      </c>
      <c r="O166" s="4" t="s">
        <v>42</v>
      </c>
      <c r="P166" s="50" t="s">
        <v>43</v>
      </c>
      <c r="Q166" s="50" t="s">
        <v>36</v>
      </c>
      <c r="R166" s="50">
        <v>0</v>
      </c>
      <c r="S166" s="4" t="s">
        <v>43</v>
      </c>
    </row>
    <row r="167" spans="3:19" x14ac:dyDescent="0.25">
      <c r="C167" s="4" t="s">
        <v>121</v>
      </c>
      <c r="D167" s="4" t="s">
        <v>122</v>
      </c>
      <c r="E167" s="4" t="s">
        <v>123</v>
      </c>
      <c r="F167" s="4" t="s">
        <v>36</v>
      </c>
      <c r="G167" s="4" t="str">
        <f>VLOOKUP(C167,JUNIO!C166:G522,5,0)</f>
        <v>CIERRE DEFINITIVO</v>
      </c>
      <c r="H167" s="4" t="s">
        <v>81</v>
      </c>
      <c r="I167" s="4" t="s">
        <v>1030</v>
      </c>
      <c r="J167" s="4" t="s">
        <v>73</v>
      </c>
      <c r="K167" s="4" t="s">
        <v>122</v>
      </c>
      <c r="L167" s="4" t="s">
        <v>104</v>
      </c>
      <c r="M167" s="4">
        <v>0</v>
      </c>
      <c r="N167" s="4" t="s">
        <v>121</v>
      </c>
      <c r="O167" s="4" t="s">
        <v>42</v>
      </c>
      <c r="P167" s="50" t="s">
        <v>43</v>
      </c>
      <c r="Q167" s="50" t="s">
        <v>36</v>
      </c>
      <c r="R167" s="50">
        <v>0</v>
      </c>
      <c r="S167" s="4" t="s">
        <v>43</v>
      </c>
    </row>
    <row r="168" spans="3:19" x14ac:dyDescent="0.25">
      <c r="C168" s="4" t="s">
        <v>124</v>
      </c>
      <c r="D168" s="4" t="s">
        <v>125</v>
      </c>
      <c r="E168" s="4" t="s">
        <v>125</v>
      </c>
      <c r="F168" s="4" t="s">
        <v>36</v>
      </c>
      <c r="G168" s="4" t="str">
        <f>VLOOKUP(C168,JUNIO!C167:G523,5,0)</f>
        <v>CIERRE DEFINITIVO</v>
      </c>
      <c r="H168" s="4" t="s">
        <v>81</v>
      </c>
      <c r="I168" s="4" t="s">
        <v>1030</v>
      </c>
      <c r="J168" s="4">
        <v>0</v>
      </c>
      <c r="K168" s="4" t="s">
        <v>51</v>
      </c>
      <c r="L168" s="4" t="s">
        <v>40</v>
      </c>
      <c r="M168" s="4">
        <v>0</v>
      </c>
      <c r="N168" s="4" t="s">
        <v>124</v>
      </c>
      <c r="O168" s="4" t="s">
        <v>42</v>
      </c>
      <c r="P168" s="50" t="s">
        <v>43</v>
      </c>
      <c r="Q168" s="50" t="s">
        <v>36</v>
      </c>
      <c r="R168" s="50">
        <v>0</v>
      </c>
      <c r="S168" s="4" t="s">
        <v>43</v>
      </c>
    </row>
    <row r="169" spans="3:19" x14ac:dyDescent="0.25">
      <c r="C169" s="4" t="s">
        <v>126</v>
      </c>
      <c r="D169" s="4" t="s">
        <v>127</v>
      </c>
      <c r="E169" s="4" t="s">
        <v>128</v>
      </c>
      <c r="F169" s="4" t="s">
        <v>36</v>
      </c>
      <c r="G169" s="4" t="str">
        <f>VLOOKUP(C169,JUNIO!C168:G524,5,0)</f>
        <v>CIERRE DEFINITIVO</v>
      </c>
      <c r="H169" s="4" t="s">
        <v>81</v>
      </c>
      <c r="I169" s="4" t="s">
        <v>1030</v>
      </c>
      <c r="J169" s="4" t="s">
        <v>73</v>
      </c>
      <c r="K169" s="4" t="s">
        <v>129</v>
      </c>
      <c r="L169" s="4" t="s">
        <v>116</v>
      </c>
      <c r="M169" s="4">
        <v>0</v>
      </c>
      <c r="N169" s="4" t="s">
        <v>126</v>
      </c>
      <c r="O169" s="4" t="s">
        <v>42</v>
      </c>
      <c r="P169" s="50" t="s">
        <v>43</v>
      </c>
      <c r="Q169" s="50" t="s">
        <v>36</v>
      </c>
      <c r="R169" s="50">
        <v>0</v>
      </c>
      <c r="S169" s="4" t="s">
        <v>43</v>
      </c>
    </row>
    <row r="170" spans="3:19" x14ac:dyDescent="0.25">
      <c r="C170" s="4" t="s">
        <v>546</v>
      </c>
      <c r="D170" s="4" t="s">
        <v>547</v>
      </c>
      <c r="E170" s="4" t="s">
        <v>547</v>
      </c>
      <c r="F170" s="4">
        <v>5</v>
      </c>
      <c r="G170" s="4" t="str">
        <f>VLOOKUP(C170,JUNIO!C169:G525,5,0)</f>
        <v>Abierta</v>
      </c>
      <c r="H170" s="4" t="s">
        <v>46</v>
      </c>
      <c r="I170" s="4" t="s">
        <v>1030</v>
      </c>
      <c r="J170" s="4" t="s">
        <v>100</v>
      </c>
      <c r="K170" s="4" t="s">
        <v>138</v>
      </c>
      <c r="L170" s="4" t="s">
        <v>40</v>
      </c>
      <c r="M170" s="4" t="s">
        <v>514</v>
      </c>
      <c r="N170" s="4" t="s">
        <v>546</v>
      </c>
      <c r="O170" s="4" t="s">
        <v>42</v>
      </c>
      <c r="P170" s="50" t="s">
        <v>43</v>
      </c>
      <c r="Q170" s="50">
        <v>31335435.756450005</v>
      </c>
      <c r="R170" s="50" t="s">
        <v>515</v>
      </c>
      <c r="S170" s="4" t="s">
        <v>43</v>
      </c>
    </row>
    <row r="171" spans="3:19" x14ac:dyDescent="0.25">
      <c r="C171" s="4" t="s">
        <v>130</v>
      </c>
      <c r="D171" s="4" t="s">
        <v>131</v>
      </c>
      <c r="E171" s="4" t="s">
        <v>131</v>
      </c>
      <c r="F171" s="4" t="s">
        <v>36</v>
      </c>
      <c r="G171" s="4" t="str">
        <f>VLOOKUP(C171,JUNIO!C170:G526,5,0)</f>
        <v>CIERRE DEFINITIVO</v>
      </c>
      <c r="H171" s="4" t="s">
        <v>81</v>
      </c>
      <c r="I171" s="4" t="s">
        <v>1030</v>
      </c>
      <c r="J171" s="4" t="s">
        <v>132</v>
      </c>
      <c r="K171" s="4" t="s">
        <v>133</v>
      </c>
      <c r="L171" s="4" t="s">
        <v>40</v>
      </c>
      <c r="M171" s="4">
        <v>0</v>
      </c>
      <c r="N171" s="4" t="s">
        <v>130</v>
      </c>
      <c r="O171" s="4" t="s">
        <v>42</v>
      </c>
      <c r="P171" s="50" t="s">
        <v>43</v>
      </c>
      <c r="Q171" s="50" t="s">
        <v>36</v>
      </c>
      <c r="R171" s="50">
        <v>0</v>
      </c>
      <c r="S171" s="4" t="s">
        <v>43</v>
      </c>
    </row>
    <row r="172" spans="3:19" x14ac:dyDescent="0.25">
      <c r="C172" s="4" t="s">
        <v>134</v>
      </c>
      <c r="D172" s="4" t="s">
        <v>135</v>
      </c>
      <c r="E172" s="4" t="s">
        <v>135</v>
      </c>
      <c r="F172" s="4" t="s">
        <v>36</v>
      </c>
      <c r="G172" s="4" t="str">
        <f>VLOOKUP(C172,JUNIO!C171:G527,5,0)</f>
        <v>CIERRE DEFINITIVO</v>
      </c>
      <c r="H172" s="4" t="s">
        <v>81</v>
      </c>
      <c r="I172" s="4" t="s">
        <v>1030</v>
      </c>
      <c r="J172" s="4" t="s">
        <v>132</v>
      </c>
      <c r="K172" s="4" t="s">
        <v>51</v>
      </c>
      <c r="L172" s="4" t="s">
        <v>40</v>
      </c>
      <c r="M172" s="4">
        <v>0</v>
      </c>
      <c r="N172" s="4" t="s">
        <v>134</v>
      </c>
      <c r="O172" s="4" t="s">
        <v>42</v>
      </c>
      <c r="P172" s="50" t="s">
        <v>43</v>
      </c>
      <c r="Q172" s="50" t="s">
        <v>36</v>
      </c>
      <c r="R172" s="50">
        <v>0</v>
      </c>
      <c r="S172" s="4" t="s">
        <v>43</v>
      </c>
    </row>
    <row r="173" spans="3:19" x14ac:dyDescent="0.25">
      <c r="C173" s="4" t="s">
        <v>136</v>
      </c>
      <c r="D173" s="4" t="s">
        <v>137</v>
      </c>
      <c r="E173" s="4" t="s">
        <v>137</v>
      </c>
      <c r="F173" s="4" t="s">
        <v>36</v>
      </c>
      <c r="G173" s="4" t="str">
        <f>VLOOKUP(C173,JUNIO!C172:G528,5,0)</f>
        <v>CIERRE DEFINITIVO</v>
      </c>
      <c r="H173" s="4" t="s">
        <v>88</v>
      </c>
      <c r="I173" s="4" t="s">
        <v>1030</v>
      </c>
      <c r="J173" s="4" t="s">
        <v>58</v>
      </c>
      <c r="K173" s="4" t="s">
        <v>138</v>
      </c>
      <c r="L173" s="4" t="s">
        <v>40</v>
      </c>
      <c r="M173" s="4">
        <v>0</v>
      </c>
      <c r="N173" s="4" t="s">
        <v>136</v>
      </c>
      <c r="O173" s="4" t="s">
        <v>42</v>
      </c>
      <c r="P173" s="50" t="s">
        <v>43</v>
      </c>
      <c r="Q173" s="50" t="s">
        <v>36</v>
      </c>
      <c r="R173" s="50">
        <v>0</v>
      </c>
      <c r="S173" s="4" t="s">
        <v>43</v>
      </c>
    </row>
    <row r="174" spans="3:19" x14ac:dyDescent="0.25">
      <c r="C174" s="4" t="s">
        <v>139</v>
      </c>
      <c r="D174" s="4" t="s">
        <v>140</v>
      </c>
      <c r="E174" s="4" t="s">
        <v>140</v>
      </c>
      <c r="F174" s="4" t="s">
        <v>36</v>
      </c>
      <c r="G174" s="4" t="str">
        <f>VLOOKUP(C174,JUNIO!C173:G529,5,0)</f>
        <v>CIERRE DEFINITIVO</v>
      </c>
      <c r="H174" s="4" t="s">
        <v>88</v>
      </c>
      <c r="I174" s="4" t="s">
        <v>1030</v>
      </c>
      <c r="J174" s="4" t="s">
        <v>89</v>
      </c>
      <c r="K174" s="4" t="s">
        <v>109</v>
      </c>
      <c r="L174" s="4" t="s">
        <v>91</v>
      </c>
      <c r="M174" s="4">
        <v>0</v>
      </c>
      <c r="N174" s="4" t="s">
        <v>139</v>
      </c>
      <c r="O174" s="4" t="s">
        <v>42</v>
      </c>
      <c r="P174" s="50" t="s">
        <v>43</v>
      </c>
      <c r="Q174" s="50" t="s">
        <v>36</v>
      </c>
      <c r="R174" s="50">
        <v>0</v>
      </c>
      <c r="S174" s="4" t="s">
        <v>43</v>
      </c>
    </row>
    <row r="175" spans="3:19" x14ac:dyDescent="0.25">
      <c r="C175" s="4" t="s">
        <v>411</v>
      </c>
      <c r="D175" s="4" t="s">
        <v>412</v>
      </c>
      <c r="E175" s="4" t="s">
        <v>412</v>
      </c>
      <c r="F175" s="4">
        <v>5</v>
      </c>
      <c r="G175" s="4" t="str">
        <f>VLOOKUP(C175,JUNIO!C174:G530,5,0)</f>
        <v>Abierta</v>
      </c>
      <c r="H175" s="4" t="s">
        <v>46</v>
      </c>
      <c r="I175" s="4" t="s">
        <v>1031</v>
      </c>
      <c r="J175" s="4" t="s">
        <v>63</v>
      </c>
      <c r="K175" s="4" t="s">
        <v>138</v>
      </c>
      <c r="L175" s="4" t="s">
        <v>40</v>
      </c>
      <c r="M175" s="4" t="s">
        <v>378</v>
      </c>
      <c r="N175" s="4" t="s">
        <v>411</v>
      </c>
      <c r="O175" s="4" t="s">
        <v>42</v>
      </c>
      <c r="P175" s="50" t="s">
        <v>440</v>
      </c>
      <c r="Q175" s="50">
        <v>40979740.160846345</v>
      </c>
      <c r="R175" s="50" t="s">
        <v>380</v>
      </c>
      <c r="S175" s="4" t="s">
        <v>43</v>
      </c>
    </row>
    <row r="176" spans="3:19" x14ac:dyDescent="0.25">
      <c r="C176" s="4" t="s">
        <v>578</v>
      </c>
      <c r="D176" s="4" t="s">
        <v>579</v>
      </c>
      <c r="E176" s="4" t="s">
        <v>579</v>
      </c>
      <c r="F176" s="4">
        <v>5</v>
      </c>
      <c r="G176" s="4" t="str">
        <f>VLOOKUP(C176,JUNIO!C175:G531,5,0)</f>
        <v>Abierta</v>
      </c>
      <c r="H176" s="4" t="s">
        <v>46</v>
      </c>
      <c r="I176" s="4" t="s">
        <v>1030</v>
      </c>
      <c r="J176" s="4" t="s">
        <v>331</v>
      </c>
      <c r="K176" s="4" t="s">
        <v>138</v>
      </c>
      <c r="L176" s="4" t="s">
        <v>40</v>
      </c>
      <c r="M176" s="4" t="s">
        <v>984</v>
      </c>
      <c r="N176" s="4" t="s">
        <v>578</v>
      </c>
      <c r="O176" s="4" t="s">
        <v>42</v>
      </c>
      <c r="P176" s="50" t="s">
        <v>43</v>
      </c>
      <c r="Q176" s="50">
        <v>38252014.335759595</v>
      </c>
      <c r="R176" s="50" t="s">
        <v>557</v>
      </c>
      <c r="S176" s="4" t="s">
        <v>43</v>
      </c>
    </row>
    <row r="177" spans="3:19" x14ac:dyDescent="0.25">
      <c r="C177" s="4" t="s">
        <v>908</v>
      </c>
      <c r="D177" s="4" t="s">
        <v>909</v>
      </c>
      <c r="E177" s="4" t="s">
        <v>910</v>
      </c>
      <c r="F177" s="4">
        <v>5</v>
      </c>
      <c r="G177" s="4" t="str">
        <f>VLOOKUP(C177,JUNIO!C176:G532,5,0)</f>
        <v>CIERRE DEFINITIVO</v>
      </c>
      <c r="H177" s="4" t="s">
        <v>81</v>
      </c>
      <c r="I177" s="4" t="s">
        <v>1030</v>
      </c>
      <c r="J177" s="4" t="s">
        <v>73</v>
      </c>
      <c r="K177" s="4" t="s">
        <v>911</v>
      </c>
      <c r="L177" s="4" t="s">
        <v>40</v>
      </c>
      <c r="M177" s="4" t="s">
        <v>514</v>
      </c>
      <c r="N177" s="4" t="s">
        <v>908</v>
      </c>
      <c r="O177" s="4" t="s">
        <v>42</v>
      </c>
      <c r="P177" s="50" t="s">
        <v>43</v>
      </c>
      <c r="Q177" s="50" t="s">
        <v>36</v>
      </c>
      <c r="R177" s="50" t="s">
        <v>886</v>
      </c>
      <c r="S177" s="4" t="s">
        <v>43</v>
      </c>
    </row>
    <row r="178" spans="3:19" x14ac:dyDescent="0.25">
      <c r="C178" s="4" t="s">
        <v>413</v>
      </c>
      <c r="D178" s="4" t="s">
        <v>414</v>
      </c>
      <c r="E178" s="4" t="s">
        <v>414</v>
      </c>
      <c r="F178" s="4">
        <v>5</v>
      </c>
      <c r="G178" s="4" t="str">
        <f>VLOOKUP(C178,JUNIO!C177:G533,5,0)</f>
        <v>Abierta</v>
      </c>
      <c r="H178" s="4" t="s">
        <v>46</v>
      </c>
      <c r="I178" s="4" t="s">
        <v>1031</v>
      </c>
      <c r="J178" s="4" t="s">
        <v>63</v>
      </c>
      <c r="K178" s="4" t="s">
        <v>138</v>
      </c>
      <c r="L178" s="4" t="s">
        <v>40</v>
      </c>
      <c r="M178" s="4" t="s">
        <v>378</v>
      </c>
      <c r="N178" s="4" t="s">
        <v>413</v>
      </c>
      <c r="O178" s="4" t="s">
        <v>42</v>
      </c>
      <c r="P178" s="50" t="s">
        <v>43</v>
      </c>
      <c r="Q178" s="50">
        <v>37154252.922731824</v>
      </c>
      <c r="R178" s="50" t="s">
        <v>380</v>
      </c>
      <c r="S178" s="4" t="s">
        <v>43</v>
      </c>
    </row>
    <row r="179" spans="3:19" x14ac:dyDescent="0.25">
      <c r="C179" s="4" t="s">
        <v>580</v>
      </c>
      <c r="D179" s="4" t="s">
        <v>581</v>
      </c>
      <c r="E179" s="4" t="s">
        <v>581</v>
      </c>
      <c r="F179" s="4">
        <v>5</v>
      </c>
      <c r="G179" s="4" t="str">
        <f>VLOOKUP(C179,JUNIO!C178:G534,5,0)</f>
        <v>Abierta</v>
      </c>
      <c r="H179" s="4" t="s">
        <v>46</v>
      </c>
      <c r="I179" s="4" t="s">
        <v>1030</v>
      </c>
      <c r="J179" s="4" t="s">
        <v>331</v>
      </c>
      <c r="K179" s="4" t="s">
        <v>138</v>
      </c>
      <c r="L179" s="4" t="s">
        <v>40</v>
      </c>
      <c r="M179" s="4" t="s">
        <v>984</v>
      </c>
      <c r="N179" s="4" t="s">
        <v>580</v>
      </c>
      <c r="O179" s="4" t="s">
        <v>42</v>
      </c>
      <c r="P179" s="50" t="s">
        <v>43</v>
      </c>
      <c r="Q179" s="50">
        <v>39188516.128527261</v>
      </c>
      <c r="R179" s="50" t="s">
        <v>557</v>
      </c>
      <c r="S179" s="4" t="s">
        <v>43</v>
      </c>
    </row>
    <row r="180" spans="3:19" x14ac:dyDescent="0.25">
      <c r="C180" s="4" t="s">
        <v>756</v>
      </c>
      <c r="D180" s="4" t="s">
        <v>757</v>
      </c>
      <c r="E180" s="4" t="s">
        <v>757</v>
      </c>
      <c r="F180" s="4">
        <v>5</v>
      </c>
      <c r="G180" s="4" t="str">
        <f>VLOOKUP(C180,JUNIO!C179:G535,5,0)</f>
        <v>Abierta</v>
      </c>
      <c r="H180" s="4" t="s">
        <v>46</v>
      </c>
      <c r="I180" s="4" t="s">
        <v>1031</v>
      </c>
      <c r="J180" s="4" t="s">
        <v>84</v>
      </c>
      <c r="K180" s="4" t="s">
        <v>54</v>
      </c>
      <c r="L180" s="4" t="s">
        <v>55</v>
      </c>
      <c r="M180" s="4" t="s">
        <v>378</v>
      </c>
      <c r="N180" s="4" t="s">
        <v>756</v>
      </c>
      <c r="O180" s="4" t="s">
        <v>42</v>
      </c>
      <c r="P180" s="50" t="s">
        <v>43</v>
      </c>
      <c r="Q180" s="50">
        <v>40208568.205598988</v>
      </c>
      <c r="R180" s="50" t="s">
        <v>741</v>
      </c>
      <c r="S180" s="4" t="s">
        <v>43</v>
      </c>
    </row>
    <row r="181" spans="3:19" x14ac:dyDescent="0.25">
      <c r="C181" s="4" t="s">
        <v>812</v>
      </c>
      <c r="D181" s="4" t="s">
        <v>813</v>
      </c>
      <c r="E181" s="4" t="s">
        <v>813</v>
      </c>
      <c r="F181" s="4">
        <v>5</v>
      </c>
      <c r="G181" s="4" t="str">
        <f>VLOOKUP(C181,JUNIO!C180:G536,5,0)</f>
        <v>Abierta</v>
      </c>
      <c r="H181" s="4" t="s">
        <v>46</v>
      </c>
      <c r="I181" s="4" t="s">
        <v>1030</v>
      </c>
      <c r="J181" s="4" t="s">
        <v>146</v>
      </c>
      <c r="K181" s="4" t="s">
        <v>59</v>
      </c>
      <c r="L181" s="4" t="s">
        <v>40</v>
      </c>
      <c r="M181" s="4" t="s">
        <v>1035</v>
      </c>
      <c r="N181" s="4" t="s">
        <v>812</v>
      </c>
      <c r="O181" s="4" t="s">
        <v>42</v>
      </c>
      <c r="P181" s="50" t="s">
        <v>43</v>
      </c>
      <c r="Q181" s="50">
        <v>38622950.528343499</v>
      </c>
      <c r="R181" s="50" t="s">
        <v>799</v>
      </c>
      <c r="S181" s="4" t="s">
        <v>43</v>
      </c>
    </row>
    <row r="182" spans="3:19" x14ac:dyDescent="0.25">
      <c r="C182" s="4" t="s">
        <v>141</v>
      </c>
      <c r="D182" s="4" t="s">
        <v>142</v>
      </c>
      <c r="E182" s="4" t="s">
        <v>142</v>
      </c>
      <c r="F182" s="4" t="s">
        <v>36</v>
      </c>
      <c r="G182" s="4" t="str">
        <f>VLOOKUP(C182,JUNIO!C181:G537,5,0)</f>
        <v>CIERRE DEFINITIVO</v>
      </c>
      <c r="H182" s="4" t="s">
        <v>81</v>
      </c>
      <c r="I182" s="4" t="s">
        <v>1030</v>
      </c>
      <c r="J182" s="4">
        <v>0</v>
      </c>
      <c r="K182" s="4" t="s">
        <v>143</v>
      </c>
      <c r="L182" s="4" t="s">
        <v>40</v>
      </c>
      <c r="M182" s="4">
        <v>0</v>
      </c>
      <c r="N182" s="4" t="s">
        <v>141</v>
      </c>
      <c r="O182" s="4" t="s">
        <v>42</v>
      </c>
      <c r="P182" s="50" t="s">
        <v>43</v>
      </c>
      <c r="Q182" s="50" t="s">
        <v>36</v>
      </c>
      <c r="R182" s="50">
        <v>0</v>
      </c>
      <c r="S182" s="4" t="s">
        <v>43</v>
      </c>
    </row>
    <row r="183" spans="3:19" x14ac:dyDescent="0.25">
      <c r="C183" s="4" t="s">
        <v>437</v>
      </c>
      <c r="D183" s="4" t="s">
        <v>438</v>
      </c>
      <c r="E183" s="4" t="s">
        <v>439</v>
      </c>
      <c r="F183" s="4">
        <v>5</v>
      </c>
      <c r="G183" s="4" t="str">
        <f>VLOOKUP(C183,JUNIO!C182:G538,5,0)</f>
        <v>Abierta</v>
      </c>
      <c r="H183" s="4" t="s">
        <v>81</v>
      </c>
      <c r="I183" s="4" t="s">
        <v>1030</v>
      </c>
      <c r="J183" s="4" t="s">
        <v>94</v>
      </c>
      <c r="K183" s="4" t="s">
        <v>64</v>
      </c>
      <c r="L183" s="4" t="s">
        <v>40</v>
      </c>
      <c r="M183" s="4" t="s">
        <v>1035</v>
      </c>
      <c r="N183" s="4" t="s">
        <v>437</v>
      </c>
      <c r="O183" s="4" t="s">
        <v>42</v>
      </c>
      <c r="P183" s="50" t="s">
        <v>43</v>
      </c>
      <c r="Q183" s="50">
        <v>31762472.937000003</v>
      </c>
      <c r="R183" s="50" t="s">
        <v>423</v>
      </c>
      <c r="S183" s="4" t="s">
        <v>440</v>
      </c>
    </row>
    <row r="184" spans="3:19" x14ac:dyDescent="0.25">
      <c r="C184" s="4" t="s">
        <v>497</v>
      </c>
      <c r="D184" s="4" t="s">
        <v>498</v>
      </c>
      <c r="E184" s="4" t="s">
        <v>499</v>
      </c>
      <c r="F184" s="4">
        <v>5</v>
      </c>
      <c r="G184" s="4" t="str">
        <f>VLOOKUP(C184,JUNIO!C183:G539,5,0)</f>
        <v>Abierta</v>
      </c>
      <c r="H184" s="4" t="s">
        <v>46</v>
      </c>
      <c r="I184" s="4" t="s">
        <v>1030</v>
      </c>
      <c r="J184" s="4" t="s">
        <v>466</v>
      </c>
      <c r="K184" s="4" t="s">
        <v>51</v>
      </c>
      <c r="L184" s="4" t="s">
        <v>40</v>
      </c>
      <c r="M184" s="4" t="s">
        <v>1035</v>
      </c>
      <c r="N184" s="4" t="s">
        <v>497</v>
      </c>
      <c r="O184" s="4" t="s">
        <v>42</v>
      </c>
      <c r="P184" s="50" t="s">
        <v>43</v>
      </c>
      <c r="Q184" s="50">
        <v>35747620</v>
      </c>
      <c r="R184" s="50" t="s">
        <v>467</v>
      </c>
      <c r="S184" s="4" t="s">
        <v>43</v>
      </c>
    </row>
    <row r="185" spans="3:19" x14ac:dyDescent="0.25">
      <c r="C185" s="4" t="s">
        <v>144</v>
      </c>
      <c r="D185" s="4" t="s">
        <v>145</v>
      </c>
      <c r="E185" s="4" t="s">
        <v>145</v>
      </c>
      <c r="F185" s="4" t="s">
        <v>36</v>
      </c>
      <c r="G185" s="4" t="str">
        <f>VLOOKUP(C185,JUNIO!C184:G540,5,0)</f>
        <v>CIERRE DEFINITIVO</v>
      </c>
      <c r="H185" s="4" t="s">
        <v>46</v>
      </c>
      <c r="I185" s="4" t="s">
        <v>1030</v>
      </c>
      <c r="J185" s="4" t="s">
        <v>146</v>
      </c>
      <c r="K185" s="4" t="s">
        <v>138</v>
      </c>
      <c r="L185" s="4" t="s">
        <v>40</v>
      </c>
      <c r="M185" s="4">
        <v>0</v>
      </c>
      <c r="N185" s="4" t="s">
        <v>144</v>
      </c>
      <c r="O185" s="4" t="s">
        <v>42</v>
      </c>
      <c r="P185" s="50" t="s">
        <v>43</v>
      </c>
      <c r="Q185" s="50" t="s">
        <v>36</v>
      </c>
      <c r="R185" s="50">
        <v>0</v>
      </c>
      <c r="S185" s="4" t="s">
        <v>43</v>
      </c>
    </row>
    <row r="186" spans="3:19" x14ac:dyDescent="0.25">
      <c r="C186" s="4" t="s">
        <v>784</v>
      </c>
      <c r="D186" s="4" t="s">
        <v>785</v>
      </c>
      <c r="E186" s="4" t="s">
        <v>785</v>
      </c>
      <c r="F186" s="4">
        <v>5.45</v>
      </c>
      <c r="G186" s="4" t="str">
        <f>VLOOKUP(C186,JUNIO!C185:G541,5,0)</f>
        <v>Abierta</v>
      </c>
      <c r="H186" s="4" t="s">
        <v>46</v>
      </c>
      <c r="I186" s="4" t="s">
        <v>1031</v>
      </c>
      <c r="J186" s="4" t="s">
        <v>89</v>
      </c>
      <c r="K186" s="4" t="s">
        <v>109</v>
      </c>
      <c r="L186" s="4" t="s">
        <v>91</v>
      </c>
      <c r="M186" s="4" t="s">
        <v>378</v>
      </c>
      <c r="N186" s="4" t="s">
        <v>784</v>
      </c>
      <c r="O186" s="4" t="s">
        <v>42</v>
      </c>
      <c r="P186" s="50" t="s">
        <v>43</v>
      </c>
      <c r="Q186" s="50">
        <v>45003218.97085201</v>
      </c>
      <c r="R186" s="50" t="s">
        <v>772</v>
      </c>
      <c r="S186" s="4" t="s">
        <v>43</v>
      </c>
    </row>
    <row r="187" spans="3:19" x14ac:dyDescent="0.25">
      <c r="C187" s="4" t="s">
        <v>147</v>
      </c>
      <c r="D187" s="4" t="s">
        <v>148</v>
      </c>
      <c r="E187" s="4" t="s">
        <v>148</v>
      </c>
      <c r="F187" s="4" t="s">
        <v>36</v>
      </c>
      <c r="G187" s="4" t="str">
        <f>VLOOKUP(C187,JUNIO!C186:G542,5,0)</f>
        <v>CIERRE DEFINITIVO</v>
      </c>
      <c r="H187" s="4" t="s">
        <v>46</v>
      </c>
      <c r="I187" s="4" t="s">
        <v>1030</v>
      </c>
      <c r="J187" s="4" t="s">
        <v>50</v>
      </c>
      <c r="K187" s="4" t="s">
        <v>51</v>
      </c>
      <c r="L187" s="4" t="s">
        <v>40</v>
      </c>
      <c r="M187" s="4">
        <v>0</v>
      </c>
      <c r="N187" s="4" t="s">
        <v>147</v>
      </c>
      <c r="O187" s="4" t="s">
        <v>42</v>
      </c>
      <c r="P187" s="50" t="s">
        <v>43</v>
      </c>
      <c r="Q187" s="50" t="s">
        <v>36</v>
      </c>
      <c r="R187" s="50">
        <v>0</v>
      </c>
      <c r="S187" s="4" t="s">
        <v>43</v>
      </c>
    </row>
    <row r="188" spans="3:19" x14ac:dyDescent="0.25">
      <c r="C188" s="4" t="s">
        <v>149</v>
      </c>
      <c r="D188" s="4" t="s">
        <v>150</v>
      </c>
      <c r="E188" s="4" t="s">
        <v>150</v>
      </c>
      <c r="F188" s="4" t="s">
        <v>36</v>
      </c>
      <c r="G188" s="4" t="str">
        <f>VLOOKUP(C188,JUNIO!C187:G543,5,0)</f>
        <v>CIERRE DEFINITIVO</v>
      </c>
      <c r="H188" s="4" t="s">
        <v>81</v>
      </c>
      <c r="I188" s="4" t="s">
        <v>1030</v>
      </c>
      <c r="J188" s="4" t="s">
        <v>100</v>
      </c>
      <c r="K188" s="4" t="s">
        <v>59</v>
      </c>
      <c r="L188" s="4" t="s">
        <v>40</v>
      </c>
      <c r="M188" s="4">
        <v>0</v>
      </c>
      <c r="N188" s="4" t="s">
        <v>149</v>
      </c>
      <c r="O188" s="4" t="s">
        <v>42</v>
      </c>
      <c r="P188" s="50" t="s">
        <v>43</v>
      </c>
      <c r="Q188" s="50" t="s">
        <v>36</v>
      </c>
      <c r="R188" s="50">
        <v>0</v>
      </c>
      <c r="S188" s="4" t="s">
        <v>43</v>
      </c>
    </row>
    <row r="189" spans="3:19" x14ac:dyDescent="0.25">
      <c r="C189" s="4" t="s">
        <v>151</v>
      </c>
      <c r="D189" s="4" t="s">
        <v>152</v>
      </c>
      <c r="E189" s="4" t="s">
        <v>152</v>
      </c>
      <c r="F189" s="4" t="s">
        <v>36</v>
      </c>
      <c r="G189" s="4" t="str">
        <f>VLOOKUP(C189,JUNIO!C188:G544,5,0)</f>
        <v>CIERRE DEFINITIVO</v>
      </c>
      <c r="H189" s="4" t="s">
        <v>88</v>
      </c>
      <c r="I189" s="4" t="s">
        <v>1030</v>
      </c>
      <c r="J189" s="4" t="s">
        <v>132</v>
      </c>
      <c r="K189" s="4" t="s">
        <v>133</v>
      </c>
      <c r="L189" s="4" t="s">
        <v>40</v>
      </c>
      <c r="M189" s="4">
        <v>0</v>
      </c>
      <c r="N189" s="4" t="s">
        <v>151</v>
      </c>
      <c r="O189" s="4" t="s">
        <v>42</v>
      </c>
      <c r="P189" s="50" t="s">
        <v>43</v>
      </c>
      <c r="Q189" s="50" t="s">
        <v>36</v>
      </c>
      <c r="R189" s="50">
        <v>0</v>
      </c>
      <c r="S189" s="4" t="s">
        <v>43</v>
      </c>
    </row>
    <row r="190" spans="3:19" x14ac:dyDescent="0.25">
      <c r="C190" s="4" t="s">
        <v>786</v>
      </c>
      <c r="D190" s="4" t="s">
        <v>787</v>
      </c>
      <c r="E190" s="4" t="s">
        <v>787</v>
      </c>
      <c r="F190" s="4">
        <v>5</v>
      </c>
      <c r="G190" s="4" t="str">
        <f>VLOOKUP(C190,JUNIO!C189:G545,5,0)</f>
        <v>Abierta</v>
      </c>
      <c r="H190" s="4" t="s">
        <v>81</v>
      </c>
      <c r="I190" s="4" t="s">
        <v>1031</v>
      </c>
      <c r="J190" s="4" t="s">
        <v>89</v>
      </c>
      <c r="K190" s="4" t="s">
        <v>109</v>
      </c>
      <c r="L190" s="4" t="s">
        <v>91</v>
      </c>
      <c r="M190" s="4" t="s">
        <v>378</v>
      </c>
      <c r="N190" s="4" t="s">
        <v>786</v>
      </c>
      <c r="O190" s="4" t="s">
        <v>42</v>
      </c>
      <c r="P190" s="50" t="s">
        <v>43</v>
      </c>
      <c r="Q190" s="50">
        <v>46158656.534249999</v>
      </c>
      <c r="R190" s="50" t="s">
        <v>772</v>
      </c>
      <c r="S190" s="4" t="s">
        <v>440</v>
      </c>
    </row>
    <row r="191" spans="3:19" x14ac:dyDescent="0.25">
      <c r="C191" s="4" t="s">
        <v>582</v>
      </c>
      <c r="D191" s="4" t="s">
        <v>583</v>
      </c>
      <c r="E191" s="4" t="s">
        <v>583</v>
      </c>
      <c r="F191" s="4">
        <v>5</v>
      </c>
      <c r="G191" s="4" t="str">
        <f>VLOOKUP(C191,JUNIO!C190:G546,5,0)</f>
        <v>Abierta</v>
      </c>
      <c r="H191" s="4" t="s">
        <v>46</v>
      </c>
      <c r="I191" s="4" t="s">
        <v>1030</v>
      </c>
      <c r="J191" s="4" t="s">
        <v>331</v>
      </c>
      <c r="K191" s="4" t="s">
        <v>138</v>
      </c>
      <c r="L191" s="4" t="s">
        <v>40</v>
      </c>
      <c r="M191" s="4" t="s">
        <v>984</v>
      </c>
      <c r="N191" s="4" t="s">
        <v>582</v>
      </c>
      <c r="O191" s="4" t="s">
        <v>42</v>
      </c>
      <c r="P191" s="50" t="s">
        <v>43</v>
      </c>
      <c r="Q191" s="50">
        <v>59890605.102369539</v>
      </c>
      <c r="R191" s="50" t="s">
        <v>557</v>
      </c>
      <c r="S191" s="4" t="s">
        <v>43</v>
      </c>
    </row>
    <row r="192" spans="3:19" x14ac:dyDescent="0.25">
      <c r="C192" s="4" t="s">
        <v>714</v>
      </c>
      <c r="D192" s="4" t="s">
        <v>715</v>
      </c>
      <c r="E192" s="4" t="s">
        <v>715</v>
      </c>
      <c r="F192" s="4">
        <v>5</v>
      </c>
      <c r="G192" s="4" t="str">
        <f>VLOOKUP(C192,JUNIO!C191:G547,5,0)</f>
        <v>Abierta</v>
      </c>
      <c r="H192" s="4" t="s">
        <v>46</v>
      </c>
      <c r="I192" s="4" t="s">
        <v>1031</v>
      </c>
      <c r="J192" s="4" t="s">
        <v>84</v>
      </c>
      <c r="K192" s="4" t="s">
        <v>54</v>
      </c>
      <c r="L192" s="4" t="s">
        <v>55</v>
      </c>
      <c r="M192" s="4" t="s">
        <v>378</v>
      </c>
      <c r="N192" s="4" t="s">
        <v>714</v>
      </c>
      <c r="O192" s="4" t="s">
        <v>42</v>
      </c>
      <c r="P192" s="50" t="s">
        <v>43</v>
      </c>
      <c r="Q192" s="50">
        <v>41771958.668099999</v>
      </c>
      <c r="R192" s="50" t="s">
        <v>702</v>
      </c>
      <c r="S192" s="4" t="s">
        <v>43</v>
      </c>
    </row>
    <row r="193" spans="3:19" x14ac:dyDescent="0.25">
      <c r="C193" s="4" t="s">
        <v>153</v>
      </c>
      <c r="D193" s="4" t="s">
        <v>154</v>
      </c>
      <c r="E193" s="4" t="s">
        <v>155</v>
      </c>
      <c r="F193" s="4" t="s">
        <v>36</v>
      </c>
      <c r="G193" s="4" t="str">
        <f>VLOOKUP(C193,JUNIO!C192:G548,5,0)</f>
        <v>CIERRE DEFINITIVO</v>
      </c>
      <c r="H193" s="4" t="s">
        <v>81</v>
      </c>
      <c r="I193" s="4" t="s">
        <v>1030</v>
      </c>
      <c r="J193" s="4" t="s">
        <v>84</v>
      </c>
      <c r="K193" s="4" t="s">
        <v>54</v>
      </c>
      <c r="L193" s="4" t="s">
        <v>55</v>
      </c>
      <c r="M193" s="4">
        <v>0</v>
      </c>
      <c r="N193" s="4" t="s">
        <v>153</v>
      </c>
      <c r="O193" s="4" t="s">
        <v>42</v>
      </c>
      <c r="P193" s="50" t="s">
        <v>43</v>
      </c>
      <c r="Q193" s="50" t="s">
        <v>36</v>
      </c>
      <c r="R193" s="50">
        <v>0</v>
      </c>
      <c r="S193" s="4" t="s">
        <v>43</v>
      </c>
    </row>
    <row r="194" spans="3:19" x14ac:dyDescent="0.25">
      <c r="C194" s="4" t="s">
        <v>912</v>
      </c>
      <c r="D194" s="4" t="s">
        <v>913</v>
      </c>
      <c r="E194" s="4" t="s">
        <v>913</v>
      </c>
      <c r="F194" s="4">
        <v>5</v>
      </c>
      <c r="G194" s="4" t="str">
        <f>VLOOKUP(C194,JUNIO!C193:G549,5,0)</f>
        <v>Abierta</v>
      </c>
      <c r="H194" s="4" t="s">
        <v>81</v>
      </c>
      <c r="I194" s="4" t="s">
        <v>1030</v>
      </c>
      <c r="J194" s="4" t="s">
        <v>73</v>
      </c>
      <c r="K194" s="4" t="s">
        <v>914</v>
      </c>
      <c r="L194" s="4" t="s">
        <v>40</v>
      </c>
      <c r="M194" s="4" t="s">
        <v>514</v>
      </c>
      <c r="N194" s="4" t="s">
        <v>912</v>
      </c>
      <c r="O194" s="4" t="s">
        <v>42</v>
      </c>
      <c r="P194" s="50" t="s">
        <v>43</v>
      </c>
      <c r="Q194" s="50">
        <v>25812383.477509174</v>
      </c>
      <c r="R194" s="50" t="s">
        <v>886</v>
      </c>
      <c r="S194" s="4" t="s">
        <v>43</v>
      </c>
    </row>
    <row r="195" spans="3:19" x14ac:dyDescent="0.25">
      <c r="C195" s="4" t="s">
        <v>500</v>
      </c>
      <c r="D195" s="4" t="s">
        <v>501</v>
      </c>
      <c r="E195" s="4" t="s">
        <v>501</v>
      </c>
      <c r="F195" s="4">
        <v>5</v>
      </c>
      <c r="G195" s="4" t="str">
        <f>VLOOKUP(C195,JUNIO!C194:G550,5,0)</f>
        <v>Abierta</v>
      </c>
      <c r="H195" s="4" t="s">
        <v>46</v>
      </c>
      <c r="I195" s="4" t="s">
        <v>1030</v>
      </c>
      <c r="J195" s="4" t="s">
        <v>466</v>
      </c>
      <c r="K195" s="4" t="s">
        <v>51</v>
      </c>
      <c r="L195" s="4" t="s">
        <v>40</v>
      </c>
      <c r="M195" s="4" t="s">
        <v>1035</v>
      </c>
      <c r="N195" s="4" t="s">
        <v>500</v>
      </c>
      <c r="O195" s="4" t="s">
        <v>42</v>
      </c>
      <c r="P195" s="50" t="s">
        <v>43</v>
      </c>
      <c r="Q195" s="50">
        <v>46344276.232709594</v>
      </c>
      <c r="R195" s="50" t="s">
        <v>467</v>
      </c>
      <c r="S195" s="4" t="s">
        <v>43</v>
      </c>
    </row>
    <row r="196" spans="3:19" x14ac:dyDescent="0.25">
      <c r="C196" s="4" t="s">
        <v>441</v>
      </c>
      <c r="D196" s="4" t="s">
        <v>442</v>
      </c>
      <c r="E196" s="4" t="s">
        <v>442</v>
      </c>
      <c r="F196" s="4">
        <v>5</v>
      </c>
      <c r="G196" s="4" t="str">
        <f>VLOOKUP(C196,JUNIO!C195:G551,5,0)</f>
        <v>Abierta</v>
      </c>
      <c r="H196" s="4" t="s">
        <v>46</v>
      </c>
      <c r="I196" s="4" t="s">
        <v>1030</v>
      </c>
      <c r="J196" s="4" t="s">
        <v>94</v>
      </c>
      <c r="K196" s="4" t="s">
        <v>64</v>
      </c>
      <c r="L196" s="4" t="s">
        <v>40</v>
      </c>
      <c r="M196" s="4" t="s">
        <v>1035</v>
      </c>
      <c r="N196" s="4" t="s">
        <v>441</v>
      </c>
      <c r="O196" s="4" t="s">
        <v>42</v>
      </c>
      <c r="P196" s="50" t="s">
        <v>440</v>
      </c>
      <c r="Q196" s="50">
        <v>33551467.309376996</v>
      </c>
      <c r="R196" s="50" t="s">
        <v>423</v>
      </c>
      <c r="S196" s="4" t="s">
        <v>43</v>
      </c>
    </row>
    <row r="197" spans="3:19" x14ac:dyDescent="0.25">
      <c r="C197" s="4" t="s">
        <v>156</v>
      </c>
      <c r="D197" s="4" t="s">
        <v>157</v>
      </c>
      <c r="E197" s="4" t="s">
        <v>157</v>
      </c>
      <c r="F197" s="4" t="s">
        <v>36</v>
      </c>
      <c r="G197" s="4" t="str">
        <f>VLOOKUP(C197,JUNIO!C196:G552,5,0)</f>
        <v>CIERRE DEFINITIVO</v>
      </c>
      <c r="H197" s="4" t="s">
        <v>46</v>
      </c>
      <c r="I197" s="4" t="s">
        <v>1030</v>
      </c>
      <c r="J197" s="4">
        <v>0</v>
      </c>
      <c r="K197" s="4" t="s">
        <v>51</v>
      </c>
      <c r="L197" s="4" t="s">
        <v>40</v>
      </c>
      <c r="M197" s="4">
        <v>0</v>
      </c>
      <c r="N197" s="4" t="s">
        <v>156</v>
      </c>
      <c r="O197" s="4" t="s">
        <v>42</v>
      </c>
      <c r="P197" s="50" t="s">
        <v>43</v>
      </c>
      <c r="Q197" s="50" t="s">
        <v>36</v>
      </c>
      <c r="R197" s="50">
        <v>0</v>
      </c>
      <c r="S197" s="4" t="s">
        <v>43</v>
      </c>
    </row>
    <row r="198" spans="3:19" x14ac:dyDescent="0.25">
      <c r="C198" s="4" t="s">
        <v>875</v>
      </c>
      <c r="D198" s="4" t="s">
        <v>876</v>
      </c>
      <c r="E198" s="4" t="s">
        <v>876</v>
      </c>
      <c r="F198" s="4">
        <v>5</v>
      </c>
      <c r="G198" s="4" t="str">
        <f>VLOOKUP(C198,JUNIO!C197:G553,5,0)</f>
        <v>Abierta</v>
      </c>
      <c r="H198" s="4" t="s">
        <v>81</v>
      </c>
      <c r="I198" s="4" t="s">
        <v>1030</v>
      </c>
      <c r="J198" s="4" t="s">
        <v>132</v>
      </c>
      <c r="K198" s="4" t="s">
        <v>856</v>
      </c>
      <c r="L198" s="4" t="s">
        <v>40</v>
      </c>
      <c r="M198" s="4" t="s">
        <v>1035</v>
      </c>
      <c r="N198" s="4" t="s">
        <v>875</v>
      </c>
      <c r="O198" s="4" t="s">
        <v>42</v>
      </c>
      <c r="P198" s="50" t="s">
        <v>43</v>
      </c>
      <c r="Q198" s="50">
        <v>30509168.979788963</v>
      </c>
      <c r="R198" s="50" t="s">
        <v>847</v>
      </c>
      <c r="S198" s="4" t="s">
        <v>43</v>
      </c>
    </row>
    <row r="199" spans="3:19" x14ac:dyDescent="0.25">
      <c r="C199" s="4" t="s">
        <v>158</v>
      </c>
      <c r="D199" s="4" t="s">
        <v>159</v>
      </c>
      <c r="E199" s="4" t="s">
        <v>159</v>
      </c>
      <c r="F199" s="4" t="s">
        <v>36</v>
      </c>
      <c r="G199" s="4" t="str">
        <f>VLOOKUP(C199,JUNIO!C198:G554,5,0)</f>
        <v>CIERRE DEFINITIVO</v>
      </c>
      <c r="H199" s="4" t="s">
        <v>81</v>
      </c>
      <c r="I199" s="4" t="s">
        <v>1030</v>
      </c>
      <c r="J199" s="4" t="s">
        <v>160</v>
      </c>
      <c r="K199" s="4" t="s">
        <v>161</v>
      </c>
      <c r="L199" s="4" t="s">
        <v>55</v>
      </c>
      <c r="M199" s="4">
        <v>0</v>
      </c>
      <c r="N199" s="4" t="s">
        <v>158</v>
      </c>
      <c r="O199" s="4" t="s">
        <v>42</v>
      </c>
      <c r="P199" s="50" t="s">
        <v>43</v>
      </c>
      <c r="Q199" s="50" t="s">
        <v>36</v>
      </c>
      <c r="R199" s="50">
        <v>0</v>
      </c>
      <c r="S199" s="4" t="s">
        <v>43</v>
      </c>
    </row>
    <row r="200" spans="3:19" x14ac:dyDescent="0.25">
      <c r="C200" s="4" t="s">
        <v>814</v>
      </c>
      <c r="D200" s="4" t="s">
        <v>815</v>
      </c>
      <c r="E200" s="4" t="s">
        <v>816</v>
      </c>
      <c r="F200" s="4">
        <v>5</v>
      </c>
      <c r="G200" s="4" t="str">
        <f>VLOOKUP(C200,JUNIO!C199:G555,5,0)</f>
        <v>Abierta</v>
      </c>
      <c r="H200" s="4" t="s">
        <v>81</v>
      </c>
      <c r="I200" s="4" t="s">
        <v>1030</v>
      </c>
      <c r="J200" s="4" t="s">
        <v>146</v>
      </c>
      <c r="K200" s="4" t="s">
        <v>59</v>
      </c>
      <c r="L200" s="4" t="s">
        <v>40</v>
      </c>
      <c r="M200" s="4" t="s">
        <v>1035</v>
      </c>
      <c r="N200" s="4" t="s">
        <v>814</v>
      </c>
      <c r="O200" s="4" t="s">
        <v>42</v>
      </c>
      <c r="P200" s="50" t="s">
        <v>43</v>
      </c>
      <c r="Q200" s="50">
        <v>46100896.179678001</v>
      </c>
      <c r="R200" s="50" t="s">
        <v>799</v>
      </c>
      <c r="S200" s="4" t="s">
        <v>43</v>
      </c>
    </row>
    <row r="201" spans="3:19" x14ac:dyDescent="0.25">
      <c r="C201" s="4" t="s">
        <v>598</v>
      </c>
      <c r="D201" s="4" t="s">
        <v>599</v>
      </c>
      <c r="E201" s="4" t="s">
        <v>600</v>
      </c>
      <c r="F201" s="4">
        <v>5</v>
      </c>
      <c r="G201" s="4" t="str">
        <f>VLOOKUP(C201,JUNIO!C200:G556,5,0)</f>
        <v>Abierta</v>
      </c>
      <c r="H201" s="4" t="s">
        <v>81</v>
      </c>
      <c r="I201" s="4" t="s">
        <v>1030</v>
      </c>
      <c r="J201" s="4" t="s">
        <v>50</v>
      </c>
      <c r="K201" s="4" t="s">
        <v>601</v>
      </c>
      <c r="L201" s="4" t="s">
        <v>40</v>
      </c>
      <c r="M201" s="4" t="s">
        <v>514</v>
      </c>
      <c r="N201" s="4" t="s">
        <v>598</v>
      </c>
      <c r="O201" s="4" t="s">
        <v>42</v>
      </c>
      <c r="P201" s="50" t="s">
        <v>43</v>
      </c>
      <c r="Q201" s="50">
        <v>47601039.362999998</v>
      </c>
      <c r="R201" s="50" t="s">
        <v>597</v>
      </c>
      <c r="S201" s="4" t="s">
        <v>440</v>
      </c>
    </row>
    <row r="202" spans="3:19" x14ac:dyDescent="0.25">
      <c r="C202" s="4" t="s">
        <v>162</v>
      </c>
      <c r="D202" s="4" t="s">
        <v>163</v>
      </c>
      <c r="E202" s="4" t="s">
        <v>163</v>
      </c>
      <c r="F202" s="4" t="s">
        <v>36</v>
      </c>
      <c r="G202" s="4" t="str">
        <f>VLOOKUP(C202,JUNIO!C201:G557,5,0)</f>
        <v>CIERRE DEFINITIVO</v>
      </c>
      <c r="H202" s="4" t="s">
        <v>88</v>
      </c>
      <c r="I202" s="4" t="s">
        <v>1030</v>
      </c>
      <c r="J202" s="4" t="s">
        <v>63</v>
      </c>
      <c r="K202" s="4" t="s">
        <v>138</v>
      </c>
      <c r="L202" s="4" t="s">
        <v>40</v>
      </c>
      <c r="M202" s="4">
        <v>0</v>
      </c>
      <c r="N202" s="4" t="s">
        <v>162</v>
      </c>
      <c r="O202" s="4" t="s">
        <v>42</v>
      </c>
      <c r="P202" s="50" t="s">
        <v>43</v>
      </c>
      <c r="Q202" s="50" t="s">
        <v>36</v>
      </c>
      <c r="R202" s="50">
        <v>0</v>
      </c>
      <c r="S202" s="4" t="s">
        <v>43</v>
      </c>
    </row>
    <row r="203" spans="3:19" x14ac:dyDescent="0.25">
      <c r="C203" s="4" t="s">
        <v>716</v>
      </c>
      <c r="D203" s="4" t="s">
        <v>717</v>
      </c>
      <c r="E203" s="4" t="s">
        <v>718</v>
      </c>
      <c r="F203" s="4">
        <v>5</v>
      </c>
      <c r="G203" s="4" t="str">
        <f>VLOOKUP(C203,JUNIO!C202:G558,5,0)</f>
        <v>Abierta</v>
      </c>
      <c r="H203" s="4" t="s">
        <v>46</v>
      </c>
      <c r="I203" s="4" t="s">
        <v>1031</v>
      </c>
      <c r="J203" s="4" t="s">
        <v>84</v>
      </c>
      <c r="K203" s="4" t="s">
        <v>54</v>
      </c>
      <c r="L203" s="4" t="s">
        <v>55</v>
      </c>
      <c r="M203" s="4" t="s">
        <v>378</v>
      </c>
      <c r="N203" s="4" t="s">
        <v>716</v>
      </c>
      <c r="O203" s="4" t="s">
        <v>42</v>
      </c>
      <c r="P203" s="50" t="s">
        <v>440</v>
      </c>
      <c r="Q203" s="50">
        <v>36759101.905275002</v>
      </c>
      <c r="R203" s="50" t="s">
        <v>702</v>
      </c>
      <c r="S203" s="4" t="s">
        <v>43</v>
      </c>
    </row>
    <row r="204" spans="3:19" x14ac:dyDescent="0.25">
      <c r="C204" s="4" t="s">
        <v>788</v>
      </c>
      <c r="D204" s="4" t="s">
        <v>789</v>
      </c>
      <c r="E204" s="4" t="s">
        <v>790</v>
      </c>
      <c r="F204" s="4">
        <v>5</v>
      </c>
      <c r="G204" s="4" t="str">
        <f>VLOOKUP(C204,JUNIO!C203:G559,5,0)</f>
        <v>Abierta</v>
      </c>
      <c r="H204" s="4" t="s">
        <v>81</v>
      </c>
      <c r="I204" s="4" t="s">
        <v>1031</v>
      </c>
      <c r="J204" s="4" t="s">
        <v>89</v>
      </c>
      <c r="K204" s="4" t="s">
        <v>109</v>
      </c>
      <c r="L204" s="4" t="s">
        <v>91</v>
      </c>
      <c r="M204" s="4" t="s">
        <v>378</v>
      </c>
      <c r="N204" s="4" t="s">
        <v>788</v>
      </c>
      <c r="O204" s="4" t="s">
        <v>42</v>
      </c>
      <c r="P204" s="50" t="s">
        <v>43</v>
      </c>
      <c r="Q204" s="50">
        <v>43261015.907678038</v>
      </c>
      <c r="R204" s="50" t="s">
        <v>772</v>
      </c>
      <c r="S204" s="4" t="s">
        <v>43</v>
      </c>
    </row>
    <row r="205" spans="3:19" x14ac:dyDescent="0.25">
      <c r="C205" s="4" t="s">
        <v>443</v>
      </c>
      <c r="D205" s="4" t="s">
        <v>444</v>
      </c>
      <c r="E205" s="4" t="s">
        <v>444</v>
      </c>
      <c r="F205" s="4">
        <v>5</v>
      </c>
      <c r="G205" s="4" t="str">
        <f>VLOOKUP(C205,JUNIO!C204:G560,5,0)</f>
        <v>Abierta</v>
      </c>
      <c r="H205" s="4" t="s">
        <v>81</v>
      </c>
      <c r="I205" s="4" t="s">
        <v>1030</v>
      </c>
      <c r="J205" s="4" t="s">
        <v>94</v>
      </c>
      <c r="K205" s="4" t="s">
        <v>64</v>
      </c>
      <c r="L205" s="4" t="s">
        <v>40</v>
      </c>
      <c r="M205" s="4" t="s">
        <v>1035</v>
      </c>
      <c r="N205" s="4" t="s">
        <v>443</v>
      </c>
      <c r="O205" s="4" t="s">
        <v>42</v>
      </c>
      <c r="P205" s="50" t="s">
        <v>43</v>
      </c>
      <c r="Q205" s="50">
        <v>26116713.234972008</v>
      </c>
      <c r="R205" s="50" t="s">
        <v>423</v>
      </c>
      <c r="S205" s="4" t="s">
        <v>43</v>
      </c>
    </row>
    <row r="206" spans="3:19" x14ac:dyDescent="0.25">
      <c r="C206" s="4" t="s">
        <v>415</v>
      </c>
      <c r="D206" s="4" t="s">
        <v>416</v>
      </c>
      <c r="E206" s="4" t="s">
        <v>416</v>
      </c>
      <c r="F206" s="4">
        <v>5</v>
      </c>
      <c r="G206" s="4" t="str">
        <f>VLOOKUP(C206,JUNIO!C205:G561,5,0)</f>
        <v>Abierta</v>
      </c>
      <c r="H206" s="4" t="s">
        <v>81</v>
      </c>
      <c r="I206" s="4" t="s">
        <v>1031</v>
      </c>
      <c r="J206" s="4" t="s">
        <v>63</v>
      </c>
      <c r="K206" s="4" t="s">
        <v>138</v>
      </c>
      <c r="L206" s="4" t="s">
        <v>40</v>
      </c>
      <c r="M206" s="4" t="s">
        <v>378</v>
      </c>
      <c r="N206" s="4" t="s">
        <v>415</v>
      </c>
      <c r="O206" s="4" t="s">
        <v>42</v>
      </c>
      <c r="P206" s="50" t="s">
        <v>43</v>
      </c>
      <c r="Q206" s="50">
        <v>34223728.603972688</v>
      </c>
      <c r="R206" s="50" t="s">
        <v>380</v>
      </c>
      <c r="S206" s="4" t="s">
        <v>43</v>
      </c>
    </row>
    <row r="207" spans="3:19" x14ac:dyDescent="0.25">
      <c r="C207" s="4" t="s">
        <v>915</v>
      </c>
      <c r="D207" s="4" t="s">
        <v>916</v>
      </c>
      <c r="E207" s="4" t="s">
        <v>916</v>
      </c>
      <c r="F207" s="4">
        <v>5</v>
      </c>
      <c r="G207" s="4" t="str">
        <f>VLOOKUP(C207,JUNIO!C206:G562,5,0)</f>
        <v>Abierta</v>
      </c>
      <c r="H207" s="4" t="s">
        <v>81</v>
      </c>
      <c r="I207" s="4" t="s">
        <v>1030</v>
      </c>
      <c r="J207" s="4" t="s">
        <v>73</v>
      </c>
      <c r="K207" s="4" t="s">
        <v>133</v>
      </c>
      <c r="L207" s="4" t="s">
        <v>40</v>
      </c>
      <c r="M207" s="4" t="s">
        <v>514</v>
      </c>
      <c r="N207" s="4" t="s">
        <v>915</v>
      </c>
      <c r="O207" s="4" t="s">
        <v>42</v>
      </c>
      <c r="P207" s="50" t="s">
        <v>43</v>
      </c>
      <c r="Q207" s="50">
        <v>29274834.717</v>
      </c>
      <c r="R207" s="50" t="s">
        <v>886</v>
      </c>
      <c r="S207" s="4" t="s">
        <v>43</v>
      </c>
    </row>
    <row r="208" spans="3:19" x14ac:dyDescent="0.25">
      <c r="C208" s="4" t="s">
        <v>164</v>
      </c>
      <c r="D208" s="4" t="s">
        <v>165</v>
      </c>
      <c r="E208" s="4" t="s">
        <v>165</v>
      </c>
      <c r="F208" s="4" t="s">
        <v>36</v>
      </c>
      <c r="G208" s="4" t="str">
        <f>VLOOKUP(C208,JUNIO!C207:G563,5,0)</f>
        <v>CIERRE DEFINITIVO</v>
      </c>
      <c r="H208" s="4" t="s">
        <v>46</v>
      </c>
      <c r="I208" s="4" t="s">
        <v>1030</v>
      </c>
      <c r="J208" s="4" t="s">
        <v>58</v>
      </c>
      <c r="K208" s="4" t="s">
        <v>138</v>
      </c>
      <c r="L208" s="4" t="s">
        <v>40</v>
      </c>
      <c r="M208" s="4">
        <v>0</v>
      </c>
      <c r="N208" s="4" t="s">
        <v>164</v>
      </c>
      <c r="O208" s="4" t="s">
        <v>42</v>
      </c>
      <c r="P208" s="50" t="s">
        <v>43</v>
      </c>
      <c r="Q208" s="50" t="s">
        <v>36</v>
      </c>
      <c r="R208" s="50">
        <v>0</v>
      </c>
      <c r="S208" s="4" t="s">
        <v>43</v>
      </c>
    </row>
    <row r="209" spans="3:19" x14ac:dyDescent="0.25">
      <c r="C209" s="4" t="s">
        <v>166</v>
      </c>
      <c r="D209" s="4" t="s">
        <v>167</v>
      </c>
      <c r="E209" s="4" t="s">
        <v>167</v>
      </c>
      <c r="F209" s="4" t="s">
        <v>36</v>
      </c>
      <c r="G209" s="4" t="str">
        <f>VLOOKUP(C209,JUNIO!C208:G564,5,0)</f>
        <v>CIERRE DEFINITIVO</v>
      </c>
      <c r="H209" s="4" t="s">
        <v>81</v>
      </c>
      <c r="I209" s="4" t="s">
        <v>1030</v>
      </c>
      <c r="J209" s="4" t="s">
        <v>58</v>
      </c>
      <c r="K209" s="4" t="s">
        <v>59</v>
      </c>
      <c r="L209" s="4" t="s">
        <v>40</v>
      </c>
      <c r="M209" s="4">
        <v>0</v>
      </c>
      <c r="N209" s="4" t="s">
        <v>166</v>
      </c>
      <c r="O209" s="4" t="s">
        <v>42</v>
      </c>
      <c r="P209" s="50" t="s">
        <v>43</v>
      </c>
      <c r="Q209" s="50" t="s">
        <v>36</v>
      </c>
      <c r="R209" s="50">
        <v>0</v>
      </c>
      <c r="S209" s="4" t="s">
        <v>43</v>
      </c>
    </row>
    <row r="210" spans="3:19" x14ac:dyDescent="0.25">
      <c r="C210" s="4" t="s">
        <v>168</v>
      </c>
      <c r="D210" s="4" t="s">
        <v>169</v>
      </c>
      <c r="E210" s="4" t="s">
        <v>170</v>
      </c>
      <c r="F210" s="4" t="s">
        <v>36</v>
      </c>
      <c r="G210" s="4" t="str">
        <f>VLOOKUP(C210,JUNIO!C209:G565,5,0)</f>
        <v>CIERRE DEFINITIVO</v>
      </c>
      <c r="H210" s="4" t="s">
        <v>46</v>
      </c>
      <c r="I210" s="4" t="s">
        <v>1030</v>
      </c>
      <c r="J210" s="4" t="s">
        <v>160</v>
      </c>
      <c r="K210" s="4" t="s">
        <v>59</v>
      </c>
      <c r="L210" s="4" t="s">
        <v>40</v>
      </c>
      <c r="M210" s="4">
        <v>0</v>
      </c>
      <c r="N210" s="4" t="s">
        <v>168</v>
      </c>
      <c r="O210" s="4" t="s">
        <v>42</v>
      </c>
      <c r="P210" s="50" t="s">
        <v>43</v>
      </c>
      <c r="Q210" s="50" t="s">
        <v>36</v>
      </c>
      <c r="R210" s="50">
        <v>0</v>
      </c>
      <c r="S210" s="4" t="s">
        <v>43</v>
      </c>
    </row>
    <row r="211" spans="3:19" x14ac:dyDescent="0.25">
      <c r="C211" s="4" t="s">
        <v>171</v>
      </c>
      <c r="D211" s="4" t="s">
        <v>172</v>
      </c>
      <c r="E211" s="4" t="s">
        <v>172</v>
      </c>
      <c r="F211" s="4" t="s">
        <v>36</v>
      </c>
      <c r="G211" s="4" t="str">
        <f>VLOOKUP(C211,JUNIO!C210:G566,5,0)</f>
        <v>CIERRE DEFINITIVO</v>
      </c>
      <c r="H211" s="4" t="s">
        <v>81</v>
      </c>
      <c r="I211" s="4" t="s">
        <v>1030</v>
      </c>
      <c r="J211" s="4" t="s">
        <v>89</v>
      </c>
      <c r="K211" s="4" t="s">
        <v>109</v>
      </c>
      <c r="L211" s="4" t="s">
        <v>91</v>
      </c>
      <c r="M211" s="4">
        <v>0</v>
      </c>
      <c r="N211" s="4" t="s">
        <v>171</v>
      </c>
      <c r="O211" s="4" t="s">
        <v>42</v>
      </c>
      <c r="P211" s="50" t="s">
        <v>43</v>
      </c>
      <c r="Q211" s="50" t="s">
        <v>36</v>
      </c>
      <c r="R211" s="50" t="s">
        <v>772</v>
      </c>
      <c r="S211" s="4" t="s">
        <v>43</v>
      </c>
    </row>
    <row r="212" spans="3:19" x14ac:dyDescent="0.25">
      <c r="C212" s="4" t="s">
        <v>173</v>
      </c>
      <c r="D212" s="4" t="s">
        <v>174</v>
      </c>
      <c r="E212" s="4" t="s">
        <v>174</v>
      </c>
      <c r="F212" s="4" t="s">
        <v>36</v>
      </c>
      <c r="G212" s="4" t="str">
        <f>VLOOKUP(C212,JUNIO!C211:G567,5,0)</f>
        <v>CIERRE DEFINITIVO</v>
      </c>
      <c r="H212" s="4" t="s">
        <v>46</v>
      </c>
      <c r="I212" s="4" t="s">
        <v>1030</v>
      </c>
      <c r="J212" s="4" t="s">
        <v>73</v>
      </c>
      <c r="K212" s="4" t="s">
        <v>64</v>
      </c>
      <c r="L212" s="4" t="s">
        <v>40</v>
      </c>
      <c r="M212" s="4">
        <v>0</v>
      </c>
      <c r="N212" s="4" t="s">
        <v>173</v>
      </c>
      <c r="O212" s="4" t="s">
        <v>42</v>
      </c>
      <c r="P212" s="50" t="s">
        <v>43</v>
      </c>
      <c r="Q212" s="50" t="s">
        <v>36</v>
      </c>
      <c r="R212" s="50">
        <v>0</v>
      </c>
      <c r="S212" s="4" t="s">
        <v>43</v>
      </c>
    </row>
    <row r="213" spans="3:19" x14ac:dyDescent="0.25">
      <c r="C213" s="4" t="s">
        <v>584</v>
      </c>
      <c r="D213" s="4" t="s">
        <v>585</v>
      </c>
      <c r="E213" s="4" t="s">
        <v>585</v>
      </c>
      <c r="F213" s="4">
        <v>5</v>
      </c>
      <c r="G213" s="4" t="str">
        <f>VLOOKUP(C213,JUNIO!C212:G568,5,0)</f>
        <v>Abierta</v>
      </c>
      <c r="H213" s="4" t="s">
        <v>46</v>
      </c>
      <c r="I213" s="4" t="s">
        <v>1030</v>
      </c>
      <c r="J213" s="4" t="s">
        <v>331</v>
      </c>
      <c r="K213" s="4" t="s">
        <v>138</v>
      </c>
      <c r="L213" s="4" t="s">
        <v>40</v>
      </c>
      <c r="M213" s="4" t="s">
        <v>984</v>
      </c>
      <c r="N213" s="4" t="s">
        <v>584</v>
      </c>
      <c r="O213" s="4" t="s">
        <v>42</v>
      </c>
      <c r="P213" s="50" t="s">
        <v>43</v>
      </c>
      <c r="Q213" s="50">
        <v>42838755.760685705</v>
      </c>
      <c r="R213" s="50" t="s">
        <v>557</v>
      </c>
      <c r="S213" s="4" t="s">
        <v>43</v>
      </c>
    </row>
    <row r="214" spans="3:19" x14ac:dyDescent="0.25">
      <c r="C214" s="4" t="s">
        <v>917</v>
      </c>
      <c r="D214" s="4" t="s">
        <v>918</v>
      </c>
      <c r="E214" s="4" t="s">
        <v>918</v>
      </c>
      <c r="F214" s="4">
        <v>5</v>
      </c>
      <c r="G214" s="4" t="str">
        <f>VLOOKUP(C214,JUNIO!C213:G569,5,0)</f>
        <v>Abierta</v>
      </c>
      <c r="H214" s="4" t="s">
        <v>46</v>
      </c>
      <c r="I214" s="4" t="s">
        <v>1030</v>
      </c>
      <c r="J214" s="4" t="s">
        <v>73</v>
      </c>
      <c r="K214" s="4" t="s">
        <v>605</v>
      </c>
      <c r="L214" s="4" t="s">
        <v>40</v>
      </c>
      <c r="M214" s="4" t="s">
        <v>514</v>
      </c>
      <c r="N214" s="4" t="s">
        <v>917</v>
      </c>
      <c r="O214" s="4" t="s">
        <v>42</v>
      </c>
      <c r="P214" s="50" t="s">
        <v>43</v>
      </c>
      <c r="Q214" s="50">
        <v>36313220.180100009</v>
      </c>
      <c r="R214" s="50" t="s">
        <v>886</v>
      </c>
      <c r="S214" s="4" t="s">
        <v>43</v>
      </c>
    </row>
    <row r="215" spans="3:19" x14ac:dyDescent="0.25">
      <c r="C215" s="4" t="s">
        <v>877</v>
      </c>
      <c r="D215" s="4" t="s">
        <v>878</v>
      </c>
      <c r="E215" s="4" t="s">
        <v>878</v>
      </c>
      <c r="F215" s="4">
        <v>5</v>
      </c>
      <c r="G215" s="4" t="str">
        <f>VLOOKUP(C215,JUNIO!C214:G570,5,0)</f>
        <v>Abierta</v>
      </c>
      <c r="H215" s="4" t="s">
        <v>81</v>
      </c>
      <c r="I215" s="4" t="s">
        <v>1030</v>
      </c>
      <c r="J215" s="4" t="s">
        <v>132</v>
      </c>
      <c r="K215" s="4" t="s">
        <v>856</v>
      </c>
      <c r="L215" s="4" t="s">
        <v>40</v>
      </c>
      <c r="M215" s="4" t="s">
        <v>1035</v>
      </c>
      <c r="N215" s="4" t="s">
        <v>877</v>
      </c>
      <c r="O215" s="4" t="s">
        <v>42</v>
      </c>
      <c r="P215" s="50" t="s">
        <v>43</v>
      </c>
      <c r="Q215" s="50">
        <v>40300164.291186184</v>
      </c>
      <c r="R215" s="50" t="s">
        <v>847</v>
      </c>
      <c r="S215" s="4" t="s">
        <v>43</v>
      </c>
    </row>
    <row r="216" spans="3:19" x14ac:dyDescent="0.25">
      <c r="C216" s="4" t="s">
        <v>586</v>
      </c>
      <c r="D216" s="4" t="s">
        <v>587</v>
      </c>
      <c r="E216" s="4" t="s">
        <v>587</v>
      </c>
      <c r="F216" s="4">
        <v>5</v>
      </c>
      <c r="G216" s="4" t="str">
        <f>VLOOKUP(C216,JUNIO!C215:G571,5,0)</f>
        <v>Abierta</v>
      </c>
      <c r="H216" s="4" t="s">
        <v>46</v>
      </c>
      <c r="I216" s="4" t="s">
        <v>1030</v>
      </c>
      <c r="J216" s="4" t="s">
        <v>331</v>
      </c>
      <c r="K216" s="4" t="s">
        <v>138</v>
      </c>
      <c r="L216" s="4" t="s">
        <v>40</v>
      </c>
      <c r="M216" s="4" t="s">
        <v>984</v>
      </c>
      <c r="N216" s="4" t="s">
        <v>586</v>
      </c>
      <c r="O216" s="4" t="s">
        <v>42</v>
      </c>
      <c r="P216" s="50" t="s">
        <v>43</v>
      </c>
      <c r="Q216" s="50">
        <v>65074945.933416776</v>
      </c>
      <c r="R216" s="50" t="s">
        <v>557</v>
      </c>
      <c r="S216" s="4" t="s">
        <v>43</v>
      </c>
    </row>
    <row r="217" spans="3:19" x14ac:dyDescent="0.25">
      <c r="C217" s="4" t="s">
        <v>175</v>
      </c>
      <c r="D217" s="4" t="s">
        <v>176</v>
      </c>
      <c r="E217" s="4" t="s">
        <v>176</v>
      </c>
      <c r="F217" s="4" t="s">
        <v>36</v>
      </c>
      <c r="G217" s="4" t="str">
        <f>VLOOKUP(C217,JUNIO!C216:G572,5,0)</f>
        <v>CIERRE DEFINITIVO</v>
      </c>
      <c r="H217" s="4" t="s">
        <v>46</v>
      </c>
      <c r="I217" s="4" t="s">
        <v>1030</v>
      </c>
      <c r="J217" s="4" t="s">
        <v>132</v>
      </c>
      <c r="K217" s="4" t="s">
        <v>64</v>
      </c>
      <c r="L217" s="4" t="s">
        <v>40</v>
      </c>
      <c r="M217" s="4">
        <v>0</v>
      </c>
      <c r="N217" s="4" t="s">
        <v>175</v>
      </c>
      <c r="O217" s="4" t="s">
        <v>42</v>
      </c>
      <c r="P217" s="50" t="s">
        <v>43</v>
      </c>
      <c r="Q217" s="50" t="s">
        <v>36</v>
      </c>
      <c r="R217" s="50">
        <v>0</v>
      </c>
      <c r="S217" s="4" t="s">
        <v>43</v>
      </c>
    </row>
    <row r="218" spans="3:19" x14ac:dyDescent="0.25">
      <c r="C218" s="4" t="s">
        <v>177</v>
      </c>
      <c r="D218" s="4" t="s">
        <v>178</v>
      </c>
      <c r="E218" s="4" t="s">
        <v>178</v>
      </c>
      <c r="F218" s="4" t="s">
        <v>36</v>
      </c>
      <c r="G218" s="4" t="str">
        <f>VLOOKUP(C218,JUNIO!C217:G573,5,0)</f>
        <v>CIERRE DEFINITIVO</v>
      </c>
      <c r="H218" s="4" t="s">
        <v>81</v>
      </c>
      <c r="I218" s="4" t="s">
        <v>1030</v>
      </c>
      <c r="J218" s="4" t="s">
        <v>84</v>
      </c>
      <c r="K218" s="4" t="s">
        <v>179</v>
      </c>
      <c r="L218" s="4" t="s">
        <v>55</v>
      </c>
      <c r="M218" s="4">
        <v>0</v>
      </c>
      <c r="N218" s="4" t="s">
        <v>177</v>
      </c>
      <c r="O218" s="4" t="s">
        <v>42</v>
      </c>
      <c r="P218" s="50" t="s">
        <v>43</v>
      </c>
      <c r="Q218" s="50" t="s">
        <v>36</v>
      </c>
      <c r="R218" s="50">
        <v>0</v>
      </c>
      <c r="S218" s="4" t="s">
        <v>43</v>
      </c>
    </row>
    <row r="219" spans="3:19" x14ac:dyDescent="0.25">
      <c r="C219" s="4" t="s">
        <v>180</v>
      </c>
      <c r="D219" s="4" t="s">
        <v>181</v>
      </c>
      <c r="E219" s="4" t="s">
        <v>181</v>
      </c>
      <c r="F219" s="4" t="s">
        <v>36</v>
      </c>
      <c r="G219" s="4" t="str">
        <f>VLOOKUP(C219,JUNIO!C218:G574,5,0)</f>
        <v>CIERRE DEFINITIVO</v>
      </c>
      <c r="H219" s="4" t="s">
        <v>81</v>
      </c>
      <c r="I219" s="4" t="s">
        <v>1030</v>
      </c>
      <c r="J219" s="4" t="s">
        <v>84</v>
      </c>
      <c r="K219" s="4" t="s">
        <v>182</v>
      </c>
      <c r="L219" s="4" t="s">
        <v>55</v>
      </c>
      <c r="M219" s="4">
        <v>0</v>
      </c>
      <c r="N219" s="4" t="s">
        <v>180</v>
      </c>
      <c r="O219" s="4" t="s">
        <v>42</v>
      </c>
      <c r="P219" s="50" t="s">
        <v>43</v>
      </c>
      <c r="Q219" s="50" t="s">
        <v>36</v>
      </c>
      <c r="R219" s="50">
        <v>0</v>
      </c>
      <c r="S219" s="4" t="s">
        <v>43</v>
      </c>
    </row>
    <row r="220" spans="3:19" x14ac:dyDescent="0.25">
      <c r="C220" s="4" t="s">
        <v>588</v>
      </c>
      <c r="D220" s="4" t="s">
        <v>589</v>
      </c>
      <c r="E220" s="4" t="s">
        <v>589</v>
      </c>
      <c r="F220" s="4">
        <v>5</v>
      </c>
      <c r="G220" s="4" t="str">
        <f>VLOOKUP(C220,JUNIO!C219:G575,5,0)</f>
        <v>Abierta</v>
      </c>
      <c r="H220" s="4" t="s">
        <v>46</v>
      </c>
      <c r="I220" s="4" t="s">
        <v>1030</v>
      </c>
      <c r="J220" s="4" t="s">
        <v>331</v>
      </c>
      <c r="K220" s="4" t="s">
        <v>138</v>
      </c>
      <c r="L220" s="4" t="s">
        <v>40</v>
      </c>
      <c r="M220" s="4" t="s">
        <v>984</v>
      </c>
      <c r="N220" s="4" t="s">
        <v>588</v>
      </c>
      <c r="O220" s="4" t="s">
        <v>42</v>
      </c>
      <c r="P220" s="50" t="s">
        <v>43</v>
      </c>
      <c r="Q220" s="50">
        <v>51725574.043785021</v>
      </c>
      <c r="R220" s="50" t="s">
        <v>557</v>
      </c>
      <c r="S220" s="4" t="s">
        <v>43</v>
      </c>
    </row>
    <row r="221" spans="3:19" x14ac:dyDescent="0.25">
      <c r="C221" s="4" t="s">
        <v>183</v>
      </c>
      <c r="D221" s="4" t="s">
        <v>184</v>
      </c>
      <c r="E221" s="4" t="s">
        <v>184</v>
      </c>
      <c r="F221" s="4" t="s">
        <v>36</v>
      </c>
      <c r="G221" s="4" t="str">
        <f>VLOOKUP(C221,JUNIO!C220:G576,5,0)</f>
        <v>CIERRE DEFINITIVO</v>
      </c>
      <c r="H221" s="4" t="s">
        <v>81</v>
      </c>
      <c r="I221" s="4" t="s">
        <v>1030</v>
      </c>
      <c r="J221" s="4">
        <v>0</v>
      </c>
      <c r="K221" s="4" t="s">
        <v>64</v>
      </c>
      <c r="L221" s="4" t="s">
        <v>40</v>
      </c>
      <c r="M221" s="4">
        <v>0</v>
      </c>
      <c r="N221" s="4" t="s">
        <v>183</v>
      </c>
      <c r="O221" s="4" t="s">
        <v>42</v>
      </c>
      <c r="P221" s="50" t="s">
        <v>43</v>
      </c>
      <c r="Q221" s="50" t="s">
        <v>36</v>
      </c>
      <c r="R221" s="50">
        <v>0</v>
      </c>
      <c r="S221" s="4" t="s">
        <v>43</v>
      </c>
    </row>
    <row r="222" spans="3:19" x14ac:dyDescent="0.25">
      <c r="C222" s="4" t="s">
        <v>185</v>
      </c>
      <c r="D222" s="4" t="s">
        <v>186</v>
      </c>
      <c r="E222" s="4" t="s">
        <v>186</v>
      </c>
      <c r="F222" s="4" t="s">
        <v>36</v>
      </c>
      <c r="G222" s="4" t="str">
        <f>VLOOKUP(C222,JUNIO!C221:G577,5,0)</f>
        <v>CIERRE DEFINITIVO</v>
      </c>
      <c r="H222" s="4" t="s">
        <v>46</v>
      </c>
      <c r="I222" s="4" t="s">
        <v>1030</v>
      </c>
      <c r="J222" s="4" t="s">
        <v>94</v>
      </c>
      <c r="K222" s="4" t="s">
        <v>64</v>
      </c>
      <c r="L222" s="4" t="s">
        <v>40</v>
      </c>
      <c r="M222" s="4">
        <v>0</v>
      </c>
      <c r="N222" s="4" t="s">
        <v>185</v>
      </c>
      <c r="O222" s="4" t="s">
        <v>42</v>
      </c>
      <c r="P222" s="50" t="s">
        <v>43</v>
      </c>
      <c r="Q222" s="50" t="s">
        <v>36</v>
      </c>
      <c r="R222" s="50">
        <v>0</v>
      </c>
      <c r="S222" s="4" t="s">
        <v>43</v>
      </c>
    </row>
    <row r="223" spans="3:19" x14ac:dyDescent="0.25">
      <c r="C223" s="4" t="s">
        <v>445</v>
      </c>
      <c r="D223" s="4" t="s">
        <v>446</v>
      </c>
      <c r="E223" s="4" t="s">
        <v>446</v>
      </c>
      <c r="F223" s="4">
        <v>5</v>
      </c>
      <c r="G223" s="4" t="str">
        <f>VLOOKUP(C223,JUNIO!C222:G578,5,0)</f>
        <v>Abierta</v>
      </c>
      <c r="H223" s="4" t="s">
        <v>46</v>
      </c>
      <c r="I223" s="4" t="s">
        <v>1030</v>
      </c>
      <c r="J223" s="4" t="s">
        <v>94</v>
      </c>
      <c r="K223" s="4" t="s">
        <v>64</v>
      </c>
      <c r="L223" s="4" t="s">
        <v>40</v>
      </c>
      <c r="M223" s="4" t="s">
        <v>1035</v>
      </c>
      <c r="N223" s="4" t="s">
        <v>445</v>
      </c>
      <c r="O223" s="4" t="s">
        <v>42</v>
      </c>
      <c r="P223" s="50" t="s">
        <v>43</v>
      </c>
      <c r="Q223" s="50">
        <v>28708515.703620002</v>
      </c>
      <c r="R223" s="50" t="s">
        <v>423</v>
      </c>
      <c r="S223" s="4" t="s">
        <v>43</v>
      </c>
    </row>
    <row r="224" spans="3:19" x14ac:dyDescent="0.25">
      <c r="C224" s="4" t="s">
        <v>817</v>
      </c>
      <c r="D224" s="4" t="s">
        <v>818</v>
      </c>
      <c r="E224" s="4" t="s">
        <v>818</v>
      </c>
      <c r="F224" s="4">
        <v>5</v>
      </c>
      <c r="G224" s="4" t="str">
        <f>VLOOKUP(C224,JUNIO!C223:G579,5,0)</f>
        <v>Abierta</v>
      </c>
      <c r="H224" s="4" t="s">
        <v>46</v>
      </c>
      <c r="I224" s="4" t="s">
        <v>1030</v>
      </c>
      <c r="J224" s="4" t="s">
        <v>146</v>
      </c>
      <c r="K224" s="4" t="s">
        <v>59</v>
      </c>
      <c r="L224" s="4" t="s">
        <v>40</v>
      </c>
      <c r="M224" s="4" t="s">
        <v>1035</v>
      </c>
      <c r="N224" s="4" t="s">
        <v>817</v>
      </c>
      <c r="O224" s="4" t="s">
        <v>42</v>
      </c>
      <c r="P224" s="50" t="s">
        <v>43</v>
      </c>
      <c r="Q224" s="50">
        <v>41620095</v>
      </c>
      <c r="R224" s="50" t="s">
        <v>799</v>
      </c>
      <c r="S224" s="4" t="s">
        <v>43</v>
      </c>
    </row>
    <row r="225" spans="3:19" x14ac:dyDescent="0.25">
      <c r="C225" s="4" t="s">
        <v>187</v>
      </c>
      <c r="D225" s="4" t="s">
        <v>188</v>
      </c>
      <c r="E225" s="4" t="s">
        <v>188</v>
      </c>
      <c r="F225" s="4" t="s">
        <v>36</v>
      </c>
      <c r="G225" s="4" t="str">
        <f>VLOOKUP(C225,JUNIO!C224:G580,5,0)</f>
        <v>CIERRE DEFINITIVO</v>
      </c>
      <c r="H225" s="4" t="s">
        <v>81</v>
      </c>
      <c r="I225" s="4" t="s">
        <v>1030</v>
      </c>
      <c r="J225" s="4" t="s">
        <v>160</v>
      </c>
      <c r="K225" s="4" t="s">
        <v>64</v>
      </c>
      <c r="L225" s="4" t="s">
        <v>40</v>
      </c>
      <c r="M225" s="4">
        <v>0</v>
      </c>
      <c r="N225" s="4" t="s">
        <v>187</v>
      </c>
      <c r="O225" s="4" t="s">
        <v>42</v>
      </c>
      <c r="P225" s="50" t="s">
        <v>43</v>
      </c>
      <c r="Q225" s="50" t="s">
        <v>36</v>
      </c>
      <c r="R225" s="50">
        <v>0</v>
      </c>
      <c r="S225" s="4" t="s">
        <v>43</v>
      </c>
    </row>
    <row r="226" spans="3:19" x14ac:dyDescent="0.25">
      <c r="C226" s="4" t="s">
        <v>189</v>
      </c>
      <c r="D226" s="4" t="s">
        <v>190</v>
      </c>
      <c r="E226" s="4" t="s">
        <v>190</v>
      </c>
      <c r="F226" s="4" t="s">
        <v>36</v>
      </c>
      <c r="G226" s="4" t="str">
        <f>VLOOKUP(C226,JUNIO!C225:G581,5,0)</f>
        <v>CIERRE DEFINITIVO</v>
      </c>
      <c r="H226" s="4" t="s">
        <v>81</v>
      </c>
      <c r="I226" s="4" t="s">
        <v>1030</v>
      </c>
      <c r="J226" s="4" t="s">
        <v>73</v>
      </c>
      <c r="K226" s="4" t="s">
        <v>64</v>
      </c>
      <c r="L226" s="4" t="s">
        <v>40</v>
      </c>
      <c r="M226" s="4">
        <v>0</v>
      </c>
      <c r="N226" s="4" t="s">
        <v>189</v>
      </c>
      <c r="O226" s="4" t="s">
        <v>42</v>
      </c>
      <c r="P226" s="50" t="s">
        <v>43</v>
      </c>
      <c r="Q226" s="50" t="s">
        <v>36</v>
      </c>
      <c r="R226" s="50">
        <v>0</v>
      </c>
      <c r="S226" s="4" t="s">
        <v>43</v>
      </c>
    </row>
    <row r="227" spans="3:19" x14ac:dyDescent="0.25">
      <c r="C227" s="4" t="s">
        <v>602</v>
      </c>
      <c r="D227" s="4" t="s">
        <v>603</v>
      </c>
      <c r="E227" s="4" t="s">
        <v>604</v>
      </c>
      <c r="F227" s="4">
        <v>5</v>
      </c>
      <c r="G227" s="4" t="str">
        <f>VLOOKUP(C227,JUNIO!C226:G582,5,0)</f>
        <v>Abierta</v>
      </c>
      <c r="H227" s="4" t="s">
        <v>81</v>
      </c>
      <c r="I227" s="4" t="s">
        <v>1030</v>
      </c>
      <c r="J227" s="4" t="s">
        <v>50</v>
      </c>
      <c r="K227" s="4" t="s">
        <v>605</v>
      </c>
      <c r="L227" s="4" t="s">
        <v>40</v>
      </c>
      <c r="M227" s="4" t="s">
        <v>514</v>
      </c>
      <c r="N227" s="4" t="s">
        <v>602</v>
      </c>
      <c r="O227" s="4" t="s">
        <v>42</v>
      </c>
      <c r="P227" s="50" t="s">
        <v>43</v>
      </c>
      <c r="Q227" s="50">
        <v>64120390.062749997</v>
      </c>
      <c r="R227" s="50" t="s">
        <v>597</v>
      </c>
      <c r="S227" s="4" t="s">
        <v>440</v>
      </c>
    </row>
    <row r="228" spans="3:19" x14ac:dyDescent="0.25">
      <c r="C228" s="4" t="s">
        <v>191</v>
      </c>
      <c r="D228" s="4" t="s">
        <v>192</v>
      </c>
      <c r="E228" s="4" t="s">
        <v>193</v>
      </c>
      <c r="F228" s="4" t="s">
        <v>36</v>
      </c>
      <c r="G228" s="4" t="str">
        <f>VLOOKUP(C228,JUNIO!C227:G583,5,0)</f>
        <v>CIERRE DEFINITIVO</v>
      </c>
      <c r="H228" s="4" t="s">
        <v>81</v>
      </c>
      <c r="I228" s="4" t="s">
        <v>1030</v>
      </c>
      <c r="J228" s="4" t="s">
        <v>94</v>
      </c>
      <c r="K228" s="4" t="s">
        <v>64</v>
      </c>
      <c r="L228" s="4" t="s">
        <v>40</v>
      </c>
      <c r="M228" s="4">
        <v>0</v>
      </c>
      <c r="N228" s="4" t="s">
        <v>191</v>
      </c>
      <c r="O228" s="4" t="s">
        <v>42</v>
      </c>
      <c r="P228" s="50" t="s">
        <v>43</v>
      </c>
      <c r="Q228" s="50" t="s">
        <v>36</v>
      </c>
      <c r="R228" s="50">
        <v>0</v>
      </c>
      <c r="S228" s="4" t="s">
        <v>43</v>
      </c>
    </row>
    <row r="229" spans="3:19" x14ac:dyDescent="0.25">
      <c r="C229" s="4" t="s">
        <v>194</v>
      </c>
      <c r="D229" s="4" t="s">
        <v>195</v>
      </c>
      <c r="E229" s="4" t="s">
        <v>196</v>
      </c>
      <c r="F229" s="4" t="s">
        <v>36</v>
      </c>
      <c r="G229" s="4" t="str">
        <f>VLOOKUP(C229,JUNIO!C228:G584,5,0)</f>
        <v>CIERRE DEFINITIVO</v>
      </c>
      <c r="H229" s="4" t="s">
        <v>88</v>
      </c>
      <c r="I229" s="4" t="s">
        <v>1030</v>
      </c>
      <c r="J229" s="4" t="s">
        <v>84</v>
      </c>
      <c r="K229" s="4" t="s">
        <v>85</v>
      </c>
      <c r="L229" s="4" t="s">
        <v>55</v>
      </c>
      <c r="M229" s="4">
        <v>0</v>
      </c>
      <c r="N229" s="4" t="s">
        <v>194</v>
      </c>
      <c r="O229" s="4" t="s">
        <v>42</v>
      </c>
      <c r="P229" s="50" t="s">
        <v>43</v>
      </c>
      <c r="Q229" s="50" t="s">
        <v>36</v>
      </c>
      <c r="R229" s="50">
        <v>0</v>
      </c>
      <c r="S229" s="4" t="s">
        <v>43</v>
      </c>
    </row>
    <row r="230" spans="3:19" x14ac:dyDescent="0.25">
      <c r="C230" s="4" t="s">
        <v>719</v>
      </c>
      <c r="D230" s="4" t="s">
        <v>720</v>
      </c>
      <c r="E230" s="4" t="s">
        <v>721</v>
      </c>
      <c r="F230" s="4">
        <v>5</v>
      </c>
      <c r="G230" s="4" t="str">
        <f>VLOOKUP(C230,JUNIO!C229:G585,5,0)</f>
        <v>Abierta</v>
      </c>
      <c r="H230" s="4" t="s">
        <v>81</v>
      </c>
      <c r="I230" s="4" t="s">
        <v>1031</v>
      </c>
      <c r="J230" s="4" t="s">
        <v>84</v>
      </c>
      <c r="K230" s="4" t="s">
        <v>722</v>
      </c>
      <c r="L230" s="4" t="s">
        <v>55</v>
      </c>
      <c r="M230" s="4" t="s">
        <v>378</v>
      </c>
      <c r="N230" s="4" t="s">
        <v>719</v>
      </c>
      <c r="O230" s="4" t="s">
        <v>42</v>
      </c>
      <c r="P230" s="50" t="s">
        <v>43</v>
      </c>
      <c r="Q230" s="50">
        <v>38223273.801147752</v>
      </c>
      <c r="R230" s="50" t="s">
        <v>702</v>
      </c>
      <c r="S230" s="4" t="s">
        <v>43</v>
      </c>
    </row>
    <row r="231" spans="3:19" x14ac:dyDescent="0.25">
      <c r="C231" s="4" t="s">
        <v>197</v>
      </c>
      <c r="D231" s="4" t="s">
        <v>198</v>
      </c>
      <c r="E231" s="4" t="s">
        <v>198</v>
      </c>
      <c r="F231" s="4" t="s">
        <v>36</v>
      </c>
      <c r="G231" s="4" t="str">
        <f>VLOOKUP(C231,JUNIO!C230:G586,5,0)</f>
        <v>CIERRE DEFINITIVO</v>
      </c>
      <c r="H231" s="4" t="s">
        <v>46</v>
      </c>
      <c r="I231" s="4" t="s">
        <v>1030</v>
      </c>
      <c r="J231" s="4" t="s">
        <v>63</v>
      </c>
      <c r="K231" s="4" t="s">
        <v>138</v>
      </c>
      <c r="L231" s="4" t="s">
        <v>40</v>
      </c>
      <c r="M231" s="4">
        <v>0</v>
      </c>
      <c r="N231" s="4" t="s">
        <v>197</v>
      </c>
      <c r="O231" s="4" t="s">
        <v>42</v>
      </c>
      <c r="P231" s="50" t="s">
        <v>43</v>
      </c>
      <c r="Q231" s="50" t="s">
        <v>36</v>
      </c>
      <c r="R231" s="50">
        <v>0</v>
      </c>
      <c r="S231" s="4" t="s">
        <v>43</v>
      </c>
    </row>
    <row r="232" spans="3:19" x14ac:dyDescent="0.25">
      <c r="C232" s="4" t="s">
        <v>199</v>
      </c>
      <c r="D232" s="4" t="s">
        <v>200</v>
      </c>
      <c r="E232" s="4" t="s">
        <v>201</v>
      </c>
      <c r="F232" s="4" t="s">
        <v>36</v>
      </c>
      <c r="G232" s="4" t="str">
        <f>VLOOKUP(C232,JUNIO!C231:G587,5,0)</f>
        <v>CIERRE DEFINITIVO</v>
      </c>
      <c r="H232" s="4" t="s">
        <v>202</v>
      </c>
      <c r="I232" s="4" t="s">
        <v>1030</v>
      </c>
      <c r="J232" s="4">
        <v>0</v>
      </c>
      <c r="K232" s="4" t="s">
        <v>59</v>
      </c>
      <c r="L232" s="4" t="s">
        <v>40</v>
      </c>
      <c r="M232" s="4">
        <v>0</v>
      </c>
      <c r="N232" s="4" t="s">
        <v>199</v>
      </c>
      <c r="O232" s="4" t="s">
        <v>42</v>
      </c>
      <c r="P232" s="50" t="s">
        <v>43</v>
      </c>
      <c r="Q232" s="50" t="s">
        <v>36</v>
      </c>
      <c r="R232" s="50">
        <v>0</v>
      </c>
      <c r="S232" s="4" t="s">
        <v>43</v>
      </c>
    </row>
    <row r="233" spans="3:19" x14ac:dyDescent="0.25">
      <c r="C233" s="4" t="s">
        <v>723</v>
      </c>
      <c r="D233" s="4" t="s">
        <v>724</v>
      </c>
      <c r="E233" s="4" t="s">
        <v>725</v>
      </c>
      <c r="F233" s="4">
        <v>5</v>
      </c>
      <c r="G233" s="4" t="str">
        <f>VLOOKUP(C233,JUNIO!C232:G588,5,0)</f>
        <v>Abierta</v>
      </c>
      <c r="H233" s="4" t="s">
        <v>46</v>
      </c>
      <c r="I233" s="4" t="s">
        <v>1031</v>
      </c>
      <c r="J233" s="4" t="s">
        <v>84</v>
      </c>
      <c r="K233" s="4" t="s">
        <v>54</v>
      </c>
      <c r="L233" s="4" t="s">
        <v>55</v>
      </c>
      <c r="M233" s="4" t="s">
        <v>378</v>
      </c>
      <c r="N233" s="4" t="s">
        <v>723</v>
      </c>
      <c r="O233" s="4" t="s">
        <v>42</v>
      </c>
      <c r="P233" s="50" t="s">
        <v>440</v>
      </c>
      <c r="Q233" s="50">
        <v>35307792.291682079</v>
      </c>
      <c r="R233" s="50" t="s">
        <v>702</v>
      </c>
      <c r="S233" s="4" t="s">
        <v>43</v>
      </c>
    </row>
    <row r="234" spans="3:19" x14ac:dyDescent="0.25">
      <c r="C234" s="4" t="s">
        <v>819</v>
      </c>
      <c r="D234" s="4" t="s">
        <v>820</v>
      </c>
      <c r="E234" s="4" t="s">
        <v>820</v>
      </c>
      <c r="F234" s="4">
        <v>6</v>
      </c>
      <c r="G234" s="4" t="str">
        <f>VLOOKUP(C234,JUNIO!C233:G589,5,0)</f>
        <v>Abierta</v>
      </c>
      <c r="H234" s="4" t="s">
        <v>46</v>
      </c>
      <c r="I234" s="4" t="s">
        <v>1030</v>
      </c>
      <c r="J234" s="4" t="s">
        <v>146</v>
      </c>
      <c r="K234" s="4" t="s">
        <v>59</v>
      </c>
      <c r="L234" s="4" t="s">
        <v>40</v>
      </c>
      <c r="M234" s="4" t="s">
        <v>1035</v>
      </c>
      <c r="N234" s="4" t="s">
        <v>819</v>
      </c>
      <c r="O234" s="4" t="s">
        <v>42</v>
      </c>
      <c r="P234" s="50" t="s">
        <v>43</v>
      </c>
      <c r="Q234" s="50">
        <v>61958346.878262602</v>
      </c>
      <c r="R234" s="50" t="s">
        <v>799</v>
      </c>
      <c r="S234" s="4" t="s">
        <v>43</v>
      </c>
    </row>
    <row r="235" spans="3:19" x14ac:dyDescent="0.25">
      <c r="C235" s="4" t="s">
        <v>821</v>
      </c>
      <c r="D235" s="4" t="s">
        <v>822</v>
      </c>
      <c r="E235" s="4" t="s">
        <v>822</v>
      </c>
      <c r="F235" s="4">
        <v>5</v>
      </c>
      <c r="G235" s="4" t="str">
        <f>VLOOKUP(C235,JUNIO!C234:G590,5,0)</f>
        <v>Abierta</v>
      </c>
      <c r="H235" s="4" t="s">
        <v>46</v>
      </c>
      <c r="I235" s="4" t="s">
        <v>1030</v>
      </c>
      <c r="J235" s="4" t="s">
        <v>146</v>
      </c>
      <c r="K235" s="4" t="s">
        <v>59</v>
      </c>
      <c r="L235" s="4" t="s">
        <v>40</v>
      </c>
      <c r="M235" s="4" t="s">
        <v>1035</v>
      </c>
      <c r="N235" s="4" t="s">
        <v>821</v>
      </c>
      <c r="O235" s="4" t="s">
        <v>42</v>
      </c>
      <c r="P235" s="50" t="s">
        <v>43</v>
      </c>
      <c r="Q235" s="50">
        <v>53843486.859396905</v>
      </c>
      <c r="R235" s="50" t="s">
        <v>799</v>
      </c>
      <c r="S235" s="4" t="s">
        <v>43</v>
      </c>
    </row>
    <row r="236" spans="3:19" x14ac:dyDescent="0.25">
      <c r="C236" s="4" t="s">
        <v>203</v>
      </c>
      <c r="D236" s="4" t="s">
        <v>204</v>
      </c>
      <c r="E236" s="4" t="s">
        <v>204</v>
      </c>
      <c r="F236" s="4" t="s">
        <v>36</v>
      </c>
      <c r="G236" s="4" t="str">
        <f>VLOOKUP(C236,JUNIO!C235:G591,5,0)</f>
        <v>CIERRE DEFINITIVO</v>
      </c>
      <c r="H236" s="4" t="s">
        <v>46</v>
      </c>
      <c r="I236" s="4" t="s">
        <v>1030</v>
      </c>
      <c r="J236" s="4">
        <v>0</v>
      </c>
      <c r="K236" s="4" t="s">
        <v>205</v>
      </c>
      <c r="L236" s="4" t="s">
        <v>40</v>
      </c>
      <c r="M236" s="4">
        <v>0</v>
      </c>
      <c r="N236" s="4" t="s">
        <v>203</v>
      </c>
      <c r="O236" s="4" t="s">
        <v>42</v>
      </c>
      <c r="P236" s="50" t="s">
        <v>43</v>
      </c>
      <c r="Q236" s="50" t="s">
        <v>36</v>
      </c>
      <c r="R236" s="50">
        <v>0</v>
      </c>
      <c r="S236" s="4" t="s">
        <v>43</v>
      </c>
    </row>
    <row r="237" spans="3:19" x14ac:dyDescent="0.25">
      <c r="C237" s="4" t="s">
        <v>206</v>
      </c>
      <c r="D237" s="4" t="s">
        <v>207</v>
      </c>
      <c r="E237" s="4" t="s">
        <v>207</v>
      </c>
      <c r="F237" s="4" t="s">
        <v>36</v>
      </c>
      <c r="G237" s="4" t="str">
        <f>VLOOKUP(C237,JUNIO!C236:G592,5,0)</f>
        <v>CIERRE DEFINITIVO</v>
      </c>
      <c r="H237" s="4" t="s">
        <v>46</v>
      </c>
      <c r="I237" s="4" t="s">
        <v>1030</v>
      </c>
      <c r="J237" s="4" t="s">
        <v>58</v>
      </c>
      <c r="K237" s="4" t="s">
        <v>64</v>
      </c>
      <c r="L237" s="4" t="s">
        <v>40</v>
      </c>
      <c r="M237" s="4">
        <v>0</v>
      </c>
      <c r="N237" s="4" t="s">
        <v>206</v>
      </c>
      <c r="O237" s="4" t="s">
        <v>42</v>
      </c>
      <c r="P237" s="50" t="s">
        <v>43</v>
      </c>
      <c r="Q237" s="50" t="s">
        <v>36</v>
      </c>
      <c r="R237" s="50">
        <v>0</v>
      </c>
      <c r="S237" s="4" t="s">
        <v>43</v>
      </c>
    </row>
    <row r="238" spans="3:19" x14ac:dyDescent="0.25">
      <c r="C238" s="4" t="s">
        <v>758</v>
      </c>
      <c r="D238" s="4" t="s">
        <v>759</v>
      </c>
      <c r="E238" s="4" t="s">
        <v>760</v>
      </c>
      <c r="F238" s="4">
        <v>5</v>
      </c>
      <c r="G238" s="4" t="str">
        <f>VLOOKUP(C238,JUNIO!C237:G593,5,0)</f>
        <v>Abierta</v>
      </c>
      <c r="H238" s="4" t="s">
        <v>81</v>
      </c>
      <c r="I238" s="4" t="s">
        <v>1031</v>
      </c>
      <c r="J238" s="4" t="s">
        <v>84</v>
      </c>
      <c r="K238" s="4" t="s">
        <v>54</v>
      </c>
      <c r="L238" s="4" t="s">
        <v>55</v>
      </c>
      <c r="M238" s="4" t="s">
        <v>378</v>
      </c>
      <c r="N238" s="4" t="s">
        <v>758</v>
      </c>
      <c r="O238" s="4" t="s">
        <v>42</v>
      </c>
      <c r="P238" s="50" t="s">
        <v>43</v>
      </c>
      <c r="Q238" s="50">
        <v>41824749.018000007</v>
      </c>
      <c r="R238" s="50" t="s">
        <v>741</v>
      </c>
      <c r="S238" s="4" t="s">
        <v>43</v>
      </c>
    </row>
    <row r="239" spans="3:19" x14ac:dyDescent="0.25">
      <c r="C239" s="4" t="s">
        <v>208</v>
      </c>
      <c r="D239" s="4" t="s">
        <v>209</v>
      </c>
      <c r="E239" s="4" t="s">
        <v>209</v>
      </c>
      <c r="F239" s="4" t="s">
        <v>36</v>
      </c>
      <c r="G239" s="4" t="str">
        <f>VLOOKUP(C239,JUNIO!C238:G594,5,0)</f>
        <v>CIERRE DEFINITIVO</v>
      </c>
      <c r="H239" s="4" t="s">
        <v>81</v>
      </c>
      <c r="I239" s="4" t="s">
        <v>1030</v>
      </c>
      <c r="J239" s="4">
        <v>0</v>
      </c>
      <c r="K239" s="4" t="s">
        <v>78</v>
      </c>
      <c r="L239" s="4" t="s">
        <v>40</v>
      </c>
      <c r="M239" s="4">
        <v>0</v>
      </c>
      <c r="N239" s="4" t="s">
        <v>208</v>
      </c>
      <c r="O239" s="4" t="s">
        <v>42</v>
      </c>
      <c r="P239" s="50" t="s">
        <v>43</v>
      </c>
      <c r="Q239" s="50" t="s">
        <v>36</v>
      </c>
      <c r="R239" s="50">
        <v>0</v>
      </c>
      <c r="S239" s="4" t="s">
        <v>43</v>
      </c>
    </row>
    <row r="240" spans="3:19" x14ac:dyDescent="0.25">
      <c r="C240" s="4" t="s">
        <v>606</v>
      </c>
      <c r="D240" s="4" t="s">
        <v>607</v>
      </c>
      <c r="E240" s="4" t="s">
        <v>608</v>
      </c>
      <c r="F240" s="4">
        <v>5</v>
      </c>
      <c r="G240" s="4" t="str">
        <f>VLOOKUP(C240,JUNIO!C239:G595,5,0)</f>
        <v>Abierta</v>
      </c>
      <c r="H240" s="4" t="s">
        <v>46</v>
      </c>
      <c r="I240" s="4" t="s">
        <v>1030</v>
      </c>
      <c r="J240" s="4" t="s">
        <v>50</v>
      </c>
      <c r="K240" s="4" t="s">
        <v>609</v>
      </c>
      <c r="L240" s="4" t="s">
        <v>40</v>
      </c>
      <c r="M240" s="4" t="s">
        <v>514</v>
      </c>
      <c r="N240" s="4" t="s">
        <v>606</v>
      </c>
      <c r="O240" s="4" t="s">
        <v>42</v>
      </c>
      <c r="P240" s="50" t="s">
        <v>43</v>
      </c>
      <c r="Q240" s="50">
        <v>37631651.086500004</v>
      </c>
      <c r="R240" s="50" t="s">
        <v>597</v>
      </c>
      <c r="S240" s="4" t="s">
        <v>43</v>
      </c>
    </row>
    <row r="241" spans="3:19" x14ac:dyDescent="0.25">
      <c r="C241" s="4" t="s">
        <v>210</v>
      </c>
      <c r="D241" s="4" t="s">
        <v>211</v>
      </c>
      <c r="E241" s="4" t="s">
        <v>212</v>
      </c>
      <c r="F241" s="4" t="s">
        <v>36</v>
      </c>
      <c r="G241" s="4" t="str">
        <f>VLOOKUP(C241,JUNIO!C240:G596,5,0)</f>
        <v>CIERRE DEFINITIVO</v>
      </c>
      <c r="H241" s="4" t="s">
        <v>46</v>
      </c>
      <c r="I241" s="4" t="s">
        <v>1030</v>
      </c>
      <c r="J241" s="4">
        <v>0</v>
      </c>
      <c r="K241" s="4" t="s">
        <v>59</v>
      </c>
      <c r="L241" s="4" t="s">
        <v>40</v>
      </c>
      <c r="M241" s="4">
        <v>0</v>
      </c>
      <c r="N241" s="4" t="s">
        <v>210</v>
      </c>
      <c r="O241" s="4" t="s">
        <v>42</v>
      </c>
      <c r="P241" s="50" t="s">
        <v>43</v>
      </c>
      <c r="Q241" s="50" t="s">
        <v>36</v>
      </c>
      <c r="R241" s="50">
        <v>0</v>
      </c>
      <c r="S241" s="4" t="s">
        <v>43</v>
      </c>
    </row>
    <row r="242" spans="3:19" x14ac:dyDescent="0.25">
      <c r="C242" s="4" t="s">
        <v>213</v>
      </c>
      <c r="D242" s="4" t="s">
        <v>214</v>
      </c>
      <c r="E242" s="4" t="s">
        <v>214</v>
      </c>
      <c r="F242" s="4" t="s">
        <v>36</v>
      </c>
      <c r="G242" s="4" t="str">
        <f>VLOOKUP(C242,JUNIO!C241:G597,5,0)</f>
        <v>CIERRE DEFINITIVO</v>
      </c>
      <c r="H242" s="4" t="s">
        <v>202</v>
      </c>
      <c r="I242" s="4" t="s">
        <v>1030</v>
      </c>
      <c r="J242" s="4">
        <v>0</v>
      </c>
      <c r="K242" s="4" t="s">
        <v>59</v>
      </c>
      <c r="L242" s="4" t="s">
        <v>40</v>
      </c>
      <c r="M242" s="4">
        <v>0</v>
      </c>
      <c r="N242" s="4" t="s">
        <v>213</v>
      </c>
      <c r="O242" s="4" t="s">
        <v>42</v>
      </c>
      <c r="P242" s="50" t="s">
        <v>43</v>
      </c>
      <c r="Q242" s="50" t="s">
        <v>36</v>
      </c>
      <c r="R242" s="50">
        <v>0</v>
      </c>
      <c r="S242" s="4" t="s">
        <v>43</v>
      </c>
    </row>
    <row r="243" spans="3:19" x14ac:dyDescent="0.25">
      <c r="C243" s="4" t="s">
        <v>215</v>
      </c>
      <c r="D243" s="4" t="s">
        <v>216</v>
      </c>
      <c r="E243" s="4" t="s">
        <v>216</v>
      </c>
      <c r="F243" s="4" t="s">
        <v>36</v>
      </c>
      <c r="G243" s="4" t="str">
        <f>VLOOKUP(C243,JUNIO!C242:G598,5,0)</f>
        <v>CIERRE DEFINITIVO</v>
      </c>
      <c r="H243" s="4" t="s">
        <v>81</v>
      </c>
      <c r="I243" s="4" t="s">
        <v>1030</v>
      </c>
      <c r="J243" s="4" t="s">
        <v>67</v>
      </c>
      <c r="K243" s="4" t="s">
        <v>138</v>
      </c>
      <c r="L243" s="4" t="s">
        <v>40</v>
      </c>
      <c r="M243" s="4">
        <v>0</v>
      </c>
      <c r="N243" s="4" t="s">
        <v>215</v>
      </c>
      <c r="O243" s="4" t="s">
        <v>42</v>
      </c>
      <c r="P243" s="50" t="s">
        <v>43</v>
      </c>
      <c r="Q243" s="50" t="s">
        <v>36</v>
      </c>
      <c r="R243" s="50">
        <v>0</v>
      </c>
      <c r="S243" s="4" t="s">
        <v>43</v>
      </c>
    </row>
    <row r="244" spans="3:19" x14ac:dyDescent="0.25">
      <c r="C244" s="4" t="s">
        <v>548</v>
      </c>
      <c r="D244" s="4" t="s">
        <v>549</v>
      </c>
      <c r="E244" s="4" t="s">
        <v>550</v>
      </c>
      <c r="F244" s="4">
        <v>5</v>
      </c>
      <c r="G244" s="4" t="str">
        <f>VLOOKUP(C244,JUNIO!C243:G599,5,0)</f>
        <v>Abierta</v>
      </c>
      <c r="H244" s="4" t="s">
        <v>81</v>
      </c>
      <c r="I244" s="4" t="s">
        <v>1030</v>
      </c>
      <c r="J244" s="4" t="s">
        <v>100</v>
      </c>
      <c r="K244" s="4" t="s">
        <v>138</v>
      </c>
      <c r="L244" s="4" t="s">
        <v>40</v>
      </c>
      <c r="M244" s="4" t="s">
        <v>514</v>
      </c>
      <c r="N244" s="4" t="s">
        <v>548</v>
      </c>
      <c r="O244" s="4" t="s">
        <v>42</v>
      </c>
      <c r="P244" s="50" t="s">
        <v>43</v>
      </c>
      <c r="Q244" s="50">
        <v>29671640</v>
      </c>
      <c r="R244" s="50" t="s">
        <v>515</v>
      </c>
      <c r="S244" s="4" t="s">
        <v>43</v>
      </c>
    </row>
    <row r="245" spans="3:19" x14ac:dyDescent="0.25">
      <c r="C245" s="4" t="s">
        <v>726</v>
      </c>
      <c r="D245" s="4" t="s">
        <v>727</v>
      </c>
      <c r="E245" s="4" t="s">
        <v>727</v>
      </c>
      <c r="F245" s="4">
        <v>5</v>
      </c>
      <c r="G245" s="4" t="str">
        <f>VLOOKUP(C245,JUNIO!C244:G600,5,0)</f>
        <v>Abierta</v>
      </c>
      <c r="H245" s="4" t="s">
        <v>81</v>
      </c>
      <c r="I245" s="4" t="s">
        <v>1030</v>
      </c>
      <c r="J245" s="4" t="s">
        <v>84</v>
      </c>
      <c r="K245" s="4" t="s">
        <v>54</v>
      </c>
      <c r="L245" s="4" t="s">
        <v>55</v>
      </c>
      <c r="M245" s="4" t="s">
        <v>378</v>
      </c>
      <c r="N245" s="4" t="s">
        <v>726</v>
      </c>
      <c r="O245" s="4" t="s">
        <v>42</v>
      </c>
      <c r="P245" s="50" t="s">
        <v>43</v>
      </c>
      <c r="Q245" s="50">
        <v>27641926.744415998</v>
      </c>
      <c r="R245" s="50" t="s">
        <v>702</v>
      </c>
      <c r="S245" s="4" t="s">
        <v>43</v>
      </c>
    </row>
    <row r="246" spans="3:19" x14ac:dyDescent="0.25">
      <c r="C246" s="4" t="s">
        <v>217</v>
      </c>
      <c r="D246" s="4" t="s">
        <v>218</v>
      </c>
      <c r="E246" s="4"/>
      <c r="F246" s="4" t="s">
        <v>36</v>
      </c>
      <c r="G246" s="4" t="str">
        <f>VLOOKUP(C246,JUNIO!C245:G601,5,0)</f>
        <v>CIERRE DEFINITIVO</v>
      </c>
      <c r="H246" s="4" t="s">
        <v>81</v>
      </c>
      <c r="I246" s="4" t="s">
        <v>1030</v>
      </c>
      <c r="J246" s="4">
        <v>0</v>
      </c>
      <c r="K246" s="4" t="s">
        <v>59</v>
      </c>
      <c r="L246" s="4" t="s">
        <v>40</v>
      </c>
      <c r="M246" s="4">
        <v>0</v>
      </c>
      <c r="N246" s="4" t="s">
        <v>217</v>
      </c>
      <c r="O246" s="4" t="s">
        <v>42</v>
      </c>
      <c r="P246" s="50" t="s">
        <v>43</v>
      </c>
      <c r="Q246" s="50" t="s">
        <v>36</v>
      </c>
      <c r="R246" s="50">
        <v>0</v>
      </c>
      <c r="S246" s="4" t="s">
        <v>43</v>
      </c>
    </row>
    <row r="247" spans="3:19" x14ac:dyDescent="0.25">
      <c r="C247" s="4" t="s">
        <v>551</v>
      </c>
      <c r="D247" s="4" t="s">
        <v>552</v>
      </c>
      <c r="E247" s="4" t="s">
        <v>999</v>
      </c>
      <c r="F247" s="4">
        <v>5</v>
      </c>
      <c r="G247" s="4" t="str">
        <f>VLOOKUP(C247,JUNIO!C246:G602,5,0)</f>
        <v>Abierta</v>
      </c>
      <c r="H247" s="4" t="s">
        <v>46</v>
      </c>
      <c r="I247" s="4" t="s">
        <v>1030</v>
      </c>
      <c r="J247" s="4" t="s">
        <v>100</v>
      </c>
      <c r="K247" s="4" t="s">
        <v>138</v>
      </c>
      <c r="L247" s="4" t="s">
        <v>40</v>
      </c>
      <c r="M247" s="4" t="s">
        <v>514</v>
      </c>
      <c r="N247" s="4" t="s">
        <v>551</v>
      </c>
      <c r="O247" s="4" t="s">
        <v>42</v>
      </c>
      <c r="P247" s="50" t="s">
        <v>440</v>
      </c>
      <c r="Q247" s="50">
        <v>25989045.600113999</v>
      </c>
      <c r="R247" s="50" t="s">
        <v>515</v>
      </c>
      <c r="S247" s="4" t="s">
        <v>43</v>
      </c>
    </row>
    <row r="248" spans="3:19" x14ac:dyDescent="0.25">
      <c r="C248" s="4" t="s">
        <v>219</v>
      </c>
      <c r="D248" s="4" t="s">
        <v>220</v>
      </c>
      <c r="E248" s="4" t="s">
        <v>220</v>
      </c>
      <c r="F248" s="4" t="s">
        <v>36</v>
      </c>
      <c r="G248" s="4" t="str">
        <f>VLOOKUP(C248,JUNIO!C247:G603,5,0)</f>
        <v>CIERRE DEFINITIVO</v>
      </c>
      <c r="H248" s="4" t="s">
        <v>38</v>
      </c>
      <c r="I248" s="4" t="s">
        <v>1030</v>
      </c>
      <c r="J248" s="4" t="s">
        <v>100</v>
      </c>
      <c r="K248" s="4" t="s">
        <v>59</v>
      </c>
      <c r="L248" s="4" t="s">
        <v>40</v>
      </c>
      <c r="M248" s="4">
        <v>0</v>
      </c>
      <c r="N248" s="4" t="s">
        <v>219</v>
      </c>
      <c r="O248" s="4" t="s">
        <v>42</v>
      </c>
      <c r="P248" s="50" t="s">
        <v>43</v>
      </c>
      <c r="Q248" s="50" t="s">
        <v>36</v>
      </c>
      <c r="R248" s="50">
        <v>0</v>
      </c>
      <c r="S248" s="4" t="s">
        <v>43</v>
      </c>
    </row>
    <row r="249" spans="3:19" x14ac:dyDescent="0.25">
      <c r="C249" s="4" t="s">
        <v>221</v>
      </c>
      <c r="D249" s="4" t="s">
        <v>222</v>
      </c>
      <c r="E249" s="4" t="s">
        <v>223</v>
      </c>
      <c r="F249" s="4" t="s">
        <v>36</v>
      </c>
      <c r="G249" s="4" t="str">
        <f>VLOOKUP(C249,JUNIO!C248:G604,5,0)</f>
        <v>CIERRE DEFINITIVO</v>
      </c>
      <c r="H249" s="4" t="s">
        <v>38</v>
      </c>
      <c r="I249" s="4" t="s">
        <v>1030</v>
      </c>
      <c r="J249" s="4">
        <v>0</v>
      </c>
      <c r="K249" s="4" t="s">
        <v>47</v>
      </c>
      <c r="L249" s="4" t="s">
        <v>40</v>
      </c>
      <c r="M249" s="4">
        <v>0</v>
      </c>
      <c r="N249" s="4" t="s">
        <v>221</v>
      </c>
      <c r="O249" s="4" t="s">
        <v>42</v>
      </c>
      <c r="P249" s="50" t="s">
        <v>43</v>
      </c>
      <c r="Q249" s="50" t="s">
        <v>36</v>
      </c>
      <c r="R249" s="50">
        <v>0</v>
      </c>
      <c r="S249" s="4" t="s">
        <v>43</v>
      </c>
    </row>
    <row r="250" spans="3:19" x14ac:dyDescent="0.25">
      <c r="C250" s="4" t="s">
        <v>224</v>
      </c>
      <c r="D250" s="4" t="s">
        <v>225</v>
      </c>
      <c r="E250" s="4" t="s">
        <v>226</v>
      </c>
      <c r="F250" s="4" t="s">
        <v>36</v>
      </c>
      <c r="G250" s="4" t="str">
        <f>VLOOKUP(C250,JUNIO!C249:G605,5,0)</f>
        <v>CIERRE DEFINITIVO</v>
      </c>
      <c r="H250" s="4" t="s">
        <v>38</v>
      </c>
      <c r="I250" s="4" t="s">
        <v>1030</v>
      </c>
      <c r="J250" s="4">
        <v>0</v>
      </c>
      <c r="K250" s="4" t="s">
        <v>59</v>
      </c>
      <c r="L250" s="4" t="s">
        <v>40</v>
      </c>
      <c r="M250" s="4">
        <v>0</v>
      </c>
      <c r="N250" s="4" t="s">
        <v>224</v>
      </c>
      <c r="O250" s="4" t="s">
        <v>42</v>
      </c>
      <c r="P250" s="50" t="s">
        <v>43</v>
      </c>
      <c r="Q250" s="50" t="s">
        <v>36</v>
      </c>
      <c r="R250" s="50">
        <v>0</v>
      </c>
      <c r="S250" s="4" t="s">
        <v>43</v>
      </c>
    </row>
    <row r="251" spans="3:19" x14ac:dyDescent="0.25">
      <c r="C251" s="4" t="s">
        <v>502</v>
      </c>
      <c r="D251" s="4" t="s">
        <v>503</v>
      </c>
      <c r="E251" s="4" t="s">
        <v>504</v>
      </c>
      <c r="F251" s="4">
        <v>5</v>
      </c>
      <c r="G251" s="4" t="str">
        <f>VLOOKUP(C251,JUNIO!C250:G606,5,0)</f>
        <v>Abierta</v>
      </c>
      <c r="H251" s="4" t="s">
        <v>46</v>
      </c>
      <c r="I251" s="4" t="s">
        <v>1030</v>
      </c>
      <c r="J251" s="4" t="s">
        <v>466</v>
      </c>
      <c r="K251" s="4" t="s">
        <v>51</v>
      </c>
      <c r="L251" s="4" t="s">
        <v>40</v>
      </c>
      <c r="M251" s="4" t="s">
        <v>1035</v>
      </c>
      <c r="N251" s="4" t="s">
        <v>502</v>
      </c>
      <c r="O251" s="4" t="s">
        <v>42</v>
      </c>
      <c r="P251" s="50" t="s">
        <v>43</v>
      </c>
      <c r="Q251" s="50">
        <v>34239181.775492333</v>
      </c>
      <c r="R251" s="50" t="s">
        <v>467</v>
      </c>
      <c r="S251" s="4" t="s">
        <v>43</v>
      </c>
    </row>
    <row r="252" spans="3:19" x14ac:dyDescent="0.25">
      <c r="C252" s="4" t="s">
        <v>227</v>
      </c>
      <c r="D252" s="4" t="s">
        <v>228</v>
      </c>
      <c r="E252" s="4" t="s">
        <v>229</v>
      </c>
      <c r="F252" s="4" t="s">
        <v>36</v>
      </c>
      <c r="G252" s="4" t="str">
        <f>VLOOKUP(C252,JUNIO!C251:G607,5,0)</f>
        <v>CIERRE DEFINITIVO</v>
      </c>
      <c r="H252" s="4" t="s">
        <v>38</v>
      </c>
      <c r="I252" s="4" t="s">
        <v>1030</v>
      </c>
      <c r="J252" s="4">
        <v>0</v>
      </c>
      <c r="K252" s="4" t="s">
        <v>54</v>
      </c>
      <c r="L252" s="4" t="s">
        <v>55</v>
      </c>
      <c r="M252" s="4">
        <v>0</v>
      </c>
      <c r="N252" s="4" t="s">
        <v>227</v>
      </c>
      <c r="O252" s="4" t="s">
        <v>42</v>
      </c>
      <c r="P252" s="50" t="s">
        <v>43</v>
      </c>
      <c r="Q252" s="50" t="s">
        <v>36</v>
      </c>
      <c r="R252" s="50">
        <v>0</v>
      </c>
      <c r="S252" s="4" t="s">
        <v>43</v>
      </c>
    </row>
    <row r="253" spans="3:19" x14ac:dyDescent="0.25">
      <c r="C253" s="4" t="s">
        <v>728</v>
      </c>
      <c r="D253" s="4" t="s">
        <v>729</v>
      </c>
      <c r="E253" s="4" t="s">
        <v>730</v>
      </c>
      <c r="F253" s="4">
        <v>5</v>
      </c>
      <c r="G253" s="4" t="str">
        <f>VLOOKUP(C253,JUNIO!C252:G608,5,0)</f>
        <v>Abierta</v>
      </c>
      <c r="H253" s="4" t="s">
        <v>46</v>
      </c>
      <c r="I253" s="4" t="s">
        <v>1031</v>
      </c>
      <c r="J253" s="4" t="s">
        <v>84</v>
      </c>
      <c r="K253" s="4" t="s">
        <v>722</v>
      </c>
      <c r="L253" s="4" t="s">
        <v>55</v>
      </c>
      <c r="M253" s="4" t="s">
        <v>378</v>
      </c>
      <c r="N253" s="4" t="s">
        <v>728</v>
      </c>
      <c r="O253" s="4" t="s">
        <v>42</v>
      </c>
      <c r="P253" s="50" t="s">
        <v>440</v>
      </c>
      <c r="Q253" s="50">
        <v>35048283.8462625</v>
      </c>
      <c r="R253" s="50" t="s">
        <v>702</v>
      </c>
      <c r="S253" s="4" t="s">
        <v>43</v>
      </c>
    </row>
    <row r="254" spans="3:19" x14ac:dyDescent="0.25">
      <c r="C254" s="4" t="s">
        <v>230</v>
      </c>
      <c r="D254" s="4" t="s">
        <v>231</v>
      </c>
      <c r="E254" s="4" t="s">
        <v>232</v>
      </c>
      <c r="F254" s="4" t="s">
        <v>36</v>
      </c>
      <c r="G254" s="4" t="str">
        <f>VLOOKUP(C254,JUNIO!C253:G609,5,0)</f>
        <v>CIERRE DEFINITIVO</v>
      </c>
      <c r="H254" s="4" t="s">
        <v>38</v>
      </c>
      <c r="I254" s="4" t="s">
        <v>1030</v>
      </c>
      <c r="J254" s="4" t="s">
        <v>84</v>
      </c>
      <c r="K254" s="4" t="s">
        <v>54</v>
      </c>
      <c r="L254" s="4" t="s">
        <v>55</v>
      </c>
      <c r="M254" s="4">
        <v>0</v>
      </c>
      <c r="N254" s="4" t="s">
        <v>230</v>
      </c>
      <c r="O254" s="4" t="s">
        <v>42</v>
      </c>
      <c r="P254" s="50" t="s">
        <v>43</v>
      </c>
      <c r="Q254" s="50" t="s">
        <v>36</v>
      </c>
      <c r="R254" s="50" t="s">
        <v>702</v>
      </c>
      <c r="S254" s="4" t="s">
        <v>43</v>
      </c>
    </row>
    <row r="255" spans="3:19" x14ac:dyDescent="0.25">
      <c r="C255" s="4" t="s">
        <v>233</v>
      </c>
      <c r="D255" s="4" t="s">
        <v>234</v>
      </c>
      <c r="E255" s="4" t="s">
        <v>235</v>
      </c>
      <c r="F255" s="4" t="s">
        <v>36</v>
      </c>
      <c r="G255" s="4" t="str">
        <f>VLOOKUP(C255,JUNIO!C254:G610,5,0)</f>
        <v>CIERRE DEFINITIVO</v>
      </c>
      <c r="H255" s="4" t="s">
        <v>38</v>
      </c>
      <c r="I255" s="4" t="s">
        <v>1030</v>
      </c>
      <c r="J255" s="4" t="s">
        <v>84</v>
      </c>
      <c r="K255" s="4" t="s">
        <v>54</v>
      </c>
      <c r="L255" s="4" t="s">
        <v>55</v>
      </c>
      <c r="M255" s="4">
        <v>0</v>
      </c>
      <c r="N255" s="4" t="s">
        <v>233</v>
      </c>
      <c r="O255" s="4" t="s">
        <v>42</v>
      </c>
      <c r="P255" s="50" t="s">
        <v>43</v>
      </c>
      <c r="Q255" s="50" t="s">
        <v>36</v>
      </c>
      <c r="R255" s="50">
        <v>0</v>
      </c>
      <c r="S255" s="4" t="s">
        <v>43</v>
      </c>
    </row>
    <row r="256" spans="3:19" x14ac:dyDescent="0.25">
      <c r="C256" s="4" t="s">
        <v>236</v>
      </c>
      <c r="D256" s="4" t="s">
        <v>237</v>
      </c>
      <c r="E256" s="4" t="s">
        <v>237</v>
      </c>
      <c r="F256" s="4" t="s">
        <v>36</v>
      </c>
      <c r="G256" s="4" t="str">
        <f>VLOOKUP(C256,JUNIO!C255:G611,5,0)</f>
        <v>CIERRE DEFINITIVO</v>
      </c>
      <c r="H256" s="4" t="s">
        <v>38</v>
      </c>
      <c r="I256" s="4" t="s">
        <v>1030</v>
      </c>
      <c r="J256" s="4">
        <v>0</v>
      </c>
      <c r="K256" s="4" t="s">
        <v>59</v>
      </c>
      <c r="L256" s="4" t="s">
        <v>40</v>
      </c>
      <c r="M256" s="4">
        <v>0</v>
      </c>
      <c r="N256" s="4" t="s">
        <v>236</v>
      </c>
      <c r="O256" s="4" t="s">
        <v>42</v>
      </c>
      <c r="P256" s="50" t="s">
        <v>43</v>
      </c>
      <c r="Q256" s="50" t="s">
        <v>36</v>
      </c>
      <c r="R256" s="50">
        <v>0</v>
      </c>
      <c r="S256" s="4" t="s">
        <v>43</v>
      </c>
    </row>
    <row r="257" spans="3:19" x14ac:dyDescent="0.25">
      <c r="C257" s="4" t="s">
        <v>238</v>
      </c>
      <c r="D257" s="4" t="s">
        <v>239</v>
      </c>
      <c r="E257" s="4" t="s">
        <v>240</v>
      </c>
      <c r="F257" s="4" t="s">
        <v>36</v>
      </c>
      <c r="G257" s="4" t="str">
        <f>VLOOKUP(C257,JUNIO!C256:G612,5,0)</f>
        <v>CIERRE DEFINITIVO</v>
      </c>
      <c r="H257" s="4" t="s">
        <v>38</v>
      </c>
      <c r="I257" s="4" t="s">
        <v>1030</v>
      </c>
      <c r="J257" s="4" t="s">
        <v>146</v>
      </c>
      <c r="K257" s="4" t="s">
        <v>59</v>
      </c>
      <c r="L257" s="4" t="s">
        <v>40</v>
      </c>
      <c r="M257" s="4">
        <v>0</v>
      </c>
      <c r="N257" s="4" t="s">
        <v>238</v>
      </c>
      <c r="O257" s="4" t="s">
        <v>42</v>
      </c>
      <c r="P257" s="50" t="s">
        <v>43</v>
      </c>
      <c r="Q257" s="50" t="s">
        <v>36</v>
      </c>
      <c r="R257" s="50">
        <v>0</v>
      </c>
      <c r="S257" s="4" t="s">
        <v>43</v>
      </c>
    </row>
    <row r="258" spans="3:19" x14ac:dyDescent="0.25">
      <c r="C258" s="4" t="s">
        <v>962</v>
      </c>
      <c r="D258" s="4" t="s">
        <v>963</v>
      </c>
      <c r="E258" s="4" t="s">
        <v>964</v>
      </c>
      <c r="F258" s="4">
        <v>5</v>
      </c>
      <c r="G258" s="4" t="str">
        <f>VLOOKUP(C258,JUNIO!C257:G613,5,0)</f>
        <v>Abierta</v>
      </c>
      <c r="H258" s="4" t="s">
        <v>46</v>
      </c>
      <c r="I258" s="4" t="s">
        <v>1030</v>
      </c>
      <c r="J258" s="4" t="s">
        <v>160</v>
      </c>
      <c r="K258" s="4" t="s">
        <v>371</v>
      </c>
      <c r="L258" s="4" t="s">
        <v>40</v>
      </c>
      <c r="M258" s="4" t="s">
        <v>984</v>
      </c>
      <c r="N258" s="4" t="s">
        <v>962</v>
      </c>
      <c r="O258" s="4" t="s">
        <v>42</v>
      </c>
      <c r="P258" s="50" t="s">
        <v>440</v>
      </c>
      <c r="Q258" s="50">
        <v>33269122.626869258</v>
      </c>
      <c r="R258" s="50" t="s">
        <v>931</v>
      </c>
      <c r="S258" s="4" t="s">
        <v>43</v>
      </c>
    </row>
    <row r="259" spans="3:19" x14ac:dyDescent="0.25">
      <c r="C259" s="4" t="s">
        <v>687</v>
      </c>
      <c r="D259" s="4" t="s">
        <v>688</v>
      </c>
      <c r="E259" s="4" t="s">
        <v>689</v>
      </c>
      <c r="F259" s="4">
        <v>6</v>
      </c>
      <c r="G259" s="4" t="str">
        <f>VLOOKUP(C259,JUNIO!C258:G614,5,0)</f>
        <v>Abierta</v>
      </c>
      <c r="H259" s="4" t="s">
        <v>46</v>
      </c>
      <c r="I259" s="4" t="s">
        <v>1030</v>
      </c>
      <c r="J259" s="4" t="s">
        <v>248</v>
      </c>
      <c r="K259" s="4" t="s">
        <v>51</v>
      </c>
      <c r="L259" s="4" t="s">
        <v>40</v>
      </c>
      <c r="M259" s="4" t="s">
        <v>984</v>
      </c>
      <c r="N259" s="4" t="s">
        <v>687</v>
      </c>
      <c r="O259" s="4" t="s">
        <v>42</v>
      </c>
      <c r="P259" s="50" t="s">
        <v>440</v>
      </c>
      <c r="Q259" s="50">
        <v>34746961.906567529</v>
      </c>
      <c r="R259" s="50" t="s">
        <v>51</v>
      </c>
      <c r="S259" s="4" t="s">
        <v>43</v>
      </c>
    </row>
    <row r="260" spans="3:19" x14ac:dyDescent="0.25">
      <c r="C260" s="4" t="s">
        <v>241</v>
      </c>
      <c r="D260" s="4" t="s">
        <v>242</v>
      </c>
      <c r="E260" s="4" t="s">
        <v>243</v>
      </c>
      <c r="F260" s="4" t="s">
        <v>36</v>
      </c>
      <c r="G260" s="4" t="str">
        <f>VLOOKUP(C260,JUNIO!C259:G615,5,0)</f>
        <v>CIERRE DEFINITIVO</v>
      </c>
      <c r="H260" s="4" t="s">
        <v>38</v>
      </c>
      <c r="I260" s="4" t="s">
        <v>1030</v>
      </c>
      <c r="J260" s="4" t="s">
        <v>132</v>
      </c>
      <c r="K260" s="4" t="s">
        <v>64</v>
      </c>
      <c r="L260" s="4" t="s">
        <v>40</v>
      </c>
      <c r="M260" s="4">
        <v>0</v>
      </c>
      <c r="N260" s="4" t="s">
        <v>241</v>
      </c>
      <c r="O260" s="4" t="s">
        <v>42</v>
      </c>
      <c r="P260" s="50" t="s">
        <v>43</v>
      </c>
      <c r="Q260" s="50" t="s">
        <v>36</v>
      </c>
      <c r="R260" s="50">
        <v>0</v>
      </c>
      <c r="S260" s="4" t="s">
        <v>43</v>
      </c>
    </row>
    <row r="261" spans="3:19" x14ac:dyDescent="0.25">
      <c r="C261" s="4" t="s">
        <v>244</v>
      </c>
      <c r="D261" s="4" t="s">
        <v>245</v>
      </c>
      <c r="E261" s="4" t="s">
        <v>245</v>
      </c>
      <c r="F261" s="4" t="s">
        <v>36</v>
      </c>
      <c r="G261" s="4" t="str">
        <f>VLOOKUP(C261,JUNIO!C260:G616,5,0)</f>
        <v>CIERRE DEFINITIVO</v>
      </c>
      <c r="H261" s="4" t="s">
        <v>81</v>
      </c>
      <c r="I261" s="4" t="s">
        <v>1030</v>
      </c>
      <c r="J261" s="4">
        <v>0</v>
      </c>
      <c r="K261" s="4" t="s">
        <v>133</v>
      </c>
      <c r="L261" s="4" t="s">
        <v>40</v>
      </c>
      <c r="M261" s="4">
        <v>0</v>
      </c>
      <c r="N261" s="4" t="s">
        <v>244</v>
      </c>
      <c r="O261" s="4" t="s">
        <v>42</v>
      </c>
      <c r="P261" s="50" t="s">
        <v>43</v>
      </c>
      <c r="Q261" s="50" t="s">
        <v>36</v>
      </c>
      <c r="R261" s="50">
        <v>0</v>
      </c>
      <c r="S261" s="4" t="s">
        <v>43</v>
      </c>
    </row>
    <row r="262" spans="3:19" x14ac:dyDescent="0.25">
      <c r="C262" s="4" t="s">
        <v>246</v>
      </c>
      <c r="D262" s="4" t="s">
        <v>247</v>
      </c>
      <c r="E262" s="4" t="s">
        <v>247</v>
      </c>
      <c r="F262" s="4" t="s">
        <v>36</v>
      </c>
      <c r="G262" s="4" t="str">
        <f>VLOOKUP(C262,JUNIO!C261:G617,5,0)</f>
        <v>CIERRE DEFINITIVO</v>
      </c>
      <c r="H262" s="4" t="s">
        <v>38</v>
      </c>
      <c r="I262" s="4" t="s">
        <v>1030</v>
      </c>
      <c r="J262" s="4" t="s">
        <v>248</v>
      </c>
      <c r="K262" s="4" t="s">
        <v>138</v>
      </c>
      <c r="L262" s="4" t="s">
        <v>40</v>
      </c>
      <c r="M262" s="4">
        <v>0</v>
      </c>
      <c r="N262" s="4" t="s">
        <v>246</v>
      </c>
      <c r="O262" s="4" t="s">
        <v>42</v>
      </c>
      <c r="P262" s="50" t="s">
        <v>43</v>
      </c>
      <c r="Q262" s="50" t="s">
        <v>36</v>
      </c>
      <c r="R262" s="50">
        <v>0</v>
      </c>
      <c r="S262" s="4" t="s">
        <v>43</v>
      </c>
    </row>
    <row r="263" spans="3:19" x14ac:dyDescent="0.25">
      <c r="C263" s="4" t="s">
        <v>249</v>
      </c>
      <c r="D263" s="4" t="s">
        <v>250</v>
      </c>
      <c r="E263" s="4" t="s">
        <v>250</v>
      </c>
      <c r="F263" s="4" t="s">
        <v>36</v>
      </c>
      <c r="G263" s="4" t="str">
        <f>VLOOKUP(C263,JUNIO!C262:G618,5,0)</f>
        <v>CIERRE DEFINITIVO</v>
      </c>
      <c r="H263" s="4" t="s">
        <v>38</v>
      </c>
      <c r="I263" s="4" t="s">
        <v>1030</v>
      </c>
      <c r="J263" s="4" t="s">
        <v>94</v>
      </c>
      <c r="K263" s="4" t="s">
        <v>138</v>
      </c>
      <c r="L263" s="4" t="s">
        <v>40</v>
      </c>
      <c r="M263" s="4">
        <v>0</v>
      </c>
      <c r="N263" s="4" t="s">
        <v>249</v>
      </c>
      <c r="O263" s="4" t="s">
        <v>42</v>
      </c>
      <c r="P263" s="50" t="s">
        <v>43</v>
      </c>
      <c r="Q263" s="50" t="s">
        <v>36</v>
      </c>
      <c r="R263" s="50">
        <v>0</v>
      </c>
      <c r="S263" s="4" t="s">
        <v>43</v>
      </c>
    </row>
    <row r="264" spans="3:19" x14ac:dyDescent="0.25">
      <c r="C264" s="4" t="s">
        <v>251</v>
      </c>
      <c r="D264" s="4" t="s">
        <v>252</v>
      </c>
      <c r="E264" s="4" t="s">
        <v>253</v>
      </c>
      <c r="F264" s="4" t="s">
        <v>36</v>
      </c>
      <c r="G264" s="4" t="str">
        <f>VLOOKUP(C264,JUNIO!C263:G619,5,0)</f>
        <v>CIERRE DEFINITIVO</v>
      </c>
      <c r="H264" s="4" t="s">
        <v>38</v>
      </c>
      <c r="I264" s="4" t="s">
        <v>1030</v>
      </c>
      <c r="J264" s="4">
        <v>0</v>
      </c>
      <c r="K264" s="4" t="s">
        <v>64</v>
      </c>
      <c r="L264" s="4" t="s">
        <v>40</v>
      </c>
      <c r="M264" s="4">
        <v>0</v>
      </c>
      <c r="N264" s="4" t="s">
        <v>251</v>
      </c>
      <c r="O264" s="4" t="s">
        <v>42</v>
      </c>
      <c r="P264" s="50" t="s">
        <v>43</v>
      </c>
      <c r="Q264" s="50" t="s">
        <v>36</v>
      </c>
      <c r="R264" s="50">
        <v>0</v>
      </c>
      <c r="S264" s="4" t="s">
        <v>43</v>
      </c>
    </row>
    <row r="265" spans="3:19" x14ac:dyDescent="0.25">
      <c r="C265" s="4" t="s">
        <v>254</v>
      </c>
      <c r="D265" s="4" t="s">
        <v>255</v>
      </c>
      <c r="E265" s="4" t="s">
        <v>255</v>
      </c>
      <c r="F265" s="4" t="s">
        <v>36</v>
      </c>
      <c r="G265" s="4" t="str">
        <f>VLOOKUP(C265,JUNIO!C264:G620,5,0)</f>
        <v>CIERRE DEFINITIVO</v>
      </c>
      <c r="H265" s="4" t="s">
        <v>38</v>
      </c>
      <c r="I265" s="4" t="s">
        <v>1030</v>
      </c>
      <c r="J265" s="4">
        <v>0</v>
      </c>
      <c r="K265" s="4" t="s">
        <v>51</v>
      </c>
      <c r="L265" s="4" t="s">
        <v>40</v>
      </c>
      <c r="M265" s="4">
        <v>0</v>
      </c>
      <c r="N265" s="4" t="s">
        <v>254</v>
      </c>
      <c r="O265" s="4" t="s">
        <v>42</v>
      </c>
      <c r="P265" s="50" t="s">
        <v>43</v>
      </c>
      <c r="Q265" s="50" t="s">
        <v>36</v>
      </c>
      <c r="R265" s="50">
        <v>0</v>
      </c>
      <c r="S265" s="4" t="s">
        <v>43</v>
      </c>
    </row>
    <row r="266" spans="3:19" x14ac:dyDescent="0.25">
      <c r="C266" s="4" t="s">
        <v>590</v>
      </c>
      <c r="D266" s="4" t="s">
        <v>591</v>
      </c>
      <c r="E266" s="4" t="s">
        <v>591</v>
      </c>
      <c r="F266" s="4">
        <v>5</v>
      </c>
      <c r="G266" s="4" t="str">
        <f>VLOOKUP(C266,JUNIO!C265:G621,5,0)</f>
        <v>Abierta</v>
      </c>
      <c r="H266" s="4" t="s">
        <v>46</v>
      </c>
      <c r="I266" s="4" t="s">
        <v>1030</v>
      </c>
      <c r="J266" s="4" t="s">
        <v>331</v>
      </c>
      <c r="K266" s="4" t="s">
        <v>138</v>
      </c>
      <c r="L266" s="4" t="s">
        <v>40</v>
      </c>
      <c r="M266" s="4" t="s">
        <v>984</v>
      </c>
      <c r="N266" s="4" t="s">
        <v>590</v>
      </c>
      <c r="O266" s="4" t="s">
        <v>42</v>
      </c>
      <c r="P266" s="50" t="s">
        <v>43</v>
      </c>
      <c r="Q266" s="50">
        <v>56277137.379950821</v>
      </c>
      <c r="R266" s="50" t="s">
        <v>557</v>
      </c>
      <c r="S266" s="4" t="s">
        <v>43</v>
      </c>
    </row>
    <row r="267" spans="3:19" x14ac:dyDescent="0.25">
      <c r="C267" s="4" t="s">
        <v>447</v>
      </c>
      <c r="D267" s="4" t="s">
        <v>448</v>
      </c>
      <c r="E267" s="4" t="s">
        <v>449</v>
      </c>
      <c r="F267" s="4">
        <v>6</v>
      </c>
      <c r="G267" s="4" t="str">
        <f>VLOOKUP(C267,JUNIO!C266:G622,5,0)</f>
        <v>Abierta</v>
      </c>
      <c r="H267" s="4" t="s">
        <v>46</v>
      </c>
      <c r="I267" s="4" t="s">
        <v>1030</v>
      </c>
      <c r="J267" s="4" t="s">
        <v>94</v>
      </c>
      <c r="K267" s="4" t="s">
        <v>64</v>
      </c>
      <c r="L267" s="4" t="s">
        <v>40</v>
      </c>
      <c r="M267" s="4" t="s">
        <v>1035</v>
      </c>
      <c r="N267" s="4" t="s">
        <v>447</v>
      </c>
      <c r="O267" s="4" t="s">
        <v>42</v>
      </c>
      <c r="P267" s="50" t="s">
        <v>440</v>
      </c>
      <c r="Q267" s="50">
        <v>41456667.201862499</v>
      </c>
      <c r="R267" s="50" t="s">
        <v>423</v>
      </c>
      <c r="S267" s="4" t="s">
        <v>43</v>
      </c>
    </row>
    <row r="268" spans="3:19" x14ac:dyDescent="0.25">
      <c r="C268" s="4" t="s">
        <v>256</v>
      </c>
      <c r="D268" s="4" t="s">
        <v>257</v>
      </c>
      <c r="E268" s="4" t="s">
        <v>257</v>
      </c>
      <c r="F268" s="4" t="s">
        <v>36</v>
      </c>
      <c r="G268" s="4" t="str">
        <f>VLOOKUP(C268,JUNIO!C267:G623,5,0)</f>
        <v>CIERRE DEFINITIVO</v>
      </c>
      <c r="H268" s="4" t="s">
        <v>38</v>
      </c>
      <c r="I268" s="4" t="s">
        <v>1030</v>
      </c>
      <c r="J268" s="4">
        <v>0</v>
      </c>
      <c r="K268" s="4" t="s">
        <v>138</v>
      </c>
      <c r="L268" s="4" t="s">
        <v>40</v>
      </c>
      <c r="M268" s="4">
        <v>0</v>
      </c>
      <c r="N268" s="4" t="s">
        <v>256</v>
      </c>
      <c r="O268" s="4" t="s">
        <v>42</v>
      </c>
      <c r="P268" s="50" t="s">
        <v>43</v>
      </c>
      <c r="Q268" s="50" t="s">
        <v>36</v>
      </c>
      <c r="R268" s="50">
        <v>0</v>
      </c>
      <c r="S268" s="4" t="s">
        <v>43</v>
      </c>
    </row>
    <row r="269" spans="3:19" x14ac:dyDescent="0.25">
      <c r="C269" s="4" t="s">
        <v>450</v>
      </c>
      <c r="D269" s="4" t="s">
        <v>451</v>
      </c>
      <c r="E269" s="4" t="s">
        <v>452</v>
      </c>
      <c r="F269" s="4">
        <v>5</v>
      </c>
      <c r="G269" s="4" t="str">
        <f>VLOOKUP(C269,JUNIO!C268:G624,5,0)</f>
        <v>Abierta</v>
      </c>
      <c r="H269" s="4" t="s">
        <v>46</v>
      </c>
      <c r="I269" s="4" t="s">
        <v>1030</v>
      </c>
      <c r="J269" s="4" t="s">
        <v>94</v>
      </c>
      <c r="K269" s="4" t="s">
        <v>64</v>
      </c>
      <c r="L269" s="4" t="s">
        <v>40</v>
      </c>
      <c r="M269" s="4" t="s">
        <v>1035</v>
      </c>
      <c r="N269" s="4" t="s">
        <v>450</v>
      </c>
      <c r="O269" s="4" t="s">
        <v>42</v>
      </c>
      <c r="P269" s="50" t="s">
        <v>43</v>
      </c>
      <c r="Q269" s="50">
        <v>40471979.828175008</v>
      </c>
      <c r="R269" s="50" t="s">
        <v>423</v>
      </c>
      <c r="S269" s="4" t="s">
        <v>43</v>
      </c>
    </row>
    <row r="270" spans="3:19" x14ac:dyDescent="0.25">
      <c r="C270" s="4" t="s">
        <v>965</v>
      </c>
      <c r="D270" s="4" t="s">
        <v>966</v>
      </c>
      <c r="E270" s="4" t="s">
        <v>967</v>
      </c>
      <c r="F270" s="4">
        <v>5</v>
      </c>
      <c r="G270" s="4" t="str">
        <f>VLOOKUP(C270,JUNIO!C269:G625,5,0)</f>
        <v>Abierta</v>
      </c>
      <c r="H270" s="4" t="s">
        <v>46</v>
      </c>
      <c r="I270" s="4" t="s">
        <v>1030</v>
      </c>
      <c r="J270" s="4" t="s">
        <v>160</v>
      </c>
      <c r="K270" s="4" t="s">
        <v>353</v>
      </c>
      <c r="L270" s="4" t="s">
        <v>40</v>
      </c>
      <c r="M270" s="4" t="s">
        <v>984</v>
      </c>
      <c r="N270" s="4" t="s">
        <v>965</v>
      </c>
      <c r="O270" s="4" t="s">
        <v>42</v>
      </c>
      <c r="P270" s="50" t="s">
        <v>43</v>
      </c>
      <c r="Q270" s="50">
        <v>36006706.120499998</v>
      </c>
      <c r="R270" s="50" t="s">
        <v>931</v>
      </c>
      <c r="S270" s="4" t="s">
        <v>43</v>
      </c>
    </row>
    <row r="271" spans="3:19" x14ac:dyDescent="0.25">
      <c r="C271" s="4" t="s">
        <v>258</v>
      </c>
      <c r="D271" s="4" t="s">
        <v>259</v>
      </c>
      <c r="E271" s="4" t="s">
        <v>260</v>
      </c>
      <c r="F271" s="4" t="s">
        <v>36</v>
      </c>
      <c r="G271" s="4" t="str">
        <f>VLOOKUP(C271,JUNIO!C270:G626,5,0)</f>
        <v>CIERRE DEFINITIVO</v>
      </c>
      <c r="H271" s="4" t="s">
        <v>38</v>
      </c>
      <c r="I271" s="4" t="s">
        <v>1030</v>
      </c>
      <c r="J271" s="4" t="s">
        <v>50</v>
      </c>
      <c r="K271" s="4" t="s">
        <v>51</v>
      </c>
      <c r="L271" s="4" t="s">
        <v>40</v>
      </c>
      <c r="M271" s="4">
        <v>0</v>
      </c>
      <c r="N271" s="4" t="s">
        <v>258</v>
      </c>
      <c r="O271" s="4" t="s">
        <v>42</v>
      </c>
      <c r="P271" s="50" t="s">
        <v>43</v>
      </c>
      <c r="Q271" s="50" t="s">
        <v>36</v>
      </c>
      <c r="R271" s="50">
        <v>0</v>
      </c>
      <c r="S271" s="4" t="s">
        <v>43</v>
      </c>
    </row>
    <row r="272" spans="3:19" x14ac:dyDescent="0.25">
      <c r="C272" s="4" t="s">
        <v>261</v>
      </c>
      <c r="D272" s="4" t="s">
        <v>262</v>
      </c>
      <c r="E272" s="4" t="s">
        <v>263</v>
      </c>
      <c r="F272" s="4" t="s">
        <v>36</v>
      </c>
      <c r="G272" s="4" t="str">
        <f>VLOOKUP(C272,JUNIO!C271:G627,5,0)</f>
        <v>CIERRE DEFINITIVO</v>
      </c>
      <c r="H272" s="4" t="s">
        <v>38</v>
      </c>
      <c r="I272" s="4" t="s">
        <v>1030</v>
      </c>
      <c r="J272" s="4" t="s">
        <v>58</v>
      </c>
      <c r="K272" s="4" t="s">
        <v>138</v>
      </c>
      <c r="L272" s="4" t="s">
        <v>40</v>
      </c>
      <c r="M272" s="4">
        <v>0</v>
      </c>
      <c r="N272" s="4" t="s">
        <v>261</v>
      </c>
      <c r="O272" s="4" t="s">
        <v>42</v>
      </c>
      <c r="P272" s="50" t="s">
        <v>43</v>
      </c>
      <c r="Q272" s="50" t="s">
        <v>36</v>
      </c>
      <c r="R272" s="50">
        <v>0</v>
      </c>
      <c r="S272" s="4" t="s">
        <v>43</v>
      </c>
    </row>
    <row r="273" spans="3:19" x14ac:dyDescent="0.25">
      <c r="C273" s="4" t="s">
        <v>791</v>
      </c>
      <c r="D273" s="4" t="s">
        <v>793</v>
      </c>
      <c r="E273" s="4" t="s">
        <v>1000</v>
      </c>
      <c r="F273" s="4">
        <v>5</v>
      </c>
      <c r="G273" s="4" t="s">
        <v>987</v>
      </c>
      <c r="H273" s="4" t="s">
        <v>46</v>
      </c>
      <c r="I273" s="4" t="s">
        <v>1031</v>
      </c>
      <c r="J273" s="4" t="s">
        <v>89</v>
      </c>
      <c r="K273" s="4" t="s">
        <v>109</v>
      </c>
      <c r="L273" s="4" t="s">
        <v>91</v>
      </c>
      <c r="M273" s="4" t="s">
        <v>378</v>
      </c>
      <c r="N273" s="4" t="s">
        <v>791</v>
      </c>
      <c r="O273" s="4" t="s">
        <v>42</v>
      </c>
      <c r="P273" s="50" t="s">
        <v>43</v>
      </c>
      <c r="Q273" s="50">
        <v>0</v>
      </c>
      <c r="R273" s="50" t="s">
        <v>772</v>
      </c>
      <c r="S273" s="4" t="s">
        <v>43</v>
      </c>
    </row>
    <row r="274" spans="3:19" x14ac:dyDescent="0.25">
      <c r="C274" s="4" t="s">
        <v>264</v>
      </c>
      <c r="D274" s="4" t="s">
        <v>265</v>
      </c>
      <c r="E274" s="4" t="s">
        <v>266</v>
      </c>
      <c r="F274" s="4" t="s">
        <v>36</v>
      </c>
      <c r="G274" s="4" t="str">
        <f>VLOOKUP(C274,JUNIO!C273:G629,5,0)</f>
        <v>CIERRE DEFINITIVO</v>
      </c>
      <c r="H274" s="4" t="s">
        <v>38</v>
      </c>
      <c r="I274" s="4" t="s">
        <v>1030</v>
      </c>
      <c r="J274" s="4">
        <v>0</v>
      </c>
      <c r="K274" s="4" t="s">
        <v>51</v>
      </c>
      <c r="L274" s="4" t="s">
        <v>40</v>
      </c>
      <c r="M274" s="4">
        <v>0</v>
      </c>
      <c r="N274" s="4" t="s">
        <v>264</v>
      </c>
      <c r="O274" s="4" t="s">
        <v>42</v>
      </c>
      <c r="P274" s="50" t="s">
        <v>43</v>
      </c>
      <c r="Q274" s="50" t="s">
        <v>36</v>
      </c>
      <c r="R274" s="50">
        <v>0</v>
      </c>
      <c r="S274" s="4" t="s">
        <v>43</v>
      </c>
    </row>
    <row r="275" spans="3:19" x14ac:dyDescent="0.25">
      <c r="C275" s="4" t="s">
        <v>267</v>
      </c>
      <c r="D275" s="4" t="s">
        <v>268</v>
      </c>
      <c r="E275" s="4" t="s">
        <v>269</v>
      </c>
      <c r="F275" s="4" t="s">
        <v>36</v>
      </c>
      <c r="G275" s="4" t="str">
        <f>VLOOKUP(C275,JUNIO!C274:G630,5,0)</f>
        <v>CIERRE DEFINITIVO</v>
      </c>
      <c r="H275" s="4" t="s">
        <v>38</v>
      </c>
      <c r="I275" s="4" t="s">
        <v>1030</v>
      </c>
      <c r="J275" s="4">
        <v>0</v>
      </c>
      <c r="K275" s="4" t="s">
        <v>51</v>
      </c>
      <c r="L275" s="4" t="s">
        <v>40</v>
      </c>
      <c r="M275" s="4">
        <v>0</v>
      </c>
      <c r="N275" s="4" t="s">
        <v>267</v>
      </c>
      <c r="O275" s="4" t="s">
        <v>42</v>
      </c>
      <c r="P275" s="50" t="s">
        <v>43</v>
      </c>
      <c r="Q275" s="50" t="s">
        <v>36</v>
      </c>
      <c r="R275" s="50">
        <v>0</v>
      </c>
      <c r="S275" s="4" t="s">
        <v>43</v>
      </c>
    </row>
    <row r="276" spans="3:19" x14ac:dyDescent="0.25">
      <c r="C276" s="4" t="s">
        <v>270</v>
      </c>
      <c r="D276" s="4" t="s">
        <v>271</v>
      </c>
      <c r="E276" s="4" t="s">
        <v>271</v>
      </c>
      <c r="F276" s="4" t="s">
        <v>36</v>
      </c>
      <c r="G276" s="4" t="str">
        <f>VLOOKUP(C276,JUNIO!C275:G631,5,0)</f>
        <v>CIERRE DEFINITIVO</v>
      </c>
      <c r="H276" s="4" t="s">
        <v>38</v>
      </c>
      <c r="I276" s="4" t="s">
        <v>1030</v>
      </c>
      <c r="J276" s="4" t="s">
        <v>100</v>
      </c>
      <c r="K276" s="4" t="s">
        <v>59</v>
      </c>
      <c r="L276" s="4" t="s">
        <v>40</v>
      </c>
      <c r="M276" s="4">
        <v>0</v>
      </c>
      <c r="N276" s="4" t="s">
        <v>270</v>
      </c>
      <c r="O276" s="4" t="s">
        <v>42</v>
      </c>
      <c r="P276" s="50" t="s">
        <v>43</v>
      </c>
      <c r="Q276" s="50" t="s">
        <v>36</v>
      </c>
      <c r="R276" s="50">
        <v>0</v>
      </c>
      <c r="S276" s="4" t="s">
        <v>43</v>
      </c>
    </row>
    <row r="277" spans="3:19" x14ac:dyDescent="0.25">
      <c r="C277" s="4" t="s">
        <v>631</v>
      </c>
      <c r="D277" s="4" t="s">
        <v>633</v>
      </c>
      <c r="E277" s="4" t="s">
        <v>1001</v>
      </c>
      <c r="F277" s="47">
        <v>5</v>
      </c>
      <c r="G277" s="4" t="s">
        <v>987</v>
      </c>
      <c r="H277" s="4" t="s">
        <v>46</v>
      </c>
      <c r="I277" s="4" t="s">
        <v>1030</v>
      </c>
      <c r="J277" s="4" t="s">
        <v>50</v>
      </c>
      <c r="K277" s="4" t="s">
        <v>51</v>
      </c>
      <c r="L277" s="4" t="s">
        <v>40</v>
      </c>
      <c r="M277" s="4" t="s">
        <v>514</v>
      </c>
      <c r="N277" s="4" t="s">
        <v>631</v>
      </c>
      <c r="O277" s="4" t="s">
        <v>42</v>
      </c>
      <c r="P277" s="50" t="s">
        <v>43</v>
      </c>
      <c r="Q277" s="50">
        <v>0</v>
      </c>
      <c r="R277" s="50" t="s">
        <v>597</v>
      </c>
      <c r="S277" s="4" t="s">
        <v>43</v>
      </c>
    </row>
    <row r="278" spans="3:19" x14ac:dyDescent="0.25">
      <c r="C278" s="4" t="s">
        <v>272</v>
      </c>
      <c r="D278" s="4" t="s">
        <v>273</v>
      </c>
      <c r="E278" s="4" t="s">
        <v>274</v>
      </c>
      <c r="F278" s="4" t="s">
        <v>36</v>
      </c>
      <c r="G278" s="4" t="str">
        <f>VLOOKUP(C278,JUNIO!C277:G633,5,0)</f>
        <v>CIERRE DEFINITIVO</v>
      </c>
      <c r="H278" s="4" t="s">
        <v>38</v>
      </c>
      <c r="I278" s="4" t="s">
        <v>1030</v>
      </c>
      <c r="J278" s="4" t="s">
        <v>73</v>
      </c>
      <c r="K278" s="4" t="s">
        <v>275</v>
      </c>
      <c r="L278" s="4" t="s">
        <v>40</v>
      </c>
      <c r="M278" s="4">
        <v>0</v>
      </c>
      <c r="N278" s="4" t="s">
        <v>272</v>
      </c>
      <c r="O278" s="4" t="s">
        <v>42</v>
      </c>
      <c r="P278" s="50" t="s">
        <v>43</v>
      </c>
      <c r="Q278" s="50" t="s">
        <v>36</v>
      </c>
      <c r="R278" s="50">
        <v>0</v>
      </c>
      <c r="S278" s="4" t="s">
        <v>43</v>
      </c>
    </row>
    <row r="279" spans="3:19" x14ac:dyDescent="0.25">
      <c r="C279" s="4" t="s">
        <v>690</v>
      </c>
      <c r="D279" s="4" t="s">
        <v>691</v>
      </c>
      <c r="E279" s="4" t="s">
        <v>692</v>
      </c>
      <c r="F279" s="4">
        <v>5</v>
      </c>
      <c r="G279" s="4" t="str">
        <f>VLOOKUP(C279,JUNIO!C278:G634,5,0)</f>
        <v>Abierta</v>
      </c>
      <c r="H279" s="4" t="s">
        <v>46</v>
      </c>
      <c r="I279" s="4" t="s">
        <v>1030</v>
      </c>
      <c r="J279" s="4" t="s">
        <v>248</v>
      </c>
      <c r="K279" s="4" t="s">
        <v>51</v>
      </c>
      <c r="L279" s="4" t="s">
        <v>40</v>
      </c>
      <c r="M279" s="4" t="s">
        <v>984</v>
      </c>
      <c r="N279" s="4" t="s">
        <v>690</v>
      </c>
      <c r="O279" s="4" t="s">
        <v>42</v>
      </c>
      <c r="P279" s="50" t="s">
        <v>440</v>
      </c>
      <c r="Q279" s="50">
        <v>34570804.143317938</v>
      </c>
      <c r="R279" s="50" t="s">
        <v>51</v>
      </c>
      <c r="S279" s="4" t="s">
        <v>43</v>
      </c>
    </row>
    <row r="280" spans="3:19" x14ac:dyDescent="0.25">
      <c r="C280" s="4" t="s">
        <v>276</v>
      </c>
      <c r="D280" s="4" t="s">
        <v>277</v>
      </c>
      <c r="E280" s="4" t="s">
        <v>278</v>
      </c>
      <c r="F280" s="4" t="s">
        <v>36</v>
      </c>
      <c r="G280" s="4" t="str">
        <f>VLOOKUP(C280,JUNIO!C279:G635,5,0)</f>
        <v>CIERRE DEFINITIVO</v>
      </c>
      <c r="H280" s="4" t="s">
        <v>38</v>
      </c>
      <c r="I280" s="4" t="s">
        <v>1030</v>
      </c>
      <c r="J280" s="4" t="s">
        <v>84</v>
      </c>
      <c r="K280" s="4" t="s">
        <v>279</v>
      </c>
      <c r="L280" s="4" t="s">
        <v>55</v>
      </c>
      <c r="M280" s="4">
        <v>0</v>
      </c>
      <c r="N280" s="4" t="s">
        <v>276</v>
      </c>
      <c r="O280" s="4" t="s">
        <v>42</v>
      </c>
      <c r="P280" s="50" t="s">
        <v>43</v>
      </c>
      <c r="Q280" s="50" t="s">
        <v>36</v>
      </c>
      <c r="R280" s="50">
        <v>0</v>
      </c>
      <c r="S280" s="4" t="s">
        <v>43</v>
      </c>
    </row>
    <row r="281" spans="3:19" x14ac:dyDescent="0.25">
      <c r="C281" s="4" t="s">
        <v>731</v>
      </c>
      <c r="D281" s="4" t="s">
        <v>732</v>
      </c>
      <c r="E281" s="4" t="s">
        <v>54</v>
      </c>
      <c r="F281" s="4">
        <v>5</v>
      </c>
      <c r="G281" s="4" t="str">
        <f>VLOOKUP(C281,JUNIO!C280:G636,5,0)</f>
        <v>Abierta</v>
      </c>
      <c r="H281" s="4" t="s">
        <v>46</v>
      </c>
      <c r="I281" s="4" t="s">
        <v>1031</v>
      </c>
      <c r="J281" s="4" t="s">
        <v>84</v>
      </c>
      <c r="K281" s="4" t="s">
        <v>54</v>
      </c>
      <c r="L281" s="4" t="s">
        <v>55</v>
      </c>
      <c r="M281" s="4" t="s">
        <v>378</v>
      </c>
      <c r="N281" s="4" t="s">
        <v>731</v>
      </c>
      <c r="O281" s="4" t="s">
        <v>42</v>
      </c>
      <c r="P281" s="50" t="s">
        <v>440</v>
      </c>
      <c r="Q281" s="50">
        <v>28444230.636201553</v>
      </c>
      <c r="R281" s="50" t="s">
        <v>702</v>
      </c>
      <c r="S281" s="4" t="s">
        <v>43</v>
      </c>
    </row>
    <row r="282" spans="3:19" x14ac:dyDescent="0.25">
      <c r="C282" s="4" t="s">
        <v>453</v>
      </c>
      <c r="D282" s="4" t="s">
        <v>454</v>
      </c>
      <c r="E282" s="4" t="s">
        <v>454</v>
      </c>
      <c r="F282" s="4">
        <v>5</v>
      </c>
      <c r="G282" s="4" t="str">
        <f>VLOOKUP(C282,JUNIO!C281:G637,5,0)</f>
        <v>Abierta</v>
      </c>
      <c r="H282" s="4" t="s">
        <v>46</v>
      </c>
      <c r="I282" s="4" t="s">
        <v>1030</v>
      </c>
      <c r="J282" s="4" t="s">
        <v>94</v>
      </c>
      <c r="K282" s="4" t="s">
        <v>64</v>
      </c>
      <c r="L282" s="4" t="s">
        <v>40</v>
      </c>
      <c r="M282" s="4" t="s">
        <v>1035</v>
      </c>
      <c r="N282" s="4" t="s">
        <v>453</v>
      </c>
      <c r="O282" s="4" t="s">
        <v>42</v>
      </c>
      <c r="P282" s="50" t="s">
        <v>440</v>
      </c>
      <c r="Q282" s="50">
        <v>38205146.012652002</v>
      </c>
      <c r="R282" s="50" t="s">
        <v>423</v>
      </c>
      <c r="S282" s="4" t="s">
        <v>43</v>
      </c>
    </row>
    <row r="283" spans="3:19" x14ac:dyDescent="0.25">
      <c r="C283" s="4" t="s">
        <v>280</v>
      </c>
      <c r="D283" s="4" t="s">
        <v>281</v>
      </c>
      <c r="E283" s="4" t="s">
        <v>281</v>
      </c>
      <c r="F283" s="4" t="s">
        <v>36</v>
      </c>
      <c r="G283" s="4" t="str">
        <f>VLOOKUP(C283,JUNIO!C282:G638,5,0)</f>
        <v>CIERRE DEFINITIVO</v>
      </c>
      <c r="H283" s="4" t="s">
        <v>38</v>
      </c>
      <c r="I283" s="4" t="s">
        <v>1030</v>
      </c>
      <c r="J283" s="4" t="s">
        <v>132</v>
      </c>
      <c r="K283" s="4" t="s">
        <v>64</v>
      </c>
      <c r="L283" s="4" t="s">
        <v>40</v>
      </c>
      <c r="M283" s="4">
        <v>0</v>
      </c>
      <c r="N283" s="4" t="s">
        <v>280</v>
      </c>
      <c r="O283" s="4" t="s">
        <v>42</v>
      </c>
      <c r="P283" s="50" t="s">
        <v>43</v>
      </c>
      <c r="Q283" s="50" t="s">
        <v>36</v>
      </c>
      <c r="R283" s="50">
        <v>0</v>
      </c>
      <c r="S283" s="4" t="s">
        <v>43</v>
      </c>
    </row>
    <row r="284" spans="3:19" x14ac:dyDescent="0.25">
      <c r="C284" s="4" t="s">
        <v>282</v>
      </c>
      <c r="D284" s="4" t="s">
        <v>283</v>
      </c>
      <c r="E284" s="4" t="s">
        <v>284</v>
      </c>
      <c r="F284" s="4" t="s">
        <v>36</v>
      </c>
      <c r="G284" s="4" t="str">
        <f>VLOOKUP(C284,JUNIO!C283:G639,5,0)</f>
        <v>CIERRE DEFINITIVO</v>
      </c>
      <c r="H284" s="4" t="s">
        <v>38</v>
      </c>
      <c r="I284" s="4" t="s">
        <v>1030</v>
      </c>
      <c r="J284" s="4">
        <v>0</v>
      </c>
      <c r="K284" s="4" t="s">
        <v>279</v>
      </c>
      <c r="L284" s="4" t="s">
        <v>55</v>
      </c>
      <c r="M284" s="4">
        <v>0</v>
      </c>
      <c r="N284" s="4" t="s">
        <v>282</v>
      </c>
      <c r="O284" s="4" t="s">
        <v>42</v>
      </c>
      <c r="P284" s="50" t="s">
        <v>43</v>
      </c>
      <c r="Q284" s="50" t="s">
        <v>36</v>
      </c>
      <c r="R284" s="50">
        <v>0</v>
      </c>
      <c r="S284" s="4" t="s">
        <v>43</v>
      </c>
    </row>
    <row r="285" spans="3:19" x14ac:dyDescent="0.25">
      <c r="C285" s="4" t="s">
        <v>455</v>
      </c>
      <c r="D285" s="4" t="s">
        <v>456</v>
      </c>
      <c r="E285" s="4" t="s">
        <v>1002</v>
      </c>
      <c r="F285" s="4">
        <v>5</v>
      </c>
      <c r="G285" s="4" t="str">
        <f>VLOOKUP(C285,JUNIO!C284:G640,5,0)</f>
        <v>Abierta</v>
      </c>
      <c r="H285" s="4" t="s">
        <v>46</v>
      </c>
      <c r="I285" s="4" t="s">
        <v>1030</v>
      </c>
      <c r="J285" s="4" t="s">
        <v>94</v>
      </c>
      <c r="K285" s="4" t="s">
        <v>64</v>
      </c>
      <c r="L285" s="4" t="s">
        <v>40</v>
      </c>
      <c r="M285" s="4" t="s">
        <v>1035</v>
      </c>
      <c r="N285" s="4" t="s">
        <v>455</v>
      </c>
      <c r="O285" s="4" t="s">
        <v>42</v>
      </c>
      <c r="P285" s="50" t="s">
        <v>440</v>
      </c>
      <c r="Q285" s="50">
        <v>47666572.652816996</v>
      </c>
      <c r="R285" s="50" t="s">
        <v>423</v>
      </c>
      <c r="S285" s="4" t="s">
        <v>43</v>
      </c>
    </row>
    <row r="286" spans="3:19" x14ac:dyDescent="0.25">
      <c r="C286" s="4" t="s">
        <v>285</v>
      </c>
      <c r="D286" s="4" t="s">
        <v>286</v>
      </c>
      <c r="E286" s="4" t="s">
        <v>287</v>
      </c>
      <c r="F286" s="4" t="s">
        <v>36</v>
      </c>
      <c r="G286" s="4" t="str">
        <f>VLOOKUP(C286,JUNIO!C285:G641,5,0)</f>
        <v>CIERRE DEFINITIVO</v>
      </c>
      <c r="H286" s="4" t="s">
        <v>38</v>
      </c>
      <c r="I286" s="4" t="s">
        <v>1030</v>
      </c>
      <c r="J286" s="4">
        <v>0</v>
      </c>
      <c r="K286" s="4" t="s">
        <v>51</v>
      </c>
      <c r="L286" s="4" t="s">
        <v>40</v>
      </c>
      <c r="M286" s="4">
        <v>0</v>
      </c>
      <c r="N286" s="4" t="s">
        <v>285</v>
      </c>
      <c r="O286" s="4" t="s">
        <v>42</v>
      </c>
      <c r="P286" s="50" t="s">
        <v>43</v>
      </c>
      <c r="Q286" s="50" t="s">
        <v>36</v>
      </c>
      <c r="R286" s="50">
        <v>0</v>
      </c>
      <c r="S286" s="4" t="s">
        <v>43</v>
      </c>
    </row>
    <row r="287" spans="3:19" x14ac:dyDescent="0.25">
      <c r="C287" s="4" t="s">
        <v>288</v>
      </c>
      <c r="D287" s="4" t="s">
        <v>289</v>
      </c>
      <c r="E287" s="4" t="s">
        <v>290</v>
      </c>
      <c r="F287" s="4" t="s">
        <v>36</v>
      </c>
      <c r="G287" s="4" t="str">
        <f>VLOOKUP(C287,JUNIO!C286:G642,5,0)</f>
        <v>CIERRE DEFINITIVO</v>
      </c>
      <c r="H287" s="4" t="s">
        <v>38</v>
      </c>
      <c r="I287" s="4" t="s">
        <v>1030</v>
      </c>
      <c r="J287" s="4">
        <v>0</v>
      </c>
      <c r="K287" s="4" t="s">
        <v>59</v>
      </c>
      <c r="L287" s="4" t="s">
        <v>40</v>
      </c>
      <c r="M287" s="4">
        <v>0</v>
      </c>
      <c r="N287" s="4" t="s">
        <v>288</v>
      </c>
      <c r="O287" s="4" t="s">
        <v>42</v>
      </c>
      <c r="P287" s="50" t="s">
        <v>43</v>
      </c>
      <c r="Q287" s="50" t="s">
        <v>36</v>
      </c>
      <c r="R287" s="50">
        <v>0</v>
      </c>
      <c r="S287" s="4" t="s">
        <v>43</v>
      </c>
    </row>
    <row r="288" spans="3:19" x14ac:dyDescent="0.25">
      <c r="C288" s="4" t="s">
        <v>291</v>
      </c>
      <c r="D288" s="4" t="s">
        <v>292</v>
      </c>
      <c r="E288" s="4" t="s">
        <v>292</v>
      </c>
      <c r="F288" s="4" t="s">
        <v>36</v>
      </c>
      <c r="G288" s="4" t="str">
        <f>VLOOKUP(C288,JUNIO!C287:G643,5,0)</f>
        <v>CIERRE DEFINITIVO</v>
      </c>
      <c r="H288" s="4" t="s">
        <v>38</v>
      </c>
      <c r="I288" s="4" t="s">
        <v>1030</v>
      </c>
      <c r="J288" s="4" t="s">
        <v>94</v>
      </c>
      <c r="K288" s="4" t="s">
        <v>51</v>
      </c>
      <c r="L288" s="4" t="s">
        <v>40</v>
      </c>
      <c r="M288" s="4">
        <v>0</v>
      </c>
      <c r="N288" s="4" t="s">
        <v>291</v>
      </c>
      <c r="O288" s="4" t="s">
        <v>42</v>
      </c>
      <c r="P288" s="50" t="s">
        <v>43</v>
      </c>
      <c r="Q288" s="50" t="s">
        <v>36</v>
      </c>
      <c r="R288" s="50">
        <v>0</v>
      </c>
      <c r="S288" s="4" t="s">
        <v>43</v>
      </c>
    </row>
    <row r="289" spans="3:19" x14ac:dyDescent="0.25">
      <c r="C289" s="4" t="s">
        <v>293</v>
      </c>
      <c r="D289" s="4" t="s">
        <v>294</v>
      </c>
      <c r="E289" s="4" t="s">
        <v>294</v>
      </c>
      <c r="F289" s="4" t="s">
        <v>36</v>
      </c>
      <c r="G289" s="4" t="str">
        <f>VLOOKUP(C289,JUNIO!C288:G644,5,0)</f>
        <v>CIERRE DEFINITIVO</v>
      </c>
      <c r="H289" s="4" t="s">
        <v>38</v>
      </c>
      <c r="I289" s="4" t="s">
        <v>1030</v>
      </c>
      <c r="J289" s="4" t="s">
        <v>73</v>
      </c>
      <c r="K289" s="4" t="s">
        <v>64</v>
      </c>
      <c r="L289" s="4" t="s">
        <v>40</v>
      </c>
      <c r="M289" s="4">
        <v>0</v>
      </c>
      <c r="N289" s="4" t="s">
        <v>293</v>
      </c>
      <c r="O289" s="4" t="s">
        <v>42</v>
      </c>
      <c r="P289" s="50" t="s">
        <v>43</v>
      </c>
      <c r="Q289" s="50" t="s">
        <v>36</v>
      </c>
      <c r="R289" s="50">
        <v>0</v>
      </c>
      <c r="S289" s="4" t="s">
        <v>43</v>
      </c>
    </row>
    <row r="290" spans="3:19" x14ac:dyDescent="0.25">
      <c r="C290" s="4" t="s">
        <v>295</v>
      </c>
      <c r="D290" s="4" t="s">
        <v>296</v>
      </c>
      <c r="E290" s="4" t="s">
        <v>297</v>
      </c>
      <c r="F290" s="4" t="s">
        <v>36</v>
      </c>
      <c r="G290" s="4" t="str">
        <f>VLOOKUP(C290,JUNIO!C289:G645,5,0)</f>
        <v>CIERRE DEFINITIVO</v>
      </c>
      <c r="H290" s="4" t="s">
        <v>38</v>
      </c>
      <c r="I290" s="4" t="s">
        <v>1030</v>
      </c>
      <c r="J290" s="4" t="s">
        <v>94</v>
      </c>
      <c r="K290" s="4" t="s">
        <v>64</v>
      </c>
      <c r="L290" s="4" t="s">
        <v>40</v>
      </c>
      <c r="M290" s="4">
        <v>0</v>
      </c>
      <c r="N290" s="4" t="s">
        <v>295</v>
      </c>
      <c r="O290" s="4" t="s">
        <v>42</v>
      </c>
      <c r="P290" s="50" t="s">
        <v>43</v>
      </c>
      <c r="Q290" s="50" t="s">
        <v>36</v>
      </c>
      <c r="R290" s="50">
        <v>0</v>
      </c>
      <c r="S290" s="4" t="s">
        <v>43</v>
      </c>
    </row>
    <row r="291" spans="3:19" x14ac:dyDescent="0.25">
      <c r="C291" s="4" t="s">
        <v>298</v>
      </c>
      <c r="D291" s="4" t="s">
        <v>299</v>
      </c>
      <c r="E291" s="4" t="s">
        <v>300</v>
      </c>
      <c r="F291" s="4" t="s">
        <v>36</v>
      </c>
      <c r="G291" s="4" t="str">
        <f>VLOOKUP(C291,JUNIO!C290:G646,5,0)</f>
        <v>CIERRE DEFINITIVO</v>
      </c>
      <c r="H291" s="4" t="s">
        <v>38</v>
      </c>
      <c r="I291" s="4" t="s">
        <v>1030</v>
      </c>
      <c r="J291" s="4" t="s">
        <v>58</v>
      </c>
      <c r="K291" s="4" t="s">
        <v>59</v>
      </c>
      <c r="L291" s="4" t="s">
        <v>40</v>
      </c>
      <c r="M291" s="4">
        <v>0</v>
      </c>
      <c r="N291" s="4" t="s">
        <v>298</v>
      </c>
      <c r="O291" s="4" t="s">
        <v>42</v>
      </c>
      <c r="P291" s="50" t="s">
        <v>43</v>
      </c>
      <c r="Q291" s="50" t="s">
        <v>36</v>
      </c>
      <c r="R291" s="50">
        <v>0</v>
      </c>
      <c r="S291" s="4" t="s">
        <v>43</v>
      </c>
    </row>
    <row r="292" spans="3:19" x14ac:dyDescent="0.25">
      <c r="C292" s="4" t="s">
        <v>794</v>
      </c>
      <c r="D292" s="4" t="s">
        <v>795</v>
      </c>
      <c r="E292" s="4" t="s">
        <v>795</v>
      </c>
      <c r="F292" s="4">
        <v>0</v>
      </c>
      <c r="G292" s="4" t="str">
        <f>VLOOKUP(C292,JUNIO!C291:G647,5,0)</f>
        <v>CIERRE DEFINITIVO</v>
      </c>
      <c r="H292" s="4" t="s">
        <v>46</v>
      </c>
      <c r="I292" s="4" t="s">
        <v>1031</v>
      </c>
      <c r="J292" s="4" t="s">
        <v>89</v>
      </c>
      <c r="K292" s="4" t="s">
        <v>109</v>
      </c>
      <c r="L292" s="4" t="s">
        <v>91</v>
      </c>
      <c r="M292" s="4" t="s">
        <v>378</v>
      </c>
      <c r="N292" s="4" t="s">
        <v>794</v>
      </c>
      <c r="O292" s="4" t="s">
        <v>42</v>
      </c>
      <c r="P292" s="50" t="s">
        <v>43</v>
      </c>
      <c r="Q292" s="50" t="s">
        <v>36</v>
      </c>
      <c r="R292" s="50" t="s">
        <v>772</v>
      </c>
      <c r="S292" s="4" t="s">
        <v>43</v>
      </c>
    </row>
    <row r="293" spans="3:19" x14ac:dyDescent="0.25">
      <c r="C293" s="4" t="s">
        <v>620</v>
      </c>
      <c r="D293" s="4" t="s">
        <v>622</v>
      </c>
      <c r="E293" s="4" t="s">
        <v>622</v>
      </c>
      <c r="F293" s="4">
        <v>5</v>
      </c>
      <c r="G293" s="4" t="s">
        <v>376</v>
      </c>
      <c r="H293" s="4" t="s">
        <v>46</v>
      </c>
      <c r="I293" s="4" t="s">
        <v>1030</v>
      </c>
      <c r="J293" s="4" t="s">
        <v>50</v>
      </c>
      <c r="K293" s="4" t="s">
        <v>59</v>
      </c>
      <c r="L293" s="4" t="s">
        <v>40</v>
      </c>
      <c r="M293" s="4" t="s">
        <v>514</v>
      </c>
      <c r="N293" s="4" t="s">
        <v>620</v>
      </c>
      <c r="O293" s="4" t="s">
        <v>42</v>
      </c>
      <c r="P293" s="50" t="s">
        <v>43</v>
      </c>
      <c r="Q293" s="50">
        <v>20427333.7176296</v>
      </c>
      <c r="R293" s="50" t="s">
        <v>597</v>
      </c>
      <c r="S293" s="4" t="s">
        <v>43</v>
      </c>
    </row>
    <row r="294" spans="3:19" x14ac:dyDescent="0.25">
      <c r="C294" s="4" t="s">
        <v>733</v>
      </c>
      <c r="D294" s="4" t="s">
        <v>734</v>
      </c>
      <c r="E294" s="4" t="s">
        <v>735</v>
      </c>
      <c r="F294" s="4">
        <v>6</v>
      </c>
      <c r="G294" s="4" t="str">
        <f>VLOOKUP(C294,JUNIO!C293:G649,5,0)</f>
        <v>Abierta</v>
      </c>
      <c r="H294" s="4" t="s">
        <v>46</v>
      </c>
      <c r="I294" s="4" t="s">
        <v>1031</v>
      </c>
      <c r="J294" s="4" t="s">
        <v>84</v>
      </c>
      <c r="K294" s="4" t="s">
        <v>54</v>
      </c>
      <c r="L294" s="4" t="s">
        <v>55</v>
      </c>
      <c r="M294" s="4" t="s">
        <v>378</v>
      </c>
      <c r="N294" s="4" t="s">
        <v>733</v>
      </c>
      <c r="O294" s="4" t="s">
        <v>42</v>
      </c>
      <c r="P294" s="50" t="s">
        <v>43</v>
      </c>
      <c r="Q294" s="50">
        <v>44071243.020000003</v>
      </c>
      <c r="R294" s="50" t="s">
        <v>702</v>
      </c>
      <c r="S294" s="4" t="s">
        <v>43</v>
      </c>
    </row>
    <row r="295" spans="3:19" x14ac:dyDescent="0.25">
      <c r="C295" s="4" t="s">
        <v>301</v>
      </c>
      <c r="D295" s="4" t="s">
        <v>302</v>
      </c>
      <c r="E295" s="4" t="s">
        <v>303</v>
      </c>
      <c r="F295" s="4" t="s">
        <v>36</v>
      </c>
      <c r="G295" s="4" t="str">
        <f>VLOOKUP(C295,JUNIO!C294:G650,5,0)</f>
        <v>CIERRE DEFINITIVO</v>
      </c>
      <c r="H295" s="4" t="s">
        <v>38</v>
      </c>
      <c r="I295" s="4" t="s">
        <v>1030</v>
      </c>
      <c r="J295" s="4" t="s">
        <v>132</v>
      </c>
      <c r="K295" s="4" t="s">
        <v>133</v>
      </c>
      <c r="L295" s="4" t="s">
        <v>40</v>
      </c>
      <c r="M295" s="4">
        <v>0</v>
      </c>
      <c r="N295" s="4" t="s">
        <v>301</v>
      </c>
      <c r="O295" s="4" t="s">
        <v>42</v>
      </c>
      <c r="P295" s="50" t="s">
        <v>43</v>
      </c>
      <c r="Q295" s="50" t="s">
        <v>36</v>
      </c>
      <c r="R295" s="50">
        <v>0</v>
      </c>
      <c r="S295" s="4" t="s">
        <v>43</v>
      </c>
    </row>
    <row r="296" spans="3:19" x14ac:dyDescent="0.25">
      <c r="C296" s="4" t="s">
        <v>505</v>
      </c>
      <c r="D296" s="4" t="s">
        <v>506</v>
      </c>
      <c r="E296" s="4" t="s">
        <v>506</v>
      </c>
      <c r="F296" s="4">
        <v>5</v>
      </c>
      <c r="G296" s="4" t="str">
        <f>VLOOKUP(C296,JUNIO!C295:G651,5,0)</f>
        <v>Abierta</v>
      </c>
      <c r="H296" s="4" t="s">
        <v>46</v>
      </c>
      <c r="I296" s="4" t="s">
        <v>1030</v>
      </c>
      <c r="J296" s="4" t="s">
        <v>466</v>
      </c>
      <c r="K296" s="4" t="s">
        <v>51</v>
      </c>
      <c r="L296" s="4" t="s">
        <v>40</v>
      </c>
      <c r="M296" s="4" t="s">
        <v>1035</v>
      </c>
      <c r="N296" s="4" t="s">
        <v>505</v>
      </c>
      <c r="O296" s="4" t="s">
        <v>42</v>
      </c>
      <c r="P296" s="50" t="s">
        <v>43</v>
      </c>
      <c r="Q296" s="50">
        <v>40459249.839203112</v>
      </c>
      <c r="R296" s="50" t="s">
        <v>467</v>
      </c>
      <c r="S296" s="4" t="s">
        <v>43</v>
      </c>
    </row>
    <row r="297" spans="3:19" x14ac:dyDescent="0.25">
      <c r="C297" s="4" t="s">
        <v>304</v>
      </c>
      <c r="D297" s="4" t="s">
        <v>305</v>
      </c>
      <c r="E297" s="4" t="s">
        <v>305</v>
      </c>
      <c r="F297" s="4" t="s">
        <v>36</v>
      </c>
      <c r="G297" s="4" t="str">
        <f>VLOOKUP(C297,JUNIO!C296:G652,5,0)</f>
        <v>CIERRE DEFINITIVO</v>
      </c>
      <c r="H297" s="4" t="s">
        <v>81</v>
      </c>
      <c r="I297" s="4" t="s">
        <v>1030</v>
      </c>
      <c r="J297" s="4" t="s">
        <v>132</v>
      </c>
      <c r="K297" s="4" t="s">
        <v>51</v>
      </c>
      <c r="L297" s="4" t="s">
        <v>40</v>
      </c>
      <c r="M297" s="4">
        <v>0</v>
      </c>
      <c r="N297" s="4" t="s">
        <v>304</v>
      </c>
      <c r="O297" s="4" t="s">
        <v>42</v>
      </c>
      <c r="P297" s="50" t="s">
        <v>43</v>
      </c>
      <c r="Q297" s="50" t="s">
        <v>36</v>
      </c>
      <c r="R297" s="50">
        <v>0</v>
      </c>
      <c r="S297" s="4" t="s">
        <v>43</v>
      </c>
    </row>
    <row r="298" spans="3:19" x14ac:dyDescent="0.25">
      <c r="C298" s="4" t="s">
        <v>306</v>
      </c>
      <c r="D298" s="4" t="s">
        <v>307</v>
      </c>
      <c r="E298" s="4" t="s">
        <v>307</v>
      </c>
      <c r="F298" s="4" t="s">
        <v>36</v>
      </c>
      <c r="G298" s="4" t="str">
        <f>VLOOKUP(C298,JUNIO!C297:G653,5,0)</f>
        <v>CIERRE DEFINITIVO</v>
      </c>
      <c r="H298" s="4" t="s">
        <v>46</v>
      </c>
      <c r="I298" s="4" t="s">
        <v>1030</v>
      </c>
      <c r="J298" s="4">
        <v>0</v>
      </c>
      <c r="K298" s="4" t="s">
        <v>138</v>
      </c>
      <c r="L298" s="4" t="s">
        <v>40</v>
      </c>
      <c r="M298" s="4">
        <v>0</v>
      </c>
      <c r="N298" s="4" t="s">
        <v>306</v>
      </c>
      <c r="O298" s="4" t="s">
        <v>42</v>
      </c>
      <c r="P298" s="50" t="s">
        <v>43</v>
      </c>
      <c r="Q298" s="50" t="s">
        <v>36</v>
      </c>
      <c r="R298" s="50">
        <v>0</v>
      </c>
      <c r="S298" s="4" t="s">
        <v>43</v>
      </c>
    </row>
    <row r="299" spans="3:19" x14ac:dyDescent="0.25">
      <c r="C299" s="4" t="s">
        <v>308</v>
      </c>
      <c r="D299" s="4" t="s">
        <v>309</v>
      </c>
      <c r="E299" s="4" t="s">
        <v>309</v>
      </c>
      <c r="F299" s="4" t="s">
        <v>36</v>
      </c>
      <c r="G299" s="4" t="str">
        <f>VLOOKUP(C299,JUNIO!C298:G654,5,0)</f>
        <v>CIERRE DEFINITIVO</v>
      </c>
      <c r="H299" s="4" t="s">
        <v>46</v>
      </c>
      <c r="I299" s="4" t="s">
        <v>1030</v>
      </c>
      <c r="J299" s="4">
        <v>0</v>
      </c>
      <c r="K299" s="4" t="s">
        <v>279</v>
      </c>
      <c r="L299" s="4" t="s">
        <v>55</v>
      </c>
      <c r="M299" s="4">
        <v>0</v>
      </c>
      <c r="N299" s="4" t="s">
        <v>308</v>
      </c>
      <c r="O299" s="4" t="s">
        <v>42</v>
      </c>
      <c r="P299" s="50" t="s">
        <v>43</v>
      </c>
      <c r="Q299" s="50" t="s">
        <v>36</v>
      </c>
      <c r="R299" s="50">
        <v>0</v>
      </c>
      <c r="S299" s="4" t="s">
        <v>43</v>
      </c>
    </row>
    <row r="300" spans="3:19" x14ac:dyDescent="0.25">
      <c r="C300" s="4" t="s">
        <v>310</v>
      </c>
      <c r="D300" s="4" t="s">
        <v>311</v>
      </c>
      <c r="E300" s="4" t="s">
        <v>312</v>
      </c>
      <c r="F300" s="4" t="s">
        <v>36</v>
      </c>
      <c r="G300" s="4" t="str">
        <f>VLOOKUP(C300,JUNIO!C299:G655,5,0)</f>
        <v>CIERRE DEFINITIVO</v>
      </c>
      <c r="H300" s="4" t="s">
        <v>81</v>
      </c>
      <c r="I300" s="4" t="s">
        <v>1030</v>
      </c>
      <c r="J300" s="4" t="s">
        <v>160</v>
      </c>
      <c r="K300" s="4" t="s">
        <v>64</v>
      </c>
      <c r="L300" s="4" t="s">
        <v>40</v>
      </c>
      <c r="M300" s="4">
        <v>0</v>
      </c>
      <c r="N300" s="4" t="s">
        <v>310</v>
      </c>
      <c r="O300" s="4" t="s">
        <v>42</v>
      </c>
      <c r="P300" s="50" t="s">
        <v>43</v>
      </c>
      <c r="Q300" s="50" t="s">
        <v>36</v>
      </c>
      <c r="R300" s="50">
        <v>0</v>
      </c>
      <c r="S300" s="4" t="s">
        <v>43</v>
      </c>
    </row>
    <row r="301" spans="3:19" x14ac:dyDescent="0.25">
      <c r="C301" s="4" t="s">
        <v>968</v>
      </c>
      <c r="D301" s="4" t="s">
        <v>969</v>
      </c>
      <c r="E301" s="4" t="s">
        <v>969</v>
      </c>
      <c r="F301" s="4">
        <v>5</v>
      </c>
      <c r="G301" s="4" t="str">
        <f>VLOOKUP(C301,JUNIO!C300:G656,5,0)</f>
        <v>Abierta</v>
      </c>
      <c r="H301" s="4" t="s">
        <v>46</v>
      </c>
      <c r="I301" s="4" t="s">
        <v>1030</v>
      </c>
      <c r="J301" s="4" t="s">
        <v>160</v>
      </c>
      <c r="K301" s="4" t="s">
        <v>39</v>
      </c>
      <c r="L301" s="4" t="s">
        <v>40</v>
      </c>
      <c r="M301" s="4" t="s">
        <v>984</v>
      </c>
      <c r="N301" s="4" t="s">
        <v>968</v>
      </c>
      <c r="O301" s="4" t="s">
        <v>42</v>
      </c>
      <c r="P301" s="50" t="s">
        <v>440</v>
      </c>
      <c r="Q301" s="50">
        <v>31154394.874000501</v>
      </c>
      <c r="R301" s="50" t="s">
        <v>931</v>
      </c>
      <c r="S301" s="4" t="s">
        <v>43</v>
      </c>
    </row>
    <row r="302" spans="3:19" x14ac:dyDescent="0.25">
      <c r="C302" s="4" t="s">
        <v>313</v>
      </c>
      <c r="D302" s="4" t="s">
        <v>314</v>
      </c>
      <c r="E302" s="4" t="s">
        <v>314</v>
      </c>
      <c r="F302" s="4" t="s">
        <v>36</v>
      </c>
      <c r="G302" s="4" t="str">
        <f>VLOOKUP(C302,JUNIO!C301:G657,5,0)</f>
        <v>CIERRE DEFINITIVO</v>
      </c>
      <c r="H302" s="4" t="s">
        <v>81</v>
      </c>
      <c r="I302" s="4" t="s">
        <v>1030</v>
      </c>
      <c r="J302" s="4">
        <v>0</v>
      </c>
      <c r="K302" s="4" t="s">
        <v>315</v>
      </c>
      <c r="L302" s="4" t="s">
        <v>40</v>
      </c>
      <c r="M302" s="4">
        <v>0</v>
      </c>
      <c r="N302" s="4" t="s">
        <v>313</v>
      </c>
      <c r="O302" s="4" t="s">
        <v>42</v>
      </c>
      <c r="P302" s="50" t="s">
        <v>43</v>
      </c>
      <c r="Q302" s="50" t="s">
        <v>36</v>
      </c>
      <c r="R302" s="50">
        <v>0</v>
      </c>
      <c r="S302" s="4" t="s">
        <v>43</v>
      </c>
    </row>
    <row r="303" spans="3:19" x14ac:dyDescent="0.25">
      <c r="C303" s="4" t="s">
        <v>823</v>
      </c>
      <c r="D303" s="4" t="s">
        <v>824</v>
      </c>
      <c r="E303" s="4" t="s">
        <v>824</v>
      </c>
      <c r="F303" s="4">
        <v>5</v>
      </c>
      <c r="G303" s="4" t="str">
        <f>VLOOKUP(C303,JUNIO!C302:G658,5,0)</f>
        <v>Abierta</v>
      </c>
      <c r="H303" s="4" t="s">
        <v>46</v>
      </c>
      <c r="I303" s="4" t="s">
        <v>1030</v>
      </c>
      <c r="J303" s="4" t="s">
        <v>146</v>
      </c>
      <c r="K303" s="4" t="s">
        <v>59</v>
      </c>
      <c r="L303" s="4" t="s">
        <v>40</v>
      </c>
      <c r="M303" s="4" t="s">
        <v>1035</v>
      </c>
      <c r="N303" s="4" t="s">
        <v>823</v>
      </c>
      <c r="O303" s="4" t="s">
        <v>42</v>
      </c>
      <c r="P303" s="50" t="s">
        <v>43</v>
      </c>
      <c r="Q303" s="50">
        <v>38534639.601272404</v>
      </c>
      <c r="R303" s="50" t="s">
        <v>799</v>
      </c>
      <c r="S303" s="4" t="s">
        <v>43</v>
      </c>
    </row>
    <row r="304" spans="3:19" x14ac:dyDescent="0.25">
      <c r="C304" s="4" t="s">
        <v>316</v>
      </c>
      <c r="D304" s="4" t="s">
        <v>317</v>
      </c>
      <c r="E304" s="4" t="s">
        <v>318</v>
      </c>
      <c r="F304" s="4" t="s">
        <v>36</v>
      </c>
      <c r="G304" s="4" t="str">
        <f>VLOOKUP(C304,JUNIO!C303:G659,5,0)</f>
        <v>CIERRE DEFINITIVO</v>
      </c>
      <c r="H304" s="4" t="s">
        <v>81</v>
      </c>
      <c r="I304" s="4" t="s">
        <v>1030</v>
      </c>
      <c r="J304" s="4" t="s">
        <v>67</v>
      </c>
      <c r="K304" s="4" t="s">
        <v>59</v>
      </c>
      <c r="L304" s="4" t="s">
        <v>40</v>
      </c>
      <c r="M304" s="4">
        <v>0</v>
      </c>
      <c r="N304" s="4" t="s">
        <v>316</v>
      </c>
      <c r="O304" s="4" t="s">
        <v>42</v>
      </c>
      <c r="P304" s="50" t="s">
        <v>43</v>
      </c>
      <c r="Q304" s="50" t="s">
        <v>36</v>
      </c>
      <c r="R304" s="50">
        <v>0</v>
      </c>
      <c r="S304" s="4" t="s">
        <v>43</v>
      </c>
    </row>
    <row r="305" spans="3:19" x14ac:dyDescent="0.25">
      <c r="C305" s="4" t="s">
        <v>319</v>
      </c>
      <c r="D305" s="4" t="s">
        <v>320</v>
      </c>
      <c r="E305" s="4" t="s">
        <v>320</v>
      </c>
      <c r="F305" s="4" t="s">
        <v>36</v>
      </c>
      <c r="G305" s="4" t="str">
        <f>VLOOKUP(C305,JUNIO!C304:G660,5,0)</f>
        <v>CIERRE DEFINITIVO</v>
      </c>
      <c r="H305" s="4" t="s">
        <v>46</v>
      </c>
      <c r="I305" s="4" t="s">
        <v>1030</v>
      </c>
      <c r="J305" s="4">
        <v>0</v>
      </c>
      <c r="K305" s="4" t="s">
        <v>97</v>
      </c>
      <c r="L305" s="4" t="s">
        <v>40</v>
      </c>
      <c r="M305" s="4">
        <v>0</v>
      </c>
      <c r="N305" s="4" t="s">
        <v>319</v>
      </c>
      <c r="O305" s="4" t="s">
        <v>42</v>
      </c>
      <c r="P305" s="50" t="s">
        <v>43</v>
      </c>
      <c r="Q305" s="50" t="s">
        <v>36</v>
      </c>
      <c r="R305" s="50">
        <v>0</v>
      </c>
      <c r="S305" s="4" t="s">
        <v>43</v>
      </c>
    </row>
    <row r="306" spans="3:19" x14ac:dyDescent="0.25">
      <c r="C306" s="4" t="s">
        <v>321</v>
      </c>
      <c r="D306" s="4" t="s">
        <v>322</v>
      </c>
      <c r="E306" s="4" t="s">
        <v>322</v>
      </c>
      <c r="F306" s="4" t="s">
        <v>36</v>
      </c>
      <c r="G306" s="4" t="str">
        <f>VLOOKUP(C306,JUNIO!C305:G661,5,0)</f>
        <v>CIERRE DEFINITIVO</v>
      </c>
      <c r="H306" s="4" t="s">
        <v>81</v>
      </c>
      <c r="I306" s="4" t="s">
        <v>1030</v>
      </c>
      <c r="J306" s="4" t="s">
        <v>50</v>
      </c>
      <c r="K306" s="4" t="s">
        <v>51</v>
      </c>
      <c r="L306" s="4" t="s">
        <v>40</v>
      </c>
      <c r="M306" s="4">
        <v>0</v>
      </c>
      <c r="N306" s="4" t="s">
        <v>321</v>
      </c>
      <c r="O306" s="4" t="s">
        <v>42</v>
      </c>
      <c r="P306" s="50" t="s">
        <v>43</v>
      </c>
      <c r="Q306" s="50" t="s">
        <v>36</v>
      </c>
      <c r="R306" s="50">
        <v>0</v>
      </c>
      <c r="S306" s="4" t="s">
        <v>43</v>
      </c>
    </row>
    <row r="307" spans="3:19" x14ac:dyDescent="0.25">
      <c r="C307" s="4" t="s">
        <v>457</v>
      </c>
      <c r="D307" s="4" t="s">
        <v>458</v>
      </c>
      <c r="E307" s="4" t="s">
        <v>458</v>
      </c>
      <c r="F307" s="4">
        <v>5</v>
      </c>
      <c r="G307" s="4" t="str">
        <f>VLOOKUP(C307,JUNIO!C306:G662,5,0)</f>
        <v>Abierta</v>
      </c>
      <c r="H307" s="4" t="s">
        <v>81</v>
      </c>
      <c r="I307" s="4" t="s">
        <v>1030</v>
      </c>
      <c r="J307" s="4" t="s">
        <v>94</v>
      </c>
      <c r="K307" s="4" t="s">
        <v>205</v>
      </c>
      <c r="L307" s="4" t="s">
        <v>40</v>
      </c>
      <c r="M307" s="4" t="s">
        <v>1035</v>
      </c>
      <c r="N307" s="4" t="s">
        <v>457</v>
      </c>
      <c r="O307" s="4" t="s">
        <v>42</v>
      </c>
      <c r="P307" s="50" t="s">
        <v>43</v>
      </c>
      <c r="Q307" s="50">
        <v>52528347.714750007</v>
      </c>
      <c r="R307" s="50" t="s">
        <v>423</v>
      </c>
      <c r="S307" s="4" t="s">
        <v>440</v>
      </c>
    </row>
    <row r="308" spans="3:19" x14ac:dyDescent="0.25">
      <c r="C308" s="4" t="s">
        <v>323</v>
      </c>
      <c r="D308" s="4" t="s">
        <v>324</v>
      </c>
      <c r="E308" s="4" t="s">
        <v>324</v>
      </c>
      <c r="F308" s="4" t="s">
        <v>36</v>
      </c>
      <c r="G308" s="4" t="str">
        <f>VLOOKUP(C308,JUNIO!C307:G663,5,0)</f>
        <v>CIERRE DEFINITIVO</v>
      </c>
      <c r="H308" s="4" t="s">
        <v>46</v>
      </c>
      <c r="I308" s="4" t="s">
        <v>1030</v>
      </c>
      <c r="J308" s="4" t="s">
        <v>58</v>
      </c>
      <c r="K308" s="4" t="s">
        <v>138</v>
      </c>
      <c r="L308" s="4" t="s">
        <v>40</v>
      </c>
      <c r="M308" s="4">
        <v>0</v>
      </c>
      <c r="N308" s="4" t="s">
        <v>323</v>
      </c>
      <c r="O308" s="4" t="s">
        <v>42</v>
      </c>
      <c r="P308" s="50" t="s">
        <v>43</v>
      </c>
      <c r="Q308" s="50" t="s">
        <v>36</v>
      </c>
      <c r="R308" s="50">
        <v>0</v>
      </c>
      <c r="S308" s="4" t="s">
        <v>43</v>
      </c>
    </row>
    <row r="309" spans="3:19" x14ac:dyDescent="0.25">
      <c r="C309" s="4" t="s">
        <v>325</v>
      </c>
      <c r="D309" s="4" t="s">
        <v>326</v>
      </c>
      <c r="E309" s="4" t="s">
        <v>326</v>
      </c>
      <c r="F309" s="4" t="s">
        <v>36</v>
      </c>
      <c r="G309" s="4" t="str">
        <f>VLOOKUP(C309,JUNIO!C308:G664,5,0)</f>
        <v>CIERRE DEFINITIVO</v>
      </c>
      <c r="H309" s="4" t="s">
        <v>46</v>
      </c>
      <c r="I309" s="4" t="s">
        <v>1030</v>
      </c>
      <c r="J309" s="4" t="s">
        <v>67</v>
      </c>
      <c r="K309" s="4" t="s">
        <v>59</v>
      </c>
      <c r="L309" s="4" t="s">
        <v>40</v>
      </c>
      <c r="M309" s="4">
        <v>0</v>
      </c>
      <c r="N309" s="4" t="s">
        <v>325</v>
      </c>
      <c r="O309" s="4" t="s">
        <v>42</v>
      </c>
      <c r="P309" s="50" t="s">
        <v>43</v>
      </c>
      <c r="Q309" s="50" t="s">
        <v>36</v>
      </c>
      <c r="R309" s="50">
        <v>0</v>
      </c>
      <c r="S309" s="4" t="s">
        <v>43</v>
      </c>
    </row>
    <row r="310" spans="3:19" x14ac:dyDescent="0.25">
      <c r="C310" s="4" t="s">
        <v>459</v>
      </c>
      <c r="D310" s="4" t="s">
        <v>460</v>
      </c>
      <c r="E310" s="4" t="s">
        <v>460</v>
      </c>
      <c r="F310" s="4">
        <v>5</v>
      </c>
      <c r="G310" s="4" t="str">
        <f>VLOOKUP(C310,JUNIO!C309:G665,5,0)</f>
        <v>Abierta</v>
      </c>
      <c r="H310" s="4" t="s">
        <v>46</v>
      </c>
      <c r="I310" s="4" t="s">
        <v>1030</v>
      </c>
      <c r="J310" s="4" t="s">
        <v>94</v>
      </c>
      <c r="K310" s="4" t="s">
        <v>64</v>
      </c>
      <c r="L310" s="4" t="s">
        <v>40</v>
      </c>
      <c r="M310" s="4" t="s">
        <v>1035</v>
      </c>
      <c r="N310" s="4" t="s">
        <v>459</v>
      </c>
      <c r="O310" s="4" t="s">
        <v>42</v>
      </c>
      <c r="P310" s="50" t="s">
        <v>43</v>
      </c>
      <c r="Q310" s="50">
        <v>44299059.1383375</v>
      </c>
      <c r="R310" s="50" t="s">
        <v>423</v>
      </c>
      <c r="S310" s="4" t="s">
        <v>43</v>
      </c>
    </row>
    <row r="311" spans="3:19" x14ac:dyDescent="0.25">
      <c r="C311" s="4" t="s">
        <v>919</v>
      </c>
      <c r="D311" s="4" t="s">
        <v>920</v>
      </c>
      <c r="E311" s="4" t="s">
        <v>920</v>
      </c>
      <c r="F311" s="4">
        <v>5</v>
      </c>
      <c r="G311" s="4" t="str">
        <f>VLOOKUP(C311,JUNIO!C310:G666,5,0)</f>
        <v>Abierta</v>
      </c>
      <c r="H311" s="4" t="s">
        <v>81</v>
      </c>
      <c r="I311" s="4" t="s">
        <v>1030</v>
      </c>
      <c r="J311" s="4" t="s">
        <v>73</v>
      </c>
      <c r="K311" s="4" t="s">
        <v>315</v>
      </c>
      <c r="L311" s="4" t="s">
        <v>40</v>
      </c>
      <c r="M311" s="4" t="s">
        <v>514</v>
      </c>
      <c r="N311" s="4" t="s">
        <v>919</v>
      </c>
      <c r="O311" s="4" t="s">
        <v>42</v>
      </c>
      <c r="P311" s="50" t="s">
        <v>43</v>
      </c>
      <c r="Q311" s="50">
        <v>32328072.879450001</v>
      </c>
      <c r="R311" s="50" t="s">
        <v>886</v>
      </c>
      <c r="S311" s="4" t="s">
        <v>43</v>
      </c>
    </row>
    <row r="312" spans="3:19" x14ac:dyDescent="0.25">
      <c r="C312" s="4" t="s">
        <v>610</v>
      </c>
      <c r="D312" s="4" t="s">
        <v>611</v>
      </c>
      <c r="E312" s="4" t="s">
        <v>611</v>
      </c>
      <c r="F312" s="4">
        <v>5</v>
      </c>
      <c r="G312" s="4" t="str">
        <f>VLOOKUP(C312,JUNIO!C311:G667,5,0)</f>
        <v>Abierta</v>
      </c>
      <c r="H312" s="4" t="s">
        <v>81</v>
      </c>
      <c r="I312" s="4" t="s">
        <v>1030</v>
      </c>
      <c r="J312" s="4" t="s">
        <v>50</v>
      </c>
      <c r="K312" s="4" t="s">
        <v>59</v>
      </c>
      <c r="L312" s="4" t="s">
        <v>40</v>
      </c>
      <c r="M312" s="4" t="s">
        <v>514</v>
      </c>
      <c r="N312" s="4" t="s">
        <v>610</v>
      </c>
      <c r="O312" s="4" t="s">
        <v>42</v>
      </c>
      <c r="P312" s="50" t="s">
        <v>43</v>
      </c>
      <c r="Q312" s="50">
        <v>33591519.458907306</v>
      </c>
      <c r="R312" s="50" t="s">
        <v>597</v>
      </c>
      <c r="S312" s="4" t="s">
        <v>43</v>
      </c>
    </row>
    <row r="313" spans="3:19" x14ac:dyDescent="0.25">
      <c r="C313" s="4" t="s">
        <v>461</v>
      </c>
      <c r="D313" s="4" t="s">
        <v>462</v>
      </c>
      <c r="E313" s="4" t="s">
        <v>462</v>
      </c>
      <c r="F313" s="4">
        <v>5</v>
      </c>
      <c r="G313" s="4" t="str">
        <f>VLOOKUP(C313,JUNIO!C312:G668,5,0)</f>
        <v>Abierta</v>
      </c>
      <c r="H313" s="4" t="s">
        <v>46</v>
      </c>
      <c r="I313" s="4" t="s">
        <v>1030</v>
      </c>
      <c r="J313" s="4" t="s">
        <v>94</v>
      </c>
      <c r="K313" s="4" t="s">
        <v>64</v>
      </c>
      <c r="L313" s="4" t="s">
        <v>40</v>
      </c>
      <c r="M313" s="4" t="s">
        <v>1035</v>
      </c>
      <c r="N313" s="4" t="s">
        <v>461</v>
      </c>
      <c r="O313" s="4" t="s">
        <v>42</v>
      </c>
      <c r="P313" s="50" t="s">
        <v>440</v>
      </c>
      <c r="Q313" s="50">
        <v>33199161.53924999</v>
      </c>
      <c r="R313" s="50" t="s">
        <v>423</v>
      </c>
      <c r="S313" s="4" t="s">
        <v>43</v>
      </c>
    </row>
    <row r="314" spans="3:19" x14ac:dyDescent="0.25">
      <c r="C314" s="4" t="s">
        <v>639</v>
      </c>
      <c r="D314" s="4" t="s">
        <v>640</v>
      </c>
      <c r="E314" s="4" t="s">
        <v>641</v>
      </c>
      <c r="F314" s="4">
        <v>5</v>
      </c>
      <c r="G314" s="4" t="str">
        <f>VLOOKUP(C314,JUNIO!C313:G669,5,0)</f>
        <v>Abierta</v>
      </c>
      <c r="H314" s="4" t="s">
        <v>81</v>
      </c>
      <c r="I314" s="4" t="s">
        <v>1030</v>
      </c>
      <c r="J314" s="4" t="s">
        <v>50</v>
      </c>
      <c r="K314" s="4" t="s">
        <v>64</v>
      </c>
      <c r="L314" s="4" t="s">
        <v>40</v>
      </c>
      <c r="M314" s="4" t="s">
        <v>514</v>
      </c>
      <c r="N314" s="4" t="s">
        <v>639</v>
      </c>
      <c r="O314" s="4" t="s">
        <v>42</v>
      </c>
      <c r="P314" s="50" t="s">
        <v>43</v>
      </c>
      <c r="Q314" s="50">
        <v>56112427.25925</v>
      </c>
      <c r="R314" s="50" t="s">
        <v>597</v>
      </c>
      <c r="S314" s="4" t="s">
        <v>440</v>
      </c>
    </row>
    <row r="315" spans="3:19" x14ac:dyDescent="0.25">
      <c r="C315" s="4" t="s">
        <v>327</v>
      </c>
      <c r="D315" s="4" t="s">
        <v>328</v>
      </c>
      <c r="E315" s="4" t="s">
        <v>328</v>
      </c>
      <c r="F315" s="4" t="s">
        <v>36</v>
      </c>
      <c r="G315" s="4" t="str">
        <f>VLOOKUP(C315,JUNIO!C314:G670,5,0)</f>
        <v>CIERRE DEFINITIVO</v>
      </c>
      <c r="H315" s="4" t="s">
        <v>81</v>
      </c>
      <c r="I315" s="4" t="s">
        <v>1030</v>
      </c>
      <c r="J315" s="4" t="s">
        <v>63</v>
      </c>
      <c r="K315" s="4" t="s">
        <v>138</v>
      </c>
      <c r="L315" s="4" t="s">
        <v>40</v>
      </c>
      <c r="M315" s="4">
        <v>0</v>
      </c>
      <c r="N315" s="4" t="s">
        <v>327</v>
      </c>
      <c r="O315" s="4" t="s">
        <v>42</v>
      </c>
      <c r="P315" s="50" t="s">
        <v>43</v>
      </c>
      <c r="Q315" s="50" t="s">
        <v>36</v>
      </c>
      <c r="R315" s="50">
        <v>0</v>
      </c>
      <c r="S315" s="4" t="s">
        <v>43</v>
      </c>
    </row>
    <row r="316" spans="3:19" x14ac:dyDescent="0.25">
      <c r="C316" s="4" t="s">
        <v>329</v>
      </c>
      <c r="D316" s="4" t="s">
        <v>330</v>
      </c>
      <c r="E316" s="4" t="s">
        <v>330</v>
      </c>
      <c r="F316" s="4" t="s">
        <v>36</v>
      </c>
      <c r="G316" s="4" t="str">
        <f>VLOOKUP(C316,JUNIO!C315:G671,5,0)</f>
        <v>CIERRE DEFINITIVO</v>
      </c>
      <c r="H316" s="4" t="s">
        <v>46</v>
      </c>
      <c r="I316" s="4" t="s">
        <v>1030</v>
      </c>
      <c r="J316" s="4" t="s">
        <v>331</v>
      </c>
      <c r="K316" s="4" t="s">
        <v>138</v>
      </c>
      <c r="L316" s="4" t="s">
        <v>40</v>
      </c>
      <c r="M316" s="4">
        <v>0</v>
      </c>
      <c r="N316" s="4" t="s">
        <v>329</v>
      </c>
      <c r="O316" s="4" t="s">
        <v>42</v>
      </c>
      <c r="P316" s="50" t="s">
        <v>43</v>
      </c>
      <c r="Q316" s="50" t="s">
        <v>36</v>
      </c>
      <c r="R316" s="50">
        <v>0</v>
      </c>
      <c r="S316" s="4" t="s">
        <v>43</v>
      </c>
    </row>
    <row r="317" spans="3:19" x14ac:dyDescent="0.25">
      <c r="C317" s="4" t="s">
        <v>332</v>
      </c>
      <c r="D317" s="4" t="s">
        <v>333</v>
      </c>
      <c r="E317" s="4" t="s">
        <v>333</v>
      </c>
      <c r="F317" s="4" t="s">
        <v>36</v>
      </c>
      <c r="G317" s="4" t="str">
        <f>VLOOKUP(C317,JUNIO!C316:G672,5,0)</f>
        <v>CIERRE DEFINITIVO</v>
      </c>
      <c r="H317" s="4" t="s">
        <v>81</v>
      </c>
      <c r="I317" s="4" t="s">
        <v>1030</v>
      </c>
      <c r="J317" s="4">
        <v>0</v>
      </c>
      <c r="K317" s="4" t="s">
        <v>59</v>
      </c>
      <c r="L317" s="4" t="s">
        <v>40</v>
      </c>
      <c r="M317" s="4">
        <v>0</v>
      </c>
      <c r="N317" s="4" t="s">
        <v>332</v>
      </c>
      <c r="O317" s="4" t="s">
        <v>42</v>
      </c>
      <c r="P317" s="50" t="s">
        <v>43</v>
      </c>
      <c r="Q317" s="50" t="s">
        <v>36</v>
      </c>
      <c r="R317" s="50">
        <v>0</v>
      </c>
      <c r="S317" s="4" t="s">
        <v>43</v>
      </c>
    </row>
    <row r="318" spans="3:19" x14ac:dyDescent="0.25">
      <c r="C318" s="4" t="s">
        <v>334</v>
      </c>
      <c r="D318" s="4" t="s">
        <v>335</v>
      </c>
      <c r="E318" s="4" t="s">
        <v>336</v>
      </c>
      <c r="F318" s="4" t="s">
        <v>36</v>
      </c>
      <c r="G318" s="4" t="str">
        <f>VLOOKUP(C318,JUNIO!C317:G673,5,0)</f>
        <v>CIERRE DEFINITIVO</v>
      </c>
      <c r="H318" s="4" t="s">
        <v>46</v>
      </c>
      <c r="I318" s="4" t="s">
        <v>1030</v>
      </c>
      <c r="J318" s="4">
        <v>0</v>
      </c>
      <c r="K318" s="4" t="s">
        <v>47</v>
      </c>
      <c r="L318" s="4" t="s">
        <v>40</v>
      </c>
      <c r="M318" s="4">
        <v>0</v>
      </c>
      <c r="N318" s="4" t="s">
        <v>334</v>
      </c>
      <c r="O318" s="4" t="s">
        <v>42</v>
      </c>
      <c r="P318" s="50" t="s">
        <v>43</v>
      </c>
      <c r="Q318" s="50" t="s">
        <v>36</v>
      </c>
      <c r="R318" s="50">
        <v>0</v>
      </c>
      <c r="S318" s="4" t="s">
        <v>43</v>
      </c>
    </row>
    <row r="319" spans="3:19" x14ac:dyDescent="0.25">
      <c r="C319" s="4" t="s">
        <v>507</v>
      </c>
      <c r="D319" s="4" t="s">
        <v>508</v>
      </c>
      <c r="E319" s="4" t="s">
        <v>508</v>
      </c>
      <c r="F319" s="4">
        <v>5</v>
      </c>
      <c r="G319" s="4" t="str">
        <f>VLOOKUP(C319,JUNIO!C318:G674,5,0)</f>
        <v>Abierta</v>
      </c>
      <c r="H319" s="4" t="s">
        <v>46</v>
      </c>
      <c r="I319" s="4" t="s">
        <v>1030</v>
      </c>
      <c r="J319" s="4" t="s">
        <v>466</v>
      </c>
      <c r="K319" s="4" t="s">
        <v>51</v>
      </c>
      <c r="L319" s="4" t="s">
        <v>40</v>
      </c>
      <c r="M319" s="4" t="s">
        <v>1035</v>
      </c>
      <c r="N319" s="4" t="s">
        <v>507</v>
      </c>
      <c r="O319" s="4" t="s">
        <v>42</v>
      </c>
      <c r="P319" s="50" t="s">
        <v>43</v>
      </c>
      <c r="Q319" s="50">
        <v>27063124.734551031</v>
      </c>
      <c r="R319" s="50" t="s">
        <v>467</v>
      </c>
      <c r="S319" s="4" t="s">
        <v>43</v>
      </c>
    </row>
    <row r="320" spans="3:19" x14ac:dyDescent="0.25">
      <c r="C320" s="4" t="s">
        <v>417</v>
      </c>
      <c r="D320" s="4" t="s">
        <v>418</v>
      </c>
      <c r="E320" s="4" t="s">
        <v>418</v>
      </c>
      <c r="F320" s="4">
        <v>5</v>
      </c>
      <c r="G320" s="4" t="str">
        <f>VLOOKUP(C320,JUNIO!C319:G675,5,0)</f>
        <v>Abierta</v>
      </c>
      <c r="H320" s="4" t="s">
        <v>46</v>
      </c>
      <c r="I320" s="4" t="s">
        <v>1031</v>
      </c>
      <c r="J320" s="4" t="s">
        <v>63</v>
      </c>
      <c r="K320" s="4" t="s">
        <v>138</v>
      </c>
      <c r="L320" s="4" t="s">
        <v>40</v>
      </c>
      <c r="M320" s="4" t="s">
        <v>378</v>
      </c>
      <c r="N320" s="4" t="s">
        <v>417</v>
      </c>
      <c r="O320" s="4" t="s">
        <v>42</v>
      </c>
      <c r="P320" s="50" t="s">
        <v>43</v>
      </c>
      <c r="Q320" s="50">
        <v>28841119.122538619</v>
      </c>
      <c r="R320" s="50" t="s">
        <v>380</v>
      </c>
      <c r="S320" s="4" t="s">
        <v>43</v>
      </c>
    </row>
    <row r="321" spans="3:19" x14ac:dyDescent="0.25">
      <c r="C321" s="4" t="s">
        <v>337</v>
      </c>
      <c r="D321" s="4" t="s">
        <v>338</v>
      </c>
      <c r="E321" s="4" t="s">
        <v>338</v>
      </c>
      <c r="F321" s="4" t="s">
        <v>36</v>
      </c>
      <c r="G321" s="4" t="str">
        <f>VLOOKUP(C321,JUNIO!C320:G676,5,0)</f>
        <v>CIERRE DEFINITIVO</v>
      </c>
      <c r="H321" s="4" t="s">
        <v>81</v>
      </c>
      <c r="I321" s="4" t="s">
        <v>1030</v>
      </c>
      <c r="J321" s="4" t="s">
        <v>89</v>
      </c>
      <c r="K321" s="4" t="s">
        <v>109</v>
      </c>
      <c r="L321" s="4" t="s">
        <v>91</v>
      </c>
      <c r="M321" s="4">
        <v>0</v>
      </c>
      <c r="N321" s="4" t="s">
        <v>337</v>
      </c>
      <c r="O321" s="4" t="s">
        <v>42</v>
      </c>
      <c r="P321" s="50" t="s">
        <v>43</v>
      </c>
      <c r="Q321" s="50" t="s">
        <v>36</v>
      </c>
      <c r="R321" s="50">
        <v>0</v>
      </c>
      <c r="S321" s="4" t="s">
        <v>43</v>
      </c>
    </row>
    <row r="322" spans="3:19" x14ac:dyDescent="0.25">
      <c r="C322" s="4" t="s">
        <v>339</v>
      </c>
      <c r="D322" s="4" t="s">
        <v>340</v>
      </c>
      <c r="E322" s="4" t="s">
        <v>341</v>
      </c>
      <c r="F322" s="4" t="s">
        <v>36</v>
      </c>
      <c r="G322" s="4" t="str">
        <f>VLOOKUP(C322,JUNIO!C321:G677,5,0)</f>
        <v>CIERRE DEFINITIVO</v>
      </c>
      <c r="H322" s="4" t="s">
        <v>46</v>
      </c>
      <c r="I322" s="4" t="s">
        <v>1030</v>
      </c>
      <c r="J322" s="4">
        <v>0</v>
      </c>
      <c r="K322" s="4" t="s">
        <v>47</v>
      </c>
      <c r="L322" s="4" t="s">
        <v>40</v>
      </c>
      <c r="M322" s="4">
        <v>0</v>
      </c>
      <c r="N322" s="4" t="s">
        <v>339</v>
      </c>
      <c r="O322" s="4" t="s">
        <v>42</v>
      </c>
      <c r="P322" s="50" t="s">
        <v>43</v>
      </c>
      <c r="Q322" s="50" t="s">
        <v>36</v>
      </c>
      <c r="R322" s="50">
        <v>0</v>
      </c>
      <c r="S322" s="4" t="s">
        <v>43</v>
      </c>
    </row>
    <row r="323" spans="3:19" x14ac:dyDescent="0.25">
      <c r="C323" s="4" t="s">
        <v>825</v>
      </c>
      <c r="D323" s="4" t="s">
        <v>826</v>
      </c>
      <c r="E323" s="4" t="s">
        <v>827</v>
      </c>
      <c r="F323" s="4">
        <v>5</v>
      </c>
      <c r="G323" s="4" t="str">
        <f>VLOOKUP(C323,JUNIO!C322:G678,5,0)</f>
        <v>Abierta</v>
      </c>
      <c r="H323" s="4" t="s">
        <v>81</v>
      </c>
      <c r="I323" s="4" t="s">
        <v>1030</v>
      </c>
      <c r="J323" s="4" t="s">
        <v>146</v>
      </c>
      <c r="K323" s="4" t="s">
        <v>59</v>
      </c>
      <c r="L323" s="4" t="s">
        <v>40</v>
      </c>
      <c r="M323" s="4" t="s">
        <v>1035</v>
      </c>
      <c r="N323" s="4" t="s">
        <v>825</v>
      </c>
      <c r="O323" s="4" t="s">
        <v>42</v>
      </c>
      <c r="P323" s="50" t="s">
        <v>43</v>
      </c>
      <c r="Q323" s="50">
        <v>52186617.816000007</v>
      </c>
      <c r="R323" s="50" t="s">
        <v>799</v>
      </c>
      <c r="S323" s="4" t="s">
        <v>440</v>
      </c>
    </row>
    <row r="324" spans="3:19" x14ac:dyDescent="0.25">
      <c r="C324" s="4" t="s">
        <v>828</v>
      </c>
      <c r="D324" s="4" t="s">
        <v>829</v>
      </c>
      <c r="E324" s="4" t="s">
        <v>829</v>
      </c>
      <c r="F324" s="4">
        <v>5.68</v>
      </c>
      <c r="G324" s="4" t="str">
        <f>VLOOKUP(C324,JUNIO!C323:G679,5,0)</f>
        <v>Abierta</v>
      </c>
      <c r="H324" s="4" t="s">
        <v>46</v>
      </c>
      <c r="I324" s="4" t="s">
        <v>1030</v>
      </c>
      <c r="J324" s="4" t="s">
        <v>146</v>
      </c>
      <c r="K324" s="4" t="s">
        <v>59</v>
      </c>
      <c r="L324" s="4" t="s">
        <v>40</v>
      </c>
      <c r="M324" s="4" t="s">
        <v>1035</v>
      </c>
      <c r="N324" s="4" t="s">
        <v>828</v>
      </c>
      <c r="O324" s="4" t="s">
        <v>42</v>
      </c>
      <c r="P324" s="50" t="s">
        <v>43</v>
      </c>
      <c r="Q324" s="50">
        <v>58731159.417019024</v>
      </c>
      <c r="R324" s="50" t="s">
        <v>799</v>
      </c>
      <c r="S324" s="4" t="s">
        <v>43</v>
      </c>
    </row>
    <row r="325" spans="3:19" x14ac:dyDescent="0.25">
      <c r="C325" s="4" t="s">
        <v>342</v>
      </c>
      <c r="D325" s="4" t="s">
        <v>343</v>
      </c>
      <c r="E325" s="4" t="s">
        <v>343</v>
      </c>
      <c r="F325" s="4" t="s">
        <v>36</v>
      </c>
      <c r="G325" s="4" t="str">
        <f>VLOOKUP(C325,JUNIO!C324:G680,5,0)</f>
        <v>CIERRE DEFINITIVO</v>
      </c>
      <c r="H325" s="4" t="s">
        <v>81</v>
      </c>
      <c r="I325" s="4" t="s">
        <v>1030</v>
      </c>
      <c r="J325" s="4" t="s">
        <v>132</v>
      </c>
      <c r="K325" s="4" t="s">
        <v>51</v>
      </c>
      <c r="L325" s="4" t="s">
        <v>40</v>
      </c>
      <c r="M325" s="4">
        <v>0</v>
      </c>
      <c r="N325" s="4" t="s">
        <v>342</v>
      </c>
      <c r="O325" s="4" t="s">
        <v>42</v>
      </c>
      <c r="P325" s="50" t="s">
        <v>43</v>
      </c>
      <c r="Q325" s="50" t="s">
        <v>36</v>
      </c>
      <c r="R325" s="50">
        <v>0</v>
      </c>
      <c r="S325" s="4" t="s">
        <v>43</v>
      </c>
    </row>
    <row r="326" spans="3:19" x14ac:dyDescent="0.25">
      <c r="C326" s="4" t="s">
        <v>830</v>
      </c>
      <c r="D326" s="4" t="s">
        <v>831</v>
      </c>
      <c r="E326" s="4" t="s">
        <v>832</v>
      </c>
      <c r="F326" s="4">
        <v>5</v>
      </c>
      <c r="G326" s="4" t="str">
        <f>VLOOKUP(C326,JUNIO!C325:G681,5,0)</f>
        <v>Abierta</v>
      </c>
      <c r="H326" s="4" t="s">
        <v>46</v>
      </c>
      <c r="I326" s="4" t="s">
        <v>1030</v>
      </c>
      <c r="J326" s="4" t="s">
        <v>146</v>
      </c>
      <c r="K326" s="4" t="s">
        <v>59</v>
      </c>
      <c r="L326" s="4" t="s">
        <v>40</v>
      </c>
      <c r="M326" s="4" t="s">
        <v>1035</v>
      </c>
      <c r="N326" s="4" t="s">
        <v>830</v>
      </c>
      <c r="O326" s="4" t="s">
        <v>42</v>
      </c>
      <c r="P326" s="50" t="s">
        <v>43</v>
      </c>
      <c r="Q326" s="50">
        <v>31443307.177094996</v>
      </c>
      <c r="R326" s="50" t="s">
        <v>799</v>
      </c>
      <c r="S326" s="4" t="s">
        <v>43</v>
      </c>
    </row>
    <row r="327" spans="3:19" x14ac:dyDescent="0.25">
      <c r="C327" s="4" t="s">
        <v>921</v>
      </c>
      <c r="D327" s="4" t="s">
        <v>922</v>
      </c>
      <c r="E327" s="4" t="s">
        <v>911</v>
      </c>
      <c r="F327" s="4">
        <v>5</v>
      </c>
      <c r="G327" s="4" t="str">
        <f>VLOOKUP(C327,JUNIO!C326:G682,5,0)</f>
        <v>Abierta</v>
      </c>
      <c r="H327" s="4" t="s">
        <v>81</v>
      </c>
      <c r="I327" s="4" t="s">
        <v>1030</v>
      </c>
      <c r="J327" s="4" t="s">
        <v>73</v>
      </c>
      <c r="K327" s="4" t="s">
        <v>911</v>
      </c>
      <c r="L327" s="4" t="s">
        <v>40</v>
      </c>
      <c r="M327" s="4" t="s">
        <v>514</v>
      </c>
      <c r="N327" s="4" t="s">
        <v>921</v>
      </c>
      <c r="O327" s="4" t="s">
        <v>42</v>
      </c>
      <c r="P327" s="50" t="s">
        <v>43</v>
      </c>
      <c r="Q327" s="50">
        <v>32591201.881983794</v>
      </c>
      <c r="R327" s="50" t="s">
        <v>886</v>
      </c>
      <c r="S327" s="4" t="s">
        <v>43</v>
      </c>
    </row>
    <row r="328" spans="3:19" x14ac:dyDescent="0.25">
      <c r="C328" s="4" t="s">
        <v>970</v>
      </c>
      <c r="D328" s="4" t="s">
        <v>971</v>
      </c>
      <c r="E328" s="4" t="s">
        <v>972</v>
      </c>
      <c r="F328" s="4">
        <v>5</v>
      </c>
      <c r="G328" s="4" t="str">
        <f>VLOOKUP(C328,JUNIO!C327:G683,5,0)</f>
        <v>Abierta</v>
      </c>
      <c r="H328" s="4" t="s">
        <v>81</v>
      </c>
      <c r="I328" s="4" t="s">
        <v>1030</v>
      </c>
      <c r="J328" s="4" t="s">
        <v>160</v>
      </c>
      <c r="K328" s="4" t="s">
        <v>353</v>
      </c>
      <c r="L328" s="4" t="s">
        <v>40</v>
      </c>
      <c r="M328" s="4" t="s">
        <v>984</v>
      </c>
      <c r="N328" s="4" t="s">
        <v>970</v>
      </c>
      <c r="O328" s="4" t="s">
        <v>42</v>
      </c>
      <c r="P328" s="50" t="s">
        <v>43</v>
      </c>
      <c r="Q328" s="50">
        <v>35783966.017406918</v>
      </c>
      <c r="R328" s="50" t="s">
        <v>931</v>
      </c>
      <c r="S328" s="4" t="s">
        <v>43</v>
      </c>
    </row>
    <row r="329" spans="3:19" x14ac:dyDescent="0.25">
      <c r="C329" s="4" t="s">
        <v>344</v>
      </c>
      <c r="D329" s="4" t="s">
        <v>345</v>
      </c>
      <c r="E329" s="4" t="s">
        <v>345</v>
      </c>
      <c r="F329" s="4" t="s">
        <v>36</v>
      </c>
      <c r="G329" s="4" t="str">
        <f>VLOOKUP(C329,JUNIO!C328:G684,5,0)</f>
        <v>CIERRE DEFINITIVO</v>
      </c>
      <c r="H329" s="4" t="s">
        <v>88</v>
      </c>
      <c r="I329" s="4" t="s">
        <v>1030</v>
      </c>
      <c r="J329" s="4">
        <v>0</v>
      </c>
      <c r="K329" s="4" t="s">
        <v>346</v>
      </c>
      <c r="L329" s="4" t="s">
        <v>40</v>
      </c>
      <c r="M329" s="4">
        <v>0</v>
      </c>
      <c r="N329" s="4" t="s">
        <v>344</v>
      </c>
      <c r="O329" s="4" t="s">
        <v>42</v>
      </c>
      <c r="P329" s="50" t="s">
        <v>43</v>
      </c>
      <c r="Q329" s="50" t="s">
        <v>36</v>
      </c>
      <c r="R329" s="50">
        <v>0</v>
      </c>
      <c r="S329" s="4" t="s">
        <v>43</v>
      </c>
    </row>
    <row r="330" spans="3:19" x14ac:dyDescent="0.25">
      <c r="C330" s="4" t="s">
        <v>879</v>
      </c>
      <c r="D330" s="4" t="s">
        <v>880</v>
      </c>
      <c r="E330" s="4" t="s">
        <v>880</v>
      </c>
      <c r="F330" s="4">
        <v>5</v>
      </c>
      <c r="G330" s="4" t="str">
        <f>VLOOKUP(C330,JUNIO!C329:G685,5,0)</f>
        <v>Abierta</v>
      </c>
      <c r="H330" s="4" t="s">
        <v>46</v>
      </c>
      <c r="I330" s="4" t="s">
        <v>1030</v>
      </c>
      <c r="J330" s="4" t="s">
        <v>132</v>
      </c>
      <c r="K330" s="4" t="s">
        <v>138</v>
      </c>
      <c r="L330" s="4" t="s">
        <v>40</v>
      </c>
      <c r="M330" s="4" t="s">
        <v>1035</v>
      </c>
      <c r="N330" s="4" t="s">
        <v>879</v>
      </c>
      <c r="O330" s="4" t="s">
        <v>42</v>
      </c>
      <c r="P330" s="50" t="s">
        <v>43</v>
      </c>
      <c r="Q330" s="50">
        <v>41962894.672879986</v>
      </c>
      <c r="R330" s="50" t="s">
        <v>847</v>
      </c>
      <c r="S330" s="4" t="s">
        <v>43</v>
      </c>
    </row>
    <row r="331" spans="3:19" x14ac:dyDescent="0.25">
      <c r="C331" s="4" t="s">
        <v>553</v>
      </c>
      <c r="D331" s="4" t="s">
        <v>554</v>
      </c>
      <c r="E331" s="4" t="s">
        <v>554</v>
      </c>
      <c r="F331" s="4">
        <v>5</v>
      </c>
      <c r="G331" s="4" t="str">
        <f>VLOOKUP(C331,JUNIO!C330:G686,5,0)</f>
        <v>Abierta</v>
      </c>
      <c r="H331" s="4" t="s">
        <v>46</v>
      </c>
      <c r="I331" s="4" t="s">
        <v>1030</v>
      </c>
      <c r="J331" s="4" t="s">
        <v>100</v>
      </c>
      <c r="K331" s="4" t="s">
        <v>138</v>
      </c>
      <c r="L331" s="4" t="s">
        <v>40</v>
      </c>
      <c r="M331" s="4" t="s">
        <v>514</v>
      </c>
      <c r="N331" s="4" t="s">
        <v>553</v>
      </c>
      <c r="O331" s="4" t="s">
        <v>42</v>
      </c>
      <c r="P331" s="50" t="s">
        <v>43</v>
      </c>
      <c r="Q331" s="50">
        <v>29715653.605824001</v>
      </c>
      <c r="R331" s="50" t="s">
        <v>515</v>
      </c>
      <c r="S331" s="4" t="s">
        <v>43</v>
      </c>
    </row>
    <row r="332" spans="3:19" x14ac:dyDescent="0.25">
      <c r="C332" s="4" t="s">
        <v>923</v>
      </c>
      <c r="D332" s="4" t="s">
        <v>924</v>
      </c>
      <c r="E332" s="4" t="s">
        <v>924</v>
      </c>
      <c r="F332" s="4">
        <v>5</v>
      </c>
      <c r="G332" s="4" t="str">
        <f>VLOOKUP(C332,JUNIO!C331:G687,5,0)</f>
        <v>Abierta</v>
      </c>
      <c r="H332" s="4" t="s">
        <v>46</v>
      </c>
      <c r="I332" s="4" t="s">
        <v>1030</v>
      </c>
      <c r="J332" s="4" t="s">
        <v>73</v>
      </c>
      <c r="K332" s="4" t="s">
        <v>133</v>
      </c>
      <c r="L332" s="4" t="s">
        <v>40</v>
      </c>
      <c r="M332" s="4" t="s">
        <v>514</v>
      </c>
      <c r="N332" s="4" t="s">
        <v>923</v>
      </c>
      <c r="O332" s="4" t="s">
        <v>42</v>
      </c>
      <c r="P332" s="50" t="s">
        <v>43</v>
      </c>
      <c r="Q332" s="50">
        <v>36003925.107334092</v>
      </c>
      <c r="R332" s="50" t="s">
        <v>886</v>
      </c>
      <c r="S332" s="4" t="s">
        <v>43</v>
      </c>
    </row>
    <row r="333" spans="3:19" x14ac:dyDescent="0.25">
      <c r="C333" s="4" t="s">
        <v>761</v>
      </c>
      <c r="D333" s="4" t="s">
        <v>762</v>
      </c>
      <c r="E333" s="4" t="s">
        <v>762</v>
      </c>
      <c r="F333" s="4">
        <v>5</v>
      </c>
      <c r="G333" s="4" t="str">
        <f>VLOOKUP(C333,JUNIO!C332:G688,5,0)</f>
        <v>Abierta</v>
      </c>
      <c r="H333" s="4" t="s">
        <v>46</v>
      </c>
      <c r="I333" s="4" t="s">
        <v>1031</v>
      </c>
      <c r="J333" s="4" t="s">
        <v>84</v>
      </c>
      <c r="K333" s="4" t="s">
        <v>54</v>
      </c>
      <c r="L333" s="4" t="s">
        <v>55</v>
      </c>
      <c r="M333" s="4" t="s">
        <v>378</v>
      </c>
      <c r="N333" s="4" t="s">
        <v>761</v>
      </c>
      <c r="O333" s="4" t="s">
        <v>42</v>
      </c>
      <c r="P333" s="50" t="s">
        <v>440</v>
      </c>
      <c r="Q333" s="50">
        <v>45837557.671977006</v>
      </c>
      <c r="R333" s="50" t="s">
        <v>741</v>
      </c>
      <c r="S333" s="4" t="s">
        <v>43</v>
      </c>
    </row>
    <row r="334" spans="3:19" x14ac:dyDescent="0.25">
      <c r="C334" s="4" t="s">
        <v>509</v>
      </c>
      <c r="D334" s="4" t="s">
        <v>510</v>
      </c>
      <c r="E334" s="4" t="s">
        <v>510</v>
      </c>
      <c r="F334" s="4">
        <v>5</v>
      </c>
      <c r="G334" s="4" t="str">
        <f>VLOOKUP(C334,JUNIO!C333:G689,5,0)</f>
        <v>Abierta</v>
      </c>
      <c r="H334" s="4" t="s">
        <v>46</v>
      </c>
      <c r="I334" s="4" t="s">
        <v>1030</v>
      </c>
      <c r="J334" s="4" t="s">
        <v>466</v>
      </c>
      <c r="K334" s="4" t="s">
        <v>51</v>
      </c>
      <c r="L334" s="4" t="s">
        <v>40</v>
      </c>
      <c r="M334" s="4" t="s">
        <v>1035</v>
      </c>
      <c r="N334" s="4" t="s">
        <v>509</v>
      </c>
      <c r="O334" s="4" t="s">
        <v>42</v>
      </c>
      <c r="P334" s="50" t="s">
        <v>43</v>
      </c>
      <c r="Q334" s="50">
        <v>45526695.315300003</v>
      </c>
      <c r="R334" s="50" t="s">
        <v>467</v>
      </c>
      <c r="S334" s="4" t="s">
        <v>43</v>
      </c>
    </row>
    <row r="335" spans="3:19" x14ac:dyDescent="0.25">
      <c r="C335" s="4" t="s">
        <v>347</v>
      </c>
      <c r="D335" s="4" t="s">
        <v>348</v>
      </c>
      <c r="E335" s="4" t="s">
        <v>348</v>
      </c>
      <c r="F335" s="4" t="s">
        <v>36</v>
      </c>
      <c r="G335" s="4" t="str">
        <f>VLOOKUP(C335,JUNIO!C334:G690,5,0)</f>
        <v>CIERRE DEFINITIVO</v>
      </c>
      <c r="H335" s="4" t="s">
        <v>81</v>
      </c>
      <c r="I335" s="4" t="s">
        <v>1030</v>
      </c>
      <c r="J335" s="4" t="s">
        <v>58</v>
      </c>
      <c r="K335" s="4" t="s">
        <v>59</v>
      </c>
      <c r="L335" s="4" t="s">
        <v>40</v>
      </c>
      <c r="M335" s="4">
        <v>0</v>
      </c>
      <c r="N335" s="4" t="s">
        <v>347</v>
      </c>
      <c r="O335" s="4" t="s">
        <v>42</v>
      </c>
      <c r="P335" s="50" t="s">
        <v>43</v>
      </c>
      <c r="Q335" s="50" t="s">
        <v>36</v>
      </c>
      <c r="R335" s="50">
        <v>0</v>
      </c>
      <c r="S335" s="4" t="s">
        <v>43</v>
      </c>
    </row>
    <row r="336" spans="3:19" x14ac:dyDescent="0.25">
      <c r="C336" s="4" t="s">
        <v>973</v>
      </c>
      <c r="D336" s="4" t="s">
        <v>974</v>
      </c>
      <c r="E336" s="4" t="s">
        <v>974</v>
      </c>
      <c r="F336" s="4">
        <v>5</v>
      </c>
      <c r="G336" s="4" t="str">
        <f>VLOOKUP(C336,JUNIO!C335:G691,5,0)</f>
        <v>Abierta</v>
      </c>
      <c r="H336" s="4" t="s">
        <v>46</v>
      </c>
      <c r="I336" s="4" t="s">
        <v>1030</v>
      </c>
      <c r="J336" s="4" t="s">
        <v>160</v>
      </c>
      <c r="K336" s="4" t="s">
        <v>39</v>
      </c>
      <c r="L336" s="4" t="s">
        <v>40</v>
      </c>
      <c r="M336" s="4" t="s">
        <v>984</v>
      </c>
      <c r="N336" s="4" t="s">
        <v>973</v>
      </c>
      <c r="O336" s="4" t="s">
        <v>42</v>
      </c>
      <c r="P336" s="50" t="s">
        <v>43</v>
      </c>
      <c r="Q336" s="50">
        <v>32867814.660043504</v>
      </c>
      <c r="R336" s="50" t="s">
        <v>931</v>
      </c>
      <c r="S336" s="4" t="s">
        <v>43</v>
      </c>
    </row>
    <row r="337" spans="3:19" x14ac:dyDescent="0.25">
      <c r="C337" s="4" t="s">
        <v>349</v>
      </c>
      <c r="D337" s="4" t="s">
        <v>350</v>
      </c>
      <c r="E337" s="4" t="s">
        <v>350</v>
      </c>
      <c r="F337" s="4" t="s">
        <v>36</v>
      </c>
      <c r="G337" s="4" t="str">
        <f>VLOOKUP(C337,JUNIO!C336:G692,5,0)</f>
        <v>CIERRE DEFINITIVO</v>
      </c>
      <c r="H337" s="4" t="s">
        <v>46</v>
      </c>
      <c r="I337" s="4" t="s">
        <v>1030</v>
      </c>
      <c r="J337" s="4">
        <v>0</v>
      </c>
      <c r="K337" s="4" t="s">
        <v>138</v>
      </c>
      <c r="L337" s="4" t="s">
        <v>40</v>
      </c>
      <c r="M337" s="4">
        <v>0</v>
      </c>
      <c r="N337" s="4" t="s">
        <v>349</v>
      </c>
      <c r="O337" s="4" t="s">
        <v>42</v>
      </c>
      <c r="P337" s="50" t="s">
        <v>43</v>
      </c>
      <c r="Q337" s="50" t="s">
        <v>36</v>
      </c>
      <c r="R337" s="50">
        <v>0</v>
      </c>
      <c r="S337" s="4" t="s">
        <v>43</v>
      </c>
    </row>
    <row r="338" spans="3:19" x14ac:dyDescent="0.25">
      <c r="C338" s="4" t="s">
        <v>351</v>
      </c>
      <c r="D338" s="4" t="s">
        <v>352</v>
      </c>
      <c r="E338" s="4" t="s">
        <v>352</v>
      </c>
      <c r="F338" s="4" t="s">
        <v>36</v>
      </c>
      <c r="G338" s="4" t="str">
        <f>VLOOKUP(C338,JUNIO!C337:G693,5,0)</f>
        <v>CIERRE DEFINITIVO</v>
      </c>
      <c r="H338" s="4" t="s">
        <v>46</v>
      </c>
      <c r="I338" s="4" t="s">
        <v>1030</v>
      </c>
      <c r="J338" s="4" t="s">
        <v>331</v>
      </c>
      <c r="K338" s="4" t="s">
        <v>353</v>
      </c>
      <c r="L338" s="4" t="s">
        <v>40</v>
      </c>
      <c r="M338" s="4">
        <v>0</v>
      </c>
      <c r="N338" s="4" t="s">
        <v>351</v>
      </c>
      <c r="O338" s="4" t="s">
        <v>42</v>
      </c>
      <c r="P338" s="50" t="s">
        <v>43</v>
      </c>
      <c r="Q338" s="50" t="s">
        <v>36</v>
      </c>
      <c r="R338" s="50">
        <v>0</v>
      </c>
      <c r="S338" s="4" t="s">
        <v>43</v>
      </c>
    </row>
    <row r="339" spans="3:19" x14ac:dyDescent="0.25">
      <c r="C339" s="4" t="s">
        <v>833</v>
      </c>
      <c r="D339" s="4" t="s">
        <v>834</v>
      </c>
      <c r="E339" s="4" t="s">
        <v>835</v>
      </c>
      <c r="F339" s="4">
        <v>5</v>
      </c>
      <c r="G339" s="4" t="str">
        <f>VLOOKUP(C339,JUNIO!C338:G694,5,0)</f>
        <v>Abierta</v>
      </c>
      <c r="H339" s="4" t="s">
        <v>46</v>
      </c>
      <c r="I339" s="4" t="s">
        <v>1030</v>
      </c>
      <c r="J339" s="4" t="s">
        <v>146</v>
      </c>
      <c r="K339" s="4" t="s">
        <v>59</v>
      </c>
      <c r="L339" s="4" t="s">
        <v>40</v>
      </c>
      <c r="M339" s="4" t="s">
        <v>1035</v>
      </c>
      <c r="N339" s="4" t="s">
        <v>833</v>
      </c>
      <c r="O339" s="4" t="s">
        <v>42</v>
      </c>
      <c r="P339" s="50" t="s">
        <v>43</v>
      </c>
      <c r="Q339" s="50">
        <v>56922915.344735563</v>
      </c>
      <c r="R339" s="50" t="s">
        <v>799</v>
      </c>
      <c r="S339" s="4" t="s">
        <v>43</v>
      </c>
    </row>
    <row r="340" spans="3:19" x14ac:dyDescent="0.25">
      <c r="C340" s="4" t="s">
        <v>354</v>
      </c>
      <c r="D340" s="4" t="s">
        <v>355</v>
      </c>
      <c r="E340" s="4" t="s">
        <v>355</v>
      </c>
      <c r="F340" s="4" t="s">
        <v>36</v>
      </c>
      <c r="G340" s="4" t="str">
        <f>VLOOKUP(C340,JUNIO!C339:G695,5,0)</f>
        <v>CIERRE DEFINITIVO</v>
      </c>
      <c r="H340" s="4" t="s">
        <v>46</v>
      </c>
      <c r="I340" s="4" t="s">
        <v>1030</v>
      </c>
      <c r="J340" s="4" t="s">
        <v>67</v>
      </c>
      <c r="K340" s="4" t="s">
        <v>59</v>
      </c>
      <c r="L340" s="4" t="s">
        <v>40</v>
      </c>
      <c r="M340" s="4">
        <v>0</v>
      </c>
      <c r="N340" s="4" t="s">
        <v>354</v>
      </c>
      <c r="O340" s="4" t="s">
        <v>42</v>
      </c>
      <c r="P340" s="50" t="s">
        <v>43</v>
      </c>
      <c r="Q340" s="50" t="s">
        <v>36</v>
      </c>
      <c r="R340" s="50">
        <v>0</v>
      </c>
      <c r="S340" s="4" t="s">
        <v>43</v>
      </c>
    </row>
    <row r="341" spans="3:19" x14ac:dyDescent="0.25">
      <c r="C341" s="4" t="s">
        <v>693</v>
      </c>
      <c r="D341" s="4" t="s">
        <v>694</v>
      </c>
      <c r="E341" s="4" t="s">
        <v>694</v>
      </c>
      <c r="F341" s="4">
        <v>5</v>
      </c>
      <c r="G341" s="4" t="str">
        <f>VLOOKUP(C341,JUNIO!C340:G696,5,0)</f>
        <v>Abierta</v>
      </c>
      <c r="H341" s="4" t="s">
        <v>46</v>
      </c>
      <c r="I341" s="4" t="s">
        <v>1030</v>
      </c>
      <c r="J341" s="4" t="s">
        <v>248</v>
      </c>
      <c r="K341" s="4" t="s">
        <v>51</v>
      </c>
      <c r="L341" s="4" t="s">
        <v>40</v>
      </c>
      <c r="M341" s="4" t="s">
        <v>984</v>
      </c>
      <c r="N341" s="4" t="s">
        <v>693</v>
      </c>
      <c r="O341" s="4" t="s">
        <v>42</v>
      </c>
      <c r="P341" s="50" t="s">
        <v>43</v>
      </c>
      <c r="Q341" s="50">
        <v>27579095.557050001</v>
      </c>
      <c r="R341" s="50" t="s">
        <v>51</v>
      </c>
      <c r="S341" s="4" t="s">
        <v>43</v>
      </c>
    </row>
    <row r="342" spans="3:19" x14ac:dyDescent="0.25">
      <c r="C342" s="4" t="s">
        <v>356</v>
      </c>
      <c r="D342" s="4" t="s">
        <v>357</v>
      </c>
      <c r="E342" s="4" t="s">
        <v>357</v>
      </c>
      <c r="F342" s="4" t="s">
        <v>36</v>
      </c>
      <c r="G342" s="4" t="str">
        <f>VLOOKUP(C342,JUNIO!C341:G697,5,0)</f>
        <v>CIERRE DEFINITIVO</v>
      </c>
      <c r="H342" s="4" t="s">
        <v>81</v>
      </c>
      <c r="I342" s="4" t="s">
        <v>1030</v>
      </c>
      <c r="J342" s="4" t="s">
        <v>89</v>
      </c>
      <c r="K342" s="4" t="s">
        <v>109</v>
      </c>
      <c r="L342" s="4" t="s">
        <v>91</v>
      </c>
      <c r="M342" s="4">
        <v>0</v>
      </c>
      <c r="N342" s="4" t="s">
        <v>356</v>
      </c>
      <c r="O342" s="4" t="s">
        <v>42</v>
      </c>
      <c r="P342" s="50" t="s">
        <v>43</v>
      </c>
      <c r="Q342" s="50" t="s">
        <v>36</v>
      </c>
      <c r="R342" s="50">
        <v>0</v>
      </c>
      <c r="S342" s="4" t="s">
        <v>43</v>
      </c>
    </row>
    <row r="343" spans="3:19" x14ac:dyDescent="0.25">
      <c r="C343" s="4" t="s">
        <v>925</v>
      </c>
      <c r="D343" s="4" t="s">
        <v>926</v>
      </c>
      <c r="E343" s="4" t="s">
        <v>927</v>
      </c>
      <c r="F343" s="4">
        <v>5</v>
      </c>
      <c r="G343" s="4" t="str">
        <f>VLOOKUP(C343,JUNIO!C342:G698,5,0)</f>
        <v>Abierta</v>
      </c>
      <c r="H343" s="4" t="s">
        <v>81</v>
      </c>
      <c r="I343" s="4" t="s">
        <v>1030</v>
      </c>
      <c r="J343" s="4" t="s">
        <v>73</v>
      </c>
      <c r="K343" s="4" t="s">
        <v>928</v>
      </c>
      <c r="L343" s="4" t="s">
        <v>40</v>
      </c>
      <c r="M343" s="4" t="s">
        <v>514</v>
      </c>
      <c r="N343" s="4" t="s">
        <v>925</v>
      </c>
      <c r="O343" s="4" t="s">
        <v>42</v>
      </c>
      <c r="P343" s="50" t="s">
        <v>43</v>
      </c>
      <c r="Q343" s="50">
        <v>31426668.945</v>
      </c>
      <c r="R343" s="50" t="s">
        <v>886</v>
      </c>
      <c r="S343" s="4" t="s">
        <v>440</v>
      </c>
    </row>
    <row r="344" spans="3:19" x14ac:dyDescent="0.25">
      <c r="C344" s="4" t="s">
        <v>358</v>
      </c>
      <c r="D344" s="4" t="s">
        <v>359</v>
      </c>
      <c r="E344" s="4" t="s">
        <v>359</v>
      </c>
      <c r="F344" s="4" t="s">
        <v>36</v>
      </c>
      <c r="G344" s="4" t="str">
        <f>VLOOKUP(C344,JUNIO!C343:G699,5,0)</f>
        <v>CIERRE DEFINITIVO</v>
      </c>
      <c r="H344" s="4" t="s">
        <v>81</v>
      </c>
      <c r="I344" s="4" t="s">
        <v>1030</v>
      </c>
      <c r="J344" s="4" t="s">
        <v>248</v>
      </c>
      <c r="K344" s="4" t="s">
        <v>138</v>
      </c>
      <c r="L344" s="4" t="s">
        <v>40</v>
      </c>
      <c r="M344" s="4">
        <v>0</v>
      </c>
      <c r="N344" s="4" t="s">
        <v>358</v>
      </c>
      <c r="O344" s="4" t="s">
        <v>42</v>
      </c>
      <c r="P344" s="50" t="s">
        <v>43</v>
      </c>
      <c r="Q344" s="50" t="s">
        <v>36</v>
      </c>
      <c r="R344" s="50">
        <v>0</v>
      </c>
      <c r="S344" s="4" t="s">
        <v>43</v>
      </c>
    </row>
    <row r="345" spans="3:19" x14ac:dyDescent="0.25">
      <c r="C345" s="4" t="s">
        <v>695</v>
      </c>
      <c r="D345" s="4" t="s">
        <v>696</v>
      </c>
      <c r="E345" s="4" t="s">
        <v>696</v>
      </c>
      <c r="F345" s="4">
        <v>5</v>
      </c>
      <c r="G345" s="4" t="str">
        <f>VLOOKUP(C345,JUNIO!C344:G700,5,0)</f>
        <v>Abierta</v>
      </c>
      <c r="H345" s="4" t="s">
        <v>46</v>
      </c>
      <c r="I345" s="4" t="s">
        <v>1030</v>
      </c>
      <c r="J345" s="4" t="s">
        <v>248</v>
      </c>
      <c r="K345" s="4" t="s">
        <v>51</v>
      </c>
      <c r="L345" s="4" t="s">
        <v>40</v>
      </c>
      <c r="M345" s="4" t="s">
        <v>984</v>
      </c>
      <c r="N345" s="4" t="s">
        <v>695</v>
      </c>
      <c r="O345" s="4" t="s">
        <v>42</v>
      </c>
      <c r="P345" s="50" t="s">
        <v>43</v>
      </c>
      <c r="Q345" s="50">
        <v>52792260.660135008</v>
      </c>
      <c r="R345" s="50" t="s">
        <v>51</v>
      </c>
      <c r="S345" s="4" t="s">
        <v>43</v>
      </c>
    </row>
    <row r="346" spans="3:19" x14ac:dyDescent="0.25">
      <c r="C346" s="4" t="s">
        <v>360</v>
      </c>
      <c r="D346" s="4" t="s">
        <v>361</v>
      </c>
      <c r="E346" s="4" t="s">
        <v>361</v>
      </c>
      <c r="F346" s="4" t="s">
        <v>36</v>
      </c>
      <c r="G346" s="4" t="str">
        <f>VLOOKUP(C346,JUNIO!C345:G701,5,0)</f>
        <v>CIERRE DEFINITIVO</v>
      </c>
      <c r="H346" s="4" t="s">
        <v>46</v>
      </c>
      <c r="I346" s="4" t="s">
        <v>1030</v>
      </c>
      <c r="J346" s="4" t="s">
        <v>67</v>
      </c>
      <c r="K346" s="4" t="s">
        <v>59</v>
      </c>
      <c r="L346" s="4" t="s">
        <v>40</v>
      </c>
      <c r="M346" s="4">
        <v>0</v>
      </c>
      <c r="N346" s="4" t="s">
        <v>360</v>
      </c>
      <c r="O346" s="4" t="s">
        <v>42</v>
      </c>
      <c r="P346" s="50" t="s">
        <v>43</v>
      </c>
      <c r="Q346" s="50" t="s">
        <v>36</v>
      </c>
      <c r="R346" s="50">
        <v>0</v>
      </c>
      <c r="S346" s="4" t="s">
        <v>43</v>
      </c>
    </row>
    <row r="347" spans="3:19" x14ac:dyDescent="0.25">
      <c r="C347" s="4" t="s">
        <v>362</v>
      </c>
      <c r="D347" s="4" t="s">
        <v>363</v>
      </c>
      <c r="E347" s="4" t="s">
        <v>363</v>
      </c>
      <c r="F347" s="4" t="s">
        <v>36</v>
      </c>
      <c r="G347" s="4" t="str">
        <f>VLOOKUP(C347,JUNIO!C346:G702,5,0)</f>
        <v>CIERRE DEFINITIVO</v>
      </c>
      <c r="H347" s="4" t="s">
        <v>81</v>
      </c>
      <c r="I347" s="4" t="s">
        <v>1030</v>
      </c>
      <c r="J347" s="4" t="s">
        <v>73</v>
      </c>
      <c r="K347" s="4" t="s">
        <v>364</v>
      </c>
      <c r="L347" s="4" t="s">
        <v>40</v>
      </c>
      <c r="M347" s="4">
        <v>0</v>
      </c>
      <c r="N347" s="4" t="s">
        <v>362</v>
      </c>
      <c r="O347" s="4" t="s">
        <v>42</v>
      </c>
      <c r="P347" s="50" t="s">
        <v>43</v>
      </c>
      <c r="Q347" s="50" t="s">
        <v>36</v>
      </c>
      <c r="R347" s="50">
        <v>0</v>
      </c>
      <c r="S347" s="4" t="s">
        <v>43</v>
      </c>
    </row>
    <row r="348" spans="3:19" x14ac:dyDescent="0.25">
      <c r="C348" s="4" t="s">
        <v>592</v>
      </c>
      <c r="D348" s="4" t="s">
        <v>593</v>
      </c>
      <c r="E348" s="4" t="s">
        <v>593</v>
      </c>
      <c r="F348" s="4">
        <v>5</v>
      </c>
      <c r="G348" s="4" t="str">
        <f>VLOOKUP(C348,JUNIO!C347:G703,5,0)</f>
        <v>Abierta</v>
      </c>
      <c r="H348" s="4" t="s">
        <v>81</v>
      </c>
      <c r="I348" s="4" t="s">
        <v>1030</v>
      </c>
      <c r="J348" s="4" t="s">
        <v>331</v>
      </c>
      <c r="K348" s="4" t="s">
        <v>138</v>
      </c>
      <c r="L348" s="4" t="s">
        <v>40</v>
      </c>
      <c r="M348" s="4" t="s">
        <v>984</v>
      </c>
      <c r="N348" s="4" t="s">
        <v>592</v>
      </c>
      <c r="O348" s="4" t="s">
        <v>42</v>
      </c>
      <c r="P348" s="50" t="s">
        <v>43</v>
      </c>
      <c r="Q348" s="50">
        <v>31093732.789999999</v>
      </c>
      <c r="R348" s="50" t="s">
        <v>557</v>
      </c>
      <c r="S348" s="4" t="s">
        <v>440</v>
      </c>
    </row>
    <row r="349" spans="3:19" x14ac:dyDescent="0.25">
      <c r="C349" s="4" t="s">
        <v>365</v>
      </c>
      <c r="D349" s="4" t="s">
        <v>366</v>
      </c>
      <c r="E349" s="4" t="s">
        <v>367</v>
      </c>
      <c r="F349" s="4" t="s">
        <v>36</v>
      </c>
      <c r="G349" s="4" t="str">
        <f>VLOOKUP(C349,JUNIO!C348:G704,5,0)</f>
        <v>CIERRE DEFINITIVO</v>
      </c>
      <c r="H349" s="4" t="s">
        <v>81</v>
      </c>
      <c r="I349" s="4" t="s">
        <v>1030</v>
      </c>
      <c r="J349" s="4" t="s">
        <v>146</v>
      </c>
      <c r="K349" s="4" t="s">
        <v>59</v>
      </c>
      <c r="L349" s="4" t="s">
        <v>40</v>
      </c>
      <c r="M349" s="4">
        <v>0</v>
      </c>
      <c r="N349" s="4" t="s">
        <v>365</v>
      </c>
      <c r="O349" s="4" t="s">
        <v>42</v>
      </c>
      <c r="P349" s="50" t="s">
        <v>43</v>
      </c>
      <c r="Q349" s="50" t="s">
        <v>36</v>
      </c>
      <c r="R349" s="50">
        <v>0</v>
      </c>
      <c r="S349" s="4" t="s">
        <v>43</v>
      </c>
    </row>
    <row r="350" spans="3:19" x14ac:dyDescent="0.25">
      <c r="C350" s="4" t="s">
        <v>763</v>
      </c>
      <c r="D350" s="4" t="s">
        <v>764</v>
      </c>
      <c r="E350" s="4" t="s">
        <v>765</v>
      </c>
      <c r="F350" s="4">
        <v>5</v>
      </c>
      <c r="G350" s="4" t="str">
        <f>VLOOKUP(C350,JUNIO!C349:G705,5,0)</f>
        <v>Abierta</v>
      </c>
      <c r="H350" s="4" t="s">
        <v>81</v>
      </c>
      <c r="I350" s="4" t="s">
        <v>1031</v>
      </c>
      <c r="J350" s="4" t="s">
        <v>84</v>
      </c>
      <c r="K350" s="4" t="s">
        <v>279</v>
      </c>
      <c r="L350" s="4" t="s">
        <v>55</v>
      </c>
      <c r="M350" s="4" t="s">
        <v>378</v>
      </c>
      <c r="N350" s="4" t="s">
        <v>763</v>
      </c>
      <c r="O350" s="4" t="s">
        <v>42</v>
      </c>
      <c r="P350" s="50" t="s">
        <v>43</v>
      </c>
      <c r="Q350" s="50">
        <v>34391976.939000003</v>
      </c>
      <c r="R350" s="50" t="s">
        <v>741</v>
      </c>
      <c r="S350" s="4" t="s">
        <v>440</v>
      </c>
    </row>
    <row r="351" spans="3:19" x14ac:dyDescent="0.25">
      <c r="C351" s="4" t="s">
        <v>836</v>
      </c>
      <c r="D351" s="4" t="s">
        <v>837</v>
      </c>
      <c r="E351" s="4" t="s">
        <v>838</v>
      </c>
      <c r="F351" s="4">
        <v>5</v>
      </c>
      <c r="G351" s="4" t="str">
        <f>VLOOKUP(C351,JUNIO!C350:G706,5,0)</f>
        <v>Abierta</v>
      </c>
      <c r="H351" s="4" t="s">
        <v>81</v>
      </c>
      <c r="I351" s="4" t="s">
        <v>1030</v>
      </c>
      <c r="J351" s="4" t="s">
        <v>146</v>
      </c>
      <c r="K351" s="4" t="s">
        <v>59</v>
      </c>
      <c r="L351" s="4" t="s">
        <v>40</v>
      </c>
      <c r="M351" s="4" t="s">
        <v>1035</v>
      </c>
      <c r="N351" s="4" t="s">
        <v>836</v>
      </c>
      <c r="O351" s="4" t="s">
        <v>42</v>
      </c>
      <c r="P351" s="50" t="s">
        <v>43</v>
      </c>
      <c r="Q351" s="50">
        <v>44965722.047103003</v>
      </c>
      <c r="R351" s="50" t="s">
        <v>799</v>
      </c>
      <c r="S351" s="4" t="s">
        <v>43</v>
      </c>
    </row>
    <row r="352" spans="3:19" x14ac:dyDescent="0.25">
      <c r="C352" s="4" t="s">
        <v>975</v>
      </c>
      <c r="D352" s="4" t="s">
        <v>976</v>
      </c>
      <c r="E352" s="4" t="s">
        <v>976</v>
      </c>
      <c r="F352" s="4">
        <v>2</v>
      </c>
      <c r="G352" s="4" t="str">
        <f>VLOOKUP(C352,JUNIO!C351:G707,5,0)</f>
        <v>Abierta</v>
      </c>
      <c r="H352" s="4" t="s">
        <v>46</v>
      </c>
      <c r="I352" s="4" t="s">
        <v>1030</v>
      </c>
      <c r="J352" s="4" t="s">
        <v>160</v>
      </c>
      <c r="K352" s="4" t="s">
        <v>39</v>
      </c>
      <c r="L352" s="4" t="s">
        <v>40</v>
      </c>
      <c r="M352" s="4" t="s">
        <v>984</v>
      </c>
      <c r="N352" s="4" t="s">
        <v>975</v>
      </c>
      <c r="O352" s="4" t="s">
        <v>42</v>
      </c>
      <c r="P352" s="50" t="s">
        <v>43</v>
      </c>
      <c r="Q352" s="50">
        <v>15523570.548745921</v>
      </c>
      <c r="R352" s="50" t="s">
        <v>931</v>
      </c>
      <c r="S352" s="4" t="s">
        <v>43</v>
      </c>
    </row>
    <row r="353" spans="3:19" x14ac:dyDescent="0.25">
      <c r="C353" s="4" t="s">
        <v>766</v>
      </c>
      <c r="D353" s="4" t="s">
        <v>767</v>
      </c>
      <c r="E353" s="4" t="s">
        <v>768</v>
      </c>
      <c r="F353" s="4">
        <v>4.5</v>
      </c>
      <c r="G353" s="4" t="str">
        <f>VLOOKUP(C353,JUNIO!C352:G708,5,0)</f>
        <v>Abierta</v>
      </c>
      <c r="H353" s="4" t="s">
        <v>81</v>
      </c>
      <c r="I353" s="4" t="s">
        <v>1031</v>
      </c>
      <c r="J353" s="4" t="s">
        <v>84</v>
      </c>
      <c r="K353" s="4" t="s">
        <v>54</v>
      </c>
      <c r="L353" s="4" t="s">
        <v>55</v>
      </c>
      <c r="M353" s="4" t="s">
        <v>378</v>
      </c>
      <c r="N353" s="4" t="s">
        <v>766</v>
      </c>
      <c r="O353" s="4" t="s">
        <v>42</v>
      </c>
      <c r="P353" s="50" t="s">
        <v>43</v>
      </c>
      <c r="Q353" s="50">
        <v>29345968.52</v>
      </c>
      <c r="R353" s="50" t="s">
        <v>741</v>
      </c>
      <c r="S353" s="4" t="s">
        <v>440</v>
      </c>
    </row>
    <row r="354" spans="3:19" x14ac:dyDescent="0.25">
      <c r="C354" s="4" t="s">
        <v>368</v>
      </c>
      <c r="D354" s="4" t="s">
        <v>369</v>
      </c>
      <c r="E354" s="4" t="s">
        <v>370</v>
      </c>
      <c r="F354" s="4" t="s">
        <v>36</v>
      </c>
      <c r="G354" s="4" t="str">
        <f>VLOOKUP(C354,JUNIO!C353:G709,5,0)</f>
        <v>CIERRE DEFINITIVO</v>
      </c>
      <c r="H354" s="4" t="s">
        <v>88</v>
      </c>
      <c r="I354" s="4" t="s">
        <v>1030</v>
      </c>
      <c r="J354" s="4" t="s">
        <v>160</v>
      </c>
      <c r="K354" s="4" t="s">
        <v>371</v>
      </c>
      <c r="L354" s="4" t="s">
        <v>40</v>
      </c>
      <c r="M354" s="4">
        <v>0</v>
      </c>
      <c r="N354" s="4" t="s">
        <v>368</v>
      </c>
      <c r="O354" s="4" t="s">
        <v>42</v>
      </c>
      <c r="P354" s="50" t="s">
        <v>43</v>
      </c>
      <c r="Q354" s="50" t="s">
        <v>36</v>
      </c>
      <c r="R354" s="50">
        <v>0</v>
      </c>
      <c r="S354" s="4" t="s">
        <v>43</v>
      </c>
    </row>
    <row r="355" spans="3:19" x14ac:dyDescent="0.25">
      <c r="C355" s="4" t="s">
        <v>736</v>
      </c>
      <c r="D355" s="4" t="s">
        <v>737</v>
      </c>
      <c r="E355" s="4" t="s">
        <v>738</v>
      </c>
      <c r="F355" s="4">
        <v>6</v>
      </c>
      <c r="G355" s="4" t="str">
        <f>VLOOKUP(C355,JUNIO!C354:G710,5,0)</f>
        <v>Abierta</v>
      </c>
      <c r="H355" s="4" t="s">
        <v>81</v>
      </c>
      <c r="I355" s="4" t="s">
        <v>1031</v>
      </c>
      <c r="J355" s="4" t="s">
        <v>84</v>
      </c>
      <c r="K355" s="4" t="s">
        <v>722</v>
      </c>
      <c r="L355" s="4" t="s">
        <v>55</v>
      </c>
      <c r="M355" s="4" t="s">
        <v>378</v>
      </c>
      <c r="N355" s="4" t="s">
        <v>736</v>
      </c>
      <c r="O355" s="4">
        <v>0</v>
      </c>
      <c r="P355" s="50" t="s">
        <v>43</v>
      </c>
      <c r="Q355" s="50">
        <v>48178206.694499992</v>
      </c>
      <c r="R355" s="50" t="s">
        <v>702</v>
      </c>
      <c r="S355" s="4" t="s">
        <v>440</v>
      </c>
    </row>
    <row r="356" spans="3:19" x14ac:dyDescent="0.25">
      <c r="C356" s="4" t="s">
        <v>612</v>
      </c>
      <c r="D356" s="4" t="s">
        <v>613</v>
      </c>
      <c r="E356" s="4" t="s">
        <v>613</v>
      </c>
      <c r="F356" s="4">
        <v>5</v>
      </c>
      <c r="G356" s="4" t="str">
        <f>VLOOKUP(C356,JUNIO!C355:G711,5,0)</f>
        <v>Abierta</v>
      </c>
      <c r="H356" s="4" t="s">
        <v>81</v>
      </c>
      <c r="I356" s="4" t="s">
        <v>1030</v>
      </c>
      <c r="J356" s="4" t="s">
        <v>50</v>
      </c>
      <c r="K356" s="4" t="s">
        <v>364</v>
      </c>
      <c r="L356" s="4" t="s">
        <v>40</v>
      </c>
      <c r="M356" s="4" t="s">
        <v>514</v>
      </c>
      <c r="N356" s="4" t="s">
        <v>612</v>
      </c>
      <c r="O356" s="4" t="s">
        <v>42</v>
      </c>
      <c r="P356" s="50" t="s">
        <v>43</v>
      </c>
      <c r="Q356" s="50">
        <v>59057235.369750008</v>
      </c>
      <c r="R356" s="50" t="s">
        <v>597</v>
      </c>
      <c r="S356" s="4" t="s">
        <v>440</v>
      </c>
    </row>
    <row r="357" spans="3:19" x14ac:dyDescent="0.25">
      <c r="C357" s="4" t="s">
        <v>614</v>
      </c>
      <c r="D357" s="4" t="s">
        <v>615</v>
      </c>
      <c r="E357" s="4" t="s">
        <v>615</v>
      </c>
      <c r="F357" s="4">
        <v>5</v>
      </c>
      <c r="G357" s="4" t="str">
        <f>VLOOKUP(C357,JUNIO!C356:G712,5,0)</f>
        <v>Abierta</v>
      </c>
      <c r="H357" s="4" t="s">
        <v>81</v>
      </c>
      <c r="I357" s="4" t="s">
        <v>1030</v>
      </c>
      <c r="J357" s="4" t="s">
        <v>50</v>
      </c>
      <c r="K357" s="4" t="s">
        <v>64</v>
      </c>
      <c r="L357" s="4" t="s">
        <v>40</v>
      </c>
      <c r="M357" s="4" t="s">
        <v>514</v>
      </c>
      <c r="N357" s="4" t="s">
        <v>614</v>
      </c>
      <c r="O357" s="4" t="s">
        <v>42</v>
      </c>
      <c r="P357" s="50" t="s">
        <v>43</v>
      </c>
      <c r="Q357" s="50">
        <v>44819471.861249998</v>
      </c>
      <c r="R357" s="50" t="s">
        <v>597</v>
      </c>
      <c r="S357" s="4" t="s">
        <v>440</v>
      </c>
    </row>
    <row r="358" spans="3:19" x14ac:dyDescent="0.25">
      <c r="C358" s="4" t="s">
        <v>372</v>
      </c>
      <c r="D358" s="4" t="s">
        <v>372</v>
      </c>
      <c r="E358" s="4" t="s">
        <v>372</v>
      </c>
      <c r="F358" s="4"/>
      <c r="G358" s="4" t="str">
        <f>VLOOKUP(C358,JUNIO!C357:G713,5,0)</f>
        <v>CUADRILLA OXXO</v>
      </c>
      <c r="H358" s="4" t="s">
        <v>372</v>
      </c>
      <c r="I358" s="4" t="s">
        <v>372</v>
      </c>
      <c r="J358" s="4" t="s">
        <v>372</v>
      </c>
      <c r="K358" s="4" t="s">
        <v>372</v>
      </c>
      <c r="L358" s="4" t="s">
        <v>372</v>
      </c>
      <c r="M358" s="4" t="s">
        <v>372</v>
      </c>
      <c r="N358" s="4" t="s">
        <v>372</v>
      </c>
      <c r="O358" s="4" t="s">
        <v>372</v>
      </c>
      <c r="P358" s="4" t="s">
        <v>372</v>
      </c>
      <c r="Q358" s="50" t="s">
        <v>36</v>
      </c>
      <c r="R358" s="4" t="s">
        <v>372</v>
      </c>
      <c r="S358" s="4" t="s">
        <v>43</v>
      </c>
    </row>
    <row r="359" spans="3:19" x14ac:dyDescent="0.25">
      <c r="C359" s="4" t="s">
        <v>839</v>
      </c>
      <c r="D359" s="4" t="s">
        <v>840</v>
      </c>
      <c r="E359" s="4" t="s">
        <v>840</v>
      </c>
      <c r="F359" s="4">
        <v>5.07</v>
      </c>
      <c r="G359" s="4" t="s">
        <v>987</v>
      </c>
      <c r="H359" s="4" t="s">
        <v>81</v>
      </c>
      <c r="I359" s="4" t="s">
        <v>1030</v>
      </c>
      <c r="J359" s="4" t="s">
        <v>58</v>
      </c>
      <c r="K359" s="4"/>
      <c r="L359" s="4"/>
      <c r="M359" s="4"/>
      <c r="N359" s="4" t="s">
        <v>839</v>
      </c>
      <c r="O359" s="4"/>
      <c r="P359" s="4"/>
      <c r="Q359" s="50"/>
      <c r="R359" s="4"/>
      <c r="S359" s="4"/>
    </row>
    <row r="360" spans="3:19" x14ac:dyDescent="0.25">
      <c r="C360" s="4" t="s">
        <v>697</v>
      </c>
      <c r="D360" s="4" t="s">
        <v>698</v>
      </c>
      <c r="E360" s="4" t="s">
        <v>698</v>
      </c>
      <c r="F360" s="4">
        <v>5.07</v>
      </c>
      <c r="G360" s="4" t="str">
        <f>VLOOKUP(C360,JUNIO!C358:G714,5,0)</f>
        <v>Abierta</v>
      </c>
      <c r="H360" s="4" t="s">
        <v>81</v>
      </c>
      <c r="I360" s="4" t="s">
        <v>1030</v>
      </c>
      <c r="J360" s="4" t="s">
        <v>248</v>
      </c>
      <c r="K360" s="4" t="s">
        <v>51</v>
      </c>
      <c r="L360" s="4" t="s">
        <v>40</v>
      </c>
      <c r="M360" s="4" t="s">
        <v>984</v>
      </c>
      <c r="N360" s="4" t="s">
        <v>697</v>
      </c>
      <c r="O360" s="4" t="s">
        <v>42</v>
      </c>
      <c r="P360" s="50" t="s">
        <v>43</v>
      </c>
      <c r="Q360" s="50">
        <v>40391881.208250009</v>
      </c>
      <c r="R360" s="50" t="s">
        <v>51</v>
      </c>
      <c r="S360" s="4" t="s">
        <v>440</v>
      </c>
    </row>
    <row r="361" spans="3:19" ht="18" x14ac:dyDescent="0.25">
      <c r="F361" s="49">
        <f>SUM(F4:F357)</f>
        <v>1325.6100000000006</v>
      </c>
    </row>
    <row r="375" spans="3:3" x14ac:dyDescent="0.25">
      <c r="C375" s="4" t="s">
        <v>426</v>
      </c>
    </row>
    <row r="376" spans="3:3" x14ac:dyDescent="0.25">
      <c r="C376" s="4" t="s">
        <v>685</v>
      </c>
    </row>
    <row r="377" spans="3:3" x14ac:dyDescent="0.25">
      <c r="C377" s="4" t="s">
        <v>437</v>
      </c>
    </row>
    <row r="378" spans="3:3" x14ac:dyDescent="0.25">
      <c r="C378" s="4" t="s">
        <v>592</v>
      </c>
    </row>
  </sheetData>
  <autoFilter ref="C3:S361" xr:uid="{83D37DE2-5049-4F38-B432-C1FCFC2890A6}"/>
  <pageMargins left="0.7" right="0.7" top="0.75" bottom="0.75" header="0.3" footer="0.3"/>
  <pageSetup paperSize="9" orientation="portrait" r:id="rId1"/>
  <headerFooter>
    <oddFooter>&amp;C_x000D_&amp;1#&amp;"Calibri"&amp;10&amp;K000000 OXXO | Uso Interno</oddFooter>
  </headerFooter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BC77D-0D41-4A41-85EF-EC10D8985967}">
  <sheetPr codeName="Hoja2"/>
  <dimension ref="C1:S377"/>
  <sheetViews>
    <sheetView topLeftCell="M1" zoomScale="85" zoomScaleNormal="85" workbookViewId="0">
      <selection activeCell="K3" sqref="K3"/>
    </sheetView>
  </sheetViews>
  <sheetFormatPr baseColWidth="10" defaultColWidth="10.81640625" defaultRowHeight="12.5" x14ac:dyDescent="0.25"/>
  <cols>
    <col min="1" max="1" width="6.453125" style="2" customWidth="1"/>
    <col min="2" max="2" width="5.26953125" style="2" customWidth="1"/>
    <col min="3" max="3" width="17.26953125" style="2" bestFit="1" customWidth="1"/>
    <col min="4" max="4" width="40.54296875" style="2" customWidth="1"/>
    <col min="5" max="5" width="33.26953125" style="2" customWidth="1"/>
    <col min="6" max="6" width="23" style="2" customWidth="1"/>
    <col min="7" max="8" width="23.54296875" style="2" customWidth="1"/>
    <col min="9" max="9" width="30" style="2" customWidth="1"/>
    <col min="10" max="10" width="39.81640625" style="2" customWidth="1"/>
    <col min="11" max="13" width="31.453125" style="2" customWidth="1"/>
    <col min="14" max="14" width="10.81640625" style="2" customWidth="1"/>
    <col min="15" max="15" width="48" style="2" customWidth="1"/>
    <col min="16" max="16" width="23" style="2" customWidth="1"/>
    <col min="17" max="17" width="25.453125" style="2" customWidth="1"/>
    <col min="18" max="18" width="34.54296875" style="2" bestFit="1" customWidth="1"/>
    <col min="19" max="19" width="16" style="2" bestFit="1" customWidth="1"/>
    <col min="20" max="16384" width="10.81640625" style="2"/>
  </cols>
  <sheetData>
    <row r="1" spans="3:19" ht="15.5" x14ac:dyDescent="0.25">
      <c r="F1" s="13">
        <f>30/44</f>
        <v>0.68181818181818177</v>
      </c>
    </row>
    <row r="2" spans="3:19" x14ac:dyDescent="0.25">
      <c r="C2" s="2">
        <v>1</v>
      </c>
      <c r="D2" s="2">
        <f>C2+1</f>
        <v>2</v>
      </c>
      <c r="E2" s="2">
        <f t="shared" ref="E2:O2" si="0">D2+1</f>
        <v>3</v>
      </c>
      <c r="F2" s="2">
        <f t="shared" si="0"/>
        <v>4</v>
      </c>
      <c r="G2" s="2">
        <f t="shared" si="0"/>
        <v>5</v>
      </c>
      <c r="H2" s="2">
        <f>G2+1</f>
        <v>6</v>
      </c>
      <c r="I2" s="2">
        <f t="shared" si="0"/>
        <v>7</v>
      </c>
      <c r="J2" s="2">
        <f t="shared" si="0"/>
        <v>8</v>
      </c>
      <c r="K2" s="2">
        <f t="shared" si="0"/>
        <v>9</v>
      </c>
      <c r="L2" s="2">
        <f t="shared" si="0"/>
        <v>10</v>
      </c>
      <c r="M2" s="2">
        <f t="shared" si="0"/>
        <v>11</v>
      </c>
      <c r="N2" s="2">
        <f t="shared" si="0"/>
        <v>12</v>
      </c>
      <c r="O2" s="2">
        <f t="shared" si="0"/>
        <v>13</v>
      </c>
      <c r="P2" s="2">
        <v>14</v>
      </c>
      <c r="Q2" s="2">
        <v>15</v>
      </c>
      <c r="R2" s="2">
        <v>16</v>
      </c>
      <c r="S2" s="2">
        <v>17</v>
      </c>
    </row>
    <row r="3" spans="3:19" ht="13" x14ac:dyDescent="0.25">
      <c r="C3" s="1" t="s">
        <v>15</v>
      </c>
      <c r="D3" s="1" t="s">
        <v>16</v>
      </c>
      <c r="E3" s="1" t="s">
        <v>17</v>
      </c>
      <c r="F3" s="1" t="s">
        <v>18</v>
      </c>
      <c r="G3" s="1" t="s">
        <v>1040</v>
      </c>
      <c r="H3" s="1" t="s">
        <v>20</v>
      </c>
      <c r="I3" s="1" t="s">
        <v>21</v>
      </c>
      <c r="J3" s="1" t="s">
        <v>22</v>
      </c>
      <c r="K3" s="1" t="s">
        <v>24</v>
      </c>
      <c r="L3" s="1" t="s">
        <v>25</v>
      </c>
      <c r="M3" s="1" t="s">
        <v>26</v>
      </c>
      <c r="N3" s="1" t="s">
        <v>15</v>
      </c>
      <c r="O3" s="1" t="s">
        <v>27</v>
      </c>
      <c r="P3" s="40" t="s">
        <v>28</v>
      </c>
      <c r="Q3" s="41" t="s">
        <v>29</v>
      </c>
      <c r="R3" s="40" t="s">
        <v>30</v>
      </c>
      <c r="S3" s="40" t="s">
        <v>31</v>
      </c>
    </row>
    <row r="4" spans="3:19" x14ac:dyDescent="0.25">
      <c r="C4" s="3" t="s">
        <v>929</v>
      </c>
      <c r="D4" s="3" t="s">
        <v>930</v>
      </c>
      <c r="E4" s="3" t="s">
        <v>930</v>
      </c>
      <c r="F4" s="4">
        <v>11.68</v>
      </c>
      <c r="G4" s="3" t="str">
        <f>VLOOKUP(C4,JUNIO!C3:G359,5,0)</f>
        <v>Abierta</v>
      </c>
      <c r="H4" s="3" t="s">
        <v>46</v>
      </c>
      <c r="I4" s="3" t="s">
        <v>1030</v>
      </c>
      <c r="J4" s="3" t="s">
        <v>160</v>
      </c>
      <c r="K4" s="3" t="s">
        <v>353</v>
      </c>
      <c r="L4" s="3" t="s">
        <v>40</v>
      </c>
      <c r="M4" s="3" t="s">
        <v>984</v>
      </c>
      <c r="N4" s="3" t="s">
        <v>929</v>
      </c>
      <c r="O4" s="3" t="s">
        <v>379</v>
      </c>
      <c r="P4" s="42" t="s">
        <v>43</v>
      </c>
      <c r="Q4" s="42">
        <f>VLOOKUP(C4,[2]Export!$C$1:$J$1226,8,0)</f>
        <v>89704826</v>
      </c>
      <c r="R4" s="42" t="s">
        <v>931</v>
      </c>
      <c r="S4" s="2" t="s">
        <v>43</v>
      </c>
    </row>
    <row r="5" spans="3:19" x14ac:dyDescent="0.25">
      <c r="C5" s="3" t="s">
        <v>651</v>
      </c>
      <c r="D5" s="3" t="s">
        <v>652</v>
      </c>
      <c r="E5" s="3" t="s">
        <v>652</v>
      </c>
      <c r="F5" s="4">
        <v>12</v>
      </c>
      <c r="G5" s="3" t="str">
        <f>VLOOKUP(C5,JUNIO!C4:G360,5,0)</f>
        <v>Abierta</v>
      </c>
      <c r="H5" s="3" t="s">
        <v>46</v>
      </c>
      <c r="I5" s="3" t="s">
        <v>1030</v>
      </c>
      <c r="J5" s="3" t="s">
        <v>248</v>
      </c>
      <c r="K5" s="3" t="s">
        <v>51</v>
      </c>
      <c r="L5" s="3" t="s">
        <v>40</v>
      </c>
      <c r="M5" s="3" t="s">
        <v>984</v>
      </c>
      <c r="N5" s="3" t="s">
        <v>651</v>
      </c>
      <c r="O5" s="3" t="s">
        <v>379</v>
      </c>
      <c r="P5" s="42" t="s">
        <v>43</v>
      </c>
      <c r="Q5" s="42">
        <f>VLOOKUP(C5,[2]Export!$C$1:$J$1226,8,0)</f>
        <v>137829415</v>
      </c>
      <c r="R5" s="42" t="s">
        <v>51</v>
      </c>
      <c r="S5" s="2" t="s">
        <v>43</v>
      </c>
    </row>
    <row r="6" spans="3:19" x14ac:dyDescent="0.25">
      <c r="C6" s="3" t="s">
        <v>373</v>
      </c>
      <c r="D6" s="3" t="s">
        <v>374</v>
      </c>
      <c r="E6" s="3" t="s">
        <v>375</v>
      </c>
      <c r="F6" s="4">
        <v>11.68</v>
      </c>
      <c r="G6" s="3" t="str">
        <f>VLOOKUP(C6,JUNIO!C5:G361,5,0)</f>
        <v>Abierta</v>
      </c>
      <c r="H6" s="3" t="s">
        <v>46</v>
      </c>
      <c r="I6" s="3" t="s">
        <v>1031</v>
      </c>
      <c r="J6" s="3" t="s">
        <v>63</v>
      </c>
      <c r="K6" s="3" t="s">
        <v>138</v>
      </c>
      <c r="L6" s="3" t="s">
        <v>40</v>
      </c>
      <c r="M6" s="3" t="s">
        <v>378</v>
      </c>
      <c r="N6" s="3" t="s">
        <v>373</v>
      </c>
      <c r="O6" s="3" t="s">
        <v>379</v>
      </c>
      <c r="P6" s="42" t="s">
        <v>43</v>
      </c>
      <c r="Q6" s="42">
        <f>VLOOKUP(C6,[2]Export!$C$1:$J$1226,8,0)</f>
        <v>123406280</v>
      </c>
      <c r="R6" s="42" t="s">
        <v>380</v>
      </c>
      <c r="S6" s="2" t="s">
        <v>43</v>
      </c>
    </row>
    <row r="7" spans="3:19" x14ac:dyDescent="0.25">
      <c r="C7" s="3" t="s">
        <v>699</v>
      </c>
      <c r="D7" s="3" t="s">
        <v>985</v>
      </c>
      <c r="E7" s="3" t="s">
        <v>701</v>
      </c>
      <c r="F7" s="4">
        <v>10</v>
      </c>
      <c r="G7" s="3" t="str">
        <f>VLOOKUP(C7,JUNIO!C6:G362,5,0)</f>
        <v>Abierta</v>
      </c>
      <c r="H7" s="3" t="s">
        <v>46</v>
      </c>
      <c r="I7" s="3" t="s">
        <v>1031</v>
      </c>
      <c r="J7" s="3" t="s">
        <v>84</v>
      </c>
      <c r="K7" s="3" t="s">
        <v>54</v>
      </c>
      <c r="L7" s="3" t="s">
        <v>55</v>
      </c>
      <c r="M7" s="3" t="s">
        <v>378</v>
      </c>
      <c r="N7" s="3" t="s">
        <v>699</v>
      </c>
      <c r="O7" s="3" t="s">
        <v>379</v>
      </c>
      <c r="P7" s="42" t="s">
        <v>43</v>
      </c>
      <c r="Q7" s="42">
        <f>VLOOKUP(C7,[2]Export!$C$1:$J$1226,8,0)</f>
        <v>96650097</v>
      </c>
      <c r="R7" s="42" t="s">
        <v>702</v>
      </c>
      <c r="S7" s="2" t="s">
        <v>43</v>
      </c>
    </row>
    <row r="8" spans="3:19" x14ac:dyDescent="0.25">
      <c r="C8" s="3" t="s">
        <v>739</v>
      </c>
      <c r="D8" s="3" t="s">
        <v>740</v>
      </c>
      <c r="E8" s="3" t="s">
        <v>740</v>
      </c>
      <c r="F8" s="4">
        <v>9</v>
      </c>
      <c r="G8" s="3" t="str">
        <f>VLOOKUP(C8,JUNIO!C7:G363,5,0)</f>
        <v>Abierta</v>
      </c>
      <c r="H8" s="3" t="s">
        <v>46</v>
      </c>
      <c r="I8" s="3" t="s">
        <v>1031</v>
      </c>
      <c r="J8" s="3" t="s">
        <v>84</v>
      </c>
      <c r="K8" s="3" t="s">
        <v>54</v>
      </c>
      <c r="L8" s="3" t="s">
        <v>55</v>
      </c>
      <c r="M8" s="3" t="s">
        <v>378</v>
      </c>
      <c r="N8" s="3" t="s">
        <v>739</v>
      </c>
      <c r="O8" s="3" t="s">
        <v>379</v>
      </c>
      <c r="P8" s="42" t="s">
        <v>43</v>
      </c>
      <c r="Q8" s="42">
        <f>VLOOKUP(C8,[2]Export!$C$1:$J$1226,8,0)</f>
        <v>78988091</v>
      </c>
      <c r="R8" s="42" t="s">
        <v>741</v>
      </c>
      <c r="S8" s="2" t="s">
        <v>43</v>
      </c>
    </row>
    <row r="9" spans="3:19" x14ac:dyDescent="0.25">
      <c r="C9" s="3" t="s">
        <v>381</v>
      </c>
      <c r="D9" s="3" t="s">
        <v>382</v>
      </c>
      <c r="E9" s="3" t="s">
        <v>382</v>
      </c>
      <c r="F9" s="4">
        <v>9.1300000000000008</v>
      </c>
      <c r="G9" s="3" t="str">
        <f>VLOOKUP(C9,JUNIO!C8:G364,5,0)</f>
        <v>Abierta</v>
      </c>
      <c r="H9" s="3" t="s">
        <v>46</v>
      </c>
      <c r="I9" s="3" t="s">
        <v>1031</v>
      </c>
      <c r="J9" s="3" t="s">
        <v>63</v>
      </c>
      <c r="K9" s="3" t="s">
        <v>138</v>
      </c>
      <c r="L9" s="3" t="s">
        <v>40</v>
      </c>
      <c r="M9" s="3" t="s">
        <v>378</v>
      </c>
      <c r="N9" s="3" t="s">
        <v>381</v>
      </c>
      <c r="O9" s="3" t="s">
        <v>379</v>
      </c>
      <c r="P9" s="42" t="s">
        <v>43</v>
      </c>
      <c r="Q9" s="42">
        <f>VLOOKUP(C9,[2]Export!$C$1:$J$1226,8,0)</f>
        <v>64976983</v>
      </c>
      <c r="R9" s="42" t="s">
        <v>380</v>
      </c>
      <c r="S9" s="2" t="s">
        <v>43</v>
      </c>
    </row>
    <row r="10" spans="3:19" x14ac:dyDescent="0.25">
      <c r="C10" s="3" t="s">
        <v>511</v>
      </c>
      <c r="D10" s="3" t="s">
        <v>512</v>
      </c>
      <c r="E10" s="3" t="s">
        <v>513</v>
      </c>
      <c r="F10" s="4">
        <v>10.58</v>
      </c>
      <c r="G10" s="3" t="str">
        <f>VLOOKUP(C10,JUNIO!C9:G365,5,0)</f>
        <v>Abierta</v>
      </c>
      <c r="H10" s="3" t="s">
        <v>46</v>
      </c>
      <c r="I10" s="3" t="s">
        <v>1030</v>
      </c>
      <c r="J10" s="3" t="s">
        <v>100</v>
      </c>
      <c r="K10" s="3" t="s">
        <v>138</v>
      </c>
      <c r="L10" s="3" t="s">
        <v>40</v>
      </c>
      <c r="M10" s="3" t="s">
        <v>514</v>
      </c>
      <c r="N10" s="3" t="s">
        <v>511</v>
      </c>
      <c r="O10" s="3" t="s">
        <v>379</v>
      </c>
      <c r="P10" s="42" t="s">
        <v>43</v>
      </c>
      <c r="Q10" s="42">
        <f>VLOOKUP(C10,[2]Export!$C$1:$J$1226,8,0)</f>
        <v>87069742</v>
      </c>
      <c r="R10" s="42" t="s">
        <v>515</v>
      </c>
      <c r="S10" s="2" t="s">
        <v>43</v>
      </c>
    </row>
    <row r="11" spans="3:19" x14ac:dyDescent="0.25">
      <c r="C11" s="3" t="s">
        <v>516</v>
      </c>
      <c r="D11" s="3" t="s">
        <v>517</v>
      </c>
      <c r="E11" s="3" t="s">
        <v>518</v>
      </c>
      <c r="F11" s="4">
        <v>10.130000000000001</v>
      </c>
      <c r="G11" s="3" t="str">
        <f>VLOOKUP(C11,JUNIO!C10:G366,5,0)</f>
        <v>Abierta</v>
      </c>
      <c r="H11" s="3" t="s">
        <v>46</v>
      </c>
      <c r="I11" s="3" t="s">
        <v>1030</v>
      </c>
      <c r="J11" s="3" t="s">
        <v>100</v>
      </c>
      <c r="K11" s="3" t="s">
        <v>205</v>
      </c>
      <c r="L11" s="3" t="s">
        <v>40</v>
      </c>
      <c r="M11" s="3" t="s">
        <v>514</v>
      </c>
      <c r="N11" s="3" t="s">
        <v>516</v>
      </c>
      <c r="O11" s="3" t="s">
        <v>379</v>
      </c>
      <c r="P11" s="42" t="s">
        <v>43</v>
      </c>
      <c r="Q11" s="42">
        <f>VLOOKUP(C11,[2]Export!$C$1:$J$1226,8,0)</f>
        <v>80988737</v>
      </c>
      <c r="R11" s="42" t="s">
        <v>515</v>
      </c>
      <c r="S11" s="2" t="s">
        <v>43</v>
      </c>
    </row>
    <row r="12" spans="3:19" x14ac:dyDescent="0.25">
      <c r="C12" s="3" t="s">
        <v>796</v>
      </c>
      <c r="D12" s="3" t="s">
        <v>797</v>
      </c>
      <c r="E12" s="3" t="s">
        <v>797</v>
      </c>
      <c r="F12" s="4">
        <v>8</v>
      </c>
      <c r="G12" s="3" t="str">
        <f>VLOOKUP(C12,JUNIO!C11:G367,5,0)</f>
        <v>Abierta</v>
      </c>
      <c r="H12" s="3" t="s">
        <v>81</v>
      </c>
      <c r="I12" s="3" t="s">
        <v>1030</v>
      </c>
      <c r="J12" s="3" t="s">
        <v>146</v>
      </c>
      <c r="K12" s="3" t="s">
        <v>59</v>
      </c>
      <c r="L12" s="3" t="s">
        <v>40</v>
      </c>
      <c r="M12" s="3" t="s">
        <v>1035</v>
      </c>
      <c r="N12" s="3" t="s">
        <v>796</v>
      </c>
      <c r="O12" s="3" t="s">
        <v>379</v>
      </c>
      <c r="P12" s="42" t="s">
        <v>43</v>
      </c>
      <c r="Q12" s="42">
        <f>VLOOKUP(C12,[2]Export!$C$1:$J$1226,8,0)</f>
        <v>41222353</v>
      </c>
      <c r="R12" s="42" t="s">
        <v>799</v>
      </c>
      <c r="S12" s="2" t="s">
        <v>440</v>
      </c>
    </row>
    <row r="13" spans="3:19" x14ac:dyDescent="0.25">
      <c r="C13" s="3" t="s">
        <v>463</v>
      </c>
      <c r="D13" s="3" t="s">
        <v>464</v>
      </c>
      <c r="E13" s="3" t="s">
        <v>465</v>
      </c>
      <c r="F13" s="4">
        <v>8.9</v>
      </c>
      <c r="G13" s="3" t="str">
        <f>VLOOKUP(C13,JUNIO!C12:G368,5,0)</f>
        <v>Abierta</v>
      </c>
      <c r="H13" s="3" t="s">
        <v>46</v>
      </c>
      <c r="I13" s="3" t="s">
        <v>1030</v>
      </c>
      <c r="J13" s="3" t="s">
        <v>466</v>
      </c>
      <c r="K13" s="3" t="s">
        <v>51</v>
      </c>
      <c r="L13" s="3" t="s">
        <v>40</v>
      </c>
      <c r="M13" s="3" t="s">
        <v>1035</v>
      </c>
      <c r="N13" s="3" t="s">
        <v>463</v>
      </c>
      <c r="O13" s="3" t="s">
        <v>379</v>
      </c>
      <c r="P13" s="42" t="s">
        <v>43</v>
      </c>
      <c r="Q13" s="42">
        <f>VLOOKUP(C13,[2]Export!$C$1:$J$1226,8,0)</f>
        <v>73951542</v>
      </c>
      <c r="R13" s="42" t="s">
        <v>467</v>
      </c>
      <c r="S13" s="2" t="s">
        <v>43</v>
      </c>
    </row>
    <row r="14" spans="3:19" x14ac:dyDescent="0.25">
      <c r="C14" s="3" t="s">
        <v>383</v>
      </c>
      <c r="D14" s="3" t="s">
        <v>384</v>
      </c>
      <c r="E14" s="3" t="s">
        <v>384</v>
      </c>
      <c r="F14" s="4">
        <v>8</v>
      </c>
      <c r="G14" s="3" t="str">
        <f>VLOOKUP(C14,JUNIO!C13:G369,5,0)</f>
        <v>Abierta</v>
      </c>
      <c r="H14" s="3" t="s">
        <v>46</v>
      </c>
      <c r="I14" s="3" t="s">
        <v>1031</v>
      </c>
      <c r="J14" s="3" t="s">
        <v>63</v>
      </c>
      <c r="K14" s="3" t="s">
        <v>138</v>
      </c>
      <c r="L14" s="3" t="s">
        <v>40</v>
      </c>
      <c r="M14" s="3" t="s">
        <v>378</v>
      </c>
      <c r="N14" s="3" t="s">
        <v>383</v>
      </c>
      <c r="O14" s="3" t="s">
        <v>42</v>
      </c>
      <c r="P14" s="42" t="s">
        <v>43</v>
      </c>
      <c r="Q14" s="42">
        <f>VLOOKUP(C14,[2]Export!$C$1:$J$1226,8,0)</f>
        <v>90384535</v>
      </c>
      <c r="R14" s="42" t="s">
        <v>380</v>
      </c>
      <c r="S14" s="2" t="s">
        <v>43</v>
      </c>
    </row>
    <row r="15" spans="3:19" x14ac:dyDescent="0.25">
      <c r="C15" s="3" t="s">
        <v>646</v>
      </c>
      <c r="D15" s="3" t="s">
        <v>647</v>
      </c>
      <c r="E15" s="3" t="s">
        <v>647</v>
      </c>
      <c r="F15" s="4">
        <v>7</v>
      </c>
      <c r="G15" s="3" t="str">
        <f>VLOOKUP(C15,JUNIO!C14:G370,5,0)</f>
        <v>Abierta</v>
      </c>
      <c r="H15" s="3" t="s">
        <v>46</v>
      </c>
      <c r="I15" s="3" t="s">
        <v>1030</v>
      </c>
      <c r="J15" s="3" t="s">
        <v>50</v>
      </c>
      <c r="K15" s="3" t="s">
        <v>59</v>
      </c>
      <c r="L15" s="3" t="s">
        <v>40</v>
      </c>
      <c r="M15" s="3" t="s">
        <v>514</v>
      </c>
      <c r="N15" s="3" t="s">
        <v>646</v>
      </c>
      <c r="O15" s="3" t="s">
        <v>42</v>
      </c>
      <c r="P15" s="42" t="s">
        <v>43</v>
      </c>
      <c r="Q15" s="42">
        <f>VLOOKUP(C15,[2]Export!$C$1:$J$1226,8,0)</f>
        <v>66021771</v>
      </c>
      <c r="R15" s="42" t="s">
        <v>597</v>
      </c>
      <c r="S15" s="2" t="s">
        <v>43</v>
      </c>
    </row>
    <row r="16" spans="3:19" x14ac:dyDescent="0.25">
      <c r="C16" s="3" t="s">
        <v>648</v>
      </c>
      <c r="D16" s="3" t="s">
        <v>649</v>
      </c>
      <c r="E16" s="3" t="s">
        <v>650</v>
      </c>
      <c r="F16" s="4">
        <v>7.45</v>
      </c>
      <c r="G16" s="3" t="str">
        <f>VLOOKUP(C16,JUNIO!C15:G371,5,0)</f>
        <v>Abierta</v>
      </c>
      <c r="H16" s="3" t="s">
        <v>46</v>
      </c>
      <c r="I16" s="3" t="s">
        <v>1030</v>
      </c>
      <c r="J16" s="3" t="s">
        <v>50</v>
      </c>
      <c r="K16" s="3" t="s">
        <v>64</v>
      </c>
      <c r="L16" s="3" t="s">
        <v>40</v>
      </c>
      <c r="M16" s="3" t="s">
        <v>514</v>
      </c>
      <c r="N16" s="3" t="s">
        <v>648</v>
      </c>
      <c r="O16" s="3" t="s">
        <v>42</v>
      </c>
      <c r="P16" s="42" t="s">
        <v>43</v>
      </c>
      <c r="Q16" s="42">
        <f>VLOOKUP(C16,[2]Export!$C$1:$J$1226,8,0)</f>
        <v>78359624</v>
      </c>
      <c r="R16" s="42" t="s">
        <v>597</v>
      </c>
      <c r="S16" s="2" t="s">
        <v>43</v>
      </c>
    </row>
    <row r="17" spans="3:19" x14ac:dyDescent="0.25">
      <c r="C17" s="3" t="s">
        <v>642</v>
      </c>
      <c r="D17" s="3" t="s">
        <v>643</v>
      </c>
      <c r="E17" s="3" t="s">
        <v>643</v>
      </c>
      <c r="F17" s="4">
        <v>5.07</v>
      </c>
      <c r="G17" s="3" t="str">
        <f>VLOOKUP(C17,JUNIO!C16:G372,5,0)</f>
        <v>Abierta</v>
      </c>
      <c r="H17" s="3" t="s">
        <v>46</v>
      </c>
      <c r="I17" s="3" t="s">
        <v>1030</v>
      </c>
      <c r="J17" s="3" t="s">
        <v>50</v>
      </c>
      <c r="K17" s="3" t="s">
        <v>51</v>
      </c>
      <c r="L17" s="3" t="s">
        <v>40</v>
      </c>
      <c r="M17" s="3" t="s">
        <v>514</v>
      </c>
      <c r="N17" s="3" t="s">
        <v>642</v>
      </c>
      <c r="O17" s="3" t="s">
        <v>42</v>
      </c>
      <c r="P17" s="42" t="s">
        <v>43</v>
      </c>
      <c r="Q17" s="42">
        <f>VLOOKUP(C17,[2]Export!$C$1:$J$1226,8,0)</f>
        <v>81273463</v>
      </c>
      <c r="R17" s="42" t="s">
        <v>597</v>
      </c>
      <c r="S17" s="2" t="s">
        <v>43</v>
      </c>
    </row>
    <row r="18" spans="3:19" x14ac:dyDescent="0.25">
      <c r="C18" s="3" t="s">
        <v>468</v>
      </c>
      <c r="D18" s="3" t="s">
        <v>469</v>
      </c>
      <c r="E18" s="3" t="s">
        <v>470</v>
      </c>
      <c r="F18" s="4">
        <v>8.4499999999999993</v>
      </c>
      <c r="G18" s="3" t="str">
        <f>VLOOKUP(C18,JUNIO!C17:G373,5,0)</f>
        <v>Abierta</v>
      </c>
      <c r="H18" s="3" t="s">
        <v>46</v>
      </c>
      <c r="I18" s="3" t="s">
        <v>1030</v>
      </c>
      <c r="J18" s="3" t="s">
        <v>466</v>
      </c>
      <c r="K18" s="3" t="s">
        <v>51</v>
      </c>
      <c r="L18" s="3" t="s">
        <v>40</v>
      </c>
      <c r="M18" s="3" t="s">
        <v>1035</v>
      </c>
      <c r="N18" s="3" t="s">
        <v>468</v>
      </c>
      <c r="O18" s="3" t="s">
        <v>42</v>
      </c>
      <c r="P18" s="42" t="s">
        <v>43</v>
      </c>
      <c r="Q18" s="42">
        <f>VLOOKUP(C18,[2]Export!$C$1:$J$1226,8,0)</f>
        <v>93197902</v>
      </c>
      <c r="R18" s="42" t="s">
        <v>467</v>
      </c>
      <c r="S18" s="2" t="s">
        <v>43</v>
      </c>
    </row>
    <row r="19" spans="3:19" x14ac:dyDescent="0.25">
      <c r="C19" s="3" t="s">
        <v>932</v>
      </c>
      <c r="D19" s="3" t="s">
        <v>933</v>
      </c>
      <c r="E19" s="3" t="s">
        <v>933</v>
      </c>
      <c r="F19" s="4">
        <v>7</v>
      </c>
      <c r="G19" s="3" t="str">
        <f>VLOOKUP(C19,JUNIO!C18:G374,5,0)</f>
        <v>Abierta</v>
      </c>
      <c r="H19" s="3" t="s">
        <v>46</v>
      </c>
      <c r="I19" s="3" t="s">
        <v>1030</v>
      </c>
      <c r="J19" s="3" t="s">
        <v>160</v>
      </c>
      <c r="K19" s="3" t="s">
        <v>353</v>
      </c>
      <c r="L19" s="3" t="s">
        <v>40</v>
      </c>
      <c r="M19" s="3" t="s">
        <v>984</v>
      </c>
      <c r="N19" s="3" t="s">
        <v>932</v>
      </c>
      <c r="O19" s="3" t="s">
        <v>42</v>
      </c>
      <c r="P19" s="42" t="s">
        <v>43</v>
      </c>
      <c r="Q19" s="42">
        <f>VLOOKUP(C19,[2]Export!$C$1:$J$1226,8,0)</f>
        <v>66380751</v>
      </c>
      <c r="R19" s="42" t="s">
        <v>931</v>
      </c>
      <c r="S19" s="2" t="s">
        <v>43</v>
      </c>
    </row>
    <row r="20" spans="3:19" x14ac:dyDescent="0.25">
      <c r="C20" s="3" t="s">
        <v>390</v>
      </c>
      <c r="D20" s="3" t="s">
        <v>391</v>
      </c>
      <c r="E20" s="3" t="s">
        <v>391</v>
      </c>
      <c r="F20" s="4">
        <v>7</v>
      </c>
      <c r="G20" s="3" t="str">
        <f>VLOOKUP(C20,JUNIO!C19:G375,5,0)</f>
        <v>Abierta</v>
      </c>
      <c r="H20" s="3" t="s">
        <v>46</v>
      </c>
      <c r="I20" s="3" t="s">
        <v>1031</v>
      </c>
      <c r="J20" s="3" t="s">
        <v>63</v>
      </c>
      <c r="K20" s="3" t="s">
        <v>138</v>
      </c>
      <c r="L20" s="3" t="s">
        <v>40</v>
      </c>
      <c r="M20" s="3" t="s">
        <v>378</v>
      </c>
      <c r="N20" s="3" t="s">
        <v>390</v>
      </c>
      <c r="O20" s="3" t="s">
        <v>42</v>
      </c>
      <c r="P20" s="42" t="s">
        <v>43</v>
      </c>
      <c r="Q20" s="42">
        <f>VLOOKUP(C20,[2]Export!$C$1:$J$1226,8,0)</f>
        <v>82687889</v>
      </c>
      <c r="R20" s="42" t="s">
        <v>380</v>
      </c>
      <c r="S20" s="2" t="s">
        <v>43</v>
      </c>
    </row>
    <row r="21" spans="3:19" x14ac:dyDescent="0.25">
      <c r="C21" s="3" t="s">
        <v>883</v>
      </c>
      <c r="D21" s="3" t="s">
        <v>884</v>
      </c>
      <c r="E21" s="3" t="s">
        <v>986</v>
      </c>
      <c r="F21" s="4">
        <v>5.45</v>
      </c>
      <c r="G21" s="3" t="str">
        <f>VLOOKUP(C21,JUNIO!C20:G376,5,0)</f>
        <v>Abierta</v>
      </c>
      <c r="H21" s="3" t="s">
        <v>46</v>
      </c>
      <c r="I21" s="3" t="s">
        <v>1030</v>
      </c>
      <c r="J21" s="3" t="s">
        <v>73</v>
      </c>
      <c r="K21" s="3" t="s">
        <v>315</v>
      </c>
      <c r="L21" s="3" t="s">
        <v>40</v>
      </c>
      <c r="M21" s="3" t="s">
        <v>514</v>
      </c>
      <c r="N21" s="3" t="s">
        <v>883</v>
      </c>
      <c r="O21" s="3" t="s">
        <v>42</v>
      </c>
      <c r="P21" s="42" t="s">
        <v>440</v>
      </c>
      <c r="Q21" s="42">
        <f>VLOOKUP(C21,[2]Export!$C$1:$J$1226,8,0)</f>
        <v>39811882</v>
      </c>
      <c r="R21" s="42" t="s">
        <v>886</v>
      </c>
      <c r="S21" s="2" t="s">
        <v>43</v>
      </c>
    </row>
    <row r="22" spans="3:19" x14ac:dyDescent="0.25">
      <c r="C22" s="3" t="s">
        <v>387</v>
      </c>
      <c r="D22" s="3" t="s">
        <v>388</v>
      </c>
      <c r="E22" s="3" t="s">
        <v>389</v>
      </c>
      <c r="F22" s="4">
        <v>7</v>
      </c>
      <c r="G22" s="3" t="str">
        <f>VLOOKUP(C22,JUNIO!C21:G377,5,0)</f>
        <v>Abierta</v>
      </c>
      <c r="H22" s="3" t="s">
        <v>46</v>
      </c>
      <c r="I22" s="3" t="s">
        <v>1031</v>
      </c>
      <c r="J22" s="3" t="s">
        <v>63</v>
      </c>
      <c r="K22" s="3" t="s">
        <v>138</v>
      </c>
      <c r="L22" s="3" t="s">
        <v>40</v>
      </c>
      <c r="M22" s="3" t="s">
        <v>378</v>
      </c>
      <c r="N22" s="3" t="s">
        <v>387</v>
      </c>
      <c r="O22" s="3" t="s">
        <v>42</v>
      </c>
      <c r="P22" s="42" t="s">
        <v>43</v>
      </c>
      <c r="Q22" s="42">
        <f>VLOOKUP(C22,[2]Export!$C$1:$J$1226,8,0)</f>
        <v>64944243</v>
      </c>
      <c r="R22" s="42" t="s">
        <v>380</v>
      </c>
      <c r="S22" s="2" t="s">
        <v>43</v>
      </c>
    </row>
    <row r="23" spans="3:19" x14ac:dyDescent="0.25">
      <c r="C23" s="3" t="s">
        <v>519</v>
      </c>
      <c r="D23" s="3" t="s">
        <v>520</v>
      </c>
      <c r="E23" s="3" t="s">
        <v>520</v>
      </c>
      <c r="F23" s="4">
        <v>7</v>
      </c>
      <c r="G23" s="3" t="str">
        <f>VLOOKUP(C23,JUNIO!C22:G378,5,0)</f>
        <v>Abierta</v>
      </c>
      <c r="H23" s="3" t="s">
        <v>46</v>
      </c>
      <c r="I23" s="3" t="s">
        <v>1030</v>
      </c>
      <c r="J23" s="3" t="s">
        <v>100</v>
      </c>
      <c r="K23" s="3" t="s">
        <v>138</v>
      </c>
      <c r="L23" s="3" t="s">
        <v>40</v>
      </c>
      <c r="M23" s="3" t="s">
        <v>514</v>
      </c>
      <c r="N23" s="3" t="s">
        <v>519</v>
      </c>
      <c r="O23" s="3" t="s">
        <v>42</v>
      </c>
      <c r="P23" s="42" t="s">
        <v>43</v>
      </c>
      <c r="Q23" s="42">
        <f>VLOOKUP(C23,[2]Export!$C$1:$J$1226,8,0)</f>
        <v>71054430</v>
      </c>
      <c r="R23" s="42" t="s">
        <v>515</v>
      </c>
      <c r="S23" s="2" t="s">
        <v>43</v>
      </c>
    </row>
    <row r="24" spans="3:19" x14ac:dyDescent="0.25">
      <c r="C24" s="3" t="s">
        <v>887</v>
      </c>
      <c r="D24" s="3" t="s">
        <v>275</v>
      </c>
      <c r="E24" s="3" t="s">
        <v>888</v>
      </c>
      <c r="F24" s="4">
        <v>8.68</v>
      </c>
      <c r="G24" s="3" t="str">
        <f>VLOOKUP(C24,JUNIO!C23:G379,5,0)</f>
        <v>Abierta</v>
      </c>
      <c r="H24" s="3" t="s">
        <v>46</v>
      </c>
      <c r="I24" s="3" t="s">
        <v>1030</v>
      </c>
      <c r="J24" s="3" t="s">
        <v>73</v>
      </c>
      <c r="K24" s="3" t="s">
        <v>275</v>
      </c>
      <c r="L24" s="3" t="s">
        <v>40</v>
      </c>
      <c r="M24" s="3" t="s">
        <v>514</v>
      </c>
      <c r="N24" s="3" t="s">
        <v>887</v>
      </c>
      <c r="O24" s="3" t="s">
        <v>42</v>
      </c>
      <c r="P24" s="42" t="s">
        <v>43</v>
      </c>
      <c r="Q24" s="42">
        <f>VLOOKUP(C24,[2]Export!$C$1:$J$1226,8,0)</f>
        <v>93105690</v>
      </c>
      <c r="R24" s="42" t="s">
        <v>886</v>
      </c>
      <c r="S24" s="2" t="s">
        <v>43</v>
      </c>
    </row>
    <row r="25" spans="3:19" ht="13" x14ac:dyDescent="0.25">
      <c r="C25" s="3" t="s">
        <v>654</v>
      </c>
      <c r="D25" s="3" t="s">
        <v>655</v>
      </c>
      <c r="E25" s="3" t="s">
        <v>655</v>
      </c>
      <c r="F25" s="43">
        <v>7</v>
      </c>
      <c r="G25" s="3" t="str">
        <f>VLOOKUP(C25,JUNIO!C24:G380,5,0)</f>
        <v>Abierta</v>
      </c>
      <c r="H25" s="3" t="s">
        <v>46</v>
      </c>
      <c r="I25" s="3" t="s">
        <v>1030</v>
      </c>
      <c r="J25" s="3" t="s">
        <v>248</v>
      </c>
      <c r="K25" s="3" t="s">
        <v>51</v>
      </c>
      <c r="L25" s="3" t="s">
        <v>40</v>
      </c>
      <c r="M25" s="3" t="s">
        <v>984</v>
      </c>
      <c r="N25" s="3" t="s">
        <v>654</v>
      </c>
      <c r="O25" s="3" t="s">
        <v>42</v>
      </c>
      <c r="P25" s="42" t="s">
        <v>43</v>
      </c>
      <c r="Q25" s="42">
        <f>VLOOKUP(C25,[2]Export!$C$1:$J$1226,8,0)</f>
        <v>70237597</v>
      </c>
      <c r="R25" s="42" t="s">
        <v>51</v>
      </c>
      <c r="S25" s="2" t="s">
        <v>43</v>
      </c>
    </row>
    <row r="26" spans="3:19" x14ac:dyDescent="0.25">
      <c r="C26" s="3" t="s">
        <v>800</v>
      </c>
      <c r="D26" s="3" t="s">
        <v>801</v>
      </c>
      <c r="E26" s="3" t="s">
        <v>801</v>
      </c>
      <c r="F26" s="4">
        <v>7</v>
      </c>
      <c r="G26" s="3" t="str">
        <f>VLOOKUP(C26,JUNIO!C25:G381,5,0)</f>
        <v>Abierta</v>
      </c>
      <c r="H26" s="3" t="s">
        <v>46</v>
      </c>
      <c r="I26" s="3" t="s">
        <v>1030</v>
      </c>
      <c r="J26" s="3" t="s">
        <v>146</v>
      </c>
      <c r="K26" s="3" t="s">
        <v>59</v>
      </c>
      <c r="L26" s="3" t="s">
        <v>40</v>
      </c>
      <c r="M26" s="3" t="s">
        <v>1035</v>
      </c>
      <c r="N26" s="3" t="s">
        <v>800</v>
      </c>
      <c r="O26" s="3" t="s">
        <v>42</v>
      </c>
      <c r="P26" s="42" t="s">
        <v>43</v>
      </c>
      <c r="Q26" s="42">
        <f>VLOOKUP(C26,[2]Export!$C$1:$J$1226,8,0)</f>
        <v>48741259</v>
      </c>
      <c r="R26" s="42" t="s">
        <v>799</v>
      </c>
      <c r="S26" s="2" t="s">
        <v>43</v>
      </c>
    </row>
    <row r="27" spans="3:19" x14ac:dyDescent="0.25">
      <c r="C27" s="3" t="s">
        <v>385</v>
      </c>
      <c r="D27" s="3" t="s">
        <v>386</v>
      </c>
      <c r="E27" s="3" t="s">
        <v>386</v>
      </c>
      <c r="F27" s="4">
        <v>7</v>
      </c>
      <c r="G27" s="3" t="str">
        <f>VLOOKUP(C27,JUNIO!C26:G382,5,0)</f>
        <v>Abierta</v>
      </c>
      <c r="H27" s="3" t="s">
        <v>46</v>
      </c>
      <c r="I27" s="3" t="s">
        <v>1031</v>
      </c>
      <c r="J27" s="3" t="s">
        <v>63</v>
      </c>
      <c r="K27" s="3" t="s">
        <v>138</v>
      </c>
      <c r="L27" s="3" t="s">
        <v>40</v>
      </c>
      <c r="M27" s="3" t="s">
        <v>378</v>
      </c>
      <c r="N27" s="3" t="s">
        <v>385</v>
      </c>
      <c r="O27" s="3" t="s">
        <v>42</v>
      </c>
      <c r="P27" s="42" t="s">
        <v>43</v>
      </c>
      <c r="Q27" s="42">
        <f>VLOOKUP(C27,[2]Export!$C$1:$J$1226,8,0)</f>
        <v>80816024</v>
      </c>
      <c r="R27" s="42" t="s">
        <v>380</v>
      </c>
      <c r="S27" s="2" t="s">
        <v>43</v>
      </c>
    </row>
    <row r="28" spans="3:19" x14ac:dyDescent="0.25">
      <c r="C28" s="3" t="s">
        <v>934</v>
      </c>
      <c r="D28" s="3" t="s">
        <v>935</v>
      </c>
      <c r="E28" s="3" t="s">
        <v>935</v>
      </c>
      <c r="F28" s="4">
        <v>7</v>
      </c>
      <c r="G28" s="3" t="str">
        <f>VLOOKUP(C28,JUNIO!C27:G383,5,0)</f>
        <v>Abierta</v>
      </c>
      <c r="H28" s="3" t="s">
        <v>46</v>
      </c>
      <c r="I28" s="3" t="s">
        <v>1030</v>
      </c>
      <c r="J28" s="3" t="s">
        <v>160</v>
      </c>
      <c r="K28" s="3" t="s">
        <v>353</v>
      </c>
      <c r="L28" s="3" t="s">
        <v>40</v>
      </c>
      <c r="M28" s="3" t="s">
        <v>984</v>
      </c>
      <c r="N28" s="3" t="s">
        <v>934</v>
      </c>
      <c r="O28" s="3" t="s">
        <v>42</v>
      </c>
      <c r="P28" s="42" t="s">
        <v>43</v>
      </c>
      <c r="Q28" s="42">
        <f>VLOOKUP(C28,[2]Export!$C$1:$J$1226,8,0)</f>
        <v>57315080</v>
      </c>
      <c r="R28" s="42" t="s">
        <v>931</v>
      </c>
      <c r="S28" s="2" t="s">
        <v>43</v>
      </c>
    </row>
    <row r="29" spans="3:19" x14ac:dyDescent="0.25">
      <c r="C29" s="3" t="s">
        <v>573</v>
      </c>
      <c r="D29" s="3" t="s">
        <v>574</v>
      </c>
      <c r="E29" s="3" t="s">
        <v>575</v>
      </c>
      <c r="F29" s="4">
        <v>7</v>
      </c>
      <c r="G29" s="3" t="str">
        <f>VLOOKUP(C29,JUNIO!C28:G384,5,0)</f>
        <v>Abierta</v>
      </c>
      <c r="H29" s="3" t="s">
        <v>46</v>
      </c>
      <c r="I29" s="3" t="s">
        <v>1030</v>
      </c>
      <c r="J29" s="3" t="s">
        <v>331</v>
      </c>
      <c r="K29" s="3" t="s">
        <v>138</v>
      </c>
      <c r="L29" s="3" t="s">
        <v>40</v>
      </c>
      <c r="M29" s="3" t="s">
        <v>984</v>
      </c>
      <c r="N29" s="3" t="s">
        <v>573</v>
      </c>
      <c r="O29" s="3" t="s">
        <v>42</v>
      </c>
      <c r="P29" s="42" t="s">
        <v>440</v>
      </c>
      <c r="Q29" s="42">
        <f>VLOOKUP(C29,[2]Export!$C$1:$J$1226,8,0)</f>
        <v>74330640</v>
      </c>
      <c r="R29" s="42" t="s">
        <v>557</v>
      </c>
      <c r="S29" s="2" t="s">
        <v>43</v>
      </c>
    </row>
    <row r="30" spans="3:19" x14ac:dyDescent="0.25">
      <c r="C30" s="3" t="s">
        <v>804</v>
      </c>
      <c r="D30" s="3" t="s">
        <v>805</v>
      </c>
      <c r="E30" s="3" t="s">
        <v>806</v>
      </c>
      <c r="F30" s="4">
        <v>6.56</v>
      </c>
      <c r="G30" s="3" t="str">
        <f>VLOOKUP(C30,JUNIO!C29:G385,5,0)</f>
        <v>Abierta</v>
      </c>
      <c r="H30" s="3" t="s">
        <v>46</v>
      </c>
      <c r="I30" s="3" t="s">
        <v>1030</v>
      </c>
      <c r="J30" s="3" t="s">
        <v>146</v>
      </c>
      <c r="K30" s="3" t="s">
        <v>59</v>
      </c>
      <c r="L30" s="3" t="s">
        <v>40</v>
      </c>
      <c r="M30" s="3" t="s">
        <v>1035</v>
      </c>
      <c r="N30" s="3" t="s">
        <v>804</v>
      </c>
      <c r="O30" s="3" t="s">
        <v>42</v>
      </c>
      <c r="P30" s="42" t="s">
        <v>43</v>
      </c>
      <c r="Q30" s="42">
        <f>VLOOKUP(C30,[2]Export!$C$1:$J$1226,8,0)</f>
        <v>68008535</v>
      </c>
      <c r="R30" s="42" t="s">
        <v>799</v>
      </c>
      <c r="S30" s="2" t="s">
        <v>43</v>
      </c>
    </row>
    <row r="31" spans="3:19" x14ac:dyDescent="0.25">
      <c r="C31" s="3" t="s">
        <v>618</v>
      </c>
      <c r="D31" s="3" t="s">
        <v>619</v>
      </c>
      <c r="E31" s="3" t="s">
        <v>619</v>
      </c>
      <c r="F31" s="4">
        <v>6.68</v>
      </c>
      <c r="G31" s="3" t="str">
        <f>VLOOKUP(C31,JUNIO!C30:G386,5,0)</f>
        <v>Abierta</v>
      </c>
      <c r="H31" s="3" t="s">
        <v>46</v>
      </c>
      <c r="I31" s="3" t="s">
        <v>1030</v>
      </c>
      <c r="J31" s="3" t="s">
        <v>50</v>
      </c>
      <c r="K31" s="3" t="s">
        <v>59</v>
      </c>
      <c r="L31" s="3" t="s">
        <v>40</v>
      </c>
      <c r="M31" s="3" t="s">
        <v>514</v>
      </c>
      <c r="N31" s="3" t="s">
        <v>618</v>
      </c>
      <c r="O31" s="3" t="s">
        <v>42</v>
      </c>
      <c r="P31" s="42" t="s">
        <v>43</v>
      </c>
      <c r="Q31" s="42">
        <f>VLOOKUP(C31,[2]Export!$C$1:$J$1226,8,0)</f>
        <v>56662361</v>
      </c>
      <c r="R31" s="42" t="s">
        <v>597</v>
      </c>
      <c r="S31" s="2" t="s">
        <v>43</v>
      </c>
    </row>
    <row r="32" spans="3:19" x14ac:dyDescent="0.25">
      <c r="C32" s="3" t="s">
        <v>419</v>
      </c>
      <c r="D32" s="3" t="s">
        <v>420</v>
      </c>
      <c r="E32" s="3" t="s">
        <v>64</v>
      </c>
      <c r="F32" s="4">
        <v>6</v>
      </c>
      <c r="G32" s="3" t="str">
        <f>VLOOKUP(C32,JUNIO!C31:G387,5,0)</f>
        <v>Abierta</v>
      </c>
      <c r="H32" s="3" t="s">
        <v>46</v>
      </c>
      <c r="I32" s="3" t="s">
        <v>1030</v>
      </c>
      <c r="J32" s="3" t="s">
        <v>94</v>
      </c>
      <c r="K32" s="3" t="s">
        <v>64</v>
      </c>
      <c r="L32" s="3" t="s">
        <v>40</v>
      </c>
      <c r="M32" s="3" t="s">
        <v>1035</v>
      </c>
      <c r="N32" s="3" t="s">
        <v>419</v>
      </c>
      <c r="O32" s="3" t="s">
        <v>42</v>
      </c>
      <c r="P32" s="42" t="s">
        <v>43</v>
      </c>
      <c r="Q32" s="42">
        <f>VLOOKUP(C32,[2]Export!$C$1:$J$1226,8,0)</f>
        <v>57363029</v>
      </c>
      <c r="R32" s="42" t="s">
        <v>423</v>
      </c>
      <c r="S32" s="2" t="s">
        <v>43</v>
      </c>
    </row>
    <row r="33" spans="3:19" x14ac:dyDescent="0.25">
      <c r="C33" s="3" t="s">
        <v>521</v>
      </c>
      <c r="D33" s="3" t="s">
        <v>522</v>
      </c>
      <c r="E33" s="3" t="s">
        <v>522</v>
      </c>
      <c r="F33" s="44">
        <v>6</v>
      </c>
      <c r="G33" s="3" t="str">
        <f>VLOOKUP(C33,JUNIO!C32:G388,5,0)</f>
        <v>Abierta</v>
      </c>
      <c r="H33" s="3" t="s">
        <v>46</v>
      </c>
      <c r="I33" s="3" t="s">
        <v>1030</v>
      </c>
      <c r="J33" s="3" t="s">
        <v>100</v>
      </c>
      <c r="K33" s="3" t="s">
        <v>138</v>
      </c>
      <c r="L33" s="3" t="s">
        <v>40</v>
      </c>
      <c r="M33" s="3" t="s">
        <v>514</v>
      </c>
      <c r="N33" s="3" t="s">
        <v>521</v>
      </c>
      <c r="O33" s="3" t="s">
        <v>42</v>
      </c>
      <c r="P33" s="42" t="s">
        <v>43</v>
      </c>
      <c r="Q33" s="42">
        <f>VLOOKUP(C33,[2]Export!$C$1:$J$1226,8,0)</f>
        <v>52142423</v>
      </c>
      <c r="R33" s="42" t="s">
        <v>515</v>
      </c>
      <c r="S33" s="2" t="s">
        <v>43</v>
      </c>
    </row>
    <row r="34" spans="3:19" x14ac:dyDescent="0.25">
      <c r="C34" s="3" t="s">
        <v>844</v>
      </c>
      <c r="D34" s="3" t="s">
        <v>845</v>
      </c>
      <c r="E34" s="3" t="s">
        <v>846</v>
      </c>
      <c r="F34" s="4">
        <v>6</v>
      </c>
      <c r="G34" s="3" t="str">
        <f>VLOOKUP(C34,JUNIO!C33:G389,5,0)</f>
        <v>Abierta</v>
      </c>
      <c r="H34" s="3" t="s">
        <v>46</v>
      </c>
      <c r="I34" s="3" t="s">
        <v>1030</v>
      </c>
      <c r="J34" s="3" t="s">
        <v>132</v>
      </c>
      <c r="K34" s="3" t="s">
        <v>138</v>
      </c>
      <c r="L34" s="3" t="s">
        <v>40</v>
      </c>
      <c r="M34" s="3" t="s">
        <v>1035</v>
      </c>
      <c r="N34" s="3" t="s">
        <v>844</v>
      </c>
      <c r="O34" s="3" t="s">
        <v>42</v>
      </c>
      <c r="P34" s="42" t="s">
        <v>43</v>
      </c>
      <c r="Q34" s="42">
        <f>VLOOKUP(C34,[2]Export!$C$1:$J$1226,8,0)</f>
        <v>55146464</v>
      </c>
      <c r="R34" s="42" t="s">
        <v>847</v>
      </c>
      <c r="S34" s="2" t="s">
        <v>43</v>
      </c>
    </row>
    <row r="35" spans="3:19" x14ac:dyDescent="0.25">
      <c r="C35" s="3" t="s">
        <v>889</v>
      </c>
      <c r="D35" s="3" t="s">
        <v>890</v>
      </c>
      <c r="E35" s="3" t="s">
        <v>890</v>
      </c>
      <c r="F35" s="4">
        <v>6</v>
      </c>
      <c r="G35" s="3" t="str">
        <f>VLOOKUP(C35,JUNIO!C34:G390,5,0)</f>
        <v>Abierta</v>
      </c>
      <c r="H35" s="3" t="s">
        <v>46</v>
      </c>
      <c r="I35" s="3" t="s">
        <v>1030</v>
      </c>
      <c r="J35" s="3" t="s">
        <v>73</v>
      </c>
      <c r="K35" s="3" t="s">
        <v>97</v>
      </c>
      <c r="L35" s="3" t="s">
        <v>40</v>
      </c>
      <c r="M35" s="3" t="s">
        <v>514</v>
      </c>
      <c r="N35" s="3" t="s">
        <v>889</v>
      </c>
      <c r="O35" s="3" t="s">
        <v>42</v>
      </c>
      <c r="P35" s="42" t="s">
        <v>43</v>
      </c>
      <c r="Q35" s="42">
        <f>VLOOKUP(C35,[2]Export!$C$1:$J$1226,8,0)</f>
        <v>54029254</v>
      </c>
      <c r="R35" s="42" t="s">
        <v>886</v>
      </c>
      <c r="S35" s="2" t="s">
        <v>43</v>
      </c>
    </row>
    <row r="36" spans="3:19" x14ac:dyDescent="0.25">
      <c r="C36" s="3" t="s">
        <v>392</v>
      </c>
      <c r="D36" s="3" t="s">
        <v>393</v>
      </c>
      <c r="E36" s="3" t="s">
        <v>393</v>
      </c>
      <c r="F36" s="4">
        <v>5</v>
      </c>
      <c r="G36" s="3" t="str">
        <f>VLOOKUP(C36,JUNIO!C35:G391,5,0)</f>
        <v>Abierta</v>
      </c>
      <c r="H36" s="3" t="s">
        <v>46</v>
      </c>
      <c r="I36" s="3" t="s">
        <v>1031</v>
      </c>
      <c r="J36" s="3" t="s">
        <v>63</v>
      </c>
      <c r="K36" s="3" t="s">
        <v>138</v>
      </c>
      <c r="L36" s="3" t="s">
        <v>40</v>
      </c>
      <c r="M36" s="3" t="s">
        <v>378</v>
      </c>
      <c r="N36" s="3" t="s">
        <v>392</v>
      </c>
      <c r="O36" s="3" t="s">
        <v>42</v>
      </c>
      <c r="P36" s="42" t="s">
        <v>43</v>
      </c>
      <c r="Q36" s="42">
        <f>VLOOKUP(C36,[2]Export!$C$1:$J$1226,8,0)</f>
        <v>50149910</v>
      </c>
      <c r="R36" s="42" t="s">
        <v>380</v>
      </c>
      <c r="S36" s="2" t="s">
        <v>43</v>
      </c>
    </row>
    <row r="37" spans="3:19" x14ac:dyDescent="0.25">
      <c r="C37" s="3" t="s">
        <v>703</v>
      </c>
      <c r="D37" s="3" t="s">
        <v>704</v>
      </c>
      <c r="E37" s="3" t="s">
        <v>705</v>
      </c>
      <c r="F37" s="4">
        <v>5</v>
      </c>
      <c r="G37" s="3" t="str">
        <f>VLOOKUP(C37,JUNIO!C36:G392,5,0)</f>
        <v>Abierta</v>
      </c>
      <c r="H37" s="3" t="s">
        <v>46</v>
      </c>
      <c r="I37" s="3" t="s">
        <v>1031</v>
      </c>
      <c r="J37" s="3" t="s">
        <v>84</v>
      </c>
      <c r="K37" s="3" t="s">
        <v>706</v>
      </c>
      <c r="L37" s="3" t="s">
        <v>55</v>
      </c>
      <c r="M37" s="3" t="s">
        <v>378</v>
      </c>
      <c r="N37" s="3" t="s">
        <v>703</v>
      </c>
      <c r="O37" s="3" t="s">
        <v>42</v>
      </c>
      <c r="P37" s="42" t="s">
        <v>43</v>
      </c>
      <c r="Q37" s="42">
        <f>VLOOKUP(C37,[2]Export!$C$1:$J$1226,8,0)</f>
        <v>45804383</v>
      </c>
      <c r="R37" s="42" t="s">
        <v>702</v>
      </c>
      <c r="S37" s="2" t="s">
        <v>43</v>
      </c>
    </row>
    <row r="38" spans="3:19" x14ac:dyDescent="0.25">
      <c r="C38" s="3" t="s">
        <v>34</v>
      </c>
      <c r="D38" s="3" t="s">
        <v>35</v>
      </c>
      <c r="E38" s="3" t="s">
        <v>35</v>
      </c>
      <c r="F38" s="4" t="s">
        <v>36</v>
      </c>
      <c r="G38" s="3" t="str">
        <f>VLOOKUP(C38,JUNIO!C37:G393,5,0)</f>
        <v>CIERRE DEFINITIVO</v>
      </c>
      <c r="H38" s="3" t="s">
        <v>38</v>
      </c>
      <c r="I38" s="3" t="s">
        <v>1030</v>
      </c>
      <c r="J38" s="3">
        <v>0</v>
      </c>
      <c r="K38" s="3" t="s">
        <v>39</v>
      </c>
      <c r="L38" s="3" t="s">
        <v>40</v>
      </c>
      <c r="M38" s="3">
        <v>0</v>
      </c>
      <c r="N38" s="3" t="s">
        <v>34</v>
      </c>
      <c r="O38" s="3" t="s">
        <v>42</v>
      </c>
      <c r="P38" s="42" t="s">
        <v>43</v>
      </c>
      <c r="Q38" s="42"/>
      <c r="R38" s="42">
        <v>0</v>
      </c>
      <c r="S38" s="2" t="s">
        <v>43</v>
      </c>
    </row>
    <row r="39" spans="3:19" x14ac:dyDescent="0.25">
      <c r="C39" s="3" t="s">
        <v>424</v>
      </c>
      <c r="D39" s="3" t="s">
        <v>425</v>
      </c>
      <c r="E39" s="3" t="s">
        <v>988</v>
      </c>
      <c r="F39" s="4">
        <v>6</v>
      </c>
      <c r="G39" s="3" t="str">
        <f>VLOOKUP(C39,JUNIO!C38:G394,5,0)</f>
        <v>CIERRE DEFINITIVO</v>
      </c>
      <c r="H39" s="3" t="s">
        <v>46</v>
      </c>
      <c r="I39" s="3" t="s">
        <v>1030</v>
      </c>
      <c r="J39" s="3" t="s">
        <v>94</v>
      </c>
      <c r="K39" s="3" t="s">
        <v>64</v>
      </c>
      <c r="L39" s="3" t="s">
        <v>40</v>
      </c>
      <c r="M39" s="3" t="s">
        <v>1035</v>
      </c>
      <c r="N39" s="3" t="s">
        <v>424</v>
      </c>
      <c r="O39" s="3" t="s">
        <v>42</v>
      </c>
      <c r="P39" s="42" t="s">
        <v>43</v>
      </c>
      <c r="Q39" s="42"/>
      <c r="R39" s="42" t="s">
        <v>423</v>
      </c>
      <c r="S39" s="2" t="s">
        <v>43</v>
      </c>
    </row>
    <row r="40" spans="3:19" x14ac:dyDescent="0.25">
      <c r="C40" s="3" t="s">
        <v>471</v>
      </c>
      <c r="D40" s="3" t="s">
        <v>472</v>
      </c>
      <c r="E40" s="3" t="s">
        <v>473</v>
      </c>
      <c r="F40" s="4">
        <v>5</v>
      </c>
      <c r="G40" s="3" t="str">
        <f>VLOOKUP(C40,JUNIO!C39:G395,5,0)</f>
        <v>Abierta</v>
      </c>
      <c r="H40" s="3" t="s">
        <v>46</v>
      </c>
      <c r="I40" s="3" t="s">
        <v>1030</v>
      </c>
      <c r="J40" s="3" t="s">
        <v>466</v>
      </c>
      <c r="K40" s="3" t="s">
        <v>51</v>
      </c>
      <c r="L40" s="3" t="s">
        <v>40</v>
      </c>
      <c r="M40" s="3" t="s">
        <v>1035</v>
      </c>
      <c r="N40" s="3" t="s">
        <v>471</v>
      </c>
      <c r="O40" s="3" t="s">
        <v>42</v>
      </c>
      <c r="P40" s="42" t="s">
        <v>43</v>
      </c>
      <c r="Q40" s="42">
        <f>VLOOKUP(C40,[2]Export!$C$1:$J$1226,8,0)</f>
        <v>47107049</v>
      </c>
      <c r="R40" s="42" t="s">
        <v>467</v>
      </c>
      <c r="S40" s="2" t="s">
        <v>43</v>
      </c>
    </row>
    <row r="41" spans="3:19" x14ac:dyDescent="0.25">
      <c r="C41" s="3" t="s">
        <v>742</v>
      </c>
      <c r="D41" s="3" t="s">
        <v>744</v>
      </c>
      <c r="E41" s="14" t="s">
        <v>989</v>
      </c>
      <c r="F41" s="4">
        <v>6</v>
      </c>
      <c r="G41" s="3" t="str">
        <f>VLOOKUP(C41,JUNIO!C40:G396,5,0)</f>
        <v>Abierta</v>
      </c>
      <c r="H41" s="3" t="s">
        <v>46</v>
      </c>
      <c r="I41" s="3" t="s">
        <v>1031</v>
      </c>
      <c r="J41" s="3" t="s">
        <v>84</v>
      </c>
      <c r="K41" s="3" t="s">
        <v>54</v>
      </c>
      <c r="L41" s="3" t="s">
        <v>55</v>
      </c>
      <c r="M41" s="3" t="s">
        <v>378</v>
      </c>
      <c r="N41" s="3" t="s">
        <v>742</v>
      </c>
      <c r="O41" s="3" t="s">
        <v>42</v>
      </c>
      <c r="P41" s="42" t="s">
        <v>440</v>
      </c>
      <c r="Q41" s="42">
        <f>VLOOKUP(C41,[2]Export!$C$1:$J$1226,8,0)</f>
        <v>36410894</v>
      </c>
      <c r="R41" s="42" t="s">
        <v>741</v>
      </c>
      <c r="S41" s="2" t="s">
        <v>43</v>
      </c>
    </row>
    <row r="42" spans="3:19" x14ac:dyDescent="0.25">
      <c r="C42" s="3" t="s">
        <v>707</v>
      </c>
      <c r="D42" s="3" t="s">
        <v>706</v>
      </c>
      <c r="E42" s="3" t="s">
        <v>708</v>
      </c>
      <c r="F42" s="4">
        <v>5</v>
      </c>
      <c r="G42" s="3" t="str">
        <f>VLOOKUP(C42,JUNIO!C41:G397,5,0)</f>
        <v>Abierta</v>
      </c>
      <c r="H42" s="3" t="s">
        <v>46</v>
      </c>
      <c r="I42" s="3" t="s">
        <v>1031</v>
      </c>
      <c r="J42" s="3" t="s">
        <v>84</v>
      </c>
      <c r="K42" s="3" t="s">
        <v>706</v>
      </c>
      <c r="L42" s="3" t="s">
        <v>55</v>
      </c>
      <c r="M42" s="3" t="s">
        <v>378</v>
      </c>
      <c r="N42" s="3" t="s">
        <v>707</v>
      </c>
      <c r="O42" s="3" t="s">
        <v>42</v>
      </c>
      <c r="P42" s="42" t="s">
        <v>440</v>
      </c>
      <c r="Q42" s="42">
        <f>VLOOKUP(C42,[2]Export!$C$1:$J$1226,8,0)</f>
        <v>31078430</v>
      </c>
      <c r="R42" s="42" t="s">
        <v>702</v>
      </c>
      <c r="S42" s="2" t="s">
        <v>43</v>
      </c>
    </row>
    <row r="43" spans="3:19" x14ac:dyDescent="0.25">
      <c r="C43" s="3" t="s">
        <v>394</v>
      </c>
      <c r="D43" s="3" t="s">
        <v>395</v>
      </c>
      <c r="E43" s="3" t="s">
        <v>395</v>
      </c>
      <c r="F43" s="4">
        <v>6</v>
      </c>
      <c r="G43" s="3" t="str">
        <f>VLOOKUP(C43,JUNIO!C42:G398,5,0)</f>
        <v>Abierta</v>
      </c>
      <c r="H43" s="3" t="s">
        <v>46</v>
      </c>
      <c r="I43" s="3" t="s">
        <v>1031</v>
      </c>
      <c r="J43" s="3" t="s">
        <v>63</v>
      </c>
      <c r="K43" s="3" t="s">
        <v>138</v>
      </c>
      <c r="L43" s="3" t="s">
        <v>40</v>
      </c>
      <c r="M43" s="3" t="s">
        <v>378</v>
      </c>
      <c r="N43" s="3" t="s">
        <v>394</v>
      </c>
      <c r="O43" s="3" t="s">
        <v>42</v>
      </c>
      <c r="P43" s="42" t="s">
        <v>43</v>
      </c>
      <c r="Q43" s="42">
        <f>VLOOKUP(C43,[2]Export!$C$1:$J$1226,8,0)</f>
        <v>62231995</v>
      </c>
      <c r="R43" s="42" t="s">
        <v>380</v>
      </c>
      <c r="S43" s="2" t="s">
        <v>43</v>
      </c>
    </row>
    <row r="44" spans="3:19" x14ac:dyDescent="0.25">
      <c r="C44" s="3" t="s">
        <v>396</v>
      </c>
      <c r="D44" s="3" t="s">
        <v>397</v>
      </c>
      <c r="E44" s="3" t="s">
        <v>397</v>
      </c>
      <c r="F44" s="4">
        <v>6</v>
      </c>
      <c r="G44" s="3" t="str">
        <f>VLOOKUP(C44,JUNIO!C43:G399,5,0)</f>
        <v>Abierta</v>
      </c>
      <c r="H44" s="3" t="s">
        <v>46</v>
      </c>
      <c r="I44" s="3" t="s">
        <v>1031</v>
      </c>
      <c r="J44" s="3" t="s">
        <v>63</v>
      </c>
      <c r="K44" s="3" t="s">
        <v>138</v>
      </c>
      <c r="L44" s="3" t="s">
        <v>40</v>
      </c>
      <c r="M44" s="3" t="s">
        <v>378</v>
      </c>
      <c r="N44" s="3" t="s">
        <v>396</v>
      </c>
      <c r="O44" s="3" t="s">
        <v>42</v>
      </c>
      <c r="P44" s="42" t="s">
        <v>43</v>
      </c>
      <c r="Q44" s="42">
        <f>VLOOKUP(C44,[2]Export!$C$1:$J$1226,8,0)</f>
        <v>48439556</v>
      </c>
      <c r="R44" s="42" t="s">
        <v>380</v>
      </c>
      <c r="S44" s="2" t="s">
        <v>43</v>
      </c>
    </row>
    <row r="45" spans="3:19" x14ac:dyDescent="0.25">
      <c r="C45" s="3" t="s">
        <v>848</v>
      </c>
      <c r="D45" s="3" t="s">
        <v>849</v>
      </c>
      <c r="E45" s="3" t="s">
        <v>849</v>
      </c>
      <c r="F45" s="4">
        <v>9.68</v>
      </c>
      <c r="G45" s="3" t="str">
        <f>VLOOKUP(C45,JUNIO!C44:G400,5,0)</f>
        <v>Abierta</v>
      </c>
      <c r="H45" s="3" t="s">
        <v>46</v>
      </c>
      <c r="I45" s="3" t="s">
        <v>1030</v>
      </c>
      <c r="J45" s="3" t="s">
        <v>132</v>
      </c>
      <c r="K45" s="3" t="s">
        <v>138</v>
      </c>
      <c r="L45" s="3" t="s">
        <v>40</v>
      </c>
      <c r="M45" s="3" t="s">
        <v>1035</v>
      </c>
      <c r="N45" s="3" t="s">
        <v>848</v>
      </c>
      <c r="O45" s="3" t="s">
        <v>42</v>
      </c>
      <c r="P45" s="42" t="s">
        <v>43</v>
      </c>
      <c r="Q45" s="42">
        <f>VLOOKUP(C45,[2]Export!$C$1:$J$1226,8,0)</f>
        <v>75944037</v>
      </c>
      <c r="R45" s="42" t="s">
        <v>847</v>
      </c>
      <c r="S45" s="2" t="s">
        <v>43</v>
      </c>
    </row>
    <row r="46" spans="3:19" x14ac:dyDescent="0.25">
      <c r="C46" s="3" t="s">
        <v>936</v>
      </c>
      <c r="D46" s="3" t="s">
        <v>937</v>
      </c>
      <c r="E46" s="3" t="s">
        <v>938</v>
      </c>
      <c r="F46" s="4">
        <v>5</v>
      </c>
      <c r="G46" s="3" t="str">
        <f>VLOOKUP(C46,JUNIO!C45:G401,5,0)</f>
        <v>Abierta</v>
      </c>
      <c r="H46" s="3" t="s">
        <v>46</v>
      </c>
      <c r="I46" s="3" t="s">
        <v>1030</v>
      </c>
      <c r="J46" s="3" t="s">
        <v>160</v>
      </c>
      <c r="K46" s="3" t="s">
        <v>138</v>
      </c>
      <c r="L46" s="3" t="s">
        <v>40</v>
      </c>
      <c r="M46" s="3" t="s">
        <v>984</v>
      </c>
      <c r="N46" s="3" t="s">
        <v>936</v>
      </c>
      <c r="O46" s="3" t="s">
        <v>42</v>
      </c>
      <c r="P46" s="42" t="s">
        <v>43</v>
      </c>
      <c r="Q46" s="42">
        <f>VLOOKUP(C46,[2]Export!$C$1:$J$1226,8,0)</f>
        <v>44014350</v>
      </c>
      <c r="R46" s="42" t="s">
        <v>931</v>
      </c>
      <c r="S46" s="2" t="s">
        <v>43</v>
      </c>
    </row>
    <row r="47" spans="3:19" x14ac:dyDescent="0.25">
      <c r="C47" s="3" t="s">
        <v>939</v>
      </c>
      <c r="D47" s="3" t="s">
        <v>39</v>
      </c>
      <c r="E47" s="3" t="s">
        <v>39</v>
      </c>
      <c r="F47" s="4">
        <v>6.45</v>
      </c>
      <c r="G47" s="3" t="str">
        <f>VLOOKUP(C47,JUNIO!C46:G402,5,0)</f>
        <v>Abierta</v>
      </c>
      <c r="H47" s="3" t="s">
        <v>46</v>
      </c>
      <c r="I47" s="3" t="s">
        <v>1030</v>
      </c>
      <c r="J47" s="3" t="s">
        <v>160</v>
      </c>
      <c r="K47" s="3" t="s">
        <v>39</v>
      </c>
      <c r="L47" s="3" t="s">
        <v>40</v>
      </c>
      <c r="M47" s="3" t="s">
        <v>984</v>
      </c>
      <c r="N47" s="3" t="s">
        <v>939</v>
      </c>
      <c r="O47" s="3" t="s">
        <v>42</v>
      </c>
      <c r="P47" s="42" t="s">
        <v>43</v>
      </c>
      <c r="Q47" s="42">
        <f>VLOOKUP(C47,[2]Export!$C$1:$J$1226,8,0)</f>
        <v>65954082</v>
      </c>
      <c r="R47" s="42" t="s">
        <v>931</v>
      </c>
      <c r="S47" s="2" t="s">
        <v>43</v>
      </c>
    </row>
    <row r="48" spans="3:19" x14ac:dyDescent="0.25">
      <c r="C48" s="3" t="s">
        <v>44</v>
      </c>
      <c r="D48" s="3" t="s">
        <v>45</v>
      </c>
      <c r="E48" s="3" t="s">
        <v>45</v>
      </c>
      <c r="F48" s="4" t="s">
        <v>36</v>
      </c>
      <c r="G48" s="3" t="str">
        <f>VLOOKUP(C48,JUNIO!C47:G403,5,0)</f>
        <v>CIERRE DEFINITIVO</v>
      </c>
      <c r="H48" s="3" t="s">
        <v>46</v>
      </c>
      <c r="I48" s="3" t="s">
        <v>1030</v>
      </c>
      <c r="J48" s="3">
        <v>0</v>
      </c>
      <c r="K48" s="3" t="s">
        <v>47</v>
      </c>
      <c r="L48" s="3" t="s">
        <v>40</v>
      </c>
      <c r="M48" s="3">
        <v>0</v>
      </c>
      <c r="N48" s="3" t="s">
        <v>44</v>
      </c>
      <c r="O48" s="3" t="s">
        <v>42</v>
      </c>
      <c r="P48" s="42" t="s">
        <v>43</v>
      </c>
      <c r="Q48" s="42"/>
      <c r="R48" s="42">
        <v>0</v>
      </c>
      <c r="S48" s="2" t="s">
        <v>43</v>
      </c>
    </row>
    <row r="49" spans="3:19" x14ac:dyDescent="0.25">
      <c r="C49" s="3" t="s">
        <v>940</v>
      </c>
      <c r="D49" s="3" t="s">
        <v>941</v>
      </c>
      <c r="E49" s="3" t="s">
        <v>941</v>
      </c>
      <c r="F49" s="44">
        <v>9</v>
      </c>
      <c r="G49" s="3" t="str">
        <f>VLOOKUP(C49,JUNIO!C48:G404,5,0)</f>
        <v>Abierta</v>
      </c>
      <c r="H49" s="3" t="s">
        <v>46</v>
      </c>
      <c r="I49" s="3" t="s">
        <v>1030</v>
      </c>
      <c r="J49" s="3" t="s">
        <v>160</v>
      </c>
      <c r="K49" s="3" t="s">
        <v>371</v>
      </c>
      <c r="L49" s="3" t="s">
        <v>40</v>
      </c>
      <c r="M49" s="3" t="s">
        <v>984</v>
      </c>
      <c r="N49" s="3" t="s">
        <v>940</v>
      </c>
      <c r="O49" s="3" t="s">
        <v>379</v>
      </c>
      <c r="P49" s="42" t="s">
        <v>43</v>
      </c>
      <c r="Q49" s="42">
        <f>VLOOKUP(C49,[2]Export!$C$1:$J$1226,8,0)</f>
        <v>68900812</v>
      </c>
      <c r="R49" s="42" t="s">
        <v>931</v>
      </c>
      <c r="S49" s="2" t="s">
        <v>43</v>
      </c>
    </row>
    <row r="50" spans="3:19" x14ac:dyDescent="0.25">
      <c r="C50" s="3" t="s">
        <v>850</v>
      </c>
      <c r="D50" s="3" t="s">
        <v>851</v>
      </c>
      <c r="E50" s="3" t="s">
        <v>851</v>
      </c>
      <c r="F50" s="4">
        <v>6</v>
      </c>
      <c r="G50" s="3" t="str">
        <f>VLOOKUP(C50,JUNIO!C49:G405,5,0)</f>
        <v>Abierta</v>
      </c>
      <c r="H50" s="3" t="s">
        <v>46</v>
      </c>
      <c r="I50" s="3" t="s">
        <v>1030</v>
      </c>
      <c r="J50" s="3" t="s">
        <v>132</v>
      </c>
      <c r="K50" s="3" t="s">
        <v>138</v>
      </c>
      <c r="L50" s="3" t="s">
        <v>40</v>
      </c>
      <c r="M50" s="3" t="s">
        <v>1035</v>
      </c>
      <c r="N50" s="3" t="s">
        <v>850</v>
      </c>
      <c r="O50" s="3" t="s">
        <v>42</v>
      </c>
      <c r="P50" s="42" t="s">
        <v>43</v>
      </c>
      <c r="Q50" s="42">
        <f>VLOOKUP(C50,[2]Export!$C$1:$J$1226,8,0)</f>
        <v>51762405</v>
      </c>
      <c r="R50" s="42" t="s">
        <v>847</v>
      </c>
      <c r="S50" s="2" t="s">
        <v>43</v>
      </c>
    </row>
    <row r="51" spans="3:19" x14ac:dyDescent="0.25">
      <c r="C51" s="3" t="s">
        <v>474</v>
      </c>
      <c r="D51" s="3" t="s">
        <v>475</v>
      </c>
      <c r="E51" s="3" t="s">
        <v>475</v>
      </c>
      <c r="F51" s="4">
        <v>6</v>
      </c>
      <c r="G51" s="3" t="str">
        <f>VLOOKUP(C51,JUNIO!C50:G406,5,0)</f>
        <v>Abierta</v>
      </c>
      <c r="H51" s="3" t="s">
        <v>46</v>
      </c>
      <c r="I51" s="3" t="s">
        <v>1030</v>
      </c>
      <c r="J51" s="3" t="s">
        <v>466</v>
      </c>
      <c r="K51" s="3" t="s">
        <v>51</v>
      </c>
      <c r="L51" s="3" t="s">
        <v>40</v>
      </c>
      <c r="M51" s="3">
        <v>0</v>
      </c>
      <c r="N51" s="3" t="s">
        <v>474</v>
      </c>
      <c r="O51" s="3" t="s">
        <v>42</v>
      </c>
      <c r="P51" s="42" t="s">
        <v>43</v>
      </c>
      <c r="Q51" s="42">
        <f>VLOOKUP(C51,[2]Export!$C$1:$J$1226,8,0)</f>
        <v>70466373</v>
      </c>
      <c r="R51" s="42" t="s">
        <v>467</v>
      </c>
      <c r="S51" s="2" t="s">
        <v>43</v>
      </c>
    </row>
    <row r="52" spans="3:19" x14ac:dyDescent="0.25">
      <c r="C52" s="3" t="s">
        <v>555</v>
      </c>
      <c r="D52" s="3" t="s">
        <v>556</v>
      </c>
      <c r="E52" s="3" t="s">
        <v>556</v>
      </c>
      <c r="F52" s="4">
        <v>5</v>
      </c>
      <c r="G52" s="3" t="str">
        <f>VLOOKUP(C52,JUNIO!C51:G407,5,0)</f>
        <v>Abierta</v>
      </c>
      <c r="H52" s="3" t="s">
        <v>46</v>
      </c>
      <c r="I52" s="3" t="s">
        <v>1030</v>
      </c>
      <c r="J52" s="3" t="s">
        <v>331</v>
      </c>
      <c r="K52" s="3" t="s">
        <v>138</v>
      </c>
      <c r="L52" s="3" t="s">
        <v>40</v>
      </c>
      <c r="M52" s="3" t="s">
        <v>984</v>
      </c>
      <c r="N52" s="3" t="s">
        <v>555</v>
      </c>
      <c r="O52" s="3" t="s">
        <v>42</v>
      </c>
      <c r="P52" s="42" t="s">
        <v>43</v>
      </c>
      <c r="Q52" s="42">
        <f>VLOOKUP(C52,[2]Export!$C$1:$J$1226,8,0)</f>
        <v>44354605</v>
      </c>
      <c r="R52" s="42" t="s">
        <v>557</v>
      </c>
      <c r="S52" s="2" t="s">
        <v>43</v>
      </c>
    </row>
    <row r="53" spans="3:19" x14ac:dyDescent="0.25">
      <c r="C53" s="3" t="s">
        <v>745</v>
      </c>
      <c r="D53" s="3" t="s">
        <v>746</v>
      </c>
      <c r="E53" s="3" t="s">
        <v>746</v>
      </c>
      <c r="F53" s="4">
        <v>9</v>
      </c>
      <c r="G53" s="3" t="str">
        <f>VLOOKUP(C53,JUNIO!C52:G408,5,0)</f>
        <v>Abierta</v>
      </c>
      <c r="H53" s="3" t="s">
        <v>46</v>
      </c>
      <c r="I53" s="3" t="s">
        <v>1031</v>
      </c>
      <c r="J53" s="3" t="s">
        <v>84</v>
      </c>
      <c r="K53" s="3" t="s">
        <v>279</v>
      </c>
      <c r="L53" s="3" t="s">
        <v>55</v>
      </c>
      <c r="M53" s="3" t="s">
        <v>378</v>
      </c>
      <c r="N53" s="3" t="s">
        <v>745</v>
      </c>
      <c r="O53" s="3" t="s">
        <v>379</v>
      </c>
      <c r="P53" s="42" t="s">
        <v>43</v>
      </c>
      <c r="Q53" s="42">
        <f>VLOOKUP(C53,[2]Export!$C$1:$J$1226,8,0)</f>
        <v>81801964</v>
      </c>
      <c r="R53" s="42" t="s">
        <v>741</v>
      </c>
      <c r="S53" s="2" t="s">
        <v>43</v>
      </c>
    </row>
    <row r="54" spans="3:19" x14ac:dyDescent="0.25">
      <c r="C54" s="3" t="s">
        <v>656</v>
      </c>
      <c r="D54" s="3" t="s">
        <v>657</v>
      </c>
      <c r="E54" s="3" t="s">
        <v>658</v>
      </c>
      <c r="F54" s="4">
        <v>5</v>
      </c>
      <c r="G54" s="3" t="str">
        <f>VLOOKUP(C54,JUNIO!C53:G409,5,0)</f>
        <v>Abierta</v>
      </c>
      <c r="H54" s="3" t="s">
        <v>46</v>
      </c>
      <c r="I54" s="3" t="s">
        <v>1030</v>
      </c>
      <c r="J54" s="3" t="s">
        <v>248</v>
      </c>
      <c r="K54" s="3" t="s">
        <v>51</v>
      </c>
      <c r="L54" s="3" t="s">
        <v>40</v>
      </c>
      <c r="M54" s="3" t="s">
        <v>984</v>
      </c>
      <c r="N54" s="3" t="s">
        <v>656</v>
      </c>
      <c r="O54" s="3" t="s">
        <v>42</v>
      </c>
      <c r="P54" s="42" t="s">
        <v>43</v>
      </c>
      <c r="Q54" s="42">
        <f>VLOOKUP(C54,[2]Export!$C$1:$J$1226,8,0)</f>
        <v>37703656</v>
      </c>
      <c r="R54" s="42" t="s">
        <v>51</v>
      </c>
      <c r="S54" s="2" t="s">
        <v>43</v>
      </c>
    </row>
    <row r="55" spans="3:19" x14ac:dyDescent="0.25">
      <c r="C55" s="3" t="s">
        <v>523</v>
      </c>
      <c r="D55" s="3" t="s">
        <v>524</v>
      </c>
      <c r="E55" s="3" t="s">
        <v>524</v>
      </c>
      <c r="F55" s="4">
        <v>6</v>
      </c>
      <c r="G55" s="3" t="str">
        <f>VLOOKUP(C55,JUNIO!C54:G410,5,0)</f>
        <v>Abierta</v>
      </c>
      <c r="H55" s="3" t="s">
        <v>46</v>
      </c>
      <c r="I55" s="3" t="s">
        <v>1030</v>
      </c>
      <c r="J55" s="3" t="s">
        <v>100</v>
      </c>
      <c r="K55" s="3" t="s">
        <v>138</v>
      </c>
      <c r="L55" s="3" t="s">
        <v>40</v>
      </c>
      <c r="M55" s="3" t="s">
        <v>514</v>
      </c>
      <c r="N55" s="3" t="s">
        <v>523</v>
      </c>
      <c r="O55" s="3" t="s">
        <v>42</v>
      </c>
      <c r="P55" s="42" t="s">
        <v>43</v>
      </c>
      <c r="Q55" s="42">
        <f>VLOOKUP(C55,[2]Export!$C$1:$J$1226,8,0)</f>
        <v>57043289</v>
      </c>
      <c r="R55" s="42" t="s">
        <v>515</v>
      </c>
      <c r="S55" s="2" t="s">
        <v>43</v>
      </c>
    </row>
    <row r="56" spans="3:19" x14ac:dyDescent="0.25">
      <c r="C56" s="3" t="s">
        <v>476</v>
      </c>
      <c r="D56" s="3" t="s">
        <v>477</v>
      </c>
      <c r="E56" s="3" t="s">
        <v>477</v>
      </c>
      <c r="F56" s="4">
        <v>5</v>
      </c>
      <c r="G56" s="3" t="str">
        <f>VLOOKUP(C56,JUNIO!C55:G411,5,0)</f>
        <v>Abierta</v>
      </c>
      <c r="H56" s="3" t="s">
        <v>46</v>
      </c>
      <c r="I56" s="3" t="s">
        <v>1030</v>
      </c>
      <c r="J56" s="3" t="s">
        <v>466</v>
      </c>
      <c r="K56" s="3" t="s">
        <v>51</v>
      </c>
      <c r="L56" s="3" t="s">
        <v>40</v>
      </c>
      <c r="M56" s="3" t="s">
        <v>1035</v>
      </c>
      <c r="N56" s="3" t="s">
        <v>476</v>
      </c>
      <c r="O56" s="3" t="s">
        <v>42</v>
      </c>
      <c r="P56" s="42" t="s">
        <v>43</v>
      </c>
      <c r="Q56" s="42">
        <f>VLOOKUP(C56,[2]Export!$C$1:$J$1226,8,0)</f>
        <v>65241207</v>
      </c>
      <c r="R56" s="42" t="s">
        <v>467</v>
      </c>
      <c r="S56" s="2" t="s">
        <v>43</v>
      </c>
    </row>
    <row r="57" spans="3:19" x14ac:dyDescent="0.25">
      <c r="C57" s="3" t="s">
        <v>659</v>
      </c>
      <c r="D57" s="3" t="s">
        <v>660</v>
      </c>
      <c r="E57" s="3" t="s">
        <v>661</v>
      </c>
      <c r="F57" s="4">
        <v>6</v>
      </c>
      <c r="G57" s="3" t="str">
        <f>VLOOKUP(C57,JUNIO!C56:G412,5,0)</f>
        <v>Abierta</v>
      </c>
      <c r="H57" s="3" t="s">
        <v>46</v>
      </c>
      <c r="I57" s="3" t="s">
        <v>1030</v>
      </c>
      <c r="J57" s="3" t="s">
        <v>248</v>
      </c>
      <c r="K57" s="3" t="s">
        <v>51</v>
      </c>
      <c r="L57" s="3" t="s">
        <v>40</v>
      </c>
      <c r="M57" s="3" t="s">
        <v>984</v>
      </c>
      <c r="N57" s="3" t="s">
        <v>659</v>
      </c>
      <c r="O57" s="3" t="s">
        <v>42</v>
      </c>
      <c r="P57" s="42" t="s">
        <v>43</v>
      </c>
      <c r="Q57" s="42">
        <f>VLOOKUP(C57,[2]Export!$C$1:$J$1226,8,0)</f>
        <v>44117569</v>
      </c>
      <c r="R57" s="42" t="s">
        <v>51</v>
      </c>
      <c r="S57" s="2" t="s">
        <v>43</v>
      </c>
    </row>
    <row r="58" spans="3:19" x14ac:dyDescent="0.25">
      <c r="C58" s="3" t="s">
        <v>644</v>
      </c>
      <c r="D58" s="3" t="s">
        <v>645</v>
      </c>
      <c r="E58" s="3" t="s">
        <v>645</v>
      </c>
      <c r="F58" s="4">
        <v>5.07</v>
      </c>
      <c r="G58" s="3" t="str">
        <f>VLOOKUP(C58,JUNIO!C57:G413,5,0)</f>
        <v>Abierta</v>
      </c>
      <c r="H58" s="3" t="s">
        <v>81</v>
      </c>
      <c r="I58" s="3" t="s">
        <v>1030</v>
      </c>
      <c r="J58" s="3" t="s">
        <v>50</v>
      </c>
      <c r="K58" s="3" t="s">
        <v>51</v>
      </c>
      <c r="L58" s="3" t="s">
        <v>40</v>
      </c>
      <c r="M58" s="3" t="s">
        <v>514</v>
      </c>
      <c r="N58" s="3" t="s">
        <v>644</v>
      </c>
      <c r="O58" s="3" t="s">
        <v>42</v>
      </c>
      <c r="P58" s="42" t="s">
        <v>43</v>
      </c>
      <c r="Q58" s="42">
        <f>VLOOKUP(C58,[2]Export!$C$1:$J$1226,8,0)</f>
        <v>72970028</v>
      </c>
      <c r="R58" s="42" t="s">
        <v>597</v>
      </c>
      <c r="S58" s="2" t="s">
        <v>43</v>
      </c>
    </row>
    <row r="59" spans="3:19" x14ac:dyDescent="0.25">
      <c r="C59" s="3" t="s">
        <v>398</v>
      </c>
      <c r="D59" s="3" t="s">
        <v>399</v>
      </c>
      <c r="E59" s="3" t="s">
        <v>399</v>
      </c>
      <c r="F59" s="4">
        <v>5</v>
      </c>
      <c r="G59" s="3" t="str">
        <f>VLOOKUP(C59,JUNIO!C58:G414,5,0)</f>
        <v>Abierta</v>
      </c>
      <c r="H59" s="3" t="s">
        <v>46</v>
      </c>
      <c r="I59" s="3" t="s">
        <v>1031</v>
      </c>
      <c r="J59" s="3" t="s">
        <v>63</v>
      </c>
      <c r="K59" s="3" t="s">
        <v>138</v>
      </c>
      <c r="L59" s="3" t="s">
        <v>40</v>
      </c>
      <c r="M59" s="3" t="s">
        <v>378</v>
      </c>
      <c r="N59" s="3" t="s">
        <v>398</v>
      </c>
      <c r="O59" s="3" t="s">
        <v>42</v>
      </c>
      <c r="P59" s="42" t="s">
        <v>43</v>
      </c>
      <c r="Q59" s="42">
        <f>VLOOKUP(C59,[2]Export!$C$1:$J$1226,8,0)</f>
        <v>50141503</v>
      </c>
      <c r="R59" s="42" t="s">
        <v>380</v>
      </c>
      <c r="S59" s="2" t="s">
        <v>43</v>
      </c>
    </row>
    <row r="60" spans="3:19" x14ac:dyDescent="0.25">
      <c r="C60" s="3" t="s">
        <v>634</v>
      </c>
      <c r="D60" s="3" t="s">
        <v>635</v>
      </c>
      <c r="E60" s="3" t="s">
        <v>635</v>
      </c>
      <c r="F60" s="4">
        <v>6</v>
      </c>
      <c r="G60" s="3" t="str">
        <f>VLOOKUP(C60,JUNIO!C59:G415,5,0)</f>
        <v>Abierta</v>
      </c>
      <c r="H60" s="3" t="s">
        <v>46</v>
      </c>
      <c r="I60" s="3" t="s">
        <v>1030</v>
      </c>
      <c r="J60" s="3" t="s">
        <v>50</v>
      </c>
      <c r="K60" s="3" t="s">
        <v>59</v>
      </c>
      <c r="L60" s="3" t="s">
        <v>40</v>
      </c>
      <c r="M60" s="3" t="s">
        <v>514</v>
      </c>
      <c r="N60" s="3" t="s">
        <v>634</v>
      </c>
      <c r="O60" s="3" t="s">
        <v>42</v>
      </c>
      <c r="P60" s="42" t="s">
        <v>43</v>
      </c>
      <c r="Q60" s="42">
        <f>VLOOKUP(C60,[2]Export!$C$1:$J$1226,8,0)</f>
        <v>63258468</v>
      </c>
      <c r="R60" s="42" t="s">
        <v>597</v>
      </c>
      <c r="S60" s="2" t="s">
        <v>43</v>
      </c>
    </row>
    <row r="61" spans="3:19" x14ac:dyDescent="0.25">
      <c r="C61" s="3" t="s">
        <v>558</v>
      </c>
      <c r="D61" s="3" t="s">
        <v>559</v>
      </c>
      <c r="E61" s="3" t="s">
        <v>560</v>
      </c>
      <c r="F61" s="4">
        <v>6</v>
      </c>
      <c r="G61" s="3" t="str">
        <f>VLOOKUP(C61,JUNIO!C60:G416,5,0)</f>
        <v>Abierta</v>
      </c>
      <c r="H61" s="3" t="s">
        <v>46</v>
      </c>
      <c r="I61" s="3" t="s">
        <v>1030</v>
      </c>
      <c r="J61" s="3" t="s">
        <v>331</v>
      </c>
      <c r="K61" s="3" t="s">
        <v>138</v>
      </c>
      <c r="L61" s="3" t="s">
        <v>40</v>
      </c>
      <c r="M61" s="3" t="s">
        <v>984</v>
      </c>
      <c r="N61" s="3" t="s">
        <v>558</v>
      </c>
      <c r="O61" s="3" t="s">
        <v>42</v>
      </c>
      <c r="P61" s="42" t="s">
        <v>43</v>
      </c>
      <c r="Q61" s="42">
        <f>VLOOKUP(C61,[2]Export!$C$1:$J$1226,8,0)</f>
        <v>58573870</v>
      </c>
      <c r="R61" s="42" t="s">
        <v>557</v>
      </c>
      <c r="S61" s="2" t="s">
        <v>43</v>
      </c>
    </row>
    <row r="62" spans="3:19" x14ac:dyDescent="0.25">
      <c r="C62" s="3" t="s">
        <v>561</v>
      </c>
      <c r="D62" s="3" t="s">
        <v>562</v>
      </c>
      <c r="E62" s="3" t="s">
        <v>563</v>
      </c>
      <c r="F62" s="4">
        <v>6</v>
      </c>
      <c r="G62" s="3" t="str">
        <f>VLOOKUP(C62,JUNIO!C61:G417,5,0)</f>
        <v>Abierta</v>
      </c>
      <c r="H62" s="3" t="s">
        <v>46</v>
      </c>
      <c r="I62" s="3" t="s">
        <v>1030</v>
      </c>
      <c r="J62" s="3" t="s">
        <v>331</v>
      </c>
      <c r="K62" s="3" t="s">
        <v>138</v>
      </c>
      <c r="L62" s="3" t="s">
        <v>40</v>
      </c>
      <c r="M62" s="3" t="s">
        <v>984</v>
      </c>
      <c r="N62" s="3" t="s">
        <v>561</v>
      </c>
      <c r="O62" s="3" t="s">
        <v>42</v>
      </c>
      <c r="P62" s="42" t="s">
        <v>43</v>
      </c>
      <c r="Q62" s="42">
        <f>VLOOKUP(C62,[2]Export!$C$1:$J$1226,8,0)</f>
        <v>38471129</v>
      </c>
      <c r="R62" s="42" t="s">
        <v>557</v>
      </c>
      <c r="S62" s="2" t="s">
        <v>43</v>
      </c>
    </row>
    <row r="63" spans="3:19" x14ac:dyDescent="0.25">
      <c r="C63" s="3" t="s">
        <v>478</v>
      </c>
      <c r="D63" s="3" t="s">
        <v>479</v>
      </c>
      <c r="E63" s="3" t="s">
        <v>479</v>
      </c>
      <c r="F63" s="4">
        <v>5</v>
      </c>
      <c r="G63" s="3" t="str">
        <f>VLOOKUP(C63,JUNIO!C62:G418,5,0)</f>
        <v>Abierta</v>
      </c>
      <c r="H63" s="3" t="s">
        <v>46</v>
      </c>
      <c r="I63" s="3" t="s">
        <v>1030</v>
      </c>
      <c r="J63" s="3" t="s">
        <v>466</v>
      </c>
      <c r="K63" s="3" t="s">
        <v>51</v>
      </c>
      <c r="L63" s="3" t="s">
        <v>40</v>
      </c>
      <c r="M63" s="3" t="s">
        <v>1035</v>
      </c>
      <c r="N63" s="3" t="s">
        <v>478</v>
      </c>
      <c r="O63" s="3" t="s">
        <v>42</v>
      </c>
      <c r="P63" s="42" t="s">
        <v>43</v>
      </c>
      <c r="Q63" s="42">
        <f>VLOOKUP(C63,[2]Export!$C$1:$J$1226,8,0)</f>
        <v>52337502</v>
      </c>
      <c r="R63" s="42" t="s">
        <v>467</v>
      </c>
      <c r="S63" s="2" t="s">
        <v>43</v>
      </c>
    </row>
    <row r="64" spans="3:19" x14ac:dyDescent="0.25">
      <c r="C64" s="3" t="s">
        <v>852</v>
      </c>
      <c r="D64" s="3" t="s">
        <v>853</v>
      </c>
      <c r="E64" s="3" t="s">
        <v>853</v>
      </c>
      <c r="F64" s="4">
        <v>5</v>
      </c>
      <c r="G64" s="3" t="str">
        <f>VLOOKUP(C64,JUNIO!C63:G419,5,0)</f>
        <v>Abierta</v>
      </c>
      <c r="H64" s="3" t="s">
        <v>46</v>
      </c>
      <c r="I64" s="3" t="s">
        <v>1030</v>
      </c>
      <c r="J64" s="3" t="s">
        <v>132</v>
      </c>
      <c r="K64" s="3" t="s">
        <v>138</v>
      </c>
      <c r="L64" s="3" t="s">
        <v>40</v>
      </c>
      <c r="M64" s="3" t="s">
        <v>1035</v>
      </c>
      <c r="N64" s="3" t="s">
        <v>852</v>
      </c>
      <c r="O64" s="3" t="s">
        <v>42</v>
      </c>
      <c r="P64" s="42" t="s">
        <v>43</v>
      </c>
      <c r="Q64" s="42">
        <f>VLOOKUP(C64,[2]Export!$C$1:$J$1226,8,0)</f>
        <v>42782407</v>
      </c>
      <c r="R64" s="42" t="s">
        <v>847</v>
      </c>
      <c r="S64" s="2" t="s">
        <v>43</v>
      </c>
    </row>
    <row r="65" spans="3:19" x14ac:dyDescent="0.25">
      <c r="C65" s="3" t="s">
        <v>426</v>
      </c>
      <c r="D65" s="3" t="s">
        <v>427</v>
      </c>
      <c r="E65" s="3" t="s">
        <v>428</v>
      </c>
      <c r="F65" s="4">
        <v>5</v>
      </c>
      <c r="G65" s="3" t="str">
        <f>VLOOKUP(C65,JUNIO!C64:G420,5,0)</f>
        <v>Abierta</v>
      </c>
      <c r="H65" s="3" t="s">
        <v>46</v>
      </c>
      <c r="I65" s="3" t="s">
        <v>1030</v>
      </c>
      <c r="J65" s="3" t="s">
        <v>94</v>
      </c>
      <c r="K65" s="3" t="s">
        <v>64</v>
      </c>
      <c r="L65" s="3" t="s">
        <v>40</v>
      </c>
      <c r="M65" s="3" t="s">
        <v>1035</v>
      </c>
      <c r="N65" s="3" t="s">
        <v>426</v>
      </c>
      <c r="O65" s="3" t="s">
        <v>42</v>
      </c>
      <c r="P65" s="42" t="s">
        <v>43</v>
      </c>
      <c r="Q65" s="42">
        <f>VLOOKUP(C65,[2]Export!$C$1:$J$1226,8,0)</f>
        <v>44754820</v>
      </c>
      <c r="R65" s="42" t="s">
        <v>423</v>
      </c>
      <c r="S65" s="2" t="s">
        <v>43</v>
      </c>
    </row>
    <row r="66" spans="3:19" x14ac:dyDescent="0.25">
      <c r="C66" s="3" t="s">
        <v>769</v>
      </c>
      <c r="D66" s="3" t="s">
        <v>771</v>
      </c>
      <c r="E66" s="3" t="s">
        <v>771</v>
      </c>
      <c r="F66" s="4">
        <v>6</v>
      </c>
      <c r="G66" s="3" t="str">
        <f>VLOOKUP(C66,JUNIO!C65:G421,5,0)</f>
        <v>Abierta</v>
      </c>
      <c r="H66" s="3" t="s">
        <v>46</v>
      </c>
      <c r="I66" s="3" t="s">
        <v>1031</v>
      </c>
      <c r="J66" s="3" t="s">
        <v>89</v>
      </c>
      <c r="K66" s="3" t="s">
        <v>109</v>
      </c>
      <c r="L66" s="3" t="s">
        <v>91</v>
      </c>
      <c r="M66" s="3" t="s">
        <v>378</v>
      </c>
      <c r="N66" s="3" t="s">
        <v>769</v>
      </c>
      <c r="O66" s="3" t="s">
        <v>42</v>
      </c>
      <c r="P66" s="42" t="s">
        <v>440</v>
      </c>
      <c r="Q66" s="42">
        <f>VLOOKUP(C66,[2]Export!$C$1:$J$1226,8,0)</f>
        <v>50502995</v>
      </c>
      <c r="R66" s="42" t="s">
        <v>772</v>
      </c>
      <c r="S66" s="2" t="s">
        <v>43</v>
      </c>
    </row>
    <row r="67" spans="3:19" x14ac:dyDescent="0.25">
      <c r="C67" s="3" t="s">
        <v>942</v>
      </c>
      <c r="D67" s="3" t="s">
        <v>944</v>
      </c>
      <c r="E67" s="3" t="s">
        <v>944</v>
      </c>
      <c r="F67" s="4">
        <v>6.9</v>
      </c>
      <c r="G67" s="3" t="str">
        <f>VLOOKUP(C67,JUNIO!C66:G422,5,0)</f>
        <v>Abierta</v>
      </c>
      <c r="H67" s="3" t="s">
        <v>46</v>
      </c>
      <c r="I67" s="3" t="s">
        <v>1030</v>
      </c>
      <c r="J67" s="3" t="s">
        <v>160</v>
      </c>
      <c r="K67" s="3" t="s">
        <v>371</v>
      </c>
      <c r="L67" s="3" t="s">
        <v>40</v>
      </c>
      <c r="M67" s="3" t="s">
        <v>984</v>
      </c>
      <c r="N67" s="3" t="s">
        <v>942</v>
      </c>
      <c r="O67" s="3" t="s">
        <v>42</v>
      </c>
      <c r="P67" s="42" t="s">
        <v>43</v>
      </c>
      <c r="Q67" s="42">
        <f>VLOOKUP(C67,[2]Export!$C$1:$J$1226,8,0)</f>
        <v>61457805</v>
      </c>
      <c r="R67" s="42" t="s">
        <v>931</v>
      </c>
      <c r="S67" s="2" t="s">
        <v>43</v>
      </c>
    </row>
    <row r="68" spans="3:19" x14ac:dyDescent="0.25">
      <c r="C68" s="3" t="s">
        <v>525</v>
      </c>
      <c r="D68" s="3" t="s">
        <v>526</v>
      </c>
      <c r="E68" s="3" t="s">
        <v>527</v>
      </c>
      <c r="F68" s="44">
        <f>5.9+0.68</f>
        <v>6.58</v>
      </c>
      <c r="G68" s="3" t="str">
        <f>VLOOKUP(C68,JUNIO!C67:G423,5,0)</f>
        <v>Abierta</v>
      </c>
      <c r="H68" s="3" t="s">
        <v>46</v>
      </c>
      <c r="I68" s="3" t="s">
        <v>1030</v>
      </c>
      <c r="J68" s="3" t="s">
        <v>100</v>
      </c>
      <c r="K68" s="3" t="s">
        <v>138</v>
      </c>
      <c r="L68" s="3" t="s">
        <v>40</v>
      </c>
      <c r="M68" s="3" t="s">
        <v>514</v>
      </c>
      <c r="N68" s="3" t="s">
        <v>525</v>
      </c>
      <c r="O68" s="3" t="s">
        <v>42</v>
      </c>
      <c r="P68" s="42" t="s">
        <v>440</v>
      </c>
      <c r="Q68" s="42">
        <f>VLOOKUP(C68,[2]Export!$C$1:$J$1226,8,0)</f>
        <v>56372402</v>
      </c>
      <c r="R68" s="42" t="s">
        <v>515</v>
      </c>
      <c r="S68" s="2" t="s">
        <v>43</v>
      </c>
    </row>
    <row r="69" spans="3:19" x14ac:dyDescent="0.25">
      <c r="C69" s="3" t="s">
        <v>48</v>
      </c>
      <c r="D69" s="3" t="s">
        <v>49</v>
      </c>
      <c r="E69" s="3" t="s">
        <v>49</v>
      </c>
      <c r="F69" s="4" t="s">
        <v>36</v>
      </c>
      <c r="G69" s="3" t="str">
        <f>VLOOKUP(C69,JUNIO!C68:G424,5,0)</f>
        <v>CIERRE DEFINITIVO</v>
      </c>
      <c r="H69" s="3" t="s">
        <v>38</v>
      </c>
      <c r="I69" s="3" t="s">
        <v>1030</v>
      </c>
      <c r="J69" s="3" t="s">
        <v>50</v>
      </c>
      <c r="K69" s="3" t="s">
        <v>51</v>
      </c>
      <c r="L69" s="3" t="s">
        <v>40</v>
      </c>
      <c r="M69" s="3">
        <v>0</v>
      </c>
      <c r="N69" s="3" t="s">
        <v>48</v>
      </c>
      <c r="O69" s="3" t="s">
        <v>42</v>
      </c>
      <c r="P69" s="42" t="s">
        <v>43</v>
      </c>
      <c r="Q69" s="42"/>
      <c r="R69" s="42">
        <v>0</v>
      </c>
      <c r="S69" s="2" t="s">
        <v>43</v>
      </c>
    </row>
    <row r="70" spans="3:19" x14ac:dyDescent="0.25">
      <c r="C70" s="3" t="s">
        <v>52</v>
      </c>
      <c r="D70" s="3" t="s">
        <v>53</v>
      </c>
      <c r="E70" s="3" t="s">
        <v>53</v>
      </c>
      <c r="F70" s="4" t="s">
        <v>36</v>
      </c>
      <c r="G70" s="3" t="str">
        <f>VLOOKUP(C70,JUNIO!C69:G425,5,0)</f>
        <v>CIERRE TEMPORAL</v>
      </c>
      <c r="H70" s="3" t="s">
        <v>38</v>
      </c>
      <c r="I70" s="3" t="s">
        <v>1030</v>
      </c>
      <c r="J70" s="3">
        <v>0</v>
      </c>
      <c r="K70" s="3" t="s">
        <v>54</v>
      </c>
      <c r="L70" s="3" t="s">
        <v>55</v>
      </c>
      <c r="M70" s="3">
        <v>0</v>
      </c>
      <c r="N70" s="3" t="s">
        <v>52</v>
      </c>
      <c r="O70" s="3" t="s">
        <v>42</v>
      </c>
      <c r="P70" s="42" t="s">
        <v>43</v>
      </c>
      <c r="Q70" s="42"/>
      <c r="R70" s="42">
        <v>0</v>
      </c>
      <c r="S70" s="2" t="s">
        <v>43</v>
      </c>
    </row>
    <row r="71" spans="3:19" x14ac:dyDescent="0.25">
      <c r="C71" s="3" t="s">
        <v>528</v>
      </c>
      <c r="D71" s="3" t="s">
        <v>530</v>
      </c>
      <c r="E71" s="3" t="s">
        <v>530</v>
      </c>
      <c r="F71" s="44">
        <f>5.9+0.68</f>
        <v>6.58</v>
      </c>
      <c r="G71" s="3" t="str">
        <f>VLOOKUP(C71,JUNIO!C70:G426,5,0)</f>
        <v>Abierta</v>
      </c>
      <c r="H71" s="3" t="s">
        <v>46</v>
      </c>
      <c r="I71" s="3" t="s">
        <v>1030</v>
      </c>
      <c r="J71" s="3" t="s">
        <v>100</v>
      </c>
      <c r="K71" s="3" t="s">
        <v>64</v>
      </c>
      <c r="L71" s="3" t="s">
        <v>40</v>
      </c>
      <c r="M71" s="3" t="s">
        <v>514</v>
      </c>
      <c r="N71" s="3" t="s">
        <v>528</v>
      </c>
      <c r="O71" s="3" t="s">
        <v>42</v>
      </c>
      <c r="P71" s="42" t="s">
        <v>440</v>
      </c>
      <c r="Q71" s="42">
        <f>VLOOKUP(C71,[2]Export!$C$1:$J$1226,8,0)</f>
        <v>65766095</v>
      </c>
      <c r="R71" s="42" t="s">
        <v>515</v>
      </c>
      <c r="S71" s="2" t="s">
        <v>43</v>
      </c>
    </row>
    <row r="72" spans="3:19" x14ac:dyDescent="0.25">
      <c r="C72" s="3" t="s">
        <v>854</v>
      </c>
      <c r="D72" s="3" t="s">
        <v>982</v>
      </c>
      <c r="E72" s="3" t="s">
        <v>990</v>
      </c>
      <c r="F72" s="4">
        <v>6.45</v>
      </c>
      <c r="G72" s="3" t="str">
        <f>VLOOKUP(C72,JUNIO!C71:G427,5,0)</f>
        <v>Abierta</v>
      </c>
      <c r="H72" s="3" t="s">
        <v>46</v>
      </c>
      <c r="I72" s="3" t="s">
        <v>1030</v>
      </c>
      <c r="J72" s="3" t="s">
        <v>132</v>
      </c>
      <c r="K72" s="3" t="s">
        <v>856</v>
      </c>
      <c r="L72" s="3" t="s">
        <v>40</v>
      </c>
      <c r="M72" s="3" t="s">
        <v>1035</v>
      </c>
      <c r="N72" s="3" t="s">
        <v>854</v>
      </c>
      <c r="O72" s="3" t="s">
        <v>42</v>
      </c>
      <c r="P72" s="42" t="s">
        <v>440</v>
      </c>
      <c r="Q72" s="42">
        <f>VLOOKUP(C72,[2]Export!$C$1:$J$1226,8,0)</f>
        <v>41213127</v>
      </c>
      <c r="R72" s="42" t="s">
        <v>847</v>
      </c>
      <c r="S72" s="2" t="s">
        <v>43</v>
      </c>
    </row>
    <row r="73" spans="3:19" x14ac:dyDescent="0.25">
      <c r="C73" s="3" t="s">
        <v>531</v>
      </c>
      <c r="D73" s="3" t="s">
        <v>533</v>
      </c>
      <c r="E73" s="3" t="s">
        <v>991</v>
      </c>
      <c r="F73" s="4">
        <v>5.45</v>
      </c>
      <c r="G73" s="3" t="str">
        <f>VLOOKUP(C73,JUNIO!C72:G428,5,0)</f>
        <v>Abierta</v>
      </c>
      <c r="H73" s="3" t="s">
        <v>46</v>
      </c>
      <c r="I73" s="3" t="s">
        <v>1030</v>
      </c>
      <c r="J73" s="3" t="s">
        <v>100</v>
      </c>
      <c r="K73" s="3" t="s">
        <v>138</v>
      </c>
      <c r="L73" s="3" t="s">
        <v>40</v>
      </c>
      <c r="M73" s="3" t="s">
        <v>514</v>
      </c>
      <c r="N73" s="3" t="s">
        <v>531</v>
      </c>
      <c r="O73" s="3" t="s">
        <v>42</v>
      </c>
      <c r="P73" s="42" t="s">
        <v>440</v>
      </c>
      <c r="Q73" s="42">
        <f>VLOOKUP(C73,[2]Export!$C$1:$J$1226,8,0)</f>
        <v>38857437</v>
      </c>
      <c r="R73" s="42" t="s">
        <v>515</v>
      </c>
      <c r="S73" s="2" t="s">
        <v>43</v>
      </c>
    </row>
    <row r="74" spans="3:19" x14ac:dyDescent="0.25">
      <c r="C74" s="3" t="s">
        <v>945</v>
      </c>
      <c r="D74" s="3" t="s">
        <v>946</v>
      </c>
      <c r="E74" s="3" t="s">
        <v>947</v>
      </c>
      <c r="F74" s="4">
        <v>5.9</v>
      </c>
      <c r="G74" s="3" t="str">
        <f>VLOOKUP(C74,JUNIO!C73:G429,5,0)</f>
        <v>Abierta</v>
      </c>
      <c r="H74" s="3" t="s">
        <v>46</v>
      </c>
      <c r="I74" s="3" t="s">
        <v>1030</v>
      </c>
      <c r="J74" s="3" t="s">
        <v>160</v>
      </c>
      <c r="K74" s="3" t="s">
        <v>371</v>
      </c>
      <c r="L74" s="3" t="s">
        <v>40</v>
      </c>
      <c r="M74" s="3" t="s">
        <v>984</v>
      </c>
      <c r="N74" s="3" t="s">
        <v>945</v>
      </c>
      <c r="O74" s="3" t="s">
        <v>42</v>
      </c>
      <c r="P74" s="42" t="s">
        <v>440</v>
      </c>
      <c r="Q74" s="42">
        <f>VLOOKUP(C74,[2]Export!$C$1:$J$1226,8,0)</f>
        <v>41456510</v>
      </c>
      <c r="R74" s="42" t="s">
        <v>931</v>
      </c>
      <c r="S74" s="2" t="s">
        <v>43</v>
      </c>
    </row>
    <row r="75" spans="3:19" x14ac:dyDescent="0.25">
      <c r="C75" s="3" t="s">
        <v>773</v>
      </c>
      <c r="D75" s="3" t="s">
        <v>775</v>
      </c>
      <c r="E75" s="3" t="s">
        <v>775</v>
      </c>
      <c r="F75" s="4">
        <v>6.45</v>
      </c>
      <c r="G75" s="3" t="str">
        <f>VLOOKUP(C75,JUNIO!C74:G430,5,0)</f>
        <v>Abierta</v>
      </c>
      <c r="H75" s="3" t="s">
        <v>46</v>
      </c>
      <c r="I75" s="3" t="s">
        <v>1031</v>
      </c>
      <c r="J75" s="3" t="s">
        <v>89</v>
      </c>
      <c r="K75" s="3" t="s">
        <v>776</v>
      </c>
      <c r="L75" s="3" t="s">
        <v>91</v>
      </c>
      <c r="M75" s="3" t="s">
        <v>378</v>
      </c>
      <c r="N75" s="3" t="s">
        <v>773</v>
      </c>
      <c r="O75" s="3" t="s">
        <v>42</v>
      </c>
      <c r="P75" s="42" t="s">
        <v>440</v>
      </c>
      <c r="Q75" s="42">
        <f>VLOOKUP(C75,[2]Export!$C$1:$J$1226,8,0)</f>
        <v>43064010</v>
      </c>
      <c r="R75" s="42" t="s">
        <v>772</v>
      </c>
      <c r="S75" s="2" t="s">
        <v>43</v>
      </c>
    </row>
    <row r="76" spans="3:19" x14ac:dyDescent="0.25">
      <c r="C76" s="3" t="s">
        <v>662</v>
      </c>
      <c r="D76" s="3" t="s">
        <v>664</v>
      </c>
      <c r="E76" s="3" t="s">
        <v>992</v>
      </c>
      <c r="F76" s="4">
        <v>5.9</v>
      </c>
      <c r="G76" s="3" t="str">
        <f>VLOOKUP(C76,JUNIO!C75:G431,5,0)</f>
        <v>TRANSFORMACION</v>
      </c>
      <c r="H76" s="3" t="s">
        <v>46</v>
      </c>
      <c r="I76" s="3" t="s">
        <v>1030</v>
      </c>
      <c r="J76" s="3" t="s">
        <v>248</v>
      </c>
      <c r="K76" s="3" t="s">
        <v>51</v>
      </c>
      <c r="L76" s="3" t="s">
        <v>40</v>
      </c>
      <c r="M76" s="3" t="s">
        <v>984</v>
      </c>
      <c r="N76" s="3" t="s">
        <v>662</v>
      </c>
      <c r="O76" s="3" t="s">
        <v>42</v>
      </c>
      <c r="P76" s="42" t="s">
        <v>43</v>
      </c>
      <c r="Q76" s="42">
        <f>VLOOKUP(C76,[2]Export!$C$1:$J$1226,8,0)</f>
        <v>39349070</v>
      </c>
      <c r="R76" s="42" t="s">
        <v>51</v>
      </c>
      <c r="S76" s="2" t="s">
        <v>43</v>
      </c>
    </row>
    <row r="77" spans="3:19" x14ac:dyDescent="0.25">
      <c r="C77" s="3" t="s">
        <v>56</v>
      </c>
      <c r="D77" s="3" t="s">
        <v>57</v>
      </c>
      <c r="E77" s="3" t="s">
        <v>57</v>
      </c>
      <c r="F77" s="4" t="s">
        <v>36</v>
      </c>
      <c r="G77" s="3" t="str">
        <f>VLOOKUP(C77,JUNIO!C76:G432,5,0)</f>
        <v>CIERRE DEFINITIVO</v>
      </c>
      <c r="H77" s="3" t="s">
        <v>38</v>
      </c>
      <c r="I77" s="3" t="s">
        <v>1030</v>
      </c>
      <c r="J77" s="3" t="s">
        <v>58</v>
      </c>
      <c r="K77" s="3" t="s">
        <v>59</v>
      </c>
      <c r="L77" s="3" t="s">
        <v>40</v>
      </c>
      <c r="M77" s="3">
        <v>0</v>
      </c>
      <c r="N77" s="3" t="s">
        <v>56</v>
      </c>
      <c r="O77" s="3" t="s">
        <v>42</v>
      </c>
      <c r="P77" s="42" t="s">
        <v>43</v>
      </c>
      <c r="Q77" s="42"/>
      <c r="R77" s="42">
        <v>0</v>
      </c>
      <c r="S77" s="2" t="s">
        <v>43</v>
      </c>
    </row>
    <row r="78" spans="3:19" x14ac:dyDescent="0.25">
      <c r="C78" s="3" t="s">
        <v>534</v>
      </c>
      <c r="D78" s="3" t="s">
        <v>535</v>
      </c>
      <c r="E78" s="3" t="s">
        <v>536</v>
      </c>
      <c r="F78" s="4">
        <v>5.45</v>
      </c>
      <c r="G78" s="3" t="str">
        <f>VLOOKUP(C78,JUNIO!C77:G433,5,0)</f>
        <v>Abierta</v>
      </c>
      <c r="H78" s="3" t="s">
        <v>46</v>
      </c>
      <c r="I78" s="3" t="s">
        <v>1030</v>
      </c>
      <c r="J78" s="3" t="s">
        <v>100</v>
      </c>
      <c r="K78" s="3" t="s">
        <v>138</v>
      </c>
      <c r="L78" s="3" t="s">
        <v>40</v>
      </c>
      <c r="M78" s="3" t="s">
        <v>514</v>
      </c>
      <c r="N78" s="3" t="s">
        <v>534</v>
      </c>
      <c r="O78" s="3" t="s">
        <v>42</v>
      </c>
      <c r="P78" s="42" t="s">
        <v>43</v>
      </c>
      <c r="Q78" s="42">
        <f>VLOOKUP(C78,[2]Export!$C$1:$J$1226,8,0)</f>
        <v>42034927</v>
      </c>
      <c r="R78" s="42" t="s">
        <v>515</v>
      </c>
      <c r="S78" s="2" t="s">
        <v>43</v>
      </c>
    </row>
    <row r="79" spans="3:19" x14ac:dyDescent="0.25">
      <c r="C79" s="3" t="s">
        <v>636</v>
      </c>
      <c r="D79" s="3" t="s">
        <v>637</v>
      </c>
      <c r="E79" s="3" t="s">
        <v>638</v>
      </c>
      <c r="F79" s="4">
        <v>6</v>
      </c>
      <c r="G79" s="3" t="str">
        <f>VLOOKUP(C79,JUNIO!C78:G434,5,0)</f>
        <v>Abierta</v>
      </c>
      <c r="H79" s="3" t="s">
        <v>46</v>
      </c>
      <c r="I79" s="3" t="s">
        <v>1030</v>
      </c>
      <c r="J79" s="3" t="s">
        <v>50</v>
      </c>
      <c r="K79" s="3" t="s">
        <v>315</v>
      </c>
      <c r="L79" s="3" t="s">
        <v>40</v>
      </c>
      <c r="M79" s="3" t="s">
        <v>514</v>
      </c>
      <c r="N79" s="3" t="s">
        <v>636</v>
      </c>
      <c r="O79" s="3" t="s">
        <v>42</v>
      </c>
      <c r="P79" s="42" t="s">
        <v>43</v>
      </c>
      <c r="Q79" s="42">
        <f>VLOOKUP(C79,[2]Export!$C$1:$J$1226,8,0)</f>
        <v>82489276</v>
      </c>
      <c r="R79" s="42" t="s">
        <v>597</v>
      </c>
      <c r="S79" s="2" t="s">
        <v>43</v>
      </c>
    </row>
    <row r="80" spans="3:19" x14ac:dyDescent="0.25">
      <c r="C80" s="3" t="s">
        <v>857</v>
      </c>
      <c r="D80" s="3" t="s">
        <v>859</v>
      </c>
      <c r="E80" s="3" t="s">
        <v>993</v>
      </c>
      <c r="F80" s="4">
        <v>5.9</v>
      </c>
      <c r="G80" s="3" t="str">
        <f>VLOOKUP(C80,JUNIO!C79:G435,5,0)</f>
        <v>Abierta</v>
      </c>
      <c r="H80" s="3" t="s">
        <v>46</v>
      </c>
      <c r="I80" s="3" t="s">
        <v>1030</v>
      </c>
      <c r="J80" s="3" t="s">
        <v>132</v>
      </c>
      <c r="K80" s="3" t="s">
        <v>138</v>
      </c>
      <c r="L80" s="3" t="s">
        <v>40</v>
      </c>
      <c r="M80" s="3" t="s">
        <v>1035</v>
      </c>
      <c r="N80" s="3" t="s">
        <v>857</v>
      </c>
      <c r="O80" s="3" t="s">
        <v>42</v>
      </c>
      <c r="P80" s="42" t="s">
        <v>43</v>
      </c>
      <c r="Q80" s="42">
        <f>VLOOKUP(C80,[2]Export!$C$1:$J$1226,8,0)</f>
        <v>71704003</v>
      </c>
      <c r="R80" s="42" t="s">
        <v>847</v>
      </c>
      <c r="S80" s="2" t="s">
        <v>43</v>
      </c>
    </row>
    <row r="81" spans="3:19" x14ac:dyDescent="0.25">
      <c r="C81" s="3" t="s">
        <v>747</v>
      </c>
      <c r="D81" s="3" t="s">
        <v>994</v>
      </c>
      <c r="E81" s="3" t="s">
        <v>749</v>
      </c>
      <c r="F81" s="4">
        <v>6.9</v>
      </c>
      <c r="G81" s="3" t="str">
        <f>VLOOKUP(C81,JUNIO!C80:G436,5,0)</f>
        <v>Abierta</v>
      </c>
      <c r="H81" s="3" t="s">
        <v>46</v>
      </c>
      <c r="I81" s="3" t="s">
        <v>1031</v>
      </c>
      <c r="J81" s="3" t="s">
        <v>84</v>
      </c>
      <c r="K81" s="3" t="s">
        <v>54</v>
      </c>
      <c r="L81" s="3" t="s">
        <v>55</v>
      </c>
      <c r="M81" s="3" t="s">
        <v>378</v>
      </c>
      <c r="N81" s="3" t="s">
        <v>747</v>
      </c>
      <c r="O81" s="3" t="s">
        <v>42</v>
      </c>
      <c r="P81" s="42" t="s">
        <v>43</v>
      </c>
      <c r="Q81" s="42">
        <f>VLOOKUP(C81,[2]Export!$C$1:$J$1226,8,0)</f>
        <v>74108522</v>
      </c>
      <c r="R81" s="42" t="s">
        <v>741</v>
      </c>
      <c r="S81" s="2" t="s">
        <v>43</v>
      </c>
    </row>
    <row r="82" spans="3:19" x14ac:dyDescent="0.25">
      <c r="C82" s="3" t="s">
        <v>564</v>
      </c>
      <c r="D82" s="3" t="s">
        <v>565</v>
      </c>
      <c r="E82" s="3" t="s">
        <v>566</v>
      </c>
      <c r="F82" s="4">
        <v>5.9</v>
      </c>
      <c r="G82" s="3" t="str">
        <f>VLOOKUP(C82,JUNIO!C81:G437,5,0)</f>
        <v>Abierta</v>
      </c>
      <c r="H82" s="3" t="s">
        <v>46</v>
      </c>
      <c r="I82" s="3" t="s">
        <v>1030</v>
      </c>
      <c r="J82" s="3" t="s">
        <v>331</v>
      </c>
      <c r="K82" s="3" t="s">
        <v>138</v>
      </c>
      <c r="L82" s="3" t="s">
        <v>40</v>
      </c>
      <c r="M82" s="3" t="s">
        <v>984</v>
      </c>
      <c r="N82" s="3" t="s">
        <v>564</v>
      </c>
      <c r="O82" s="3" t="s">
        <v>42</v>
      </c>
      <c r="P82" s="42" t="s">
        <v>440</v>
      </c>
      <c r="Q82" s="42">
        <f>VLOOKUP(C82,[2]Export!$C$1:$J$1226,8,0)</f>
        <v>36572685</v>
      </c>
      <c r="R82" s="42" t="s">
        <v>557</v>
      </c>
      <c r="S82" s="2" t="s">
        <v>43</v>
      </c>
    </row>
    <row r="83" spans="3:19" x14ac:dyDescent="0.25">
      <c r="C83" s="3" t="s">
        <v>709</v>
      </c>
      <c r="D83" s="3" t="s">
        <v>710</v>
      </c>
      <c r="E83" s="3" t="s">
        <v>711</v>
      </c>
      <c r="F83" s="4">
        <v>8</v>
      </c>
      <c r="G83" s="3" t="str">
        <f>VLOOKUP(C83,JUNIO!C82:G438,5,0)</f>
        <v>Abierta</v>
      </c>
      <c r="H83" s="3" t="s">
        <v>46</v>
      </c>
      <c r="I83" s="3" t="s">
        <v>1031</v>
      </c>
      <c r="J83" s="3" t="s">
        <v>84</v>
      </c>
      <c r="K83" s="3" t="s">
        <v>54</v>
      </c>
      <c r="L83" s="3" t="s">
        <v>55</v>
      </c>
      <c r="M83" s="3" t="s">
        <v>378</v>
      </c>
      <c r="N83" s="3" t="s">
        <v>709</v>
      </c>
      <c r="O83" s="3" t="s">
        <v>379</v>
      </c>
      <c r="P83" s="42" t="s">
        <v>440</v>
      </c>
      <c r="Q83" s="42">
        <f>VLOOKUP(C83,[2]Export!$C$1:$J$1226,8,0)</f>
        <v>54232375</v>
      </c>
      <c r="R83" s="42" t="s">
        <v>702</v>
      </c>
      <c r="S83" s="2" t="s">
        <v>43</v>
      </c>
    </row>
    <row r="84" spans="3:19" x14ac:dyDescent="0.25">
      <c r="C84" s="3" t="s">
        <v>60</v>
      </c>
      <c r="D84" s="3" t="s">
        <v>61</v>
      </c>
      <c r="E84" s="3" t="s">
        <v>62</v>
      </c>
      <c r="F84" s="4" t="s">
        <v>36</v>
      </c>
      <c r="G84" s="3" t="str">
        <f>VLOOKUP(C84,JUNIO!C83:G439,5,0)</f>
        <v>CIERRE DEFINITIVO</v>
      </c>
      <c r="H84" s="3" t="s">
        <v>38</v>
      </c>
      <c r="I84" s="3" t="s">
        <v>1030</v>
      </c>
      <c r="J84" s="3" t="s">
        <v>63</v>
      </c>
      <c r="K84" s="3" t="s">
        <v>64</v>
      </c>
      <c r="L84" s="3" t="s">
        <v>40</v>
      </c>
      <c r="M84" s="3">
        <v>0</v>
      </c>
      <c r="N84" s="3" t="s">
        <v>60</v>
      </c>
      <c r="O84" s="3" t="s">
        <v>42</v>
      </c>
      <c r="P84" s="42" t="s">
        <v>43</v>
      </c>
      <c r="Q84" s="42"/>
      <c r="R84" s="42">
        <v>0</v>
      </c>
      <c r="S84" s="2" t="s">
        <v>43</v>
      </c>
    </row>
    <row r="85" spans="3:19" x14ac:dyDescent="0.25">
      <c r="C85" s="3" t="s">
        <v>861</v>
      </c>
      <c r="D85" s="3" t="s">
        <v>983</v>
      </c>
      <c r="E85" s="3" t="s">
        <v>995</v>
      </c>
      <c r="F85" s="4">
        <v>8.9</v>
      </c>
      <c r="G85" s="3" t="str">
        <f>VLOOKUP(C85,JUNIO!C84:G440,5,0)</f>
        <v>Abierta</v>
      </c>
      <c r="H85" s="3" t="s">
        <v>46</v>
      </c>
      <c r="I85" s="3" t="s">
        <v>1030</v>
      </c>
      <c r="J85" s="3" t="s">
        <v>132</v>
      </c>
      <c r="K85" s="3" t="s">
        <v>856</v>
      </c>
      <c r="L85" s="3" t="s">
        <v>40</v>
      </c>
      <c r="M85" s="3" t="s">
        <v>1035</v>
      </c>
      <c r="N85" s="3" t="s">
        <v>861</v>
      </c>
      <c r="O85" s="3" t="s">
        <v>379</v>
      </c>
      <c r="P85" s="42" t="s">
        <v>440</v>
      </c>
      <c r="Q85" s="42">
        <f>VLOOKUP(C85,[2]Export!$C$1:$J$1226,8,0)</f>
        <v>77807776</v>
      </c>
      <c r="R85" s="42" t="s">
        <v>847</v>
      </c>
      <c r="S85" s="2" t="s">
        <v>43</v>
      </c>
    </row>
    <row r="86" spans="3:19" x14ac:dyDescent="0.25">
      <c r="C86" s="3" t="s">
        <v>616</v>
      </c>
      <c r="D86" s="3" t="s">
        <v>617</v>
      </c>
      <c r="E86" s="3" t="s">
        <v>617</v>
      </c>
      <c r="F86" s="4">
        <v>5.45</v>
      </c>
      <c r="G86" s="3" t="str">
        <f>VLOOKUP(C86,JUNIO!C85:G441,5,0)</f>
        <v>Abierta</v>
      </c>
      <c r="H86" s="3" t="s">
        <v>46</v>
      </c>
      <c r="I86" s="3" t="s">
        <v>1030</v>
      </c>
      <c r="J86" s="3" t="s">
        <v>50</v>
      </c>
      <c r="K86" s="3" t="s">
        <v>138</v>
      </c>
      <c r="L86" s="3" t="s">
        <v>40</v>
      </c>
      <c r="M86" s="3" t="s">
        <v>514</v>
      </c>
      <c r="N86" s="3" t="s">
        <v>616</v>
      </c>
      <c r="O86" s="3" t="s">
        <v>42</v>
      </c>
      <c r="P86" s="42" t="s">
        <v>440</v>
      </c>
      <c r="Q86" s="42">
        <f>VLOOKUP(C86,[2]Export!$C$1:$J$1226,8,0)</f>
        <v>48491307</v>
      </c>
      <c r="R86" s="42" t="s">
        <v>597</v>
      </c>
      <c r="S86" s="2" t="s">
        <v>43</v>
      </c>
    </row>
    <row r="87" spans="3:19" x14ac:dyDescent="0.25">
      <c r="C87" s="3" t="s">
        <v>891</v>
      </c>
      <c r="D87" s="3" t="s">
        <v>892</v>
      </c>
      <c r="E87" s="3" t="s">
        <v>893</v>
      </c>
      <c r="F87" s="4">
        <v>5</v>
      </c>
      <c r="G87" s="3" t="str">
        <f>VLOOKUP(C87,JUNIO!C86:G442,5,0)</f>
        <v>Abierta</v>
      </c>
      <c r="H87" s="3" t="s">
        <v>46</v>
      </c>
      <c r="I87" s="3" t="s">
        <v>1030</v>
      </c>
      <c r="J87" s="3" t="s">
        <v>73</v>
      </c>
      <c r="K87" s="3" t="s">
        <v>47</v>
      </c>
      <c r="L87" s="3" t="s">
        <v>40</v>
      </c>
      <c r="M87" s="3" t="s">
        <v>514</v>
      </c>
      <c r="N87" s="3" t="s">
        <v>891</v>
      </c>
      <c r="O87" s="3" t="s">
        <v>42</v>
      </c>
      <c r="P87" s="42" t="s">
        <v>43</v>
      </c>
      <c r="Q87" s="42">
        <f>VLOOKUP(C87,[2]Export!$C$1:$J$1226,8,0)</f>
        <v>50457956</v>
      </c>
      <c r="R87" s="42" t="s">
        <v>886</v>
      </c>
      <c r="S87" s="2" t="s">
        <v>43</v>
      </c>
    </row>
    <row r="88" spans="3:19" x14ac:dyDescent="0.25">
      <c r="C88" s="3" t="s">
        <v>65</v>
      </c>
      <c r="D88" s="3" t="s">
        <v>66</v>
      </c>
      <c r="E88" s="3" t="s">
        <v>66</v>
      </c>
      <c r="F88" s="4" t="s">
        <v>36</v>
      </c>
      <c r="G88" s="3" t="str">
        <f>VLOOKUP(C88,JUNIO!C87:G443,5,0)</f>
        <v>CIERRE DEFINITIVO</v>
      </c>
      <c r="H88" s="3" t="s">
        <v>38</v>
      </c>
      <c r="I88" s="3" t="s">
        <v>1030</v>
      </c>
      <c r="J88" s="3" t="s">
        <v>67</v>
      </c>
      <c r="K88" s="3" t="s">
        <v>59</v>
      </c>
      <c r="L88" s="3" t="s">
        <v>40</v>
      </c>
      <c r="M88" s="3">
        <v>0</v>
      </c>
      <c r="N88" s="3" t="s">
        <v>65</v>
      </c>
      <c r="O88" s="3" t="s">
        <v>42</v>
      </c>
      <c r="P88" s="42" t="s">
        <v>43</v>
      </c>
      <c r="Q88" s="42"/>
      <c r="R88" s="42">
        <v>0</v>
      </c>
      <c r="S88" s="2" t="s">
        <v>43</v>
      </c>
    </row>
    <row r="89" spans="3:19" x14ac:dyDescent="0.25">
      <c r="C89" s="3" t="s">
        <v>777</v>
      </c>
      <c r="D89" s="3" t="s">
        <v>779</v>
      </c>
      <c r="E89" s="3" t="s">
        <v>779</v>
      </c>
      <c r="F89" s="4">
        <v>6.45</v>
      </c>
      <c r="G89" s="3" t="str">
        <f>VLOOKUP(C89,JUNIO!C88:G444,5,0)</f>
        <v>Abierta</v>
      </c>
      <c r="H89" s="3" t="s">
        <v>46</v>
      </c>
      <c r="I89" s="3" t="s">
        <v>1031</v>
      </c>
      <c r="J89" s="3" t="s">
        <v>89</v>
      </c>
      <c r="K89" s="3" t="s">
        <v>90</v>
      </c>
      <c r="L89" s="3" t="s">
        <v>91</v>
      </c>
      <c r="M89" s="3" t="s">
        <v>378</v>
      </c>
      <c r="N89" s="3" t="s">
        <v>777</v>
      </c>
      <c r="O89" s="3" t="s">
        <v>42</v>
      </c>
      <c r="P89" s="42" t="s">
        <v>440</v>
      </c>
      <c r="Q89" s="42">
        <f>VLOOKUP(C89,[2]Export!$C$1:$J$1226,8,0)</f>
        <v>49160619</v>
      </c>
      <c r="R89" s="42" t="s">
        <v>772</v>
      </c>
      <c r="S89" s="2" t="s">
        <v>43</v>
      </c>
    </row>
    <row r="90" spans="3:19" x14ac:dyDescent="0.25">
      <c r="C90" s="3" t="s">
        <v>480</v>
      </c>
      <c r="D90" s="3" t="s">
        <v>481</v>
      </c>
      <c r="E90" s="3" t="s">
        <v>482</v>
      </c>
      <c r="F90" s="4">
        <v>5</v>
      </c>
      <c r="G90" s="3" t="str">
        <f>VLOOKUP(C90,JUNIO!C89:G445,5,0)</f>
        <v>Abierta</v>
      </c>
      <c r="H90" s="3" t="s">
        <v>46</v>
      </c>
      <c r="I90" s="3" t="s">
        <v>1030</v>
      </c>
      <c r="J90" s="3" t="s">
        <v>466</v>
      </c>
      <c r="K90" s="3" t="s">
        <v>51</v>
      </c>
      <c r="L90" s="3" t="s">
        <v>40</v>
      </c>
      <c r="M90" s="3" t="s">
        <v>1035</v>
      </c>
      <c r="N90" s="3" t="s">
        <v>480</v>
      </c>
      <c r="O90" s="3" t="s">
        <v>42</v>
      </c>
      <c r="P90" s="42" t="s">
        <v>43</v>
      </c>
      <c r="Q90" s="42">
        <f>VLOOKUP(C90,[2]Export!$C$1:$J$1226,8,0)</f>
        <v>34021823</v>
      </c>
      <c r="R90" s="42" t="s">
        <v>467</v>
      </c>
      <c r="S90" s="2" t="s">
        <v>43</v>
      </c>
    </row>
    <row r="91" spans="3:19" x14ac:dyDescent="0.25">
      <c r="C91" s="3" t="s">
        <v>807</v>
      </c>
      <c r="D91" s="3" t="s">
        <v>808</v>
      </c>
      <c r="E91" s="3" t="s">
        <v>809</v>
      </c>
      <c r="F91" s="44">
        <v>7</v>
      </c>
      <c r="G91" s="3" t="str">
        <f>VLOOKUP(C91,JUNIO!C90:G446,5,0)</f>
        <v>Abierta</v>
      </c>
      <c r="H91" s="3" t="s">
        <v>46</v>
      </c>
      <c r="I91" s="3" t="s">
        <v>1030</v>
      </c>
      <c r="J91" s="3" t="s">
        <v>146</v>
      </c>
      <c r="K91" s="3" t="s">
        <v>59</v>
      </c>
      <c r="L91" s="3" t="s">
        <v>40</v>
      </c>
      <c r="M91" s="3" t="s">
        <v>1035</v>
      </c>
      <c r="N91" s="3" t="s">
        <v>807</v>
      </c>
      <c r="O91" s="3" t="s">
        <v>42</v>
      </c>
      <c r="P91" s="42" t="s">
        <v>440</v>
      </c>
      <c r="Q91" s="42">
        <f>VLOOKUP(C91,[2]Export!$C$1:$J$1226,8,0)</f>
        <v>62042592</v>
      </c>
      <c r="R91" s="42" t="s">
        <v>799</v>
      </c>
      <c r="S91" s="2" t="s">
        <v>43</v>
      </c>
    </row>
    <row r="92" spans="3:19" x14ac:dyDescent="0.25">
      <c r="C92" s="3" t="s">
        <v>400</v>
      </c>
      <c r="D92" s="3" t="s">
        <v>401</v>
      </c>
      <c r="E92" s="3" t="s">
        <v>401</v>
      </c>
      <c r="F92" s="4">
        <v>5.45</v>
      </c>
      <c r="G92" s="3" t="str">
        <f>VLOOKUP(C92,JUNIO!C91:G447,5,0)</f>
        <v>Abierta</v>
      </c>
      <c r="H92" s="3" t="s">
        <v>46</v>
      </c>
      <c r="I92" s="3" t="s">
        <v>1031</v>
      </c>
      <c r="J92" s="3" t="s">
        <v>63</v>
      </c>
      <c r="K92" s="3" t="s">
        <v>138</v>
      </c>
      <c r="L92" s="3" t="s">
        <v>40</v>
      </c>
      <c r="M92" s="3" t="s">
        <v>378</v>
      </c>
      <c r="N92" s="3" t="s">
        <v>400</v>
      </c>
      <c r="O92" s="3" t="s">
        <v>42</v>
      </c>
      <c r="P92" s="42" t="s">
        <v>43</v>
      </c>
      <c r="Q92" s="42">
        <f>VLOOKUP(C92,[2]Export!$C$1:$J$1226,8,0)</f>
        <v>39477560</v>
      </c>
      <c r="R92" s="42" t="s">
        <v>380</v>
      </c>
      <c r="S92" s="2" t="s">
        <v>43</v>
      </c>
    </row>
    <row r="93" spans="3:19" x14ac:dyDescent="0.25">
      <c r="C93" s="3" t="s">
        <v>402</v>
      </c>
      <c r="D93" s="3" t="s">
        <v>403</v>
      </c>
      <c r="E93" s="3" t="s">
        <v>403</v>
      </c>
      <c r="F93" s="4">
        <v>5.45</v>
      </c>
      <c r="G93" s="3" t="str">
        <f>VLOOKUP(C93,JUNIO!C92:G448,5,0)</f>
        <v>Abierta</v>
      </c>
      <c r="H93" s="3" t="s">
        <v>46</v>
      </c>
      <c r="I93" s="3" t="s">
        <v>1031</v>
      </c>
      <c r="J93" s="3" t="s">
        <v>63</v>
      </c>
      <c r="K93" s="3" t="s">
        <v>138</v>
      </c>
      <c r="L93" s="3" t="s">
        <v>40</v>
      </c>
      <c r="M93" s="3" t="s">
        <v>378</v>
      </c>
      <c r="N93" s="3" t="s">
        <v>402</v>
      </c>
      <c r="O93" s="3" t="s">
        <v>42</v>
      </c>
      <c r="P93" s="42" t="s">
        <v>43</v>
      </c>
      <c r="Q93" s="42">
        <f>VLOOKUP(C93,[2]Export!$C$1:$J$1226,8,0)</f>
        <v>61737229</v>
      </c>
      <c r="R93" s="42" t="s">
        <v>380</v>
      </c>
      <c r="S93" s="2" t="s">
        <v>43</v>
      </c>
    </row>
    <row r="94" spans="3:19" x14ac:dyDescent="0.25">
      <c r="C94" s="45" t="s">
        <v>665</v>
      </c>
      <c r="D94" s="45" t="s">
        <v>666</v>
      </c>
      <c r="E94" s="45" t="s">
        <v>666</v>
      </c>
      <c r="F94" s="44">
        <v>6</v>
      </c>
      <c r="G94" s="3" t="str">
        <f>VLOOKUP(C94,JUNIO!C93:G449,5,0)</f>
        <v>Abierta</v>
      </c>
      <c r="H94" s="3" t="s">
        <v>46</v>
      </c>
      <c r="I94" s="3" t="s">
        <v>1030</v>
      </c>
      <c r="J94" s="3" t="s">
        <v>248</v>
      </c>
      <c r="K94" s="3" t="s">
        <v>51</v>
      </c>
      <c r="L94" s="3" t="s">
        <v>40</v>
      </c>
      <c r="M94" s="3" t="s">
        <v>984</v>
      </c>
      <c r="N94" s="3" t="s">
        <v>665</v>
      </c>
      <c r="O94" s="3" t="s">
        <v>42</v>
      </c>
      <c r="P94" s="42" t="s">
        <v>43</v>
      </c>
      <c r="Q94" s="42">
        <f>VLOOKUP(C94,[2]Export!$C$1:$J$1226,8,0)</f>
        <v>57909314</v>
      </c>
      <c r="R94" s="42" t="s">
        <v>51</v>
      </c>
      <c r="S94" s="2" t="s">
        <v>43</v>
      </c>
    </row>
    <row r="95" spans="3:19" x14ac:dyDescent="0.25">
      <c r="C95" s="3" t="s">
        <v>404</v>
      </c>
      <c r="D95" s="3" t="s">
        <v>405</v>
      </c>
      <c r="E95" s="3" t="s">
        <v>405</v>
      </c>
      <c r="F95" s="4">
        <v>5</v>
      </c>
      <c r="G95" s="3" t="str">
        <f>VLOOKUP(C95,JUNIO!C94:G450,5,0)</f>
        <v>Abierta</v>
      </c>
      <c r="H95" s="3" t="s">
        <v>46</v>
      </c>
      <c r="I95" s="3" t="s">
        <v>1031</v>
      </c>
      <c r="J95" s="3" t="s">
        <v>63</v>
      </c>
      <c r="K95" s="3" t="s">
        <v>138</v>
      </c>
      <c r="L95" s="3" t="s">
        <v>40</v>
      </c>
      <c r="M95" s="3" t="s">
        <v>378</v>
      </c>
      <c r="N95" s="3" t="s">
        <v>404</v>
      </c>
      <c r="O95" s="3" t="s">
        <v>42</v>
      </c>
      <c r="P95" s="42" t="s">
        <v>43</v>
      </c>
      <c r="Q95" s="42">
        <f>VLOOKUP(C95,[2]Export!$C$1:$J$1226,8,0)</f>
        <v>38241298</v>
      </c>
      <c r="R95" s="42" t="s">
        <v>380</v>
      </c>
      <c r="S95" s="2" t="s">
        <v>43</v>
      </c>
    </row>
    <row r="96" spans="3:19" x14ac:dyDescent="0.25">
      <c r="C96" s="3" t="s">
        <v>948</v>
      </c>
      <c r="D96" s="3" t="s">
        <v>949</v>
      </c>
      <c r="E96" s="3" t="s">
        <v>949</v>
      </c>
      <c r="F96" s="4">
        <v>5.45</v>
      </c>
      <c r="G96" s="3" t="str">
        <f>VLOOKUP(C96,JUNIO!C95:G451,5,0)</f>
        <v>Abierta</v>
      </c>
      <c r="H96" s="3" t="s">
        <v>46</v>
      </c>
      <c r="I96" s="3" t="s">
        <v>1030</v>
      </c>
      <c r="J96" s="3" t="s">
        <v>160</v>
      </c>
      <c r="K96" s="3" t="s">
        <v>353</v>
      </c>
      <c r="L96" s="3" t="s">
        <v>40</v>
      </c>
      <c r="M96" s="3" t="s">
        <v>984</v>
      </c>
      <c r="N96" s="3" t="s">
        <v>948</v>
      </c>
      <c r="O96" s="3" t="s">
        <v>42</v>
      </c>
      <c r="P96" s="42" t="s">
        <v>43</v>
      </c>
      <c r="Q96" s="42">
        <f>VLOOKUP(C96,[2]Export!$C$1:$J$1226,8,0)</f>
        <v>43587580</v>
      </c>
      <c r="R96" s="42" t="s">
        <v>931</v>
      </c>
      <c r="S96" s="2" t="s">
        <v>43</v>
      </c>
    </row>
    <row r="97" spans="3:19" x14ac:dyDescent="0.25">
      <c r="C97" s="3" t="s">
        <v>667</v>
      </c>
      <c r="D97" s="3" t="s">
        <v>668</v>
      </c>
      <c r="E97" s="3" t="s">
        <v>668</v>
      </c>
      <c r="F97" s="4">
        <v>6</v>
      </c>
      <c r="G97" s="3" t="str">
        <f>VLOOKUP(C97,JUNIO!C96:G452,5,0)</f>
        <v>Abierta</v>
      </c>
      <c r="H97" s="3" t="s">
        <v>46</v>
      </c>
      <c r="I97" s="3" t="s">
        <v>1030</v>
      </c>
      <c r="J97" s="3" t="s">
        <v>248</v>
      </c>
      <c r="K97" s="3" t="s">
        <v>51</v>
      </c>
      <c r="L97" s="3" t="s">
        <v>40</v>
      </c>
      <c r="M97" s="3" t="s">
        <v>984</v>
      </c>
      <c r="N97" s="3" t="s">
        <v>667</v>
      </c>
      <c r="O97" s="3" t="s">
        <v>42</v>
      </c>
      <c r="P97" s="42" t="s">
        <v>43</v>
      </c>
      <c r="Q97" s="42">
        <f>VLOOKUP(C97,[2]Export!$C$1:$J$1226,8,0)</f>
        <v>50927335</v>
      </c>
      <c r="R97" s="42" t="s">
        <v>51</v>
      </c>
      <c r="S97" s="2" t="s">
        <v>43</v>
      </c>
    </row>
    <row r="98" spans="3:19" x14ac:dyDescent="0.25">
      <c r="C98" s="45" t="s">
        <v>669</v>
      </c>
      <c r="D98" s="45" t="s">
        <v>670</v>
      </c>
      <c r="E98" s="45" t="s">
        <v>670</v>
      </c>
      <c r="F98" s="44">
        <v>5.45</v>
      </c>
      <c r="G98" s="3" t="str">
        <f>VLOOKUP(C98,JUNIO!C97:G453,5,0)</f>
        <v>Abierta</v>
      </c>
      <c r="H98" s="3" t="s">
        <v>46</v>
      </c>
      <c r="I98" s="3" t="s">
        <v>1030</v>
      </c>
      <c r="J98" s="3" t="s">
        <v>248</v>
      </c>
      <c r="K98" s="3" t="s">
        <v>51</v>
      </c>
      <c r="L98" s="3" t="s">
        <v>40</v>
      </c>
      <c r="M98" s="3" t="s">
        <v>984</v>
      </c>
      <c r="N98" s="3" t="s">
        <v>669</v>
      </c>
      <c r="O98" s="3" t="s">
        <v>42</v>
      </c>
      <c r="P98" s="42" t="s">
        <v>43</v>
      </c>
      <c r="Q98" s="42">
        <f>VLOOKUP(C98,[2]Export!$C$1:$J$1226,8,0)</f>
        <v>54093313</v>
      </c>
      <c r="R98" s="42" t="s">
        <v>51</v>
      </c>
      <c r="S98" s="2" t="s">
        <v>43</v>
      </c>
    </row>
    <row r="99" spans="3:19" x14ac:dyDescent="0.25">
      <c r="C99" s="3" t="s">
        <v>894</v>
      </c>
      <c r="D99" s="3" t="s">
        <v>895</v>
      </c>
      <c r="E99" s="3" t="s">
        <v>895</v>
      </c>
      <c r="F99" s="4">
        <v>5</v>
      </c>
      <c r="G99" s="3" t="str">
        <f>VLOOKUP(C99,JUNIO!C98:G454,5,0)</f>
        <v>Abierta</v>
      </c>
      <c r="H99" s="3" t="s">
        <v>46</v>
      </c>
      <c r="I99" s="3" t="s">
        <v>1030</v>
      </c>
      <c r="J99" s="3" t="s">
        <v>73</v>
      </c>
      <c r="K99" s="3" t="s">
        <v>609</v>
      </c>
      <c r="L99" s="3" t="s">
        <v>40</v>
      </c>
      <c r="M99" s="3" t="s">
        <v>514</v>
      </c>
      <c r="N99" s="3" t="s">
        <v>894</v>
      </c>
      <c r="O99" s="3" t="s">
        <v>42</v>
      </c>
      <c r="P99" s="42" t="s">
        <v>43</v>
      </c>
      <c r="Q99" s="42">
        <f>VLOOKUP(C99,[2]Export!$C$1:$J$1226,8,0)</f>
        <v>44851667</v>
      </c>
      <c r="R99" s="42" t="s">
        <v>886</v>
      </c>
      <c r="S99" s="2" t="s">
        <v>43</v>
      </c>
    </row>
    <row r="100" spans="3:19" x14ac:dyDescent="0.25">
      <c r="C100" s="3" t="s">
        <v>537</v>
      </c>
      <c r="D100" s="3" t="s">
        <v>538</v>
      </c>
      <c r="E100" s="3" t="s">
        <v>538</v>
      </c>
      <c r="F100" s="4">
        <v>6.13</v>
      </c>
      <c r="G100" s="3" t="str">
        <f>VLOOKUP(C100,JUNIO!C99:G455,5,0)</f>
        <v>Abierta</v>
      </c>
      <c r="H100" s="3" t="s">
        <v>46</v>
      </c>
      <c r="I100" s="3" t="s">
        <v>1030</v>
      </c>
      <c r="J100" s="3" t="s">
        <v>100</v>
      </c>
      <c r="K100" s="3" t="s">
        <v>64</v>
      </c>
      <c r="L100" s="3" t="s">
        <v>40</v>
      </c>
      <c r="M100" s="3" t="s">
        <v>514</v>
      </c>
      <c r="N100" s="3" t="s">
        <v>537</v>
      </c>
      <c r="O100" s="3" t="s">
        <v>42</v>
      </c>
      <c r="P100" s="42" t="s">
        <v>43</v>
      </c>
      <c r="Q100" s="42">
        <f>VLOOKUP(C100,[2]Export!$C$1:$J$1226,8,0)</f>
        <v>56760875</v>
      </c>
      <c r="R100" s="42" t="s">
        <v>515</v>
      </c>
      <c r="S100" s="2" t="s">
        <v>43</v>
      </c>
    </row>
    <row r="101" spans="3:19" x14ac:dyDescent="0.25">
      <c r="C101" s="3" t="s">
        <v>863</v>
      </c>
      <c r="D101" s="3" t="s">
        <v>864</v>
      </c>
      <c r="E101" s="3" t="s">
        <v>864</v>
      </c>
      <c r="F101" s="4">
        <v>6</v>
      </c>
      <c r="G101" s="3" t="str">
        <f>VLOOKUP(C101,JUNIO!C100:G456,5,0)</f>
        <v>Abierta</v>
      </c>
      <c r="H101" s="3" t="s">
        <v>46</v>
      </c>
      <c r="I101" s="3" t="s">
        <v>1030</v>
      </c>
      <c r="J101" s="3" t="s">
        <v>132</v>
      </c>
      <c r="K101" s="3" t="s">
        <v>138</v>
      </c>
      <c r="L101" s="3" t="s">
        <v>40</v>
      </c>
      <c r="M101" s="3" t="s">
        <v>1035</v>
      </c>
      <c r="N101" s="3" t="s">
        <v>863</v>
      </c>
      <c r="O101" s="3" t="s">
        <v>42</v>
      </c>
      <c r="P101" s="42" t="s">
        <v>43</v>
      </c>
      <c r="Q101" s="42">
        <f>VLOOKUP(C101,[2]Export!$C$1:$J$1226,8,0)</f>
        <v>43520680</v>
      </c>
      <c r="R101" s="42" t="s">
        <v>847</v>
      </c>
      <c r="S101" s="2" t="s">
        <v>43</v>
      </c>
    </row>
    <row r="102" spans="3:19" x14ac:dyDescent="0.25">
      <c r="C102" s="3" t="s">
        <v>896</v>
      </c>
      <c r="D102" s="3" t="s">
        <v>897</v>
      </c>
      <c r="E102" s="3" t="s">
        <v>897</v>
      </c>
      <c r="F102" s="4">
        <v>5</v>
      </c>
      <c r="G102" s="3" t="str">
        <f>VLOOKUP(C102,JUNIO!C101:G457,5,0)</f>
        <v>Abierta</v>
      </c>
      <c r="H102" s="3" t="s">
        <v>46</v>
      </c>
      <c r="I102" s="3" t="s">
        <v>1030</v>
      </c>
      <c r="J102" s="3" t="s">
        <v>73</v>
      </c>
      <c r="K102" s="3" t="s">
        <v>133</v>
      </c>
      <c r="L102" s="3" t="s">
        <v>40</v>
      </c>
      <c r="M102" s="3" t="s">
        <v>514</v>
      </c>
      <c r="N102" s="3" t="s">
        <v>896</v>
      </c>
      <c r="O102" s="3" t="s">
        <v>42</v>
      </c>
      <c r="P102" s="42" t="s">
        <v>43</v>
      </c>
      <c r="Q102" s="42">
        <f>VLOOKUP(C102,[2]Export!$C$1:$J$1226,8,0)</f>
        <v>38675062</v>
      </c>
      <c r="R102" s="42" t="s">
        <v>886</v>
      </c>
      <c r="S102" s="2" t="s">
        <v>43</v>
      </c>
    </row>
    <row r="103" spans="3:19" x14ac:dyDescent="0.25">
      <c r="C103" s="3" t="s">
        <v>898</v>
      </c>
      <c r="D103" s="3" t="s">
        <v>899</v>
      </c>
      <c r="E103" s="3" t="s">
        <v>899</v>
      </c>
      <c r="F103" s="4">
        <v>5</v>
      </c>
      <c r="G103" s="3" t="str">
        <f>VLOOKUP(C103,JUNIO!C102:G458,5,0)</f>
        <v>Abierta</v>
      </c>
      <c r="H103" s="3" t="s">
        <v>46</v>
      </c>
      <c r="I103" s="3" t="s">
        <v>1030</v>
      </c>
      <c r="J103" s="3" t="s">
        <v>73</v>
      </c>
      <c r="K103" s="3" t="s">
        <v>315</v>
      </c>
      <c r="L103" s="3" t="s">
        <v>40</v>
      </c>
      <c r="M103" s="3" t="s">
        <v>514</v>
      </c>
      <c r="N103" s="3" t="s">
        <v>898</v>
      </c>
      <c r="O103" s="3" t="s">
        <v>42</v>
      </c>
      <c r="P103" s="42" t="s">
        <v>440</v>
      </c>
      <c r="Q103" s="42">
        <f>VLOOKUP(C103,[2]Export!$C$1:$J$1226,8,0)</f>
        <v>50683285</v>
      </c>
      <c r="R103" s="42" t="s">
        <v>886</v>
      </c>
      <c r="S103" s="2" t="s">
        <v>43</v>
      </c>
    </row>
    <row r="104" spans="3:19" x14ac:dyDescent="0.25">
      <c r="C104" s="3" t="s">
        <v>950</v>
      </c>
      <c r="D104" s="3" t="s">
        <v>951</v>
      </c>
      <c r="E104" s="3" t="s">
        <v>951</v>
      </c>
      <c r="F104" s="4">
        <v>5.45</v>
      </c>
      <c r="G104" s="3" t="str">
        <f>VLOOKUP(C104,JUNIO!C103:G459,5,0)</f>
        <v>Abierta</v>
      </c>
      <c r="H104" s="3" t="s">
        <v>46</v>
      </c>
      <c r="I104" s="3" t="s">
        <v>1030</v>
      </c>
      <c r="J104" s="3" t="s">
        <v>160</v>
      </c>
      <c r="K104" s="3" t="s">
        <v>353</v>
      </c>
      <c r="L104" s="3" t="s">
        <v>40</v>
      </c>
      <c r="M104" s="3" t="s">
        <v>984</v>
      </c>
      <c r="N104" s="3" t="s">
        <v>950</v>
      </c>
      <c r="O104" s="3" t="s">
        <v>42</v>
      </c>
      <c r="P104" s="42" t="s">
        <v>43</v>
      </c>
      <c r="Q104" s="42">
        <f>VLOOKUP(C104,[2]Export!$C$1:$J$1226,8,0)</f>
        <v>39969065</v>
      </c>
      <c r="R104" s="42" t="s">
        <v>931</v>
      </c>
      <c r="S104" s="2" t="s">
        <v>43</v>
      </c>
    </row>
    <row r="105" spans="3:19" x14ac:dyDescent="0.25">
      <c r="C105" s="3" t="s">
        <v>406</v>
      </c>
      <c r="D105" s="3" t="s">
        <v>407</v>
      </c>
      <c r="E105" s="3" t="s">
        <v>407</v>
      </c>
      <c r="F105" s="4">
        <v>5.45</v>
      </c>
      <c r="G105" s="3" t="str">
        <f>VLOOKUP(C105,JUNIO!C104:G460,5,0)</f>
        <v>Abierta</v>
      </c>
      <c r="H105" s="3" t="s">
        <v>46</v>
      </c>
      <c r="I105" s="3" t="s">
        <v>1031</v>
      </c>
      <c r="J105" s="3" t="s">
        <v>63</v>
      </c>
      <c r="K105" s="3" t="s">
        <v>138</v>
      </c>
      <c r="L105" s="3" t="s">
        <v>40</v>
      </c>
      <c r="M105" s="3" t="s">
        <v>378</v>
      </c>
      <c r="N105" s="3" t="s">
        <v>406</v>
      </c>
      <c r="O105" s="3" t="s">
        <v>42</v>
      </c>
      <c r="P105" s="42" t="s">
        <v>43</v>
      </c>
      <c r="Q105" s="42">
        <f>VLOOKUP(C105,[2]Export!$C$1:$J$1226,8,0)</f>
        <v>43707993</v>
      </c>
      <c r="R105" s="42" t="s">
        <v>380</v>
      </c>
      <c r="S105" s="2" t="s">
        <v>43</v>
      </c>
    </row>
    <row r="106" spans="3:19" x14ac:dyDescent="0.25">
      <c r="C106" s="3" t="s">
        <v>429</v>
      </c>
      <c r="D106" s="3" t="s">
        <v>430</v>
      </c>
      <c r="E106" s="3" t="s">
        <v>431</v>
      </c>
      <c r="F106" s="4">
        <v>6</v>
      </c>
      <c r="G106" s="3" t="str">
        <f>VLOOKUP(C106,JUNIO!C105:G461,5,0)</f>
        <v>Abierta</v>
      </c>
      <c r="H106" s="3" t="s">
        <v>46</v>
      </c>
      <c r="I106" s="3" t="s">
        <v>1030</v>
      </c>
      <c r="J106" s="3" t="s">
        <v>94</v>
      </c>
      <c r="K106" s="3" t="s">
        <v>64</v>
      </c>
      <c r="L106" s="3" t="s">
        <v>40</v>
      </c>
      <c r="M106" s="3" t="s">
        <v>1035</v>
      </c>
      <c r="N106" s="3" t="s">
        <v>429</v>
      </c>
      <c r="O106" s="3" t="s">
        <v>42</v>
      </c>
      <c r="P106" s="42" t="s">
        <v>43</v>
      </c>
      <c r="Q106" s="42">
        <f>VLOOKUP(C106,[2]Export!$C$1:$J$1226,8,0)</f>
        <v>73680723</v>
      </c>
      <c r="R106" s="42" t="s">
        <v>423</v>
      </c>
      <c r="S106" s="2" t="s">
        <v>43</v>
      </c>
    </row>
    <row r="107" spans="3:19" x14ac:dyDescent="0.25">
      <c r="C107" s="3" t="s">
        <v>483</v>
      </c>
      <c r="D107" s="3" t="s">
        <v>484</v>
      </c>
      <c r="E107" s="3" t="s">
        <v>485</v>
      </c>
      <c r="F107" s="4">
        <v>5</v>
      </c>
      <c r="G107" s="3" t="str">
        <f>VLOOKUP(C107,JUNIO!C106:G462,5,0)</f>
        <v>Abierta</v>
      </c>
      <c r="H107" s="3" t="s">
        <v>46</v>
      </c>
      <c r="I107" s="3" t="s">
        <v>1030</v>
      </c>
      <c r="J107" s="3" t="s">
        <v>466</v>
      </c>
      <c r="K107" s="3" t="s">
        <v>51</v>
      </c>
      <c r="L107" s="3" t="s">
        <v>40</v>
      </c>
      <c r="M107" s="3" t="s">
        <v>1035</v>
      </c>
      <c r="N107" s="3" t="s">
        <v>483</v>
      </c>
      <c r="O107" s="3" t="s">
        <v>42</v>
      </c>
      <c r="P107" s="42" t="s">
        <v>43</v>
      </c>
      <c r="Q107" s="42">
        <f>VLOOKUP(C107,[2]Export!$C$1:$J$1226,8,0)</f>
        <v>66119765</v>
      </c>
      <c r="R107" s="42" t="s">
        <v>467</v>
      </c>
      <c r="S107" s="2" t="s">
        <v>43</v>
      </c>
    </row>
    <row r="108" spans="3:19" x14ac:dyDescent="0.25">
      <c r="C108" s="3" t="s">
        <v>539</v>
      </c>
      <c r="D108" s="3" t="s">
        <v>540</v>
      </c>
      <c r="E108" s="3" t="s">
        <v>541</v>
      </c>
      <c r="F108" s="4">
        <v>6.13</v>
      </c>
      <c r="G108" s="3" t="str">
        <f>VLOOKUP(C108,JUNIO!C107:G463,5,0)</f>
        <v>Abierta</v>
      </c>
      <c r="H108" s="3" t="s">
        <v>46</v>
      </c>
      <c r="I108" s="3" t="s">
        <v>1030</v>
      </c>
      <c r="J108" s="3" t="s">
        <v>100</v>
      </c>
      <c r="K108" s="3" t="s">
        <v>51</v>
      </c>
      <c r="L108" s="3" t="s">
        <v>40</v>
      </c>
      <c r="M108" s="3" t="s">
        <v>514</v>
      </c>
      <c r="N108" s="3" t="s">
        <v>539</v>
      </c>
      <c r="O108" s="3" t="s">
        <v>42</v>
      </c>
      <c r="P108" s="42" t="s">
        <v>43</v>
      </c>
      <c r="Q108" s="42">
        <f>VLOOKUP(C108,[2]Export!$C$1:$J$1226,8,0)</f>
        <v>51451131</v>
      </c>
      <c r="R108" s="42" t="s">
        <v>515</v>
      </c>
      <c r="S108" s="2" t="s">
        <v>43</v>
      </c>
    </row>
    <row r="109" spans="3:19" x14ac:dyDescent="0.25">
      <c r="C109" s="3" t="s">
        <v>432</v>
      </c>
      <c r="D109" s="3" t="s">
        <v>433</v>
      </c>
      <c r="E109" s="3" t="s">
        <v>434</v>
      </c>
      <c r="F109" s="4">
        <v>5.45</v>
      </c>
      <c r="G109" s="3" t="str">
        <f>VLOOKUP(C109,JUNIO!C108:G464,5,0)</f>
        <v>Abierta</v>
      </c>
      <c r="H109" s="3" t="s">
        <v>46</v>
      </c>
      <c r="I109" s="3" t="s">
        <v>1030</v>
      </c>
      <c r="J109" s="3" t="s">
        <v>94</v>
      </c>
      <c r="K109" s="3" t="s">
        <v>205</v>
      </c>
      <c r="L109" s="3" t="s">
        <v>40</v>
      </c>
      <c r="M109" s="3" t="s">
        <v>1035</v>
      </c>
      <c r="N109" s="3" t="s">
        <v>432</v>
      </c>
      <c r="O109" s="3" t="s">
        <v>42</v>
      </c>
      <c r="P109" s="42" t="s">
        <v>43</v>
      </c>
      <c r="Q109" s="42">
        <f>VLOOKUP(C109,[2]Export!$C$1:$J$1226,8,0)</f>
        <v>51877686</v>
      </c>
      <c r="R109" s="42" t="s">
        <v>423</v>
      </c>
      <c r="S109" s="2" t="s">
        <v>43</v>
      </c>
    </row>
    <row r="110" spans="3:19" x14ac:dyDescent="0.25">
      <c r="C110" s="3" t="s">
        <v>671</v>
      </c>
      <c r="D110" s="3" t="s">
        <v>672</v>
      </c>
      <c r="E110" s="3" t="s">
        <v>672</v>
      </c>
      <c r="F110" s="4">
        <v>5</v>
      </c>
      <c r="G110" s="3" t="str">
        <f>VLOOKUP(C110,JUNIO!C109:G465,5,0)</f>
        <v>Abierta</v>
      </c>
      <c r="H110" s="3" t="s">
        <v>46</v>
      </c>
      <c r="I110" s="3" t="s">
        <v>1030</v>
      </c>
      <c r="J110" s="3" t="s">
        <v>248</v>
      </c>
      <c r="K110" s="3" t="s">
        <v>51</v>
      </c>
      <c r="L110" s="3" t="s">
        <v>40</v>
      </c>
      <c r="M110" s="3" t="s">
        <v>984</v>
      </c>
      <c r="N110" s="3" t="s">
        <v>671</v>
      </c>
      <c r="O110" s="3" t="s">
        <v>42</v>
      </c>
      <c r="P110" s="42" t="s">
        <v>43</v>
      </c>
      <c r="Q110" s="42">
        <f>VLOOKUP(C110,[2]Export!$C$1:$J$1226,8,0)</f>
        <v>49815616</v>
      </c>
      <c r="R110" s="42" t="s">
        <v>51</v>
      </c>
      <c r="S110" s="2" t="s">
        <v>43</v>
      </c>
    </row>
    <row r="111" spans="3:19" x14ac:dyDescent="0.25">
      <c r="C111" s="3" t="s">
        <v>567</v>
      </c>
      <c r="D111" s="3" t="s">
        <v>568</v>
      </c>
      <c r="E111" s="3" t="s">
        <v>568</v>
      </c>
      <c r="F111" s="4">
        <v>5</v>
      </c>
      <c r="G111" s="3" t="str">
        <f>VLOOKUP(C111,JUNIO!C110:G466,5,0)</f>
        <v>Abierta</v>
      </c>
      <c r="H111" s="3" t="s">
        <v>46</v>
      </c>
      <c r="I111" s="3" t="s">
        <v>1030</v>
      </c>
      <c r="J111" s="3" t="s">
        <v>331</v>
      </c>
      <c r="K111" s="3" t="s">
        <v>138</v>
      </c>
      <c r="L111" s="3" t="s">
        <v>40</v>
      </c>
      <c r="M111" s="3" t="s">
        <v>984</v>
      </c>
      <c r="N111" s="3" t="s">
        <v>567</v>
      </c>
      <c r="O111" s="3" t="s">
        <v>42</v>
      </c>
      <c r="P111" s="42" t="s">
        <v>43</v>
      </c>
      <c r="Q111" s="42">
        <f>VLOOKUP(C111,[2]Export!$C$1:$J$1226,8,0)</f>
        <v>41669687</v>
      </c>
      <c r="R111" s="42" t="s">
        <v>557</v>
      </c>
      <c r="S111" s="2" t="s">
        <v>43</v>
      </c>
    </row>
    <row r="112" spans="3:19" x14ac:dyDescent="0.25">
      <c r="C112" s="3" t="s">
        <v>435</v>
      </c>
      <c r="D112" s="3" t="s">
        <v>436</v>
      </c>
      <c r="E112" s="3" t="s">
        <v>436</v>
      </c>
      <c r="F112" s="4">
        <v>5</v>
      </c>
      <c r="G112" s="3" t="str">
        <f>VLOOKUP(C112,JUNIO!C111:G467,5,0)</f>
        <v>Abierta</v>
      </c>
      <c r="H112" s="3" t="s">
        <v>46</v>
      </c>
      <c r="I112" s="3" t="s">
        <v>1030</v>
      </c>
      <c r="J112" s="3" t="s">
        <v>94</v>
      </c>
      <c r="K112" s="3" t="s">
        <v>64</v>
      </c>
      <c r="L112" s="3" t="s">
        <v>40</v>
      </c>
      <c r="M112" s="3" t="s">
        <v>1035</v>
      </c>
      <c r="N112" s="3" t="s">
        <v>435</v>
      </c>
      <c r="O112" s="3" t="s">
        <v>42</v>
      </c>
      <c r="P112" s="42" t="s">
        <v>43</v>
      </c>
      <c r="Q112" s="42">
        <f>VLOOKUP(C112,[2]Export!$C$1:$J$1226,8,0)</f>
        <v>54965206</v>
      </c>
      <c r="R112" s="42" t="s">
        <v>423</v>
      </c>
      <c r="S112" s="2" t="s">
        <v>43</v>
      </c>
    </row>
    <row r="113" spans="3:19" x14ac:dyDescent="0.25">
      <c r="C113" s="3" t="s">
        <v>865</v>
      </c>
      <c r="D113" s="3" t="s">
        <v>866</v>
      </c>
      <c r="E113" s="3" t="s">
        <v>866</v>
      </c>
      <c r="F113" s="4">
        <v>6</v>
      </c>
      <c r="G113" s="3" t="str">
        <f>VLOOKUP(C113,JUNIO!C112:G468,5,0)</f>
        <v>Abierta</v>
      </c>
      <c r="H113" s="3" t="s">
        <v>46</v>
      </c>
      <c r="I113" s="3" t="s">
        <v>1030</v>
      </c>
      <c r="J113" s="3" t="s">
        <v>132</v>
      </c>
      <c r="K113" s="3" t="s">
        <v>856</v>
      </c>
      <c r="L113" s="3" t="s">
        <v>40</v>
      </c>
      <c r="M113" s="3" t="s">
        <v>1035</v>
      </c>
      <c r="N113" s="3" t="s">
        <v>865</v>
      </c>
      <c r="O113" s="3" t="s">
        <v>42</v>
      </c>
      <c r="P113" s="42" t="s">
        <v>43</v>
      </c>
      <c r="Q113" s="42">
        <f>VLOOKUP(C113,[2]Export!$C$1:$J$1226,8,0)</f>
        <v>57318229</v>
      </c>
      <c r="R113" s="42" t="s">
        <v>847</v>
      </c>
      <c r="S113" s="2" t="s">
        <v>43</v>
      </c>
    </row>
    <row r="114" spans="3:19" x14ac:dyDescent="0.25">
      <c r="C114" s="3" t="s">
        <v>486</v>
      </c>
      <c r="D114" s="3" t="s">
        <v>487</v>
      </c>
      <c r="E114" s="3" t="s">
        <v>487</v>
      </c>
      <c r="F114" s="4">
        <v>5</v>
      </c>
      <c r="G114" s="3" t="str">
        <f>VLOOKUP(C114,JUNIO!C113:G469,5,0)</f>
        <v>Abierta</v>
      </c>
      <c r="H114" s="3" t="s">
        <v>46</v>
      </c>
      <c r="I114" s="3" t="s">
        <v>1030</v>
      </c>
      <c r="J114" s="3" t="s">
        <v>466</v>
      </c>
      <c r="K114" s="3" t="s">
        <v>51</v>
      </c>
      <c r="L114" s="3" t="s">
        <v>40</v>
      </c>
      <c r="M114" s="3" t="s">
        <v>1035</v>
      </c>
      <c r="N114" s="3" t="s">
        <v>486</v>
      </c>
      <c r="O114" s="3" t="s">
        <v>42</v>
      </c>
      <c r="P114" s="42" t="s">
        <v>43</v>
      </c>
      <c r="Q114" s="42">
        <f>VLOOKUP(C114,[2]Export!$C$1:$J$1226,8,0)</f>
        <v>43508979</v>
      </c>
      <c r="R114" s="42" t="s">
        <v>467</v>
      </c>
      <c r="S114" s="2" t="s">
        <v>43</v>
      </c>
    </row>
    <row r="115" spans="3:19" x14ac:dyDescent="0.25">
      <c r="C115" s="3" t="s">
        <v>673</v>
      </c>
      <c r="D115" s="3" t="s">
        <v>674</v>
      </c>
      <c r="E115" s="3" t="s">
        <v>674</v>
      </c>
      <c r="F115" s="4">
        <v>5.45</v>
      </c>
      <c r="G115" s="3" t="str">
        <f>VLOOKUP(C115,JUNIO!C114:G470,5,0)</f>
        <v>Abierta</v>
      </c>
      <c r="H115" s="3" t="s">
        <v>46</v>
      </c>
      <c r="I115" s="3" t="s">
        <v>1030</v>
      </c>
      <c r="J115" s="3" t="s">
        <v>248</v>
      </c>
      <c r="K115" s="3" t="s">
        <v>51</v>
      </c>
      <c r="L115" s="3" t="s">
        <v>40</v>
      </c>
      <c r="M115" s="3" t="s">
        <v>984</v>
      </c>
      <c r="N115" s="3" t="s">
        <v>673</v>
      </c>
      <c r="O115" s="3" t="s">
        <v>42</v>
      </c>
      <c r="P115" s="42" t="s">
        <v>43</v>
      </c>
      <c r="Q115" s="42">
        <f>VLOOKUP(C115,[2]Export!$C$1:$J$1226,8,0)</f>
        <v>35822896</v>
      </c>
      <c r="R115" s="42" t="s">
        <v>51</v>
      </c>
      <c r="S115" s="2" t="s">
        <v>43</v>
      </c>
    </row>
    <row r="116" spans="3:19" x14ac:dyDescent="0.25">
      <c r="C116" s="3" t="s">
        <v>569</v>
      </c>
      <c r="D116" s="3" t="s">
        <v>570</v>
      </c>
      <c r="E116" s="3" t="s">
        <v>570</v>
      </c>
      <c r="F116" s="4">
        <v>5.45</v>
      </c>
      <c r="G116" s="3" t="str">
        <f>VLOOKUP(C116,JUNIO!C115:G471,5,0)</f>
        <v>Abierta</v>
      </c>
      <c r="H116" s="3" t="s">
        <v>46</v>
      </c>
      <c r="I116" s="3" t="s">
        <v>1030</v>
      </c>
      <c r="J116" s="3" t="s">
        <v>331</v>
      </c>
      <c r="K116" s="3" t="s">
        <v>138</v>
      </c>
      <c r="L116" s="3" t="s">
        <v>40</v>
      </c>
      <c r="M116" s="3" t="s">
        <v>984</v>
      </c>
      <c r="N116" s="3" t="s">
        <v>569</v>
      </c>
      <c r="O116" s="3" t="s">
        <v>42</v>
      </c>
      <c r="P116" s="42" t="s">
        <v>43</v>
      </c>
      <c r="Q116" s="42">
        <f>VLOOKUP(C116,[2]Export!$C$1:$J$1226,8,0)</f>
        <v>51668439</v>
      </c>
      <c r="R116" s="42" t="s">
        <v>557</v>
      </c>
      <c r="S116" s="2" t="s">
        <v>43</v>
      </c>
    </row>
    <row r="117" spans="3:19" x14ac:dyDescent="0.25">
      <c r="C117" s="3" t="s">
        <v>750</v>
      </c>
      <c r="D117" s="3" t="s">
        <v>751</v>
      </c>
      <c r="E117" s="3" t="s">
        <v>751</v>
      </c>
      <c r="F117" s="4">
        <v>5</v>
      </c>
      <c r="G117" s="3" t="str">
        <f>VLOOKUP(C117,JUNIO!C116:G472,5,0)</f>
        <v>Abierta</v>
      </c>
      <c r="H117" s="3" t="s">
        <v>46</v>
      </c>
      <c r="I117" s="3" t="s">
        <v>1031</v>
      </c>
      <c r="J117" s="3" t="s">
        <v>84</v>
      </c>
      <c r="K117" s="3" t="s">
        <v>54</v>
      </c>
      <c r="L117" s="3" t="s">
        <v>55</v>
      </c>
      <c r="M117" s="3" t="s">
        <v>378</v>
      </c>
      <c r="N117" s="3" t="s">
        <v>750</v>
      </c>
      <c r="O117" s="3" t="s">
        <v>42</v>
      </c>
      <c r="P117" s="42" t="s">
        <v>43</v>
      </c>
      <c r="Q117" s="42">
        <f>VLOOKUP(C117,[2]Export!$C$1:$J$1226,8,0)</f>
        <v>45678028</v>
      </c>
      <c r="R117" s="42" t="s">
        <v>741</v>
      </c>
      <c r="S117" s="2" t="s">
        <v>43</v>
      </c>
    </row>
    <row r="118" spans="3:19" x14ac:dyDescent="0.25">
      <c r="C118" s="3" t="s">
        <v>488</v>
      </c>
      <c r="D118" s="3" t="s">
        <v>489</v>
      </c>
      <c r="E118" s="3" t="s">
        <v>490</v>
      </c>
      <c r="F118" s="4">
        <v>5</v>
      </c>
      <c r="G118" s="3" t="str">
        <f>VLOOKUP(C118,JUNIO!C117:G473,5,0)</f>
        <v>Abierta</v>
      </c>
      <c r="H118" s="3" t="s">
        <v>46</v>
      </c>
      <c r="I118" s="3" t="s">
        <v>1030</v>
      </c>
      <c r="J118" s="3" t="s">
        <v>466</v>
      </c>
      <c r="K118" s="3" t="s">
        <v>51</v>
      </c>
      <c r="L118" s="3" t="s">
        <v>40</v>
      </c>
      <c r="M118" s="3" t="s">
        <v>1035</v>
      </c>
      <c r="N118" s="3" t="s">
        <v>488</v>
      </c>
      <c r="O118" s="3" t="s">
        <v>42</v>
      </c>
      <c r="P118" s="42" t="s">
        <v>43</v>
      </c>
      <c r="Q118" s="42">
        <f>VLOOKUP(C118,[2]Export!$C$1:$J$1226,8,0)</f>
        <v>43374876</v>
      </c>
      <c r="R118" s="42" t="s">
        <v>467</v>
      </c>
      <c r="S118" s="2" t="s">
        <v>43</v>
      </c>
    </row>
    <row r="119" spans="3:19" x14ac:dyDescent="0.25">
      <c r="C119" s="3" t="s">
        <v>952</v>
      </c>
      <c r="D119" s="3" t="s">
        <v>953</v>
      </c>
      <c r="E119" s="3" t="s">
        <v>953</v>
      </c>
      <c r="F119" s="4">
        <v>5.45</v>
      </c>
      <c r="G119" s="3" t="str">
        <f>VLOOKUP(C119,JUNIO!C118:G474,5,0)</f>
        <v>Abierta</v>
      </c>
      <c r="H119" s="3" t="s">
        <v>46</v>
      </c>
      <c r="I119" s="3" t="s">
        <v>1030</v>
      </c>
      <c r="J119" s="3" t="s">
        <v>160</v>
      </c>
      <c r="K119" s="3" t="s">
        <v>371</v>
      </c>
      <c r="L119" s="3" t="s">
        <v>40</v>
      </c>
      <c r="M119" s="3" t="s">
        <v>984</v>
      </c>
      <c r="N119" s="3" t="s">
        <v>952</v>
      </c>
      <c r="O119" s="3" t="s">
        <v>42</v>
      </c>
      <c r="P119" s="42" t="s">
        <v>43</v>
      </c>
      <c r="Q119" s="42">
        <f>VLOOKUP(C119,[2]Export!$C$1:$J$1226,8,0)</f>
        <v>46802513</v>
      </c>
      <c r="R119" s="42" t="s">
        <v>931</v>
      </c>
      <c r="S119" s="2" t="s">
        <v>43</v>
      </c>
    </row>
    <row r="120" spans="3:19" x14ac:dyDescent="0.25">
      <c r="C120" s="3" t="s">
        <v>675</v>
      </c>
      <c r="D120" s="3" t="s">
        <v>676</v>
      </c>
      <c r="E120" s="3" t="s">
        <v>676</v>
      </c>
      <c r="F120" s="4">
        <v>5</v>
      </c>
      <c r="G120" s="3" t="str">
        <f>VLOOKUP(C120,JUNIO!C119:G475,5,0)</f>
        <v>Abierta</v>
      </c>
      <c r="H120" s="3" t="s">
        <v>81</v>
      </c>
      <c r="I120" s="3" t="s">
        <v>1030</v>
      </c>
      <c r="J120" s="3" t="s">
        <v>248</v>
      </c>
      <c r="K120" s="3" t="s">
        <v>51</v>
      </c>
      <c r="L120" s="3" t="s">
        <v>40</v>
      </c>
      <c r="M120" s="3" t="s">
        <v>984</v>
      </c>
      <c r="N120" s="3" t="s">
        <v>675</v>
      </c>
      <c r="O120" s="3" t="s">
        <v>42</v>
      </c>
      <c r="P120" s="42" t="s">
        <v>43</v>
      </c>
      <c r="Q120" s="42">
        <f>VLOOKUP(C120,[2]Export!$C$1:$J$1226,8,0)</f>
        <v>41030681</v>
      </c>
      <c r="R120" s="42" t="s">
        <v>51</v>
      </c>
      <c r="S120" s="2" t="s">
        <v>43</v>
      </c>
    </row>
    <row r="121" spans="3:19" x14ac:dyDescent="0.25">
      <c r="C121" s="3" t="s">
        <v>780</v>
      </c>
      <c r="D121" s="3" t="s">
        <v>781</v>
      </c>
      <c r="E121" s="3" t="s">
        <v>781</v>
      </c>
      <c r="F121" s="4">
        <v>5.45</v>
      </c>
      <c r="G121" s="3" t="str">
        <f>VLOOKUP(C121,JUNIO!C120:G476,5,0)</f>
        <v>Abierta</v>
      </c>
      <c r="H121" s="3" t="s">
        <v>46</v>
      </c>
      <c r="I121" s="3" t="s">
        <v>1031</v>
      </c>
      <c r="J121" s="3" t="s">
        <v>89</v>
      </c>
      <c r="K121" s="3" t="s">
        <v>109</v>
      </c>
      <c r="L121" s="3" t="s">
        <v>91</v>
      </c>
      <c r="M121" s="3" t="s">
        <v>378</v>
      </c>
      <c r="N121" s="3" t="s">
        <v>780</v>
      </c>
      <c r="O121" s="3" t="s">
        <v>42</v>
      </c>
      <c r="P121" s="42" t="s">
        <v>43</v>
      </c>
      <c r="Q121" s="42">
        <f>VLOOKUP(C121,[2]Export!$C$1:$J$1226,8,0)</f>
        <v>40957776</v>
      </c>
      <c r="R121" s="42" t="s">
        <v>772</v>
      </c>
      <c r="S121" s="2" t="s">
        <v>43</v>
      </c>
    </row>
    <row r="122" spans="3:19" x14ac:dyDescent="0.25">
      <c r="C122" s="3" t="s">
        <v>628</v>
      </c>
      <c r="D122" s="3" t="s">
        <v>996</v>
      </c>
      <c r="E122" s="3" t="s">
        <v>630</v>
      </c>
      <c r="F122" s="4">
        <v>5.07</v>
      </c>
      <c r="G122" s="3" t="s">
        <v>376</v>
      </c>
      <c r="H122" s="3" t="s">
        <v>46</v>
      </c>
      <c r="I122" s="3" t="s">
        <v>1030</v>
      </c>
      <c r="J122" s="3" t="s">
        <v>50</v>
      </c>
      <c r="K122" s="3" t="s">
        <v>64</v>
      </c>
      <c r="L122" s="3" t="s">
        <v>40</v>
      </c>
      <c r="M122" s="3" t="s">
        <v>514</v>
      </c>
      <c r="N122" s="3" t="s">
        <v>628</v>
      </c>
      <c r="O122" s="3" t="s">
        <v>42</v>
      </c>
      <c r="P122" s="42" t="s">
        <v>43</v>
      </c>
      <c r="Q122" s="42">
        <f>VLOOKUP(C122,[2]Export!$C$1:$J$1226,8,0)</f>
        <v>70</v>
      </c>
      <c r="R122" s="42" t="s">
        <v>597</v>
      </c>
      <c r="S122" s="2" t="s">
        <v>43</v>
      </c>
    </row>
    <row r="123" spans="3:19" x14ac:dyDescent="0.25">
      <c r="C123" s="3" t="s">
        <v>408</v>
      </c>
      <c r="D123" s="3" t="s">
        <v>409</v>
      </c>
      <c r="E123" s="3" t="s">
        <v>410</v>
      </c>
      <c r="F123" s="4">
        <v>5</v>
      </c>
      <c r="G123" s="3" t="str">
        <f>VLOOKUP(C123,JUNIO!C122:G478,5,0)</f>
        <v>Abierta</v>
      </c>
      <c r="H123" s="3" t="s">
        <v>46</v>
      </c>
      <c r="I123" s="3" t="s">
        <v>1031</v>
      </c>
      <c r="J123" s="3" t="s">
        <v>63</v>
      </c>
      <c r="K123" s="3" t="s">
        <v>138</v>
      </c>
      <c r="L123" s="3" t="s">
        <v>40</v>
      </c>
      <c r="M123" s="3" t="s">
        <v>378</v>
      </c>
      <c r="N123" s="3" t="s">
        <v>408</v>
      </c>
      <c r="O123" s="3" t="s">
        <v>42</v>
      </c>
      <c r="P123" s="42" t="s">
        <v>43</v>
      </c>
      <c r="Q123" s="42">
        <f>VLOOKUP(C123,[2]Export!$C$1:$J$1226,8,0)</f>
        <v>48176820</v>
      </c>
      <c r="R123" s="42" t="s">
        <v>380</v>
      </c>
      <c r="S123" s="2" t="s">
        <v>43</v>
      </c>
    </row>
    <row r="124" spans="3:19" x14ac:dyDescent="0.25">
      <c r="C124" s="3" t="s">
        <v>677</v>
      </c>
      <c r="D124" s="3" t="s">
        <v>678</v>
      </c>
      <c r="E124" s="3" t="s">
        <v>679</v>
      </c>
      <c r="F124" s="4">
        <v>5</v>
      </c>
      <c r="G124" s="3" t="str">
        <f>VLOOKUP(C124,JUNIO!C123:G479,5,0)</f>
        <v>Abierta</v>
      </c>
      <c r="H124" s="3" t="s">
        <v>46</v>
      </c>
      <c r="I124" s="3" t="s">
        <v>1030</v>
      </c>
      <c r="J124" s="3" t="s">
        <v>248</v>
      </c>
      <c r="K124" s="3" t="s">
        <v>51</v>
      </c>
      <c r="L124" s="3" t="s">
        <v>40</v>
      </c>
      <c r="M124" s="3" t="s">
        <v>984</v>
      </c>
      <c r="N124" s="3" t="s">
        <v>677</v>
      </c>
      <c r="O124" s="3" t="s">
        <v>42</v>
      </c>
      <c r="P124" s="42" t="s">
        <v>43</v>
      </c>
      <c r="Q124" s="42">
        <f>VLOOKUP(C124,[2]Export!$C$1:$J$1226,8,0)</f>
        <v>49644473</v>
      </c>
      <c r="R124" s="42" t="s">
        <v>51</v>
      </c>
      <c r="S124" s="2" t="s">
        <v>43</v>
      </c>
    </row>
    <row r="125" spans="3:19" x14ac:dyDescent="0.25">
      <c r="C125" s="3" t="s">
        <v>571</v>
      </c>
      <c r="D125" s="3" t="s">
        <v>572</v>
      </c>
      <c r="E125" s="3" t="s">
        <v>572</v>
      </c>
      <c r="F125" s="4">
        <v>6</v>
      </c>
      <c r="G125" s="3" t="str">
        <f>VLOOKUP(C125,JUNIO!C124:G480,5,0)</f>
        <v>Abierta</v>
      </c>
      <c r="H125" s="3" t="s">
        <v>46</v>
      </c>
      <c r="I125" s="3" t="s">
        <v>1030</v>
      </c>
      <c r="J125" s="3" t="s">
        <v>331</v>
      </c>
      <c r="K125" s="3" t="s">
        <v>138</v>
      </c>
      <c r="L125" s="3" t="s">
        <v>40</v>
      </c>
      <c r="M125" s="3" t="s">
        <v>984</v>
      </c>
      <c r="N125" s="3" t="s">
        <v>571</v>
      </c>
      <c r="O125" s="3" t="s">
        <v>42</v>
      </c>
      <c r="P125" s="42" t="s">
        <v>43</v>
      </c>
      <c r="Q125" s="42">
        <f>VLOOKUP(C125,[2]Export!$C$1:$J$1226,8,0)</f>
        <v>58716841</v>
      </c>
      <c r="R125" s="42" t="s">
        <v>557</v>
      </c>
      <c r="S125" s="2" t="s">
        <v>43</v>
      </c>
    </row>
    <row r="126" spans="3:19" x14ac:dyDescent="0.25">
      <c r="C126" s="3" t="s">
        <v>752</v>
      </c>
      <c r="D126" s="3" t="s">
        <v>753</v>
      </c>
      <c r="E126" s="3" t="s">
        <v>753</v>
      </c>
      <c r="F126" s="4">
        <v>8</v>
      </c>
      <c r="G126" s="3" t="str">
        <f>VLOOKUP(C126,JUNIO!C125:G481,5,0)</f>
        <v>Abierta</v>
      </c>
      <c r="H126" s="3" t="s">
        <v>46</v>
      </c>
      <c r="I126" s="3" t="s">
        <v>1031</v>
      </c>
      <c r="J126" s="3" t="s">
        <v>84</v>
      </c>
      <c r="K126" s="3" t="s">
        <v>54</v>
      </c>
      <c r="L126" s="3" t="s">
        <v>55</v>
      </c>
      <c r="M126" s="3" t="s">
        <v>378</v>
      </c>
      <c r="N126" s="3" t="s">
        <v>752</v>
      </c>
      <c r="O126" s="3" t="s">
        <v>379</v>
      </c>
      <c r="P126" s="42" t="s">
        <v>43</v>
      </c>
      <c r="Q126" s="42">
        <f>VLOOKUP(C126,[2]Export!$C$1:$J$1226,8,0)</f>
        <v>55086553</v>
      </c>
      <c r="R126" s="42" t="s">
        <v>741</v>
      </c>
      <c r="S126" s="2" t="s">
        <v>43</v>
      </c>
    </row>
    <row r="127" spans="3:19" x14ac:dyDescent="0.25">
      <c r="C127" s="3" t="s">
        <v>680</v>
      </c>
      <c r="D127" s="3" t="s">
        <v>681</v>
      </c>
      <c r="E127" s="3" t="s">
        <v>682</v>
      </c>
      <c r="F127" s="4">
        <v>5</v>
      </c>
      <c r="G127" s="3" t="str">
        <f>VLOOKUP(C127,JUNIO!C126:G482,5,0)</f>
        <v>Abierta</v>
      </c>
      <c r="H127" s="3" t="s">
        <v>46</v>
      </c>
      <c r="I127" s="3" t="s">
        <v>1030</v>
      </c>
      <c r="J127" s="3" t="s">
        <v>248</v>
      </c>
      <c r="K127" s="3" t="s">
        <v>51</v>
      </c>
      <c r="L127" s="3" t="s">
        <v>40</v>
      </c>
      <c r="M127" s="3" t="s">
        <v>984</v>
      </c>
      <c r="N127" s="3" t="s">
        <v>680</v>
      </c>
      <c r="O127" s="3" t="s">
        <v>42</v>
      </c>
      <c r="P127" s="42" t="s">
        <v>440</v>
      </c>
      <c r="Q127" s="42">
        <f>VLOOKUP(C127,[2]Export!$C$1:$J$1226,8,0)</f>
        <v>29922673</v>
      </c>
      <c r="R127" s="42" t="s">
        <v>51</v>
      </c>
      <c r="S127" s="2" t="s">
        <v>43</v>
      </c>
    </row>
    <row r="128" spans="3:19" x14ac:dyDescent="0.25">
      <c r="C128" s="3" t="s">
        <v>954</v>
      </c>
      <c r="D128" s="3" t="s">
        <v>955</v>
      </c>
      <c r="E128" s="3" t="s">
        <v>956</v>
      </c>
      <c r="F128" s="4">
        <v>5</v>
      </c>
      <c r="G128" s="3" t="str">
        <f>VLOOKUP(C128,JUNIO!C127:G483,5,0)</f>
        <v>Abierta</v>
      </c>
      <c r="H128" s="3" t="s">
        <v>46</v>
      </c>
      <c r="I128" s="3" t="s">
        <v>1030</v>
      </c>
      <c r="J128" s="3" t="s">
        <v>160</v>
      </c>
      <c r="K128" s="3" t="s">
        <v>353</v>
      </c>
      <c r="L128" s="3" t="s">
        <v>40</v>
      </c>
      <c r="M128" s="3" t="s">
        <v>984</v>
      </c>
      <c r="N128" s="3" t="s">
        <v>954</v>
      </c>
      <c r="O128" s="3" t="s">
        <v>42</v>
      </c>
      <c r="P128" s="42" t="s">
        <v>440</v>
      </c>
      <c r="Q128" s="42">
        <f>VLOOKUP(C128,[2]Export!$C$1:$J$1226,8,0)</f>
        <v>41832523</v>
      </c>
      <c r="R128" s="42" t="s">
        <v>931</v>
      </c>
      <c r="S128" s="2" t="s">
        <v>43</v>
      </c>
    </row>
    <row r="129" spans="3:19" x14ac:dyDescent="0.25">
      <c r="C129" s="3" t="s">
        <v>68</v>
      </c>
      <c r="D129" s="3" t="s">
        <v>69</v>
      </c>
      <c r="E129" s="3" t="s">
        <v>70</v>
      </c>
      <c r="F129" s="4" t="s">
        <v>36</v>
      </c>
      <c r="G129" s="3" t="str">
        <f>VLOOKUP(C129,JUNIO!C128:G484,5,0)</f>
        <v>CIERRE DEFINITIVO</v>
      </c>
      <c r="H129" s="3" t="s">
        <v>38</v>
      </c>
      <c r="I129" s="3" t="s">
        <v>1030</v>
      </c>
      <c r="J129" s="3" t="s">
        <v>58</v>
      </c>
      <c r="K129" s="3" t="s">
        <v>64</v>
      </c>
      <c r="L129" s="3" t="s">
        <v>40</v>
      </c>
      <c r="M129" s="3">
        <v>0</v>
      </c>
      <c r="N129" s="3" t="s">
        <v>68</v>
      </c>
      <c r="O129" s="3" t="s">
        <v>42</v>
      </c>
      <c r="P129" s="42" t="s">
        <v>43</v>
      </c>
      <c r="Q129" s="42"/>
      <c r="R129" s="42">
        <v>0</v>
      </c>
      <c r="S129" s="2" t="s">
        <v>43</v>
      </c>
    </row>
    <row r="130" spans="3:19" x14ac:dyDescent="0.25">
      <c r="C130" s="3" t="s">
        <v>867</v>
      </c>
      <c r="D130" s="3" t="s">
        <v>997</v>
      </c>
      <c r="E130" s="3" t="s">
        <v>869</v>
      </c>
      <c r="F130" s="4">
        <v>5</v>
      </c>
      <c r="G130" s="3" t="str">
        <f>VLOOKUP(C130,JUNIO!C129:G485,5,0)</f>
        <v>Abierta</v>
      </c>
      <c r="H130" s="3" t="s">
        <v>46</v>
      </c>
      <c r="I130" s="3" t="s">
        <v>1030</v>
      </c>
      <c r="J130" s="3" t="s">
        <v>132</v>
      </c>
      <c r="K130" s="3" t="s">
        <v>856</v>
      </c>
      <c r="L130" s="3" t="s">
        <v>40</v>
      </c>
      <c r="M130" s="3" t="s">
        <v>1035</v>
      </c>
      <c r="N130" s="3" t="s">
        <v>867</v>
      </c>
      <c r="O130" s="3" t="s">
        <v>42</v>
      </c>
      <c r="P130" s="42" t="s">
        <v>440</v>
      </c>
      <c r="Q130" s="42">
        <f>VLOOKUP(C130,[2]Export!$C$1:$J$1226,8,0)</f>
        <v>37607563</v>
      </c>
      <c r="R130" s="42" t="s">
        <v>847</v>
      </c>
      <c r="S130" s="2" t="s">
        <v>43</v>
      </c>
    </row>
    <row r="131" spans="3:19" x14ac:dyDescent="0.25">
      <c r="C131" s="3" t="s">
        <v>71</v>
      </c>
      <c r="D131" s="3" t="s">
        <v>72</v>
      </c>
      <c r="E131" s="3" t="s">
        <v>72</v>
      </c>
      <c r="F131" s="4">
        <v>0</v>
      </c>
      <c r="G131" s="3" t="str">
        <f>VLOOKUP(C131,JUNIO!C130:G486,5,0)</f>
        <v>CIERRE DEFINITIVO</v>
      </c>
      <c r="H131" s="3" t="s">
        <v>46</v>
      </c>
      <c r="I131" s="3" t="s">
        <v>1030</v>
      </c>
      <c r="J131" s="3" t="s">
        <v>73</v>
      </c>
      <c r="K131" s="3" t="s">
        <v>74</v>
      </c>
      <c r="L131" s="3" t="s">
        <v>40</v>
      </c>
      <c r="M131" s="3">
        <v>0</v>
      </c>
      <c r="N131" s="3" t="s">
        <v>71</v>
      </c>
      <c r="O131" s="3" t="s">
        <v>42</v>
      </c>
      <c r="P131" s="42" t="s">
        <v>43</v>
      </c>
      <c r="Q131" s="42"/>
      <c r="R131" s="42">
        <v>0</v>
      </c>
      <c r="S131" s="2" t="s">
        <v>43</v>
      </c>
    </row>
    <row r="132" spans="3:19" x14ac:dyDescent="0.25">
      <c r="C132" s="3" t="s">
        <v>802</v>
      </c>
      <c r="D132" s="3" t="s">
        <v>803</v>
      </c>
      <c r="E132" s="3" t="s">
        <v>803</v>
      </c>
      <c r="F132" s="4">
        <v>6</v>
      </c>
      <c r="G132" s="3" t="str">
        <f>VLOOKUP(C132,JUNIO!C131:G487,5,0)</f>
        <v>Abierta</v>
      </c>
      <c r="H132" s="3" t="s">
        <v>46</v>
      </c>
      <c r="I132" s="3" t="s">
        <v>1030</v>
      </c>
      <c r="J132" s="3" t="s">
        <v>146</v>
      </c>
      <c r="K132" s="3" t="s">
        <v>59</v>
      </c>
      <c r="L132" s="3" t="s">
        <v>40</v>
      </c>
      <c r="M132" s="3" t="s">
        <v>1035</v>
      </c>
      <c r="N132" s="3" t="s">
        <v>802</v>
      </c>
      <c r="O132" s="3" t="s">
        <v>42</v>
      </c>
      <c r="P132" s="42" t="s">
        <v>43</v>
      </c>
      <c r="Q132" s="42">
        <f>VLOOKUP(C132,[2]Export!$C$1:$J$1226,8,0)</f>
        <v>62735941</v>
      </c>
      <c r="R132" s="42" t="s">
        <v>799</v>
      </c>
      <c r="S132" s="2" t="s">
        <v>43</v>
      </c>
    </row>
    <row r="133" spans="3:19" x14ac:dyDescent="0.25">
      <c r="C133" s="3" t="s">
        <v>957</v>
      </c>
      <c r="D133" s="3" t="s">
        <v>959</v>
      </c>
      <c r="E133" s="3" t="s">
        <v>998</v>
      </c>
      <c r="F133" s="44">
        <v>5.45</v>
      </c>
      <c r="G133" s="3" t="str">
        <f>VLOOKUP(C133,JUNIO!C132:G488,5,0)</f>
        <v>Abierta</v>
      </c>
      <c r="H133" s="3" t="s">
        <v>46</v>
      </c>
      <c r="I133" s="3" t="s">
        <v>1030</v>
      </c>
      <c r="J133" s="3" t="s">
        <v>160</v>
      </c>
      <c r="K133" s="3" t="s">
        <v>39</v>
      </c>
      <c r="L133" s="3" t="s">
        <v>40</v>
      </c>
      <c r="M133" s="3" t="s">
        <v>984</v>
      </c>
      <c r="N133" s="3" t="s">
        <v>957</v>
      </c>
      <c r="O133" s="3" t="s">
        <v>42</v>
      </c>
      <c r="P133" s="42" t="s">
        <v>43</v>
      </c>
      <c r="Q133" s="42">
        <f>VLOOKUP(C133,[2]Export!$C$1:$J$1226,8,0)</f>
        <v>65832113</v>
      </c>
      <c r="R133" s="42" t="s">
        <v>931</v>
      </c>
      <c r="S133" s="2" t="s">
        <v>43</v>
      </c>
    </row>
    <row r="134" spans="3:19" x14ac:dyDescent="0.25">
      <c r="C134" s="3" t="s">
        <v>75</v>
      </c>
      <c r="D134" s="3" t="s">
        <v>76</v>
      </c>
      <c r="E134" s="3" t="s">
        <v>77</v>
      </c>
      <c r="F134" s="4" t="s">
        <v>36</v>
      </c>
      <c r="G134" s="3" t="str">
        <f>VLOOKUP(C134,JUNIO!C133:G489,5,0)</f>
        <v>CIERRE DEFINITIVO</v>
      </c>
      <c r="H134" s="3" t="s">
        <v>38</v>
      </c>
      <c r="I134" s="3" t="s">
        <v>1030</v>
      </c>
      <c r="J134" s="3">
        <v>0</v>
      </c>
      <c r="K134" s="3" t="s">
        <v>78</v>
      </c>
      <c r="L134" s="3" t="s">
        <v>40</v>
      </c>
      <c r="M134" s="3">
        <v>0</v>
      </c>
      <c r="N134" s="3" t="s">
        <v>75</v>
      </c>
      <c r="O134" s="3" t="s">
        <v>42</v>
      </c>
      <c r="P134" s="42" t="s">
        <v>43</v>
      </c>
      <c r="Q134" s="42"/>
      <c r="R134" s="42">
        <v>0</v>
      </c>
      <c r="S134" s="2" t="s">
        <v>43</v>
      </c>
    </row>
    <row r="135" spans="3:19" x14ac:dyDescent="0.25">
      <c r="C135" s="3" t="s">
        <v>491</v>
      </c>
      <c r="D135" s="3" t="s">
        <v>493</v>
      </c>
      <c r="E135" s="3" t="s">
        <v>493</v>
      </c>
      <c r="F135" s="4">
        <v>5</v>
      </c>
      <c r="G135" s="3" t="str">
        <f>VLOOKUP(C135,JUNIO!C134:G490,5,0)</f>
        <v>Abierta</v>
      </c>
      <c r="H135" s="3" t="s">
        <v>46</v>
      </c>
      <c r="I135" s="3" t="s">
        <v>1030</v>
      </c>
      <c r="J135" s="3" t="s">
        <v>466</v>
      </c>
      <c r="K135" s="3" t="s">
        <v>51</v>
      </c>
      <c r="L135" s="3" t="s">
        <v>40</v>
      </c>
      <c r="M135" s="3" t="s">
        <v>1035</v>
      </c>
      <c r="N135" s="3" t="s">
        <v>491</v>
      </c>
      <c r="O135" s="3" t="s">
        <v>42</v>
      </c>
      <c r="P135" s="42" t="s">
        <v>43</v>
      </c>
      <c r="Q135" s="42">
        <f>VLOOKUP(C135,[2]Export!$C$1:$J$1226,8,0)</f>
        <v>28917528</v>
      </c>
      <c r="R135" s="42" t="s">
        <v>467</v>
      </c>
      <c r="S135" s="2" t="s">
        <v>43</v>
      </c>
    </row>
    <row r="136" spans="3:19" x14ac:dyDescent="0.25">
      <c r="C136" s="3" t="s">
        <v>494</v>
      </c>
      <c r="D136" s="3" t="s">
        <v>496</v>
      </c>
      <c r="E136" s="3" t="s">
        <v>496</v>
      </c>
      <c r="F136" s="4">
        <v>5</v>
      </c>
      <c r="G136" s="3" t="str">
        <f>VLOOKUP(C136,JUNIO!C135:G491,5,0)</f>
        <v>TRANSFORMACION</v>
      </c>
      <c r="H136" s="3" t="s">
        <v>46</v>
      </c>
      <c r="I136" s="3" t="s">
        <v>1030</v>
      </c>
      <c r="J136" s="3" t="s">
        <v>466</v>
      </c>
      <c r="K136" s="3" t="s">
        <v>51</v>
      </c>
      <c r="L136" s="3" t="s">
        <v>40</v>
      </c>
      <c r="M136" s="3" t="s">
        <v>1035</v>
      </c>
      <c r="N136" s="3" t="s">
        <v>494</v>
      </c>
      <c r="O136" s="3" t="s">
        <v>42</v>
      </c>
      <c r="P136" s="42" t="s">
        <v>43</v>
      </c>
      <c r="Q136" s="42">
        <f>VLOOKUP(C136,[2]Export!$C$1:$J$1226,8,0)</f>
        <v>23004136</v>
      </c>
      <c r="R136" s="42" t="s">
        <v>467</v>
      </c>
      <c r="S136" s="2" t="s">
        <v>43</v>
      </c>
    </row>
    <row r="137" spans="3:19" x14ac:dyDescent="0.25">
      <c r="C137" s="3" t="s">
        <v>542</v>
      </c>
      <c r="D137" s="3" t="s">
        <v>543</v>
      </c>
      <c r="E137" s="3" t="s">
        <v>543</v>
      </c>
      <c r="F137" s="4">
        <v>6</v>
      </c>
      <c r="G137" s="3" t="str">
        <f>VLOOKUP(C137,JUNIO!C136:G492,5,0)</f>
        <v>Abierta</v>
      </c>
      <c r="H137" s="3" t="s">
        <v>46</v>
      </c>
      <c r="I137" s="3" t="s">
        <v>1030</v>
      </c>
      <c r="J137" s="3" t="s">
        <v>100</v>
      </c>
      <c r="K137" s="3" t="s">
        <v>138</v>
      </c>
      <c r="L137" s="3" t="s">
        <v>40</v>
      </c>
      <c r="M137" s="3" t="s">
        <v>514</v>
      </c>
      <c r="N137" s="3" t="s">
        <v>542</v>
      </c>
      <c r="O137" s="3" t="s">
        <v>42</v>
      </c>
      <c r="P137" s="42" t="s">
        <v>43</v>
      </c>
      <c r="Q137" s="42">
        <f>VLOOKUP(C137,[2]Export!$C$1:$J$1226,8,0)</f>
        <v>60976750</v>
      </c>
      <c r="R137" s="42" t="s">
        <v>515</v>
      </c>
      <c r="S137" s="2" t="s">
        <v>43</v>
      </c>
    </row>
    <row r="138" spans="3:19" x14ac:dyDescent="0.25">
      <c r="C138" s="3" t="s">
        <v>544</v>
      </c>
      <c r="D138" s="3" t="s">
        <v>545</v>
      </c>
      <c r="E138" s="3" t="s">
        <v>545</v>
      </c>
      <c r="F138" s="4">
        <v>5</v>
      </c>
      <c r="G138" s="3" t="str">
        <f>VLOOKUP(C138,JUNIO!C137:G493,5,0)</f>
        <v>Abierta</v>
      </c>
      <c r="H138" s="3" t="s">
        <v>46</v>
      </c>
      <c r="I138" s="3" t="s">
        <v>1030</v>
      </c>
      <c r="J138" s="3" t="s">
        <v>100</v>
      </c>
      <c r="K138" s="3" t="s">
        <v>138</v>
      </c>
      <c r="L138" s="3" t="s">
        <v>40</v>
      </c>
      <c r="M138" s="3" t="s">
        <v>514</v>
      </c>
      <c r="N138" s="3" t="s">
        <v>544</v>
      </c>
      <c r="O138" s="3" t="s">
        <v>42</v>
      </c>
      <c r="P138" s="42" t="s">
        <v>43</v>
      </c>
      <c r="Q138" s="42">
        <f>VLOOKUP(C138,[2]Export!$C$1:$J$1226,8,0)</f>
        <v>43002505</v>
      </c>
      <c r="R138" s="42" t="s">
        <v>515</v>
      </c>
      <c r="S138" s="2" t="s">
        <v>43</v>
      </c>
    </row>
    <row r="139" spans="3:19" x14ac:dyDescent="0.25">
      <c r="C139" s="3" t="s">
        <v>810</v>
      </c>
      <c r="D139" s="3" t="s">
        <v>811</v>
      </c>
      <c r="E139" s="3" t="s">
        <v>811</v>
      </c>
      <c r="F139" s="4">
        <v>5</v>
      </c>
      <c r="G139" s="3" t="str">
        <f>VLOOKUP(C139,JUNIO!C138:G494,5,0)</f>
        <v>Abierta</v>
      </c>
      <c r="H139" s="3" t="s">
        <v>46</v>
      </c>
      <c r="I139" s="3" t="s">
        <v>1030</v>
      </c>
      <c r="J139" s="3" t="s">
        <v>146</v>
      </c>
      <c r="K139" s="3" t="s">
        <v>59</v>
      </c>
      <c r="L139" s="3" t="s">
        <v>40</v>
      </c>
      <c r="M139" s="3" t="s">
        <v>1035</v>
      </c>
      <c r="N139" s="3" t="s">
        <v>810</v>
      </c>
      <c r="O139" s="3" t="s">
        <v>42</v>
      </c>
      <c r="P139" s="42" t="s">
        <v>43</v>
      </c>
      <c r="Q139" s="42">
        <f>VLOOKUP(C139,[2]Export!$C$1:$J$1226,8,0)</f>
        <v>38492211</v>
      </c>
      <c r="R139" s="42" t="s">
        <v>799</v>
      </c>
      <c r="S139" s="2" t="s">
        <v>43</v>
      </c>
    </row>
    <row r="140" spans="3:19" x14ac:dyDescent="0.25">
      <c r="C140" s="3" t="s">
        <v>79</v>
      </c>
      <c r="D140" s="3" t="s">
        <v>80</v>
      </c>
      <c r="E140" s="3" t="s">
        <v>80</v>
      </c>
      <c r="F140" s="4" t="s">
        <v>36</v>
      </c>
      <c r="G140" s="3" t="str">
        <f>VLOOKUP(C140,JUNIO!C139:G495,5,0)</f>
        <v>CIERRE DEFINITIVO</v>
      </c>
      <c r="H140" s="3" t="s">
        <v>81</v>
      </c>
      <c r="I140" s="3" t="s">
        <v>1030</v>
      </c>
      <c r="J140" s="3">
        <v>0</v>
      </c>
      <c r="K140" s="3" t="s">
        <v>59</v>
      </c>
      <c r="L140" s="3" t="s">
        <v>40</v>
      </c>
      <c r="M140" s="3">
        <v>0</v>
      </c>
      <c r="N140" s="3" t="s">
        <v>79</v>
      </c>
      <c r="O140" s="3" t="s">
        <v>42</v>
      </c>
      <c r="P140" s="42" t="s">
        <v>43</v>
      </c>
      <c r="Q140" s="42"/>
      <c r="R140" s="42">
        <v>0</v>
      </c>
      <c r="S140" s="2" t="s">
        <v>43</v>
      </c>
    </row>
    <row r="141" spans="3:19" x14ac:dyDescent="0.25">
      <c r="C141" s="3" t="s">
        <v>870</v>
      </c>
      <c r="D141" s="3" t="s">
        <v>871</v>
      </c>
      <c r="E141" s="3" t="s">
        <v>871</v>
      </c>
      <c r="F141" s="4">
        <v>5</v>
      </c>
      <c r="G141" s="3" t="str">
        <f>VLOOKUP(C141,JUNIO!C140:G496,5,0)</f>
        <v>Abierta</v>
      </c>
      <c r="H141" s="3" t="s">
        <v>46</v>
      </c>
      <c r="I141" s="3" t="s">
        <v>1030</v>
      </c>
      <c r="J141" s="3" t="s">
        <v>132</v>
      </c>
      <c r="K141" s="3" t="s">
        <v>856</v>
      </c>
      <c r="L141" s="3" t="s">
        <v>40</v>
      </c>
      <c r="M141" s="3" t="s">
        <v>1035</v>
      </c>
      <c r="N141" s="3" t="s">
        <v>870</v>
      </c>
      <c r="O141" s="3" t="s">
        <v>42</v>
      </c>
      <c r="P141" s="42" t="s">
        <v>43</v>
      </c>
      <c r="Q141" s="42">
        <f>VLOOKUP(C141,[2]Export!$C$1:$J$1226,8,0)</f>
        <v>42754162</v>
      </c>
      <c r="R141" s="42" t="s">
        <v>847</v>
      </c>
      <c r="S141" s="2" t="s">
        <v>43</v>
      </c>
    </row>
    <row r="142" spans="3:19" x14ac:dyDescent="0.25">
      <c r="C142" s="3">
        <v>50096</v>
      </c>
      <c r="D142" s="3" t="s">
        <v>683</v>
      </c>
      <c r="E142" s="3" t="s">
        <v>684</v>
      </c>
      <c r="F142" s="4">
        <v>5</v>
      </c>
      <c r="G142" s="3" t="str">
        <f>VLOOKUP(C142,JUNIO!C141:G497,5,0)</f>
        <v>Abierta</v>
      </c>
      <c r="H142" s="3" t="s">
        <v>81</v>
      </c>
      <c r="I142" s="3" t="s">
        <v>1030</v>
      </c>
      <c r="J142" s="3" t="s">
        <v>248</v>
      </c>
      <c r="K142" s="3" t="s">
        <v>51</v>
      </c>
      <c r="L142" s="3" t="s">
        <v>40</v>
      </c>
      <c r="M142" s="3" t="s">
        <v>984</v>
      </c>
      <c r="N142" s="3">
        <v>50096</v>
      </c>
      <c r="O142" s="3" t="s">
        <v>42</v>
      </c>
      <c r="P142" s="42" t="s">
        <v>43</v>
      </c>
      <c r="Q142" s="42"/>
      <c r="R142" s="42" t="s">
        <v>51</v>
      </c>
      <c r="S142" s="2" t="s">
        <v>440</v>
      </c>
    </row>
    <row r="143" spans="3:19" x14ac:dyDescent="0.25">
      <c r="C143" s="3">
        <v>50724</v>
      </c>
      <c r="D143" s="3" t="s">
        <v>900</v>
      </c>
      <c r="E143" s="3" t="s">
        <v>900</v>
      </c>
      <c r="F143" s="4">
        <v>5</v>
      </c>
      <c r="G143" s="3" t="str">
        <f>VLOOKUP(C143,JUNIO!C142:G498,5,0)</f>
        <v>Abierta</v>
      </c>
      <c r="H143" s="3" t="s">
        <v>46</v>
      </c>
      <c r="I143" s="3" t="s">
        <v>1030</v>
      </c>
      <c r="J143" s="3" t="s">
        <v>73</v>
      </c>
      <c r="K143" s="3" t="s">
        <v>609</v>
      </c>
      <c r="L143" s="3" t="s">
        <v>40</v>
      </c>
      <c r="M143" s="3" t="s">
        <v>514</v>
      </c>
      <c r="N143" s="3">
        <v>50724</v>
      </c>
      <c r="O143" s="3" t="s">
        <v>42</v>
      </c>
      <c r="P143" s="42" t="s">
        <v>43</v>
      </c>
      <c r="Q143" s="42"/>
      <c r="R143" s="42" t="s">
        <v>886</v>
      </c>
      <c r="S143" s="2" t="s">
        <v>43</v>
      </c>
    </row>
    <row r="144" spans="3:19" x14ac:dyDescent="0.25">
      <c r="C144" s="3">
        <v>50863</v>
      </c>
      <c r="D144" s="3" t="s">
        <v>901</v>
      </c>
      <c r="E144" s="3" t="s">
        <v>902</v>
      </c>
      <c r="F144" s="4">
        <v>5</v>
      </c>
      <c r="G144" s="3" t="str">
        <f>VLOOKUP(C144,JUNIO!C143:G499,5,0)</f>
        <v>Abierta</v>
      </c>
      <c r="H144" s="3" t="s">
        <v>81</v>
      </c>
      <c r="I144" s="3" t="s">
        <v>1030</v>
      </c>
      <c r="J144" s="3" t="s">
        <v>73</v>
      </c>
      <c r="K144" s="3" t="s">
        <v>364</v>
      </c>
      <c r="L144" s="3" t="s">
        <v>40</v>
      </c>
      <c r="M144" s="3" t="s">
        <v>514</v>
      </c>
      <c r="N144" s="3">
        <v>50863</v>
      </c>
      <c r="O144" s="3" t="s">
        <v>42</v>
      </c>
      <c r="P144" s="42" t="s">
        <v>43</v>
      </c>
      <c r="Q144" s="42"/>
      <c r="R144" s="42" t="s">
        <v>886</v>
      </c>
      <c r="S144" s="2" t="s">
        <v>43</v>
      </c>
    </row>
    <row r="145" spans="3:19" x14ac:dyDescent="0.25">
      <c r="C145" s="3" t="s">
        <v>82</v>
      </c>
      <c r="D145" s="3" t="s">
        <v>83</v>
      </c>
      <c r="E145" s="3" t="s">
        <v>83</v>
      </c>
      <c r="F145" s="4" t="s">
        <v>36</v>
      </c>
      <c r="G145" s="3" t="str">
        <f>VLOOKUP(C145,JUNIO!C144:G500,5,0)</f>
        <v>CIERRE DEFINITIVO</v>
      </c>
      <c r="H145" s="3" t="s">
        <v>81</v>
      </c>
      <c r="I145" s="3" t="s">
        <v>1030</v>
      </c>
      <c r="J145" s="3" t="s">
        <v>84</v>
      </c>
      <c r="K145" s="3" t="s">
        <v>85</v>
      </c>
      <c r="L145" s="3" t="s">
        <v>55</v>
      </c>
      <c r="M145" s="3">
        <v>0</v>
      </c>
      <c r="N145" s="3" t="s">
        <v>82</v>
      </c>
      <c r="O145" s="3" t="s">
        <v>42</v>
      </c>
      <c r="P145" s="42" t="s">
        <v>43</v>
      </c>
      <c r="Q145" s="42"/>
      <c r="R145" s="42">
        <v>0</v>
      </c>
      <c r="S145" s="2" t="s">
        <v>43</v>
      </c>
    </row>
    <row r="146" spans="3:19" x14ac:dyDescent="0.25">
      <c r="C146" s="3" t="s">
        <v>86</v>
      </c>
      <c r="D146" s="3" t="s">
        <v>87</v>
      </c>
      <c r="E146" s="3" t="s">
        <v>87</v>
      </c>
      <c r="F146" s="4" t="s">
        <v>36</v>
      </c>
      <c r="G146" s="3" t="str">
        <f>VLOOKUP(C146,JUNIO!C145:G501,5,0)</f>
        <v>CIERRE DEFINITIVO</v>
      </c>
      <c r="H146" s="3" t="s">
        <v>88</v>
      </c>
      <c r="I146" s="3" t="s">
        <v>1030</v>
      </c>
      <c r="J146" s="3" t="s">
        <v>89</v>
      </c>
      <c r="K146" s="3" t="s">
        <v>90</v>
      </c>
      <c r="L146" s="3" t="s">
        <v>91</v>
      </c>
      <c r="M146" s="3">
        <v>0</v>
      </c>
      <c r="N146" s="3" t="s">
        <v>86</v>
      </c>
      <c r="O146" s="3" t="s">
        <v>42</v>
      </c>
      <c r="P146" s="42" t="s">
        <v>43</v>
      </c>
      <c r="Q146" s="42"/>
      <c r="R146" s="42">
        <v>0</v>
      </c>
      <c r="S146" s="2" t="s">
        <v>43</v>
      </c>
    </row>
    <row r="147" spans="3:19" x14ac:dyDescent="0.25">
      <c r="C147" s="3" t="s">
        <v>576</v>
      </c>
      <c r="D147" s="3" t="s">
        <v>577</v>
      </c>
      <c r="E147" s="3" t="s">
        <v>577</v>
      </c>
      <c r="F147" s="4">
        <v>5</v>
      </c>
      <c r="G147" s="3" t="str">
        <f>VLOOKUP(C147,JUNIO!C146:G502,5,0)</f>
        <v>Abierta</v>
      </c>
      <c r="H147" s="3" t="s">
        <v>46</v>
      </c>
      <c r="I147" s="3" t="s">
        <v>1030</v>
      </c>
      <c r="J147" s="3" t="s">
        <v>331</v>
      </c>
      <c r="K147" s="3" t="s">
        <v>138</v>
      </c>
      <c r="L147" s="3" t="s">
        <v>40</v>
      </c>
      <c r="M147" s="3" t="s">
        <v>984</v>
      </c>
      <c r="N147" s="3" t="s">
        <v>576</v>
      </c>
      <c r="O147" s="3" t="s">
        <v>42</v>
      </c>
      <c r="P147" s="42" t="s">
        <v>43</v>
      </c>
      <c r="Q147" s="42">
        <f>VLOOKUP(C147,[2]Export!$C$1:$J$1226,8,0)</f>
        <v>46952426</v>
      </c>
      <c r="R147" s="42" t="s">
        <v>557</v>
      </c>
      <c r="S147" s="2" t="s">
        <v>43</v>
      </c>
    </row>
    <row r="148" spans="3:19" x14ac:dyDescent="0.25">
      <c r="C148" s="3" t="s">
        <v>92</v>
      </c>
      <c r="D148" s="3" t="s">
        <v>93</v>
      </c>
      <c r="E148" s="3" t="s">
        <v>93</v>
      </c>
      <c r="F148" s="4" t="s">
        <v>36</v>
      </c>
      <c r="G148" s="3" t="str">
        <f>VLOOKUP(C148,JUNIO!C147:G503,5,0)</f>
        <v>CIERRE DEFINITIVO</v>
      </c>
      <c r="H148" s="3" t="s">
        <v>81</v>
      </c>
      <c r="I148" s="3" t="s">
        <v>1030</v>
      </c>
      <c r="J148" s="3" t="s">
        <v>94</v>
      </c>
      <c r="K148" s="3" t="s">
        <v>64</v>
      </c>
      <c r="L148" s="3" t="s">
        <v>40</v>
      </c>
      <c r="M148" s="3">
        <v>0</v>
      </c>
      <c r="N148" s="3" t="s">
        <v>92</v>
      </c>
      <c r="O148" s="3" t="s">
        <v>42</v>
      </c>
      <c r="P148" s="42" t="s">
        <v>43</v>
      </c>
      <c r="Q148" s="42"/>
      <c r="R148" s="42">
        <v>0</v>
      </c>
      <c r="S148" s="2" t="s">
        <v>43</v>
      </c>
    </row>
    <row r="149" spans="3:19" x14ac:dyDescent="0.25">
      <c r="C149" s="3" t="s">
        <v>782</v>
      </c>
      <c r="D149" s="3" t="s">
        <v>783</v>
      </c>
      <c r="E149" s="3" t="s">
        <v>783</v>
      </c>
      <c r="F149" s="4">
        <v>5</v>
      </c>
      <c r="G149" s="3" t="str">
        <f>VLOOKUP(C149,JUNIO!C148:G504,5,0)</f>
        <v>Abierta</v>
      </c>
      <c r="H149" s="3" t="s">
        <v>81</v>
      </c>
      <c r="I149" s="3" t="s">
        <v>1031</v>
      </c>
      <c r="J149" s="3" t="s">
        <v>89</v>
      </c>
      <c r="K149" s="3" t="s">
        <v>103</v>
      </c>
      <c r="L149" s="3" t="s">
        <v>104</v>
      </c>
      <c r="M149" s="3" t="s">
        <v>378</v>
      </c>
      <c r="N149" s="3" t="s">
        <v>782</v>
      </c>
      <c r="O149" s="3" t="s">
        <v>42</v>
      </c>
      <c r="P149" s="42" t="s">
        <v>43</v>
      </c>
      <c r="Q149" s="42">
        <f>VLOOKUP(C149,[2]Export!$C$1:$J$1226,8,0)</f>
        <v>27881148</v>
      </c>
      <c r="R149" s="42" t="s">
        <v>772</v>
      </c>
      <c r="S149" s="2" t="s">
        <v>43</v>
      </c>
    </row>
    <row r="150" spans="3:19" x14ac:dyDescent="0.25">
      <c r="C150" s="3" t="s">
        <v>95</v>
      </c>
      <c r="D150" s="3" t="s">
        <v>96</v>
      </c>
      <c r="E150" s="3" t="s">
        <v>96</v>
      </c>
      <c r="F150" s="4" t="s">
        <v>36</v>
      </c>
      <c r="G150" s="3" t="str">
        <f>VLOOKUP(C150,JUNIO!C149:G505,5,0)</f>
        <v>CIERRE DEFINITIVO</v>
      </c>
      <c r="H150" s="3" t="s">
        <v>81</v>
      </c>
      <c r="I150" s="3" t="s">
        <v>1030</v>
      </c>
      <c r="J150" s="3">
        <v>0</v>
      </c>
      <c r="K150" s="3" t="s">
        <v>97</v>
      </c>
      <c r="L150" s="3" t="s">
        <v>40</v>
      </c>
      <c r="M150" s="3">
        <v>0</v>
      </c>
      <c r="N150" s="3" t="s">
        <v>95</v>
      </c>
      <c r="O150" s="3" t="s">
        <v>42</v>
      </c>
      <c r="P150" s="42" t="s">
        <v>43</v>
      </c>
      <c r="Q150" s="42"/>
      <c r="R150" s="42">
        <v>0</v>
      </c>
      <c r="S150" s="2" t="s">
        <v>43</v>
      </c>
    </row>
    <row r="151" spans="3:19" x14ac:dyDescent="0.25">
      <c r="C151" s="3" t="s">
        <v>98</v>
      </c>
      <c r="D151" s="3" t="s">
        <v>99</v>
      </c>
      <c r="E151" s="3" t="s">
        <v>99</v>
      </c>
      <c r="F151" s="4" t="s">
        <v>36</v>
      </c>
      <c r="G151" s="3" t="str">
        <f>VLOOKUP(C151,JUNIO!C150:G506,5,0)</f>
        <v>CIERRE DEFINITIVO</v>
      </c>
      <c r="H151" s="3" t="s">
        <v>81</v>
      </c>
      <c r="I151" s="3" t="s">
        <v>1030</v>
      </c>
      <c r="J151" s="3" t="s">
        <v>100</v>
      </c>
      <c r="K151" s="3" t="s">
        <v>59</v>
      </c>
      <c r="L151" s="3" t="s">
        <v>40</v>
      </c>
      <c r="M151" s="3">
        <v>0</v>
      </c>
      <c r="N151" s="3" t="s">
        <v>98</v>
      </c>
      <c r="O151" s="3" t="s">
        <v>42</v>
      </c>
      <c r="P151" s="42" t="s">
        <v>43</v>
      </c>
      <c r="Q151" s="42"/>
      <c r="R151" s="42">
        <v>0</v>
      </c>
      <c r="S151" s="2" t="s">
        <v>43</v>
      </c>
    </row>
    <row r="152" spans="3:19" x14ac:dyDescent="0.25">
      <c r="C152" s="3" t="s">
        <v>712</v>
      </c>
      <c r="D152" s="3" t="s">
        <v>713</v>
      </c>
      <c r="E152" s="3" t="s">
        <v>713</v>
      </c>
      <c r="F152" s="4">
        <v>5</v>
      </c>
      <c r="G152" s="3" t="str">
        <f>VLOOKUP(C152,JUNIO!C151:G507,5,0)</f>
        <v>Abierta</v>
      </c>
      <c r="H152" s="3" t="s">
        <v>46</v>
      </c>
      <c r="I152" s="3" t="s">
        <v>1031</v>
      </c>
      <c r="J152" s="3" t="s">
        <v>84</v>
      </c>
      <c r="K152" s="3" t="s">
        <v>54</v>
      </c>
      <c r="L152" s="3" t="s">
        <v>55</v>
      </c>
      <c r="M152" s="3" t="s">
        <v>378</v>
      </c>
      <c r="N152" s="3" t="s">
        <v>712</v>
      </c>
      <c r="O152" s="3" t="s">
        <v>42</v>
      </c>
      <c r="P152" s="42" t="s">
        <v>43</v>
      </c>
      <c r="Q152" s="42">
        <f>VLOOKUP(C152,[2]Export!$C$1:$J$1226,8,0)</f>
        <v>28514565</v>
      </c>
      <c r="R152" s="42" t="s">
        <v>702</v>
      </c>
      <c r="S152" s="2" t="s">
        <v>43</v>
      </c>
    </row>
    <row r="153" spans="3:19" x14ac:dyDescent="0.25">
      <c r="C153" s="3" t="s">
        <v>101</v>
      </c>
      <c r="D153" s="3" t="s">
        <v>102</v>
      </c>
      <c r="E153" s="3" t="s">
        <v>102</v>
      </c>
      <c r="F153" s="4" t="s">
        <v>36</v>
      </c>
      <c r="G153" s="3" t="str">
        <f>VLOOKUP(C153,JUNIO!C152:G508,5,0)</f>
        <v>CIERRE DEFINITIVO</v>
      </c>
      <c r="H153" s="3" t="s">
        <v>81</v>
      </c>
      <c r="I153" s="3" t="s">
        <v>1030</v>
      </c>
      <c r="J153" s="3" t="s">
        <v>73</v>
      </c>
      <c r="K153" s="3" t="s">
        <v>103</v>
      </c>
      <c r="L153" s="3" t="s">
        <v>104</v>
      </c>
      <c r="M153" s="3">
        <v>0</v>
      </c>
      <c r="N153" s="3" t="s">
        <v>101</v>
      </c>
      <c r="O153" s="3" t="s">
        <v>42</v>
      </c>
      <c r="P153" s="42" t="s">
        <v>43</v>
      </c>
      <c r="Q153" s="42"/>
      <c r="R153" s="42">
        <v>0</v>
      </c>
      <c r="S153" s="2" t="s">
        <v>43</v>
      </c>
    </row>
    <row r="154" spans="3:19" x14ac:dyDescent="0.25">
      <c r="C154" s="3" t="s">
        <v>105</v>
      </c>
      <c r="D154" s="3" t="s">
        <v>106</v>
      </c>
      <c r="E154" s="3" t="s">
        <v>106</v>
      </c>
      <c r="F154" s="4" t="s">
        <v>36</v>
      </c>
      <c r="G154" s="3" t="str">
        <f>VLOOKUP(C154,JUNIO!C153:G509,5,0)</f>
        <v>CIERRE DEFINITIVO</v>
      </c>
      <c r="H154" s="3" t="s">
        <v>81</v>
      </c>
      <c r="I154" s="3" t="s">
        <v>1030</v>
      </c>
      <c r="J154" s="3" t="s">
        <v>100</v>
      </c>
      <c r="K154" s="3" t="s">
        <v>59</v>
      </c>
      <c r="L154" s="3" t="s">
        <v>40</v>
      </c>
      <c r="M154" s="3">
        <v>0</v>
      </c>
      <c r="N154" s="3" t="s">
        <v>105</v>
      </c>
      <c r="O154" s="3" t="s">
        <v>42</v>
      </c>
      <c r="P154" s="42" t="s">
        <v>43</v>
      </c>
      <c r="Q154" s="42"/>
      <c r="R154" s="42">
        <v>0</v>
      </c>
      <c r="S154" s="2" t="s">
        <v>43</v>
      </c>
    </row>
    <row r="155" spans="3:19" x14ac:dyDescent="0.25">
      <c r="C155" s="3" t="s">
        <v>903</v>
      </c>
      <c r="D155" s="3" t="s">
        <v>904</v>
      </c>
      <c r="E155" s="3" t="s">
        <v>904</v>
      </c>
      <c r="F155" s="4">
        <v>5</v>
      </c>
      <c r="G155" s="3" t="str">
        <f>VLOOKUP(C155,JUNIO!C154:G510,5,0)</f>
        <v>Abierta</v>
      </c>
      <c r="H155" s="3" t="s">
        <v>46</v>
      </c>
      <c r="I155" s="3" t="s">
        <v>1030</v>
      </c>
      <c r="J155" s="3" t="s">
        <v>73</v>
      </c>
      <c r="K155" s="3" t="s">
        <v>47</v>
      </c>
      <c r="L155" s="3" t="s">
        <v>40</v>
      </c>
      <c r="M155" s="3" t="s">
        <v>514</v>
      </c>
      <c r="N155" s="3" t="s">
        <v>903</v>
      </c>
      <c r="O155" s="3" t="s">
        <v>42</v>
      </c>
      <c r="P155" s="42" t="s">
        <v>43</v>
      </c>
      <c r="Q155" s="42">
        <f>VLOOKUP(C155,[2]Export!$C$1:$J$1226,8,0)</f>
        <v>31926314</v>
      </c>
      <c r="R155" s="42" t="s">
        <v>886</v>
      </c>
      <c r="S155" s="2" t="s">
        <v>43</v>
      </c>
    </row>
    <row r="156" spans="3:19" x14ac:dyDescent="0.25">
      <c r="C156" s="3" t="s">
        <v>107</v>
      </c>
      <c r="D156" s="3" t="s">
        <v>108</v>
      </c>
      <c r="E156" s="3" t="s">
        <v>108</v>
      </c>
      <c r="F156" s="4" t="s">
        <v>36</v>
      </c>
      <c r="G156" s="3" t="str">
        <f>VLOOKUP(C156,JUNIO!C155:G511,5,0)</f>
        <v>CIERRE DEFINITIVO</v>
      </c>
      <c r="H156" s="3" t="s">
        <v>81</v>
      </c>
      <c r="I156" s="3" t="s">
        <v>1030</v>
      </c>
      <c r="J156" s="3" t="s">
        <v>89</v>
      </c>
      <c r="K156" s="3" t="s">
        <v>109</v>
      </c>
      <c r="L156" s="3" t="s">
        <v>91</v>
      </c>
      <c r="M156" s="3">
        <v>0</v>
      </c>
      <c r="N156" s="3" t="s">
        <v>107</v>
      </c>
      <c r="O156" s="3" t="s">
        <v>42</v>
      </c>
      <c r="P156" s="42" t="s">
        <v>43</v>
      </c>
      <c r="Q156" s="42"/>
      <c r="R156" s="42" t="s">
        <v>772</v>
      </c>
      <c r="S156" s="2" t="s">
        <v>43</v>
      </c>
    </row>
    <row r="157" spans="3:19" x14ac:dyDescent="0.25">
      <c r="C157" s="3" t="s">
        <v>110</v>
      </c>
      <c r="D157" s="3" t="s">
        <v>111</v>
      </c>
      <c r="E157" s="3" t="s">
        <v>111</v>
      </c>
      <c r="F157" s="4" t="s">
        <v>36</v>
      </c>
      <c r="G157" s="3" t="str">
        <f>VLOOKUP(C157,JUNIO!C156:G512,5,0)</f>
        <v>CIERRE DEFINITIVO</v>
      </c>
      <c r="H157" s="3" t="s">
        <v>81</v>
      </c>
      <c r="I157" s="3" t="s">
        <v>1030</v>
      </c>
      <c r="J157" s="3" t="s">
        <v>58</v>
      </c>
      <c r="K157" s="3" t="s">
        <v>59</v>
      </c>
      <c r="L157" s="3" t="s">
        <v>40</v>
      </c>
      <c r="M157" s="3">
        <v>0</v>
      </c>
      <c r="N157" s="3" t="s">
        <v>110</v>
      </c>
      <c r="O157" s="3" t="s">
        <v>42</v>
      </c>
      <c r="P157" s="42" t="s">
        <v>43</v>
      </c>
      <c r="Q157" s="42"/>
      <c r="R157" s="42">
        <v>0</v>
      </c>
      <c r="S157" s="2" t="s">
        <v>43</v>
      </c>
    </row>
    <row r="158" spans="3:19" x14ac:dyDescent="0.25">
      <c r="C158" s="3" t="s">
        <v>112</v>
      </c>
      <c r="D158" s="3" t="s">
        <v>113</v>
      </c>
      <c r="E158" s="3" t="s">
        <v>114</v>
      </c>
      <c r="F158" s="4" t="s">
        <v>36</v>
      </c>
      <c r="G158" s="3" t="str">
        <f>VLOOKUP(C158,JUNIO!C157:G513,5,0)</f>
        <v>CIERRE DEFINITIVO</v>
      </c>
      <c r="H158" s="3" t="s">
        <v>81</v>
      </c>
      <c r="I158" s="3" t="s">
        <v>1031</v>
      </c>
      <c r="J158" s="3" t="s">
        <v>73</v>
      </c>
      <c r="K158" s="3" t="s">
        <v>115</v>
      </c>
      <c r="L158" s="3" t="s">
        <v>116</v>
      </c>
      <c r="M158" s="3">
        <v>0</v>
      </c>
      <c r="N158" s="3" t="s">
        <v>112</v>
      </c>
      <c r="O158" s="3" t="s">
        <v>42</v>
      </c>
      <c r="P158" s="42" t="s">
        <v>43</v>
      </c>
      <c r="Q158" s="42"/>
      <c r="R158" s="42">
        <v>0</v>
      </c>
      <c r="S158" s="2" t="s">
        <v>43</v>
      </c>
    </row>
    <row r="159" spans="3:19" x14ac:dyDescent="0.25">
      <c r="C159" s="3" t="s">
        <v>905</v>
      </c>
      <c r="D159" s="3" t="s">
        <v>906</v>
      </c>
      <c r="E159" s="3" t="s">
        <v>906</v>
      </c>
      <c r="F159" s="4">
        <v>5</v>
      </c>
      <c r="G159" s="3" t="str">
        <f>VLOOKUP(C159,JUNIO!C158:G514,5,0)</f>
        <v>Abierta</v>
      </c>
      <c r="H159" s="3" t="s">
        <v>81</v>
      </c>
      <c r="I159" s="3" t="s">
        <v>1030</v>
      </c>
      <c r="J159" s="3" t="s">
        <v>73</v>
      </c>
      <c r="K159" s="3" t="s">
        <v>907</v>
      </c>
      <c r="L159" s="3" t="s">
        <v>40</v>
      </c>
      <c r="M159" s="3" t="s">
        <v>514</v>
      </c>
      <c r="N159" s="3" t="s">
        <v>905</v>
      </c>
      <c r="O159" s="3" t="s">
        <v>42</v>
      </c>
      <c r="P159" s="42" t="s">
        <v>43</v>
      </c>
      <c r="Q159" s="42">
        <f>VLOOKUP(C159,[2]Export!$C$1:$J$1226,8,0)</f>
        <v>36455425</v>
      </c>
      <c r="R159" s="42" t="s">
        <v>886</v>
      </c>
      <c r="S159" s="2" t="s">
        <v>43</v>
      </c>
    </row>
    <row r="160" spans="3:19" x14ac:dyDescent="0.25">
      <c r="C160" s="3" t="s">
        <v>685</v>
      </c>
      <c r="D160" s="3" t="s">
        <v>686</v>
      </c>
      <c r="E160" s="3" t="s">
        <v>686</v>
      </c>
      <c r="F160" s="4">
        <v>5</v>
      </c>
      <c r="G160" s="3" t="str">
        <f>VLOOKUP(C160,JUNIO!C159:G515,5,0)</f>
        <v>Abierta</v>
      </c>
      <c r="H160" s="3" t="s">
        <v>81</v>
      </c>
      <c r="I160" s="3" t="s">
        <v>1030</v>
      </c>
      <c r="J160" s="3" t="s">
        <v>248</v>
      </c>
      <c r="K160" s="3" t="s">
        <v>51</v>
      </c>
      <c r="L160" s="3" t="s">
        <v>40</v>
      </c>
      <c r="M160" s="3" t="s">
        <v>984</v>
      </c>
      <c r="N160" s="3" t="s">
        <v>685</v>
      </c>
      <c r="O160" s="3" t="s">
        <v>42</v>
      </c>
      <c r="P160" s="42" t="s">
        <v>43</v>
      </c>
      <c r="Q160" s="42">
        <f>VLOOKUP(C160,[2]Export!$C$1:$J$1226,8,0)</f>
        <v>14319720</v>
      </c>
      <c r="R160" s="42" t="s">
        <v>51</v>
      </c>
      <c r="S160" s="2" t="s">
        <v>440</v>
      </c>
    </row>
    <row r="161" spans="3:19" x14ac:dyDescent="0.25">
      <c r="C161" s="3" t="s">
        <v>960</v>
      </c>
      <c r="D161" s="3" t="s">
        <v>961</v>
      </c>
      <c r="E161" s="3" t="s">
        <v>961</v>
      </c>
      <c r="F161" s="4">
        <v>5</v>
      </c>
      <c r="G161" s="3" t="str">
        <f>VLOOKUP(C161,JUNIO!C160:G516,5,0)</f>
        <v>Abierta</v>
      </c>
      <c r="H161" s="3" t="s">
        <v>81</v>
      </c>
      <c r="I161" s="3" t="s">
        <v>1030</v>
      </c>
      <c r="J161" s="3" t="s">
        <v>160</v>
      </c>
      <c r="K161" s="3" t="s">
        <v>353</v>
      </c>
      <c r="L161" s="3" t="s">
        <v>40</v>
      </c>
      <c r="M161" s="3" t="s">
        <v>984</v>
      </c>
      <c r="N161" s="3" t="s">
        <v>960</v>
      </c>
      <c r="O161" s="3" t="s">
        <v>42</v>
      </c>
      <c r="P161" s="42" t="s">
        <v>43</v>
      </c>
      <c r="Q161" s="42">
        <f>VLOOKUP(C161,[2]Export!$C$1:$J$1226,8,0)</f>
        <v>37059779</v>
      </c>
      <c r="R161" s="42" t="s">
        <v>931</v>
      </c>
      <c r="S161" s="2" t="s">
        <v>43</v>
      </c>
    </row>
    <row r="162" spans="3:19" x14ac:dyDescent="0.25">
      <c r="C162" s="3" t="s">
        <v>754</v>
      </c>
      <c r="D162" s="3" t="s">
        <v>755</v>
      </c>
      <c r="E162" s="3" t="s">
        <v>755</v>
      </c>
      <c r="F162" s="4">
        <v>5</v>
      </c>
      <c r="G162" s="3" t="str">
        <f>VLOOKUP(C162,JUNIO!C161:G517,5,0)</f>
        <v>Abierta</v>
      </c>
      <c r="H162" s="3" t="s">
        <v>81</v>
      </c>
      <c r="I162" s="3" t="s">
        <v>1031</v>
      </c>
      <c r="J162" s="3" t="s">
        <v>84</v>
      </c>
      <c r="K162" s="3" t="s">
        <v>279</v>
      </c>
      <c r="L162" s="3" t="s">
        <v>55</v>
      </c>
      <c r="M162" s="3" t="s">
        <v>378</v>
      </c>
      <c r="N162" s="3" t="s">
        <v>754</v>
      </c>
      <c r="O162" s="3" t="s">
        <v>42</v>
      </c>
      <c r="P162" s="42" t="s">
        <v>43</v>
      </c>
      <c r="Q162" s="42">
        <f>VLOOKUP(C162,[2]Export!$C$1:$J$1226,8,0)</f>
        <v>39835590</v>
      </c>
      <c r="R162" s="42" t="s">
        <v>741</v>
      </c>
      <c r="S162" s="2" t="s">
        <v>43</v>
      </c>
    </row>
    <row r="163" spans="3:19" x14ac:dyDescent="0.25">
      <c r="C163" s="3" t="s">
        <v>872</v>
      </c>
      <c r="D163" s="3" t="s">
        <v>873</v>
      </c>
      <c r="E163" s="3" t="s">
        <v>874</v>
      </c>
      <c r="F163" s="4">
        <v>5</v>
      </c>
      <c r="G163" s="3" t="str">
        <f>VLOOKUP(C163,JUNIO!C162:G518,5,0)</f>
        <v>Abierta</v>
      </c>
      <c r="H163" s="3" t="s">
        <v>81</v>
      </c>
      <c r="I163" s="3" t="s">
        <v>1030</v>
      </c>
      <c r="J163" s="3" t="s">
        <v>132</v>
      </c>
      <c r="K163" s="3" t="s">
        <v>138</v>
      </c>
      <c r="L163" s="3" t="s">
        <v>40</v>
      </c>
      <c r="M163" s="3" t="s">
        <v>1035</v>
      </c>
      <c r="N163" s="3" t="s">
        <v>872</v>
      </c>
      <c r="O163" s="3" t="s">
        <v>42</v>
      </c>
      <c r="P163" s="42" t="s">
        <v>43</v>
      </c>
      <c r="Q163" s="42">
        <f>VLOOKUP(C163,[2]Export!$C$1:$J$1226,8,0)</f>
        <v>32303261</v>
      </c>
      <c r="R163" s="42" t="s">
        <v>847</v>
      </c>
      <c r="S163" s="2" t="s">
        <v>43</v>
      </c>
    </row>
    <row r="164" spans="3:19" x14ac:dyDescent="0.25">
      <c r="C164" s="3" t="s">
        <v>117</v>
      </c>
      <c r="D164" s="3" t="s">
        <v>118</v>
      </c>
      <c r="E164" s="3" t="s">
        <v>118</v>
      </c>
      <c r="F164" s="4" t="s">
        <v>36</v>
      </c>
      <c r="G164" s="3" t="str">
        <f>VLOOKUP(C164,JUNIO!C163:G519,5,0)</f>
        <v>CIERRE DEFINITIVO</v>
      </c>
      <c r="H164" s="3" t="s">
        <v>81</v>
      </c>
      <c r="I164" s="3" t="s">
        <v>1030</v>
      </c>
      <c r="J164" s="3">
        <v>0</v>
      </c>
      <c r="K164" s="3" t="s">
        <v>59</v>
      </c>
      <c r="L164" s="3" t="s">
        <v>40</v>
      </c>
      <c r="M164" s="3">
        <v>0</v>
      </c>
      <c r="N164" s="3" t="s">
        <v>117</v>
      </c>
      <c r="O164" s="3" t="s">
        <v>42</v>
      </c>
      <c r="P164" s="42" t="s">
        <v>43</v>
      </c>
      <c r="Q164" s="42"/>
      <c r="R164" s="42">
        <v>0</v>
      </c>
      <c r="S164" s="2" t="s">
        <v>43</v>
      </c>
    </row>
    <row r="165" spans="3:19" x14ac:dyDescent="0.25">
      <c r="C165" s="3" t="s">
        <v>594</v>
      </c>
      <c r="D165" s="3" t="s">
        <v>595</v>
      </c>
      <c r="E165" s="3" t="s">
        <v>595</v>
      </c>
      <c r="F165" s="4">
        <v>5</v>
      </c>
      <c r="G165" s="3" t="str">
        <f>VLOOKUP(C165,JUNIO!C164:G520,5,0)</f>
        <v>Abierta</v>
      </c>
      <c r="H165" s="3" t="s">
        <v>81</v>
      </c>
      <c r="I165" s="3" t="s">
        <v>1030</v>
      </c>
      <c r="J165" s="3" t="s">
        <v>50</v>
      </c>
      <c r="K165" s="3" t="s">
        <v>596</v>
      </c>
      <c r="L165" s="3" t="s">
        <v>40</v>
      </c>
      <c r="M165" s="3" t="s">
        <v>514</v>
      </c>
      <c r="N165" s="3" t="s">
        <v>594</v>
      </c>
      <c r="O165" s="3" t="s">
        <v>42</v>
      </c>
      <c r="P165" s="42" t="s">
        <v>43</v>
      </c>
      <c r="Q165" s="42">
        <f>VLOOKUP(C165,[2]Export!$C$1:$J$1226,8,0)</f>
        <v>32214942</v>
      </c>
      <c r="R165" s="42" t="s">
        <v>597</v>
      </c>
      <c r="S165" s="2" t="s">
        <v>440</v>
      </c>
    </row>
    <row r="166" spans="3:19" x14ac:dyDescent="0.25">
      <c r="C166" s="3" t="s">
        <v>119</v>
      </c>
      <c r="D166" s="3" t="s">
        <v>120</v>
      </c>
      <c r="E166" s="3" t="s">
        <v>120</v>
      </c>
      <c r="F166" s="4" t="s">
        <v>36</v>
      </c>
      <c r="G166" s="3" t="str">
        <f>VLOOKUP(C166,JUNIO!C165:G521,5,0)</f>
        <v>CIERRE DEFINITIVO</v>
      </c>
      <c r="H166" s="3" t="s">
        <v>81</v>
      </c>
      <c r="I166" s="3" t="s">
        <v>1030</v>
      </c>
      <c r="J166" s="3" t="s">
        <v>63</v>
      </c>
      <c r="K166" s="3" t="s">
        <v>64</v>
      </c>
      <c r="L166" s="3" t="s">
        <v>40</v>
      </c>
      <c r="M166" s="3">
        <v>0</v>
      </c>
      <c r="N166" s="3" t="s">
        <v>119</v>
      </c>
      <c r="O166" s="3" t="s">
        <v>42</v>
      </c>
      <c r="P166" s="42" t="s">
        <v>43</v>
      </c>
      <c r="Q166" s="42"/>
      <c r="R166" s="42">
        <v>0</v>
      </c>
      <c r="S166" s="2" t="s">
        <v>43</v>
      </c>
    </row>
    <row r="167" spans="3:19" x14ac:dyDescent="0.25">
      <c r="C167" s="3" t="s">
        <v>121</v>
      </c>
      <c r="D167" s="3" t="s">
        <v>122</v>
      </c>
      <c r="E167" s="3" t="s">
        <v>123</v>
      </c>
      <c r="F167" s="4" t="s">
        <v>36</v>
      </c>
      <c r="G167" s="3" t="str">
        <f>VLOOKUP(C167,JUNIO!C166:G522,5,0)</f>
        <v>CIERRE DEFINITIVO</v>
      </c>
      <c r="H167" s="3" t="s">
        <v>81</v>
      </c>
      <c r="I167" s="3" t="s">
        <v>1030</v>
      </c>
      <c r="J167" s="3" t="s">
        <v>73</v>
      </c>
      <c r="K167" s="3" t="s">
        <v>122</v>
      </c>
      <c r="L167" s="3" t="s">
        <v>104</v>
      </c>
      <c r="M167" s="3">
        <v>0</v>
      </c>
      <c r="N167" s="3" t="s">
        <v>121</v>
      </c>
      <c r="O167" s="3" t="s">
        <v>42</v>
      </c>
      <c r="P167" s="42" t="s">
        <v>43</v>
      </c>
      <c r="Q167" s="42"/>
      <c r="R167" s="42">
        <v>0</v>
      </c>
      <c r="S167" s="2" t="s">
        <v>43</v>
      </c>
    </row>
    <row r="168" spans="3:19" x14ac:dyDescent="0.25">
      <c r="C168" s="3" t="s">
        <v>124</v>
      </c>
      <c r="D168" s="3" t="s">
        <v>125</v>
      </c>
      <c r="E168" s="3" t="s">
        <v>125</v>
      </c>
      <c r="F168" s="4" t="s">
        <v>36</v>
      </c>
      <c r="G168" s="3" t="str">
        <f>VLOOKUP(C168,JUNIO!C167:G523,5,0)</f>
        <v>CIERRE DEFINITIVO</v>
      </c>
      <c r="H168" s="3" t="s">
        <v>81</v>
      </c>
      <c r="I168" s="3" t="s">
        <v>1030</v>
      </c>
      <c r="J168" s="3">
        <v>0</v>
      </c>
      <c r="K168" s="3" t="s">
        <v>51</v>
      </c>
      <c r="L168" s="3" t="s">
        <v>40</v>
      </c>
      <c r="M168" s="3">
        <v>0</v>
      </c>
      <c r="N168" s="3" t="s">
        <v>124</v>
      </c>
      <c r="O168" s="3" t="s">
        <v>42</v>
      </c>
      <c r="P168" s="42" t="s">
        <v>43</v>
      </c>
      <c r="Q168" s="42"/>
      <c r="R168" s="42">
        <v>0</v>
      </c>
      <c r="S168" s="2" t="s">
        <v>43</v>
      </c>
    </row>
    <row r="169" spans="3:19" x14ac:dyDescent="0.25">
      <c r="C169" s="3" t="s">
        <v>126</v>
      </c>
      <c r="D169" s="3" t="s">
        <v>127</v>
      </c>
      <c r="E169" s="3" t="s">
        <v>128</v>
      </c>
      <c r="F169" s="4" t="s">
        <v>36</v>
      </c>
      <c r="G169" s="3" t="str">
        <f>VLOOKUP(C169,JUNIO!C168:G524,5,0)</f>
        <v>CIERRE DEFINITIVO</v>
      </c>
      <c r="H169" s="3" t="s">
        <v>81</v>
      </c>
      <c r="I169" s="3" t="s">
        <v>1030</v>
      </c>
      <c r="J169" s="3" t="s">
        <v>73</v>
      </c>
      <c r="K169" s="3" t="s">
        <v>129</v>
      </c>
      <c r="L169" s="3" t="s">
        <v>116</v>
      </c>
      <c r="M169" s="3">
        <v>0</v>
      </c>
      <c r="N169" s="3" t="s">
        <v>126</v>
      </c>
      <c r="O169" s="3" t="s">
        <v>42</v>
      </c>
      <c r="P169" s="42" t="s">
        <v>43</v>
      </c>
      <c r="Q169" s="42"/>
      <c r="R169" s="42">
        <v>0</v>
      </c>
      <c r="S169" s="2" t="s">
        <v>43</v>
      </c>
    </row>
    <row r="170" spans="3:19" x14ac:dyDescent="0.25">
      <c r="C170" s="3" t="s">
        <v>546</v>
      </c>
      <c r="D170" s="3" t="s">
        <v>547</v>
      </c>
      <c r="E170" s="3" t="s">
        <v>547</v>
      </c>
      <c r="F170" s="4">
        <v>5</v>
      </c>
      <c r="G170" s="3" t="str">
        <f>VLOOKUP(C170,JUNIO!C169:G525,5,0)</f>
        <v>Abierta</v>
      </c>
      <c r="H170" s="3" t="s">
        <v>46</v>
      </c>
      <c r="I170" s="3" t="s">
        <v>1030</v>
      </c>
      <c r="J170" s="3" t="s">
        <v>100</v>
      </c>
      <c r="K170" s="3" t="s">
        <v>138</v>
      </c>
      <c r="L170" s="3" t="s">
        <v>40</v>
      </c>
      <c r="M170" s="3" t="s">
        <v>514</v>
      </c>
      <c r="N170" s="3" t="s">
        <v>546</v>
      </c>
      <c r="O170" s="3" t="s">
        <v>42</v>
      </c>
      <c r="P170" s="42" t="s">
        <v>43</v>
      </c>
      <c r="Q170" s="42">
        <f>VLOOKUP(C170,[2]Export!$C$1:$J$1226,8,0)</f>
        <v>28566135</v>
      </c>
      <c r="R170" s="42" t="s">
        <v>515</v>
      </c>
      <c r="S170" s="2" t="s">
        <v>43</v>
      </c>
    </row>
    <row r="171" spans="3:19" x14ac:dyDescent="0.25">
      <c r="C171" s="3" t="s">
        <v>130</v>
      </c>
      <c r="D171" s="3" t="s">
        <v>131</v>
      </c>
      <c r="E171" s="3" t="s">
        <v>131</v>
      </c>
      <c r="F171" s="4" t="s">
        <v>36</v>
      </c>
      <c r="G171" s="3" t="str">
        <f>VLOOKUP(C171,JUNIO!C170:G526,5,0)</f>
        <v>CIERRE DEFINITIVO</v>
      </c>
      <c r="H171" s="3" t="s">
        <v>81</v>
      </c>
      <c r="I171" s="3" t="s">
        <v>1030</v>
      </c>
      <c r="J171" s="3" t="s">
        <v>132</v>
      </c>
      <c r="K171" s="3" t="s">
        <v>133</v>
      </c>
      <c r="L171" s="3" t="s">
        <v>40</v>
      </c>
      <c r="M171" s="3">
        <v>0</v>
      </c>
      <c r="N171" s="3" t="s">
        <v>130</v>
      </c>
      <c r="O171" s="3" t="s">
        <v>42</v>
      </c>
      <c r="P171" s="42" t="s">
        <v>43</v>
      </c>
      <c r="Q171" s="42"/>
      <c r="R171" s="42">
        <v>0</v>
      </c>
      <c r="S171" s="2" t="s">
        <v>43</v>
      </c>
    </row>
    <row r="172" spans="3:19" x14ac:dyDescent="0.25">
      <c r="C172" s="3" t="s">
        <v>134</v>
      </c>
      <c r="D172" s="3" t="s">
        <v>135</v>
      </c>
      <c r="E172" s="3" t="s">
        <v>135</v>
      </c>
      <c r="F172" s="4" t="s">
        <v>36</v>
      </c>
      <c r="G172" s="3" t="str">
        <f>VLOOKUP(C172,JUNIO!C171:G527,5,0)</f>
        <v>CIERRE DEFINITIVO</v>
      </c>
      <c r="H172" s="3" t="s">
        <v>81</v>
      </c>
      <c r="I172" s="3" t="s">
        <v>1030</v>
      </c>
      <c r="J172" s="3" t="s">
        <v>132</v>
      </c>
      <c r="K172" s="3" t="s">
        <v>51</v>
      </c>
      <c r="L172" s="3" t="s">
        <v>40</v>
      </c>
      <c r="M172" s="3">
        <v>0</v>
      </c>
      <c r="N172" s="3" t="s">
        <v>134</v>
      </c>
      <c r="O172" s="3" t="s">
        <v>42</v>
      </c>
      <c r="P172" s="42" t="s">
        <v>43</v>
      </c>
      <c r="Q172" s="42"/>
      <c r="R172" s="42">
        <v>0</v>
      </c>
      <c r="S172" s="2" t="s">
        <v>43</v>
      </c>
    </row>
    <row r="173" spans="3:19" x14ac:dyDescent="0.25">
      <c r="C173" s="3" t="s">
        <v>136</v>
      </c>
      <c r="D173" s="3" t="s">
        <v>137</v>
      </c>
      <c r="E173" s="3" t="s">
        <v>137</v>
      </c>
      <c r="F173" s="4" t="s">
        <v>36</v>
      </c>
      <c r="G173" s="3" t="str">
        <f>VLOOKUP(C173,JUNIO!C172:G528,5,0)</f>
        <v>CIERRE DEFINITIVO</v>
      </c>
      <c r="H173" s="3" t="s">
        <v>88</v>
      </c>
      <c r="I173" s="3" t="s">
        <v>1030</v>
      </c>
      <c r="J173" s="3" t="s">
        <v>58</v>
      </c>
      <c r="K173" s="3" t="s">
        <v>138</v>
      </c>
      <c r="L173" s="3" t="s">
        <v>40</v>
      </c>
      <c r="M173" s="3">
        <v>0</v>
      </c>
      <c r="N173" s="3" t="s">
        <v>136</v>
      </c>
      <c r="O173" s="3" t="s">
        <v>42</v>
      </c>
      <c r="P173" s="42" t="s">
        <v>43</v>
      </c>
      <c r="Q173" s="42"/>
      <c r="R173" s="42">
        <v>0</v>
      </c>
      <c r="S173" s="2" t="s">
        <v>43</v>
      </c>
    </row>
    <row r="174" spans="3:19" x14ac:dyDescent="0.25">
      <c r="C174" s="3" t="s">
        <v>139</v>
      </c>
      <c r="D174" s="3" t="s">
        <v>140</v>
      </c>
      <c r="E174" s="3" t="s">
        <v>140</v>
      </c>
      <c r="F174" s="4" t="s">
        <v>36</v>
      </c>
      <c r="G174" s="3" t="str">
        <f>VLOOKUP(C174,JUNIO!C173:G529,5,0)</f>
        <v>CIERRE DEFINITIVO</v>
      </c>
      <c r="H174" s="3" t="s">
        <v>88</v>
      </c>
      <c r="I174" s="3" t="s">
        <v>1030</v>
      </c>
      <c r="J174" s="3" t="s">
        <v>89</v>
      </c>
      <c r="K174" s="3" t="s">
        <v>109</v>
      </c>
      <c r="L174" s="3" t="s">
        <v>91</v>
      </c>
      <c r="M174" s="3">
        <v>0</v>
      </c>
      <c r="N174" s="3" t="s">
        <v>139</v>
      </c>
      <c r="O174" s="3" t="s">
        <v>42</v>
      </c>
      <c r="P174" s="42" t="s">
        <v>43</v>
      </c>
      <c r="Q174" s="42"/>
      <c r="R174" s="42">
        <v>0</v>
      </c>
      <c r="S174" s="2" t="s">
        <v>43</v>
      </c>
    </row>
    <row r="175" spans="3:19" x14ac:dyDescent="0.25">
      <c r="C175" s="3" t="s">
        <v>411</v>
      </c>
      <c r="D175" s="3" t="s">
        <v>412</v>
      </c>
      <c r="E175" s="3" t="s">
        <v>412</v>
      </c>
      <c r="F175" s="4">
        <v>5</v>
      </c>
      <c r="G175" s="3" t="str">
        <f>VLOOKUP(C175,JUNIO!C174:G530,5,0)</f>
        <v>Abierta</v>
      </c>
      <c r="H175" s="3" t="s">
        <v>46</v>
      </c>
      <c r="I175" s="3" t="s">
        <v>1031</v>
      </c>
      <c r="J175" s="3" t="s">
        <v>63</v>
      </c>
      <c r="K175" s="3" t="s">
        <v>138</v>
      </c>
      <c r="L175" s="3" t="s">
        <v>40</v>
      </c>
      <c r="M175" s="3" t="s">
        <v>378</v>
      </c>
      <c r="N175" s="3" t="s">
        <v>411</v>
      </c>
      <c r="O175" s="3" t="s">
        <v>42</v>
      </c>
      <c r="P175" s="42" t="s">
        <v>440</v>
      </c>
      <c r="Q175" s="42">
        <f>VLOOKUP(C175,[2]Export!$C$1:$J$1226,8,0)</f>
        <v>37708964</v>
      </c>
      <c r="R175" s="42" t="s">
        <v>380</v>
      </c>
      <c r="S175" s="2" t="s">
        <v>43</v>
      </c>
    </row>
    <row r="176" spans="3:19" x14ac:dyDescent="0.25">
      <c r="C176" s="3" t="s">
        <v>578</v>
      </c>
      <c r="D176" s="3" t="s">
        <v>579</v>
      </c>
      <c r="E176" s="3" t="s">
        <v>579</v>
      </c>
      <c r="F176" s="4">
        <v>5</v>
      </c>
      <c r="G176" s="3" t="str">
        <f>VLOOKUP(C176,JUNIO!C175:G531,5,0)</f>
        <v>Abierta</v>
      </c>
      <c r="H176" s="3" t="s">
        <v>46</v>
      </c>
      <c r="I176" s="3" t="s">
        <v>1030</v>
      </c>
      <c r="J176" s="3" t="s">
        <v>331</v>
      </c>
      <c r="K176" s="3" t="s">
        <v>138</v>
      </c>
      <c r="L176" s="3" t="s">
        <v>40</v>
      </c>
      <c r="M176" s="3" t="s">
        <v>984</v>
      </c>
      <c r="N176" s="3" t="s">
        <v>578</v>
      </c>
      <c r="O176" s="3" t="s">
        <v>42</v>
      </c>
      <c r="P176" s="42" t="s">
        <v>43</v>
      </c>
      <c r="Q176" s="42">
        <f>VLOOKUP(C176,[2]Export!$C$1:$J$1226,8,0)</f>
        <v>30838839</v>
      </c>
      <c r="R176" s="42" t="s">
        <v>557</v>
      </c>
      <c r="S176" s="2" t="s">
        <v>43</v>
      </c>
    </row>
    <row r="177" spans="3:19" x14ac:dyDescent="0.25">
      <c r="C177" s="3" t="s">
        <v>908</v>
      </c>
      <c r="D177" s="3" t="s">
        <v>909</v>
      </c>
      <c r="E177" s="3" t="s">
        <v>910</v>
      </c>
      <c r="F177" s="4">
        <v>5</v>
      </c>
      <c r="G177" s="3" t="str">
        <f>VLOOKUP(C177,JUNIO!C176:G532,5,0)</f>
        <v>CIERRE DEFINITIVO</v>
      </c>
      <c r="H177" s="3" t="s">
        <v>81</v>
      </c>
      <c r="I177" s="3" t="s">
        <v>1030</v>
      </c>
      <c r="J177" s="3" t="s">
        <v>73</v>
      </c>
      <c r="K177" s="3" t="s">
        <v>911</v>
      </c>
      <c r="L177" s="3" t="s">
        <v>40</v>
      </c>
      <c r="M177" s="3" t="s">
        <v>514</v>
      </c>
      <c r="N177" s="3" t="s">
        <v>908</v>
      </c>
      <c r="O177" s="3" t="s">
        <v>42</v>
      </c>
      <c r="P177" s="42" t="s">
        <v>43</v>
      </c>
      <c r="Q177" s="42"/>
      <c r="R177" s="42" t="s">
        <v>886</v>
      </c>
      <c r="S177" s="2" t="s">
        <v>43</v>
      </c>
    </row>
    <row r="178" spans="3:19" x14ac:dyDescent="0.25">
      <c r="C178" s="3" t="s">
        <v>413</v>
      </c>
      <c r="D178" s="3" t="s">
        <v>414</v>
      </c>
      <c r="E178" s="3" t="s">
        <v>414</v>
      </c>
      <c r="F178" s="4">
        <v>5</v>
      </c>
      <c r="G178" s="3" t="str">
        <f>VLOOKUP(C178,JUNIO!C177:G533,5,0)</f>
        <v>Abierta</v>
      </c>
      <c r="H178" s="3" t="s">
        <v>46</v>
      </c>
      <c r="I178" s="3" t="s">
        <v>1031</v>
      </c>
      <c r="J178" s="3" t="s">
        <v>63</v>
      </c>
      <c r="K178" s="3" t="s">
        <v>138</v>
      </c>
      <c r="L178" s="3" t="s">
        <v>40</v>
      </c>
      <c r="M178" s="3" t="s">
        <v>378</v>
      </c>
      <c r="N178" s="3" t="s">
        <v>413</v>
      </c>
      <c r="O178" s="3" t="s">
        <v>42</v>
      </c>
      <c r="P178" s="42" t="s">
        <v>43</v>
      </c>
      <c r="Q178" s="42">
        <f>VLOOKUP(C178,[2]Export!$C$1:$J$1226,8,0)</f>
        <v>35454477</v>
      </c>
      <c r="R178" s="42" t="s">
        <v>380</v>
      </c>
      <c r="S178" s="2" t="s">
        <v>43</v>
      </c>
    </row>
    <row r="179" spans="3:19" x14ac:dyDescent="0.25">
      <c r="C179" s="3" t="s">
        <v>580</v>
      </c>
      <c r="D179" s="3" t="s">
        <v>581</v>
      </c>
      <c r="E179" s="3" t="s">
        <v>581</v>
      </c>
      <c r="F179" s="4">
        <v>5</v>
      </c>
      <c r="G179" s="3" t="str">
        <f>VLOOKUP(C179,JUNIO!C178:G534,5,0)</f>
        <v>Abierta</v>
      </c>
      <c r="H179" s="3" t="s">
        <v>46</v>
      </c>
      <c r="I179" s="3" t="s">
        <v>1030</v>
      </c>
      <c r="J179" s="3" t="s">
        <v>331</v>
      </c>
      <c r="K179" s="3" t="s">
        <v>138</v>
      </c>
      <c r="L179" s="3" t="s">
        <v>40</v>
      </c>
      <c r="M179" s="3" t="s">
        <v>984</v>
      </c>
      <c r="N179" s="3" t="s">
        <v>580</v>
      </c>
      <c r="O179" s="3" t="s">
        <v>42</v>
      </c>
      <c r="P179" s="42" t="s">
        <v>43</v>
      </c>
      <c r="Q179" s="42">
        <f>VLOOKUP(C179,[2]Export!$C$1:$J$1226,8,0)</f>
        <v>33916651</v>
      </c>
      <c r="R179" s="42" t="s">
        <v>557</v>
      </c>
      <c r="S179" s="2" t="s">
        <v>43</v>
      </c>
    </row>
    <row r="180" spans="3:19" x14ac:dyDescent="0.25">
      <c r="C180" s="3" t="s">
        <v>756</v>
      </c>
      <c r="D180" s="3" t="s">
        <v>757</v>
      </c>
      <c r="E180" s="3" t="s">
        <v>757</v>
      </c>
      <c r="F180" s="4">
        <v>5</v>
      </c>
      <c r="G180" s="3" t="str">
        <f>VLOOKUP(C180,JUNIO!C179:G535,5,0)</f>
        <v>Abierta</v>
      </c>
      <c r="H180" s="3" t="s">
        <v>46</v>
      </c>
      <c r="I180" s="3" t="s">
        <v>1031</v>
      </c>
      <c r="J180" s="3" t="s">
        <v>84</v>
      </c>
      <c r="K180" s="3" t="s">
        <v>54</v>
      </c>
      <c r="L180" s="3" t="s">
        <v>55</v>
      </c>
      <c r="M180" s="3" t="s">
        <v>378</v>
      </c>
      <c r="N180" s="3" t="s">
        <v>756</v>
      </c>
      <c r="O180" s="3" t="s">
        <v>42</v>
      </c>
      <c r="P180" s="42" t="s">
        <v>43</v>
      </c>
      <c r="Q180" s="42">
        <f>VLOOKUP(C180,[2]Export!$C$1:$J$1226,8,0)</f>
        <v>38685948</v>
      </c>
      <c r="R180" s="42" t="s">
        <v>741</v>
      </c>
      <c r="S180" s="2" t="s">
        <v>43</v>
      </c>
    </row>
    <row r="181" spans="3:19" x14ac:dyDescent="0.25">
      <c r="C181" s="3" t="s">
        <v>812</v>
      </c>
      <c r="D181" s="3" t="s">
        <v>813</v>
      </c>
      <c r="E181" s="3" t="s">
        <v>813</v>
      </c>
      <c r="F181" s="4">
        <v>5</v>
      </c>
      <c r="G181" s="3" t="str">
        <f>VLOOKUP(C181,JUNIO!C180:G536,5,0)</f>
        <v>Abierta</v>
      </c>
      <c r="H181" s="3" t="s">
        <v>46</v>
      </c>
      <c r="I181" s="3" t="s">
        <v>1030</v>
      </c>
      <c r="J181" s="3" t="s">
        <v>146</v>
      </c>
      <c r="K181" s="3" t="s">
        <v>59</v>
      </c>
      <c r="L181" s="3" t="s">
        <v>40</v>
      </c>
      <c r="M181" s="3" t="s">
        <v>1035</v>
      </c>
      <c r="N181" s="3" t="s">
        <v>812</v>
      </c>
      <c r="O181" s="3" t="s">
        <v>42</v>
      </c>
      <c r="P181" s="42" t="s">
        <v>43</v>
      </c>
      <c r="Q181" s="42">
        <f>VLOOKUP(C181,[2]Export!$C$1:$J$1226,8,0)</f>
        <v>32363133</v>
      </c>
      <c r="R181" s="42" t="s">
        <v>799</v>
      </c>
      <c r="S181" s="2" t="s">
        <v>43</v>
      </c>
    </row>
    <row r="182" spans="3:19" x14ac:dyDescent="0.25">
      <c r="C182" s="3" t="s">
        <v>141</v>
      </c>
      <c r="D182" s="3" t="s">
        <v>142</v>
      </c>
      <c r="E182" s="3" t="s">
        <v>142</v>
      </c>
      <c r="F182" s="4" t="s">
        <v>36</v>
      </c>
      <c r="G182" s="3" t="str">
        <f>VLOOKUP(C182,JUNIO!C181:G537,5,0)</f>
        <v>CIERRE DEFINITIVO</v>
      </c>
      <c r="H182" s="3" t="s">
        <v>81</v>
      </c>
      <c r="I182" s="3" t="s">
        <v>1030</v>
      </c>
      <c r="J182" s="3">
        <v>0</v>
      </c>
      <c r="K182" s="3" t="s">
        <v>143</v>
      </c>
      <c r="L182" s="3" t="s">
        <v>40</v>
      </c>
      <c r="M182" s="3">
        <v>0</v>
      </c>
      <c r="N182" s="3" t="s">
        <v>141</v>
      </c>
      <c r="O182" s="3" t="s">
        <v>42</v>
      </c>
      <c r="P182" s="42" t="s">
        <v>43</v>
      </c>
      <c r="Q182" s="42"/>
      <c r="R182" s="42">
        <v>0</v>
      </c>
      <c r="S182" s="2" t="s">
        <v>43</v>
      </c>
    </row>
    <row r="183" spans="3:19" x14ac:dyDescent="0.25">
      <c r="C183" s="3" t="s">
        <v>437</v>
      </c>
      <c r="D183" s="3" t="s">
        <v>438</v>
      </c>
      <c r="E183" s="3" t="s">
        <v>439</v>
      </c>
      <c r="F183" s="4">
        <v>5</v>
      </c>
      <c r="G183" s="3" t="str">
        <f>VLOOKUP(C183,JUNIO!C182:G538,5,0)</f>
        <v>Abierta</v>
      </c>
      <c r="H183" s="3" t="s">
        <v>81</v>
      </c>
      <c r="I183" s="3" t="s">
        <v>1030</v>
      </c>
      <c r="J183" s="3" t="s">
        <v>94</v>
      </c>
      <c r="K183" s="3" t="s">
        <v>64</v>
      </c>
      <c r="L183" s="3" t="s">
        <v>40</v>
      </c>
      <c r="M183" s="3" t="s">
        <v>1035</v>
      </c>
      <c r="N183" s="3" t="s">
        <v>437</v>
      </c>
      <c r="O183" s="3" t="s">
        <v>42</v>
      </c>
      <c r="P183" s="42" t="s">
        <v>43</v>
      </c>
      <c r="Q183" s="42">
        <f>VLOOKUP(C183,[2]Export!$C$1:$J$1226,8,0)</f>
        <v>26526329</v>
      </c>
      <c r="R183" s="42" t="s">
        <v>423</v>
      </c>
      <c r="S183" s="2" t="s">
        <v>440</v>
      </c>
    </row>
    <row r="184" spans="3:19" x14ac:dyDescent="0.25">
      <c r="C184" s="3" t="s">
        <v>497</v>
      </c>
      <c r="D184" s="3" t="s">
        <v>498</v>
      </c>
      <c r="E184" s="3" t="s">
        <v>499</v>
      </c>
      <c r="F184" s="4">
        <v>5</v>
      </c>
      <c r="G184" s="3" t="str">
        <f>VLOOKUP(C184,JUNIO!C183:G539,5,0)</f>
        <v>Abierta</v>
      </c>
      <c r="H184" s="3" t="s">
        <v>46</v>
      </c>
      <c r="I184" s="3" t="s">
        <v>1030</v>
      </c>
      <c r="J184" s="3" t="s">
        <v>466</v>
      </c>
      <c r="K184" s="3" t="s">
        <v>51</v>
      </c>
      <c r="L184" s="3" t="s">
        <v>40</v>
      </c>
      <c r="M184" s="3" t="s">
        <v>1035</v>
      </c>
      <c r="N184" s="3" t="s">
        <v>497</v>
      </c>
      <c r="O184" s="3" t="s">
        <v>42</v>
      </c>
      <c r="P184" s="42" t="s">
        <v>43</v>
      </c>
      <c r="Q184" s="42">
        <f>VLOOKUP(C184,[2]Export!$C$1:$J$1226,8,0)</f>
        <v>29407126</v>
      </c>
      <c r="R184" s="42" t="s">
        <v>467</v>
      </c>
      <c r="S184" s="2" t="s">
        <v>43</v>
      </c>
    </row>
    <row r="185" spans="3:19" x14ac:dyDescent="0.25">
      <c r="C185" s="3" t="s">
        <v>144</v>
      </c>
      <c r="D185" s="3" t="s">
        <v>145</v>
      </c>
      <c r="E185" s="3" t="s">
        <v>145</v>
      </c>
      <c r="F185" s="4" t="s">
        <v>36</v>
      </c>
      <c r="G185" s="3" t="str">
        <f>VLOOKUP(C185,JUNIO!C184:G540,5,0)</f>
        <v>CIERRE DEFINITIVO</v>
      </c>
      <c r="H185" s="3" t="s">
        <v>46</v>
      </c>
      <c r="I185" s="3" t="s">
        <v>1030</v>
      </c>
      <c r="J185" s="3" t="s">
        <v>146</v>
      </c>
      <c r="K185" s="3" t="s">
        <v>138</v>
      </c>
      <c r="L185" s="3" t="s">
        <v>40</v>
      </c>
      <c r="M185" s="3">
        <v>0</v>
      </c>
      <c r="N185" s="3" t="s">
        <v>144</v>
      </c>
      <c r="O185" s="3" t="s">
        <v>42</v>
      </c>
      <c r="P185" s="42" t="s">
        <v>43</v>
      </c>
      <c r="Q185" s="42"/>
      <c r="R185" s="42">
        <v>0</v>
      </c>
      <c r="S185" s="2" t="s">
        <v>43</v>
      </c>
    </row>
    <row r="186" spans="3:19" x14ac:dyDescent="0.25">
      <c r="C186" s="3" t="s">
        <v>784</v>
      </c>
      <c r="D186" s="3" t="s">
        <v>785</v>
      </c>
      <c r="E186" s="3" t="s">
        <v>785</v>
      </c>
      <c r="F186" s="4">
        <v>5.45</v>
      </c>
      <c r="G186" s="3" t="str">
        <f>VLOOKUP(C186,JUNIO!C185:G541,5,0)</f>
        <v>Abierta</v>
      </c>
      <c r="H186" s="3" t="s">
        <v>46</v>
      </c>
      <c r="I186" s="3" t="s">
        <v>1031</v>
      </c>
      <c r="J186" s="3" t="s">
        <v>89</v>
      </c>
      <c r="K186" s="3" t="s">
        <v>109</v>
      </c>
      <c r="L186" s="3" t="s">
        <v>91</v>
      </c>
      <c r="M186" s="3" t="s">
        <v>378</v>
      </c>
      <c r="N186" s="3" t="s">
        <v>784</v>
      </c>
      <c r="O186" s="3" t="s">
        <v>42</v>
      </c>
      <c r="P186" s="42" t="s">
        <v>43</v>
      </c>
      <c r="Q186" s="42">
        <f>VLOOKUP(C186,[2]Export!$C$1:$J$1226,8,0)</f>
        <v>39550511</v>
      </c>
      <c r="R186" s="42" t="s">
        <v>772</v>
      </c>
      <c r="S186" s="2" t="s">
        <v>43</v>
      </c>
    </row>
    <row r="187" spans="3:19" x14ac:dyDescent="0.25">
      <c r="C187" s="3" t="s">
        <v>147</v>
      </c>
      <c r="D187" s="3" t="s">
        <v>148</v>
      </c>
      <c r="E187" s="3" t="s">
        <v>148</v>
      </c>
      <c r="F187" s="4" t="s">
        <v>36</v>
      </c>
      <c r="G187" s="3" t="str">
        <f>VLOOKUP(C187,JUNIO!C186:G542,5,0)</f>
        <v>CIERRE DEFINITIVO</v>
      </c>
      <c r="H187" s="3" t="s">
        <v>46</v>
      </c>
      <c r="I187" s="3" t="s">
        <v>1030</v>
      </c>
      <c r="J187" s="3" t="s">
        <v>50</v>
      </c>
      <c r="K187" s="3" t="s">
        <v>51</v>
      </c>
      <c r="L187" s="3" t="s">
        <v>40</v>
      </c>
      <c r="M187" s="3">
        <v>0</v>
      </c>
      <c r="N187" s="3" t="s">
        <v>147</v>
      </c>
      <c r="O187" s="3" t="s">
        <v>42</v>
      </c>
      <c r="P187" s="42" t="s">
        <v>43</v>
      </c>
      <c r="Q187" s="42"/>
      <c r="R187" s="42">
        <v>0</v>
      </c>
      <c r="S187" s="2" t="s">
        <v>43</v>
      </c>
    </row>
    <row r="188" spans="3:19" x14ac:dyDescent="0.25">
      <c r="C188" s="3" t="s">
        <v>149</v>
      </c>
      <c r="D188" s="3" t="s">
        <v>150</v>
      </c>
      <c r="E188" s="3" t="s">
        <v>150</v>
      </c>
      <c r="F188" s="4" t="s">
        <v>36</v>
      </c>
      <c r="G188" s="3" t="str">
        <f>VLOOKUP(C188,JUNIO!C187:G543,5,0)</f>
        <v>CIERRE DEFINITIVO</v>
      </c>
      <c r="H188" s="3" t="s">
        <v>81</v>
      </c>
      <c r="I188" s="3" t="s">
        <v>1030</v>
      </c>
      <c r="J188" s="3" t="s">
        <v>100</v>
      </c>
      <c r="K188" s="3" t="s">
        <v>59</v>
      </c>
      <c r="L188" s="3" t="s">
        <v>40</v>
      </c>
      <c r="M188" s="3">
        <v>0</v>
      </c>
      <c r="N188" s="3" t="s">
        <v>149</v>
      </c>
      <c r="O188" s="3" t="s">
        <v>42</v>
      </c>
      <c r="P188" s="42" t="s">
        <v>43</v>
      </c>
      <c r="Q188" s="42"/>
      <c r="R188" s="42">
        <v>0</v>
      </c>
      <c r="S188" s="2" t="s">
        <v>43</v>
      </c>
    </row>
    <row r="189" spans="3:19" x14ac:dyDescent="0.25">
      <c r="C189" s="3" t="s">
        <v>151</v>
      </c>
      <c r="D189" s="3" t="s">
        <v>152</v>
      </c>
      <c r="E189" s="3" t="s">
        <v>152</v>
      </c>
      <c r="F189" s="4" t="s">
        <v>36</v>
      </c>
      <c r="G189" s="3" t="str">
        <f>VLOOKUP(C189,JUNIO!C188:G544,5,0)</f>
        <v>CIERRE DEFINITIVO</v>
      </c>
      <c r="H189" s="3" t="s">
        <v>88</v>
      </c>
      <c r="I189" s="3" t="s">
        <v>1030</v>
      </c>
      <c r="J189" s="3" t="s">
        <v>132</v>
      </c>
      <c r="K189" s="3" t="s">
        <v>133</v>
      </c>
      <c r="L189" s="3" t="s">
        <v>40</v>
      </c>
      <c r="M189" s="3">
        <v>0</v>
      </c>
      <c r="N189" s="3" t="s">
        <v>151</v>
      </c>
      <c r="O189" s="3" t="s">
        <v>42</v>
      </c>
      <c r="P189" s="42" t="s">
        <v>43</v>
      </c>
      <c r="Q189" s="42"/>
      <c r="R189" s="42">
        <v>0</v>
      </c>
      <c r="S189" s="2" t="s">
        <v>43</v>
      </c>
    </row>
    <row r="190" spans="3:19" x14ac:dyDescent="0.25">
      <c r="C190" s="3" t="s">
        <v>786</v>
      </c>
      <c r="D190" s="3" t="s">
        <v>787</v>
      </c>
      <c r="E190" s="3" t="s">
        <v>787</v>
      </c>
      <c r="F190" s="4">
        <v>5</v>
      </c>
      <c r="G190" s="3" t="str">
        <f>VLOOKUP(C190,JUNIO!C189:G545,5,0)</f>
        <v>Abierta</v>
      </c>
      <c r="H190" s="3" t="s">
        <v>81</v>
      </c>
      <c r="I190" s="3" t="s">
        <v>1031</v>
      </c>
      <c r="J190" s="3" t="s">
        <v>89</v>
      </c>
      <c r="K190" s="3" t="s">
        <v>109</v>
      </c>
      <c r="L190" s="3" t="s">
        <v>91</v>
      </c>
      <c r="M190" s="3" t="s">
        <v>378</v>
      </c>
      <c r="N190" s="3" t="s">
        <v>786</v>
      </c>
      <c r="O190" s="3" t="s">
        <v>42</v>
      </c>
      <c r="P190" s="42" t="s">
        <v>43</v>
      </c>
      <c r="Q190" s="42">
        <f>VLOOKUP(C190,[2]Export!$C$1:$J$1226,8,0)</f>
        <v>43094525</v>
      </c>
      <c r="R190" s="42" t="s">
        <v>772</v>
      </c>
      <c r="S190" s="2" t="s">
        <v>440</v>
      </c>
    </row>
    <row r="191" spans="3:19" x14ac:dyDescent="0.25">
      <c r="C191" s="3" t="s">
        <v>582</v>
      </c>
      <c r="D191" s="3" t="s">
        <v>583</v>
      </c>
      <c r="E191" s="3" t="s">
        <v>583</v>
      </c>
      <c r="F191" s="4">
        <v>5</v>
      </c>
      <c r="G191" s="3" t="str">
        <f>VLOOKUP(C191,JUNIO!C190:G546,5,0)</f>
        <v>Abierta</v>
      </c>
      <c r="H191" s="3" t="s">
        <v>46</v>
      </c>
      <c r="I191" s="3" t="s">
        <v>1030</v>
      </c>
      <c r="J191" s="3" t="s">
        <v>331</v>
      </c>
      <c r="K191" s="3" t="s">
        <v>138</v>
      </c>
      <c r="L191" s="3" t="s">
        <v>40</v>
      </c>
      <c r="M191" s="3" t="s">
        <v>984</v>
      </c>
      <c r="N191" s="3" t="s">
        <v>582</v>
      </c>
      <c r="O191" s="3" t="s">
        <v>42</v>
      </c>
      <c r="P191" s="42" t="s">
        <v>43</v>
      </c>
      <c r="Q191" s="42">
        <f>VLOOKUP(C191,[2]Export!$C$1:$J$1226,8,0)</f>
        <v>53560655</v>
      </c>
      <c r="R191" s="42" t="s">
        <v>557</v>
      </c>
      <c r="S191" s="2" t="s">
        <v>43</v>
      </c>
    </row>
    <row r="192" spans="3:19" x14ac:dyDescent="0.25">
      <c r="C192" s="3" t="s">
        <v>714</v>
      </c>
      <c r="D192" s="3" t="s">
        <v>715</v>
      </c>
      <c r="E192" s="3" t="s">
        <v>715</v>
      </c>
      <c r="F192" s="4">
        <v>5</v>
      </c>
      <c r="G192" s="3" t="str">
        <f>VLOOKUP(C192,JUNIO!C191:G547,5,0)</f>
        <v>Abierta</v>
      </c>
      <c r="H192" s="3" t="s">
        <v>46</v>
      </c>
      <c r="I192" s="3" t="s">
        <v>1031</v>
      </c>
      <c r="J192" s="3" t="s">
        <v>84</v>
      </c>
      <c r="K192" s="3" t="s">
        <v>54</v>
      </c>
      <c r="L192" s="3" t="s">
        <v>55</v>
      </c>
      <c r="M192" s="3" t="s">
        <v>378</v>
      </c>
      <c r="N192" s="3" t="s">
        <v>714</v>
      </c>
      <c r="O192" s="3" t="s">
        <v>42</v>
      </c>
      <c r="P192" s="42" t="s">
        <v>43</v>
      </c>
      <c r="Q192" s="42">
        <f>VLOOKUP(C192,[2]Export!$C$1:$J$1226,8,0)</f>
        <v>38754728</v>
      </c>
      <c r="R192" s="42" t="s">
        <v>702</v>
      </c>
      <c r="S192" s="2" t="s">
        <v>43</v>
      </c>
    </row>
    <row r="193" spans="3:19" x14ac:dyDescent="0.25">
      <c r="C193" s="3" t="s">
        <v>153</v>
      </c>
      <c r="D193" s="3" t="s">
        <v>154</v>
      </c>
      <c r="E193" s="3" t="s">
        <v>155</v>
      </c>
      <c r="F193" s="4" t="s">
        <v>36</v>
      </c>
      <c r="G193" s="3" t="str">
        <f>VLOOKUP(C193,JUNIO!C192:G548,5,0)</f>
        <v>CIERRE DEFINITIVO</v>
      </c>
      <c r="H193" s="3" t="s">
        <v>81</v>
      </c>
      <c r="I193" s="3" t="s">
        <v>1030</v>
      </c>
      <c r="J193" s="3" t="s">
        <v>84</v>
      </c>
      <c r="K193" s="3" t="s">
        <v>54</v>
      </c>
      <c r="L193" s="3" t="s">
        <v>55</v>
      </c>
      <c r="M193" s="3">
        <v>0</v>
      </c>
      <c r="N193" s="3" t="s">
        <v>153</v>
      </c>
      <c r="O193" s="3" t="s">
        <v>42</v>
      </c>
      <c r="P193" s="42" t="s">
        <v>43</v>
      </c>
      <c r="Q193" s="42"/>
      <c r="R193" s="42">
        <v>0</v>
      </c>
      <c r="S193" s="2" t="s">
        <v>43</v>
      </c>
    </row>
    <row r="194" spans="3:19" x14ac:dyDescent="0.25">
      <c r="C194" s="3" t="s">
        <v>912</v>
      </c>
      <c r="D194" s="3" t="s">
        <v>913</v>
      </c>
      <c r="E194" s="3" t="s">
        <v>913</v>
      </c>
      <c r="F194" s="4">
        <v>5</v>
      </c>
      <c r="G194" s="3" t="str">
        <f>VLOOKUP(C194,JUNIO!C193:G549,5,0)</f>
        <v>Abierta</v>
      </c>
      <c r="H194" s="3" t="s">
        <v>81</v>
      </c>
      <c r="I194" s="3" t="s">
        <v>1030</v>
      </c>
      <c r="J194" s="3" t="s">
        <v>73</v>
      </c>
      <c r="K194" s="3" t="s">
        <v>914</v>
      </c>
      <c r="L194" s="3" t="s">
        <v>40</v>
      </c>
      <c r="M194" s="3" t="s">
        <v>514</v>
      </c>
      <c r="N194" s="3" t="s">
        <v>912</v>
      </c>
      <c r="O194" s="3" t="s">
        <v>42</v>
      </c>
      <c r="P194" s="42" t="s">
        <v>43</v>
      </c>
      <c r="Q194" s="42">
        <f>VLOOKUP(C194,[2]Export!$C$1:$J$1226,8,0)</f>
        <v>21046639</v>
      </c>
      <c r="R194" s="42" t="s">
        <v>886</v>
      </c>
      <c r="S194" s="2" t="s">
        <v>43</v>
      </c>
    </row>
    <row r="195" spans="3:19" x14ac:dyDescent="0.25">
      <c r="C195" s="3" t="s">
        <v>500</v>
      </c>
      <c r="D195" s="3" t="s">
        <v>501</v>
      </c>
      <c r="E195" s="3" t="s">
        <v>501</v>
      </c>
      <c r="F195" s="4">
        <v>5</v>
      </c>
      <c r="G195" s="3" t="str">
        <f>VLOOKUP(C195,JUNIO!C194:G550,5,0)</f>
        <v>Abierta</v>
      </c>
      <c r="H195" s="3" t="s">
        <v>46</v>
      </c>
      <c r="I195" s="3" t="s">
        <v>1030</v>
      </c>
      <c r="J195" s="3" t="s">
        <v>466</v>
      </c>
      <c r="K195" s="3" t="s">
        <v>51</v>
      </c>
      <c r="L195" s="3" t="s">
        <v>40</v>
      </c>
      <c r="M195" s="3" t="s">
        <v>1035</v>
      </c>
      <c r="N195" s="3" t="s">
        <v>500</v>
      </c>
      <c r="O195" s="3" t="s">
        <v>42</v>
      </c>
      <c r="P195" s="42" t="s">
        <v>43</v>
      </c>
      <c r="Q195" s="42">
        <f>VLOOKUP(C195,[2]Export!$C$1:$J$1226,8,0)</f>
        <v>41794062</v>
      </c>
      <c r="R195" s="42" t="s">
        <v>467</v>
      </c>
      <c r="S195" s="2" t="s">
        <v>43</v>
      </c>
    </row>
    <row r="196" spans="3:19" x14ac:dyDescent="0.25">
      <c r="C196" s="3" t="s">
        <v>441</v>
      </c>
      <c r="D196" s="3" t="s">
        <v>442</v>
      </c>
      <c r="E196" s="3" t="s">
        <v>442</v>
      </c>
      <c r="F196" s="4">
        <v>5</v>
      </c>
      <c r="G196" s="3" t="str">
        <f>VLOOKUP(C196,JUNIO!C195:G551,5,0)</f>
        <v>Abierta</v>
      </c>
      <c r="H196" s="3" t="s">
        <v>46</v>
      </c>
      <c r="I196" s="3" t="s">
        <v>1030</v>
      </c>
      <c r="J196" s="3" t="s">
        <v>94</v>
      </c>
      <c r="K196" s="3" t="s">
        <v>64</v>
      </c>
      <c r="L196" s="3" t="s">
        <v>40</v>
      </c>
      <c r="M196" s="3" t="s">
        <v>1035</v>
      </c>
      <c r="N196" s="3" t="s">
        <v>441</v>
      </c>
      <c r="O196" s="3" t="s">
        <v>42</v>
      </c>
      <c r="P196" s="42" t="s">
        <v>440</v>
      </c>
      <c r="Q196" s="42">
        <f>VLOOKUP(C196,[2]Export!$C$1:$J$1226,8,0)</f>
        <v>31101652</v>
      </c>
      <c r="R196" s="42" t="s">
        <v>423</v>
      </c>
      <c r="S196" s="2" t="s">
        <v>43</v>
      </c>
    </row>
    <row r="197" spans="3:19" x14ac:dyDescent="0.25">
      <c r="C197" s="3" t="s">
        <v>156</v>
      </c>
      <c r="D197" s="3" t="s">
        <v>157</v>
      </c>
      <c r="E197" s="3" t="s">
        <v>157</v>
      </c>
      <c r="F197" s="4" t="s">
        <v>36</v>
      </c>
      <c r="G197" s="3" t="str">
        <f>VLOOKUP(C197,JUNIO!C196:G552,5,0)</f>
        <v>CIERRE DEFINITIVO</v>
      </c>
      <c r="H197" s="3" t="s">
        <v>46</v>
      </c>
      <c r="I197" s="3" t="s">
        <v>1030</v>
      </c>
      <c r="J197" s="3">
        <v>0</v>
      </c>
      <c r="K197" s="3" t="s">
        <v>51</v>
      </c>
      <c r="L197" s="3" t="s">
        <v>40</v>
      </c>
      <c r="M197" s="3">
        <v>0</v>
      </c>
      <c r="N197" s="3" t="s">
        <v>156</v>
      </c>
      <c r="O197" s="3" t="s">
        <v>42</v>
      </c>
      <c r="P197" s="42" t="s">
        <v>43</v>
      </c>
      <c r="Q197" s="42"/>
      <c r="R197" s="42">
        <v>0</v>
      </c>
      <c r="S197" s="2" t="s">
        <v>43</v>
      </c>
    </row>
    <row r="198" spans="3:19" x14ac:dyDescent="0.25">
      <c r="C198" s="3" t="s">
        <v>875</v>
      </c>
      <c r="D198" s="3" t="s">
        <v>876</v>
      </c>
      <c r="E198" s="3" t="s">
        <v>876</v>
      </c>
      <c r="F198" s="4">
        <v>5</v>
      </c>
      <c r="G198" s="3" t="str">
        <f>VLOOKUP(C198,JUNIO!C197:G553,5,0)</f>
        <v>Abierta</v>
      </c>
      <c r="H198" s="3" t="s">
        <v>81</v>
      </c>
      <c r="I198" s="3" t="s">
        <v>1030</v>
      </c>
      <c r="J198" s="3" t="s">
        <v>132</v>
      </c>
      <c r="K198" s="3" t="s">
        <v>856</v>
      </c>
      <c r="L198" s="3" t="s">
        <v>40</v>
      </c>
      <c r="M198" s="3" t="s">
        <v>1035</v>
      </c>
      <c r="N198" s="3" t="s">
        <v>875</v>
      </c>
      <c r="O198" s="3" t="s">
        <v>42</v>
      </c>
      <c r="P198" s="42" t="s">
        <v>43</v>
      </c>
      <c r="Q198" s="42">
        <f>VLOOKUP(C198,[2]Export!$C$1:$J$1226,8,0)</f>
        <v>27033573</v>
      </c>
      <c r="R198" s="42" t="s">
        <v>847</v>
      </c>
      <c r="S198" s="2" t="s">
        <v>43</v>
      </c>
    </row>
    <row r="199" spans="3:19" x14ac:dyDescent="0.25">
      <c r="C199" s="3" t="s">
        <v>158</v>
      </c>
      <c r="D199" s="3" t="s">
        <v>159</v>
      </c>
      <c r="E199" s="3" t="s">
        <v>159</v>
      </c>
      <c r="F199" s="4" t="s">
        <v>36</v>
      </c>
      <c r="G199" s="3" t="str">
        <f>VLOOKUP(C199,JUNIO!C198:G554,5,0)</f>
        <v>CIERRE DEFINITIVO</v>
      </c>
      <c r="H199" s="3" t="s">
        <v>81</v>
      </c>
      <c r="I199" s="3" t="s">
        <v>1030</v>
      </c>
      <c r="J199" s="3" t="s">
        <v>160</v>
      </c>
      <c r="K199" s="3" t="s">
        <v>161</v>
      </c>
      <c r="L199" s="3" t="s">
        <v>55</v>
      </c>
      <c r="M199" s="3">
        <v>0</v>
      </c>
      <c r="N199" s="3" t="s">
        <v>158</v>
      </c>
      <c r="O199" s="3" t="s">
        <v>42</v>
      </c>
      <c r="P199" s="42" t="s">
        <v>43</v>
      </c>
      <c r="Q199" s="42"/>
      <c r="R199" s="42">
        <v>0</v>
      </c>
      <c r="S199" s="2" t="s">
        <v>43</v>
      </c>
    </row>
    <row r="200" spans="3:19" x14ac:dyDescent="0.25">
      <c r="C200" s="3" t="s">
        <v>814</v>
      </c>
      <c r="D200" s="3" t="s">
        <v>815</v>
      </c>
      <c r="E200" s="3" t="s">
        <v>816</v>
      </c>
      <c r="F200" s="4">
        <v>5</v>
      </c>
      <c r="G200" s="3" t="str">
        <f>VLOOKUP(C200,JUNIO!C199:G555,5,0)</f>
        <v>Abierta</v>
      </c>
      <c r="H200" s="3" t="s">
        <v>81</v>
      </c>
      <c r="I200" s="3" t="s">
        <v>1030</v>
      </c>
      <c r="J200" s="3" t="s">
        <v>146</v>
      </c>
      <c r="K200" s="3" t="s">
        <v>59</v>
      </c>
      <c r="L200" s="3" t="s">
        <v>40</v>
      </c>
      <c r="M200" s="3" t="s">
        <v>1035</v>
      </c>
      <c r="N200" s="3" t="s">
        <v>814</v>
      </c>
      <c r="O200" s="3" t="s">
        <v>42</v>
      </c>
      <c r="P200" s="42" t="s">
        <v>43</v>
      </c>
      <c r="Q200" s="42">
        <f>VLOOKUP(C200,[2]Export!$C$1:$J$1226,8,0)</f>
        <v>35587542</v>
      </c>
      <c r="R200" s="42" t="s">
        <v>799</v>
      </c>
      <c r="S200" s="2" t="s">
        <v>440</v>
      </c>
    </row>
    <row r="201" spans="3:19" x14ac:dyDescent="0.25">
      <c r="C201" s="3" t="s">
        <v>598</v>
      </c>
      <c r="D201" s="3" t="s">
        <v>599</v>
      </c>
      <c r="E201" s="3" t="s">
        <v>600</v>
      </c>
      <c r="F201" s="4">
        <v>5</v>
      </c>
      <c r="G201" s="3" t="str">
        <f>VLOOKUP(C201,JUNIO!C200:G556,5,0)</f>
        <v>Abierta</v>
      </c>
      <c r="H201" s="3" t="s">
        <v>81</v>
      </c>
      <c r="I201" s="3" t="s">
        <v>1030</v>
      </c>
      <c r="J201" s="3" t="s">
        <v>50</v>
      </c>
      <c r="K201" s="3" t="s">
        <v>601</v>
      </c>
      <c r="L201" s="3" t="s">
        <v>40</v>
      </c>
      <c r="M201" s="3" t="s">
        <v>514</v>
      </c>
      <c r="N201" s="3" t="s">
        <v>598</v>
      </c>
      <c r="O201" s="3" t="s">
        <v>42</v>
      </c>
      <c r="P201" s="42" t="s">
        <v>43</v>
      </c>
      <c r="Q201" s="42">
        <f>VLOOKUP(C201,[2]Export!$C$1:$J$1226,8,0)</f>
        <v>37163184</v>
      </c>
      <c r="R201" s="42" t="s">
        <v>597</v>
      </c>
      <c r="S201" s="2" t="s">
        <v>440</v>
      </c>
    </row>
    <row r="202" spans="3:19" x14ac:dyDescent="0.25">
      <c r="C202" s="3" t="s">
        <v>162</v>
      </c>
      <c r="D202" s="3" t="s">
        <v>163</v>
      </c>
      <c r="E202" s="3" t="s">
        <v>163</v>
      </c>
      <c r="F202" s="4" t="s">
        <v>36</v>
      </c>
      <c r="G202" s="3" t="str">
        <f>VLOOKUP(C202,JUNIO!C201:G557,5,0)</f>
        <v>CIERRE DEFINITIVO</v>
      </c>
      <c r="H202" s="3" t="s">
        <v>88</v>
      </c>
      <c r="I202" s="3" t="s">
        <v>1030</v>
      </c>
      <c r="J202" s="3" t="s">
        <v>63</v>
      </c>
      <c r="K202" s="3" t="s">
        <v>138</v>
      </c>
      <c r="L202" s="3" t="s">
        <v>40</v>
      </c>
      <c r="M202" s="3">
        <v>0</v>
      </c>
      <c r="N202" s="3" t="s">
        <v>162</v>
      </c>
      <c r="O202" s="3" t="s">
        <v>42</v>
      </c>
      <c r="P202" s="42" t="s">
        <v>43</v>
      </c>
      <c r="Q202" s="42"/>
      <c r="R202" s="42">
        <v>0</v>
      </c>
      <c r="S202" s="2" t="s">
        <v>43</v>
      </c>
    </row>
    <row r="203" spans="3:19" x14ac:dyDescent="0.25">
      <c r="C203" s="3" t="s">
        <v>716</v>
      </c>
      <c r="D203" s="3" t="s">
        <v>717</v>
      </c>
      <c r="E203" s="3" t="s">
        <v>718</v>
      </c>
      <c r="F203" s="4">
        <v>5</v>
      </c>
      <c r="G203" s="3" t="str">
        <f>VLOOKUP(C203,JUNIO!C202:G558,5,0)</f>
        <v>Abierta</v>
      </c>
      <c r="H203" s="3" t="s">
        <v>46</v>
      </c>
      <c r="I203" s="3" t="s">
        <v>1031</v>
      </c>
      <c r="J203" s="3" t="s">
        <v>84</v>
      </c>
      <c r="K203" s="3" t="s">
        <v>54</v>
      </c>
      <c r="L203" s="3" t="s">
        <v>55</v>
      </c>
      <c r="M203" s="3" t="s">
        <v>378</v>
      </c>
      <c r="N203" s="3" t="s">
        <v>716</v>
      </c>
      <c r="O203" s="3" t="s">
        <v>42</v>
      </c>
      <c r="P203" s="42" t="s">
        <v>440</v>
      </c>
      <c r="Q203" s="42">
        <f>VLOOKUP(C203,[2]Export!$C$1:$J$1226,8,0)</f>
        <v>33114675</v>
      </c>
      <c r="R203" s="42" t="s">
        <v>702</v>
      </c>
      <c r="S203" s="2" t="s">
        <v>43</v>
      </c>
    </row>
    <row r="204" spans="3:19" x14ac:dyDescent="0.25">
      <c r="C204" s="3" t="s">
        <v>788</v>
      </c>
      <c r="D204" s="3" t="s">
        <v>789</v>
      </c>
      <c r="E204" s="3" t="s">
        <v>790</v>
      </c>
      <c r="F204" s="4">
        <v>5</v>
      </c>
      <c r="G204" s="3" t="str">
        <f>VLOOKUP(C204,JUNIO!C203:G559,5,0)</f>
        <v>Abierta</v>
      </c>
      <c r="H204" s="3" t="s">
        <v>81</v>
      </c>
      <c r="I204" s="3" t="s">
        <v>1031</v>
      </c>
      <c r="J204" s="3" t="s">
        <v>89</v>
      </c>
      <c r="K204" s="3" t="s">
        <v>109</v>
      </c>
      <c r="L204" s="3" t="s">
        <v>91</v>
      </c>
      <c r="M204" s="3" t="s">
        <v>378</v>
      </c>
      <c r="N204" s="3" t="s">
        <v>788</v>
      </c>
      <c r="O204" s="3" t="s">
        <v>42</v>
      </c>
      <c r="P204" s="42" t="s">
        <v>43</v>
      </c>
      <c r="Q204" s="42">
        <f>VLOOKUP(C204,[2]Export!$C$1:$J$1226,8,0)</f>
        <v>37598901</v>
      </c>
      <c r="R204" s="42" t="s">
        <v>772</v>
      </c>
      <c r="S204" s="2" t="s">
        <v>43</v>
      </c>
    </row>
    <row r="205" spans="3:19" x14ac:dyDescent="0.25">
      <c r="C205" s="3" t="s">
        <v>443</v>
      </c>
      <c r="D205" s="3" t="s">
        <v>444</v>
      </c>
      <c r="E205" s="3" t="s">
        <v>444</v>
      </c>
      <c r="F205" s="4">
        <v>5</v>
      </c>
      <c r="G205" s="3" t="str">
        <f>VLOOKUP(C205,JUNIO!C204:G560,5,0)</f>
        <v>Abierta</v>
      </c>
      <c r="H205" s="3" t="s">
        <v>81</v>
      </c>
      <c r="I205" s="3" t="s">
        <v>1030</v>
      </c>
      <c r="J205" s="3" t="s">
        <v>94</v>
      </c>
      <c r="K205" s="3" t="s">
        <v>64</v>
      </c>
      <c r="L205" s="3" t="s">
        <v>40</v>
      </c>
      <c r="M205" s="3" t="s">
        <v>1035</v>
      </c>
      <c r="N205" s="3" t="s">
        <v>443</v>
      </c>
      <c r="O205" s="3" t="s">
        <v>42</v>
      </c>
      <c r="P205" s="42" t="s">
        <v>43</v>
      </c>
      <c r="Q205" s="42">
        <f>VLOOKUP(C205,[2]Export!$C$1:$J$1226,8,0)</f>
        <v>25318086</v>
      </c>
      <c r="R205" s="42" t="s">
        <v>423</v>
      </c>
      <c r="S205" s="2" t="s">
        <v>43</v>
      </c>
    </row>
    <row r="206" spans="3:19" x14ac:dyDescent="0.25">
      <c r="C206" s="3" t="s">
        <v>415</v>
      </c>
      <c r="D206" s="3" t="s">
        <v>416</v>
      </c>
      <c r="E206" s="3" t="s">
        <v>416</v>
      </c>
      <c r="F206" s="4">
        <v>5</v>
      </c>
      <c r="G206" s="3" t="str">
        <f>VLOOKUP(C206,JUNIO!C205:G561,5,0)</f>
        <v>Abierta</v>
      </c>
      <c r="H206" s="3" t="s">
        <v>81</v>
      </c>
      <c r="I206" s="3" t="s">
        <v>1031</v>
      </c>
      <c r="J206" s="3" t="s">
        <v>63</v>
      </c>
      <c r="K206" s="3" t="s">
        <v>138</v>
      </c>
      <c r="L206" s="3" t="s">
        <v>40</v>
      </c>
      <c r="M206" s="3" t="s">
        <v>378</v>
      </c>
      <c r="N206" s="3" t="s">
        <v>415</v>
      </c>
      <c r="O206" s="3" t="s">
        <v>42</v>
      </c>
      <c r="P206" s="42" t="s">
        <v>43</v>
      </c>
      <c r="Q206" s="42">
        <f>VLOOKUP(C206,[2]Export!$C$1:$J$1226,8,0)</f>
        <v>30781938</v>
      </c>
      <c r="R206" s="42" t="s">
        <v>380</v>
      </c>
      <c r="S206" s="2" t="s">
        <v>43</v>
      </c>
    </row>
    <row r="207" spans="3:19" x14ac:dyDescent="0.25">
      <c r="C207" s="3" t="s">
        <v>915</v>
      </c>
      <c r="D207" s="3" t="s">
        <v>916</v>
      </c>
      <c r="E207" s="3" t="s">
        <v>916</v>
      </c>
      <c r="F207" s="4">
        <v>5</v>
      </c>
      <c r="G207" s="3" t="str">
        <f>VLOOKUP(C207,JUNIO!C206:G562,5,0)</f>
        <v>Abierta</v>
      </c>
      <c r="H207" s="3" t="s">
        <v>81</v>
      </c>
      <c r="I207" s="3" t="s">
        <v>1030</v>
      </c>
      <c r="J207" s="3" t="s">
        <v>73</v>
      </c>
      <c r="K207" s="3" t="s">
        <v>133</v>
      </c>
      <c r="L207" s="3" t="s">
        <v>40</v>
      </c>
      <c r="M207" s="3" t="s">
        <v>514</v>
      </c>
      <c r="N207" s="3" t="s">
        <v>915</v>
      </c>
      <c r="O207" s="3" t="s">
        <v>42</v>
      </c>
      <c r="P207" s="42" t="s">
        <v>43</v>
      </c>
      <c r="Q207" s="42">
        <f>VLOOKUP(C207,[2]Export!$C$1:$J$1226,8,0)</f>
        <v>25879381</v>
      </c>
      <c r="R207" s="42" t="s">
        <v>886</v>
      </c>
      <c r="S207" s="2" t="s">
        <v>440</v>
      </c>
    </row>
    <row r="208" spans="3:19" x14ac:dyDescent="0.25">
      <c r="C208" s="3" t="s">
        <v>164</v>
      </c>
      <c r="D208" s="3" t="s">
        <v>165</v>
      </c>
      <c r="E208" s="3" t="s">
        <v>165</v>
      </c>
      <c r="F208" s="4" t="s">
        <v>36</v>
      </c>
      <c r="G208" s="3" t="str">
        <f>VLOOKUP(C208,JUNIO!C207:G563,5,0)</f>
        <v>CIERRE DEFINITIVO</v>
      </c>
      <c r="H208" s="3" t="s">
        <v>46</v>
      </c>
      <c r="I208" s="3" t="s">
        <v>1030</v>
      </c>
      <c r="J208" s="3" t="s">
        <v>58</v>
      </c>
      <c r="K208" s="3" t="s">
        <v>138</v>
      </c>
      <c r="L208" s="3" t="s">
        <v>40</v>
      </c>
      <c r="M208" s="3">
        <v>0</v>
      </c>
      <c r="N208" s="3" t="s">
        <v>164</v>
      </c>
      <c r="O208" s="3" t="s">
        <v>42</v>
      </c>
      <c r="P208" s="42" t="s">
        <v>43</v>
      </c>
      <c r="Q208" s="42"/>
      <c r="R208" s="42">
        <v>0</v>
      </c>
      <c r="S208" s="2" t="s">
        <v>43</v>
      </c>
    </row>
    <row r="209" spans="3:19" x14ac:dyDescent="0.25">
      <c r="C209" s="3" t="s">
        <v>166</v>
      </c>
      <c r="D209" s="3" t="s">
        <v>167</v>
      </c>
      <c r="E209" s="3" t="s">
        <v>167</v>
      </c>
      <c r="F209" s="4" t="s">
        <v>36</v>
      </c>
      <c r="G209" s="3" t="str">
        <f>VLOOKUP(C209,JUNIO!C208:G564,5,0)</f>
        <v>CIERRE DEFINITIVO</v>
      </c>
      <c r="H209" s="3" t="s">
        <v>81</v>
      </c>
      <c r="I209" s="3" t="s">
        <v>1030</v>
      </c>
      <c r="J209" s="3" t="s">
        <v>58</v>
      </c>
      <c r="K209" s="3" t="s">
        <v>59</v>
      </c>
      <c r="L209" s="3" t="s">
        <v>40</v>
      </c>
      <c r="M209" s="3">
        <v>0</v>
      </c>
      <c r="N209" s="3" t="s">
        <v>166</v>
      </c>
      <c r="O209" s="3" t="s">
        <v>42</v>
      </c>
      <c r="P209" s="42" t="s">
        <v>43</v>
      </c>
      <c r="Q209" s="42"/>
      <c r="R209" s="42">
        <v>0</v>
      </c>
      <c r="S209" s="2" t="s">
        <v>43</v>
      </c>
    </row>
    <row r="210" spans="3:19" x14ac:dyDescent="0.25">
      <c r="C210" s="3" t="s">
        <v>168</v>
      </c>
      <c r="D210" s="3" t="s">
        <v>169</v>
      </c>
      <c r="E210" s="3" t="s">
        <v>170</v>
      </c>
      <c r="F210" s="4" t="s">
        <v>36</v>
      </c>
      <c r="G210" s="3" t="str">
        <f>VLOOKUP(C210,JUNIO!C209:G565,5,0)</f>
        <v>CIERRE DEFINITIVO</v>
      </c>
      <c r="H210" s="3" t="s">
        <v>46</v>
      </c>
      <c r="I210" s="3" t="s">
        <v>1030</v>
      </c>
      <c r="J210" s="3" t="s">
        <v>160</v>
      </c>
      <c r="K210" s="3" t="s">
        <v>59</v>
      </c>
      <c r="L210" s="3" t="s">
        <v>40</v>
      </c>
      <c r="M210" s="3">
        <v>0</v>
      </c>
      <c r="N210" s="3" t="s">
        <v>168</v>
      </c>
      <c r="O210" s="3" t="s">
        <v>42</v>
      </c>
      <c r="P210" s="42" t="s">
        <v>43</v>
      </c>
      <c r="Q210" s="42"/>
      <c r="R210" s="42">
        <v>0</v>
      </c>
      <c r="S210" s="2" t="s">
        <v>43</v>
      </c>
    </row>
    <row r="211" spans="3:19" x14ac:dyDescent="0.25">
      <c r="C211" s="3" t="s">
        <v>171</v>
      </c>
      <c r="D211" s="3" t="s">
        <v>172</v>
      </c>
      <c r="E211" s="3" t="s">
        <v>172</v>
      </c>
      <c r="F211" s="4" t="s">
        <v>36</v>
      </c>
      <c r="G211" s="3" t="str">
        <f>VLOOKUP(C211,JUNIO!C210:G566,5,0)</f>
        <v>CIERRE DEFINITIVO</v>
      </c>
      <c r="H211" s="3" t="s">
        <v>81</v>
      </c>
      <c r="I211" s="3" t="s">
        <v>1030</v>
      </c>
      <c r="J211" s="3" t="s">
        <v>89</v>
      </c>
      <c r="K211" s="3" t="s">
        <v>109</v>
      </c>
      <c r="L211" s="3" t="s">
        <v>91</v>
      </c>
      <c r="M211" s="3">
        <v>0</v>
      </c>
      <c r="N211" s="3" t="s">
        <v>171</v>
      </c>
      <c r="O211" s="3" t="s">
        <v>42</v>
      </c>
      <c r="P211" s="42" t="s">
        <v>43</v>
      </c>
      <c r="Q211" s="42"/>
      <c r="R211" s="42" t="s">
        <v>772</v>
      </c>
      <c r="S211" s="2" t="s">
        <v>43</v>
      </c>
    </row>
    <row r="212" spans="3:19" x14ac:dyDescent="0.25">
      <c r="C212" s="3" t="s">
        <v>173</v>
      </c>
      <c r="D212" s="3" t="s">
        <v>174</v>
      </c>
      <c r="E212" s="3" t="s">
        <v>174</v>
      </c>
      <c r="F212" s="4" t="s">
        <v>36</v>
      </c>
      <c r="G212" s="3" t="str">
        <f>VLOOKUP(C212,JUNIO!C211:G567,5,0)</f>
        <v>CIERRE DEFINITIVO</v>
      </c>
      <c r="H212" s="3" t="s">
        <v>46</v>
      </c>
      <c r="I212" s="3" t="s">
        <v>1030</v>
      </c>
      <c r="J212" s="3" t="s">
        <v>73</v>
      </c>
      <c r="K212" s="3" t="s">
        <v>64</v>
      </c>
      <c r="L212" s="3" t="s">
        <v>40</v>
      </c>
      <c r="M212" s="3">
        <v>0</v>
      </c>
      <c r="N212" s="3" t="s">
        <v>173</v>
      </c>
      <c r="O212" s="3" t="s">
        <v>42</v>
      </c>
      <c r="P212" s="42" t="s">
        <v>43</v>
      </c>
      <c r="Q212" s="42"/>
      <c r="R212" s="42">
        <v>0</v>
      </c>
      <c r="S212" s="2" t="s">
        <v>43</v>
      </c>
    </row>
    <row r="213" spans="3:19" x14ac:dyDescent="0.25">
      <c r="C213" s="3" t="s">
        <v>584</v>
      </c>
      <c r="D213" s="3" t="s">
        <v>585</v>
      </c>
      <c r="E213" s="3" t="s">
        <v>585</v>
      </c>
      <c r="F213" s="4">
        <v>5</v>
      </c>
      <c r="G213" s="3" t="str">
        <f>VLOOKUP(C213,JUNIO!C212:G568,5,0)</f>
        <v>Abierta</v>
      </c>
      <c r="H213" s="3" t="s">
        <v>46</v>
      </c>
      <c r="I213" s="3" t="s">
        <v>1030</v>
      </c>
      <c r="J213" s="3" t="s">
        <v>331</v>
      </c>
      <c r="K213" s="3" t="s">
        <v>138</v>
      </c>
      <c r="L213" s="3" t="s">
        <v>40</v>
      </c>
      <c r="M213" s="3" t="s">
        <v>984</v>
      </c>
      <c r="N213" s="3" t="s">
        <v>584</v>
      </c>
      <c r="O213" s="3" t="s">
        <v>42</v>
      </c>
      <c r="P213" s="42" t="s">
        <v>43</v>
      </c>
      <c r="Q213" s="42">
        <f>VLOOKUP(C213,[2]Export!$C$1:$J$1226,8,0)</f>
        <v>37908678</v>
      </c>
      <c r="R213" s="42" t="s">
        <v>557</v>
      </c>
      <c r="S213" s="2" t="s">
        <v>43</v>
      </c>
    </row>
    <row r="214" spans="3:19" x14ac:dyDescent="0.25">
      <c r="C214" s="3" t="s">
        <v>917</v>
      </c>
      <c r="D214" s="3" t="s">
        <v>918</v>
      </c>
      <c r="E214" s="3" t="s">
        <v>918</v>
      </c>
      <c r="F214" s="4">
        <v>5</v>
      </c>
      <c r="G214" s="3" t="str">
        <f>VLOOKUP(C214,JUNIO!C213:G569,5,0)</f>
        <v>Abierta</v>
      </c>
      <c r="H214" s="3" t="s">
        <v>46</v>
      </c>
      <c r="I214" s="3" t="s">
        <v>1030</v>
      </c>
      <c r="J214" s="3" t="s">
        <v>73</v>
      </c>
      <c r="K214" s="3" t="s">
        <v>605</v>
      </c>
      <c r="L214" s="3" t="s">
        <v>40</v>
      </c>
      <c r="M214" s="3" t="s">
        <v>514</v>
      </c>
      <c r="N214" s="3" t="s">
        <v>917</v>
      </c>
      <c r="O214" s="3" t="s">
        <v>42</v>
      </c>
      <c r="P214" s="42" t="s">
        <v>43</v>
      </c>
      <c r="Q214" s="42">
        <f>VLOOKUP(C214,[2]Export!$C$1:$J$1226,8,0)</f>
        <v>33876159</v>
      </c>
      <c r="R214" s="42" t="s">
        <v>886</v>
      </c>
      <c r="S214" s="2" t="s">
        <v>43</v>
      </c>
    </row>
    <row r="215" spans="3:19" x14ac:dyDescent="0.25">
      <c r="C215" s="3" t="s">
        <v>877</v>
      </c>
      <c r="D215" s="3" t="s">
        <v>878</v>
      </c>
      <c r="E215" s="3" t="s">
        <v>878</v>
      </c>
      <c r="F215" s="4">
        <v>5</v>
      </c>
      <c r="G215" s="3" t="str">
        <f>VLOOKUP(C215,JUNIO!C214:G570,5,0)</f>
        <v>Abierta</v>
      </c>
      <c r="H215" s="3" t="s">
        <v>81</v>
      </c>
      <c r="I215" s="3" t="s">
        <v>1030</v>
      </c>
      <c r="J215" s="3" t="s">
        <v>132</v>
      </c>
      <c r="K215" s="3" t="s">
        <v>856</v>
      </c>
      <c r="L215" s="3" t="s">
        <v>40</v>
      </c>
      <c r="M215" s="3" t="s">
        <v>1035</v>
      </c>
      <c r="N215" s="3" t="s">
        <v>877</v>
      </c>
      <c r="O215" s="3" t="s">
        <v>42</v>
      </c>
      <c r="P215" s="42" t="s">
        <v>43</v>
      </c>
      <c r="Q215" s="42">
        <f>VLOOKUP(C215,[2]Export!$C$1:$J$1226,8,0)</f>
        <v>34059938</v>
      </c>
      <c r="R215" s="42" t="s">
        <v>847</v>
      </c>
      <c r="S215" s="2" t="s">
        <v>440</v>
      </c>
    </row>
    <row r="216" spans="3:19" x14ac:dyDescent="0.25">
      <c r="C216" s="3" t="s">
        <v>586</v>
      </c>
      <c r="D216" s="3" t="s">
        <v>587</v>
      </c>
      <c r="E216" s="3" t="s">
        <v>587</v>
      </c>
      <c r="F216" s="4">
        <v>5</v>
      </c>
      <c r="G216" s="3" t="str">
        <f>VLOOKUP(C216,JUNIO!C215:G571,5,0)</f>
        <v>Abierta</v>
      </c>
      <c r="H216" s="3" t="s">
        <v>46</v>
      </c>
      <c r="I216" s="3" t="s">
        <v>1030</v>
      </c>
      <c r="J216" s="3" t="s">
        <v>331</v>
      </c>
      <c r="K216" s="3" t="s">
        <v>138</v>
      </c>
      <c r="L216" s="3" t="s">
        <v>40</v>
      </c>
      <c r="M216" s="3" t="s">
        <v>984</v>
      </c>
      <c r="N216" s="3" t="s">
        <v>586</v>
      </c>
      <c r="O216" s="3" t="s">
        <v>42</v>
      </c>
      <c r="P216" s="42" t="s">
        <v>43</v>
      </c>
      <c r="Q216" s="42">
        <f>VLOOKUP(C216,[2]Export!$C$1:$J$1226,8,0)</f>
        <v>55193795</v>
      </c>
      <c r="R216" s="42" t="s">
        <v>557</v>
      </c>
      <c r="S216" s="2" t="s">
        <v>43</v>
      </c>
    </row>
    <row r="217" spans="3:19" x14ac:dyDescent="0.25">
      <c r="C217" s="3" t="s">
        <v>175</v>
      </c>
      <c r="D217" s="3" t="s">
        <v>176</v>
      </c>
      <c r="E217" s="3" t="s">
        <v>176</v>
      </c>
      <c r="F217" s="4" t="s">
        <v>36</v>
      </c>
      <c r="G217" s="3" t="str">
        <f>VLOOKUP(C217,JUNIO!C216:G572,5,0)</f>
        <v>CIERRE DEFINITIVO</v>
      </c>
      <c r="H217" s="3" t="s">
        <v>46</v>
      </c>
      <c r="I217" s="3" t="s">
        <v>1030</v>
      </c>
      <c r="J217" s="3" t="s">
        <v>132</v>
      </c>
      <c r="K217" s="3" t="s">
        <v>64</v>
      </c>
      <c r="L217" s="3" t="s">
        <v>40</v>
      </c>
      <c r="M217" s="3">
        <v>0</v>
      </c>
      <c r="N217" s="3" t="s">
        <v>175</v>
      </c>
      <c r="O217" s="3" t="s">
        <v>42</v>
      </c>
      <c r="P217" s="42" t="s">
        <v>43</v>
      </c>
      <c r="Q217" s="42"/>
      <c r="R217" s="42">
        <v>0</v>
      </c>
      <c r="S217" s="2" t="s">
        <v>43</v>
      </c>
    </row>
    <row r="218" spans="3:19" x14ac:dyDescent="0.25">
      <c r="C218" s="3" t="s">
        <v>177</v>
      </c>
      <c r="D218" s="3" t="s">
        <v>178</v>
      </c>
      <c r="E218" s="3" t="s">
        <v>178</v>
      </c>
      <c r="F218" s="4" t="s">
        <v>36</v>
      </c>
      <c r="G218" s="3" t="str">
        <f>VLOOKUP(C218,JUNIO!C217:G573,5,0)</f>
        <v>CIERRE DEFINITIVO</v>
      </c>
      <c r="H218" s="3" t="s">
        <v>81</v>
      </c>
      <c r="I218" s="3" t="s">
        <v>1030</v>
      </c>
      <c r="J218" s="3" t="s">
        <v>84</v>
      </c>
      <c r="K218" s="3" t="s">
        <v>179</v>
      </c>
      <c r="L218" s="3" t="s">
        <v>55</v>
      </c>
      <c r="M218" s="3">
        <v>0</v>
      </c>
      <c r="N218" s="3" t="s">
        <v>177</v>
      </c>
      <c r="O218" s="3" t="s">
        <v>42</v>
      </c>
      <c r="P218" s="42" t="s">
        <v>43</v>
      </c>
      <c r="Q218" s="42"/>
      <c r="R218" s="42">
        <v>0</v>
      </c>
      <c r="S218" s="2" t="s">
        <v>43</v>
      </c>
    </row>
    <row r="219" spans="3:19" x14ac:dyDescent="0.25">
      <c r="C219" s="3" t="s">
        <v>180</v>
      </c>
      <c r="D219" s="3" t="s">
        <v>181</v>
      </c>
      <c r="E219" s="3" t="s">
        <v>181</v>
      </c>
      <c r="F219" s="4" t="s">
        <v>36</v>
      </c>
      <c r="G219" s="3" t="str">
        <f>VLOOKUP(C219,JUNIO!C218:G574,5,0)</f>
        <v>CIERRE DEFINITIVO</v>
      </c>
      <c r="H219" s="3" t="s">
        <v>81</v>
      </c>
      <c r="I219" s="3" t="s">
        <v>1030</v>
      </c>
      <c r="J219" s="3" t="s">
        <v>84</v>
      </c>
      <c r="K219" s="3" t="s">
        <v>182</v>
      </c>
      <c r="L219" s="3" t="s">
        <v>55</v>
      </c>
      <c r="M219" s="3">
        <v>0</v>
      </c>
      <c r="N219" s="3" t="s">
        <v>180</v>
      </c>
      <c r="O219" s="3" t="s">
        <v>42</v>
      </c>
      <c r="P219" s="42" t="s">
        <v>43</v>
      </c>
      <c r="Q219" s="42"/>
      <c r="R219" s="42">
        <v>0</v>
      </c>
      <c r="S219" s="2" t="s">
        <v>43</v>
      </c>
    </row>
    <row r="220" spans="3:19" x14ac:dyDescent="0.25">
      <c r="C220" s="3" t="s">
        <v>588</v>
      </c>
      <c r="D220" s="3" t="s">
        <v>589</v>
      </c>
      <c r="E220" s="3" t="s">
        <v>589</v>
      </c>
      <c r="F220" s="4">
        <v>5</v>
      </c>
      <c r="G220" s="3" t="str">
        <f>VLOOKUP(C220,JUNIO!C219:G575,5,0)</f>
        <v>Abierta</v>
      </c>
      <c r="H220" s="3" t="s">
        <v>46</v>
      </c>
      <c r="I220" s="3" t="s">
        <v>1030</v>
      </c>
      <c r="J220" s="3" t="s">
        <v>331</v>
      </c>
      <c r="K220" s="3" t="s">
        <v>138</v>
      </c>
      <c r="L220" s="3" t="s">
        <v>40</v>
      </c>
      <c r="M220" s="3" t="s">
        <v>984</v>
      </c>
      <c r="N220" s="3" t="s">
        <v>588</v>
      </c>
      <c r="O220" s="3" t="s">
        <v>42</v>
      </c>
      <c r="P220" s="42" t="s">
        <v>43</v>
      </c>
      <c r="Q220" s="42">
        <f>VLOOKUP(C220,[2]Export!$C$1:$J$1226,8,0)</f>
        <v>46288171</v>
      </c>
      <c r="R220" s="42" t="s">
        <v>557</v>
      </c>
      <c r="S220" s="2" t="s">
        <v>43</v>
      </c>
    </row>
    <row r="221" spans="3:19" x14ac:dyDescent="0.25">
      <c r="C221" s="3" t="s">
        <v>183</v>
      </c>
      <c r="D221" s="3" t="s">
        <v>184</v>
      </c>
      <c r="E221" s="3" t="s">
        <v>184</v>
      </c>
      <c r="F221" s="4" t="s">
        <v>36</v>
      </c>
      <c r="G221" s="3" t="str">
        <f>VLOOKUP(C221,JUNIO!C220:G576,5,0)</f>
        <v>CIERRE DEFINITIVO</v>
      </c>
      <c r="H221" s="3" t="s">
        <v>81</v>
      </c>
      <c r="I221" s="3" t="s">
        <v>1030</v>
      </c>
      <c r="J221" s="3">
        <v>0</v>
      </c>
      <c r="K221" s="3" t="s">
        <v>64</v>
      </c>
      <c r="L221" s="3" t="s">
        <v>40</v>
      </c>
      <c r="M221" s="3">
        <v>0</v>
      </c>
      <c r="N221" s="3" t="s">
        <v>183</v>
      </c>
      <c r="O221" s="3" t="s">
        <v>42</v>
      </c>
      <c r="P221" s="42" t="s">
        <v>43</v>
      </c>
      <c r="Q221" s="42"/>
      <c r="R221" s="42">
        <v>0</v>
      </c>
      <c r="S221" s="2" t="s">
        <v>43</v>
      </c>
    </row>
    <row r="222" spans="3:19" x14ac:dyDescent="0.25">
      <c r="C222" s="3" t="s">
        <v>185</v>
      </c>
      <c r="D222" s="3" t="s">
        <v>186</v>
      </c>
      <c r="E222" s="3" t="s">
        <v>186</v>
      </c>
      <c r="F222" s="4" t="s">
        <v>36</v>
      </c>
      <c r="G222" s="3" t="str">
        <f>VLOOKUP(C222,JUNIO!C221:G577,5,0)</f>
        <v>CIERRE DEFINITIVO</v>
      </c>
      <c r="H222" s="3" t="s">
        <v>46</v>
      </c>
      <c r="I222" s="3" t="s">
        <v>1030</v>
      </c>
      <c r="J222" s="3" t="s">
        <v>94</v>
      </c>
      <c r="K222" s="3" t="s">
        <v>64</v>
      </c>
      <c r="L222" s="3" t="s">
        <v>40</v>
      </c>
      <c r="M222" s="3">
        <v>0</v>
      </c>
      <c r="N222" s="3" t="s">
        <v>185</v>
      </c>
      <c r="O222" s="3" t="s">
        <v>42</v>
      </c>
      <c r="P222" s="42" t="s">
        <v>43</v>
      </c>
      <c r="Q222" s="42"/>
      <c r="R222" s="42">
        <v>0</v>
      </c>
      <c r="S222" s="2" t="s">
        <v>43</v>
      </c>
    </row>
    <row r="223" spans="3:19" x14ac:dyDescent="0.25">
      <c r="C223" s="3" t="s">
        <v>445</v>
      </c>
      <c r="D223" s="3" t="s">
        <v>446</v>
      </c>
      <c r="E223" s="3" t="s">
        <v>446</v>
      </c>
      <c r="F223" s="4">
        <v>5</v>
      </c>
      <c r="G223" s="3" t="str">
        <f>VLOOKUP(C223,JUNIO!C222:G578,5,0)</f>
        <v>Abierta</v>
      </c>
      <c r="H223" s="3" t="s">
        <v>46</v>
      </c>
      <c r="I223" s="3" t="s">
        <v>1030</v>
      </c>
      <c r="J223" s="3" t="s">
        <v>94</v>
      </c>
      <c r="K223" s="3" t="s">
        <v>64</v>
      </c>
      <c r="L223" s="3" t="s">
        <v>40</v>
      </c>
      <c r="M223" s="3" t="s">
        <v>1035</v>
      </c>
      <c r="N223" s="3" t="s">
        <v>445</v>
      </c>
      <c r="O223" s="3" t="s">
        <v>42</v>
      </c>
      <c r="P223" s="42" t="s">
        <v>43</v>
      </c>
      <c r="Q223" s="42">
        <f>VLOOKUP(C223,[2]Export!$C$1:$J$1226,8,0)</f>
        <v>27719857</v>
      </c>
      <c r="R223" s="42" t="s">
        <v>423</v>
      </c>
      <c r="S223" s="2" t="s">
        <v>43</v>
      </c>
    </row>
    <row r="224" spans="3:19" x14ac:dyDescent="0.25">
      <c r="C224" s="3" t="s">
        <v>817</v>
      </c>
      <c r="D224" s="3" t="s">
        <v>818</v>
      </c>
      <c r="E224" s="3" t="s">
        <v>818</v>
      </c>
      <c r="F224" s="4">
        <v>5</v>
      </c>
      <c r="G224" s="3" t="str">
        <f>VLOOKUP(C224,JUNIO!C223:G579,5,0)</f>
        <v>Abierta</v>
      </c>
      <c r="H224" s="3" t="s">
        <v>46</v>
      </c>
      <c r="I224" s="3" t="s">
        <v>1030</v>
      </c>
      <c r="J224" s="3" t="s">
        <v>146</v>
      </c>
      <c r="K224" s="3" t="s">
        <v>59</v>
      </c>
      <c r="L224" s="3" t="s">
        <v>40</v>
      </c>
      <c r="M224" s="3" t="s">
        <v>1035</v>
      </c>
      <c r="N224" s="3" t="s">
        <v>817</v>
      </c>
      <c r="O224" s="3" t="s">
        <v>42</v>
      </c>
      <c r="P224" s="42" t="s">
        <v>43</v>
      </c>
      <c r="Q224" s="42">
        <f>VLOOKUP(C224,[2]Export!$C$1:$J$1226,8,0)</f>
        <v>38587221</v>
      </c>
      <c r="R224" s="42" t="s">
        <v>799</v>
      </c>
      <c r="S224" s="2" t="s">
        <v>43</v>
      </c>
    </row>
    <row r="225" spans="3:19" x14ac:dyDescent="0.25">
      <c r="C225" s="3" t="s">
        <v>187</v>
      </c>
      <c r="D225" s="3" t="s">
        <v>188</v>
      </c>
      <c r="E225" s="3" t="s">
        <v>188</v>
      </c>
      <c r="F225" s="4" t="s">
        <v>36</v>
      </c>
      <c r="G225" s="3" t="str">
        <f>VLOOKUP(C225,JUNIO!C224:G580,5,0)</f>
        <v>CIERRE DEFINITIVO</v>
      </c>
      <c r="H225" s="3" t="s">
        <v>81</v>
      </c>
      <c r="I225" s="3" t="s">
        <v>1030</v>
      </c>
      <c r="J225" s="3" t="s">
        <v>160</v>
      </c>
      <c r="K225" s="3" t="s">
        <v>64</v>
      </c>
      <c r="L225" s="3" t="s">
        <v>40</v>
      </c>
      <c r="M225" s="3">
        <v>0</v>
      </c>
      <c r="N225" s="3" t="s">
        <v>187</v>
      </c>
      <c r="O225" s="3" t="s">
        <v>42</v>
      </c>
      <c r="P225" s="42" t="s">
        <v>43</v>
      </c>
      <c r="Q225" s="42"/>
      <c r="R225" s="42">
        <v>0</v>
      </c>
      <c r="S225" s="2" t="s">
        <v>43</v>
      </c>
    </row>
    <row r="226" spans="3:19" x14ac:dyDescent="0.25">
      <c r="C226" s="3" t="s">
        <v>189</v>
      </c>
      <c r="D226" s="3" t="s">
        <v>190</v>
      </c>
      <c r="E226" s="3" t="s">
        <v>190</v>
      </c>
      <c r="F226" s="4" t="s">
        <v>36</v>
      </c>
      <c r="G226" s="3" t="str">
        <f>VLOOKUP(C226,JUNIO!C225:G581,5,0)</f>
        <v>CIERRE DEFINITIVO</v>
      </c>
      <c r="H226" s="3" t="s">
        <v>81</v>
      </c>
      <c r="I226" s="3" t="s">
        <v>1030</v>
      </c>
      <c r="J226" s="3" t="s">
        <v>73</v>
      </c>
      <c r="K226" s="3" t="s">
        <v>64</v>
      </c>
      <c r="L226" s="3" t="s">
        <v>40</v>
      </c>
      <c r="M226" s="3">
        <v>0</v>
      </c>
      <c r="N226" s="3" t="s">
        <v>189</v>
      </c>
      <c r="O226" s="3" t="s">
        <v>42</v>
      </c>
      <c r="P226" s="42" t="s">
        <v>43</v>
      </c>
      <c r="Q226" s="42"/>
      <c r="R226" s="42">
        <v>0</v>
      </c>
      <c r="S226" s="2" t="s">
        <v>43</v>
      </c>
    </row>
    <row r="227" spans="3:19" x14ac:dyDescent="0.25">
      <c r="C227" s="3" t="s">
        <v>602</v>
      </c>
      <c r="D227" s="3" t="s">
        <v>603</v>
      </c>
      <c r="E227" s="3" t="s">
        <v>604</v>
      </c>
      <c r="F227" s="4">
        <v>5</v>
      </c>
      <c r="G227" s="3" t="str">
        <f>VLOOKUP(C227,JUNIO!C226:G582,5,0)</f>
        <v>Abierta</v>
      </c>
      <c r="H227" s="3" t="s">
        <v>81</v>
      </c>
      <c r="I227" s="3" t="s">
        <v>1030</v>
      </c>
      <c r="J227" s="3" t="s">
        <v>50</v>
      </c>
      <c r="K227" s="3" t="s">
        <v>605</v>
      </c>
      <c r="L227" s="3" t="s">
        <v>40</v>
      </c>
      <c r="M227" s="3" t="s">
        <v>514</v>
      </c>
      <c r="N227" s="3" t="s">
        <v>602</v>
      </c>
      <c r="O227" s="3" t="s">
        <v>42</v>
      </c>
      <c r="P227" s="42" t="s">
        <v>43</v>
      </c>
      <c r="Q227" s="42">
        <f>VLOOKUP(C227,[2]Export!$C$1:$J$1226,8,0)</f>
        <v>59048516</v>
      </c>
      <c r="R227" s="42" t="s">
        <v>597</v>
      </c>
      <c r="S227" s="2" t="s">
        <v>440</v>
      </c>
    </row>
    <row r="228" spans="3:19" x14ac:dyDescent="0.25">
      <c r="C228" s="3" t="s">
        <v>191</v>
      </c>
      <c r="D228" s="3" t="s">
        <v>192</v>
      </c>
      <c r="E228" s="3" t="s">
        <v>193</v>
      </c>
      <c r="F228" s="4" t="s">
        <v>36</v>
      </c>
      <c r="G228" s="3" t="str">
        <f>VLOOKUP(C228,JUNIO!C227:G583,5,0)</f>
        <v>CIERRE DEFINITIVO</v>
      </c>
      <c r="H228" s="3" t="s">
        <v>81</v>
      </c>
      <c r="I228" s="3" t="s">
        <v>1030</v>
      </c>
      <c r="J228" s="3" t="s">
        <v>94</v>
      </c>
      <c r="K228" s="3" t="s">
        <v>64</v>
      </c>
      <c r="L228" s="3" t="s">
        <v>40</v>
      </c>
      <c r="M228" s="3">
        <v>0</v>
      </c>
      <c r="N228" s="3" t="s">
        <v>191</v>
      </c>
      <c r="O228" s="3" t="s">
        <v>42</v>
      </c>
      <c r="P228" s="42" t="s">
        <v>43</v>
      </c>
      <c r="Q228" s="42"/>
      <c r="R228" s="42">
        <v>0</v>
      </c>
      <c r="S228" s="2" t="s">
        <v>43</v>
      </c>
    </row>
    <row r="229" spans="3:19" x14ac:dyDescent="0.25">
      <c r="C229" s="3" t="s">
        <v>194</v>
      </c>
      <c r="D229" s="3" t="s">
        <v>195</v>
      </c>
      <c r="E229" s="3" t="s">
        <v>196</v>
      </c>
      <c r="F229" s="4" t="s">
        <v>36</v>
      </c>
      <c r="G229" s="3" t="str">
        <f>VLOOKUP(C229,JUNIO!C228:G584,5,0)</f>
        <v>CIERRE DEFINITIVO</v>
      </c>
      <c r="H229" s="3" t="s">
        <v>88</v>
      </c>
      <c r="I229" s="3" t="s">
        <v>1030</v>
      </c>
      <c r="J229" s="3" t="s">
        <v>84</v>
      </c>
      <c r="K229" s="3" t="s">
        <v>85</v>
      </c>
      <c r="L229" s="3" t="s">
        <v>55</v>
      </c>
      <c r="M229" s="3">
        <v>0</v>
      </c>
      <c r="N229" s="3" t="s">
        <v>194</v>
      </c>
      <c r="O229" s="3" t="s">
        <v>42</v>
      </c>
      <c r="P229" s="42" t="s">
        <v>43</v>
      </c>
      <c r="Q229" s="42"/>
      <c r="R229" s="42">
        <v>0</v>
      </c>
      <c r="S229" s="2" t="s">
        <v>43</v>
      </c>
    </row>
    <row r="230" spans="3:19" x14ac:dyDescent="0.25">
      <c r="C230" s="3" t="s">
        <v>719</v>
      </c>
      <c r="D230" s="3" t="s">
        <v>720</v>
      </c>
      <c r="E230" s="3" t="s">
        <v>721</v>
      </c>
      <c r="F230" s="4">
        <v>5</v>
      </c>
      <c r="G230" s="3" t="str">
        <f>VLOOKUP(C230,JUNIO!C229:G585,5,0)</f>
        <v>Abierta</v>
      </c>
      <c r="H230" s="3" t="s">
        <v>81</v>
      </c>
      <c r="I230" s="3" t="s">
        <v>1031</v>
      </c>
      <c r="J230" s="3" t="s">
        <v>84</v>
      </c>
      <c r="K230" s="3" t="s">
        <v>722</v>
      </c>
      <c r="L230" s="3" t="s">
        <v>55</v>
      </c>
      <c r="M230" s="3" t="s">
        <v>378</v>
      </c>
      <c r="N230" s="3" t="s">
        <v>719</v>
      </c>
      <c r="O230" s="3" t="s">
        <v>42</v>
      </c>
      <c r="P230" s="42" t="s">
        <v>43</v>
      </c>
      <c r="Q230" s="42">
        <f>VLOOKUP(C230,[2]Export!$C$1:$J$1226,8,0)</f>
        <v>32803768</v>
      </c>
      <c r="R230" s="42" t="s">
        <v>702</v>
      </c>
      <c r="S230" s="2" t="s">
        <v>43</v>
      </c>
    </row>
    <row r="231" spans="3:19" x14ac:dyDescent="0.25">
      <c r="C231" s="3" t="s">
        <v>197</v>
      </c>
      <c r="D231" s="3" t="s">
        <v>198</v>
      </c>
      <c r="E231" s="3" t="s">
        <v>198</v>
      </c>
      <c r="F231" s="4" t="s">
        <v>36</v>
      </c>
      <c r="G231" s="3" t="str">
        <f>VLOOKUP(C231,JUNIO!C230:G586,5,0)</f>
        <v>CIERRE DEFINITIVO</v>
      </c>
      <c r="H231" s="3" t="s">
        <v>46</v>
      </c>
      <c r="I231" s="3" t="s">
        <v>1030</v>
      </c>
      <c r="J231" s="3" t="s">
        <v>63</v>
      </c>
      <c r="K231" s="3" t="s">
        <v>138</v>
      </c>
      <c r="L231" s="3" t="s">
        <v>40</v>
      </c>
      <c r="M231" s="3">
        <v>0</v>
      </c>
      <c r="N231" s="3" t="s">
        <v>197</v>
      </c>
      <c r="O231" s="3" t="s">
        <v>42</v>
      </c>
      <c r="P231" s="42" t="s">
        <v>43</v>
      </c>
      <c r="Q231" s="42"/>
      <c r="R231" s="42">
        <v>0</v>
      </c>
      <c r="S231" s="2" t="s">
        <v>43</v>
      </c>
    </row>
    <row r="232" spans="3:19" x14ac:dyDescent="0.25">
      <c r="C232" s="3" t="s">
        <v>199</v>
      </c>
      <c r="D232" s="3" t="s">
        <v>200</v>
      </c>
      <c r="E232" s="3" t="s">
        <v>201</v>
      </c>
      <c r="F232" s="4" t="s">
        <v>36</v>
      </c>
      <c r="G232" s="3" t="str">
        <f>VLOOKUP(C232,JUNIO!C231:G587,5,0)</f>
        <v>CIERRE DEFINITIVO</v>
      </c>
      <c r="H232" s="3" t="s">
        <v>202</v>
      </c>
      <c r="I232" s="3" t="s">
        <v>1030</v>
      </c>
      <c r="J232" s="3">
        <v>0</v>
      </c>
      <c r="K232" s="3" t="s">
        <v>59</v>
      </c>
      <c r="L232" s="3" t="s">
        <v>40</v>
      </c>
      <c r="M232" s="3">
        <v>0</v>
      </c>
      <c r="N232" s="3" t="s">
        <v>199</v>
      </c>
      <c r="O232" s="3" t="s">
        <v>42</v>
      </c>
      <c r="P232" s="42" t="s">
        <v>43</v>
      </c>
      <c r="Q232" s="42"/>
      <c r="R232" s="42">
        <v>0</v>
      </c>
      <c r="S232" s="2" t="s">
        <v>43</v>
      </c>
    </row>
    <row r="233" spans="3:19" x14ac:dyDescent="0.25">
      <c r="C233" s="3" t="s">
        <v>723</v>
      </c>
      <c r="D233" s="3" t="s">
        <v>724</v>
      </c>
      <c r="E233" s="3" t="s">
        <v>725</v>
      </c>
      <c r="F233" s="4">
        <v>5</v>
      </c>
      <c r="G233" s="3" t="str">
        <f>VLOOKUP(C233,JUNIO!C232:G588,5,0)</f>
        <v>Abierta</v>
      </c>
      <c r="H233" s="3" t="s">
        <v>46</v>
      </c>
      <c r="I233" s="3" t="s">
        <v>1031</v>
      </c>
      <c r="J233" s="3" t="s">
        <v>84</v>
      </c>
      <c r="K233" s="3" t="s">
        <v>54</v>
      </c>
      <c r="L233" s="3" t="s">
        <v>55</v>
      </c>
      <c r="M233" s="3" t="s">
        <v>378</v>
      </c>
      <c r="N233" s="3" t="s">
        <v>723</v>
      </c>
      <c r="O233" s="3" t="s">
        <v>42</v>
      </c>
      <c r="P233" s="42" t="s">
        <v>440</v>
      </c>
      <c r="Q233" s="42">
        <f>VLOOKUP(C233,[2]Export!$C$1:$J$1226,8,0)</f>
        <v>31935860</v>
      </c>
      <c r="R233" s="42" t="s">
        <v>702</v>
      </c>
      <c r="S233" s="2" t="s">
        <v>43</v>
      </c>
    </row>
    <row r="234" spans="3:19" x14ac:dyDescent="0.25">
      <c r="C234" s="3" t="s">
        <v>819</v>
      </c>
      <c r="D234" s="3" t="s">
        <v>820</v>
      </c>
      <c r="E234" s="3" t="s">
        <v>820</v>
      </c>
      <c r="F234" s="4">
        <v>6</v>
      </c>
      <c r="G234" s="3" t="str">
        <f>VLOOKUP(C234,JUNIO!C233:G589,5,0)</f>
        <v>Abierta</v>
      </c>
      <c r="H234" s="3" t="s">
        <v>46</v>
      </c>
      <c r="I234" s="3" t="s">
        <v>1030</v>
      </c>
      <c r="J234" s="3" t="s">
        <v>146</v>
      </c>
      <c r="K234" s="3" t="s">
        <v>59</v>
      </c>
      <c r="L234" s="3" t="s">
        <v>40</v>
      </c>
      <c r="M234" s="3" t="s">
        <v>1035</v>
      </c>
      <c r="N234" s="3" t="s">
        <v>819</v>
      </c>
      <c r="O234" s="3" t="s">
        <v>42</v>
      </c>
      <c r="P234" s="42" t="s">
        <v>43</v>
      </c>
      <c r="Q234" s="42">
        <f>VLOOKUP(C234,[2]Export!$C$1:$J$1226,8,0)</f>
        <v>55642114</v>
      </c>
      <c r="R234" s="42" t="s">
        <v>799</v>
      </c>
      <c r="S234" s="2" t="s">
        <v>43</v>
      </c>
    </row>
    <row r="235" spans="3:19" x14ac:dyDescent="0.25">
      <c r="C235" s="3" t="s">
        <v>821</v>
      </c>
      <c r="D235" s="3" t="s">
        <v>822</v>
      </c>
      <c r="E235" s="3" t="s">
        <v>822</v>
      </c>
      <c r="F235" s="4">
        <v>5</v>
      </c>
      <c r="G235" s="3" t="str">
        <f>VLOOKUP(C235,JUNIO!C234:G590,5,0)</f>
        <v>Abierta</v>
      </c>
      <c r="H235" s="3" t="s">
        <v>46</v>
      </c>
      <c r="I235" s="3" t="s">
        <v>1030</v>
      </c>
      <c r="J235" s="3" t="s">
        <v>146</v>
      </c>
      <c r="K235" s="3" t="s">
        <v>59</v>
      </c>
      <c r="L235" s="3" t="s">
        <v>40</v>
      </c>
      <c r="M235" s="3" t="s">
        <v>1035</v>
      </c>
      <c r="N235" s="3" t="s">
        <v>821</v>
      </c>
      <c r="O235" s="3" t="s">
        <v>42</v>
      </c>
      <c r="P235" s="42" t="s">
        <v>43</v>
      </c>
      <c r="Q235" s="42">
        <f>VLOOKUP(C235,[2]Export!$C$1:$J$1226,8,0)</f>
        <v>47738510</v>
      </c>
      <c r="R235" s="42" t="s">
        <v>799</v>
      </c>
      <c r="S235" s="2" t="s">
        <v>43</v>
      </c>
    </row>
    <row r="236" spans="3:19" x14ac:dyDescent="0.25">
      <c r="C236" s="3" t="s">
        <v>203</v>
      </c>
      <c r="D236" s="3" t="s">
        <v>204</v>
      </c>
      <c r="E236" s="3" t="s">
        <v>204</v>
      </c>
      <c r="F236" s="4" t="s">
        <v>36</v>
      </c>
      <c r="G236" s="3" t="str">
        <f>VLOOKUP(C236,JUNIO!C235:G591,5,0)</f>
        <v>CIERRE DEFINITIVO</v>
      </c>
      <c r="H236" s="3" t="s">
        <v>46</v>
      </c>
      <c r="I236" s="3" t="s">
        <v>1030</v>
      </c>
      <c r="J236" s="3">
        <v>0</v>
      </c>
      <c r="K236" s="3" t="s">
        <v>205</v>
      </c>
      <c r="L236" s="3" t="s">
        <v>40</v>
      </c>
      <c r="M236" s="3">
        <v>0</v>
      </c>
      <c r="N236" s="3" t="s">
        <v>203</v>
      </c>
      <c r="O236" s="3" t="s">
        <v>42</v>
      </c>
      <c r="P236" s="42" t="s">
        <v>43</v>
      </c>
      <c r="Q236" s="42"/>
      <c r="R236" s="42">
        <v>0</v>
      </c>
      <c r="S236" s="2" t="s">
        <v>43</v>
      </c>
    </row>
    <row r="237" spans="3:19" x14ac:dyDescent="0.25">
      <c r="C237" s="3" t="s">
        <v>206</v>
      </c>
      <c r="D237" s="3" t="s">
        <v>207</v>
      </c>
      <c r="E237" s="3" t="s">
        <v>207</v>
      </c>
      <c r="F237" s="4" t="s">
        <v>36</v>
      </c>
      <c r="G237" s="3" t="str">
        <f>VLOOKUP(C237,JUNIO!C236:G592,5,0)</f>
        <v>CIERRE DEFINITIVO</v>
      </c>
      <c r="H237" s="3" t="s">
        <v>46</v>
      </c>
      <c r="I237" s="3" t="s">
        <v>1030</v>
      </c>
      <c r="J237" s="3" t="s">
        <v>58</v>
      </c>
      <c r="K237" s="3" t="s">
        <v>64</v>
      </c>
      <c r="L237" s="3" t="s">
        <v>40</v>
      </c>
      <c r="M237" s="3">
        <v>0</v>
      </c>
      <c r="N237" s="3" t="s">
        <v>206</v>
      </c>
      <c r="O237" s="3" t="s">
        <v>42</v>
      </c>
      <c r="P237" s="42" t="s">
        <v>43</v>
      </c>
      <c r="Q237" s="42"/>
      <c r="R237" s="42">
        <v>0</v>
      </c>
      <c r="S237" s="2" t="s">
        <v>43</v>
      </c>
    </row>
    <row r="238" spans="3:19" x14ac:dyDescent="0.25">
      <c r="C238" s="3" t="s">
        <v>758</v>
      </c>
      <c r="D238" s="3" t="s">
        <v>759</v>
      </c>
      <c r="E238" s="3" t="s">
        <v>760</v>
      </c>
      <c r="F238" s="4">
        <v>5</v>
      </c>
      <c r="G238" s="3" t="str">
        <f>VLOOKUP(C238,JUNIO!C237:G593,5,0)</f>
        <v>Abierta</v>
      </c>
      <c r="H238" s="3" t="s">
        <v>81</v>
      </c>
      <c r="I238" s="3" t="s">
        <v>1031</v>
      </c>
      <c r="J238" s="3" t="s">
        <v>84</v>
      </c>
      <c r="K238" s="3" t="s">
        <v>54</v>
      </c>
      <c r="L238" s="3" t="s">
        <v>55</v>
      </c>
      <c r="M238" s="3" t="s">
        <v>378</v>
      </c>
      <c r="N238" s="3" t="s">
        <v>758</v>
      </c>
      <c r="O238" s="3" t="s">
        <v>379</v>
      </c>
      <c r="P238" s="42" t="s">
        <v>43</v>
      </c>
      <c r="Q238" s="42">
        <f>VLOOKUP(C238,[2]Export!$C$1:$J$1226,8,0)</f>
        <v>35452506</v>
      </c>
      <c r="R238" s="42" t="s">
        <v>741</v>
      </c>
      <c r="S238" s="2" t="s">
        <v>440</v>
      </c>
    </row>
    <row r="239" spans="3:19" x14ac:dyDescent="0.25">
      <c r="C239" s="3" t="s">
        <v>208</v>
      </c>
      <c r="D239" s="3" t="s">
        <v>209</v>
      </c>
      <c r="E239" s="3" t="s">
        <v>209</v>
      </c>
      <c r="F239" s="4" t="s">
        <v>36</v>
      </c>
      <c r="G239" s="3" t="str">
        <f>VLOOKUP(C239,JUNIO!C238:G594,5,0)</f>
        <v>CIERRE DEFINITIVO</v>
      </c>
      <c r="H239" s="3" t="s">
        <v>81</v>
      </c>
      <c r="I239" s="3" t="s">
        <v>1030</v>
      </c>
      <c r="J239" s="3">
        <v>0</v>
      </c>
      <c r="K239" s="3" t="s">
        <v>78</v>
      </c>
      <c r="L239" s="3" t="s">
        <v>40</v>
      </c>
      <c r="M239" s="3">
        <v>0</v>
      </c>
      <c r="N239" s="3" t="s">
        <v>208</v>
      </c>
      <c r="O239" s="3" t="s">
        <v>42</v>
      </c>
      <c r="P239" s="42" t="s">
        <v>43</v>
      </c>
      <c r="Q239" s="42"/>
      <c r="R239" s="42">
        <v>0</v>
      </c>
      <c r="S239" s="2" t="s">
        <v>43</v>
      </c>
    </row>
    <row r="240" spans="3:19" x14ac:dyDescent="0.25">
      <c r="C240" s="3" t="s">
        <v>606</v>
      </c>
      <c r="D240" s="3" t="s">
        <v>607</v>
      </c>
      <c r="E240" s="3" t="s">
        <v>608</v>
      </c>
      <c r="F240" s="4">
        <v>5</v>
      </c>
      <c r="G240" s="3" t="str">
        <f>VLOOKUP(C240,JUNIO!C239:G595,5,0)</f>
        <v>Abierta</v>
      </c>
      <c r="H240" s="3" t="s">
        <v>46</v>
      </c>
      <c r="I240" s="3" t="s">
        <v>1030</v>
      </c>
      <c r="J240" s="3" t="s">
        <v>50</v>
      </c>
      <c r="K240" s="3" t="s">
        <v>609</v>
      </c>
      <c r="L240" s="3" t="s">
        <v>40</v>
      </c>
      <c r="M240" s="3" t="s">
        <v>514</v>
      </c>
      <c r="N240" s="3" t="s">
        <v>606</v>
      </c>
      <c r="O240" s="3" t="s">
        <v>42</v>
      </c>
      <c r="P240" s="42" t="s">
        <v>43</v>
      </c>
      <c r="Q240" s="42">
        <f>VLOOKUP(C240,[2]Export!$C$1:$J$1226,8,0)</f>
        <v>33336003</v>
      </c>
      <c r="R240" s="42" t="s">
        <v>597</v>
      </c>
      <c r="S240" s="2" t="s">
        <v>43</v>
      </c>
    </row>
    <row r="241" spans="3:19" x14ac:dyDescent="0.25">
      <c r="C241" s="3" t="s">
        <v>210</v>
      </c>
      <c r="D241" s="3" t="s">
        <v>211</v>
      </c>
      <c r="E241" s="3" t="s">
        <v>212</v>
      </c>
      <c r="F241" s="4" t="s">
        <v>36</v>
      </c>
      <c r="G241" s="3" t="str">
        <f>VLOOKUP(C241,JUNIO!C240:G596,5,0)</f>
        <v>CIERRE DEFINITIVO</v>
      </c>
      <c r="H241" s="3" t="s">
        <v>46</v>
      </c>
      <c r="I241" s="3" t="s">
        <v>1030</v>
      </c>
      <c r="J241" s="3">
        <v>0</v>
      </c>
      <c r="K241" s="3" t="s">
        <v>59</v>
      </c>
      <c r="L241" s="3" t="s">
        <v>40</v>
      </c>
      <c r="M241" s="3">
        <v>0</v>
      </c>
      <c r="N241" s="3" t="s">
        <v>210</v>
      </c>
      <c r="O241" s="3" t="s">
        <v>42</v>
      </c>
      <c r="P241" s="42" t="s">
        <v>43</v>
      </c>
      <c r="Q241" s="42"/>
      <c r="R241" s="42">
        <v>0</v>
      </c>
      <c r="S241" s="2" t="s">
        <v>43</v>
      </c>
    </row>
    <row r="242" spans="3:19" x14ac:dyDescent="0.25">
      <c r="C242" s="3" t="s">
        <v>213</v>
      </c>
      <c r="D242" s="3" t="s">
        <v>214</v>
      </c>
      <c r="E242" s="3" t="s">
        <v>214</v>
      </c>
      <c r="F242" s="4" t="s">
        <v>36</v>
      </c>
      <c r="G242" s="3" t="str">
        <f>VLOOKUP(C242,JUNIO!C241:G597,5,0)</f>
        <v>CIERRE DEFINITIVO</v>
      </c>
      <c r="H242" s="3" t="s">
        <v>202</v>
      </c>
      <c r="I242" s="3" t="s">
        <v>1030</v>
      </c>
      <c r="J242" s="3">
        <v>0</v>
      </c>
      <c r="K242" s="3" t="s">
        <v>59</v>
      </c>
      <c r="L242" s="3" t="s">
        <v>40</v>
      </c>
      <c r="M242" s="3">
        <v>0</v>
      </c>
      <c r="N242" s="3" t="s">
        <v>213</v>
      </c>
      <c r="O242" s="3" t="s">
        <v>42</v>
      </c>
      <c r="P242" s="42" t="s">
        <v>43</v>
      </c>
      <c r="Q242" s="42"/>
      <c r="R242" s="42">
        <v>0</v>
      </c>
      <c r="S242" s="2" t="s">
        <v>43</v>
      </c>
    </row>
    <row r="243" spans="3:19" x14ac:dyDescent="0.25">
      <c r="C243" s="3" t="s">
        <v>215</v>
      </c>
      <c r="D243" s="3" t="s">
        <v>216</v>
      </c>
      <c r="E243" s="3" t="s">
        <v>216</v>
      </c>
      <c r="F243" s="4" t="s">
        <v>36</v>
      </c>
      <c r="G243" s="3" t="str">
        <f>VLOOKUP(C243,JUNIO!C242:G598,5,0)</f>
        <v>CIERRE DEFINITIVO</v>
      </c>
      <c r="H243" s="3" t="s">
        <v>81</v>
      </c>
      <c r="I243" s="3" t="s">
        <v>1030</v>
      </c>
      <c r="J243" s="3" t="s">
        <v>67</v>
      </c>
      <c r="K243" s="3" t="s">
        <v>138</v>
      </c>
      <c r="L243" s="3" t="s">
        <v>40</v>
      </c>
      <c r="M243" s="3">
        <v>0</v>
      </c>
      <c r="N243" s="3" t="s">
        <v>215</v>
      </c>
      <c r="O243" s="3" t="s">
        <v>42</v>
      </c>
      <c r="P243" s="42" t="s">
        <v>43</v>
      </c>
      <c r="Q243" s="42"/>
      <c r="R243" s="42">
        <v>0</v>
      </c>
      <c r="S243" s="2" t="s">
        <v>43</v>
      </c>
    </row>
    <row r="244" spans="3:19" x14ac:dyDescent="0.25">
      <c r="C244" s="3" t="s">
        <v>548</v>
      </c>
      <c r="D244" s="3" t="s">
        <v>549</v>
      </c>
      <c r="E244" s="3" t="s">
        <v>550</v>
      </c>
      <c r="F244" s="4">
        <v>5</v>
      </c>
      <c r="G244" s="3" t="str">
        <f>VLOOKUP(C244,JUNIO!C243:G599,5,0)</f>
        <v>Abierta</v>
      </c>
      <c r="H244" s="3" t="s">
        <v>81</v>
      </c>
      <c r="I244" s="3" t="s">
        <v>1030</v>
      </c>
      <c r="J244" s="3" t="s">
        <v>100</v>
      </c>
      <c r="K244" s="3" t="s">
        <v>138</v>
      </c>
      <c r="L244" s="3" t="s">
        <v>40</v>
      </c>
      <c r="M244" s="3" t="s">
        <v>514</v>
      </c>
      <c r="N244" s="3" t="s">
        <v>548</v>
      </c>
      <c r="O244" s="3" t="s">
        <v>42</v>
      </c>
      <c r="P244" s="42" t="s">
        <v>43</v>
      </c>
      <c r="Q244" s="42">
        <f>VLOOKUP(C244,[2]Export!$C$1:$J$1226,8,0)</f>
        <v>26288411</v>
      </c>
      <c r="R244" s="42" t="s">
        <v>515</v>
      </c>
      <c r="S244" s="2" t="s">
        <v>43</v>
      </c>
    </row>
    <row r="245" spans="3:19" x14ac:dyDescent="0.25">
      <c r="C245" s="3" t="s">
        <v>726</v>
      </c>
      <c r="D245" s="3" t="s">
        <v>727</v>
      </c>
      <c r="E245" s="3" t="s">
        <v>727</v>
      </c>
      <c r="F245" s="4">
        <v>5</v>
      </c>
      <c r="G245" s="3" t="str">
        <f>VLOOKUP(C245,JUNIO!C244:G600,5,0)</f>
        <v>Abierta</v>
      </c>
      <c r="H245" s="3" t="s">
        <v>81</v>
      </c>
      <c r="I245" s="3" t="s">
        <v>1030</v>
      </c>
      <c r="J245" s="3" t="s">
        <v>84</v>
      </c>
      <c r="K245" s="3" t="s">
        <v>54</v>
      </c>
      <c r="L245" s="3" t="s">
        <v>55</v>
      </c>
      <c r="M245" s="3" t="s">
        <v>378</v>
      </c>
      <c r="N245" s="3" t="s">
        <v>726</v>
      </c>
      <c r="O245" s="3" t="s">
        <v>42</v>
      </c>
      <c r="P245" s="42" t="s">
        <v>43</v>
      </c>
      <c r="Q245" s="42">
        <f>VLOOKUP(C245,[2]Export!$C$1:$J$1226,8,0)</f>
        <v>27417835</v>
      </c>
      <c r="R245" s="42" t="s">
        <v>702</v>
      </c>
      <c r="S245" s="2" t="s">
        <v>440</v>
      </c>
    </row>
    <row r="246" spans="3:19" x14ac:dyDescent="0.25">
      <c r="C246" s="3" t="s">
        <v>217</v>
      </c>
      <c r="D246" s="3" t="s">
        <v>218</v>
      </c>
      <c r="F246" s="4" t="s">
        <v>36</v>
      </c>
      <c r="G246" s="3" t="str">
        <f>VLOOKUP(C246,JUNIO!C245:G601,5,0)</f>
        <v>CIERRE DEFINITIVO</v>
      </c>
      <c r="H246" s="3" t="s">
        <v>81</v>
      </c>
      <c r="I246" s="3" t="s">
        <v>1030</v>
      </c>
      <c r="J246" s="3">
        <v>0</v>
      </c>
      <c r="K246" s="3" t="s">
        <v>59</v>
      </c>
      <c r="L246" s="3" t="s">
        <v>40</v>
      </c>
      <c r="M246" s="3">
        <v>0</v>
      </c>
      <c r="N246" s="3" t="s">
        <v>217</v>
      </c>
      <c r="O246" s="3" t="s">
        <v>42</v>
      </c>
      <c r="P246" s="42" t="s">
        <v>43</v>
      </c>
      <c r="Q246" s="42"/>
      <c r="R246" s="42">
        <v>0</v>
      </c>
      <c r="S246" s="2" t="s">
        <v>43</v>
      </c>
    </row>
    <row r="247" spans="3:19" x14ac:dyDescent="0.25">
      <c r="C247" s="3" t="s">
        <v>551</v>
      </c>
      <c r="D247" s="3" t="s">
        <v>552</v>
      </c>
      <c r="E247" s="3" t="s">
        <v>999</v>
      </c>
      <c r="F247" s="4">
        <v>5</v>
      </c>
      <c r="G247" s="3" t="str">
        <f>VLOOKUP(C247,JUNIO!C246:G602,5,0)</f>
        <v>Abierta</v>
      </c>
      <c r="H247" s="3" t="s">
        <v>46</v>
      </c>
      <c r="I247" s="3" t="s">
        <v>1030</v>
      </c>
      <c r="J247" s="3" t="s">
        <v>100</v>
      </c>
      <c r="K247" s="3" t="s">
        <v>138</v>
      </c>
      <c r="L247" s="3" t="s">
        <v>40</v>
      </c>
      <c r="M247" s="3" t="s">
        <v>514</v>
      </c>
      <c r="N247" s="3" t="s">
        <v>551</v>
      </c>
      <c r="O247" s="3" t="s">
        <v>42</v>
      </c>
      <c r="P247" s="42" t="s">
        <v>440</v>
      </c>
      <c r="Q247" s="42">
        <f>VLOOKUP(C247,[2]Export!$C$1:$J$1226,8,0)</f>
        <v>22238139</v>
      </c>
      <c r="R247" s="42" t="s">
        <v>515</v>
      </c>
      <c r="S247" s="2" t="s">
        <v>43</v>
      </c>
    </row>
    <row r="248" spans="3:19" x14ac:dyDescent="0.25">
      <c r="C248" s="3" t="s">
        <v>219</v>
      </c>
      <c r="D248" s="3" t="s">
        <v>220</v>
      </c>
      <c r="E248" s="3" t="s">
        <v>220</v>
      </c>
      <c r="F248" s="4" t="s">
        <v>36</v>
      </c>
      <c r="G248" s="3" t="str">
        <f>VLOOKUP(C248,JUNIO!C247:G603,5,0)</f>
        <v>CIERRE DEFINITIVO</v>
      </c>
      <c r="H248" s="3" t="s">
        <v>38</v>
      </c>
      <c r="I248" s="3" t="s">
        <v>1030</v>
      </c>
      <c r="J248" s="3" t="s">
        <v>100</v>
      </c>
      <c r="K248" s="3" t="s">
        <v>59</v>
      </c>
      <c r="L248" s="3" t="s">
        <v>40</v>
      </c>
      <c r="M248" s="3">
        <v>0</v>
      </c>
      <c r="N248" s="3" t="s">
        <v>219</v>
      </c>
      <c r="O248" s="3" t="s">
        <v>42</v>
      </c>
      <c r="P248" s="42" t="s">
        <v>43</v>
      </c>
      <c r="Q248" s="42"/>
      <c r="R248" s="42">
        <v>0</v>
      </c>
      <c r="S248" s="2" t="s">
        <v>43</v>
      </c>
    </row>
    <row r="249" spans="3:19" x14ac:dyDescent="0.25">
      <c r="C249" s="3" t="s">
        <v>221</v>
      </c>
      <c r="D249" s="3" t="s">
        <v>222</v>
      </c>
      <c r="E249" s="3" t="s">
        <v>223</v>
      </c>
      <c r="F249" s="4" t="s">
        <v>36</v>
      </c>
      <c r="G249" s="3" t="str">
        <f>VLOOKUP(C249,JUNIO!C248:G604,5,0)</f>
        <v>CIERRE DEFINITIVO</v>
      </c>
      <c r="H249" s="3" t="s">
        <v>38</v>
      </c>
      <c r="I249" s="3" t="s">
        <v>1030</v>
      </c>
      <c r="J249" s="3">
        <v>0</v>
      </c>
      <c r="K249" s="3" t="s">
        <v>47</v>
      </c>
      <c r="L249" s="3" t="s">
        <v>40</v>
      </c>
      <c r="M249" s="3">
        <v>0</v>
      </c>
      <c r="N249" s="3" t="s">
        <v>221</v>
      </c>
      <c r="O249" s="3" t="s">
        <v>42</v>
      </c>
      <c r="P249" s="42" t="s">
        <v>43</v>
      </c>
      <c r="Q249" s="42"/>
      <c r="R249" s="42">
        <v>0</v>
      </c>
      <c r="S249" s="2" t="s">
        <v>43</v>
      </c>
    </row>
    <row r="250" spans="3:19" x14ac:dyDescent="0.25">
      <c r="C250" s="3" t="s">
        <v>224</v>
      </c>
      <c r="D250" s="3" t="s">
        <v>225</v>
      </c>
      <c r="E250" s="3" t="s">
        <v>226</v>
      </c>
      <c r="F250" s="4" t="s">
        <v>36</v>
      </c>
      <c r="G250" s="3" t="str">
        <f>VLOOKUP(C250,JUNIO!C249:G605,5,0)</f>
        <v>CIERRE DEFINITIVO</v>
      </c>
      <c r="H250" s="3" t="s">
        <v>38</v>
      </c>
      <c r="I250" s="3" t="s">
        <v>1030</v>
      </c>
      <c r="J250" s="3">
        <v>0</v>
      </c>
      <c r="K250" s="3" t="s">
        <v>59</v>
      </c>
      <c r="L250" s="3" t="s">
        <v>40</v>
      </c>
      <c r="M250" s="3">
        <v>0</v>
      </c>
      <c r="N250" s="3" t="s">
        <v>224</v>
      </c>
      <c r="O250" s="3" t="s">
        <v>42</v>
      </c>
      <c r="P250" s="42" t="s">
        <v>43</v>
      </c>
      <c r="Q250" s="42"/>
      <c r="R250" s="42">
        <v>0</v>
      </c>
      <c r="S250" s="2" t="s">
        <v>43</v>
      </c>
    </row>
    <row r="251" spans="3:19" x14ac:dyDescent="0.25">
      <c r="C251" s="3" t="s">
        <v>502</v>
      </c>
      <c r="D251" s="3" t="s">
        <v>503</v>
      </c>
      <c r="E251" s="3" t="s">
        <v>504</v>
      </c>
      <c r="F251" s="4">
        <v>5</v>
      </c>
      <c r="G251" s="3" t="str">
        <f>VLOOKUP(C251,JUNIO!C250:G606,5,0)</f>
        <v>Abierta</v>
      </c>
      <c r="H251" s="3" t="s">
        <v>46</v>
      </c>
      <c r="I251" s="3" t="s">
        <v>1030</v>
      </c>
      <c r="J251" s="3" t="s">
        <v>466</v>
      </c>
      <c r="K251" s="3" t="s">
        <v>51</v>
      </c>
      <c r="L251" s="3" t="s">
        <v>40</v>
      </c>
      <c r="M251" s="3" t="s">
        <v>1035</v>
      </c>
      <c r="N251" s="3" t="s">
        <v>502</v>
      </c>
      <c r="O251" s="3" t="s">
        <v>42</v>
      </c>
      <c r="P251" s="42" t="s">
        <v>43</v>
      </c>
      <c r="Q251" s="42">
        <f>VLOOKUP(C251,[2]Export!$C$1:$J$1226,8,0)</f>
        <v>27534896</v>
      </c>
      <c r="R251" s="42" t="s">
        <v>467</v>
      </c>
      <c r="S251" s="2" t="s">
        <v>43</v>
      </c>
    </row>
    <row r="252" spans="3:19" x14ac:dyDescent="0.25">
      <c r="C252" s="3" t="s">
        <v>227</v>
      </c>
      <c r="D252" s="3" t="s">
        <v>228</v>
      </c>
      <c r="E252" s="3" t="s">
        <v>229</v>
      </c>
      <c r="F252" s="4" t="s">
        <v>36</v>
      </c>
      <c r="G252" s="3" t="str">
        <f>VLOOKUP(C252,JUNIO!C251:G607,5,0)</f>
        <v>CIERRE DEFINITIVO</v>
      </c>
      <c r="H252" s="3" t="s">
        <v>38</v>
      </c>
      <c r="I252" s="3" t="s">
        <v>1030</v>
      </c>
      <c r="J252" s="3">
        <v>0</v>
      </c>
      <c r="K252" s="3" t="s">
        <v>54</v>
      </c>
      <c r="L252" s="3" t="s">
        <v>55</v>
      </c>
      <c r="M252" s="3">
        <v>0</v>
      </c>
      <c r="N252" s="3" t="s">
        <v>227</v>
      </c>
      <c r="O252" s="3" t="s">
        <v>42</v>
      </c>
      <c r="P252" s="42" t="s">
        <v>43</v>
      </c>
      <c r="Q252" s="42"/>
      <c r="R252" s="42">
        <v>0</v>
      </c>
      <c r="S252" s="2" t="s">
        <v>43</v>
      </c>
    </row>
    <row r="253" spans="3:19" x14ac:dyDescent="0.25">
      <c r="C253" s="3" t="s">
        <v>728</v>
      </c>
      <c r="D253" s="3" t="s">
        <v>729</v>
      </c>
      <c r="E253" s="3" t="s">
        <v>730</v>
      </c>
      <c r="F253" s="4">
        <v>5</v>
      </c>
      <c r="G253" s="3" t="str">
        <f>VLOOKUP(C253,JUNIO!C252:G608,5,0)</f>
        <v>Abierta</v>
      </c>
      <c r="H253" s="3" t="s">
        <v>46</v>
      </c>
      <c r="I253" s="3" t="s">
        <v>1031</v>
      </c>
      <c r="J253" s="3" t="s">
        <v>84</v>
      </c>
      <c r="K253" s="3" t="s">
        <v>722</v>
      </c>
      <c r="L253" s="3" t="s">
        <v>55</v>
      </c>
      <c r="M253" s="3" t="s">
        <v>378</v>
      </c>
      <c r="N253" s="3" t="s">
        <v>728</v>
      </c>
      <c r="O253" s="3" t="s">
        <v>42</v>
      </c>
      <c r="P253" s="42" t="s">
        <v>440</v>
      </c>
      <c r="Q253" s="42"/>
      <c r="R253" s="42" t="s">
        <v>702</v>
      </c>
      <c r="S253" s="2" t="s">
        <v>43</v>
      </c>
    </row>
    <row r="254" spans="3:19" x14ac:dyDescent="0.25">
      <c r="C254" s="3" t="s">
        <v>230</v>
      </c>
      <c r="D254" s="3" t="s">
        <v>231</v>
      </c>
      <c r="E254" s="3" t="s">
        <v>232</v>
      </c>
      <c r="F254" s="4" t="s">
        <v>36</v>
      </c>
      <c r="G254" s="3" t="str">
        <f>VLOOKUP(C254,JUNIO!C253:G609,5,0)</f>
        <v>CIERRE DEFINITIVO</v>
      </c>
      <c r="H254" s="3" t="s">
        <v>38</v>
      </c>
      <c r="I254" s="3" t="s">
        <v>1030</v>
      </c>
      <c r="J254" s="3" t="s">
        <v>84</v>
      </c>
      <c r="K254" s="3" t="s">
        <v>54</v>
      </c>
      <c r="L254" s="3" t="s">
        <v>55</v>
      </c>
      <c r="M254" s="3">
        <v>0</v>
      </c>
      <c r="N254" s="3" t="s">
        <v>230</v>
      </c>
      <c r="O254" s="3" t="s">
        <v>42</v>
      </c>
      <c r="P254" s="42" t="s">
        <v>43</v>
      </c>
      <c r="Q254" s="42"/>
      <c r="R254" s="42" t="s">
        <v>702</v>
      </c>
      <c r="S254" s="2" t="s">
        <v>43</v>
      </c>
    </row>
    <row r="255" spans="3:19" x14ac:dyDescent="0.25">
      <c r="C255" s="3" t="s">
        <v>233</v>
      </c>
      <c r="D255" s="3" t="s">
        <v>234</v>
      </c>
      <c r="E255" s="3" t="s">
        <v>235</v>
      </c>
      <c r="F255" s="4" t="s">
        <v>36</v>
      </c>
      <c r="G255" s="3" t="str">
        <f>VLOOKUP(C255,JUNIO!C254:G610,5,0)</f>
        <v>CIERRE DEFINITIVO</v>
      </c>
      <c r="H255" s="3" t="s">
        <v>38</v>
      </c>
      <c r="I255" s="3" t="s">
        <v>1030</v>
      </c>
      <c r="J255" s="3" t="s">
        <v>84</v>
      </c>
      <c r="K255" s="3" t="s">
        <v>54</v>
      </c>
      <c r="L255" s="3" t="s">
        <v>55</v>
      </c>
      <c r="M255" s="3">
        <v>0</v>
      </c>
      <c r="N255" s="3" t="s">
        <v>233</v>
      </c>
      <c r="O255" s="3" t="s">
        <v>42</v>
      </c>
      <c r="P255" s="42" t="s">
        <v>43</v>
      </c>
      <c r="Q255" s="42"/>
      <c r="R255" s="42">
        <v>0</v>
      </c>
      <c r="S255" s="2" t="s">
        <v>43</v>
      </c>
    </row>
    <row r="256" spans="3:19" x14ac:dyDescent="0.25">
      <c r="C256" s="3" t="s">
        <v>236</v>
      </c>
      <c r="D256" s="3" t="s">
        <v>237</v>
      </c>
      <c r="E256" s="3" t="s">
        <v>237</v>
      </c>
      <c r="F256" s="4" t="s">
        <v>36</v>
      </c>
      <c r="G256" s="3" t="str">
        <f>VLOOKUP(C256,JUNIO!C255:G611,5,0)</f>
        <v>CIERRE DEFINITIVO</v>
      </c>
      <c r="H256" s="3" t="s">
        <v>38</v>
      </c>
      <c r="I256" s="3" t="s">
        <v>1030</v>
      </c>
      <c r="J256" s="3">
        <v>0</v>
      </c>
      <c r="K256" s="3" t="s">
        <v>59</v>
      </c>
      <c r="L256" s="3" t="s">
        <v>40</v>
      </c>
      <c r="M256" s="3">
        <v>0</v>
      </c>
      <c r="N256" s="3" t="s">
        <v>236</v>
      </c>
      <c r="O256" s="3" t="s">
        <v>42</v>
      </c>
      <c r="P256" s="42" t="s">
        <v>43</v>
      </c>
      <c r="Q256" s="42"/>
      <c r="R256" s="42">
        <v>0</v>
      </c>
      <c r="S256" s="2" t="s">
        <v>43</v>
      </c>
    </row>
    <row r="257" spans="3:19" x14ac:dyDescent="0.25">
      <c r="C257" s="3" t="s">
        <v>238</v>
      </c>
      <c r="D257" s="3" t="s">
        <v>239</v>
      </c>
      <c r="E257" s="3" t="s">
        <v>240</v>
      </c>
      <c r="F257" s="4" t="s">
        <v>36</v>
      </c>
      <c r="G257" s="3" t="str">
        <f>VLOOKUP(C257,JUNIO!C256:G612,5,0)</f>
        <v>CIERRE DEFINITIVO</v>
      </c>
      <c r="H257" s="3" t="s">
        <v>38</v>
      </c>
      <c r="I257" s="3" t="s">
        <v>1030</v>
      </c>
      <c r="J257" s="3" t="s">
        <v>146</v>
      </c>
      <c r="K257" s="3" t="s">
        <v>59</v>
      </c>
      <c r="L257" s="3" t="s">
        <v>40</v>
      </c>
      <c r="M257" s="3">
        <v>0</v>
      </c>
      <c r="N257" s="3" t="s">
        <v>238</v>
      </c>
      <c r="O257" s="3" t="s">
        <v>42</v>
      </c>
      <c r="P257" s="42" t="s">
        <v>43</v>
      </c>
      <c r="Q257" s="42"/>
      <c r="R257" s="42">
        <v>0</v>
      </c>
      <c r="S257" s="2" t="s">
        <v>43</v>
      </c>
    </row>
    <row r="258" spans="3:19" x14ac:dyDescent="0.25">
      <c r="C258" s="3" t="s">
        <v>962</v>
      </c>
      <c r="D258" s="3" t="s">
        <v>963</v>
      </c>
      <c r="E258" s="3" t="s">
        <v>964</v>
      </c>
      <c r="F258" s="4">
        <v>5</v>
      </c>
      <c r="G258" s="3" t="str">
        <f>VLOOKUP(C258,JUNIO!C257:G613,5,0)</f>
        <v>Abierta</v>
      </c>
      <c r="H258" s="3" t="s">
        <v>46</v>
      </c>
      <c r="I258" s="3" t="s">
        <v>1030</v>
      </c>
      <c r="J258" s="3" t="s">
        <v>160</v>
      </c>
      <c r="K258" s="3" t="s">
        <v>371</v>
      </c>
      <c r="L258" s="3" t="s">
        <v>40</v>
      </c>
      <c r="M258" s="3" t="s">
        <v>984</v>
      </c>
      <c r="N258" s="3" t="s">
        <v>962</v>
      </c>
      <c r="O258" s="3" t="s">
        <v>42</v>
      </c>
      <c r="P258" s="42" t="s">
        <v>440</v>
      </c>
      <c r="Q258" s="42">
        <f>VLOOKUP(C258,[2]Export!$C$1:$J$1226,8,0)</f>
        <v>30827133</v>
      </c>
      <c r="R258" s="42" t="s">
        <v>931</v>
      </c>
      <c r="S258" s="2" t="s">
        <v>43</v>
      </c>
    </row>
    <row r="259" spans="3:19" x14ac:dyDescent="0.25">
      <c r="C259" s="3" t="s">
        <v>687</v>
      </c>
      <c r="D259" s="3" t="s">
        <v>688</v>
      </c>
      <c r="E259" s="3" t="s">
        <v>689</v>
      </c>
      <c r="F259" s="4">
        <v>6</v>
      </c>
      <c r="G259" s="3" t="str">
        <f>VLOOKUP(C259,JUNIO!C258:G614,5,0)</f>
        <v>Abierta</v>
      </c>
      <c r="H259" s="3" t="s">
        <v>46</v>
      </c>
      <c r="I259" s="3" t="s">
        <v>1030</v>
      </c>
      <c r="J259" s="3" t="s">
        <v>248</v>
      </c>
      <c r="K259" s="3" t="s">
        <v>51</v>
      </c>
      <c r="L259" s="3" t="s">
        <v>40</v>
      </c>
      <c r="M259" s="3" t="s">
        <v>984</v>
      </c>
      <c r="N259" s="3" t="s">
        <v>687</v>
      </c>
      <c r="O259" s="3" t="s">
        <v>42</v>
      </c>
      <c r="P259" s="42" t="s">
        <v>440</v>
      </c>
      <c r="Q259" s="42">
        <f>VLOOKUP(C259,[2]Export!$C$1:$J$1226,8,0)</f>
        <v>52035135</v>
      </c>
      <c r="R259" s="42" t="s">
        <v>51</v>
      </c>
      <c r="S259" s="2" t="s">
        <v>43</v>
      </c>
    </row>
    <row r="260" spans="3:19" x14ac:dyDescent="0.25">
      <c r="C260" s="3" t="s">
        <v>241</v>
      </c>
      <c r="D260" s="3" t="s">
        <v>242</v>
      </c>
      <c r="E260" s="3" t="s">
        <v>243</v>
      </c>
      <c r="F260" s="4" t="s">
        <v>36</v>
      </c>
      <c r="G260" s="3" t="str">
        <f>VLOOKUP(C260,JUNIO!C259:G615,5,0)</f>
        <v>CIERRE DEFINITIVO</v>
      </c>
      <c r="H260" s="3" t="s">
        <v>38</v>
      </c>
      <c r="I260" s="3" t="s">
        <v>1030</v>
      </c>
      <c r="J260" s="3" t="s">
        <v>132</v>
      </c>
      <c r="K260" s="3" t="s">
        <v>64</v>
      </c>
      <c r="L260" s="3" t="s">
        <v>40</v>
      </c>
      <c r="M260" s="3">
        <v>0</v>
      </c>
      <c r="N260" s="3" t="s">
        <v>241</v>
      </c>
      <c r="O260" s="3" t="s">
        <v>42</v>
      </c>
      <c r="P260" s="42" t="s">
        <v>43</v>
      </c>
      <c r="Q260" s="42"/>
      <c r="R260" s="42">
        <v>0</v>
      </c>
      <c r="S260" s="2" t="s">
        <v>43</v>
      </c>
    </row>
    <row r="261" spans="3:19" x14ac:dyDescent="0.25">
      <c r="C261" s="3" t="s">
        <v>244</v>
      </c>
      <c r="D261" s="3" t="s">
        <v>245</v>
      </c>
      <c r="E261" s="3" t="s">
        <v>245</v>
      </c>
      <c r="F261" s="4" t="s">
        <v>36</v>
      </c>
      <c r="G261" s="3" t="str">
        <f>VLOOKUP(C261,JUNIO!C260:G616,5,0)</f>
        <v>CIERRE DEFINITIVO</v>
      </c>
      <c r="H261" s="3" t="s">
        <v>81</v>
      </c>
      <c r="I261" s="3" t="s">
        <v>1030</v>
      </c>
      <c r="J261" s="3">
        <v>0</v>
      </c>
      <c r="K261" s="3" t="s">
        <v>133</v>
      </c>
      <c r="L261" s="3" t="s">
        <v>40</v>
      </c>
      <c r="M261" s="3">
        <v>0</v>
      </c>
      <c r="N261" s="3" t="s">
        <v>244</v>
      </c>
      <c r="O261" s="3" t="s">
        <v>42</v>
      </c>
      <c r="P261" s="42" t="s">
        <v>43</v>
      </c>
      <c r="Q261" s="42"/>
      <c r="R261" s="42">
        <v>0</v>
      </c>
      <c r="S261" s="2" t="s">
        <v>43</v>
      </c>
    </row>
    <row r="262" spans="3:19" x14ac:dyDescent="0.25">
      <c r="C262" s="3" t="s">
        <v>246</v>
      </c>
      <c r="D262" s="3" t="s">
        <v>247</v>
      </c>
      <c r="E262" s="3" t="s">
        <v>247</v>
      </c>
      <c r="F262" s="4" t="s">
        <v>36</v>
      </c>
      <c r="G262" s="3" t="str">
        <f>VLOOKUP(C262,JUNIO!C261:G617,5,0)</f>
        <v>CIERRE DEFINITIVO</v>
      </c>
      <c r="H262" s="3" t="s">
        <v>38</v>
      </c>
      <c r="I262" s="3" t="s">
        <v>1030</v>
      </c>
      <c r="J262" s="3" t="s">
        <v>248</v>
      </c>
      <c r="K262" s="3" t="s">
        <v>138</v>
      </c>
      <c r="L262" s="3" t="s">
        <v>40</v>
      </c>
      <c r="M262" s="3">
        <v>0</v>
      </c>
      <c r="N262" s="3" t="s">
        <v>246</v>
      </c>
      <c r="O262" s="3" t="s">
        <v>42</v>
      </c>
      <c r="P262" s="42" t="s">
        <v>43</v>
      </c>
      <c r="Q262" s="42"/>
      <c r="R262" s="42">
        <v>0</v>
      </c>
      <c r="S262" s="2" t="s">
        <v>43</v>
      </c>
    </row>
    <row r="263" spans="3:19" x14ac:dyDescent="0.25">
      <c r="C263" s="3" t="s">
        <v>249</v>
      </c>
      <c r="D263" s="3" t="s">
        <v>250</v>
      </c>
      <c r="E263" s="3" t="s">
        <v>250</v>
      </c>
      <c r="F263" s="4" t="s">
        <v>36</v>
      </c>
      <c r="G263" s="3" t="str">
        <f>VLOOKUP(C263,JUNIO!C262:G618,5,0)</f>
        <v>CIERRE DEFINITIVO</v>
      </c>
      <c r="H263" s="3" t="s">
        <v>38</v>
      </c>
      <c r="I263" s="3" t="s">
        <v>1030</v>
      </c>
      <c r="J263" s="3" t="s">
        <v>94</v>
      </c>
      <c r="K263" s="3" t="s">
        <v>138</v>
      </c>
      <c r="L263" s="3" t="s">
        <v>40</v>
      </c>
      <c r="M263" s="3">
        <v>0</v>
      </c>
      <c r="N263" s="3" t="s">
        <v>249</v>
      </c>
      <c r="O263" s="3" t="s">
        <v>42</v>
      </c>
      <c r="P263" s="42" t="s">
        <v>43</v>
      </c>
      <c r="Q263" s="42"/>
      <c r="R263" s="42">
        <v>0</v>
      </c>
      <c r="S263" s="2" t="s">
        <v>43</v>
      </c>
    </row>
    <row r="264" spans="3:19" x14ac:dyDescent="0.25">
      <c r="C264" s="3" t="s">
        <v>251</v>
      </c>
      <c r="D264" s="3" t="s">
        <v>252</v>
      </c>
      <c r="E264" s="3" t="s">
        <v>253</v>
      </c>
      <c r="F264" s="4" t="s">
        <v>36</v>
      </c>
      <c r="G264" s="3" t="str">
        <f>VLOOKUP(C264,JUNIO!C263:G619,5,0)</f>
        <v>CIERRE DEFINITIVO</v>
      </c>
      <c r="H264" s="3" t="s">
        <v>38</v>
      </c>
      <c r="I264" s="3" t="s">
        <v>1030</v>
      </c>
      <c r="J264" s="3">
        <v>0</v>
      </c>
      <c r="K264" s="3" t="s">
        <v>64</v>
      </c>
      <c r="L264" s="3" t="s">
        <v>40</v>
      </c>
      <c r="M264" s="3">
        <v>0</v>
      </c>
      <c r="N264" s="3" t="s">
        <v>251</v>
      </c>
      <c r="O264" s="3" t="s">
        <v>42</v>
      </c>
      <c r="P264" s="42" t="s">
        <v>43</v>
      </c>
      <c r="Q264" s="42"/>
      <c r="R264" s="42">
        <v>0</v>
      </c>
      <c r="S264" s="2" t="s">
        <v>43</v>
      </c>
    </row>
    <row r="265" spans="3:19" x14ac:dyDescent="0.25">
      <c r="C265" s="3" t="s">
        <v>254</v>
      </c>
      <c r="D265" s="3" t="s">
        <v>255</v>
      </c>
      <c r="E265" s="3" t="s">
        <v>255</v>
      </c>
      <c r="F265" s="4" t="s">
        <v>36</v>
      </c>
      <c r="G265" s="3" t="str">
        <f>VLOOKUP(C265,JUNIO!C264:G620,5,0)</f>
        <v>CIERRE DEFINITIVO</v>
      </c>
      <c r="H265" s="3" t="s">
        <v>38</v>
      </c>
      <c r="I265" s="3" t="s">
        <v>1030</v>
      </c>
      <c r="J265" s="3">
        <v>0</v>
      </c>
      <c r="K265" s="3" t="s">
        <v>51</v>
      </c>
      <c r="L265" s="3" t="s">
        <v>40</v>
      </c>
      <c r="M265" s="3">
        <v>0</v>
      </c>
      <c r="N265" s="3" t="s">
        <v>254</v>
      </c>
      <c r="O265" s="3" t="s">
        <v>42</v>
      </c>
      <c r="P265" s="42" t="s">
        <v>43</v>
      </c>
      <c r="Q265" s="42"/>
      <c r="R265" s="42">
        <v>0</v>
      </c>
      <c r="S265" s="2" t="s">
        <v>43</v>
      </c>
    </row>
    <row r="266" spans="3:19" x14ac:dyDescent="0.25">
      <c r="C266" s="3" t="s">
        <v>590</v>
      </c>
      <c r="D266" s="3" t="s">
        <v>591</v>
      </c>
      <c r="E266" s="3" t="s">
        <v>591</v>
      </c>
      <c r="F266" s="4">
        <v>5</v>
      </c>
      <c r="G266" s="3" t="str">
        <f>VLOOKUP(C266,JUNIO!C265:G621,5,0)</f>
        <v>Abierta</v>
      </c>
      <c r="H266" s="3" t="s">
        <v>46</v>
      </c>
      <c r="I266" s="3" t="s">
        <v>1030</v>
      </c>
      <c r="J266" s="3" t="s">
        <v>331</v>
      </c>
      <c r="K266" s="3" t="s">
        <v>138</v>
      </c>
      <c r="L266" s="3" t="s">
        <v>40</v>
      </c>
      <c r="M266" s="3" t="s">
        <v>984</v>
      </c>
      <c r="N266" s="3" t="s">
        <v>590</v>
      </c>
      <c r="O266" s="3" t="s">
        <v>42</v>
      </c>
      <c r="P266" s="42" t="s">
        <v>43</v>
      </c>
      <c r="Q266" s="42">
        <f>VLOOKUP(C266,[2]Export!$C$1:$J$1226,8,0)</f>
        <v>51061766</v>
      </c>
      <c r="R266" s="42" t="s">
        <v>557</v>
      </c>
      <c r="S266" s="2" t="s">
        <v>43</v>
      </c>
    </row>
    <row r="267" spans="3:19" x14ac:dyDescent="0.25">
      <c r="C267" s="3" t="s">
        <v>447</v>
      </c>
      <c r="D267" s="3" t="s">
        <v>448</v>
      </c>
      <c r="E267" s="3" t="s">
        <v>449</v>
      </c>
      <c r="F267" s="4">
        <v>6</v>
      </c>
      <c r="G267" s="3" t="str">
        <f>VLOOKUP(C267,JUNIO!C266:G622,5,0)</f>
        <v>Abierta</v>
      </c>
      <c r="H267" s="3" t="s">
        <v>46</v>
      </c>
      <c r="I267" s="3" t="s">
        <v>1030</v>
      </c>
      <c r="J267" s="3" t="s">
        <v>94</v>
      </c>
      <c r="K267" s="3" t="s">
        <v>64</v>
      </c>
      <c r="L267" s="3" t="s">
        <v>40</v>
      </c>
      <c r="M267" s="3" t="s">
        <v>1035</v>
      </c>
      <c r="N267" s="3" t="s">
        <v>447</v>
      </c>
      <c r="O267" s="3" t="s">
        <v>42</v>
      </c>
      <c r="P267" s="42" t="s">
        <v>440</v>
      </c>
      <c r="Q267" s="42">
        <f>VLOOKUP(C267,[2]Export!$C$1:$J$1226,8,0)</f>
        <v>41133590</v>
      </c>
      <c r="R267" s="42" t="s">
        <v>423</v>
      </c>
      <c r="S267" s="2" t="s">
        <v>43</v>
      </c>
    </row>
    <row r="268" spans="3:19" x14ac:dyDescent="0.25">
      <c r="C268" s="3" t="s">
        <v>256</v>
      </c>
      <c r="D268" s="3" t="s">
        <v>257</v>
      </c>
      <c r="E268" s="3" t="s">
        <v>257</v>
      </c>
      <c r="F268" s="4" t="s">
        <v>36</v>
      </c>
      <c r="G268" s="3" t="str">
        <f>VLOOKUP(C268,JUNIO!C267:G623,5,0)</f>
        <v>CIERRE DEFINITIVO</v>
      </c>
      <c r="H268" s="3" t="s">
        <v>38</v>
      </c>
      <c r="I268" s="3" t="s">
        <v>1030</v>
      </c>
      <c r="J268" s="3">
        <v>0</v>
      </c>
      <c r="K268" s="3" t="s">
        <v>138</v>
      </c>
      <c r="L268" s="3" t="s">
        <v>40</v>
      </c>
      <c r="M268" s="3">
        <v>0</v>
      </c>
      <c r="N268" s="3" t="s">
        <v>256</v>
      </c>
      <c r="O268" s="3" t="s">
        <v>42</v>
      </c>
      <c r="P268" s="42" t="s">
        <v>43</v>
      </c>
      <c r="Q268" s="42"/>
      <c r="R268" s="42">
        <v>0</v>
      </c>
      <c r="S268" s="2" t="s">
        <v>43</v>
      </c>
    </row>
    <row r="269" spans="3:19" x14ac:dyDescent="0.25">
      <c r="C269" s="3" t="s">
        <v>450</v>
      </c>
      <c r="D269" s="3" t="s">
        <v>451</v>
      </c>
      <c r="E269" s="3" t="s">
        <v>452</v>
      </c>
      <c r="F269" s="4">
        <v>5</v>
      </c>
      <c r="G269" s="3" t="str">
        <f>VLOOKUP(C269,JUNIO!C268:G624,5,0)</f>
        <v>Abierta</v>
      </c>
      <c r="H269" s="3" t="s">
        <v>46</v>
      </c>
      <c r="I269" s="3" t="s">
        <v>1030</v>
      </c>
      <c r="J269" s="3" t="s">
        <v>94</v>
      </c>
      <c r="K269" s="3" t="s">
        <v>64</v>
      </c>
      <c r="L269" s="3" t="s">
        <v>40</v>
      </c>
      <c r="M269" s="3" t="s">
        <v>1035</v>
      </c>
      <c r="N269" s="3" t="s">
        <v>450</v>
      </c>
      <c r="O269" s="3" t="s">
        <v>42</v>
      </c>
      <c r="P269" s="42" t="s">
        <v>43</v>
      </c>
      <c r="Q269" s="42">
        <f>VLOOKUP(C269,[2]Export!$C$1:$J$1226,8,0)</f>
        <v>37441505</v>
      </c>
      <c r="R269" s="42" t="s">
        <v>423</v>
      </c>
      <c r="S269" s="2" t="s">
        <v>43</v>
      </c>
    </row>
    <row r="270" spans="3:19" x14ac:dyDescent="0.25">
      <c r="C270" s="3" t="s">
        <v>965</v>
      </c>
      <c r="D270" s="3" t="s">
        <v>966</v>
      </c>
      <c r="E270" s="3" t="s">
        <v>967</v>
      </c>
      <c r="F270" s="4">
        <v>5</v>
      </c>
      <c r="G270" s="3" t="str">
        <f>VLOOKUP(C270,JUNIO!C269:G625,5,0)</f>
        <v>Abierta</v>
      </c>
      <c r="H270" s="3" t="s">
        <v>46</v>
      </c>
      <c r="I270" s="3" t="s">
        <v>1030</v>
      </c>
      <c r="J270" s="3" t="s">
        <v>160</v>
      </c>
      <c r="K270" s="3" t="s">
        <v>353</v>
      </c>
      <c r="L270" s="3" t="s">
        <v>40</v>
      </c>
      <c r="M270" s="3" t="s">
        <v>984</v>
      </c>
      <c r="N270" s="3" t="s">
        <v>965</v>
      </c>
      <c r="O270" s="3" t="s">
        <v>42</v>
      </c>
      <c r="P270" s="42" t="s">
        <v>43</v>
      </c>
      <c r="Q270" s="42">
        <f>VLOOKUP(C270,[2]Export!$C$1:$J$1226,8,0)</f>
        <v>31941124</v>
      </c>
      <c r="R270" s="42" t="s">
        <v>931</v>
      </c>
      <c r="S270" s="2" t="s">
        <v>43</v>
      </c>
    </row>
    <row r="271" spans="3:19" x14ac:dyDescent="0.25">
      <c r="C271" s="3" t="s">
        <v>258</v>
      </c>
      <c r="D271" s="3" t="s">
        <v>259</v>
      </c>
      <c r="E271" s="3" t="s">
        <v>260</v>
      </c>
      <c r="F271" s="4" t="s">
        <v>36</v>
      </c>
      <c r="G271" s="3" t="str">
        <f>VLOOKUP(C271,JUNIO!C270:G626,5,0)</f>
        <v>CIERRE DEFINITIVO</v>
      </c>
      <c r="H271" s="3" t="s">
        <v>38</v>
      </c>
      <c r="I271" s="3" t="s">
        <v>1030</v>
      </c>
      <c r="J271" s="3" t="s">
        <v>50</v>
      </c>
      <c r="K271" s="3" t="s">
        <v>51</v>
      </c>
      <c r="L271" s="3" t="s">
        <v>40</v>
      </c>
      <c r="M271" s="3">
        <v>0</v>
      </c>
      <c r="N271" s="3" t="s">
        <v>258</v>
      </c>
      <c r="O271" s="3" t="s">
        <v>42</v>
      </c>
      <c r="P271" s="42" t="s">
        <v>43</v>
      </c>
      <c r="Q271" s="42"/>
      <c r="R271" s="42">
        <v>0</v>
      </c>
      <c r="S271" s="2" t="s">
        <v>43</v>
      </c>
    </row>
    <row r="272" spans="3:19" x14ac:dyDescent="0.25">
      <c r="C272" s="3" t="s">
        <v>261</v>
      </c>
      <c r="D272" s="3" t="s">
        <v>262</v>
      </c>
      <c r="E272" s="3" t="s">
        <v>263</v>
      </c>
      <c r="F272" s="4" t="s">
        <v>36</v>
      </c>
      <c r="G272" s="3" t="str">
        <f>VLOOKUP(C272,JUNIO!C271:G627,5,0)</f>
        <v>CIERRE DEFINITIVO</v>
      </c>
      <c r="H272" s="3" t="s">
        <v>38</v>
      </c>
      <c r="I272" s="3" t="s">
        <v>1030</v>
      </c>
      <c r="J272" s="3" t="s">
        <v>58</v>
      </c>
      <c r="K272" s="3" t="s">
        <v>138</v>
      </c>
      <c r="L272" s="3" t="s">
        <v>40</v>
      </c>
      <c r="M272" s="3">
        <v>0</v>
      </c>
      <c r="N272" s="3" t="s">
        <v>261</v>
      </c>
      <c r="O272" s="3" t="s">
        <v>42</v>
      </c>
      <c r="P272" s="42" t="s">
        <v>43</v>
      </c>
      <c r="Q272" s="42"/>
      <c r="R272" s="42">
        <v>0</v>
      </c>
      <c r="S272" s="2" t="s">
        <v>43</v>
      </c>
    </row>
    <row r="273" spans="3:19" x14ac:dyDescent="0.25">
      <c r="C273" s="3" t="s">
        <v>791</v>
      </c>
      <c r="D273" s="3" t="s">
        <v>793</v>
      </c>
      <c r="E273" s="3" t="s">
        <v>1000</v>
      </c>
      <c r="F273" s="4">
        <v>5</v>
      </c>
      <c r="G273" s="3" t="str">
        <f>VLOOKUP(C273,JUNIO!C272:G628,5,0)</f>
        <v>Abierta</v>
      </c>
      <c r="H273" s="3" t="s">
        <v>46</v>
      </c>
      <c r="I273" s="3" t="s">
        <v>1031</v>
      </c>
      <c r="J273" s="3" t="s">
        <v>89</v>
      </c>
      <c r="K273" s="3" t="s">
        <v>109</v>
      </c>
      <c r="L273" s="3" t="s">
        <v>91</v>
      </c>
      <c r="M273" s="3" t="s">
        <v>378</v>
      </c>
      <c r="N273" s="3" t="s">
        <v>791</v>
      </c>
      <c r="O273" s="3" t="s">
        <v>42</v>
      </c>
      <c r="P273" s="42" t="s">
        <v>43</v>
      </c>
      <c r="Q273" s="42">
        <f>VLOOKUP(C273,[2]Export!$C$1:$J$1226,8,0)</f>
        <v>45530436</v>
      </c>
      <c r="R273" s="42" t="s">
        <v>772</v>
      </c>
      <c r="S273" s="2" t="s">
        <v>43</v>
      </c>
    </row>
    <row r="274" spans="3:19" x14ac:dyDescent="0.25">
      <c r="C274" s="3" t="s">
        <v>264</v>
      </c>
      <c r="D274" s="3" t="s">
        <v>265</v>
      </c>
      <c r="E274" s="3" t="s">
        <v>266</v>
      </c>
      <c r="F274" s="4" t="s">
        <v>36</v>
      </c>
      <c r="G274" s="3" t="str">
        <f>VLOOKUP(C274,JUNIO!C273:G629,5,0)</f>
        <v>CIERRE DEFINITIVO</v>
      </c>
      <c r="H274" s="3" t="s">
        <v>38</v>
      </c>
      <c r="I274" s="3" t="s">
        <v>1030</v>
      </c>
      <c r="J274" s="3">
        <v>0</v>
      </c>
      <c r="K274" s="3" t="s">
        <v>51</v>
      </c>
      <c r="L274" s="3" t="s">
        <v>40</v>
      </c>
      <c r="M274" s="3">
        <v>0</v>
      </c>
      <c r="N274" s="3" t="s">
        <v>264</v>
      </c>
      <c r="O274" s="3" t="s">
        <v>42</v>
      </c>
      <c r="P274" s="42" t="s">
        <v>43</v>
      </c>
      <c r="Q274" s="42"/>
      <c r="R274" s="42">
        <v>0</v>
      </c>
      <c r="S274" s="2" t="s">
        <v>43</v>
      </c>
    </row>
    <row r="275" spans="3:19" x14ac:dyDescent="0.25">
      <c r="C275" s="3" t="s">
        <v>267</v>
      </c>
      <c r="D275" s="3" t="s">
        <v>268</v>
      </c>
      <c r="E275" s="3" t="s">
        <v>269</v>
      </c>
      <c r="F275" s="4" t="s">
        <v>36</v>
      </c>
      <c r="G275" s="3" t="str">
        <f>VLOOKUP(C275,JUNIO!C274:G630,5,0)</f>
        <v>CIERRE DEFINITIVO</v>
      </c>
      <c r="H275" s="3" t="s">
        <v>38</v>
      </c>
      <c r="I275" s="3" t="s">
        <v>1030</v>
      </c>
      <c r="J275" s="3">
        <v>0</v>
      </c>
      <c r="K275" s="3" t="s">
        <v>51</v>
      </c>
      <c r="L275" s="3" t="s">
        <v>40</v>
      </c>
      <c r="M275" s="3">
        <v>0</v>
      </c>
      <c r="N275" s="3" t="s">
        <v>267</v>
      </c>
      <c r="O275" s="3" t="s">
        <v>42</v>
      </c>
      <c r="P275" s="42" t="s">
        <v>43</v>
      </c>
      <c r="Q275" s="42"/>
      <c r="R275" s="42">
        <v>0</v>
      </c>
      <c r="S275" s="2" t="s">
        <v>43</v>
      </c>
    </row>
    <row r="276" spans="3:19" x14ac:dyDescent="0.25">
      <c r="C276" s="3" t="s">
        <v>270</v>
      </c>
      <c r="D276" s="3" t="s">
        <v>271</v>
      </c>
      <c r="E276" s="3" t="s">
        <v>271</v>
      </c>
      <c r="F276" s="4" t="s">
        <v>36</v>
      </c>
      <c r="G276" s="3" t="str">
        <f>VLOOKUP(C276,JUNIO!C275:G631,5,0)</f>
        <v>CIERRE DEFINITIVO</v>
      </c>
      <c r="H276" s="3" t="s">
        <v>38</v>
      </c>
      <c r="I276" s="3" t="s">
        <v>1030</v>
      </c>
      <c r="J276" s="3" t="s">
        <v>100</v>
      </c>
      <c r="K276" s="3" t="s">
        <v>59</v>
      </c>
      <c r="L276" s="3" t="s">
        <v>40</v>
      </c>
      <c r="M276" s="3">
        <v>0</v>
      </c>
      <c r="N276" s="3" t="s">
        <v>270</v>
      </c>
      <c r="O276" s="3" t="s">
        <v>42</v>
      </c>
      <c r="P276" s="42" t="s">
        <v>43</v>
      </c>
      <c r="Q276" s="42"/>
      <c r="R276" s="42">
        <v>0</v>
      </c>
      <c r="S276" s="2" t="s">
        <v>43</v>
      </c>
    </row>
    <row r="277" spans="3:19" x14ac:dyDescent="0.25">
      <c r="C277" s="3" t="s">
        <v>631</v>
      </c>
      <c r="D277" s="3" t="s">
        <v>633</v>
      </c>
      <c r="E277" s="3" t="s">
        <v>1001</v>
      </c>
      <c r="F277" s="47">
        <v>5</v>
      </c>
      <c r="G277" s="3" t="str">
        <f>VLOOKUP(C277,JUNIO!C276:G632,5,0)</f>
        <v>Abierta</v>
      </c>
      <c r="H277" s="3" t="s">
        <v>46</v>
      </c>
      <c r="I277" s="3" t="s">
        <v>1030</v>
      </c>
      <c r="J277" s="3" t="s">
        <v>50</v>
      </c>
      <c r="K277" s="3" t="s">
        <v>51</v>
      </c>
      <c r="L277" s="3" t="s">
        <v>40</v>
      </c>
      <c r="M277" s="3" t="s">
        <v>514</v>
      </c>
      <c r="N277" s="3" t="s">
        <v>631</v>
      </c>
      <c r="O277" s="3" t="s">
        <v>42</v>
      </c>
      <c r="P277" s="42" t="s">
        <v>43</v>
      </c>
      <c r="Q277" s="42">
        <f>VLOOKUP(C277,[2]Export!$C$1:$J$1226,8,0)</f>
        <v>29064368</v>
      </c>
      <c r="R277" s="42" t="s">
        <v>597</v>
      </c>
      <c r="S277" s="2" t="s">
        <v>43</v>
      </c>
    </row>
    <row r="278" spans="3:19" x14ac:dyDescent="0.25">
      <c r="C278" s="3" t="s">
        <v>272</v>
      </c>
      <c r="D278" s="3" t="s">
        <v>273</v>
      </c>
      <c r="E278" s="3" t="s">
        <v>274</v>
      </c>
      <c r="F278" s="4" t="s">
        <v>36</v>
      </c>
      <c r="G278" s="3" t="str">
        <f>VLOOKUP(C278,JUNIO!C277:G633,5,0)</f>
        <v>CIERRE DEFINITIVO</v>
      </c>
      <c r="H278" s="3" t="s">
        <v>38</v>
      </c>
      <c r="I278" s="3" t="s">
        <v>1030</v>
      </c>
      <c r="J278" s="3" t="s">
        <v>73</v>
      </c>
      <c r="K278" s="3" t="s">
        <v>275</v>
      </c>
      <c r="L278" s="3" t="s">
        <v>40</v>
      </c>
      <c r="M278" s="3">
        <v>0</v>
      </c>
      <c r="N278" s="3" t="s">
        <v>272</v>
      </c>
      <c r="O278" s="3" t="s">
        <v>42</v>
      </c>
      <c r="P278" s="42" t="s">
        <v>43</v>
      </c>
      <c r="Q278" s="42"/>
      <c r="R278" s="42">
        <v>0</v>
      </c>
      <c r="S278" s="2" t="s">
        <v>43</v>
      </c>
    </row>
    <row r="279" spans="3:19" x14ac:dyDescent="0.25">
      <c r="C279" s="3" t="s">
        <v>690</v>
      </c>
      <c r="D279" s="3" t="s">
        <v>691</v>
      </c>
      <c r="E279" s="3" t="s">
        <v>692</v>
      </c>
      <c r="F279" s="4">
        <v>5</v>
      </c>
      <c r="G279" s="3" t="str">
        <f>VLOOKUP(C279,JUNIO!C278:G634,5,0)</f>
        <v>Abierta</v>
      </c>
      <c r="H279" s="3" t="s">
        <v>46</v>
      </c>
      <c r="I279" s="3" t="s">
        <v>1030</v>
      </c>
      <c r="J279" s="3" t="s">
        <v>248</v>
      </c>
      <c r="K279" s="3" t="s">
        <v>51</v>
      </c>
      <c r="L279" s="3" t="s">
        <v>40</v>
      </c>
      <c r="M279" s="3" t="s">
        <v>984</v>
      </c>
      <c r="N279" s="3" t="s">
        <v>690</v>
      </c>
      <c r="O279" s="3" t="s">
        <v>42</v>
      </c>
      <c r="P279" s="42" t="s">
        <v>440</v>
      </c>
      <c r="Q279" s="42">
        <f>VLOOKUP(C279,[2]Export!$C$1:$J$1226,8,0)</f>
        <v>33893762</v>
      </c>
      <c r="R279" s="42" t="s">
        <v>51</v>
      </c>
      <c r="S279" s="2" t="s">
        <v>43</v>
      </c>
    </row>
    <row r="280" spans="3:19" x14ac:dyDescent="0.25">
      <c r="C280" s="3" t="s">
        <v>276</v>
      </c>
      <c r="D280" s="3" t="s">
        <v>277</v>
      </c>
      <c r="E280" s="3" t="s">
        <v>278</v>
      </c>
      <c r="F280" s="4" t="s">
        <v>36</v>
      </c>
      <c r="G280" s="3" t="str">
        <f>VLOOKUP(C280,JUNIO!C279:G635,5,0)</f>
        <v>CIERRE DEFINITIVO</v>
      </c>
      <c r="H280" s="3" t="s">
        <v>38</v>
      </c>
      <c r="I280" s="3" t="s">
        <v>1030</v>
      </c>
      <c r="J280" s="3" t="s">
        <v>84</v>
      </c>
      <c r="K280" s="3" t="s">
        <v>279</v>
      </c>
      <c r="L280" s="3" t="s">
        <v>55</v>
      </c>
      <c r="M280" s="3">
        <v>0</v>
      </c>
      <c r="N280" s="3" t="s">
        <v>276</v>
      </c>
      <c r="O280" s="3" t="s">
        <v>42</v>
      </c>
      <c r="P280" s="42" t="s">
        <v>43</v>
      </c>
      <c r="Q280" s="42"/>
      <c r="R280" s="42">
        <v>0</v>
      </c>
      <c r="S280" s="2" t="s">
        <v>43</v>
      </c>
    </row>
    <row r="281" spans="3:19" x14ac:dyDescent="0.25">
      <c r="C281" s="3" t="s">
        <v>731</v>
      </c>
      <c r="D281" s="3" t="s">
        <v>732</v>
      </c>
      <c r="E281" s="3" t="s">
        <v>54</v>
      </c>
      <c r="F281" s="4">
        <v>5</v>
      </c>
      <c r="G281" s="3" t="str">
        <f>VLOOKUP(C281,JUNIO!C280:G636,5,0)</f>
        <v>Abierta</v>
      </c>
      <c r="H281" s="3" t="s">
        <v>46</v>
      </c>
      <c r="I281" s="3" t="s">
        <v>1031</v>
      </c>
      <c r="J281" s="3" t="s">
        <v>84</v>
      </c>
      <c r="K281" s="3" t="s">
        <v>54</v>
      </c>
      <c r="L281" s="3" t="s">
        <v>55</v>
      </c>
      <c r="M281" s="3" t="s">
        <v>378</v>
      </c>
      <c r="N281" s="3" t="s">
        <v>731</v>
      </c>
      <c r="O281" s="3" t="s">
        <v>42</v>
      </c>
      <c r="P281" s="42" t="s">
        <v>440</v>
      </c>
      <c r="Q281" s="42">
        <f>VLOOKUP(C281,[2]Export!$C$1:$J$1226,8,0)</f>
        <v>27033498</v>
      </c>
      <c r="R281" s="42" t="s">
        <v>702</v>
      </c>
      <c r="S281" s="2" t="s">
        <v>43</v>
      </c>
    </row>
    <row r="282" spans="3:19" x14ac:dyDescent="0.25">
      <c r="C282" s="3" t="s">
        <v>453</v>
      </c>
      <c r="D282" s="3" t="s">
        <v>454</v>
      </c>
      <c r="E282" s="3" t="s">
        <v>454</v>
      </c>
      <c r="F282" s="4">
        <v>5</v>
      </c>
      <c r="G282" s="3" t="str">
        <f>VLOOKUP(C282,JUNIO!C281:G637,5,0)</f>
        <v>Abierta</v>
      </c>
      <c r="H282" s="3" t="s">
        <v>46</v>
      </c>
      <c r="I282" s="3" t="s">
        <v>1030</v>
      </c>
      <c r="J282" s="3" t="s">
        <v>94</v>
      </c>
      <c r="K282" s="3" t="s">
        <v>64</v>
      </c>
      <c r="L282" s="3" t="s">
        <v>40</v>
      </c>
      <c r="M282" s="3" t="s">
        <v>1035</v>
      </c>
      <c r="N282" s="3" t="s">
        <v>453</v>
      </c>
      <c r="O282" s="3" t="s">
        <v>42</v>
      </c>
      <c r="P282" s="42" t="s">
        <v>440</v>
      </c>
      <c r="Q282" s="42">
        <f>VLOOKUP(C282,[2]Export!$C$1:$J$1226,8,0)</f>
        <v>35814028</v>
      </c>
      <c r="R282" s="42" t="s">
        <v>423</v>
      </c>
      <c r="S282" s="2" t="s">
        <v>43</v>
      </c>
    </row>
    <row r="283" spans="3:19" x14ac:dyDescent="0.25">
      <c r="C283" s="3" t="s">
        <v>280</v>
      </c>
      <c r="D283" s="3" t="s">
        <v>281</v>
      </c>
      <c r="E283" s="3" t="s">
        <v>281</v>
      </c>
      <c r="F283" s="4" t="s">
        <v>36</v>
      </c>
      <c r="G283" s="3" t="str">
        <f>VLOOKUP(C283,JUNIO!C282:G638,5,0)</f>
        <v>CIERRE DEFINITIVO</v>
      </c>
      <c r="H283" s="3" t="s">
        <v>38</v>
      </c>
      <c r="I283" s="3" t="s">
        <v>1030</v>
      </c>
      <c r="J283" s="3" t="s">
        <v>132</v>
      </c>
      <c r="K283" s="3" t="s">
        <v>64</v>
      </c>
      <c r="L283" s="3" t="s">
        <v>40</v>
      </c>
      <c r="M283" s="3">
        <v>0</v>
      </c>
      <c r="N283" s="3" t="s">
        <v>280</v>
      </c>
      <c r="O283" s="3" t="s">
        <v>42</v>
      </c>
      <c r="P283" s="42" t="s">
        <v>43</v>
      </c>
      <c r="Q283" s="42"/>
      <c r="R283" s="42">
        <v>0</v>
      </c>
      <c r="S283" s="2" t="s">
        <v>43</v>
      </c>
    </row>
    <row r="284" spans="3:19" x14ac:dyDescent="0.25">
      <c r="C284" s="3" t="s">
        <v>282</v>
      </c>
      <c r="D284" s="3" t="s">
        <v>283</v>
      </c>
      <c r="E284" s="3" t="s">
        <v>284</v>
      </c>
      <c r="F284" s="4" t="s">
        <v>36</v>
      </c>
      <c r="G284" s="3" t="str">
        <f>VLOOKUP(C284,JUNIO!C283:G639,5,0)</f>
        <v>CIERRE DEFINITIVO</v>
      </c>
      <c r="H284" s="3" t="s">
        <v>38</v>
      </c>
      <c r="I284" s="3" t="s">
        <v>1030</v>
      </c>
      <c r="J284" s="3">
        <v>0</v>
      </c>
      <c r="K284" s="3" t="s">
        <v>279</v>
      </c>
      <c r="L284" s="3" t="s">
        <v>55</v>
      </c>
      <c r="M284" s="3">
        <v>0</v>
      </c>
      <c r="N284" s="3" t="s">
        <v>282</v>
      </c>
      <c r="O284" s="3" t="s">
        <v>42</v>
      </c>
      <c r="P284" s="42" t="s">
        <v>43</v>
      </c>
      <c r="Q284" s="42"/>
      <c r="R284" s="42">
        <v>0</v>
      </c>
      <c r="S284" s="2" t="s">
        <v>43</v>
      </c>
    </row>
    <row r="285" spans="3:19" x14ac:dyDescent="0.25">
      <c r="C285" s="3" t="s">
        <v>455</v>
      </c>
      <c r="D285" s="3" t="s">
        <v>456</v>
      </c>
      <c r="E285" s="3" t="s">
        <v>1002</v>
      </c>
      <c r="F285" s="4">
        <v>5</v>
      </c>
      <c r="G285" s="3" t="str">
        <f>VLOOKUP(C285,JUNIO!C284:G640,5,0)</f>
        <v>Abierta</v>
      </c>
      <c r="H285" s="3" t="s">
        <v>46</v>
      </c>
      <c r="I285" s="3" t="s">
        <v>1030</v>
      </c>
      <c r="J285" s="3" t="s">
        <v>94</v>
      </c>
      <c r="K285" s="3" t="s">
        <v>64</v>
      </c>
      <c r="L285" s="3" t="s">
        <v>40</v>
      </c>
      <c r="M285" s="3" t="s">
        <v>1035</v>
      </c>
      <c r="N285" s="3" t="s">
        <v>455</v>
      </c>
      <c r="O285" s="3" t="s">
        <v>42</v>
      </c>
      <c r="P285" s="42" t="s">
        <v>440</v>
      </c>
      <c r="Q285" s="42">
        <f>VLOOKUP(C285,[2]Export!$C$1:$J$1226,8,0)</f>
        <v>44194190</v>
      </c>
      <c r="R285" s="42" t="s">
        <v>423</v>
      </c>
      <c r="S285" s="2" t="s">
        <v>43</v>
      </c>
    </row>
    <row r="286" spans="3:19" x14ac:dyDescent="0.25">
      <c r="C286" s="3" t="s">
        <v>285</v>
      </c>
      <c r="D286" s="3" t="s">
        <v>286</v>
      </c>
      <c r="E286" s="3" t="s">
        <v>287</v>
      </c>
      <c r="F286" s="4" t="s">
        <v>36</v>
      </c>
      <c r="G286" s="3" t="str">
        <f>VLOOKUP(C286,JUNIO!C285:G641,5,0)</f>
        <v>CIERRE DEFINITIVO</v>
      </c>
      <c r="H286" s="3" t="s">
        <v>38</v>
      </c>
      <c r="I286" s="3" t="s">
        <v>1030</v>
      </c>
      <c r="J286" s="3">
        <v>0</v>
      </c>
      <c r="K286" s="3" t="s">
        <v>51</v>
      </c>
      <c r="L286" s="3" t="s">
        <v>40</v>
      </c>
      <c r="M286" s="3">
        <v>0</v>
      </c>
      <c r="N286" s="3" t="s">
        <v>285</v>
      </c>
      <c r="O286" s="3" t="s">
        <v>42</v>
      </c>
      <c r="P286" s="42" t="s">
        <v>43</v>
      </c>
      <c r="Q286" s="42"/>
      <c r="R286" s="42">
        <v>0</v>
      </c>
      <c r="S286" s="2" t="s">
        <v>43</v>
      </c>
    </row>
    <row r="287" spans="3:19" x14ac:dyDescent="0.25">
      <c r="C287" s="3" t="s">
        <v>288</v>
      </c>
      <c r="D287" s="3" t="s">
        <v>289</v>
      </c>
      <c r="E287" s="3" t="s">
        <v>290</v>
      </c>
      <c r="F287" s="4" t="s">
        <v>36</v>
      </c>
      <c r="G287" s="3" t="str">
        <f>VLOOKUP(C287,JUNIO!C286:G642,5,0)</f>
        <v>CIERRE DEFINITIVO</v>
      </c>
      <c r="H287" s="3" t="s">
        <v>38</v>
      </c>
      <c r="I287" s="3" t="s">
        <v>1030</v>
      </c>
      <c r="J287" s="3">
        <v>0</v>
      </c>
      <c r="K287" s="3" t="s">
        <v>59</v>
      </c>
      <c r="L287" s="3" t="s">
        <v>40</v>
      </c>
      <c r="M287" s="3">
        <v>0</v>
      </c>
      <c r="N287" s="3" t="s">
        <v>288</v>
      </c>
      <c r="O287" s="3" t="s">
        <v>42</v>
      </c>
      <c r="P287" s="42" t="s">
        <v>43</v>
      </c>
      <c r="Q287" s="42"/>
      <c r="R287" s="42">
        <v>0</v>
      </c>
      <c r="S287" s="2" t="s">
        <v>43</v>
      </c>
    </row>
    <row r="288" spans="3:19" x14ac:dyDescent="0.25">
      <c r="C288" s="3" t="s">
        <v>291</v>
      </c>
      <c r="D288" s="3" t="s">
        <v>292</v>
      </c>
      <c r="E288" s="3" t="s">
        <v>292</v>
      </c>
      <c r="F288" s="4" t="s">
        <v>36</v>
      </c>
      <c r="G288" s="3" t="str">
        <f>VLOOKUP(C288,JUNIO!C287:G643,5,0)</f>
        <v>CIERRE DEFINITIVO</v>
      </c>
      <c r="H288" s="3" t="s">
        <v>38</v>
      </c>
      <c r="I288" s="3" t="s">
        <v>1030</v>
      </c>
      <c r="J288" s="3" t="s">
        <v>94</v>
      </c>
      <c r="K288" s="3" t="s">
        <v>51</v>
      </c>
      <c r="L288" s="3" t="s">
        <v>40</v>
      </c>
      <c r="M288" s="3">
        <v>0</v>
      </c>
      <c r="N288" s="3" t="s">
        <v>291</v>
      </c>
      <c r="O288" s="3" t="s">
        <v>42</v>
      </c>
      <c r="P288" s="42" t="s">
        <v>43</v>
      </c>
      <c r="Q288" s="42"/>
      <c r="R288" s="42">
        <v>0</v>
      </c>
      <c r="S288" s="2" t="s">
        <v>43</v>
      </c>
    </row>
    <row r="289" spans="3:19" x14ac:dyDescent="0.25">
      <c r="C289" s="3" t="s">
        <v>293</v>
      </c>
      <c r="D289" s="3" t="s">
        <v>294</v>
      </c>
      <c r="E289" s="3" t="s">
        <v>294</v>
      </c>
      <c r="F289" s="4" t="s">
        <v>36</v>
      </c>
      <c r="G289" s="3" t="str">
        <f>VLOOKUP(C289,JUNIO!C288:G644,5,0)</f>
        <v>CIERRE DEFINITIVO</v>
      </c>
      <c r="H289" s="3" t="s">
        <v>38</v>
      </c>
      <c r="I289" s="3" t="s">
        <v>1030</v>
      </c>
      <c r="J289" s="3" t="s">
        <v>73</v>
      </c>
      <c r="K289" s="3" t="s">
        <v>64</v>
      </c>
      <c r="L289" s="3" t="s">
        <v>40</v>
      </c>
      <c r="M289" s="3">
        <v>0</v>
      </c>
      <c r="N289" s="3" t="s">
        <v>293</v>
      </c>
      <c r="O289" s="3" t="s">
        <v>42</v>
      </c>
      <c r="P289" s="42" t="s">
        <v>43</v>
      </c>
      <c r="Q289" s="42"/>
      <c r="R289" s="42">
        <v>0</v>
      </c>
      <c r="S289" s="2" t="s">
        <v>43</v>
      </c>
    </row>
    <row r="290" spans="3:19" x14ac:dyDescent="0.25">
      <c r="C290" s="3" t="s">
        <v>295</v>
      </c>
      <c r="D290" s="3" t="s">
        <v>296</v>
      </c>
      <c r="E290" s="3" t="s">
        <v>297</v>
      </c>
      <c r="F290" s="4" t="s">
        <v>36</v>
      </c>
      <c r="G290" s="3" t="str">
        <f>VLOOKUP(C290,JUNIO!C289:G645,5,0)</f>
        <v>CIERRE DEFINITIVO</v>
      </c>
      <c r="H290" s="3" t="s">
        <v>38</v>
      </c>
      <c r="I290" s="3" t="s">
        <v>1030</v>
      </c>
      <c r="J290" s="3" t="s">
        <v>94</v>
      </c>
      <c r="K290" s="3" t="s">
        <v>64</v>
      </c>
      <c r="L290" s="3" t="s">
        <v>40</v>
      </c>
      <c r="M290" s="3">
        <v>0</v>
      </c>
      <c r="N290" s="3" t="s">
        <v>295</v>
      </c>
      <c r="O290" s="3" t="s">
        <v>42</v>
      </c>
      <c r="P290" s="42" t="s">
        <v>43</v>
      </c>
      <c r="Q290" s="42"/>
      <c r="R290" s="42">
        <v>0</v>
      </c>
      <c r="S290" s="2" t="s">
        <v>43</v>
      </c>
    </row>
    <row r="291" spans="3:19" x14ac:dyDescent="0.25">
      <c r="C291" s="3" t="s">
        <v>298</v>
      </c>
      <c r="D291" s="3" t="s">
        <v>299</v>
      </c>
      <c r="E291" s="3" t="s">
        <v>300</v>
      </c>
      <c r="F291" s="4" t="s">
        <v>36</v>
      </c>
      <c r="G291" s="3" t="str">
        <f>VLOOKUP(C291,JUNIO!C290:G646,5,0)</f>
        <v>CIERRE DEFINITIVO</v>
      </c>
      <c r="H291" s="3" t="s">
        <v>38</v>
      </c>
      <c r="I291" s="3" t="s">
        <v>1030</v>
      </c>
      <c r="J291" s="3" t="s">
        <v>58</v>
      </c>
      <c r="K291" s="3" t="s">
        <v>59</v>
      </c>
      <c r="L291" s="3" t="s">
        <v>40</v>
      </c>
      <c r="M291" s="3">
        <v>0</v>
      </c>
      <c r="N291" s="3" t="s">
        <v>298</v>
      </c>
      <c r="O291" s="3" t="s">
        <v>42</v>
      </c>
      <c r="P291" s="42" t="s">
        <v>43</v>
      </c>
      <c r="Q291" s="42"/>
      <c r="R291" s="42">
        <v>0</v>
      </c>
      <c r="S291" s="2" t="s">
        <v>43</v>
      </c>
    </row>
    <row r="292" spans="3:19" x14ac:dyDescent="0.25">
      <c r="C292" s="3" t="s">
        <v>794</v>
      </c>
      <c r="D292" s="3" t="s">
        <v>795</v>
      </c>
      <c r="E292" s="3" t="s">
        <v>795</v>
      </c>
      <c r="F292" s="4">
        <v>0</v>
      </c>
      <c r="G292" s="3" t="str">
        <f>VLOOKUP(C292,JUNIO!C291:G647,5,0)</f>
        <v>CIERRE DEFINITIVO</v>
      </c>
      <c r="H292" s="3" t="s">
        <v>46</v>
      </c>
      <c r="I292" s="3" t="s">
        <v>1031</v>
      </c>
      <c r="J292" s="3" t="s">
        <v>89</v>
      </c>
      <c r="K292" s="3" t="s">
        <v>109</v>
      </c>
      <c r="L292" s="3" t="s">
        <v>91</v>
      </c>
      <c r="M292" s="3" t="s">
        <v>378</v>
      </c>
      <c r="N292" s="3" t="s">
        <v>794</v>
      </c>
      <c r="O292" s="3" t="s">
        <v>42</v>
      </c>
      <c r="P292" s="42" t="s">
        <v>43</v>
      </c>
      <c r="Q292" s="42"/>
      <c r="R292" s="42" t="s">
        <v>772</v>
      </c>
      <c r="S292" s="2" t="s">
        <v>43</v>
      </c>
    </row>
    <row r="293" spans="3:19" x14ac:dyDescent="0.25">
      <c r="C293" s="3" t="s">
        <v>620</v>
      </c>
      <c r="D293" s="3" t="s">
        <v>622</v>
      </c>
      <c r="E293" s="3" t="s">
        <v>622</v>
      </c>
      <c r="F293" s="4">
        <v>5</v>
      </c>
      <c r="G293" s="3" t="str">
        <f>VLOOKUP(C293,JUNIO!C292:G648,5,0)</f>
        <v>CIERRE TEMPORAL</v>
      </c>
      <c r="H293" s="3" t="s">
        <v>46</v>
      </c>
      <c r="I293" s="3" t="s">
        <v>1030</v>
      </c>
      <c r="J293" s="3" t="s">
        <v>50</v>
      </c>
      <c r="K293" s="3" t="s">
        <v>59</v>
      </c>
      <c r="L293" s="3" t="s">
        <v>40</v>
      </c>
      <c r="M293" s="3" t="s">
        <v>514</v>
      </c>
      <c r="N293" s="3" t="s">
        <v>620</v>
      </c>
      <c r="O293" s="3" t="s">
        <v>42</v>
      </c>
      <c r="P293" s="42" t="s">
        <v>43</v>
      </c>
      <c r="Q293" s="42">
        <f>VLOOKUP(C293,[2]Export!$C$1:$J$1226,8,0)</f>
        <v>0</v>
      </c>
      <c r="R293" s="42" t="s">
        <v>597</v>
      </c>
      <c r="S293" s="2" t="s">
        <v>43</v>
      </c>
    </row>
    <row r="294" spans="3:19" x14ac:dyDescent="0.25">
      <c r="C294" s="3" t="s">
        <v>733</v>
      </c>
      <c r="D294" s="3" t="s">
        <v>734</v>
      </c>
      <c r="E294" s="3" t="s">
        <v>735</v>
      </c>
      <c r="F294" s="4">
        <v>6</v>
      </c>
      <c r="G294" s="3" t="str">
        <f>VLOOKUP(C294,JUNIO!C293:G649,5,0)</f>
        <v>Abierta</v>
      </c>
      <c r="H294" s="3" t="s">
        <v>46</v>
      </c>
      <c r="I294" s="3" t="s">
        <v>1031</v>
      </c>
      <c r="J294" s="3" t="s">
        <v>84</v>
      </c>
      <c r="K294" s="3" t="s">
        <v>54</v>
      </c>
      <c r="L294" s="3" t="s">
        <v>55</v>
      </c>
      <c r="M294" s="3" t="s">
        <v>378</v>
      </c>
      <c r="N294" s="3" t="s">
        <v>733</v>
      </c>
      <c r="O294" s="3" t="s">
        <v>42</v>
      </c>
      <c r="P294" s="42" t="s">
        <v>43</v>
      </c>
      <c r="Q294" s="42">
        <f>VLOOKUP(C294,[2]Export!$C$1:$J$1226,8,0)</f>
        <v>55772582</v>
      </c>
      <c r="R294" s="42" t="s">
        <v>702</v>
      </c>
      <c r="S294" s="2" t="s">
        <v>43</v>
      </c>
    </row>
    <row r="295" spans="3:19" x14ac:dyDescent="0.25">
      <c r="C295" s="3" t="s">
        <v>301</v>
      </c>
      <c r="D295" s="3" t="s">
        <v>302</v>
      </c>
      <c r="E295" s="3" t="s">
        <v>303</v>
      </c>
      <c r="F295" s="4" t="s">
        <v>36</v>
      </c>
      <c r="G295" s="3" t="str">
        <f>VLOOKUP(C295,JUNIO!C294:G650,5,0)</f>
        <v>CIERRE DEFINITIVO</v>
      </c>
      <c r="H295" s="3" t="s">
        <v>38</v>
      </c>
      <c r="I295" s="3" t="s">
        <v>1030</v>
      </c>
      <c r="J295" s="3" t="s">
        <v>132</v>
      </c>
      <c r="K295" s="3" t="s">
        <v>133</v>
      </c>
      <c r="L295" s="3" t="s">
        <v>40</v>
      </c>
      <c r="M295" s="3">
        <v>0</v>
      </c>
      <c r="N295" s="3" t="s">
        <v>301</v>
      </c>
      <c r="O295" s="3" t="s">
        <v>42</v>
      </c>
      <c r="P295" s="42" t="s">
        <v>43</v>
      </c>
      <c r="Q295" s="42"/>
      <c r="R295" s="42">
        <v>0</v>
      </c>
      <c r="S295" s="2" t="s">
        <v>43</v>
      </c>
    </row>
    <row r="296" spans="3:19" x14ac:dyDescent="0.25">
      <c r="C296" s="3" t="s">
        <v>505</v>
      </c>
      <c r="D296" s="3" t="s">
        <v>506</v>
      </c>
      <c r="E296" s="3" t="s">
        <v>506</v>
      </c>
      <c r="F296" s="4">
        <v>5</v>
      </c>
      <c r="G296" s="3" t="str">
        <f>VLOOKUP(C296,JUNIO!C295:G651,5,0)</f>
        <v>Abierta</v>
      </c>
      <c r="H296" s="3" t="s">
        <v>46</v>
      </c>
      <c r="I296" s="3" t="s">
        <v>1030</v>
      </c>
      <c r="J296" s="3" t="s">
        <v>466</v>
      </c>
      <c r="K296" s="3" t="s">
        <v>51</v>
      </c>
      <c r="L296" s="3" t="s">
        <v>40</v>
      </c>
      <c r="M296" s="3" t="s">
        <v>1035</v>
      </c>
      <c r="N296" s="3" t="s">
        <v>505</v>
      </c>
      <c r="O296" s="3" t="s">
        <v>42</v>
      </c>
      <c r="P296" s="42" t="s">
        <v>43</v>
      </c>
      <c r="Q296" s="42">
        <f>VLOOKUP(C296,[2]Export!$C$1:$J$1226,8,0)</f>
        <v>35928490</v>
      </c>
      <c r="R296" s="42" t="s">
        <v>467</v>
      </c>
      <c r="S296" s="2" t="s">
        <v>43</v>
      </c>
    </row>
    <row r="297" spans="3:19" x14ac:dyDescent="0.25">
      <c r="C297" s="3" t="s">
        <v>304</v>
      </c>
      <c r="D297" s="3" t="s">
        <v>305</v>
      </c>
      <c r="E297" s="3" t="s">
        <v>305</v>
      </c>
      <c r="F297" s="4" t="s">
        <v>36</v>
      </c>
      <c r="G297" s="3" t="str">
        <f>VLOOKUP(C297,JUNIO!C296:G652,5,0)</f>
        <v>CIERRE DEFINITIVO</v>
      </c>
      <c r="H297" s="3" t="s">
        <v>81</v>
      </c>
      <c r="I297" s="3" t="s">
        <v>1030</v>
      </c>
      <c r="J297" s="3" t="s">
        <v>132</v>
      </c>
      <c r="K297" s="3" t="s">
        <v>51</v>
      </c>
      <c r="L297" s="3" t="s">
        <v>40</v>
      </c>
      <c r="M297" s="3">
        <v>0</v>
      </c>
      <c r="N297" s="3" t="s">
        <v>304</v>
      </c>
      <c r="O297" s="3" t="s">
        <v>42</v>
      </c>
      <c r="P297" s="42" t="s">
        <v>43</v>
      </c>
      <c r="Q297" s="42"/>
      <c r="R297" s="42">
        <v>0</v>
      </c>
      <c r="S297" s="2" t="s">
        <v>43</v>
      </c>
    </row>
    <row r="298" spans="3:19" x14ac:dyDescent="0.25">
      <c r="C298" s="3" t="s">
        <v>306</v>
      </c>
      <c r="D298" s="3" t="s">
        <v>307</v>
      </c>
      <c r="E298" s="3" t="s">
        <v>307</v>
      </c>
      <c r="F298" s="4" t="s">
        <v>36</v>
      </c>
      <c r="G298" s="3" t="str">
        <f>VLOOKUP(C298,JUNIO!C297:G653,5,0)</f>
        <v>CIERRE DEFINITIVO</v>
      </c>
      <c r="H298" s="3" t="s">
        <v>46</v>
      </c>
      <c r="I298" s="3" t="s">
        <v>1030</v>
      </c>
      <c r="J298" s="3">
        <v>0</v>
      </c>
      <c r="K298" s="3" t="s">
        <v>138</v>
      </c>
      <c r="L298" s="3" t="s">
        <v>40</v>
      </c>
      <c r="M298" s="3">
        <v>0</v>
      </c>
      <c r="N298" s="3" t="s">
        <v>306</v>
      </c>
      <c r="O298" s="3" t="s">
        <v>42</v>
      </c>
      <c r="P298" s="42" t="s">
        <v>43</v>
      </c>
      <c r="Q298" s="42"/>
      <c r="R298" s="42">
        <v>0</v>
      </c>
      <c r="S298" s="2" t="s">
        <v>43</v>
      </c>
    </row>
    <row r="299" spans="3:19" x14ac:dyDescent="0.25">
      <c r="C299" s="3" t="s">
        <v>308</v>
      </c>
      <c r="D299" s="3" t="s">
        <v>309</v>
      </c>
      <c r="E299" s="3" t="s">
        <v>309</v>
      </c>
      <c r="F299" s="4" t="s">
        <v>36</v>
      </c>
      <c r="G299" s="3" t="str">
        <f>VLOOKUP(C299,JUNIO!C298:G654,5,0)</f>
        <v>CIERRE DEFINITIVO</v>
      </c>
      <c r="H299" s="3" t="s">
        <v>46</v>
      </c>
      <c r="I299" s="3" t="s">
        <v>1030</v>
      </c>
      <c r="J299" s="3">
        <v>0</v>
      </c>
      <c r="K299" s="3" t="s">
        <v>279</v>
      </c>
      <c r="L299" s="3" t="s">
        <v>55</v>
      </c>
      <c r="M299" s="3">
        <v>0</v>
      </c>
      <c r="N299" s="3" t="s">
        <v>308</v>
      </c>
      <c r="O299" s="3" t="s">
        <v>42</v>
      </c>
      <c r="P299" s="42" t="s">
        <v>43</v>
      </c>
      <c r="Q299" s="42"/>
      <c r="R299" s="42">
        <v>0</v>
      </c>
      <c r="S299" s="2" t="s">
        <v>43</v>
      </c>
    </row>
    <row r="300" spans="3:19" x14ac:dyDescent="0.25">
      <c r="C300" s="3" t="s">
        <v>310</v>
      </c>
      <c r="D300" s="3" t="s">
        <v>311</v>
      </c>
      <c r="E300" s="3" t="s">
        <v>312</v>
      </c>
      <c r="F300" s="4" t="s">
        <v>36</v>
      </c>
      <c r="G300" s="3" t="str">
        <f>VLOOKUP(C300,JUNIO!C299:G655,5,0)</f>
        <v>CIERRE DEFINITIVO</v>
      </c>
      <c r="H300" s="3" t="s">
        <v>81</v>
      </c>
      <c r="I300" s="3" t="s">
        <v>1030</v>
      </c>
      <c r="J300" s="3" t="s">
        <v>160</v>
      </c>
      <c r="K300" s="3" t="s">
        <v>64</v>
      </c>
      <c r="L300" s="3" t="s">
        <v>40</v>
      </c>
      <c r="M300" s="3">
        <v>0</v>
      </c>
      <c r="N300" s="3" t="s">
        <v>310</v>
      </c>
      <c r="O300" s="3" t="s">
        <v>42</v>
      </c>
      <c r="P300" s="42" t="s">
        <v>43</v>
      </c>
      <c r="Q300" s="42"/>
      <c r="R300" s="42">
        <v>0</v>
      </c>
      <c r="S300" s="2" t="s">
        <v>43</v>
      </c>
    </row>
    <row r="301" spans="3:19" x14ac:dyDescent="0.25">
      <c r="C301" s="3" t="s">
        <v>968</v>
      </c>
      <c r="D301" s="3" t="s">
        <v>969</v>
      </c>
      <c r="E301" s="3" t="s">
        <v>969</v>
      </c>
      <c r="F301" s="4">
        <v>5</v>
      </c>
      <c r="G301" s="3" t="str">
        <f>VLOOKUP(C301,JUNIO!C300:G656,5,0)</f>
        <v>Abierta</v>
      </c>
      <c r="H301" s="3" t="s">
        <v>46</v>
      </c>
      <c r="I301" s="3" t="s">
        <v>1030</v>
      </c>
      <c r="J301" s="3" t="s">
        <v>160</v>
      </c>
      <c r="K301" s="3" t="s">
        <v>39</v>
      </c>
      <c r="L301" s="3" t="s">
        <v>40</v>
      </c>
      <c r="M301" s="3" t="s">
        <v>984</v>
      </c>
      <c r="N301" s="3" t="s">
        <v>968</v>
      </c>
      <c r="O301" s="3" t="s">
        <v>42</v>
      </c>
      <c r="P301" s="42" t="s">
        <v>440</v>
      </c>
      <c r="Q301" s="42">
        <f>VLOOKUP(C301,[2]Export!$C$1:$J$1226,8,0)</f>
        <v>27394737</v>
      </c>
      <c r="R301" s="42" t="s">
        <v>931</v>
      </c>
      <c r="S301" s="2" t="s">
        <v>43</v>
      </c>
    </row>
    <row r="302" spans="3:19" x14ac:dyDescent="0.25">
      <c r="C302" s="3" t="s">
        <v>313</v>
      </c>
      <c r="D302" s="3" t="s">
        <v>314</v>
      </c>
      <c r="E302" s="3" t="s">
        <v>314</v>
      </c>
      <c r="F302" s="4" t="s">
        <v>36</v>
      </c>
      <c r="G302" s="3" t="str">
        <f>VLOOKUP(C302,JUNIO!C301:G657,5,0)</f>
        <v>CIERRE DEFINITIVO</v>
      </c>
      <c r="H302" s="3" t="s">
        <v>81</v>
      </c>
      <c r="I302" s="3" t="s">
        <v>1030</v>
      </c>
      <c r="J302" s="3">
        <v>0</v>
      </c>
      <c r="K302" s="3" t="s">
        <v>315</v>
      </c>
      <c r="L302" s="3" t="s">
        <v>40</v>
      </c>
      <c r="M302" s="3">
        <v>0</v>
      </c>
      <c r="N302" s="3" t="s">
        <v>313</v>
      </c>
      <c r="O302" s="3" t="s">
        <v>42</v>
      </c>
      <c r="P302" s="42" t="s">
        <v>43</v>
      </c>
      <c r="Q302" s="42"/>
      <c r="R302" s="42">
        <v>0</v>
      </c>
      <c r="S302" s="2" t="s">
        <v>43</v>
      </c>
    </row>
    <row r="303" spans="3:19" x14ac:dyDescent="0.25">
      <c r="C303" s="3" t="s">
        <v>823</v>
      </c>
      <c r="D303" s="3" t="s">
        <v>824</v>
      </c>
      <c r="E303" s="3" t="s">
        <v>824</v>
      </c>
      <c r="F303" s="4">
        <v>5</v>
      </c>
      <c r="G303" s="3" t="str">
        <f>VLOOKUP(C303,JUNIO!C302:G658,5,0)</f>
        <v>Abierta</v>
      </c>
      <c r="H303" s="3" t="s">
        <v>46</v>
      </c>
      <c r="I303" s="3" t="s">
        <v>1030</v>
      </c>
      <c r="J303" s="3" t="s">
        <v>146</v>
      </c>
      <c r="K303" s="3" t="s">
        <v>59</v>
      </c>
      <c r="L303" s="3" t="s">
        <v>40</v>
      </c>
      <c r="M303" s="3" t="s">
        <v>1035</v>
      </c>
      <c r="N303" s="3" t="s">
        <v>823</v>
      </c>
      <c r="O303" s="3" t="s">
        <v>42</v>
      </c>
      <c r="P303" s="42" t="s">
        <v>43</v>
      </c>
      <c r="Q303" s="42">
        <f>VLOOKUP(C303,[2]Export!$C$1:$J$1226,8,0)</f>
        <v>34642971</v>
      </c>
      <c r="R303" s="42" t="s">
        <v>799</v>
      </c>
      <c r="S303" s="2" t="s">
        <v>43</v>
      </c>
    </row>
    <row r="304" spans="3:19" x14ac:dyDescent="0.25">
      <c r="C304" s="3" t="s">
        <v>316</v>
      </c>
      <c r="D304" s="3" t="s">
        <v>317</v>
      </c>
      <c r="E304" s="3" t="s">
        <v>318</v>
      </c>
      <c r="F304" s="4" t="s">
        <v>36</v>
      </c>
      <c r="G304" s="3" t="str">
        <f>VLOOKUP(C304,JUNIO!C303:G659,5,0)</f>
        <v>CIERRE DEFINITIVO</v>
      </c>
      <c r="H304" s="3" t="s">
        <v>81</v>
      </c>
      <c r="I304" s="3" t="s">
        <v>1030</v>
      </c>
      <c r="J304" s="3" t="s">
        <v>67</v>
      </c>
      <c r="K304" s="3" t="s">
        <v>59</v>
      </c>
      <c r="L304" s="3" t="s">
        <v>40</v>
      </c>
      <c r="M304" s="3">
        <v>0</v>
      </c>
      <c r="N304" s="3" t="s">
        <v>316</v>
      </c>
      <c r="O304" s="3" t="s">
        <v>42</v>
      </c>
      <c r="P304" s="42" t="s">
        <v>43</v>
      </c>
      <c r="Q304" s="42"/>
      <c r="R304" s="42">
        <v>0</v>
      </c>
      <c r="S304" s="2" t="s">
        <v>43</v>
      </c>
    </row>
    <row r="305" spans="3:19" x14ac:dyDescent="0.25">
      <c r="C305" s="3" t="s">
        <v>319</v>
      </c>
      <c r="D305" s="3" t="s">
        <v>320</v>
      </c>
      <c r="E305" s="3" t="s">
        <v>320</v>
      </c>
      <c r="F305" s="4" t="s">
        <v>36</v>
      </c>
      <c r="G305" s="3" t="str">
        <f>VLOOKUP(C305,JUNIO!C304:G660,5,0)</f>
        <v>CIERRE DEFINITIVO</v>
      </c>
      <c r="H305" s="3" t="s">
        <v>46</v>
      </c>
      <c r="I305" s="3" t="s">
        <v>1030</v>
      </c>
      <c r="J305" s="3">
        <v>0</v>
      </c>
      <c r="K305" s="3" t="s">
        <v>97</v>
      </c>
      <c r="L305" s="3" t="s">
        <v>40</v>
      </c>
      <c r="M305" s="3">
        <v>0</v>
      </c>
      <c r="N305" s="3" t="s">
        <v>319</v>
      </c>
      <c r="O305" s="3" t="s">
        <v>42</v>
      </c>
      <c r="P305" s="42" t="s">
        <v>43</v>
      </c>
      <c r="Q305" s="42"/>
      <c r="R305" s="42">
        <v>0</v>
      </c>
      <c r="S305" s="2" t="s">
        <v>43</v>
      </c>
    </row>
    <row r="306" spans="3:19" x14ac:dyDescent="0.25">
      <c r="C306" s="3" t="s">
        <v>321</v>
      </c>
      <c r="D306" s="3" t="s">
        <v>322</v>
      </c>
      <c r="E306" s="3" t="s">
        <v>322</v>
      </c>
      <c r="F306" s="4" t="s">
        <v>36</v>
      </c>
      <c r="G306" s="3" t="str">
        <f>VLOOKUP(C306,JUNIO!C305:G661,5,0)</f>
        <v>CIERRE DEFINITIVO</v>
      </c>
      <c r="H306" s="3" t="s">
        <v>81</v>
      </c>
      <c r="I306" s="3" t="s">
        <v>1030</v>
      </c>
      <c r="J306" s="3" t="s">
        <v>50</v>
      </c>
      <c r="K306" s="3" t="s">
        <v>51</v>
      </c>
      <c r="L306" s="3" t="s">
        <v>40</v>
      </c>
      <c r="M306" s="3">
        <v>0</v>
      </c>
      <c r="N306" s="3" t="s">
        <v>321</v>
      </c>
      <c r="O306" s="3" t="s">
        <v>42</v>
      </c>
      <c r="P306" s="42" t="s">
        <v>43</v>
      </c>
      <c r="Q306" s="42"/>
      <c r="R306" s="42">
        <v>0</v>
      </c>
      <c r="S306" s="2" t="s">
        <v>43</v>
      </c>
    </row>
    <row r="307" spans="3:19" x14ac:dyDescent="0.25">
      <c r="C307" s="3" t="s">
        <v>457</v>
      </c>
      <c r="D307" s="3" t="s">
        <v>458</v>
      </c>
      <c r="E307" s="3" t="s">
        <v>458</v>
      </c>
      <c r="F307" s="4">
        <v>5</v>
      </c>
      <c r="G307" s="3" t="str">
        <f>VLOOKUP(C307,JUNIO!C306:G662,5,0)</f>
        <v>Abierta</v>
      </c>
      <c r="H307" s="3" t="s">
        <v>81</v>
      </c>
      <c r="I307" s="3" t="s">
        <v>1030</v>
      </c>
      <c r="J307" s="3" t="s">
        <v>94</v>
      </c>
      <c r="K307" s="3" t="s">
        <v>205</v>
      </c>
      <c r="L307" s="3" t="s">
        <v>40</v>
      </c>
      <c r="M307" s="3" t="s">
        <v>1035</v>
      </c>
      <c r="N307" s="3" t="s">
        <v>457</v>
      </c>
      <c r="O307" s="3" t="s">
        <v>42</v>
      </c>
      <c r="P307" s="42" t="s">
        <v>43</v>
      </c>
      <c r="Q307" s="42">
        <f>VLOOKUP(C307,[2]Export!$C$1:$J$1226,8,0)</f>
        <v>45462465</v>
      </c>
      <c r="R307" s="42" t="s">
        <v>423</v>
      </c>
      <c r="S307" s="2" t="s">
        <v>440</v>
      </c>
    </row>
    <row r="308" spans="3:19" x14ac:dyDescent="0.25">
      <c r="C308" s="3" t="s">
        <v>323</v>
      </c>
      <c r="D308" s="3" t="s">
        <v>324</v>
      </c>
      <c r="E308" s="3" t="s">
        <v>324</v>
      </c>
      <c r="F308" s="4" t="s">
        <v>36</v>
      </c>
      <c r="G308" s="3" t="str">
        <f>VLOOKUP(C308,JUNIO!C307:G663,5,0)</f>
        <v>CIERRE DEFINITIVO</v>
      </c>
      <c r="H308" s="3" t="s">
        <v>46</v>
      </c>
      <c r="I308" s="3" t="s">
        <v>1030</v>
      </c>
      <c r="J308" s="3" t="s">
        <v>58</v>
      </c>
      <c r="K308" s="3" t="s">
        <v>138</v>
      </c>
      <c r="L308" s="3" t="s">
        <v>40</v>
      </c>
      <c r="M308" s="3">
        <v>0</v>
      </c>
      <c r="N308" s="3" t="s">
        <v>323</v>
      </c>
      <c r="O308" s="3" t="s">
        <v>42</v>
      </c>
      <c r="P308" s="42" t="s">
        <v>43</v>
      </c>
      <c r="Q308" s="42"/>
      <c r="R308" s="42">
        <v>0</v>
      </c>
      <c r="S308" s="2" t="s">
        <v>43</v>
      </c>
    </row>
    <row r="309" spans="3:19" x14ac:dyDescent="0.25">
      <c r="C309" s="3" t="s">
        <v>325</v>
      </c>
      <c r="D309" s="3" t="s">
        <v>326</v>
      </c>
      <c r="E309" s="3" t="s">
        <v>326</v>
      </c>
      <c r="F309" s="4" t="s">
        <v>36</v>
      </c>
      <c r="G309" s="3" t="str">
        <f>VLOOKUP(C309,JUNIO!C308:G664,5,0)</f>
        <v>CIERRE DEFINITIVO</v>
      </c>
      <c r="H309" s="3" t="s">
        <v>46</v>
      </c>
      <c r="I309" s="3" t="s">
        <v>1030</v>
      </c>
      <c r="J309" s="3" t="s">
        <v>67</v>
      </c>
      <c r="K309" s="3" t="s">
        <v>59</v>
      </c>
      <c r="L309" s="3" t="s">
        <v>40</v>
      </c>
      <c r="M309" s="3">
        <v>0</v>
      </c>
      <c r="N309" s="3" t="s">
        <v>325</v>
      </c>
      <c r="O309" s="3" t="s">
        <v>42</v>
      </c>
      <c r="P309" s="42" t="s">
        <v>43</v>
      </c>
      <c r="Q309" s="42"/>
      <c r="R309" s="42">
        <v>0</v>
      </c>
      <c r="S309" s="2" t="s">
        <v>43</v>
      </c>
    </row>
    <row r="310" spans="3:19" x14ac:dyDescent="0.25">
      <c r="C310" s="3" t="s">
        <v>459</v>
      </c>
      <c r="D310" s="3" t="s">
        <v>460</v>
      </c>
      <c r="E310" s="3" t="s">
        <v>460</v>
      </c>
      <c r="F310" s="4">
        <v>5</v>
      </c>
      <c r="G310" s="3" t="str">
        <f>VLOOKUP(C310,JUNIO!C309:G665,5,0)</f>
        <v>Abierta</v>
      </c>
      <c r="H310" s="3" t="s">
        <v>46</v>
      </c>
      <c r="I310" s="3" t="s">
        <v>1030</v>
      </c>
      <c r="J310" s="3" t="s">
        <v>94</v>
      </c>
      <c r="K310" s="3" t="s">
        <v>64</v>
      </c>
      <c r="L310" s="3" t="s">
        <v>40</v>
      </c>
      <c r="M310" s="3" t="s">
        <v>1035</v>
      </c>
      <c r="N310" s="3" t="s">
        <v>459</v>
      </c>
      <c r="O310" s="3" t="s">
        <v>42</v>
      </c>
      <c r="P310" s="42" t="s">
        <v>43</v>
      </c>
      <c r="Q310" s="42">
        <f>VLOOKUP(C310,[2]Export!$C$1:$J$1226,8,0)</f>
        <v>40392046</v>
      </c>
      <c r="R310" s="42" t="s">
        <v>423</v>
      </c>
      <c r="S310" s="2" t="s">
        <v>43</v>
      </c>
    </row>
    <row r="311" spans="3:19" x14ac:dyDescent="0.25">
      <c r="C311" s="3" t="s">
        <v>919</v>
      </c>
      <c r="D311" s="3" t="s">
        <v>920</v>
      </c>
      <c r="E311" s="3" t="s">
        <v>920</v>
      </c>
      <c r="F311" s="4">
        <v>5</v>
      </c>
      <c r="G311" s="3" t="str">
        <f>VLOOKUP(C311,JUNIO!C310:G666,5,0)</f>
        <v>Abierta</v>
      </c>
      <c r="H311" s="3" t="s">
        <v>81</v>
      </c>
      <c r="I311" s="3" t="s">
        <v>1030</v>
      </c>
      <c r="J311" s="3" t="s">
        <v>73</v>
      </c>
      <c r="K311" s="3" t="s">
        <v>315</v>
      </c>
      <c r="L311" s="3" t="s">
        <v>40</v>
      </c>
      <c r="M311" s="3" t="s">
        <v>514</v>
      </c>
      <c r="N311" s="3" t="s">
        <v>919</v>
      </c>
      <c r="O311" s="3" t="s">
        <v>42</v>
      </c>
      <c r="P311" s="42" t="s">
        <v>43</v>
      </c>
      <c r="Q311" s="42">
        <f>VLOOKUP(C311,[2]Export!$C$1:$J$1226,8,0)</f>
        <v>28711204</v>
      </c>
      <c r="R311" s="42" t="s">
        <v>886</v>
      </c>
      <c r="S311" s="2" t="s">
        <v>43</v>
      </c>
    </row>
    <row r="312" spans="3:19" x14ac:dyDescent="0.25">
      <c r="C312" s="3" t="s">
        <v>610</v>
      </c>
      <c r="D312" s="3" t="s">
        <v>611</v>
      </c>
      <c r="E312" s="3" t="s">
        <v>611</v>
      </c>
      <c r="F312" s="4">
        <v>5</v>
      </c>
      <c r="G312" s="3" t="str">
        <f>VLOOKUP(C312,JUNIO!C311:G667,5,0)</f>
        <v>Abierta</v>
      </c>
      <c r="H312" s="3" t="s">
        <v>81</v>
      </c>
      <c r="I312" s="3" t="s">
        <v>1030</v>
      </c>
      <c r="J312" s="3" t="s">
        <v>50</v>
      </c>
      <c r="K312" s="3" t="s">
        <v>59</v>
      </c>
      <c r="L312" s="3" t="s">
        <v>40</v>
      </c>
      <c r="M312" s="3" t="s">
        <v>514</v>
      </c>
      <c r="N312" s="3" t="s">
        <v>610</v>
      </c>
      <c r="O312" s="3" t="s">
        <v>42</v>
      </c>
      <c r="P312" s="42" t="s">
        <v>43</v>
      </c>
      <c r="Q312" s="42">
        <f>VLOOKUP(C312,[2]Export!$C$1:$J$1226,8,0)</f>
        <v>33709885</v>
      </c>
      <c r="R312" s="42" t="s">
        <v>597</v>
      </c>
      <c r="S312" s="2" t="s">
        <v>440</v>
      </c>
    </row>
    <row r="313" spans="3:19" x14ac:dyDescent="0.25">
      <c r="C313" s="3" t="s">
        <v>461</v>
      </c>
      <c r="D313" s="3" t="s">
        <v>462</v>
      </c>
      <c r="E313" s="3" t="s">
        <v>462</v>
      </c>
      <c r="F313" s="4">
        <v>5</v>
      </c>
      <c r="G313" s="3" t="str">
        <f>VLOOKUP(C313,JUNIO!C312:G668,5,0)</f>
        <v>Abierta</v>
      </c>
      <c r="H313" s="3" t="s">
        <v>46</v>
      </c>
      <c r="I313" s="3" t="s">
        <v>1030</v>
      </c>
      <c r="J313" s="3" t="s">
        <v>94</v>
      </c>
      <c r="K313" s="3" t="s">
        <v>64</v>
      </c>
      <c r="L313" s="3" t="s">
        <v>40</v>
      </c>
      <c r="M313" s="3" t="s">
        <v>1035</v>
      </c>
      <c r="N313" s="3" t="s">
        <v>461</v>
      </c>
      <c r="O313" s="3" t="s">
        <v>42</v>
      </c>
      <c r="P313" s="42" t="s">
        <v>440</v>
      </c>
      <c r="Q313" s="42">
        <f>VLOOKUP(C313,[2]Export!$C$1:$J$1226,8,0)</f>
        <v>30476806</v>
      </c>
      <c r="R313" s="42" t="s">
        <v>423</v>
      </c>
      <c r="S313" s="2" t="s">
        <v>43</v>
      </c>
    </row>
    <row r="314" spans="3:19" x14ac:dyDescent="0.25">
      <c r="C314" s="3" t="s">
        <v>639</v>
      </c>
      <c r="D314" s="3" t="s">
        <v>640</v>
      </c>
      <c r="E314" s="3" t="s">
        <v>641</v>
      </c>
      <c r="F314" s="4">
        <v>5</v>
      </c>
      <c r="G314" s="3" t="str">
        <f>VLOOKUP(C314,JUNIO!C313:G669,5,0)</f>
        <v>Abierta</v>
      </c>
      <c r="H314" s="3" t="s">
        <v>81</v>
      </c>
      <c r="I314" s="3" t="s">
        <v>1030</v>
      </c>
      <c r="J314" s="3" t="s">
        <v>50</v>
      </c>
      <c r="K314" s="3" t="s">
        <v>64</v>
      </c>
      <c r="L314" s="3" t="s">
        <v>40</v>
      </c>
      <c r="M314" s="3" t="s">
        <v>514</v>
      </c>
      <c r="N314" s="3" t="s">
        <v>639</v>
      </c>
      <c r="O314" s="3" t="s">
        <v>42</v>
      </c>
      <c r="P314" s="42" t="s">
        <v>43</v>
      </c>
      <c r="Q314" s="42">
        <f>VLOOKUP(C314,[2]Export!$C$1:$J$1226,8,0)</f>
        <v>51283513</v>
      </c>
      <c r="R314" s="42" t="s">
        <v>597</v>
      </c>
      <c r="S314" s="2" t="s">
        <v>440</v>
      </c>
    </row>
    <row r="315" spans="3:19" x14ac:dyDescent="0.25">
      <c r="C315" s="3" t="s">
        <v>327</v>
      </c>
      <c r="D315" s="3" t="s">
        <v>328</v>
      </c>
      <c r="E315" s="3" t="s">
        <v>328</v>
      </c>
      <c r="F315" s="4" t="s">
        <v>36</v>
      </c>
      <c r="G315" s="3" t="str">
        <f>VLOOKUP(C315,JUNIO!C314:G670,5,0)</f>
        <v>CIERRE DEFINITIVO</v>
      </c>
      <c r="H315" s="3" t="s">
        <v>81</v>
      </c>
      <c r="I315" s="3" t="s">
        <v>1030</v>
      </c>
      <c r="J315" s="3" t="s">
        <v>63</v>
      </c>
      <c r="K315" s="3" t="s">
        <v>138</v>
      </c>
      <c r="L315" s="3" t="s">
        <v>40</v>
      </c>
      <c r="M315" s="3">
        <v>0</v>
      </c>
      <c r="N315" s="3" t="s">
        <v>327</v>
      </c>
      <c r="O315" s="3" t="s">
        <v>42</v>
      </c>
      <c r="P315" s="42" t="s">
        <v>43</v>
      </c>
      <c r="Q315" s="42"/>
      <c r="R315" s="42">
        <v>0</v>
      </c>
      <c r="S315" s="2" t="s">
        <v>43</v>
      </c>
    </row>
    <row r="316" spans="3:19" x14ac:dyDescent="0.25">
      <c r="C316" s="3" t="s">
        <v>329</v>
      </c>
      <c r="D316" s="3" t="s">
        <v>330</v>
      </c>
      <c r="E316" s="3" t="s">
        <v>330</v>
      </c>
      <c r="F316" s="4" t="s">
        <v>36</v>
      </c>
      <c r="G316" s="3" t="str">
        <f>VLOOKUP(C316,JUNIO!C315:G671,5,0)</f>
        <v>CIERRE DEFINITIVO</v>
      </c>
      <c r="H316" s="3" t="s">
        <v>46</v>
      </c>
      <c r="I316" s="3" t="s">
        <v>1030</v>
      </c>
      <c r="J316" s="3" t="s">
        <v>331</v>
      </c>
      <c r="K316" s="3" t="s">
        <v>138</v>
      </c>
      <c r="L316" s="3" t="s">
        <v>40</v>
      </c>
      <c r="M316" s="3">
        <v>0</v>
      </c>
      <c r="N316" s="3" t="s">
        <v>329</v>
      </c>
      <c r="O316" s="3" t="s">
        <v>42</v>
      </c>
      <c r="P316" s="42" t="s">
        <v>43</v>
      </c>
      <c r="Q316" s="42"/>
      <c r="R316" s="42">
        <v>0</v>
      </c>
      <c r="S316" s="2" t="s">
        <v>43</v>
      </c>
    </row>
    <row r="317" spans="3:19" x14ac:dyDescent="0.25">
      <c r="C317" s="3" t="s">
        <v>332</v>
      </c>
      <c r="D317" s="3" t="s">
        <v>333</v>
      </c>
      <c r="E317" s="3" t="s">
        <v>333</v>
      </c>
      <c r="F317" s="4" t="s">
        <v>36</v>
      </c>
      <c r="G317" s="3" t="str">
        <f>VLOOKUP(C317,JUNIO!C316:G672,5,0)</f>
        <v>CIERRE DEFINITIVO</v>
      </c>
      <c r="H317" s="3" t="s">
        <v>81</v>
      </c>
      <c r="I317" s="3" t="s">
        <v>1030</v>
      </c>
      <c r="J317" s="3">
        <v>0</v>
      </c>
      <c r="K317" s="3" t="s">
        <v>59</v>
      </c>
      <c r="L317" s="3" t="s">
        <v>40</v>
      </c>
      <c r="M317" s="3">
        <v>0</v>
      </c>
      <c r="N317" s="3" t="s">
        <v>332</v>
      </c>
      <c r="O317" s="3" t="s">
        <v>42</v>
      </c>
      <c r="P317" s="42" t="s">
        <v>43</v>
      </c>
      <c r="Q317" s="42"/>
      <c r="R317" s="42">
        <v>0</v>
      </c>
      <c r="S317" s="2" t="s">
        <v>43</v>
      </c>
    </row>
    <row r="318" spans="3:19" x14ac:dyDescent="0.25">
      <c r="C318" s="3" t="s">
        <v>334</v>
      </c>
      <c r="D318" s="3" t="s">
        <v>335</v>
      </c>
      <c r="E318" s="3" t="s">
        <v>336</v>
      </c>
      <c r="F318" s="4" t="s">
        <v>36</v>
      </c>
      <c r="G318" s="3" t="str">
        <f>VLOOKUP(C318,JUNIO!C317:G673,5,0)</f>
        <v>CIERRE DEFINITIVO</v>
      </c>
      <c r="H318" s="3" t="s">
        <v>46</v>
      </c>
      <c r="I318" s="3" t="s">
        <v>1030</v>
      </c>
      <c r="J318" s="3">
        <v>0</v>
      </c>
      <c r="K318" s="3" t="s">
        <v>47</v>
      </c>
      <c r="L318" s="3" t="s">
        <v>40</v>
      </c>
      <c r="M318" s="3">
        <v>0</v>
      </c>
      <c r="N318" s="3" t="s">
        <v>334</v>
      </c>
      <c r="O318" s="3" t="s">
        <v>42</v>
      </c>
      <c r="P318" s="42" t="s">
        <v>43</v>
      </c>
      <c r="Q318" s="42"/>
      <c r="R318" s="42">
        <v>0</v>
      </c>
      <c r="S318" s="2" t="s">
        <v>43</v>
      </c>
    </row>
    <row r="319" spans="3:19" x14ac:dyDescent="0.25">
      <c r="C319" s="3" t="s">
        <v>507</v>
      </c>
      <c r="D319" s="3" t="s">
        <v>508</v>
      </c>
      <c r="E319" s="3" t="s">
        <v>508</v>
      </c>
      <c r="F319" s="4">
        <v>5</v>
      </c>
      <c r="G319" s="3" t="str">
        <f>VLOOKUP(C319,JUNIO!C318:G674,5,0)</f>
        <v>Abierta</v>
      </c>
      <c r="H319" s="3" t="s">
        <v>46</v>
      </c>
      <c r="I319" s="3" t="s">
        <v>1030</v>
      </c>
      <c r="J319" s="3" t="s">
        <v>466</v>
      </c>
      <c r="K319" s="3" t="s">
        <v>51</v>
      </c>
      <c r="L319" s="3" t="s">
        <v>40</v>
      </c>
      <c r="M319" s="3" t="s">
        <v>1035</v>
      </c>
      <c r="N319" s="3" t="s">
        <v>507</v>
      </c>
      <c r="O319" s="3" t="s">
        <v>42</v>
      </c>
      <c r="P319" s="42" t="s">
        <v>43</v>
      </c>
      <c r="Q319" s="42">
        <f>VLOOKUP(C319,[2]Export!$C$1:$J$1226,8,0)</f>
        <v>23161281</v>
      </c>
      <c r="R319" s="42" t="s">
        <v>467</v>
      </c>
      <c r="S319" s="2" t="s">
        <v>43</v>
      </c>
    </row>
    <row r="320" spans="3:19" x14ac:dyDescent="0.25">
      <c r="C320" s="3" t="s">
        <v>417</v>
      </c>
      <c r="D320" s="3" t="s">
        <v>418</v>
      </c>
      <c r="E320" s="3" t="s">
        <v>418</v>
      </c>
      <c r="F320" s="4">
        <v>5</v>
      </c>
      <c r="G320" s="3" t="str">
        <f>VLOOKUP(C320,JUNIO!C319:G675,5,0)</f>
        <v>Abierta</v>
      </c>
      <c r="H320" s="3" t="s">
        <v>46</v>
      </c>
      <c r="I320" s="3" t="s">
        <v>1031</v>
      </c>
      <c r="J320" s="3" t="s">
        <v>63</v>
      </c>
      <c r="K320" s="3" t="s">
        <v>138</v>
      </c>
      <c r="L320" s="3" t="s">
        <v>40</v>
      </c>
      <c r="M320" s="3" t="s">
        <v>378</v>
      </c>
      <c r="N320" s="3" t="s">
        <v>417</v>
      </c>
      <c r="O320" s="3" t="s">
        <v>42</v>
      </c>
      <c r="P320" s="42" t="s">
        <v>43</v>
      </c>
      <c r="Q320" s="42">
        <f>VLOOKUP(C320,[2]Export!$C$1:$J$1226,8,0)</f>
        <v>25435098</v>
      </c>
      <c r="R320" s="42" t="s">
        <v>380</v>
      </c>
      <c r="S320" s="2" t="s">
        <v>43</v>
      </c>
    </row>
    <row r="321" spans="3:19" x14ac:dyDescent="0.25">
      <c r="C321" s="3" t="s">
        <v>337</v>
      </c>
      <c r="D321" s="3" t="s">
        <v>338</v>
      </c>
      <c r="E321" s="3" t="s">
        <v>338</v>
      </c>
      <c r="F321" s="4" t="s">
        <v>36</v>
      </c>
      <c r="G321" s="3" t="str">
        <f>VLOOKUP(C321,JUNIO!C320:G676,5,0)</f>
        <v>CIERRE DEFINITIVO</v>
      </c>
      <c r="H321" s="3" t="s">
        <v>81</v>
      </c>
      <c r="I321" s="3" t="s">
        <v>1030</v>
      </c>
      <c r="J321" s="3" t="s">
        <v>89</v>
      </c>
      <c r="K321" s="3" t="s">
        <v>109</v>
      </c>
      <c r="L321" s="3" t="s">
        <v>91</v>
      </c>
      <c r="M321" s="3">
        <v>0</v>
      </c>
      <c r="N321" s="3" t="s">
        <v>337</v>
      </c>
      <c r="O321" s="3" t="s">
        <v>42</v>
      </c>
      <c r="P321" s="42" t="s">
        <v>43</v>
      </c>
      <c r="Q321" s="42"/>
      <c r="R321" s="42">
        <v>0</v>
      </c>
      <c r="S321" s="2" t="s">
        <v>43</v>
      </c>
    </row>
    <row r="322" spans="3:19" x14ac:dyDescent="0.25">
      <c r="C322" s="3" t="s">
        <v>339</v>
      </c>
      <c r="D322" s="3" t="s">
        <v>340</v>
      </c>
      <c r="E322" s="3" t="s">
        <v>341</v>
      </c>
      <c r="F322" s="4" t="s">
        <v>36</v>
      </c>
      <c r="G322" s="3" t="str">
        <f>VLOOKUP(C322,JUNIO!C321:G677,5,0)</f>
        <v>CIERRE DEFINITIVO</v>
      </c>
      <c r="H322" s="3" t="s">
        <v>46</v>
      </c>
      <c r="I322" s="3" t="s">
        <v>1030</v>
      </c>
      <c r="J322" s="3">
        <v>0</v>
      </c>
      <c r="K322" s="3" t="s">
        <v>47</v>
      </c>
      <c r="L322" s="3" t="s">
        <v>40</v>
      </c>
      <c r="M322" s="3">
        <v>0</v>
      </c>
      <c r="N322" s="3" t="s">
        <v>339</v>
      </c>
      <c r="O322" s="3" t="s">
        <v>42</v>
      </c>
      <c r="P322" s="42" t="s">
        <v>43</v>
      </c>
      <c r="Q322" s="42"/>
      <c r="R322" s="42">
        <v>0</v>
      </c>
      <c r="S322" s="2" t="s">
        <v>43</v>
      </c>
    </row>
    <row r="323" spans="3:19" x14ac:dyDescent="0.25">
      <c r="C323" s="3" t="s">
        <v>825</v>
      </c>
      <c r="D323" s="3" t="s">
        <v>826</v>
      </c>
      <c r="E323" s="3" t="s">
        <v>827</v>
      </c>
      <c r="F323" s="4">
        <v>5</v>
      </c>
      <c r="G323" s="3" t="str">
        <f>VLOOKUP(C323,JUNIO!C322:G678,5,0)</f>
        <v>Abierta</v>
      </c>
      <c r="H323" s="3" t="s">
        <v>81</v>
      </c>
      <c r="I323" s="3" t="s">
        <v>1030</v>
      </c>
      <c r="J323" s="3" t="s">
        <v>146</v>
      </c>
      <c r="K323" s="3" t="s">
        <v>59</v>
      </c>
      <c r="L323" s="3" t="s">
        <v>40</v>
      </c>
      <c r="M323" s="3" t="s">
        <v>1035</v>
      </c>
      <c r="N323" s="3" t="s">
        <v>825</v>
      </c>
      <c r="O323" s="3" t="s">
        <v>42</v>
      </c>
      <c r="P323" s="42" t="s">
        <v>43</v>
      </c>
      <c r="Q323" s="42">
        <f>VLOOKUP(C323,[2]Export!$C$1:$J$1226,8,0)</f>
        <v>45821947</v>
      </c>
      <c r="R323" s="42" t="s">
        <v>799</v>
      </c>
      <c r="S323" s="2" t="s">
        <v>440</v>
      </c>
    </row>
    <row r="324" spans="3:19" x14ac:dyDescent="0.25">
      <c r="C324" s="3" t="s">
        <v>828</v>
      </c>
      <c r="D324" s="3" t="s">
        <v>829</v>
      </c>
      <c r="E324" s="3" t="s">
        <v>829</v>
      </c>
      <c r="F324" s="4">
        <v>5.68</v>
      </c>
      <c r="G324" s="3" t="str">
        <f>VLOOKUP(C324,JUNIO!C323:G679,5,0)</f>
        <v>Abierta</v>
      </c>
      <c r="H324" s="3" t="s">
        <v>46</v>
      </c>
      <c r="I324" s="3" t="s">
        <v>1030</v>
      </c>
      <c r="J324" s="3" t="s">
        <v>146</v>
      </c>
      <c r="K324" s="3" t="s">
        <v>59</v>
      </c>
      <c r="L324" s="3" t="s">
        <v>40</v>
      </c>
      <c r="M324" s="3" t="s">
        <v>1035</v>
      </c>
      <c r="N324" s="3" t="s">
        <v>828</v>
      </c>
      <c r="O324" s="3" t="s">
        <v>42</v>
      </c>
      <c r="P324" s="42" t="s">
        <v>43</v>
      </c>
      <c r="Q324" s="42">
        <f>VLOOKUP(C324,[2]Export!$C$1:$J$1226,8,0)</f>
        <v>52104159</v>
      </c>
      <c r="R324" s="42" t="s">
        <v>799</v>
      </c>
      <c r="S324" s="2" t="s">
        <v>43</v>
      </c>
    </row>
    <row r="325" spans="3:19" x14ac:dyDescent="0.25">
      <c r="C325" s="3" t="s">
        <v>342</v>
      </c>
      <c r="D325" s="3" t="s">
        <v>343</v>
      </c>
      <c r="E325" s="3" t="s">
        <v>343</v>
      </c>
      <c r="F325" s="4" t="s">
        <v>36</v>
      </c>
      <c r="G325" s="3" t="str">
        <f>VLOOKUP(C325,JUNIO!C324:G680,5,0)</f>
        <v>CIERRE DEFINITIVO</v>
      </c>
      <c r="H325" s="3" t="s">
        <v>81</v>
      </c>
      <c r="I325" s="3" t="s">
        <v>1030</v>
      </c>
      <c r="J325" s="3" t="s">
        <v>132</v>
      </c>
      <c r="K325" s="3" t="s">
        <v>51</v>
      </c>
      <c r="L325" s="3" t="s">
        <v>40</v>
      </c>
      <c r="M325" s="3">
        <v>0</v>
      </c>
      <c r="N325" s="3" t="s">
        <v>342</v>
      </c>
      <c r="O325" s="3" t="s">
        <v>42</v>
      </c>
      <c r="P325" s="42" t="s">
        <v>43</v>
      </c>
      <c r="Q325" s="42"/>
      <c r="R325" s="42">
        <v>0</v>
      </c>
      <c r="S325" s="2" t="s">
        <v>43</v>
      </c>
    </row>
    <row r="326" spans="3:19" x14ac:dyDescent="0.25">
      <c r="C326" s="3" t="s">
        <v>830</v>
      </c>
      <c r="D326" s="3" t="s">
        <v>831</v>
      </c>
      <c r="E326" s="3" t="s">
        <v>832</v>
      </c>
      <c r="F326" s="4">
        <v>5</v>
      </c>
      <c r="G326" s="3" t="str">
        <f>VLOOKUP(C326,JUNIO!C325:G681,5,0)</f>
        <v>Abierta</v>
      </c>
      <c r="H326" s="3" t="s">
        <v>46</v>
      </c>
      <c r="I326" s="3" t="s">
        <v>1030</v>
      </c>
      <c r="J326" s="3" t="s">
        <v>146</v>
      </c>
      <c r="K326" s="3" t="s">
        <v>59</v>
      </c>
      <c r="L326" s="3" t="s">
        <v>40</v>
      </c>
      <c r="M326" s="3" t="s">
        <v>1035</v>
      </c>
      <c r="N326" s="3" t="s">
        <v>830</v>
      </c>
      <c r="O326" s="3" t="s">
        <v>42</v>
      </c>
      <c r="P326" s="42" t="s">
        <v>43</v>
      </c>
      <c r="Q326" s="42">
        <f>VLOOKUP(C326,[2]Export!$C$1:$J$1226,8,0)</f>
        <v>28455418</v>
      </c>
      <c r="R326" s="42" t="s">
        <v>799</v>
      </c>
      <c r="S326" s="2" t="s">
        <v>43</v>
      </c>
    </row>
    <row r="327" spans="3:19" x14ac:dyDescent="0.25">
      <c r="C327" s="3" t="s">
        <v>921</v>
      </c>
      <c r="D327" s="3" t="s">
        <v>922</v>
      </c>
      <c r="E327" s="3" t="s">
        <v>911</v>
      </c>
      <c r="F327" s="4">
        <v>5</v>
      </c>
      <c r="G327" s="3" t="str">
        <f>VLOOKUP(C327,JUNIO!C326:G682,5,0)</f>
        <v>Abierta</v>
      </c>
      <c r="H327" s="3" t="s">
        <v>81</v>
      </c>
      <c r="I327" s="3" t="s">
        <v>1030</v>
      </c>
      <c r="J327" s="3" t="s">
        <v>73</v>
      </c>
      <c r="K327" s="3" t="s">
        <v>911</v>
      </c>
      <c r="L327" s="3" t="s">
        <v>40</v>
      </c>
      <c r="M327" s="3" t="s">
        <v>514</v>
      </c>
      <c r="N327" s="3" t="s">
        <v>921</v>
      </c>
      <c r="O327" s="3" t="s">
        <v>42</v>
      </c>
      <c r="P327" s="42" t="s">
        <v>43</v>
      </c>
      <c r="Q327" s="42">
        <f>VLOOKUP(C327,[2]Export!$C$1:$J$1226,8,0)</f>
        <v>27514793</v>
      </c>
      <c r="R327" s="42" t="s">
        <v>886</v>
      </c>
      <c r="S327" s="2" t="s">
        <v>43</v>
      </c>
    </row>
    <row r="328" spans="3:19" x14ac:dyDescent="0.25">
      <c r="C328" s="3" t="s">
        <v>970</v>
      </c>
      <c r="D328" s="3" t="s">
        <v>971</v>
      </c>
      <c r="E328" s="3" t="s">
        <v>972</v>
      </c>
      <c r="F328" s="4">
        <v>5</v>
      </c>
      <c r="G328" s="3" t="str">
        <f>VLOOKUP(C328,JUNIO!C327:G683,5,0)</f>
        <v>Abierta</v>
      </c>
      <c r="H328" s="3" t="s">
        <v>81</v>
      </c>
      <c r="I328" s="3" t="s">
        <v>1030</v>
      </c>
      <c r="J328" s="3" t="s">
        <v>160</v>
      </c>
      <c r="K328" s="3" t="s">
        <v>353</v>
      </c>
      <c r="L328" s="3" t="s">
        <v>40</v>
      </c>
      <c r="M328" s="3" t="s">
        <v>984</v>
      </c>
      <c r="N328" s="3" t="s">
        <v>970</v>
      </c>
      <c r="O328" s="3" t="s">
        <v>42</v>
      </c>
      <c r="P328" s="42" t="s">
        <v>43</v>
      </c>
      <c r="Q328" s="42">
        <f>VLOOKUP(C328,[2]Export!$C$1:$J$1226,8,0)</f>
        <v>30074563</v>
      </c>
      <c r="R328" s="42" t="s">
        <v>931</v>
      </c>
      <c r="S328" s="2" t="s">
        <v>43</v>
      </c>
    </row>
    <row r="329" spans="3:19" x14ac:dyDescent="0.25">
      <c r="C329" s="3" t="s">
        <v>344</v>
      </c>
      <c r="D329" s="3" t="s">
        <v>345</v>
      </c>
      <c r="E329" s="3" t="s">
        <v>345</v>
      </c>
      <c r="F329" s="4" t="s">
        <v>36</v>
      </c>
      <c r="G329" s="3" t="str">
        <f>VLOOKUP(C329,JUNIO!C328:G684,5,0)</f>
        <v>CIERRE DEFINITIVO</v>
      </c>
      <c r="H329" s="3" t="s">
        <v>88</v>
      </c>
      <c r="I329" s="3" t="s">
        <v>1030</v>
      </c>
      <c r="J329" s="3">
        <v>0</v>
      </c>
      <c r="K329" s="3" t="s">
        <v>346</v>
      </c>
      <c r="L329" s="3" t="s">
        <v>40</v>
      </c>
      <c r="M329" s="3">
        <v>0</v>
      </c>
      <c r="N329" s="3" t="s">
        <v>344</v>
      </c>
      <c r="O329" s="3" t="s">
        <v>42</v>
      </c>
      <c r="P329" s="42" t="s">
        <v>43</v>
      </c>
      <c r="Q329" s="42"/>
      <c r="R329" s="42">
        <v>0</v>
      </c>
      <c r="S329" s="2" t="s">
        <v>43</v>
      </c>
    </row>
    <row r="330" spans="3:19" x14ac:dyDescent="0.25">
      <c r="C330" s="3" t="s">
        <v>879</v>
      </c>
      <c r="D330" s="3" t="s">
        <v>880</v>
      </c>
      <c r="E330" s="3" t="s">
        <v>880</v>
      </c>
      <c r="F330" s="4">
        <v>5</v>
      </c>
      <c r="G330" s="3" t="str">
        <f>VLOOKUP(C330,JUNIO!C329:G685,5,0)</f>
        <v>Abierta</v>
      </c>
      <c r="H330" s="3" t="s">
        <v>46</v>
      </c>
      <c r="I330" s="3" t="s">
        <v>1030</v>
      </c>
      <c r="J330" s="3" t="s">
        <v>132</v>
      </c>
      <c r="K330" s="3" t="s">
        <v>138</v>
      </c>
      <c r="L330" s="3" t="s">
        <v>40</v>
      </c>
      <c r="M330" s="3" t="s">
        <v>1035</v>
      </c>
      <c r="N330" s="3" t="s">
        <v>879</v>
      </c>
      <c r="O330" s="3" t="s">
        <v>42</v>
      </c>
      <c r="P330" s="42" t="s">
        <v>43</v>
      </c>
      <c r="Q330" s="42">
        <f>VLOOKUP(C330,[2]Export!$C$1:$J$1226,8,0)</f>
        <v>37452775</v>
      </c>
      <c r="R330" s="42" t="s">
        <v>847</v>
      </c>
      <c r="S330" s="2" t="s">
        <v>43</v>
      </c>
    </row>
    <row r="331" spans="3:19" x14ac:dyDescent="0.25">
      <c r="C331" s="3" t="s">
        <v>553</v>
      </c>
      <c r="D331" s="3" t="s">
        <v>554</v>
      </c>
      <c r="E331" s="3" t="s">
        <v>554</v>
      </c>
      <c r="F331" s="4">
        <v>5</v>
      </c>
      <c r="G331" s="3" t="str">
        <f>VLOOKUP(C331,JUNIO!C330:G686,5,0)</f>
        <v>Abierta</v>
      </c>
      <c r="H331" s="3" t="s">
        <v>46</v>
      </c>
      <c r="I331" s="3" t="s">
        <v>1030</v>
      </c>
      <c r="J331" s="3" t="s">
        <v>100</v>
      </c>
      <c r="K331" s="3" t="s">
        <v>138</v>
      </c>
      <c r="L331" s="3" t="s">
        <v>40</v>
      </c>
      <c r="M331" s="3" t="s">
        <v>514</v>
      </c>
      <c r="N331" s="3" t="s">
        <v>553</v>
      </c>
      <c r="O331" s="3" t="s">
        <v>42</v>
      </c>
      <c r="P331" s="42" t="s">
        <v>43</v>
      </c>
      <c r="Q331" s="42">
        <f>VLOOKUP(C331,[2]Export!$C$1:$J$1226,8,0)</f>
        <v>27261422</v>
      </c>
      <c r="R331" s="42" t="s">
        <v>515</v>
      </c>
      <c r="S331" s="2" t="s">
        <v>43</v>
      </c>
    </row>
    <row r="332" spans="3:19" x14ac:dyDescent="0.25">
      <c r="C332" s="3" t="s">
        <v>923</v>
      </c>
      <c r="D332" s="3" t="s">
        <v>924</v>
      </c>
      <c r="E332" s="3" t="s">
        <v>924</v>
      </c>
      <c r="F332" s="4">
        <v>5</v>
      </c>
      <c r="G332" s="3" t="str">
        <f>VLOOKUP(C332,JUNIO!C331:G687,5,0)</f>
        <v>Abierta</v>
      </c>
      <c r="H332" s="3" t="s">
        <v>46</v>
      </c>
      <c r="I332" s="3" t="s">
        <v>1030</v>
      </c>
      <c r="J332" s="3" t="s">
        <v>73</v>
      </c>
      <c r="K332" s="3" t="s">
        <v>133</v>
      </c>
      <c r="L332" s="3" t="s">
        <v>40</v>
      </c>
      <c r="M332" s="3" t="s">
        <v>514</v>
      </c>
      <c r="N332" s="3" t="s">
        <v>923</v>
      </c>
      <c r="O332" s="3" t="s">
        <v>42</v>
      </c>
      <c r="P332" s="42" t="s">
        <v>43</v>
      </c>
      <c r="Q332" s="42">
        <f>VLOOKUP(C332,[2]Export!$C$1:$J$1226,8,0)</f>
        <v>40514167</v>
      </c>
      <c r="R332" s="42" t="s">
        <v>886</v>
      </c>
      <c r="S332" s="2" t="s">
        <v>43</v>
      </c>
    </row>
    <row r="333" spans="3:19" x14ac:dyDescent="0.25">
      <c r="C333" s="3" t="s">
        <v>761</v>
      </c>
      <c r="D333" s="3" t="s">
        <v>762</v>
      </c>
      <c r="E333" s="3" t="s">
        <v>762</v>
      </c>
      <c r="F333" s="4">
        <v>5</v>
      </c>
      <c r="G333" s="3" t="str">
        <f>VLOOKUP(C333,JUNIO!C332:G688,5,0)</f>
        <v>Abierta</v>
      </c>
      <c r="H333" s="3" t="s">
        <v>46</v>
      </c>
      <c r="I333" s="3" t="s">
        <v>1031</v>
      </c>
      <c r="J333" s="3" t="s">
        <v>84</v>
      </c>
      <c r="K333" s="3" t="s">
        <v>54</v>
      </c>
      <c r="L333" s="3" t="s">
        <v>55</v>
      </c>
      <c r="M333" s="3" t="s">
        <v>378</v>
      </c>
      <c r="N333" s="3" t="s">
        <v>761</v>
      </c>
      <c r="O333" s="3" t="s">
        <v>42</v>
      </c>
      <c r="P333" s="42" t="s">
        <v>440</v>
      </c>
      <c r="Q333" s="42">
        <f>VLOOKUP(C333,[2]Export!$C$1:$J$1226,8,0)</f>
        <v>43954260</v>
      </c>
      <c r="R333" s="42" t="s">
        <v>741</v>
      </c>
      <c r="S333" s="2" t="s">
        <v>43</v>
      </c>
    </row>
    <row r="334" spans="3:19" x14ac:dyDescent="0.25">
      <c r="C334" s="3" t="s">
        <v>509</v>
      </c>
      <c r="D334" s="3" t="s">
        <v>510</v>
      </c>
      <c r="E334" s="3" t="s">
        <v>510</v>
      </c>
      <c r="F334" s="4">
        <v>5</v>
      </c>
      <c r="G334" s="3" t="str">
        <f>VLOOKUP(C334,JUNIO!C333:G689,5,0)</f>
        <v>Abierta</v>
      </c>
      <c r="H334" s="3" t="s">
        <v>46</v>
      </c>
      <c r="I334" s="3" t="s">
        <v>1030</v>
      </c>
      <c r="J334" s="3" t="s">
        <v>466</v>
      </c>
      <c r="K334" s="3" t="s">
        <v>51</v>
      </c>
      <c r="L334" s="3" t="s">
        <v>40</v>
      </c>
      <c r="M334" s="3" t="s">
        <v>1035</v>
      </c>
      <c r="N334" s="3" t="s">
        <v>509</v>
      </c>
      <c r="O334" s="3" t="s">
        <v>42</v>
      </c>
      <c r="P334" s="42" t="s">
        <v>43</v>
      </c>
      <c r="Q334" s="42">
        <f>VLOOKUP(C334,[2]Export!$C$1:$J$1226,8,0)</f>
        <v>38672932</v>
      </c>
      <c r="R334" s="42" t="s">
        <v>467</v>
      </c>
      <c r="S334" s="2" t="s">
        <v>43</v>
      </c>
    </row>
    <row r="335" spans="3:19" x14ac:dyDescent="0.25">
      <c r="C335" s="3" t="s">
        <v>347</v>
      </c>
      <c r="D335" s="3" t="s">
        <v>348</v>
      </c>
      <c r="E335" s="3" t="s">
        <v>348</v>
      </c>
      <c r="F335" s="4" t="s">
        <v>36</v>
      </c>
      <c r="G335" s="3" t="str">
        <f>VLOOKUP(C335,JUNIO!C334:G690,5,0)</f>
        <v>CIERRE DEFINITIVO</v>
      </c>
      <c r="H335" s="3" t="s">
        <v>81</v>
      </c>
      <c r="I335" s="3" t="s">
        <v>1030</v>
      </c>
      <c r="J335" s="3" t="s">
        <v>58</v>
      </c>
      <c r="K335" s="3" t="s">
        <v>59</v>
      </c>
      <c r="L335" s="3" t="s">
        <v>40</v>
      </c>
      <c r="M335" s="3">
        <v>0</v>
      </c>
      <c r="N335" s="3" t="s">
        <v>347</v>
      </c>
      <c r="O335" s="3" t="s">
        <v>42</v>
      </c>
      <c r="P335" s="42" t="s">
        <v>43</v>
      </c>
      <c r="Q335" s="42"/>
      <c r="R335" s="42">
        <v>0</v>
      </c>
      <c r="S335" s="2" t="s">
        <v>43</v>
      </c>
    </row>
    <row r="336" spans="3:19" x14ac:dyDescent="0.25">
      <c r="C336" s="3" t="s">
        <v>973</v>
      </c>
      <c r="D336" s="3" t="s">
        <v>974</v>
      </c>
      <c r="E336" s="3" t="s">
        <v>974</v>
      </c>
      <c r="F336" s="4">
        <v>5</v>
      </c>
      <c r="G336" s="3" t="str">
        <f>VLOOKUP(C336,JUNIO!C335:G691,5,0)</f>
        <v>Abierta</v>
      </c>
      <c r="H336" s="3" t="s">
        <v>46</v>
      </c>
      <c r="I336" s="3" t="s">
        <v>1030</v>
      </c>
      <c r="J336" s="3" t="s">
        <v>160</v>
      </c>
      <c r="K336" s="3" t="s">
        <v>39</v>
      </c>
      <c r="L336" s="3" t="s">
        <v>40</v>
      </c>
      <c r="M336" s="3" t="s">
        <v>984</v>
      </c>
      <c r="N336" s="3" t="s">
        <v>973</v>
      </c>
      <c r="O336" s="3" t="s">
        <v>42</v>
      </c>
      <c r="P336" s="42" t="s">
        <v>43</v>
      </c>
      <c r="Q336" s="42">
        <f>VLOOKUP(C336,[2]Export!$C$1:$J$1226,8,0)</f>
        <v>28524914</v>
      </c>
      <c r="R336" s="42" t="s">
        <v>931</v>
      </c>
      <c r="S336" s="2" t="s">
        <v>43</v>
      </c>
    </row>
    <row r="337" spans="3:19" x14ac:dyDescent="0.25">
      <c r="C337" s="3" t="s">
        <v>349</v>
      </c>
      <c r="D337" s="3" t="s">
        <v>350</v>
      </c>
      <c r="E337" s="3" t="s">
        <v>350</v>
      </c>
      <c r="F337" s="4" t="s">
        <v>36</v>
      </c>
      <c r="G337" s="3" t="str">
        <f>VLOOKUP(C337,JUNIO!C336:G692,5,0)</f>
        <v>CIERRE DEFINITIVO</v>
      </c>
      <c r="H337" s="3" t="s">
        <v>46</v>
      </c>
      <c r="I337" s="3" t="s">
        <v>1030</v>
      </c>
      <c r="J337" s="3">
        <v>0</v>
      </c>
      <c r="K337" s="3" t="s">
        <v>138</v>
      </c>
      <c r="L337" s="3" t="s">
        <v>40</v>
      </c>
      <c r="M337" s="3">
        <v>0</v>
      </c>
      <c r="N337" s="3" t="s">
        <v>349</v>
      </c>
      <c r="O337" s="3" t="s">
        <v>42</v>
      </c>
      <c r="P337" s="42" t="s">
        <v>43</v>
      </c>
      <c r="Q337" s="42"/>
      <c r="R337" s="42">
        <v>0</v>
      </c>
      <c r="S337" s="2" t="s">
        <v>43</v>
      </c>
    </row>
    <row r="338" spans="3:19" x14ac:dyDescent="0.25">
      <c r="C338" s="3" t="s">
        <v>351</v>
      </c>
      <c r="D338" s="3" t="s">
        <v>352</v>
      </c>
      <c r="E338" s="3" t="s">
        <v>352</v>
      </c>
      <c r="F338" s="4" t="s">
        <v>36</v>
      </c>
      <c r="G338" s="3" t="str">
        <f>VLOOKUP(C338,JUNIO!C337:G693,5,0)</f>
        <v>CIERRE DEFINITIVO</v>
      </c>
      <c r="H338" s="3" t="s">
        <v>46</v>
      </c>
      <c r="I338" s="3" t="s">
        <v>1030</v>
      </c>
      <c r="J338" s="3" t="s">
        <v>331</v>
      </c>
      <c r="K338" s="3" t="s">
        <v>353</v>
      </c>
      <c r="L338" s="3" t="s">
        <v>40</v>
      </c>
      <c r="M338" s="3">
        <v>0</v>
      </c>
      <c r="N338" s="3" t="s">
        <v>351</v>
      </c>
      <c r="O338" s="3" t="s">
        <v>42</v>
      </c>
      <c r="P338" s="42" t="s">
        <v>43</v>
      </c>
      <c r="Q338" s="42"/>
      <c r="R338" s="42">
        <v>0</v>
      </c>
      <c r="S338" s="2" t="s">
        <v>43</v>
      </c>
    </row>
    <row r="339" spans="3:19" x14ac:dyDescent="0.25">
      <c r="C339" s="3" t="s">
        <v>833</v>
      </c>
      <c r="D339" s="3" t="s">
        <v>834</v>
      </c>
      <c r="E339" s="3" t="s">
        <v>835</v>
      </c>
      <c r="F339" s="4">
        <v>5</v>
      </c>
      <c r="G339" s="3" t="str">
        <f>VLOOKUP(C339,JUNIO!C338:G694,5,0)</f>
        <v>Abierta</v>
      </c>
      <c r="H339" s="3" t="s">
        <v>46</v>
      </c>
      <c r="I339" s="3" t="s">
        <v>1030</v>
      </c>
      <c r="J339" s="3" t="s">
        <v>146</v>
      </c>
      <c r="K339" s="3" t="s">
        <v>59</v>
      </c>
      <c r="L339" s="3" t="s">
        <v>40</v>
      </c>
      <c r="M339" s="3" t="s">
        <v>1035</v>
      </c>
      <c r="N339" s="3" t="s">
        <v>833</v>
      </c>
      <c r="O339" s="3" t="s">
        <v>42</v>
      </c>
      <c r="P339" s="42" t="s">
        <v>43</v>
      </c>
      <c r="Q339" s="42">
        <f>VLOOKUP(C339,[2]Export!$C$1:$J$1226,8,0)</f>
        <v>50935738</v>
      </c>
      <c r="R339" s="42" t="s">
        <v>799</v>
      </c>
      <c r="S339" s="2" t="s">
        <v>43</v>
      </c>
    </row>
    <row r="340" spans="3:19" x14ac:dyDescent="0.25">
      <c r="C340" s="3" t="s">
        <v>354</v>
      </c>
      <c r="D340" s="3" t="s">
        <v>355</v>
      </c>
      <c r="E340" s="3" t="s">
        <v>355</v>
      </c>
      <c r="F340" s="4" t="s">
        <v>36</v>
      </c>
      <c r="G340" s="3" t="str">
        <f>VLOOKUP(C340,JUNIO!C339:G695,5,0)</f>
        <v>CIERRE DEFINITIVO</v>
      </c>
      <c r="H340" s="3" t="s">
        <v>46</v>
      </c>
      <c r="I340" s="3" t="s">
        <v>1030</v>
      </c>
      <c r="J340" s="3" t="s">
        <v>67</v>
      </c>
      <c r="K340" s="3" t="s">
        <v>59</v>
      </c>
      <c r="L340" s="3" t="s">
        <v>40</v>
      </c>
      <c r="M340" s="3">
        <v>0</v>
      </c>
      <c r="N340" s="3" t="s">
        <v>354</v>
      </c>
      <c r="O340" s="3" t="s">
        <v>42</v>
      </c>
      <c r="P340" s="42" t="s">
        <v>43</v>
      </c>
      <c r="Q340" s="42"/>
      <c r="R340" s="42">
        <v>0</v>
      </c>
      <c r="S340" s="2" t="s">
        <v>43</v>
      </c>
    </row>
    <row r="341" spans="3:19" x14ac:dyDescent="0.25">
      <c r="C341" s="3" t="s">
        <v>693</v>
      </c>
      <c r="D341" s="3" t="s">
        <v>694</v>
      </c>
      <c r="E341" s="3" t="s">
        <v>694</v>
      </c>
      <c r="F341" s="4">
        <v>5</v>
      </c>
      <c r="G341" s="3" t="str">
        <f>VLOOKUP(C341,JUNIO!C340:G696,5,0)</f>
        <v>Abierta</v>
      </c>
      <c r="H341" s="3" t="s">
        <v>46</v>
      </c>
      <c r="I341" s="3" t="s">
        <v>1030</v>
      </c>
      <c r="J341" s="3" t="s">
        <v>248</v>
      </c>
      <c r="K341" s="3" t="s">
        <v>51</v>
      </c>
      <c r="L341" s="3" t="s">
        <v>40</v>
      </c>
      <c r="M341" s="3" t="s">
        <v>984</v>
      </c>
      <c r="N341" s="3" t="s">
        <v>693</v>
      </c>
      <c r="O341" s="3" t="s">
        <v>42</v>
      </c>
      <c r="P341" s="42" t="s">
        <v>43</v>
      </c>
      <c r="Q341" s="42">
        <f>VLOOKUP(C341,[2]Export!$C$1:$J$1226,8,0)</f>
        <v>27790539</v>
      </c>
      <c r="R341" s="42" t="s">
        <v>51</v>
      </c>
      <c r="S341" s="2" t="s">
        <v>43</v>
      </c>
    </row>
    <row r="342" spans="3:19" x14ac:dyDescent="0.25">
      <c r="C342" s="3" t="s">
        <v>356</v>
      </c>
      <c r="D342" s="3" t="s">
        <v>357</v>
      </c>
      <c r="E342" s="3" t="s">
        <v>357</v>
      </c>
      <c r="F342" s="4" t="s">
        <v>36</v>
      </c>
      <c r="G342" s="3" t="str">
        <f>VLOOKUP(C342,JUNIO!C341:G697,5,0)</f>
        <v>CIERRE DEFINITIVO</v>
      </c>
      <c r="H342" s="3" t="s">
        <v>81</v>
      </c>
      <c r="I342" s="3" t="s">
        <v>1030</v>
      </c>
      <c r="J342" s="3" t="s">
        <v>89</v>
      </c>
      <c r="K342" s="3" t="s">
        <v>109</v>
      </c>
      <c r="L342" s="3" t="s">
        <v>91</v>
      </c>
      <c r="M342" s="3">
        <v>0</v>
      </c>
      <c r="N342" s="3" t="s">
        <v>356</v>
      </c>
      <c r="O342" s="3" t="s">
        <v>42</v>
      </c>
      <c r="P342" s="42" t="s">
        <v>43</v>
      </c>
      <c r="Q342" s="42"/>
      <c r="R342" s="42">
        <v>0</v>
      </c>
      <c r="S342" s="2" t="s">
        <v>43</v>
      </c>
    </row>
    <row r="343" spans="3:19" x14ac:dyDescent="0.25">
      <c r="C343" s="3" t="s">
        <v>925</v>
      </c>
      <c r="D343" s="3" t="s">
        <v>926</v>
      </c>
      <c r="E343" s="3" t="s">
        <v>927</v>
      </c>
      <c r="F343" s="4">
        <v>5</v>
      </c>
      <c r="G343" s="3" t="str">
        <f>VLOOKUP(C343,JUNIO!C342:G698,5,0)</f>
        <v>Abierta</v>
      </c>
      <c r="H343" s="3" t="s">
        <v>81</v>
      </c>
      <c r="I343" s="3" t="s">
        <v>1030</v>
      </c>
      <c r="J343" s="3" t="s">
        <v>73</v>
      </c>
      <c r="K343" s="3" t="s">
        <v>928</v>
      </c>
      <c r="L343" s="3" t="s">
        <v>40</v>
      </c>
      <c r="M343" s="3" t="s">
        <v>514</v>
      </c>
      <c r="N343" s="3" t="s">
        <v>925</v>
      </c>
      <c r="O343" s="3" t="s">
        <v>42</v>
      </c>
      <c r="P343" s="42" t="s">
        <v>43</v>
      </c>
      <c r="Q343" s="42">
        <f>VLOOKUP(C343,[2]Export!$C$1:$J$1226,8,0)</f>
        <v>26633070</v>
      </c>
      <c r="R343" s="42" t="s">
        <v>886</v>
      </c>
      <c r="S343" s="2" t="s">
        <v>440</v>
      </c>
    </row>
    <row r="344" spans="3:19" x14ac:dyDescent="0.25">
      <c r="C344" s="3" t="s">
        <v>358</v>
      </c>
      <c r="D344" s="3" t="s">
        <v>359</v>
      </c>
      <c r="E344" s="3" t="s">
        <v>359</v>
      </c>
      <c r="F344" s="4" t="s">
        <v>36</v>
      </c>
      <c r="G344" s="3" t="str">
        <f>VLOOKUP(C344,JUNIO!C343:G699,5,0)</f>
        <v>CIERRE DEFINITIVO</v>
      </c>
      <c r="H344" s="3" t="s">
        <v>81</v>
      </c>
      <c r="I344" s="3" t="s">
        <v>1030</v>
      </c>
      <c r="J344" s="3" t="s">
        <v>248</v>
      </c>
      <c r="K344" s="3" t="s">
        <v>138</v>
      </c>
      <c r="L344" s="3" t="s">
        <v>40</v>
      </c>
      <c r="M344" s="3">
        <v>0</v>
      </c>
      <c r="N344" s="3" t="s">
        <v>358</v>
      </c>
      <c r="O344" s="3" t="s">
        <v>42</v>
      </c>
      <c r="P344" s="42" t="s">
        <v>43</v>
      </c>
      <c r="Q344" s="42"/>
      <c r="R344" s="42">
        <v>0</v>
      </c>
      <c r="S344" s="2" t="s">
        <v>43</v>
      </c>
    </row>
    <row r="345" spans="3:19" x14ac:dyDescent="0.25">
      <c r="C345" s="3" t="s">
        <v>695</v>
      </c>
      <c r="D345" s="3" t="s">
        <v>696</v>
      </c>
      <c r="E345" s="3" t="s">
        <v>696</v>
      </c>
      <c r="F345" s="4">
        <v>5</v>
      </c>
      <c r="G345" s="3" t="str">
        <f>VLOOKUP(C345,JUNIO!C344:G700,5,0)</f>
        <v>Abierta</v>
      </c>
      <c r="H345" s="3" t="s">
        <v>46</v>
      </c>
      <c r="I345" s="3" t="s">
        <v>1030</v>
      </c>
      <c r="J345" s="3" t="s">
        <v>248</v>
      </c>
      <c r="K345" s="3" t="s">
        <v>51</v>
      </c>
      <c r="L345" s="3" t="s">
        <v>40</v>
      </c>
      <c r="M345" s="3" t="s">
        <v>984</v>
      </c>
      <c r="N345" s="3" t="s">
        <v>695</v>
      </c>
      <c r="O345" s="3" t="s">
        <v>42</v>
      </c>
      <c r="P345" s="42" t="s">
        <v>43</v>
      </c>
      <c r="Q345" s="42">
        <f>VLOOKUP(C345,[2]Export!$C$1:$J$1226,8,0)</f>
        <v>42394803</v>
      </c>
      <c r="R345" s="42" t="s">
        <v>51</v>
      </c>
      <c r="S345" s="2" t="s">
        <v>43</v>
      </c>
    </row>
    <row r="346" spans="3:19" x14ac:dyDescent="0.25">
      <c r="C346" s="3" t="s">
        <v>360</v>
      </c>
      <c r="D346" s="3" t="s">
        <v>361</v>
      </c>
      <c r="E346" s="3" t="s">
        <v>361</v>
      </c>
      <c r="F346" s="4" t="s">
        <v>36</v>
      </c>
      <c r="G346" s="3" t="str">
        <f>VLOOKUP(C346,JUNIO!C345:G701,5,0)</f>
        <v>CIERRE DEFINITIVO</v>
      </c>
      <c r="H346" s="3" t="s">
        <v>46</v>
      </c>
      <c r="I346" s="3" t="s">
        <v>1030</v>
      </c>
      <c r="J346" s="3" t="s">
        <v>67</v>
      </c>
      <c r="K346" s="3" t="s">
        <v>59</v>
      </c>
      <c r="L346" s="3" t="s">
        <v>40</v>
      </c>
      <c r="M346" s="3">
        <v>0</v>
      </c>
      <c r="N346" s="3" t="s">
        <v>360</v>
      </c>
      <c r="O346" s="3" t="s">
        <v>42</v>
      </c>
      <c r="P346" s="42" t="s">
        <v>43</v>
      </c>
      <c r="Q346" s="42"/>
      <c r="R346" s="42">
        <v>0</v>
      </c>
      <c r="S346" s="2" t="s">
        <v>43</v>
      </c>
    </row>
    <row r="347" spans="3:19" x14ac:dyDescent="0.25">
      <c r="C347" s="3" t="s">
        <v>362</v>
      </c>
      <c r="D347" s="3" t="s">
        <v>363</v>
      </c>
      <c r="E347" s="3" t="s">
        <v>363</v>
      </c>
      <c r="F347" s="4" t="s">
        <v>36</v>
      </c>
      <c r="G347" s="3" t="str">
        <f>VLOOKUP(C347,JUNIO!C346:G702,5,0)</f>
        <v>CIERRE DEFINITIVO</v>
      </c>
      <c r="H347" s="3" t="s">
        <v>81</v>
      </c>
      <c r="I347" s="3" t="s">
        <v>1030</v>
      </c>
      <c r="J347" s="3" t="s">
        <v>73</v>
      </c>
      <c r="K347" s="3" t="s">
        <v>364</v>
      </c>
      <c r="L347" s="3" t="s">
        <v>40</v>
      </c>
      <c r="M347" s="3">
        <v>0</v>
      </c>
      <c r="N347" s="3" t="s">
        <v>362</v>
      </c>
      <c r="O347" s="3" t="s">
        <v>42</v>
      </c>
      <c r="P347" s="42" t="s">
        <v>43</v>
      </c>
      <c r="Q347" s="42"/>
      <c r="R347" s="42">
        <v>0</v>
      </c>
      <c r="S347" s="2" t="s">
        <v>43</v>
      </c>
    </row>
    <row r="348" spans="3:19" x14ac:dyDescent="0.25">
      <c r="C348" s="3" t="s">
        <v>592</v>
      </c>
      <c r="D348" s="3" t="s">
        <v>593</v>
      </c>
      <c r="E348" s="3" t="s">
        <v>593</v>
      </c>
      <c r="F348" s="4">
        <v>5</v>
      </c>
      <c r="G348" s="3" t="str">
        <f>VLOOKUP(C348,JUNIO!C347:G703,5,0)</f>
        <v>Abierta</v>
      </c>
      <c r="H348" s="3" t="s">
        <v>81</v>
      </c>
      <c r="I348" s="3" t="s">
        <v>1030</v>
      </c>
      <c r="J348" s="3" t="s">
        <v>331</v>
      </c>
      <c r="K348" s="3" t="s">
        <v>138</v>
      </c>
      <c r="L348" s="3" t="s">
        <v>40</v>
      </c>
      <c r="M348" s="3" t="s">
        <v>984</v>
      </c>
      <c r="N348" s="3" t="s">
        <v>592</v>
      </c>
      <c r="O348" s="3" t="s">
        <v>42</v>
      </c>
      <c r="P348" s="42" t="s">
        <v>43</v>
      </c>
      <c r="Q348" s="42">
        <f>VLOOKUP(C348,[2]Export!$C$1:$J$1226,8,0)</f>
        <v>25984447</v>
      </c>
      <c r="R348" s="42" t="s">
        <v>557</v>
      </c>
      <c r="S348" s="2" t="s">
        <v>440</v>
      </c>
    </row>
    <row r="349" spans="3:19" x14ac:dyDescent="0.25">
      <c r="C349" s="3" t="s">
        <v>365</v>
      </c>
      <c r="D349" s="3" t="s">
        <v>366</v>
      </c>
      <c r="E349" s="3" t="s">
        <v>367</v>
      </c>
      <c r="F349" s="4" t="s">
        <v>36</v>
      </c>
      <c r="G349" s="3" t="str">
        <f>VLOOKUP(C349,JUNIO!C348:G704,5,0)</f>
        <v>CIERRE DEFINITIVO</v>
      </c>
      <c r="H349" s="3" t="s">
        <v>81</v>
      </c>
      <c r="I349" s="3" t="s">
        <v>1030</v>
      </c>
      <c r="J349" s="3" t="s">
        <v>146</v>
      </c>
      <c r="K349" s="3" t="s">
        <v>59</v>
      </c>
      <c r="L349" s="3" t="s">
        <v>40</v>
      </c>
      <c r="M349" s="3">
        <v>0</v>
      </c>
      <c r="N349" s="3" t="s">
        <v>365</v>
      </c>
      <c r="O349" s="3" t="s">
        <v>42</v>
      </c>
      <c r="P349" s="42" t="s">
        <v>43</v>
      </c>
      <c r="Q349" s="42"/>
      <c r="R349" s="42">
        <v>0</v>
      </c>
      <c r="S349" s="2" t="s">
        <v>43</v>
      </c>
    </row>
    <row r="350" spans="3:19" x14ac:dyDescent="0.25">
      <c r="C350" s="3" t="s">
        <v>763</v>
      </c>
      <c r="D350" s="3" t="s">
        <v>764</v>
      </c>
      <c r="E350" s="3" t="s">
        <v>765</v>
      </c>
      <c r="F350" s="4">
        <v>5</v>
      </c>
      <c r="G350" s="3" t="str">
        <f>VLOOKUP(C350,JUNIO!C349:G705,5,0)</f>
        <v>Abierta</v>
      </c>
      <c r="H350" s="3" t="s">
        <v>81</v>
      </c>
      <c r="I350" s="3" t="s">
        <v>1031</v>
      </c>
      <c r="J350" s="3" t="s">
        <v>84</v>
      </c>
      <c r="K350" s="3" t="s">
        <v>279</v>
      </c>
      <c r="L350" s="3" t="s">
        <v>55</v>
      </c>
      <c r="M350" s="3" t="s">
        <v>378</v>
      </c>
      <c r="N350" s="3" t="s">
        <v>763</v>
      </c>
      <c r="O350" s="3" t="s">
        <v>42</v>
      </c>
      <c r="P350" s="42" t="s">
        <v>43</v>
      </c>
      <c r="Q350" s="42">
        <f>VLOOKUP(C350,[2]Export!$C$1:$J$1226,8,0)</f>
        <v>31189680</v>
      </c>
      <c r="R350" s="42" t="s">
        <v>741</v>
      </c>
      <c r="S350" s="2" t="s">
        <v>440</v>
      </c>
    </row>
    <row r="351" spans="3:19" x14ac:dyDescent="0.25">
      <c r="C351" s="3" t="s">
        <v>836</v>
      </c>
      <c r="D351" s="3" t="s">
        <v>837</v>
      </c>
      <c r="E351" s="3" t="s">
        <v>838</v>
      </c>
      <c r="F351" s="4">
        <v>5</v>
      </c>
      <c r="G351" s="3" t="str">
        <f>VLOOKUP(C351,JUNIO!C350:G706,5,0)</f>
        <v>Abierta</v>
      </c>
      <c r="H351" s="3" t="s">
        <v>81</v>
      </c>
      <c r="I351" s="3" t="s">
        <v>1030</v>
      </c>
      <c r="J351" s="3" t="s">
        <v>146</v>
      </c>
      <c r="K351" s="3" t="s">
        <v>59</v>
      </c>
      <c r="L351" s="3" t="s">
        <v>40</v>
      </c>
      <c r="M351" s="3" t="s">
        <v>1035</v>
      </c>
      <c r="N351" s="3" t="s">
        <v>836</v>
      </c>
      <c r="O351" s="3" t="s">
        <v>42</v>
      </c>
      <c r="P351" s="42" t="s">
        <v>43</v>
      </c>
      <c r="Q351" s="42">
        <f>VLOOKUP(C351,[2]Export!$C$1:$J$1226,8,0)</f>
        <v>43581751</v>
      </c>
      <c r="R351" s="42" t="s">
        <v>799</v>
      </c>
      <c r="S351" s="2" t="s">
        <v>43</v>
      </c>
    </row>
    <row r="352" spans="3:19" x14ac:dyDescent="0.25">
      <c r="C352" s="3" t="s">
        <v>975</v>
      </c>
      <c r="D352" s="3" t="s">
        <v>976</v>
      </c>
      <c r="E352" s="3" t="s">
        <v>976</v>
      </c>
      <c r="F352" s="4">
        <v>2</v>
      </c>
      <c r="G352" s="3" t="str">
        <f>VLOOKUP(C352,JUNIO!C351:G707,5,0)</f>
        <v>Abierta</v>
      </c>
      <c r="H352" s="3" t="s">
        <v>46</v>
      </c>
      <c r="I352" s="3" t="s">
        <v>1030</v>
      </c>
      <c r="J352" s="3" t="s">
        <v>160</v>
      </c>
      <c r="K352" s="3" t="s">
        <v>39</v>
      </c>
      <c r="L352" s="3" t="s">
        <v>40</v>
      </c>
      <c r="M352" s="3" t="s">
        <v>984</v>
      </c>
      <c r="N352" s="3" t="s">
        <v>975</v>
      </c>
      <c r="O352" s="3" t="s">
        <v>42</v>
      </c>
      <c r="P352" s="42" t="s">
        <v>43</v>
      </c>
      <c r="Q352" s="42">
        <f>VLOOKUP(C352,[2]Export!$C$1:$J$1226,8,0)</f>
        <v>15666485</v>
      </c>
      <c r="R352" s="42" t="s">
        <v>931</v>
      </c>
      <c r="S352" s="2" t="s">
        <v>43</v>
      </c>
    </row>
    <row r="353" spans="3:19" x14ac:dyDescent="0.25">
      <c r="C353" s="3" t="s">
        <v>766</v>
      </c>
      <c r="D353" s="3" t="s">
        <v>767</v>
      </c>
      <c r="E353" s="3" t="s">
        <v>768</v>
      </c>
      <c r="F353" s="4">
        <v>4.5</v>
      </c>
      <c r="G353" s="3" t="str">
        <f>VLOOKUP(C353,JUNIO!C352:G708,5,0)</f>
        <v>Abierta</v>
      </c>
      <c r="H353" s="3" t="s">
        <v>81</v>
      </c>
      <c r="I353" s="3" t="s">
        <v>1031</v>
      </c>
      <c r="J353" s="3" t="s">
        <v>84</v>
      </c>
      <c r="K353" s="3" t="s">
        <v>54</v>
      </c>
      <c r="L353" s="3" t="s">
        <v>55</v>
      </c>
      <c r="M353" s="3" t="s">
        <v>378</v>
      </c>
      <c r="N353" s="3" t="s">
        <v>766</v>
      </c>
      <c r="O353" s="3" t="s">
        <v>42</v>
      </c>
      <c r="P353" s="42" t="s">
        <v>43</v>
      </c>
      <c r="Q353" s="42">
        <f>VLOOKUP(C353,[2]Export!$C$1:$J$1226,8,0)</f>
        <v>23987268</v>
      </c>
      <c r="R353" s="42" t="s">
        <v>741</v>
      </c>
      <c r="S353" s="2" t="s">
        <v>440</v>
      </c>
    </row>
    <row r="354" spans="3:19" x14ac:dyDescent="0.25">
      <c r="C354" s="3" t="s">
        <v>368</v>
      </c>
      <c r="D354" s="3" t="s">
        <v>369</v>
      </c>
      <c r="E354" s="3" t="s">
        <v>370</v>
      </c>
      <c r="F354" s="4" t="s">
        <v>36</v>
      </c>
      <c r="G354" s="3" t="str">
        <f>VLOOKUP(C354,JUNIO!C353:G709,5,0)</f>
        <v>CIERRE DEFINITIVO</v>
      </c>
      <c r="H354" s="3" t="s">
        <v>88</v>
      </c>
      <c r="I354" s="3" t="s">
        <v>1030</v>
      </c>
      <c r="J354" s="3" t="s">
        <v>160</v>
      </c>
      <c r="K354" s="3" t="s">
        <v>371</v>
      </c>
      <c r="L354" s="3" t="s">
        <v>40</v>
      </c>
      <c r="M354" s="3">
        <v>0</v>
      </c>
      <c r="N354" s="3" t="s">
        <v>368</v>
      </c>
      <c r="O354" s="3" t="s">
        <v>42</v>
      </c>
      <c r="P354" s="42" t="s">
        <v>43</v>
      </c>
      <c r="Q354" s="42"/>
      <c r="R354" s="42">
        <v>0</v>
      </c>
      <c r="S354" s="2" t="s">
        <v>43</v>
      </c>
    </row>
    <row r="355" spans="3:19" x14ac:dyDescent="0.25">
      <c r="C355" s="3" t="s">
        <v>736</v>
      </c>
      <c r="D355" s="3" t="s">
        <v>737</v>
      </c>
      <c r="E355" s="3" t="s">
        <v>738</v>
      </c>
      <c r="F355" s="4">
        <v>6</v>
      </c>
      <c r="G355" s="3" t="str">
        <f>VLOOKUP(C355,JUNIO!C354:G710,5,0)</f>
        <v>Abierta</v>
      </c>
      <c r="H355" s="3" t="s">
        <v>81</v>
      </c>
      <c r="I355" s="3" t="s">
        <v>1031</v>
      </c>
      <c r="J355" s="3" t="s">
        <v>84</v>
      </c>
      <c r="K355" s="3" t="s">
        <v>722</v>
      </c>
      <c r="L355" s="3" t="s">
        <v>55</v>
      </c>
      <c r="M355" s="3" t="s">
        <v>378</v>
      </c>
      <c r="N355" s="3" t="s">
        <v>736</v>
      </c>
      <c r="O355" s="3">
        <v>0</v>
      </c>
      <c r="P355" s="42" t="s">
        <v>43</v>
      </c>
      <c r="Q355" s="42">
        <f>VLOOKUP(C355,[2]Export!$C$1:$J$1226,8,0)</f>
        <v>42871074</v>
      </c>
      <c r="R355" s="42" t="s">
        <v>702</v>
      </c>
      <c r="S355" s="2" t="s">
        <v>440</v>
      </c>
    </row>
    <row r="356" spans="3:19" x14ac:dyDescent="0.25">
      <c r="C356" s="3" t="s">
        <v>612</v>
      </c>
      <c r="D356" s="3" t="s">
        <v>613</v>
      </c>
      <c r="E356" s="3" t="s">
        <v>613</v>
      </c>
      <c r="F356" s="4">
        <v>5</v>
      </c>
      <c r="G356" s="3" t="str">
        <f>VLOOKUP(C356,JUNIO!C355:G711,5,0)</f>
        <v>Abierta</v>
      </c>
      <c r="H356" s="3" t="s">
        <v>81</v>
      </c>
      <c r="I356" s="3" t="s">
        <v>1030</v>
      </c>
      <c r="J356" s="3" t="s">
        <v>50</v>
      </c>
      <c r="K356" s="3" t="s">
        <v>364</v>
      </c>
      <c r="L356" s="3" t="s">
        <v>40</v>
      </c>
      <c r="M356" s="3" t="s">
        <v>514</v>
      </c>
      <c r="N356" s="3" t="s">
        <v>612</v>
      </c>
      <c r="O356" s="3" t="s">
        <v>42</v>
      </c>
      <c r="P356" s="42" t="s">
        <v>43</v>
      </c>
      <c r="Q356" s="42">
        <f>VLOOKUP(C356,[2]Export!$C$1:$J$1226,8,0)</f>
        <v>52012618</v>
      </c>
      <c r="R356" s="42" t="s">
        <v>597</v>
      </c>
      <c r="S356" s="2" t="s">
        <v>440</v>
      </c>
    </row>
    <row r="357" spans="3:19" x14ac:dyDescent="0.25">
      <c r="C357" s="3" t="s">
        <v>614</v>
      </c>
      <c r="D357" s="3" t="s">
        <v>615</v>
      </c>
      <c r="E357" s="3" t="s">
        <v>615</v>
      </c>
      <c r="F357" s="4">
        <v>5</v>
      </c>
      <c r="G357" s="3" t="str">
        <f>VLOOKUP(C357,JUNIO!C356:G712,5,0)</f>
        <v>Abierta</v>
      </c>
      <c r="H357" s="3" t="s">
        <v>81</v>
      </c>
      <c r="I357" s="3" t="s">
        <v>1030</v>
      </c>
      <c r="J357" s="3" t="s">
        <v>50</v>
      </c>
      <c r="K357" s="3" t="s">
        <v>64</v>
      </c>
      <c r="L357" s="3" t="s">
        <v>40</v>
      </c>
      <c r="M357" s="3" t="s">
        <v>514</v>
      </c>
      <c r="N357" s="3" t="s">
        <v>614</v>
      </c>
      <c r="O357" s="3" t="s">
        <v>42</v>
      </c>
      <c r="P357" s="42" t="s">
        <v>43</v>
      </c>
      <c r="Q357" s="42">
        <f>VLOOKUP(C357,[2]Export!$C$1:$J$1226,8,0)</f>
        <v>38588761</v>
      </c>
      <c r="R357" s="42" t="s">
        <v>597</v>
      </c>
      <c r="S357" s="2" t="s">
        <v>440</v>
      </c>
    </row>
    <row r="358" spans="3:19" x14ac:dyDescent="0.25">
      <c r="C358" s="3" t="s">
        <v>372</v>
      </c>
      <c r="D358" s="3" t="s">
        <v>372</v>
      </c>
      <c r="E358" s="3" t="s">
        <v>372</v>
      </c>
      <c r="F358" s="4"/>
      <c r="G358" s="3" t="str">
        <f>VLOOKUP(C358,JUNIO!C357:G713,5,0)</f>
        <v>CUADRILLA OXXO</v>
      </c>
      <c r="H358" s="3" t="s">
        <v>372</v>
      </c>
      <c r="I358" s="3" t="s">
        <v>372</v>
      </c>
      <c r="J358" s="3" t="s">
        <v>372</v>
      </c>
      <c r="K358" s="3" t="s">
        <v>372</v>
      </c>
      <c r="L358" s="3" t="s">
        <v>372</v>
      </c>
      <c r="M358" s="3" t="s">
        <v>372</v>
      </c>
      <c r="N358" s="3" t="s">
        <v>372</v>
      </c>
      <c r="O358" s="3" t="s">
        <v>372</v>
      </c>
      <c r="P358" s="3" t="s">
        <v>372</v>
      </c>
      <c r="Q358" s="42"/>
      <c r="R358" s="3" t="s">
        <v>372</v>
      </c>
      <c r="S358" s="2" t="s">
        <v>43</v>
      </c>
    </row>
    <row r="359" spans="3:19" x14ac:dyDescent="0.25">
      <c r="C359" s="3" t="s">
        <v>697</v>
      </c>
      <c r="D359" s="3" t="s">
        <v>698</v>
      </c>
      <c r="E359" s="3" t="s">
        <v>698</v>
      </c>
      <c r="F359" s="4">
        <v>5.07</v>
      </c>
      <c r="G359" s="3" t="str">
        <f>VLOOKUP(C359,JUNIO!C358:G714,5,0)</f>
        <v>Abierta</v>
      </c>
      <c r="H359" s="3" t="s">
        <v>81</v>
      </c>
      <c r="I359" s="3" t="s">
        <v>1030</v>
      </c>
      <c r="J359" s="3" t="s">
        <v>248</v>
      </c>
      <c r="K359" s="3" t="s">
        <v>51</v>
      </c>
      <c r="L359" s="3" t="s">
        <v>40</v>
      </c>
      <c r="M359" s="3" t="s">
        <v>984</v>
      </c>
      <c r="N359" s="3" t="s">
        <v>697</v>
      </c>
      <c r="O359" s="3" t="s">
        <v>42</v>
      </c>
      <c r="P359" s="42" t="s">
        <v>43</v>
      </c>
      <c r="Q359" s="42">
        <f>VLOOKUP(C359,[2]Export!$C$1:$J$1226,8,0)</f>
        <v>28671379</v>
      </c>
      <c r="R359" s="42" t="s">
        <v>51</v>
      </c>
      <c r="S359" s="2" t="s">
        <v>43</v>
      </c>
    </row>
    <row r="360" spans="3:19" ht="18" x14ac:dyDescent="0.25">
      <c r="F360" s="46">
        <f>SUM(F4:F357)</f>
        <v>1325.1600000000005</v>
      </c>
    </row>
    <row r="374" spans="3:3" x14ac:dyDescent="0.25">
      <c r="C374" s="3" t="s">
        <v>426</v>
      </c>
    </row>
    <row r="375" spans="3:3" x14ac:dyDescent="0.25">
      <c r="C375" s="3" t="s">
        <v>685</v>
      </c>
    </row>
    <row r="376" spans="3:3" x14ac:dyDescent="0.25">
      <c r="C376" s="3" t="s">
        <v>437</v>
      </c>
    </row>
    <row r="377" spans="3:3" x14ac:dyDescent="0.25">
      <c r="C377" s="3" t="s">
        <v>592</v>
      </c>
    </row>
  </sheetData>
  <autoFilter ref="C3:S360" xr:uid="{45A353CE-669D-43E3-82E9-D48409214764}"/>
  <pageMargins left="0.7" right="0.7" top="0.75" bottom="0.75" header="0.3" footer="0.3"/>
  <pageSetup paperSize="9" orientation="portrait" r:id="rId1"/>
  <headerFooter>
    <oddFooter>&amp;C_x000D_&amp;1#&amp;"Calibri"&amp;10&amp;K000000 OXXO | Uso Interno</oddFooter>
  </headerFooter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353CE-669D-43E3-82E9-D48409214764}">
  <sheetPr codeName="Hoja4"/>
  <dimension ref="C1:S377"/>
  <sheetViews>
    <sheetView topLeftCell="A9" zoomScale="70" zoomScaleNormal="70" workbookViewId="0">
      <selection activeCell="F30" sqref="F30"/>
    </sheetView>
  </sheetViews>
  <sheetFormatPr baseColWidth="10" defaultColWidth="10.81640625" defaultRowHeight="12.5" x14ac:dyDescent="0.25"/>
  <cols>
    <col min="1" max="1" width="6.453125" style="2" customWidth="1"/>
    <col min="2" max="2" width="5.26953125" style="2" customWidth="1"/>
    <col min="3" max="3" width="17.26953125" style="2" bestFit="1" customWidth="1"/>
    <col min="4" max="4" width="40.54296875" style="2" customWidth="1"/>
    <col min="5" max="5" width="33.26953125" style="2" customWidth="1"/>
    <col min="6" max="6" width="16.26953125" style="2" customWidth="1"/>
    <col min="7" max="8" width="23.54296875" style="2" customWidth="1"/>
    <col min="9" max="9" width="30" style="2" customWidth="1"/>
    <col min="10" max="10" width="39.81640625" style="2" customWidth="1"/>
    <col min="11" max="13" width="31.453125" style="2" customWidth="1"/>
    <col min="14" max="14" width="10.81640625" style="2" customWidth="1"/>
    <col min="15" max="15" width="48" style="2" customWidth="1"/>
    <col min="16" max="16" width="23" style="2" customWidth="1"/>
    <col min="17" max="17" width="25.453125" style="2" customWidth="1"/>
    <col min="18" max="18" width="34.54296875" style="2" bestFit="1" customWidth="1"/>
    <col min="19" max="19" width="16" style="2" bestFit="1" customWidth="1"/>
    <col min="20" max="16384" width="10.81640625" style="2"/>
  </cols>
  <sheetData>
    <row r="1" spans="3:19" ht="15.5" x14ac:dyDescent="0.25">
      <c r="F1" s="13">
        <f>30/44</f>
        <v>0.68181818181818177</v>
      </c>
    </row>
    <row r="2" spans="3:19" x14ac:dyDescent="0.25">
      <c r="C2" s="2">
        <v>1</v>
      </c>
      <c r="D2" s="2">
        <f>C2+1</f>
        <v>2</v>
      </c>
      <c r="E2" s="2">
        <f t="shared" ref="E2:O2" si="0">D2+1</f>
        <v>3</v>
      </c>
      <c r="F2" s="2">
        <f t="shared" si="0"/>
        <v>4</v>
      </c>
      <c r="G2" s="2">
        <f t="shared" si="0"/>
        <v>5</v>
      </c>
      <c r="H2" s="2">
        <f>G2+1</f>
        <v>6</v>
      </c>
      <c r="I2" s="2">
        <f t="shared" si="0"/>
        <v>7</v>
      </c>
      <c r="J2" s="2">
        <f t="shared" si="0"/>
        <v>8</v>
      </c>
      <c r="K2" s="2">
        <f t="shared" si="0"/>
        <v>9</v>
      </c>
      <c r="L2" s="2">
        <f t="shared" si="0"/>
        <v>10</v>
      </c>
      <c r="M2" s="2">
        <f t="shared" si="0"/>
        <v>11</v>
      </c>
      <c r="N2" s="2">
        <f t="shared" si="0"/>
        <v>12</v>
      </c>
      <c r="O2" s="2">
        <f t="shared" si="0"/>
        <v>13</v>
      </c>
      <c r="P2" s="2">
        <v>14</v>
      </c>
      <c r="Q2" s="2">
        <v>15</v>
      </c>
      <c r="R2" s="2">
        <v>16</v>
      </c>
      <c r="S2" s="2">
        <v>17</v>
      </c>
    </row>
    <row r="3" spans="3:19" ht="13" x14ac:dyDescent="0.25">
      <c r="C3" s="1" t="s">
        <v>15</v>
      </c>
      <c r="D3" s="1" t="s">
        <v>16</v>
      </c>
      <c r="E3" s="1" t="s">
        <v>17</v>
      </c>
      <c r="F3" s="1" t="s">
        <v>18</v>
      </c>
      <c r="G3" s="1" t="s">
        <v>1040</v>
      </c>
      <c r="H3" s="1" t="s">
        <v>20</v>
      </c>
      <c r="I3" s="1" t="s">
        <v>21</v>
      </c>
      <c r="J3" s="1" t="s">
        <v>22</v>
      </c>
      <c r="K3" s="1" t="s">
        <v>24</v>
      </c>
      <c r="L3" s="1" t="s">
        <v>25</v>
      </c>
      <c r="M3" s="1" t="s">
        <v>26</v>
      </c>
      <c r="N3" s="1" t="s">
        <v>15</v>
      </c>
      <c r="O3" s="1" t="s">
        <v>27</v>
      </c>
      <c r="P3" s="40" t="s">
        <v>28</v>
      </c>
      <c r="Q3" s="41" t="s">
        <v>29</v>
      </c>
      <c r="R3" s="40" t="s">
        <v>30</v>
      </c>
      <c r="S3" s="40" t="s">
        <v>31</v>
      </c>
    </row>
    <row r="4" spans="3:19" x14ac:dyDescent="0.25">
      <c r="C4" s="3" t="s">
        <v>929</v>
      </c>
      <c r="D4" s="3" t="s">
        <v>930</v>
      </c>
      <c r="E4" s="3" t="s">
        <v>930</v>
      </c>
      <c r="F4" s="4">
        <v>11.68</v>
      </c>
      <c r="G4" s="3" t="s">
        <v>376</v>
      </c>
      <c r="H4" s="3" t="s">
        <v>46</v>
      </c>
      <c r="I4" s="3" t="s">
        <v>1030</v>
      </c>
      <c r="J4" s="3" t="s">
        <v>160</v>
      </c>
      <c r="K4" s="3" t="s">
        <v>353</v>
      </c>
      <c r="L4" s="3" t="s">
        <v>40</v>
      </c>
      <c r="M4" s="3" t="s">
        <v>984</v>
      </c>
      <c r="N4" s="3" t="s">
        <v>929</v>
      </c>
      <c r="O4" s="3" t="s">
        <v>379</v>
      </c>
      <c r="P4" s="42" t="s">
        <v>43</v>
      </c>
      <c r="Q4" s="42">
        <v>105319990</v>
      </c>
      <c r="R4" s="42" t="s">
        <v>931</v>
      </c>
      <c r="S4" s="2" t="s">
        <v>43</v>
      </c>
    </row>
    <row r="5" spans="3:19" x14ac:dyDescent="0.25">
      <c r="C5" s="3" t="s">
        <v>651</v>
      </c>
      <c r="D5" s="3" t="s">
        <v>652</v>
      </c>
      <c r="E5" s="3" t="s">
        <v>652</v>
      </c>
      <c r="F5" s="4">
        <v>12</v>
      </c>
      <c r="G5" s="3" t="s">
        <v>376</v>
      </c>
      <c r="H5" s="3" t="s">
        <v>46</v>
      </c>
      <c r="I5" s="3" t="s">
        <v>1030</v>
      </c>
      <c r="J5" s="3" t="s">
        <v>248</v>
      </c>
      <c r="K5" s="3" t="s">
        <v>51</v>
      </c>
      <c r="L5" s="3" t="s">
        <v>40</v>
      </c>
      <c r="M5" s="3" t="s">
        <v>984</v>
      </c>
      <c r="N5" s="3" t="s">
        <v>651</v>
      </c>
      <c r="O5" s="3" t="s">
        <v>379</v>
      </c>
      <c r="P5" s="42" t="s">
        <v>43</v>
      </c>
      <c r="Q5" s="42">
        <v>135345279</v>
      </c>
      <c r="R5" s="42" t="s">
        <v>51</v>
      </c>
      <c r="S5" s="2" t="s">
        <v>43</v>
      </c>
    </row>
    <row r="6" spans="3:19" x14ac:dyDescent="0.25">
      <c r="C6" s="3" t="s">
        <v>373</v>
      </c>
      <c r="D6" s="3" t="s">
        <v>374</v>
      </c>
      <c r="E6" s="3" t="s">
        <v>375</v>
      </c>
      <c r="F6" s="4">
        <v>11.68</v>
      </c>
      <c r="G6" s="3" t="s">
        <v>376</v>
      </c>
      <c r="H6" s="3" t="s">
        <v>46</v>
      </c>
      <c r="I6" s="3" t="s">
        <v>1031</v>
      </c>
      <c r="J6" s="3" t="s">
        <v>63</v>
      </c>
      <c r="K6" s="3" t="s">
        <v>138</v>
      </c>
      <c r="L6" s="3" t="s">
        <v>40</v>
      </c>
      <c r="M6" s="3" t="s">
        <v>378</v>
      </c>
      <c r="N6" s="3" t="s">
        <v>373</v>
      </c>
      <c r="O6" s="3" t="s">
        <v>379</v>
      </c>
      <c r="P6" s="42" t="s">
        <v>43</v>
      </c>
      <c r="Q6" s="42">
        <v>126018348.11999999</v>
      </c>
      <c r="R6" s="42" t="s">
        <v>380</v>
      </c>
      <c r="S6" s="2" t="s">
        <v>43</v>
      </c>
    </row>
    <row r="7" spans="3:19" x14ac:dyDescent="0.25">
      <c r="C7" s="3" t="s">
        <v>699</v>
      </c>
      <c r="D7" s="3" t="s">
        <v>985</v>
      </c>
      <c r="E7" s="3" t="s">
        <v>701</v>
      </c>
      <c r="F7" s="4">
        <v>10</v>
      </c>
      <c r="G7" s="3" t="s">
        <v>376</v>
      </c>
      <c r="H7" s="3" t="s">
        <v>46</v>
      </c>
      <c r="I7" s="3" t="s">
        <v>1031</v>
      </c>
      <c r="J7" s="3" t="s">
        <v>84</v>
      </c>
      <c r="K7" s="3" t="s">
        <v>54</v>
      </c>
      <c r="L7" s="3" t="s">
        <v>55</v>
      </c>
      <c r="M7" s="3" t="s">
        <v>378</v>
      </c>
      <c r="N7" s="3" t="s">
        <v>699</v>
      </c>
      <c r="O7" s="3" t="s">
        <v>379</v>
      </c>
      <c r="P7" s="42" t="s">
        <v>43</v>
      </c>
      <c r="Q7" s="42">
        <v>98944244.209999993</v>
      </c>
      <c r="R7" s="42" t="s">
        <v>702</v>
      </c>
      <c r="S7" s="2" t="s">
        <v>43</v>
      </c>
    </row>
    <row r="8" spans="3:19" x14ac:dyDescent="0.25">
      <c r="C8" s="3" t="s">
        <v>739</v>
      </c>
      <c r="D8" s="3" t="s">
        <v>740</v>
      </c>
      <c r="E8" s="3" t="s">
        <v>740</v>
      </c>
      <c r="F8" s="4">
        <v>9</v>
      </c>
      <c r="G8" s="3" t="s">
        <v>376</v>
      </c>
      <c r="H8" s="3" t="s">
        <v>46</v>
      </c>
      <c r="I8" s="3" t="s">
        <v>1031</v>
      </c>
      <c r="J8" s="3" t="s">
        <v>84</v>
      </c>
      <c r="K8" s="3" t="s">
        <v>54</v>
      </c>
      <c r="L8" s="3" t="s">
        <v>55</v>
      </c>
      <c r="M8" s="3" t="s">
        <v>378</v>
      </c>
      <c r="N8" s="3" t="s">
        <v>739</v>
      </c>
      <c r="O8" s="3" t="s">
        <v>379</v>
      </c>
      <c r="P8" s="42" t="s">
        <v>43</v>
      </c>
      <c r="Q8" s="42">
        <v>81056091.120000005</v>
      </c>
      <c r="R8" s="42" t="s">
        <v>741</v>
      </c>
      <c r="S8" s="2" t="s">
        <v>43</v>
      </c>
    </row>
    <row r="9" spans="3:19" x14ac:dyDescent="0.25">
      <c r="C9" s="3" t="s">
        <v>381</v>
      </c>
      <c r="D9" s="3" t="s">
        <v>382</v>
      </c>
      <c r="E9" s="3" t="s">
        <v>382</v>
      </c>
      <c r="F9" s="4">
        <v>9.1300000000000008</v>
      </c>
      <c r="G9" s="3" t="s">
        <v>376</v>
      </c>
      <c r="H9" s="3" t="s">
        <v>46</v>
      </c>
      <c r="I9" s="3" t="s">
        <v>1031</v>
      </c>
      <c r="J9" s="3" t="s">
        <v>63</v>
      </c>
      <c r="K9" s="3" t="s">
        <v>138</v>
      </c>
      <c r="L9" s="3" t="s">
        <v>40</v>
      </c>
      <c r="M9" s="3" t="s">
        <v>378</v>
      </c>
      <c r="N9" s="3" t="s">
        <v>381</v>
      </c>
      <c r="O9" s="3" t="s">
        <v>379</v>
      </c>
      <c r="P9" s="42" t="s">
        <v>43</v>
      </c>
      <c r="Q9" s="42">
        <v>65881899.124999993</v>
      </c>
      <c r="R9" s="42" t="s">
        <v>380</v>
      </c>
      <c r="S9" s="2" t="s">
        <v>43</v>
      </c>
    </row>
    <row r="10" spans="3:19" x14ac:dyDescent="0.25">
      <c r="C10" s="3" t="s">
        <v>511</v>
      </c>
      <c r="D10" s="3" t="s">
        <v>512</v>
      </c>
      <c r="E10" s="3" t="s">
        <v>513</v>
      </c>
      <c r="F10" s="4">
        <v>10.58</v>
      </c>
      <c r="G10" s="3" t="s">
        <v>376</v>
      </c>
      <c r="H10" s="3" t="s">
        <v>46</v>
      </c>
      <c r="I10" s="3" t="s">
        <v>1030</v>
      </c>
      <c r="J10" s="3" t="s">
        <v>100</v>
      </c>
      <c r="K10" s="3" t="s">
        <v>138</v>
      </c>
      <c r="L10" s="3" t="s">
        <v>40</v>
      </c>
      <c r="M10" s="3" t="s">
        <v>514</v>
      </c>
      <c r="N10" s="3" t="s">
        <v>511</v>
      </c>
      <c r="O10" s="3" t="s">
        <v>379</v>
      </c>
      <c r="P10" s="42" t="s">
        <v>43</v>
      </c>
      <c r="Q10" s="42">
        <v>94503770.444999993</v>
      </c>
      <c r="R10" s="42" t="s">
        <v>515</v>
      </c>
      <c r="S10" s="2" t="s">
        <v>43</v>
      </c>
    </row>
    <row r="11" spans="3:19" x14ac:dyDescent="0.25">
      <c r="C11" s="3" t="s">
        <v>516</v>
      </c>
      <c r="D11" s="3" t="s">
        <v>517</v>
      </c>
      <c r="E11" s="3" t="s">
        <v>518</v>
      </c>
      <c r="F11" s="4">
        <v>10.130000000000001</v>
      </c>
      <c r="G11" s="3" t="s">
        <v>376</v>
      </c>
      <c r="H11" s="3" t="s">
        <v>46</v>
      </c>
      <c r="I11" s="3" t="s">
        <v>1030</v>
      </c>
      <c r="J11" s="3" t="s">
        <v>100</v>
      </c>
      <c r="K11" s="3" t="s">
        <v>205</v>
      </c>
      <c r="L11" s="3" t="s">
        <v>40</v>
      </c>
      <c r="M11" s="3" t="s">
        <v>514</v>
      </c>
      <c r="N11" s="3" t="s">
        <v>516</v>
      </c>
      <c r="O11" s="3" t="s">
        <v>379</v>
      </c>
      <c r="P11" s="42" t="s">
        <v>43</v>
      </c>
      <c r="Q11" s="42">
        <v>85423097.304999992</v>
      </c>
      <c r="R11" s="42" t="s">
        <v>515</v>
      </c>
      <c r="S11" s="2" t="s">
        <v>43</v>
      </c>
    </row>
    <row r="12" spans="3:19" x14ac:dyDescent="0.25">
      <c r="C12" s="3" t="s">
        <v>796</v>
      </c>
      <c r="D12" s="3" t="s">
        <v>797</v>
      </c>
      <c r="E12" s="3" t="s">
        <v>797</v>
      </c>
      <c r="F12" s="4">
        <v>8</v>
      </c>
      <c r="G12" s="3" t="s">
        <v>376</v>
      </c>
      <c r="H12" s="3" t="s">
        <v>81</v>
      </c>
      <c r="I12" s="3" t="s">
        <v>1030</v>
      </c>
      <c r="J12" s="3" t="s">
        <v>146</v>
      </c>
      <c r="K12" s="3" t="s">
        <v>59</v>
      </c>
      <c r="L12" s="3" t="s">
        <v>40</v>
      </c>
      <c r="M12" s="3" t="s">
        <v>1035</v>
      </c>
      <c r="N12" s="3" t="s">
        <v>796</v>
      </c>
      <c r="O12" s="3" t="s">
        <v>379</v>
      </c>
      <c r="P12" s="42" t="s">
        <v>43</v>
      </c>
      <c r="Q12" s="42">
        <v>38944605.745499998</v>
      </c>
      <c r="R12" s="42" t="s">
        <v>799</v>
      </c>
      <c r="S12" s="2" t="s">
        <v>440</v>
      </c>
    </row>
    <row r="13" spans="3:19" x14ac:dyDescent="0.25">
      <c r="C13" s="3" t="s">
        <v>463</v>
      </c>
      <c r="D13" s="3" t="s">
        <v>464</v>
      </c>
      <c r="E13" s="3" t="s">
        <v>465</v>
      </c>
      <c r="F13" s="4">
        <v>8.9</v>
      </c>
      <c r="G13" s="3" t="s">
        <v>376</v>
      </c>
      <c r="H13" s="3" t="s">
        <v>46</v>
      </c>
      <c r="I13" s="3" t="s">
        <v>1030</v>
      </c>
      <c r="J13" s="3" t="s">
        <v>466</v>
      </c>
      <c r="K13" s="3" t="s">
        <v>51</v>
      </c>
      <c r="L13" s="3" t="s">
        <v>40</v>
      </c>
      <c r="M13" s="3" t="s">
        <v>1035</v>
      </c>
      <c r="N13" s="3" t="s">
        <v>463</v>
      </c>
      <c r="O13" s="3" t="s">
        <v>379</v>
      </c>
      <c r="P13" s="42" t="s">
        <v>43</v>
      </c>
      <c r="Q13" s="42">
        <v>73679866.014999986</v>
      </c>
      <c r="R13" s="42" t="s">
        <v>467</v>
      </c>
      <c r="S13" s="2" t="s">
        <v>43</v>
      </c>
    </row>
    <row r="14" spans="3:19" x14ac:dyDescent="0.25">
      <c r="C14" s="3" t="s">
        <v>383</v>
      </c>
      <c r="D14" s="3" t="s">
        <v>384</v>
      </c>
      <c r="E14" s="3" t="s">
        <v>384</v>
      </c>
      <c r="F14" s="4">
        <v>8</v>
      </c>
      <c r="G14" s="3" t="s">
        <v>376</v>
      </c>
      <c r="H14" s="3" t="s">
        <v>46</v>
      </c>
      <c r="I14" s="3" t="s">
        <v>1031</v>
      </c>
      <c r="J14" s="3" t="s">
        <v>63</v>
      </c>
      <c r="K14" s="3" t="s">
        <v>138</v>
      </c>
      <c r="L14" s="3" t="s">
        <v>40</v>
      </c>
      <c r="M14" s="3" t="s">
        <v>378</v>
      </c>
      <c r="N14" s="3" t="s">
        <v>383</v>
      </c>
      <c r="O14" s="3" t="s">
        <v>42</v>
      </c>
      <c r="P14" s="42" t="s">
        <v>43</v>
      </c>
      <c r="Q14" s="42">
        <v>92712142.140000001</v>
      </c>
      <c r="R14" s="42" t="s">
        <v>380</v>
      </c>
      <c r="S14" s="2" t="s">
        <v>43</v>
      </c>
    </row>
    <row r="15" spans="3:19" x14ac:dyDescent="0.25">
      <c r="C15" s="3" t="s">
        <v>646</v>
      </c>
      <c r="D15" s="3" t="s">
        <v>647</v>
      </c>
      <c r="E15" s="3" t="s">
        <v>647</v>
      </c>
      <c r="F15" s="4">
        <v>7</v>
      </c>
      <c r="G15" s="3" t="s">
        <v>376</v>
      </c>
      <c r="H15" s="3" t="s">
        <v>46</v>
      </c>
      <c r="I15" s="3" t="s">
        <v>1030</v>
      </c>
      <c r="J15" s="3" t="s">
        <v>50</v>
      </c>
      <c r="K15" s="3" t="s">
        <v>59</v>
      </c>
      <c r="L15" s="3" t="s">
        <v>40</v>
      </c>
      <c r="M15" s="3" t="s">
        <v>514</v>
      </c>
      <c r="N15" s="3" t="s">
        <v>646</v>
      </c>
      <c r="O15" s="3" t="s">
        <v>42</v>
      </c>
      <c r="P15" s="42" t="s">
        <v>43</v>
      </c>
      <c r="Q15" s="42">
        <v>73205384.979999989</v>
      </c>
      <c r="R15" s="42" t="s">
        <v>597</v>
      </c>
      <c r="S15" s="2" t="s">
        <v>43</v>
      </c>
    </row>
    <row r="16" spans="3:19" x14ac:dyDescent="0.25">
      <c r="C16" s="3" t="s">
        <v>648</v>
      </c>
      <c r="D16" s="3" t="s">
        <v>649</v>
      </c>
      <c r="E16" s="3" t="s">
        <v>650</v>
      </c>
      <c r="F16" s="4">
        <v>7.45</v>
      </c>
      <c r="G16" s="3" t="s">
        <v>376</v>
      </c>
      <c r="H16" s="3" t="s">
        <v>46</v>
      </c>
      <c r="I16" s="3" t="s">
        <v>1030</v>
      </c>
      <c r="J16" s="3" t="s">
        <v>50</v>
      </c>
      <c r="K16" s="3" t="s">
        <v>64</v>
      </c>
      <c r="L16" s="3" t="s">
        <v>40</v>
      </c>
      <c r="M16" s="3" t="s">
        <v>514</v>
      </c>
      <c r="N16" s="3" t="s">
        <v>648</v>
      </c>
      <c r="O16" s="3" t="s">
        <v>42</v>
      </c>
      <c r="P16" s="42" t="s">
        <v>43</v>
      </c>
      <c r="Q16" s="42">
        <v>85677105.114999995</v>
      </c>
      <c r="R16" s="42" t="s">
        <v>597</v>
      </c>
      <c r="S16" s="2" t="s">
        <v>43</v>
      </c>
    </row>
    <row r="17" spans="3:19" x14ac:dyDescent="0.25">
      <c r="C17" s="3" t="s">
        <v>642</v>
      </c>
      <c r="D17" s="3" t="s">
        <v>643</v>
      </c>
      <c r="E17" s="3" t="s">
        <v>643</v>
      </c>
      <c r="F17" s="4">
        <v>5.07</v>
      </c>
      <c r="G17" s="3" t="s">
        <v>376</v>
      </c>
      <c r="H17" s="3" t="s">
        <v>46</v>
      </c>
      <c r="I17" s="3" t="s">
        <v>1030</v>
      </c>
      <c r="J17" s="3" t="s">
        <v>50</v>
      </c>
      <c r="K17" s="3" t="s">
        <v>51</v>
      </c>
      <c r="L17" s="3" t="s">
        <v>40</v>
      </c>
      <c r="M17" s="3" t="s">
        <v>514</v>
      </c>
      <c r="N17" s="3" t="s">
        <v>642</v>
      </c>
      <c r="O17" s="3" t="s">
        <v>42</v>
      </c>
      <c r="P17" s="42" t="s">
        <v>43</v>
      </c>
      <c r="Q17" s="42">
        <v>89303132.729999989</v>
      </c>
      <c r="R17" s="42" t="s">
        <v>597</v>
      </c>
      <c r="S17" s="2" t="s">
        <v>43</v>
      </c>
    </row>
    <row r="18" spans="3:19" x14ac:dyDescent="0.25">
      <c r="C18" s="3" t="s">
        <v>468</v>
      </c>
      <c r="D18" s="3" t="s">
        <v>469</v>
      </c>
      <c r="E18" s="3" t="s">
        <v>470</v>
      </c>
      <c r="F18" s="4">
        <v>8.4499999999999993</v>
      </c>
      <c r="G18" s="3" t="s">
        <v>376</v>
      </c>
      <c r="H18" s="3" t="s">
        <v>46</v>
      </c>
      <c r="I18" s="3" t="s">
        <v>1030</v>
      </c>
      <c r="J18" s="3" t="s">
        <v>466</v>
      </c>
      <c r="K18" s="3" t="s">
        <v>51</v>
      </c>
      <c r="L18" s="3" t="s">
        <v>40</v>
      </c>
      <c r="M18" s="3" t="s">
        <v>1035</v>
      </c>
      <c r="N18" s="3" t="s">
        <v>468</v>
      </c>
      <c r="O18" s="3" t="s">
        <v>42</v>
      </c>
      <c r="P18" s="42" t="s">
        <v>43</v>
      </c>
      <c r="Q18" s="42">
        <v>93097939.799999997</v>
      </c>
      <c r="R18" s="42" t="s">
        <v>467</v>
      </c>
      <c r="S18" s="2" t="s">
        <v>43</v>
      </c>
    </row>
    <row r="19" spans="3:19" x14ac:dyDescent="0.25">
      <c r="C19" s="3" t="s">
        <v>932</v>
      </c>
      <c r="D19" s="3" t="s">
        <v>933</v>
      </c>
      <c r="E19" s="3" t="s">
        <v>933</v>
      </c>
      <c r="F19" s="4">
        <v>7</v>
      </c>
      <c r="G19" s="3" t="s">
        <v>376</v>
      </c>
      <c r="H19" s="3" t="s">
        <v>46</v>
      </c>
      <c r="I19" s="3" t="s">
        <v>1030</v>
      </c>
      <c r="J19" s="3" t="s">
        <v>160</v>
      </c>
      <c r="K19" s="3" t="s">
        <v>353</v>
      </c>
      <c r="L19" s="3" t="s">
        <v>40</v>
      </c>
      <c r="M19" s="3" t="s">
        <v>984</v>
      </c>
      <c r="N19" s="3" t="s">
        <v>932</v>
      </c>
      <c r="O19" s="3" t="s">
        <v>42</v>
      </c>
      <c r="P19" s="42" t="s">
        <v>43</v>
      </c>
      <c r="Q19" s="42">
        <v>74438076.089999989</v>
      </c>
      <c r="R19" s="42" t="s">
        <v>931</v>
      </c>
      <c r="S19" s="2" t="s">
        <v>43</v>
      </c>
    </row>
    <row r="20" spans="3:19" x14ac:dyDescent="0.25">
      <c r="C20" s="3" t="s">
        <v>390</v>
      </c>
      <c r="D20" s="3" t="s">
        <v>391</v>
      </c>
      <c r="E20" s="3" t="s">
        <v>391</v>
      </c>
      <c r="F20" s="4">
        <v>7</v>
      </c>
      <c r="G20" s="3" t="s">
        <v>376</v>
      </c>
      <c r="H20" s="3" t="s">
        <v>46</v>
      </c>
      <c r="I20" s="3" t="s">
        <v>1031</v>
      </c>
      <c r="J20" s="3" t="s">
        <v>63</v>
      </c>
      <c r="K20" s="3" t="s">
        <v>138</v>
      </c>
      <c r="L20" s="3" t="s">
        <v>40</v>
      </c>
      <c r="M20" s="3" t="s">
        <v>378</v>
      </c>
      <c r="N20" s="3" t="s">
        <v>390</v>
      </c>
      <c r="O20" s="3" t="s">
        <v>42</v>
      </c>
      <c r="P20" s="42" t="s">
        <v>43</v>
      </c>
      <c r="Q20" s="42">
        <v>85532788.354999989</v>
      </c>
      <c r="R20" s="42" t="s">
        <v>380</v>
      </c>
      <c r="S20" s="2" t="s">
        <v>43</v>
      </c>
    </row>
    <row r="21" spans="3:19" x14ac:dyDescent="0.25">
      <c r="C21" s="3" t="s">
        <v>883</v>
      </c>
      <c r="D21" s="3" t="s">
        <v>884</v>
      </c>
      <c r="E21" s="3" t="s">
        <v>986</v>
      </c>
      <c r="F21" s="4">
        <v>5.45</v>
      </c>
      <c r="G21" s="3" t="s">
        <v>376</v>
      </c>
      <c r="H21" s="3" t="s">
        <v>46</v>
      </c>
      <c r="I21" s="3" t="s">
        <v>1030</v>
      </c>
      <c r="J21" s="3" t="s">
        <v>73</v>
      </c>
      <c r="K21" s="3" t="s">
        <v>315</v>
      </c>
      <c r="L21" s="3" t="s">
        <v>40</v>
      </c>
      <c r="M21" s="3" t="s">
        <v>514</v>
      </c>
      <c r="N21" s="3" t="s">
        <v>883</v>
      </c>
      <c r="O21" s="3" t="s">
        <v>42</v>
      </c>
      <c r="P21" s="42" t="s">
        <v>440</v>
      </c>
      <c r="Q21" s="42">
        <v>45175355.280000001</v>
      </c>
      <c r="R21" s="42" t="s">
        <v>886</v>
      </c>
      <c r="S21" s="2" t="s">
        <v>43</v>
      </c>
    </row>
    <row r="22" spans="3:19" x14ac:dyDescent="0.25">
      <c r="C22" s="3" t="s">
        <v>387</v>
      </c>
      <c r="D22" s="3" t="s">
        <v>388</v>
      </c>
      <c r="E22" s="3" t="s">
        <v>389</v>
      </c>
      <c r="F22" s="4">
        <v>7</v>
      </c>
      <c r="G22" s="3" t="s">
        <v>376</v>
      </c>
      <c r="H22" s="3" t="s">
        <v>46</v>
      </c>
      <c r="I22" s="3" t="s">
        <v>1031</v>
      </c>
      <c r="J22" s="3" t="s">
        <v>63</v>
      </c>
      <c r="K22" s="3" t="s">
        <v>138</v>
      </c>
      <c r="L22" s="3" t="s">
        <v>40</v>
      </c>
      <c r="M22" s="3" t="s">
        <v>378</v>
      </c>
      <c r="N22" s="3" t="s">
        <v>387</v>
      </c>
      <c r="O22" s="3" t="s">
        <v>42</v>
      </c>
      <c r="P22" s="42" t="s">
        <v>43</v>
      </c>
      <c r="Q22" s="42">
        <v>67360732.680000007</v>
      </c>
      <c r="R22" s="42" t="s">
        <v>380</v>
      </c>
      <c r="S22" s="2" t="s">
        <v>43</v>
      </c>
    </row>
    <row r="23" spans="3:19" x14ac:dyDescent="0.25">
      <c r="C23" s="3" t="s">
        <v>519</v>
      </c>
      <c r="D23" s="3" t="s">
        <v>520</v>
      </c>
      <c r="E23" s="3" t="s">
        <v>520</v>
      </c>
      <c r="F23" s="4">
        <v>7</v>
      </c>
      <c r="G23" s="3" t="s">
        <v>376</v>
      </c>
      <c r="H23" s="3" t="s">
        <v>46</v>
      </c>
      <c r="I23" s="3" t="s">
        <v>1030</v>
      </c>
      <c r="J23" s="3" t="s">
        <v>100</v>
      </c>
      <c r="K23" s="3" t="s">
        <v>138</v>
      </c>
      <c r="L23" s="3" t="s">
        <v>40</v>
      </c>
      <c r="M23" s="3" t="s">
        <v>514</v>
      </c>
      <c r="N23" s="3" t="s">
        <v>519</v>
      </c>
      <c r="O23" s="3" t="s">
        <v>42</v>
      </c>
      <c r="P23" s="42" t="s">
        <v>43</v>
      </c>
      <c r="Q23" s="42">
        <v>77606667.359999999</v>
      </c>
      <c r="R23" s="42" t="s">
        <v>515</v>
      </c>
      <c r="S23" s="2" t="s">
        <v>43</v>
      </c>
    </row>
    <row r="24" spans="3:19" x14ac:dyDescent="0.25">
      <c r="C24" s="3" t="s">
        <v>887</v>
      </c>
      <c r="D24" s="3" t="s">
        <v>275</v>
      </c>
      <c r="E24" s="3" t="s">
        <v>888</v>
      </c>
      <c r="F24" s="4">
        <v>8.68</v>
      </c>
      <c r="G24" s="3" t="s">
        <v>376</v>
      </c>
      <c r="H24" s="3" t="s">
        <v>46</v>
      </c>
      <c r="I24" s="3" t="s">
        <v>1030</v>
      </c>
      <c r="J24" s="3" t="s">
        <v>73</v>
      </c>
      <c r="K24" s="3" t="s">
        <v>275</v>
      </c>
      <c r="L24" s="3" t="s">
        <v>40</v>
      </c>
      <c r="M24" s="3" t="s">
        <v>514</v>
      </c>
      <c r="N24" s="3" t="s">
        <v>887</v>
      </c>
      <c r="O24" s="3" t="s">
        <v>42</v>
      </c>
      <c r="P24" s="42" t="s">
        <v>43</v>
      </c>
      <c r="Q24" s="42">
        <v>99478774.674999997</v>
      </c>
      <c r="R24" s="42" t="s">
        <v>886</v>
      </c>
      <c r="S24" s="2" t="s">
        <v>43</v>
      </c>
    </row>
    <row r="25" spans="3:19" ht="13" x14ac:dyDescent="0.25">
      <c r="C25" s="3" t="s">
        <v>654</v>
      </c>
      <c r="D25" s="3" t="s">
        <v>655</v>
      </c>
      <c r="E25" s="3" t="s">
        <v>655</v>
      </c>
      <c r="F25" s="43">
        <v>7</v>
      </c>
      <c r="G25" s="3" t="s">
        <v>376</v>
      </c>
      <c r="H25" s="3" t="s">
        <v>46</v>
      </c>
      <c r="I25" s="3" t="s">
        <v>1030</v>
      </c>
      <c r="J25" s="3" t="s">
        <v>248</v>
      </c>
      <c r="K25" s="3" t="s">
        <v>51</v>
      </c>
      <c r="L25" s="3" t="s">
        <v>40</v>
      </c>
      <c r="M25" s="3" t="s">
        <v>984</v>
      </c>
      <c r="N25" s="3" t="s">
        <v>654</v>
      </c>
      <c r="O25" s="3" t="s">
        <v>42</v>
      </c>
      <c r="P25" s="42" t="s">
        <v>43</v>
      </c>
      <c r="Q25" s="42">
        <v>80573377.569999993</v>
      </c>
      <c r="R25" s="42" t="s">
        <v>51</v>
      </c>
      <c r="S25" s="2" t="s">
        <v>43</v>
      </c>
    </row>
    <row r="26" spans="3:19" x14ac:dyDescent="0.25">
      <c r="C26" s="3" t="s">
        <v>800</v>
      </c>
      <c r="D26" s="3" t="s">
        <v>801</v>
      </c>
      <c r="E26" s="3" t="s">
        <v>801</v>
      </c>
      <c r="F26" s="4">
        <v>7</v>
      </c>
      <c r="G26" s="3" t="s">
        <v>376</v>
      </c>
      <c r="H26" s="3" t="s">
        <v>46</v>
      </c>
      <c r="I26" s="3" t="s">
        <v>1030</v>
      </c>
      <c r="J26" s="3" t="s">
        <v>146</v>
      </c>
      <c r="K26" s="3" t="s">
        <v>59</v>
      </c>
      <c r="L26" s="3" t="s">
        <v>40</v>
      </c>
      <c r="M26" s="3" t="s">
        <v>1035</v>
      </c>
      <c r="N26" s="3" t="s">
        <v>800</v>
      </c>
      <c r="O26" s="3" t="s">
        <v>42</v>
      </c>
      <c r="P26" s="42" t="s">
        <v>43</v>
      </c>
      <c r="Q26" s="42">
        <v>51954126.359999999</v>
      </c>
      <c r="R26" s="42" t="s">
        <v>799</v>
      </c>
      <c r="S26" s="2" t="s">
        <v>43</v>
      </c>
    </row>
    <row r="27" spans="3:19" x14ac:dyDescent="0.25">
      <c r="C27" s="3" t="s">
        <v>385</v>
      </c>
      <c r="D27" s="3" t="s">
        <v>386</v>
      </c>
      <c r="E27" s="3" t="s">
        <v>386</v>
      </c>
      <c r="F27" s="4">
        <v>7</v>
      </c>
      <c r="G27" s="3" t="s">
        <v>376</v>
      </c>
      <c r="H27" s="3" t="s">
        <v>46</v>
      </c>
      <c r="I27" s="3" t="s">
        <v>1031</v>
      </c>
      <c r="J27" s="3" t="s">
        <v>63</v>
      </c>
      <c r="K27" s="3" t="s">
        <v>138</v>
      </c>
      <c r="L27" s="3" t="s">
        <v>40</v>
      </c>
      <c r="M27" s="3" t="s">
        <v>378</v>
      </c>
      <c r="N27" s="3" t="s">
        <v>385</v>
      </c>
      <c r="O27" s="3" t="s">
        <v>42</v>
      </c>
      <c r="P27" s="42" t="s">
        <v>43</v>
      </c>
      <c r="Q27" s="42">
        <v>81030043.324999988</v>
      </c>
      <c r="R27" s="42" t="s">
        <v>380</v>
      </c>
      <c r="S27" s="2" t="s">
        <v>43</v>
      </c>
    </row>
    <row r="28" spans="3:19" x14ac:dyDescent="0.25">
      <c r="C28" s="3" t="s">
        <v>934</v>
      </c>
      <c r="D28" s="3" t="s">
        <v>935</v>
      </c>
      <c r="E28" s="3" t="s">
        <v>935</v>
      </c>
      <c r="F28" s="4">
        <v>7</v>
      </c>
      <c r="G28" s="3" t="s">
        <v>376</v>
      </c>
      <c r="H28" s="3" t="s">
        <v>46</v>
      </c>
      <c r="I28" s="3" t="s">
        <v>1030</v>
      </c>
      <c r="J28" s="3" t="s">
        <v>160</v>
      </c>
      <c r="K28" s="3" t="s">
        <v>353</v>
      </c>
      <c r="L28" s="3" t="s">
        <v>40</v>
      </c>
      <c r="M28" s="3" t="s">
        <v>984</v>
      </c>
      <c r="N28" s="3" t="s">
        <v>934</v>
      </c>
      <c r="O28" s="3" t="s">
        <v>42</v>
      </c>
      <c r="P28" s="42" t="s">
        <v>43</v>
      </c>
      <c r="Q28" s="42">
        <v>66953035.729999997</v>
      </c>
      <c r="R28" s="42" t="s">
        <v>931</v>
      </c>
      <c r="S28" s="2" t="s">
        <v>43</v>
      </c>
    </row>
    <row r="29" spans="3:19" x14ac:dyDescent="0.25">
      <c r="C29" s="3" t="s">
        <v>573</v>
      </c>
      <c r="D29" s="3" t="s">
        <v>574</v>
      </c>
      <c r="E29" s="3" t="s">
        <v>575</v>
      </c>
      <c r="F29" s="4">
        <v>7</v>
      </c>
      <c r="G29" s="3" t="s">
        <v>376</v>
      </c>
      <c r="H29" s="3" t="s">
        <v>46</v>
      </c>
      <c r="I29" s="3" t="s">
        <v>1030</v>
      </c>
      <c r="J29" s="3" t="s">
        <v>331</v>
      </c>
      <c r="K29" s="3" t="s">
        <v>138</v>
      </c>
      <c r="L29" s="3" t="s">
        <v>40</v>
      </c>
      <c r="M29" s="3" t="s">
        <v>984</v>
      </c>
      <c r="N29" s="3" t="s">
        <v>573</v>
      </c>
      <c r="O29" s="3" t="s">
        <v>42</v>
      </c>
      <c r="P29" s="42" t="s">
        <v>440</v>
      </c>
      <c r="Q29" s="42">
        <v>75524528.029999986</v>
      </c>
      <c r="R29" s="42" t="s">
        <v>557</v>
      </c>
      <c r="S29" s="2" t="s">
        <v>43</v>
      </c>
    </row>
    <row r="30" spans="3:19" x14ac:dyDescent="0.25">
      <c r="C30" s="3" t="s">
        <v>804</v>
      </c>
      <c r="D30" s="3" t="s">
        <v>805</v>
      </c>
      <c r="E30" s="3" t="s">
        <v>806</v>
      </c>
      <c r="F30" s="4">
        <v>6.56</v>
      </c>
      <c r="G30" s="3" t="s">
        <v>376</v>
      </c>
      <c r="H30" s="3" t="s">
        <v>46</v>
      </c>
      <c r="I30" s="3" t="s">
        <v>1030</v>
      </c>
      <c r="J30" s="3" t="s">
        <v>146</v>
      </c>
      <c r="K30" s="3" t="s">
        <v>59</v>
      </c>
      <c r="L30" s="3" t="s">
        <v>40</v>
      </c>
      <c r="M30" s="3" t="s">
        <v>1035</v>
      </c>
      <c r="N30" s="3" t="s">
        <v>804</v>
      </c>
      <c r="O30" s="3" t="s">
        <v>42</v>
      </c>
      <c r="P30" s="42" t="s">
        <v>43</v>
      </c>
      <c r="Q30" s="42">
        <v>62835571.504999995</v>
      </c>
      <c r="R30" s="42" t="s">
        <v>799</v>
      </c>
      <c r="S30" s="2" t="s">
        <v>43</v>
      </c>
    </row>
    <row r="31" spans="3:19" x14ac:dyDescent="0.25">
      <c r="C31" s="3" t="s">
        <v>618</v>
      </c>
      <c r="D31" s="3" t="s">
        <v>619</v>
      </c>
      <c r="E31" s="3" t="s">
        <v>619</v>
      </c>
      <c r="F31" s="4">
        <v>6.68</v>
      </c>
      <c r="G31" s="3" t="s">
        <v>376</v>
      </c>
      <c r="H31" s="3" t="s">
        <v>46</v>
      </c>
      <c r="I31" s="3" t="s">
        <v>1030</v>
      </c>
      <c r="J31" s="3" t="s">
        <v>50</v>
      </c>
      <c r="K31" s="3" t="s">
        <v>59</v>
      </c>
      <c r="L31" s="3" t="s">
        <v>40</v>
      </c>
      <c r="M31" s="3" t="s">
        <v>514</v>
      </c>
      <c r="N31" s="3" t="s">
        <v>618</v>
      </c>
      <c r="O31" s="3" t="s">
        <v>42</v>
      </c>
      <c r="P31" s="42" t="s">
        <v>43</v>
      </c>
      <c r="Q31" s="42">
        <v>63356821.709999993</v>
      </c>
      <c r="R31" s="42" t="s">
        <v>597</v>
      </c>
      <c r="S31" s="2" t="s">
        <v>43</v>
      </c>
    </row>
    <row r="32" spans="3:19" x14ac:dyDescent="0.25">
      <c r="C32" s="3" t="s">
        <v>419</v>
      </c>
      <c r="D32" s="3" t="s">
        <v>420</v>
      </c>
      <c r="E32" s="3" t="s">
        <v>64</v>
      </c>
      <c r="F32" s="4">
        <v>6</v>
      </c>
      <c r="G32" s="3" t="s">
        <v>376</v>
      </c>
      <c r="H32" s="3" t="s">
        <v>46</v>
      </c>
      <c r="I32" s="3" t="s">
        <v>1030</v>
      </c>
      <c r="J32" s="3" t="s">
        <v>94</v>
      </c>
      <c r="K32" s="3" t="s">
        <v>64</v>
      </c>
      <c r="L32" s="3" t="s">
        <v>40</v>
      </c>
      <c r="M32" s="3" t="s">
        <v>1035</v>
      </c>
      <c r="N32" s="3" t="s">
        <v>419</v>
      </c>
      <c r="O32" s="3" t="s">
        <v>42</v>
      </c>
      <c r="P32" s="42" t="s">
        <v>43</v>
      </c>
      <c r="Q32" s="42">
        <v>65235486.224999994</v>
      </c>
      <c r="R32" s="42" t="s">
        <v>423</v>
      </c>
      <c r="S32" s="2" t="s">
        <v>43</v>
      </c>
    </row>
    <row r="33" spans="3:19" x14ac:dyDescent="0.25">
      <c r="C33" s="3" t="s">
        <v>521</v>
      </c>
      <c r="D33" s="3" t="s">
        <v>522</v>
      </c>
      <c r="E33" s="3" t="s">
        <v>522</v>
      </c>
      <c r="F33" s="44">
        <v>6</v>
      </c>
      <c r="G33" s="3" t="s">
        <v>376</v>
      </c>
      <c r="H33" s="3" t="s">
        <v>46</v>
      </c>
      <c r="I33" s="3" t="s">
        <v>1030</v>
      </c>
      <c r="J33" s="3" t="s">
        <v>100</v>
      </c>
      <c r="K33" s="3" t="s">
        <v>138</v>
      </c>
      <c r="L33" s="3" t="s">
        <v>40</v>
      </c>
      <c r="M33" s="3" t="s">
        <v>514</v>
      </c>
      <c r="N33" s="3" t="s">
        <v>521</v>
      </c>
      <c r="O33" s="3" t="s">
        <v>42</v>
      </c>
      <c r="P33" s="42" t="s">
        <v>43</v>
      </c>
      <c r="Q33" s="42">
        <v>60402584.000000007</v>
      </c>
      <c r="R33" s="42" t="s">
        <v>515</v>
      </c>
      <c r="S33" s="2" t="s">
        <v>43</v>
      </c>
    </row>
    <row r="34" spans="3:19" x14ac:dyDescent="0.25">
      <c r="C34" s="3" t="s">
        <v>844</v>
      </c>
      <c r="D34" s="3" t="s">
        <v>845</v>
      </c>
      <c r="E34" s="3" t="s">
        <v>846</v>
      </c>
      <c r="F34" s="4">
        <v>6</v>
      </c>
      <c r="G34" s="3" t="s">
        <v>376</v>
      </c>
      <c r="H34" s="3" t="s">
        <v>46</v>
      </c>
      <c r="I34" s="3" t="s">
        <v>1030</v>
      </c>
      <c r="J34" s="3" t="s">
        <v>132</v>
      </c>
      <c r="K34" s="3" t="s">
        <v>138</v>
      </c>
      <c r="L34" s="3" t="s">
        <v>40</v>
      </c>
      <c r="M34" s="3" t="s">
        <v>1035</v>
      </c>
      <c r="N34" s="3" t="s">
        <v>844</v>
      </c>
      <c r="O34" s="3" t="s">
        <v>42</v>
      </c>
      <c r="P34" s="42" t="s">
        <v>43</v>
      </c>
      <c r="Q34" s="42">
        <v>63732591.964999996</v>
      </c>
      <c r="R34" s="42" t="s">
        <v>847</v>
      </c>
      <c r="S34" s="2" t="s">
        <v>43</v>
      </c>
    </row>
    <row r="35" spans="3:19" x14ac:dyDescent="0.25">
      <c r="C35" s="3" t="s">
        <v>889</v>
      </c>
      <c r="D35" s="3" t="s">
        <v>890</v>
      </c>
      <c r="E35" s="3" t="s">
        <v>890</v>
      </c>
      <c r="F35" s="4">
        <v>6</v>
      </c>
      <c r="G35" s="3" t="s">
        <v>376</v>
      </c>
      <c r="H35" s="3" t="s">
        <v>46</v>
      </c>
      <c r="I35" s="3" t="s">
        <v>1030</v>
      </c>
      <c r="J35" s="3" t="s">
        <v>73</v>
      </c>
      <c r="K35" s="3" t="s">
        <v>97</v>
      </c>
      <c r="L35" s="3" t="s">
        <v>40</v>
      </c>
      <c r="M35" s="3" t="s">
        <v>514</v>
      </c>
      <c r="N35" s="3" t="s">
        <v>889</v>
      </c>
      <c r="O35" s="3" t="s">
        <v>42</v>
      </c>
      <c r="P35" s="42" t="s">
        <v>43</v>
      </c>
      <c r="Q35" s="42">
        <v>59521890.854999997</v>
      </c>
      <c r="R35" s="42" t="s">
        <v>886</v>
      </c>
      <c r="S35" s="2" t="s">
        <v>43</v>
      </c>
    </row>
    <row r="36" spans="3:19" x14ac:dyDescent="0.25">
      <c r="C36" s="3" t="s">
        <v>392</v>
      </c>
      <c r="D36" s="3" t="s">
        <v>393</v>
      </c>
      <c r="E36" s="3" t="s">
        <v>393</v>
      </c>
      <c r="F36" s="4">
        <v>5</v>
      </c>
      <c r="G36" s="3" t="s">
        <v>376</v>
      </c>
      <c r="H36" s="3" t="s">
        <v>46</v>
      </c>
      <c r="I36" s="3" t="s">
        <v>1031</v>
      </c>
      <c r="J36" s="3" t="s">
        <v>63</v>
      </c>
      <c r="K36" s="3" t="s">
        <v>138</v>
      </c>
      <c r="L36" s="3" t="s">
        <v>40</v>
      </c>
      <c r="M36" s="3" t="s">
        <v>378</v>
      </c>
      <c r="N36" s="3" t="s">
        <v>392</v>
      </c>
      <c r="O36" s="3" t="s">
        <v>42</v>
      </c>
      <c r="P36" s="42" t="s">
        <v>43</v>
      </c>
      <c r="Q36" s="42">
        <v>51398854.989999995</v>
      </c>
      <c r="R36" s="42" t="s">
        <v>380</v>
      </c>
      <c r="S36" s="2" t="s">
        <v>43</v>
      </c>
    </row>
    <row r="37" spans="3:19" x14ac:dyDescent="0.25">
      <c r="C37" s="3" t="s">
        <v>703</v>
      </c>
      <c r="D37" s="3" t="s">
        <v>704</v>
      </c>
      <c r="E37" s="3" t="s">
        <v>705</v>
      </c>
      <c r="F37" s="4">
        <v>5</v>
      </c>
      <c r="G37" s="3" t="s">
        <v>376</v>
      </c>
      <c r="H37" s="3" t="s">
        <v>46</v>
      </c>
      <c r="I37" s="3" t="s">
        <v>1031</v>
      </c>
      <c r="J37" s="3" t="s">
        <v>84</v>
      </c>
      <c r="K37" s="3" t="s">
        <v>706</v>
      </c>
      <c r="L37" s="3" t="s">
        <v>55</v>
      </c>
      <c r="M37" s="3" t="s">
        <v>378</v>
      </c>
      <c r="N37" s="3" t="s">
        <v>703</v>
      </c>
      <c r="O37" s="3" t="s">
        <v>42</v>
      </c>
      <c r="P37" s="42" t="s">
        <v>43</v>
      </c>
      <c r="Q37" s="42">
        <v>47473951.800000004</v>
      </c>
      <c r="R37" s="42" t="s">
        <v>702</v>
      </c>
      <c r="S37" s="2" t="s">
        <v>43</v>
      </c>
    </row>
    <row r="38" spans="3:19" x14ac:dyDescent="0.25">
      <c r="C38" s="3" t="s">
        <v>34</v>
      </c>
      <c r="D38" s="3" t="s">
        <v>35</v>
      </c>
      <c r="E38" s="3" t="s">
        <v>35</v>
      </c>
      <c r="F38" s="4" t="s">
        <v>36</v>
      </c>
      <c r="G38" s="3" t="s">
        <v>37</v>
      </c>
      <c r="H38" s="3" t="s">
        <v>38</v>
      </c>
      <c r="I38" s="3" t="s">
        <v>1046</v>
      </c>
      <c r="J38" s="3">
        <v>0</v>
      </c>
      <c r="K38" s="3" t="s">
        <v>39</v>
      </c>
      <c r="L38" s="3" t="s">
        <v>40</v>
      </c>
      <c r="M38" s="3">
        <v>0</v>
      </c>
      <c r="N38" s="3" t="s">
        <v>34</v>
      </c>
      <c r="O38" s="3" t="s">
        <v>42</v>
      </c>
      <c r="P38" s="42" t="s">
        <v>43</v>
      </c>
      <c r="Q38" s="42" t="s">
        <v>36</v>
      </c>
      <c r="R38" s="42">
        <v>0</v>
      </c>
      <c r="S38" s="2" t="s">
        <v>43</v>
      </c>
    </row>
    <row r="39" spans="3:19" x14ac:dyDescent="0.25">
      <c r="C39" s="3" t="s">
        <v>424</v>
      </c>
      <c r="D39" s="3" t="s">
        <v>425</v>
      </c>
      <c r="E39" s="3" t="s">
        <v>988</v>
      </c>
      <c r="F39" s="4">
        <v>6</v>
      </c>
      <c r="G39" s="3" t="s">
        <v>37</v>
      </c>
      <c r="H39" s="3" t="s">
        <v>46</v>
      </c>
      <c r="I39" s="3" t="s">
        <v>1046</v>
      </c>
      <c r="J39" s="3" t="s">
        <v>94</v>
      </c>
      <c r="K39" s="3" t="s">
        <v>64</v>
      </c>
      <c r="L39" s="3" t="s">
        <v>40</v>
      </c>
      <c r="M39" s="3" t="s">
        <v>1035</v>
      </c>
      <c r="N39" s="3" t="s">
        <v>424</v>
      </c>
      <c r="O39" s="3" t="s">
        <v>42</v>
      </c>
      <c r="P39" s="42" t="s">
        <v>43</v>
      </c>
      <c r="Q39" s="42" t="s">
        <v>36</v>
      </c>
      <c r="R39" s="42" t="s">
        <v>423</v>
      </c>
      <c r="S39" s="2" t="s">
        <v>43</v>
      </c>
    </row>
    <row r="40" spans="3:19" x14ac:dyDescent="0.25">
      <c r="C40" s="3" t="s">
        <v>471</v>
      </c>
      <c r="D40" s="3" t="s">
        <v>472</v>
      </c>
      <c r="E40" s="3" t="s">
        <v>473</v>
      </c>
      <c r="F40" s="4">
        <v>5</v>
      </c>
      <c r="G40" s="3" t="s">
        <v>376</v>
      </c>
      <c r="H40" s="3" t="s">
        <v>46</v>
      </c>
      <c r="I40" s="3" t="s">
        <v>1030</v>
      </c>
      <c r="J40" s="3" t="s">
        <v>466</v>
      </c>
      <c r="K40" s="3" t="s">
        <v>51</v>
      </c>
      <c r="L40" s="3" t="s">
        <v>40</v>
      </c>
      <c r="M40" s="3" t="s">
        <v>1035</v>
      </c>
      <c r="N40" s="3" t="s">
        <v>471</v>
      </c>
      <c r="O40" s="3" t="s">
        <v>42</v>
      </c>
      <c r="P40" s="42" t="s">
        <v>43</v>
      </c>
      <c r="Q40" s="42">
        <v>45860144.119999997</v>
      </c>
      <c r="R40" s="42" t="s">
        <v>467</v>
      </c>
      <c r="S40" s="2" t="s">
        <v>43</v>
      </c>
    </row>
    <row r="41" spans="3:19" x14ac:dyDescent="0.25">
      <c r="C41" s="3" t="s">
        <v>742</v>
      </c>
      <c r="D41" s="3" t="s">
        <v>744</v>
      </c>
      <c r="E41" s="14" t="s">
        <v>989</v>
      </c>
      <c r="F41" s="4">
        <v>6</v>
      </c>
      <c r="G41" s="3" t="s">
        <v>376</v>
      </c>
      <c r="H41" s="3" t="s">
        <v>46</v>
      </c>
      <c r="I41" s="3" t="s">
        <v>1031</v>
      </c>
      <c r="J41" s="3" t="s">
        <v>84</v>
      </c>
      <c r="K41" s="3" t="s">
        <v>54</v>
      </c>
      <c r="L41" s="3" t="s">
        <v>55</v>
      </c>
      <c r="M41" s="3" t="s">
        <v>378</v>
      </c>
      <c r="N41" s="3" t="s">
        <v>742</v>
      </c>
      <c r="O41" s="3" t="s">
        <v>42</v>
      </c>
      <c r="P41" s="42" t="s">
        <v>440</v>
      </c>
      <c r="Q41" s="42">
        <v>34765382.119999997</v>
      </c>
      <c r="R41" s="42" t="s">
        <v>741</v>
      </c>
      <c r="S41" s="2" t="s">
        <v>43</v>
      </c>
    </row>
    <row r="42" spans="3:19" x14ac:dyDescent="0.25">
      <c r="C42" s="3" t="s">
        <v>707</v>
      </c>
      <c r="D42" s="3" t="s">
        <v>706</v>
      </c>
      <c r="E42" s="3" t="s">
        <v>708</v>
      </c>
      <c r="F42" s="4">
        <v>5</v>
      </c>
      <c r="G42" s="3" t="s">
        <v>376</v>
      </c>
      <c r="H42" s="3" t="s">
        <v>46</v>
      </c>
      <c r="I42" s="3" t="s">
        <v>1031</v>
      </c>
      <c r="J42" s="3" t="s">
        <v>84</v>
      </c>
      <c r="K42" s="3" t="s">
        <v>706</v>
      </c>
      <c r="L42" s="3" t="s">
        <v>55</v>
      </c>
      <c r="M42" s="3" t="s">
        <v>378</v>
      </c>
      <c r="N42" s="3" t="s">
        <v>707</v>
      </c>
      <c r="O42" s="3" t="s">
        <v>42</v>
      </c>
      <c r="P42" s="42" t="s">
        <v>440</v>
      </c>
      <c r="Q42" s="42">
        <v>28594634.200000003</v>
      </c>
      <c r="R42" s="42" t="s">
        <v>702</v>
      </c>
      <c r="S42" s="2" t="s">
        <v>43</v>
      </c>
    </row>
    <row r="43" spans="3:19" x14ac:dyDescent="0.25">
      <c r="C43" s="3" t="s">
        <v>394</v>
      </c>
      <c r="D43" s="3" t="s">
        <v>395</v>
      </c>
      <c r="E43" s="3" t="s">
        <v>395</v>
      </c>
      <c r="F43" s="4">
        <v>6</v>
      </c>
      <c r="G43" s="3" t="s">
        <v>376</v>
      </c>
      <c r="H43" s="3" t="s">
        <v>46</v>
      </c>
      <c r="I43" s="3" t="s">
        <v>1031</v>
      </c>
      <c r="J43" s="3" t="s">
        <v>63</v>
      </c>
      <c r="K43" s="3" t="s">
        <v>138</v>
      </c>
      <c r="L43" s="3" t="s">
        <v>40</v>
      </c>
      <c r="M43" s="3" t="s">
        <v>378</v>
      </c>
      <c r="N43" s="3" t="s">
        <v>394</v>
      </c>
      <c r="O43" s="3" t="s">
        <v>42</v>
      </c>
      <c r="P43" s="42" t="s">
        <v>43</v>
      </c>
      <c r="Q43" s="42">
        <v>68421260.340000004</v>
      </c>
      <c r="R43" s="42" t="s">
        <v>380</v>
      </c>
      <c r="S43" s="2" t="s">
        <v>43</v>
      </c>
    </row>
    <row r="44" spans="3:19" x14ac:dyDescent="0.25">
      <c r="C44" s="3" t="s">
        <v>396</v>
      </c>
      <c r="D44" s="3" t="s">
        <v>397</v>
      </c>
      <c r="E44" s="3" t="s">
        <v>397</v>
      </c>
      <c r="F44" s="4">
        <v>6</v>
      </c>
      <c r="G44" s="3" t="s">
        <v>376</v>
      </c>
      <c r="H44" s="3" t="s">
        <v>46</v>
      </c>
      <c r="I44" s="3" t="s">
        <v>1031</v>
      </c>
      <c r="J44" s="3" t="s">
        <v>63</v>
      </c>
      <c r="K44" s="3" t="s">
        <v>138</v>
      </c>
      <c r="L44" s="3" t="s">
        <v>40</v>
      </c>
      <c r="M44" s="3" t="s">
        <v>378</v>
      </c>
      <c r="N44" s="3" t="s">
        <v>396</v>
      </c>
      <c r="O44" s="3" t="s">
        <v>42</v>
      </c>
      <c r="P44" s="42" t="s">
        <v>43</v>
      </c>
      <c r="Q44" s="42">
        <v>53199290.340000004</v>
      </c>
      <c r="R44" s="42" t="s">
        <v>380</v>
      </c>
      <c r="S44" s="2" t="s">
        <v>43</v>
      </c>
    </row>
    <row r="45" spans="3:19" x14ac:dyDescent="0.25">
      <c r="C45" s="3" t="s">
        <v>848</v>
      </c>
      <c r="D45" s="3" t="s">
        <v>849</v>
      </c>
      <c r="E45" s="3" t="s">
        <v>849</v>
      </c>
      <c r="F45" s="4">
        <v>9.68</v>
      </c>
      <c r="G45" s="3" t="s">
        <v>376</v>
      </c>
      <c r="H45" s="3" t="s">
        <v>46</v>
      </c>
      <c r="I45" s="3" t="s">
        <v>1030</v>
      </c>
      <c r="J45" s="3" t="s">
        <v>132</v>
      </c>
      <c r="K45" s="3" t="s">
        <v>138</v>
      </c>
      <c r="L45" s="3" t="s">
        <v>40</v>
      </c>
      <c r="M45" s="3" t="s">
        <v>1035</v>
      </c>
      <c r="N45" s="3" t="s">
        <v>848</v>
      </c>
      <c r="O45" s="3" t="s">
        <v>42</v>
      </c>
      <c r="P45" s="42" t="s">
        <v>43</v>
      </c>
      <c r="Q45" s="42">
        <v>72062424.944999993</v>
      </c>
      <c r="R45" s="42" t="s">
        <v>847</v>
      </c>
      <c r="S45" s="2" t="s">
        <v>43</v>
      </c>
    </row>
    <row r="46" spans="3:19" x14ac:dyDescent="0.25">
      <c r="C46" s="3" t="s">
        <v>936</v>
      </c>
      <c r="D46" s="3" t="s">
        <v>937</v>
      </c>
      <c r="E46" s="3" t="s">
        <v>938</v>
      </c>
      <c r="F46" s="4">
        <v>5</v>
      </c>
      <c r="G46" s="3" t="s">
        <v>376</v>
      </c>
      <c r="H46" s="3" t="s">
        <v>46</v>
      </c>
      <c r="I46" s="3" t="s">
        <v>1030</v>
      </c>
      <c r="J46" s="3" t="s">
        <v>160</v>
      </c>
      <c r="K46" s="3" t="s">
        <v>138</v>
      </c>
      <c r="L46" s="3" t="s">
        <v>40</v>
      </c>
      <c r="M46" s="3" t="s">
        <v>984</v>
      </c>
      <c r="N46" s="3" t="s">
        <v>936</v>
      </c>
      <c r="O46" s="3" t="s">
        <v>42</v>
      </c>
      <c r="P46" s="42" t="s">
        <v>43</v>
      </c>
      <c r="Q46" s="42">
        <v>44263714.980000004</v>
      </c>
      <c r="R46" s="42" t="s">
        <v>931</v>
      </c>
      <c r="S46" s="2" t="s">
        <v>43</v>
      </c>
    </row>
    <row r="47" spans="3:19" x14ac:dyDescent="0.25">
      <c r="C47" s="3" t="s">
        <v>939</v>
      </c>
      <c r="D47" s="3" t="s">
        <v>39</v>
      </c>
      <c r="E47" s="3" t="s">
        <v>39</v>
      </c>
      <c r="F47" s="4">
        <v>6.45</v>
      </c>
      <c r="G47" s="3" t="s">
        <v>376</v>
      </c>
      <c r="H47" s="3" t="s">
        <v>46</v>
      </c>
      <c r="I47" s="3" t="s">
        <v>1030</v>
      </c>
      <c r="J47" s="3" t="s">
        <v>160</v>
      </c>
      <c r="K47" s="3" t="s">
        <v>39</v>
      </c>
      <c r="L47" s="3" t="s">
        <v>40</v>
      </c>
      <c r="M47" s="3" t="s">
        <v>984</v>
      </c>
      <c r="N47" s="3" t="s">
        <v>939</v>
      </c>
      <c r="O47" s="3" t="s">
        <v>42</v>
      </c>
      <c r="P47" s="42" t="s">
        <v>43</v>
      </c>
      <c r="Q47" s="42">
        <v>69677674.324999988</v>
      </c>
      <c r="R47" s="42" t="s">
        <v>931</v>
      </c>
      <c r="S47" s="2" t="s">
        <v>43</v>
      </c>
    </row>
    <row r="48" spans="3:19" x14ac:dyDescent="0.25">
      <c r="C48" s="3" t="s">
        <v>44</v>
      </c>
      <c r="D48" s="3" t="s">
        <v>45</v>
      </c>
      <c r="E48" s="3" t="s">
        <v>45</v>
      </c>
      <c r="F48" s="4" t="s">
        <v>36</v>
      </c>
      <c r="G48" s="3" t="s">
        <v>37</v>
      </c>
      <c r="H48" s="3" t="s">
        <v>46</v>
      </c>
      <c r="I48" s="3" t="s">
        <v>1046</v>
      </c>
      <c r="J48" s="3">
        <v>0</v>
      </c>
      <c r="K48" s="3" t="s">
        <v>47</v>
      </c>
      <c r="L48" s="3" t="s">
        <v>40</v>
      </c>
      <c r="M48" s="3">
        <v>0</v>
      </c>
      <c r="N48" s="3" t="s">
        <v>44</v>
      </c>
      <c r="O48" s="3" t="s">
        <v>42</v>
      </c>
      <c r="P48" s="42" t="s">
        <v>43</v>
      </c>
      <c r="Q48" s="42" t="s">
        <v>36</v>
      </c>
      <c r="R48" s="42">
        <v>0</v>
      </c>
      <c r="S48" s="2" t="s">
        <v>43</v>
      </c>
    </row>
    <row r="49" spans="3:19" x14ac:dyDescent="0.25">
      <c r="C49" s="3" t="s">
        <v>940</v>
      </c>
      <c r="D49" s="3" t="s">
        <v>941</v>
      </c>
      <c r="E49" s="3" t="s">
        <v>941</v>
      </c>
      <c r="F49" s="44">
        <v>9</v>
      </c>
      <c r="G49" s="3" t="s">
        <v>376</v>
      </c>
      <c r="H49" s="3" t="s">
        <v>46</v>
      </c>
      <c r="I49" s="3" t="s">
        <v>1030</v>
      </c>
      <c r="J49" s="3" t="s">
        <v>160</v>
      </c>
      <c r="K49" s="3" t="s">
        <v>371</v>
      </c>
      <c r="L49" s="3" t="s">
        <v>40</v>
      </c>
      <c r="M49" s="3" t="s">
        <v>984</v>
      </c>
      <c r="N49" s="3" t="s">
        <v>940</v>
      </c>
      <c r="O49" s="3" t="s">
        <v>379</v>
      </c>
      <c r="P49" s="42" t="s">
        <v>43</v>
      </c>
      <c r="Q49" s="42">
        <v>66287097.274999991</v>
      </c>
      <c r="R49" s="42" t="s">
        <v>931</v>
      </c>
      <c r="S49" s="2" t="s">
        <v>43</v>
      </c>
    </row>
    <row r="50" spans="3:19" x14ac:dyDescent="0.25">
      <c r="C50" s="3" t="s">
        <v>850</v>
      </c>
      <c r="D50" s="3" t="s">
        <v>851</v>
      </c>
      <c r="E50" s="3" t="s">
        <v>851</v>
      </c>
      <c r="F50" s="4">
        <v>6</v>
      </c>
      <c r="G50" s="3" t="s">
        <v>376</v>
      </c>
      <c r="H50" s="3" t="s">
        <v>46</v>
      </c>
      <c r="I50" s="3" t="s">
        <v>1030</v>
      </c>
      <c r="J50" s="3" t="s">
        <v>132</v>
      </c>
      <c r="K50" s="3" t="s">
        <v>138</v>
      </c>
      <c r="L50" s="3" t="s">
        <v>40</v>
      </c>
      <c r="M50" s="3" t="s">
        <v>1035</v>
      </c>
      <c r="N50" s="3" t="s">
        <v>850</v>
      </c>
      <c r="O50" s="3" t="s">
        <v>42</v>
      </c>
      <c r="P50" s="42" t="s">
        <v>43</v>
      </c>
      <c r="Q50" s="42">
        <v>54889509.009999998</v>
      </c>
      <c r="R50" s="42" t="s">
        <v>847</v>
      </c>
      <c r="S50" s="2" t="s">
        <v>43</v>
      </c>
    </row>
    <row r="51" spans="3:19" x14ac:dyDescent="0.25">
      <c r="C51" s="3" t="s">
        <v>474</v>
      </c>
      <c r="D51" s="3" t="s">
        <v>475</v>
      </c>
      <c r="E51" s="3" t="s">
        <v>475</v>
      </c>
      <c r="F51" s="4">
        <v>6</v>
      </c>
      <c r="G51" s="3" t="s">
        <v>376</v>
      </c>
      <c r="H51" s="3" t="s">
        <v>46</v>
      </c>
      <c r="I51" s="3" t="s">
        <v>1030</v>
      </c>
      <c r="J51" s="3" t="s">
        <v>466</v>
      </c>
      <c r="K51" s="3" t="s">
        <v>51</v>
      </c>
      <c r="L51" s="3" t="s">
        <v>40</v>
      </c>
      <c r="M51" s="3">
        <v>0</v>
      </c>
      <c r="N51" s="3" t="s">
        <v>474</v>
      </c>
      <c r="O51" s="3" t="s">
        <v>42</v>
      </c>
      <c r="P51" s="42" t="s">
        <v>43</v>
      </c>
      <c r="Q51" s="42">
        <v>75770873.604999989</v>
      </c>
      <c r="R51" s="42" t="s">
        <v>467</v>
      </c>
      <c r="S51" s="2" t="s">
        <v>43</v>
      </c>
    </row>
    <row r="52" spans="3:19" x14ac:dyDescent="0.25">
      <c r="C52" s="3" t="s">
        <v>555</v>
      </c>
      <c r="D52" s="3" t="s">
        <v>556</v>
      </c>
      <c r="E52" s="3" t="s">
        <v>556</v>
      </c>
      <c r="F52" s="4">
        <v>5</v>
      </c>
      <c r="G52" s="3" t="s">
        <v>376</v>
      </c>
      <c r="H52" s="3" t="s">
        <v>46</v>
      </c>
      <c r="I52" s="3" t="s">
        <v>1030</v>
      </c>
      <c r="J52" s="3" t="s">
        <v>331</v>
      </c>
      <c r="K52" s="3" t="s">
        <v>138</v>
      </c>
      <c r="L52" s="3" t="s">
        <v>40</v>
      </c>
      <c r="M52" s="3" t="s">
        <v>984</v>
      </c>
      <c r="N52" s="3" t="s">
        <v>555</v>
      </c>
      <c r="O52" s="3" t="s">
        <v>42</v>
      </c>
      <c r="P52" s="42" t="s">
        <v>43</v>
      </c>
      <c r="Q52" s="42">
        <v>47172902.880000003</v>
      </c>
      <c r="R52" s="42" t="s">
        <v>557</v>
      </c>
      <c r="S52" s="2" t="s">
        <v>43</v>
      </c>
    </row>
    <row r="53" spans="3:19" x14ac:dyDescent="0.25">
      <c r="C53" s="3" t="s">
        <v>745</v>
      </c>
      <c r="D53" s="3" t="s">
        <v>746</v>
      </c>
      <c r="E53" s="3" t="s">
        <v>746</v>
      </c>
      <c r="F53" s="4">
        <v>9</v>
      </c>
      <c r="G53" s="3" t="s">
        <v>376</v>
      </c>
      <c r="H53" s="3" t="s">
        <v>46</v>
      </c>
      <c r="I53" s="3" t="s">
        <v>1031</v>
      </c>
      <c r="J53" s="3" t="s">
        <v>84</v>
      </c>
      <c r="K53" s="3" t="s">
        <v>279</v>
      </c>
      <c r="L53" s="3" t="s">
        <v>55</v>
      </c>
      <c r="M53" s="3" t="s">
        <v>378</v>
      </c>
      <c r="N53" s="3" t="s">
        <v>745</v>
      </c>
      <c r="O53" s="3" t="s">
        <v>379</v>
      </c>
      <c r="P53" s="42" t="s">
        <v>43</v>
      </c>
      <c r="Q53" s="42">
        <v>92377873.24499999</v>
      </c>
      <c r="R53" s="42" t="s">
        <v>741</v>
      </c>
      <c r="S53" s="2" t="s">
        <v>43</v>
      </c>
    </row>
    <row r="54" spans="3:19" x14ac:dyDescent="0.25">
      <c r="C54" s="3" t="s">
        <v>656</v>
      </c>
      <c r="D54" s="3" t="s">
        <v>657</v>
      </c>
      <c r="E54" s="3" t="s">
        <v>658</v>
      </c>
      <c r="F54" s="4">
        <v>5</v>
      </c>
      <c r="G54" s="3" t="s">
        <v>376</v>
      </c>
      <c r="H54" s="3" t="s">
        <v>46</v>
      </c>
      <c r="I54" s="3" t="s">
        <v>1030</v>
      </c>
      <c r="J54" s="3" t="s">
        <v>248</v>
      </c>
      <c r="K54" s="3" t="s">
        <v>51</v>
      </c>
      <c r="L54" s="3" t="s">
        <v>40</v>
      </c>
      <c r="M54" s="3" t="s">
        <v>984</v>
      </c>
      <c r="N54" s="3" t="s">
        <v>656</v>
      </c>
      <c r="O54" s="3" t="s">
        <v>42</v>
      </c>
      <c r="P54" s="42" t="s">
        <v>43</v>
      </c>
      <c r="Q54" s="42">
        <v>43508819.200000003</v>
      </c>
      <c r="R54" s="42" t="s">
        <v>51</v>
      </c>
      <c r="S54" s="2" t="s">
        <v>43</v>
      </c>
    </row>
    <row r="55" spans="3:19" x14ac:dyDescent="0.25">
      <c r="C55" s="3" t="s">
        <v>523</v>
      </c>
      <c r="D55" s="3" t="s">
        <v>524</v>
      </c>
      <c r="E55" s="3" t="s">
        <v>524</v>
      </c>
      <c r="F55" s="4">
        <v>6</v>
      </c>
      <c r="G55" s="3" t="s">
        <v>376</v>
      </c>
      <c r="H55" s="3" t="s">
        <v>46</v>
      </c>
      <c r="I55" s="3" t="s">
        <v>1030</v>
      </c>
      <c r="J55" s="3" t="s">
        <v>100</v>
      </c>
      <c r="K55" s="3" t="s">
        <v>138</v>
      </c>
      <c r="L55" s="3" t="s">
        <v>40</v>
      </c>
      <c r="M55" s="3" t="s">
        <v>514</v>
      </c>
      <c r="N55" s="3" t="s">
        <v>523</v>
      </c>
      <c r="O55" s="3" t="s">
        <v>42</v>
      </c>
      <c r="P55" s="42" t="s">
        <v>43</v>
      </c>
      <c r="Q55" s="42">
        <v>59054828.82</v>
      </c>
      <c r="R55" s="42" t="s">
        <v>515</v>
      </c>
      <c r="S55" s="2" t="s">
        <v>43</v>
      </c>
    </row>
    <row r="56" spans="3:19" x14ac:dyDescent="0.25">
      <c r="C56" s="3" t="s">
        <v>476</v>
      </c>
      <c r="D56" s="3" t="s">
        <v>477</v>
      </c>
      <c r="E56" s="3" t="s">
        <v>477</v>
      </c>
      <c r="F56" s="4">
        <v>5</v>
      </c>
      <c r="G56" s="3" t="s">
        <v>376</v>
      </c>
      <c r="H56" s="3" t="s">
        <v>46</v>
      </c>
      <c r="I56" s="3" t="s">
        <v>1030</v>
      </c>
      <c r="J56" s="3" t="s">
        <v>466</v>
      </c>
      <c r="K56" s="3" t="s">
        <v>51</v>
      </c>
      <c r="L56" s="3" t="s">
        <v>40</v>
      </c>
      <c r="M56" s="3" t="s">
        <v>1035</v>
      </c>
      <c r="N56" s="3" t="s">
        <v>476</v>
      </c>
      <c r="O56" s="3" t="s">
        <v>42</v>
      </c>
      <c r="P56" s="42" t="s">
        <v>43</v>
      </c>
      <c r="Q56" s="42">
        <v>63563382.720000006</v>
      </c>
      <c r="R56" s="42" t="s">
        <v>467</v>
      </c>
      <c r="S56" s="2" t="s">
        <v>43</v>
      </c>
    </row>
    <row r="57" spans="3:19" x14ac:dyDescent="0.25">
      <c r="C57" s="3" t="s">
        <v>659</v>
      </c>
      <c r="D57" s="3" t="s">
        <v>660</v>
      </c>
      <c r="E57" s="3" t="s">
        <v>661</v>
      </c>
      <c r="F57" s="4">
        <v>6</v>
      </c>
      <c r="G57" s="3" t="s">
        <v>376</v>
      </c>
      <c r="H57" s="3" t="s">
        <v>46</v>
      </c>
      <c r="I57" s="3" t="s">
        <v>1030</v>
      </c>
      <c r="J57" s="3" t="s">
        <v>248</v>
      </c>
      <c r="K57" s="3" t="s">
        <v>51</v>
      </c>
      <c r="L57" s="3" t="s">
        <v>40</v>
      </c>
      <c r="M57" s="3" t="s">
        <v>984</v>
      </c>
      <c r="N57" s="3" t="s">
        <v>659</v>
      </c>
      <c r="O57" s="3" t="s">
        <v>42</v>
      </c>
      <c r="P57" s="42" t="s">
        <v>43</v>
      </c>
      <c r="Q57" s="42">
        <v>47152389.339999996</v>
      </c>
      <c r="R57" s="42" t="s">
        <v>51</v>
      </c>
      <c r="S57" s="2" t="s">
        <v>43</v>
      </c>
    </row>
    <row r="58" spans="3:19" x14ac:dyDescent="0.25">
      <c r="C58" s="3" t="s">
        <v>644</v>
      </c>
      <c r="D58" s="3" t="s">
        <v>645</v>
      </c>
      <c r="E58" s="3" t="s">
        <v>645</v>
      </c>
      <c r="F58" s="4">
        <v>5.07</v>
      </c>
      <c r="G58" s="3" t="s">
        <v>376</v>
      </c>
      <c r="H58" s="3" t="s">
        <v>81</v>
      </c>
      <c r="I58" s="3" t="s">
        <v>1030</v>
      </c>
      <c r="J58" s="3" t="s">
        <v>50</v>
      </c>
      <c r="K58" s="3" t="s">
        <v>51</v>
      </c>
      <c r="L58" s="3" t="s">
        <v>40</v>
      </c>
      <c r="M58" s="3" t="s">
        <v>514</v>
      </c>
      <c r="N58" s="3" t="s">
        <v>644</v>
      </c>
      <c r="O58" s="3" t="s">
        <v>42</v>
      </c>
      <c r="P58" s="42" t="s">
        <v>43</v>
      </c>
      <c r="Q58" s="42">
        <v>75199179.929999992</v>
      </c>
      <c r="R58" s="42" t="s">
        <v>597</v>
      </c>
      <c r="S58" s="2" t="s">
        <v>43</v>
      </c>
    </row>
    <row r="59" spans="3:19" x14ac:dyDescent="0.25">
      <c r="C59" s="3" t="s">
        <v>398</v>
      </c>
      <c r="D59" s="3" t="s">
        <v>399</v>
      </c>
      <c r="E59" s="3" t="s">
        <v>399</v>
      </c>
      <c r="F59" s="4">
        <v>5</v>
      </c>
      <c r="G59" s="3" t="s">
        <v>376</v>
      </c>
      <c r="H59" s="3" t="s">
        <v>46</v>
      </c>
      <c r="I59" s="3" t="s">
        <v>1031</v>
      </c>
      <c r="J59" s="3" t="s">
        <v>63</v>
      </c>
      <c r="K59" s="3" t="s">
        <v>138</v>
      </c>
      <c r="L59" s="3" t="s">
        <v>40</v>
      </c>
      <c r="M59" s="3" t="s">
        <v>378</v>
      </c>
      <c r="N59" s="3" t="s">
        <v>398</v>
      </c>
      <c r="O59" s="3" t="s">
        <v>42</v>
      </c>
      <c r="P59" s="42" t="s">
        <v>43</v>
      </c>
      <c r="Q59" s="42">
        <v>51926797.089999996</v>
      </c>
      <c r="R59" s="42" t="s">
        <v>380</v>
      </c>
      <c r="S59" s="2" t="s">
        <v>43</v>
      </c>
    </row>
    <row r="60" spans="3:19" x14ac:dyDescent="0.25">
      <c r="C60" s="3" t="s">
        <v>634</v>
      </c>
      <c r="D60" s="3" t="s">
        <v>635</v>
      </c>
      <c r="E60" s="3" t="s">
        <v>635</v>
      </c>
      <c r="F60" s="4">
        <v>6</v>
      </c>
      <c r="G60" s="3" t="s">
        <v>376</v>
      </c>
      <c r="H60" s="3" t="s">
        <v>46</v>
      </c>
      <c r="I60" s="3" t="s">
        <v>1030</v>
      </c>
      <c r="J60" s="3" t="s">
        <v>50</v>
      </c>
      <c r="K60" s="3" t="s">
        <v>59</v>
      </c>
      <c r="L60" s="3" t="s">
        <v>40</v>
      </c>
      <c r="M60" s="3" t="s">
        <v>514</v>
      </c>
      <c r="N60" s="3" t="s">
        <v>634</v>
      </c>
      <c r="O60" s="3" t="s">
        <v>42</v>
      </c>
      <c r="P60" s="42" t="s">
        <v>43</v>
      </c>
      <c r="Q60" s="42">
        <v>67364827.319999993</v>
      </c>
      <c r="R60" s="42" t="s">
        <v>597</v>
      </c>
      <c r="S60" s="2" t="s">
        <v>43</v>
      </c>
    </row>
    <row r="61" spans="3:19" x14ac:dyDescent="0.25">
      <c r="C61" s="3" t="s">
        <v>558</v>
      </c>
      <c r="D61" s="3" t="s">
        <v>559</v>
      </c>
      <c r="E61" s="3" t="s">
        <v>560</v>
      </c>
      <c r="F61" s="4">
        <v>6</v>
      </c>
      <c r="G61" s="3" t="s">
        <v>376</v>
      </c>
      <c r="H61" s="3" t="s">
        <v>46</v>
      </c>
      <c r="I61" s="3" t="s">
        <v>1030</v>
      </c>
      <c r="J61" s="3" t="s">
        <v>331</v>
      </c>
      <c r="K61" s="3" t="s">
        <v>138</v>
      </c>
      <c r="L61" s="3" t="s">
        <v>40</v>
      </c>
      <c r="M61" s="3" t="s">
        <v>984</v>
      </c>
      <c r="N61" s="3" t="s">
        <v>558</v>
      </c>
      <c r="O61" s="3" t="s">
        <v>42</v>
      </c>
      <c r="P61" s="42" t="s">
        <v>43</v>
      </c>
      <c r="Q61" s="42">
        <v>45726877.664999999</v>
      </c>
      <c r="R61" s="42" t="s">
        <v>557</v>
      </c>
      <c r="S61" s="2" t="s">
        <v>43</v>
      </c>
    </row>
    <row r="62" spans="3:19" x14ac:dyDescent="0.25">
      <c r="C62" s="3" t="s">
        <v>561</v>
      </c>
      <c r="D62" s="3" t="s">
        <v>562</v>
      </c>
      <c r="E62" s="3" t="s">
        <v>563</v>
      </c>
      <c r="F62" s="4">
        <v>6</v>
      </c>
      <c r="G62" s="3" t="s">
        <v>376</v>
      </c>
      <c r="H62" s="3" t="s">
        <v>46</v>
      </c>
      <c r="I62" s="3" t="s">
        <v>1030</v>
      </c>
      <c r="J62" s="3" t="s">
        <v>331</v>
      </c>
      <c r="K62" s="3" t="s">
        <v>138</v>
      </c>
      <c r="L62" s="3" t="s">
        <v>40</v>
      </c>
      <c r="M62" s="3" t="s">
        <v>984</v>
      </c>
      <c r="N62" s="3" t="s">
        <v>561</v>
      </c>
      <c r="O62" s="3" t="s">
        <v>42</v>
      </c>
      <c r="P62" s="42" t="s">
        <v>43</v>
      </c>
      <c r="Q62" s="42">
        <v>40779318.480000004</v>
      </c>
      <c r="R62" s="42" t="s">
        <v>557</v>
      </c>
      <c r="S62" s="2" t="s">
        <v>43</v>
      </c>
    </row>
    <row r="63" spans="3:19" x14ac:dyDescent="0.25">
      <c r="C63" s="3" t="s">
        <v>478</v>
      </c>
      <c r="D63" s="3" t="s">
        <v>479</v>
      </c>
      <c r="E63" s="3" t="s">
        <v>479</v>
      </c>
      <c r="F63" s="4">
        <v>5</v>
      </c>
      <c r="G63" s="3" t="s">
        <v>376</v>
      </c>
      <c r="H63" s="3" t="s">
        <v>46</v>
      </c>
      <c r="I63" s="3" t="s">
        <v>1030</v>
      </c>
      <c r="J63" s="3" t="s">
        <v>466</v>
      </c>
      <c r="K63" s="3" t="s">
        <v>51</v>
      </c>
      <c r="L63" s="3" t="s">
        <v>40</v>
      </c>
      <c r="M63" s="3" t="s">
        <v>1035</v>
      </c>
      <c r="N63" s="3" t="s">
        <v>478</v>
      </c>
      <c r="O63" s="3" t="s">
        <v>42</v>
      </c>
      <c r="P63" s="42" t="s">
        <v>43</v>
      </c>
      <c r="Q63" s="42">
        <v>53154892.800000004</v>
      </c>
      <c r="R63" s="42" t="s">
        <v>467</v>
      </c>
      <c r="S63" s="2" t="s">
        <v>43</v>
      </c>
    </row>
    <row r="64" spans="3:19" x14ac:dyDescent="0.25">
      <c r="C64" s="3" t="s">
        <v>852</v>
      </c>
      <c r="D64" s="3" t="s">
        <v>853</v>
      </c>
      <c r="E64" s="3" t="s">
        <v>853</v>
      </c>
      <c r="F64" s="4">
        <v>5</v>
      </c>
      <c r="G64" s="3" t="s">
        <v>376</v>
      </c>
      <c r="H64" s="3" t="s">
        <v>46</v>
      </c>
      <c r="I64" s="3" t="s">
        <v>1030</v>
      </c>
      <c r="J64" s="3" t="s">
        <v>132</v>
      </c>
      <c r="K64" s="3" t="s">
        <v>138</v>
      </c>
      <c r="L64" s="3" t="s">
        <v>40</v>
      </c>
      <c r="M64" s="3" t="s">
        <v>1035</v>
      </c>
      <c r="N64" s="3" t="s">
        <v>852</v>
      </c>
      <c r="O64" s="3" t="s">
        <v>42</v>
      </c>
      <c r="P64" s="42" t="s">
        <v>43</v>
      </c>
      <c r="Q64" s="42">
        <v>46382487.539999999</v>
      </c>
      <c r="R64" s="42" t="s">
        <v>847</v>
      </c>
      <c r="S64" s="2" t="s">
        <v>43</v>
      </c>
    </row>
    <row r="65" spans="3:19" x14ac:dyDescent="0.25">
      <c r="C65" s="3" t="s">
        <v>426</v>
      </c>
      <c r="D65" s="3" t="s">
        <v>427</v>
      </c>
      <c r="E65" s="3" t="s">
        <v>428</v>
      </c>
      <c r="F65" s="4">
        <v>5</v>
      </c>
      <c r="G65" s="3" t="s">
        <v>376</v>
      </c>
      <c r="H65" s="3" t="s">
        <v>46</v>
      </c>
      <c r="I65" s="3" t="s">
        <v>1030</v>
      </c>
      <c r="J65" s="3" t="s">
        <v>94</v>
      </c>
      <c r="K65" s="3" t="s">
        <v>64</v>
      </c>
      <c r="L65" s="3" t="s">
        <v>40</v>
      </c>
      <c r="M65" s="3" t="s">
        <v>1035</v>
      </c>
      <c r="N65" s="3" t="s">
        <v>426</v>
      </c>
      <c r="O65" s="3" t="s">
        <v>42</v>
      </c>
      <c r="P65" s="42" t="s">
        <v>43</v>
      </c>
      <c r="Q65" s="42">
        <v>46773239.134999998</v>
      </c>
      <c r="R65" s="42" t="s">
        <v>423</v>
      </c>
      <c r="S65" s="2" t="s">
        <v>43</v>
      </c>
    </row>
    <row r="66" spans="3:19" x14ac:dyDescent="0.25">
      <c r="C66" s="3" t="s">
        <v>769</v>
      </c>
      <c r="D66" s="3" t="s">
        <v>771</v>
      </c>
      <c r="E66" s="3" t="s">
        <v>771</v>
      </c>
      <c r="F66" s="4">
        <v>6</v>
      </c>
      <c r="G66" s="3" t="s">
        <v>376</v>
      </c>
      <c r="H66" s="3" t="s">
        <v>46</v>
      </c>
      <c r="I66" s="3" t="s">
        <v>1031</v>
      </c>
      <c r="J66" s="3" t="s">
        <v>89</v>
      </c>
      <c r="K66" s="3" t="s">
        <v>109</v>
      </c>
      <c r="L66" s="3" t="s">
        <v>91</v>
      </c>
      <c r="M66" s="3" t="s">
        <v>378</v>
      </c>
      <c r="N66" s="3" t="s">
        <v>769</v>
      </c>
      <c r="O66" s="3" t="s">
        <v>42</v>
      </c>
      <c r="P66" s="42" t="s">
        <v>440</v>
      </c>
      <c r="Q66" s="42">
        <v>49864775.869999997</v>
      </c>
      <c r="R66" s="42" t="s">
        <v>772</v>
      </c>
      <c r="S66" s="2" t="s">
        <v>43</v>
      </c>
    </row>
    <row r="67" spans="3:19" x14ac:dyDescent="0.25">
      <c r="C67" s="3" t="s">
        <v>942</v>
      </c>
      <c r="D67" s="3" t="s">
        <v>944</v>
      </c>
      <c r="E67" s="3" t="s">
        <v>944</v>
      </c>
      <c r="F67" s="4">
        <v>6.9</v>
      </c>
      <c r="G67" s="3" t="s">
        <v>376</v>
      </c>
      <c r="H67" s="3" t="s">
        <v>46</v>
      </c>
      <c r="I67" s="3" t="s">
        <v>1030</v>
      </c>
      <c r="J67" s="3" t="s">
        <v>160</v>
      </c>
      <c r="K67" s="3" t="s">
        <v>371</v>
      </c>
      <c r="L67" s="3" t="s">
        <v>40</v>
      </c>
      <c r="M67" s="3" t="s">
        <v>984</v>
      </c>
      <c r="N67" s="3" t="s">
        <v>942</v>
      </c>
      <c r="O67" s="3" t="s">
        <v>42</v>
      </c>
      <c r="P67" s="42" t="s">
        <v>43</v>
      </c>
      <c r="Q67" s="42">
        <v>64265568.464999996</v>
      </c>
      <c r="R67" s="42" t="s">
        <v>931</v>
      </c>
      <c r="S67" s="2" t="s">
        <v>43</v>
      </c>
    </row>
    <row r="68" spans="3:19" x14ac:dyDescent="0.25">
      <c r="C68" s="3" t="s">
        <v>525</v>
      </c>
      <c r="D68" s="3" t="s">
        <v>526</v>
      </c>
      <c r="E68" s="3" t="s">
        <v>527</v>
      </c>
      <c r="F68" s="44">
        <f>5.9+0.68</f>
        <v>6.58</v>
      </c>
      <c r="G68" s="3" t="s">
        <v>376</v>
      </c>
      <c r="H68" s="3" t="s">
        <v>46</v>
      </c>
      <c r="I68" s="3" t="s">
        <v>1030</v>
      </c>
      <c r="J68" s="3" t="s">
        <v>100</v>
      </c>
      <c r="K68" s="3" t="s">
        <v>138</v>
      </c>
      <c r="L68" s="3" t="s">
        <v>40</v>
      </c>
      <c r="M68" s="3" t="s">
        <v>514</v>
      </c>
      <c r="N68" s="3" t="s">
        <v>525</v>
      </c>
      <c r="O68" s="3" t="s">
        <v>42</v>
      </c>
      <c r="P68" s="42" t="s">
        <v>440</v>
      </c>
      <c r="Q68" s="42">
        <v>59378246.024999991</v>
      </c>
      <c r="R68" s="42" t="s">
        <v>515</v>
      </c>
      <c r="S68" s="2" t="s">
        <v>43</v>
      </c>
    </row>
    <row r="69" spans="3:19" x14ac:dyDescent="0.25">
      <c r="C69" s="3" t="s">
        <v>48</v>
      </c>
      <c r="D69" s="3" t="s">
        <v>49</v>
      </c>
      <c r="E69" s="3" t="s">
        <v>49</v>
      </c>
      <c r="F69" s="4" t="s">
        <v>36</v>
      </c>
      <c r="G69" s="3" t="s">
        <v>37</v>
      </c>
      <c r="H69" s="3" t="s">
        <v>38</v>
      </c>
      <c r="I69" s="3" t="s">
        <v>1046</v>
      </c>
      <c r="J69" s="3" t="s">
        <v>50</v>
      </c>
      <c r="K69" s="3" t="s">
        <v>51</v>
      </c>
      <c r="L69" s="3" t="s">
        <v>40</v>
      </c>
      <c r="M69" s="3">
        <v>0</v>
      </c>
      <c r="N69" s="3" t="s">
        <v>48</v>
      </c>
      <c r="O69" s="3" t="s">
        <v>42</v>
      </c>
      <c r="P69" s="42" t="s">
        <v>43</v>
      </c>
      <c r="Q69" s="42" t="s">
        <v>36</v>
      </c>
      <c r="R69" s="42">
        <v>0</v>
      </c>
      <c r="S69" s="2" t="s">
        <v>43</v>
      </c>
    </row>
    <row r="70" spans="3:19" x14ac:dyDescent="0.25">
      <c r="C70" s="3" t="s">
        <v>52</v>
      </c>
      <c r="D70" s="3" t="s">
        <v>53</v>
      </c>
      <c r="E70" s="3" t="s">
        <v>53</v>
      </c>
      <c r="F70" s="4" t="s">
        <v>36</v>
      </c>
      <c r="G70" s="3" t="s">
        <v>987</v>
      </c>
      <c r="H70" s="3" t="s">
        <v>38</v>
      </c>
      <c r="I70" s="3" t="s">
        <v>1046</v>
      </c>
      <c r="J70" s="3">
        <v>0</v>
      </c>
      <c r="K70" s="3" t="s">
        <v>54</v>
      </c>
      <c r="L70" s="3" t="s">
        <v>55</v>
      </c>
      <c r="M70" s="3">
        <v>0</v>
      </c>
      <c r="N70" s="3" t="s">
        <v>52</v>
      </c>
      <c r="O70" s="3" t="s">
        <v>42</v>
      </c>
      <c r="P70" s="42" t="s">
        <v>43</v>
      </c>
      <c r="Q70" s="42" t="s">
        <v>36</v>
      </c>
      <c r="R70" s="42">
        <v>0</v>
      </c>
      <c r="S70" s="2" t="s">
        <v>43</v>
      </c>
    </row>
    <row r="71" spans="3:19" x14ac:dyDescent="0.25">
      <c r="C71" s="3" t="s">
        <v>528</v>
      </c>
      <c r="D71" s="3" t="s">
        <v>530</v>
      </c>
      <c r="E71" s="3" t="s">
        <v>530</v>
      </c>
      <c r="F71" s="44">
        <f>5.9+0.68</f>
        <v>6.58</v>
      </c>
      <c r="G71" s="3" t="s">
        <v>376</v>
      </c>
      <c r="H71" s="3" t="s">
        <v>46</v>
      </c>
      <c r="I71" s="3" t="s">
        <v>1030</v>
      </c>
      <c r="J71" s="3" t="s">
        <v>100</v>
      </c>
      <c r="K71" s="3" t="s">
        <v>64</v>
      </c>
      <c r="L71" s="3" t="s">
        <v>40</v>
      </c>
      <c r="M71" s="3" t="s">
        <v>514</v>
      </c>
      <c r="N71" s="3" t="s">
        <v>528</v>
      </c>
      <c r="O71" s="3" t="s">
        <v>42</v>
      </c>
      <c r="P71" s="42" t="s">
        <v>440</v>
      </c>
      <c r="Q71" s="42">
        <v>74627241.639999986</v>
      </c>
      <c r="R71" s="42" t="s">
        <v>515</v>
      </c>
      <c r="S71" s="2" t="s">
        <v>43</v>
      </c>
    </row>
    <row r="72" spans="3:19" x14ac:dyDescent="0.25">
      <c r="C72" s="3" t="s">
        <v>854</v>
      </c>
      <c r="D72" s="3" t="s">
        <v>982</v>
      </c>
      <c r="E72" s="3" t="s">
        <v>990</v>
      </c>
      <c r="F72" s="4">
        <v>6.45</v>
      </c>
      <c r="G72" s="3" t="s">
        <v>376</v>
      </c>
      <c r="H72" s="3" t="s">
        <v>46</v>
      </c>
      <c r="I72" s="3" t="s">
        <v>1030</v>
      </c>
      <c r="J72" s="3" t="s">
        <v>132</v>
      </c>
      <c r="K72" s="3" t="s">
        <v>856</v>
      </c>
      <c r="L72" s="3" t="s">
        <v>40</v>
      </c>
      <c r="M72" s="3" t="s">
        <v>1035</v>
      </c>
      <c r="N72" s="3" t="s">
        <v>854</v>
      </c>
      <c r="O72" s="3" t="s">
        <v>42</v>
      </c>
      <c r="P72" s="42" t="s">
        <v>440</v>
      </c>
      <c r="Q72" s="42">
        <v>47184994.184999995</v>
      </c>
      <c r="R72" s="42" t="s">
        <v>847</v>
      </c>
      <c r="S72" s="2" t="s">
        <v>43</v>
      </c>
    </row>
    <row r="73" spans="3:19" x14ac:dyDescent="0.25">
      <c r="C73" s="3" t="s">
        <v>531</v>
      </c>
      <c r="D73" s="3" t="s">
        <v>533</v>
      </c>
      <c r="E73" s="3" t="s">
        <v>991</v>
      </c>
      <c r="F73" s="4">
        <v>5.45</v>
      </c>
      <c r="G73" s="3" t="s">
        <v>376</v>
      </c>
      <c r="H73" s="3" t="s">
        <v>46</v>
      </c>
      <c r="I73" s="3" t="s">
        <v>1030</v>
      </c>
      <c r="J73" s="3" t="s">
        <v>100</v>
      </c>
      <c r="K73" s="3" t="s">
        <v>138</v>
      </c>
      <c r="L73" s="3" t="s">
        <v>40</v>
      </c>
      <c r="M73" s="3" t="s">
        <v>514</v>
      </c>
      <c r="N73" s="3" t="s">
        <v>531</v>
      </c>
      <c r="O73" s="3" t="s">
        <v>42</v>
      </c>
      <c r="P73" s="42" t="s">
        <v>440</v>
      </c>
      <c r="Q73" s="42">
        <v>41923825.799999997</v>
      </c>
      <c r="R73" s="42" t="s">
        <v>515</v>
      </c>
      <c r="S73" s="2" t="s">
        <v>43</v>
      </c>
    </row>
    <row r="74" spans="3:19" x14ac:dyDescent="0.25">
      <c r="C74" s="3" t="s">
        <v>945</v>
      </c>
      <c r="D74" s="3" t="s">
        <v>946</v>
      </c>
      <c r="E74" s="3" t="s">
        <v>947</v>
      </c>
      <c r="F74" s="4">
        <v>5.9</v>
      </c>
      <c r="G74" s="3" t="s">
        <v>376</v>
      </c>
      <c r="H74" s="3" t="s">
        <v>46</v>
      </c>
      <c r="I74" s="3" t="s">
        <v>1030</v>
      </c>
      <c r="J74" s="3" t="s">
        <v>160</v>
      </c>
      <c r="K74" s="3" t="s">
        <v>371</v>
      </c>
      <c r="L74" s="3" t="s">
        <v>40</v>
      </c>
      <c r="M74" s="3" t="s">
        <v>984</v>
      </c>
      <c r="N74" s="3" t="s">
        <v>945</v>
      </c>
      <c r="O74" s="3" t="s">
        <v>42</v>
      </c>
      <c r="P74" s="42" t="s">
        <v>440</v>
      </c>
      <c r="Q74" s="42">
        <v>47735104.899999999</v>
      </c>
      <c r="R74" s="42" t="s">
        <v>931</v>
      </c>
      <c r="S74" s="2" t="s">
        <v>43</v>
      </c>
    </row>
    <row r="75" spans="3:19" x14ac:dyDescent="0.25">
      <c r="C75" s="3" t="s">
        <v>773</v>
      </c>
      <c r="D75" s="3" t="s">
        <v>775</v>
      </c>
      <c r="E75" s="3" t="s">
        <v>775</v>
      </c>
      <c r="F75" s="4">
        <v>6.45</v>
      </c>
      <c r="G75" s="3" t="s">
        <v>376</v>
      </c>
      <c r="H75" s="3" t="s">
        <v>46</v>
      </c>
      <c r="I75" s="3" t="s">
        <v>1031</v>
      </c>
      <c r="J75" s="3" t="s">
        <v>89</v>
      </c>
      <c r="K75" s="3" t="s">
        <v>776</v>
      </c>
      <c r="L75" s="3" t="s">
        <v>91</v>
      </c>
      <c r="M75" s="3" t="s">
        <v>378</v>
      </c>
      <c r="N75" s="3" t="s">
        <v>773</v>
      </c>
      <c r="O75" s="3" t="s">
        <v>42</v>
      </c>
      <c r="P75" s="42" t="s">
        <v>440</v>
      </c>
      <c r="Q75" s="42">
        <v>42537189.414999999</v>
      </c>
      <c r="R75" s="42" t="s">
        <v>772</v>
      </c>
      <c r="S75" s="2" t="s">
        <v>43</v>
      </c>
    </row>
    <row r="76" spans="3:19" x14ac:dyDescent="0.25">
      <c r="C76" s="3" t="s">
        <v>662</v>
      </c>
      <c r="D76" s="3" t="s">
        <v>664</v>
      </c>
      <c r="E76" s="3" t="s">
        <v>992</v>
      </c>
      <c r="F76" s="4">
        <v>5.9</v>
      </c>
      <c r="G76" s="3" t="s">
        <v>1047</v>
      </c>
      <c r="H76" s="3" t="s">
        <v>46</v>
      </c>
      <c r="I76" s="3" t="s">
        <v>1030</v>
      </c>
      <c r="J76" s="3" t="s">
        <v>248</v>
      </c>
      <c r="K76" s="3" t="s">
        <v>51</v>
      </c>
      <c r="L76" s="3" t="s">
        <v>40</v>
      </c>
      <c r="M76" s="3" t="s">
        <v>984</v>
      </c>
      <c r="N76" s="3" t="s">
        <v>662</v>
      </c>
      <c r="O76" s="3" t="s">
        <v>42</v>
      </c>
      <c r="P76" s="42" t="s">
        <v>43</v>
      </c>
      <c r="Q76" s="42">
        <v>61177909.029999994</v>
      </c>
      <c r="R76" s="42" t="s">
        <v>51</v>
      </c>
      <c r="S76" s="2" t="s">
        <v>43</v>
      </c>
    </row>
    <row r="77" spans="3:19" x14ac:dyDescent="0.25">
      <c r="C77" s="3" t="s">
        <v>56</v>
      </c>
      <c r="D77" s="3" t="s">
        <v>57</v>
      </c>
      <c r="E77" s="3" t="s">
        <v>57</v>
      </c>
      <c r="F77" s="4" t="s">
        <v>36</v>
      </c>
      <c r="G77" s="3" t="s">
        <v>37</v>
      </c>
      <c r="H77" s="3" t="s">
        <v>38</v>
      </c>
      <c r="I77" s="3" t="s">
        <v>1046</v>
      </c>
      <c r="J77" s="3" t="s">
        <v>58</v>
      </c>
      <c r="K77" s="3" t="s">
        <v>59</v>
      </c>
      <c r="L77" s="3" t="s">
        <v>40</v>
      </c>
      <c r="M77" s="3">
        <v>0</v>
      </c>
      <c r="N77" s="3" t="s">
        <v>56</v>
      </c>
      <c r="O77" s="3" t="s">
        <v>42</v>
      </c>
      <c r="P77" s="42" t="s">
        <v>43</v>
      </c>
      <c r="Q77" s="42" t="s">
        <v>36</v>
      </c>
      <c r="R77" s="42">
        <v>0</v>
      </c>
      <c r="S77" s="2" t="s">
        <v>43</v>
      </c>
    </row>
    <row r="78" spans="3:19" x14ac:dyDescent="0.25">
      <c r="C78" s="3" t="s">
        <v>534</v>
      </c>
      <c r="D78" s="3" t="s">
        <v>535</v>
      </c>
      <c r="E78" s="3" t="s">
        <v>536</v>
      </c>
      <c r="F78" s="4">
        <v>5.45</v>
      </c>
      <c r="G78" s="3" t="s">
        <v>376</v>
      </c>
      <c r="H78" s="3" t="s">
        <v>46</v>
      </c>
      <c r="I78" s="3" t="s">
        <v>1030</v>
      </c>
      <c r="J78" s="3" t="s">
        <v>100</v>
      </c>
      <c r="K78" s="3" t="s">
        <v>138</v>
      </c>
      <c r="L78" s="3" t="s">
        <v>40</v>
      </c>
      <c r="M78" s="3" t="s">
        <v>514</v>
      </c>
      <c r="N78" s="3" t="s">
        <v>534</v>
      </c>
      <c r="O78" s="3" t="s">
        <v>42</v>
      </c>
      <c r="P78" s="42" t="s">
        <v>43</v>
      </c>
      <c r="Q78" s="42">
        <v>45952021.020000003</v>
      </c>
      <c r="R78" s="42" t="s">
        <v>515</v>
      </c>
      <c r="S78" s="2" t="s">
        <v>43</v>
      </c>
    </row>
    <row r="79" spans="3:19" x14ac:dyDescent="0.25">
      <c r="C79" s="3" t="s">
        <v>636</v>
      </c>
      <c r="D79" s="3" t="s">
        <v>637</v>
      </c>
      <c r="E79" s="3" t="s">
        <v>638</v>
      </c>
      <c r="F79" s="4">
        <v>5.45</v>
      </c>
      <c r="G79" s="3" t="s">
        <v>376</v>
      </c>
      <c r="H79" s="3" t="s">
        <v>46</v>
      </c>
      <c r="I79" s="3" t="s">
        <v>1030</v>
      </c>
      <c r="J79" s="3" t="s">
        <v>50</v>
      </c>
      <c r="K79" s="3" t="s">
        <v>315</v>
      </c>
      <c r="L79" s="3" t="s">
        <v>40</v>
      </c>
      <c r="M79" s="3" t="s">
        <v>514</v>
      </c>
      <c r="N79" s="3" t="s">
        <v>636</v>
      </c>
      <c r="O79" s="3" t="s">
        <v>42</v>
      </c>
      <c r="P79" s="42" t="s">
        <v>43</v>
      </c>
      <c r="Q79" s="42">
        <v>86693988.954999998</v>
      </c>
      <c r="R79" s="42" t="s">
        <v>597</v>
      </c>
      <c r="S79" s="2" t="s">
        <v>43</v>
      </c>
    </row>
    <row r="80" spans="3:19" x14ac:dyDescent="0.25">
      <c r="C80" s="3" t="s">
        <v>857</v>
      </c>
      <c r="D80" s="3" t="s">
        <v>859</v>
      </c>
      <c r="E80" s="3" t="s">
        <v>993</v>
      </c>
      <c r="F80" s="4">
        <v>5.9</v>
      </c>
      <c r="G80" s="3" t="s">
        <v>376</v>
      </c>
      <c r="H80" s="3" t="s">
        <v>46</v>
      </c>
      <c r="I80" s="3" t="s">
        <v>1030</v>
      </c>
      <c r="J80" s="3" t="s">
        <v>132</v>
      </c>
      <c r="K80" s="3" t="s">
        <v>138</v>
      </c>
      <c r="L80" s="3" t="s">
        <v>40</v>
      </c>
      <c r="M80" s="3" t="s">
        <v>1035</v>
      </c>
      <c r="N80" s="3" t="s">
        <v>857</v>
      </c>
      <c r="O80" s="3" t="s">
        <v>42</v>
      </c>
      <c r="P80" s="42" t="s">
        <v>43</v>
      </c>
      <c r="Q80" s="42">
        <v>70864980.420000002</v>
      </c>
      <c r="R80" s="42" t="s">
        <v>847</v>
      </c>
      <c r="S80" s="2" t="s">
        <v>43</v>
      </c>
    </row>
    <row r="81" spans="3:19" x14ac:dyDescent="0.25">
      <c r="C81" s="3" t="s">
        <v>747</v>
      </c>
      <c r="D81" s="3" t="s">
        <v>994</v>
      </c>
      <c r="E81" s="3" t="s">
        <v>749</v>
      </c>
      <c r="F81" s="4">
        <v>6.9</v>
      </c>
      <c r="G81" s="3" t="s">
        <v>376</v>
      </c>
      <c r="H81" s="3" t="s">
        <v>46</v>
      </c>
      <c r="I81" s="3" t="s">
        <v>1031</v>
      </c>
      <c r="J81" s="3" t="s">
        <v>84</v>
      </c>
      <c r="K81" s="3" t="s">
        <v>54</v>
      </c>
      <c r="L81" s="3" t="s">
        <v>55</v>
      </c>
      <c r="M81" s="3" t="s">
        <v>378</v>
      </c>
      <c r="N81" s="3" t="s">
        <v>747</v>
      </c>
      <c r="O81" s="3" t="s">
        <v>42</v>
      </c>
      <c r="P81" s="42" t="s">
        <v>43</v>
      </c>
      <c r="Q81" s="42">
        <v>75151196.879999995</v>
      </c>
      <c r="R81" s="42" t="s">
        <v>741</v>
      </c>
      <c r="S81" s="2" t="s">
        <v>43</v>
      </c>
    </row>
    <row r="82" spans="3:19" x14ac:dyDescent="0.25">
      <c r="C82" s="3" t="s">
        <v>564</v>
      </c>
      <c r="D82" s="3" t="s">
        <v>565</v>
      </c>
      <c r="E82" s="3" t="s">
        <v>566</v>
      </c>
      <c r="F82" s="4">
        <v>5.9</v>
      </c>
      <c r="G82" s="3" t="s">
        <v>376</v>
      </c>
      <c r="H82" s="3" t="s">
        <v>46</v>
      </c>
      <c r="I82" s="3" t="s">
        <v>1030</v>
      </c>
      <c r="J82" s="3" t="s">
        <v>331</v>
      </c>
      <c r="K82" s="3" t="s">
        <v>138</v>
      </c>
      <c r="L82" s="3" t="s">
        <v>40</v>
      </c>
      <c r="M82" s="3" t="s">
        <v>984</v>
      </c>
      <c r="N82" s="3" t="s">
        <v>564</v>
      </c>
      <c r="O82" s="3" t="s">
        <v>42</v>
      </c>
      <c r="P82" s="42" t="s">
        <v>440</v>
      </c>
      <c r="Q82" s="42">
        <v>37448755.32</v>
      </c>
      <c r="R82" s="42" t="s">
        <v>557</v>
      </c>
      <c r="S82" s="2" t="s">
        <v>43</v>
      </c>
    </row>
    <row r="83" spans="3:19" x14ac:dyDescent="0.25">
      <c r="C83" s="3" t="s">
        <v>709</v>
      </c>
      <c r="D83" s="3" t="s">
        <v>710</v>
      </c>
      <c r="E83" s="3" t="s">
        <v>711</v>
      </c>
      <c r="F83" s="4">
        <v>8</v>
      </c>
      <c r="G83" s="3" t="s">
        <v>376</v>
      </c>
      <c r="H83" s="3" t="s">
        <v>46</v>
      </c>
      <c r="I83" s="3" t="s">
        <v>1031</v>
      </c>
      <c r="J83" s="3" t="s">
        <v>84</v>
      </c>
      <c r="K83" s="3" t="s">
        <v>54</v>
      </c>
      <c r="L83" s="3" t="s">
        <v>55</v>
      </c>
      <c r="M83" s="3" t="s">
        <v>378</v>
      </c>
      <c r="N83" s="3" t="s">
        <v>709</v>
      </c>
      <c r="O83" s="3" t="s">
        <v>379</v>
      </c>
      <c r="P83" s="42" t="s">
        <v>440</v>
      </c>
      <c r="Q83" s="42">
        <v>57776755.560000002</v>
      </c>
      <c r="R83" s="42" t="s">
        <v>702</v>
      </c>
      <c r="S83" s="2" t="s">
        <v>43</v>
      </c>
    </row>
    <row r="84" spans="3:19" x14ac:dyDescent="0.25">
      <c r="C84" s="3" t="s">
        <v>60</v>
      </c>
      <c r="D84" s="3" t="s">
        <v>61</v>
      </c>
      <c r="E84" s="3" t="s">
        <v>62</v>
      </c>
      <c r="F84" s="4" t="s">
        <v>36</v>
      </c>
      <c r="G84" s="3" t="s">
        <v>37</v>
      </c>
      <c r="H84" s="3" t="s">
        <v>38</v>
      </c>
      <c r="I84" s="3" t="s">
        <v>1046</v>
      </c>
      <c r="J84" s="3" t="s">
        <v>63</v>
      </c>
      <c r="K84" s="3" t="s">
        <v>64</v>
      </c>
      <c r="L84" s="3" t="s">
        <v>40</v>
      </c>
      <c r="M84" s="3">
        <v>0</v>
      </c>
      <c r="N84" s="3" t="s">
        <v>60</v>
      </c>
      <c r="O84" s="3" t="s">
        <v>42</v>
      </c>
      <c r="P84" s="42" t="s">
        <v>43</v>
      </c>
      <c r="Q84" s="42" t="s">
        <v>36</v>
      </c>
      <c r="R84" s="42">
        <v>0</v>
      </c>
      <c r="S84" s="2" t="s">
        <v>43</v>
      </c>
    </row>
    <row r="85" spans="3:19" x14ac:dyDescent="0.25">
      <c r="C85" s="3" t="s">
        <v>861</v>
      </c>
      <c r="D85" s="3" t="s">
        <v>983</v>
      </c>
      <c r="E85" s="3" t="s">
        <v>995</v>
      </c>
      <c r="F85" s="4">
        <v>8.9</v>
      </c>
      <c r="G85" s="3" t="s">
        <v>376</v>
      </c>
      <c r="H85" s="3" t="s">
        <v>46</v>
      </c>
      <c r="I85" s="3" t="s">
        <v>1030</v>
      </c>
      <c r="J85" s="3" t="s">
        <v>132</v>
      </c>
      <c r="K85" s="3" t="s">
        <v>856</v>
      </c>
      <c r="L85" s="3" t="s">
        <v>40</v>
      </c>
      <c r="M85" s="3" t="s">
        <v>1035</v>
      </c>
      <c r="N85" s="3" t="s">
        <v>861</v>
      </c>
      <c r="O85" s="3" t="s">
        <v>379</v>
      </c>
      <c r="P85" s="42" t="s">
        <v>440</v>
      </c>
      <c r="Q85" s="42">
        <v>81601869.659999996</v>
      </c>
      <c r="R85" s="42" t="s">
        <v>847</v>
      </c>
      <c r="S85" s="2" t="s">
        <v>43</v>
      </c>
    </row>
    <row r="86" spans="3:19" x14ac:dyDescent="0.25">
      <c r="C86" s="3" t="s">
        <v>616</v>
      </c>
      <c r="D86" s="3" t="s">
        <v>617</v>
      </c>
      <c r="E86" s="3" t="s">
        <v>617</v>
      </c>
      <c r="F86" s="4">
        <v>5.45</v>
      </c>
      <c r="G86" s="3" t="s">
        <v>376</v>
      </c>
      <c r="H86" s="3" t="s">
        <v>46</v>
      </c>
      <c r="I86" s="3" t="s">
        <v>1030</v>
      </c>
      <c r="J86" s="3" t="s">
        <v>50</v>
      </c>
      <c r="K86" s="3" t="s">
        <v>138</v>
      </c>
      <c r="L86" s="3" t="s">
        <v>40</v>
      </c>
      <c r="M86" s="3" t="s">
        <v>514</v>
      </c>
      <c r="N86" s="3" t="s">
        <v>616</v>
      </c>
      <c r="O86" s="3" t="s">
        <v>42</v>
      </c>
      <c r="P86" s="42" t="s">
        <v>440</v>
      </c>
      <c r="Q86" s="42">
        <v>47293048.68</v>
      </c>
      <c r="R86" s="42" t="s">
        <v>597</v>
      </c>
      <c r="S86" s="2" t="s">
        <v>43</v>
      </c>
    </row>
    <row r="87" spans="3:19" x14ac:dyDescent="0.25">
      <c r="C87" s="3" t="s">
        <v>891</v>
      </c>
      <c r="D87" s="3" t="s">
        <v>892</v>
      </c>
      <c r="E87" s="3" t="s">
        <v>893</v>
      </c>
      <c r="F87" s="4">
        <v>5</v>
      </c>
      <c r="G87" s="3" t="s">
        <v>376</v>
      </c>
      <c r="H87" s="3" t="s">
        <v>46</v>
      </c>
      <c r="I87" s="3" t="s">
        <v>1030</v>
      </c>
      <c r="J87" s="3" t="s">
        <v>73</v>
      </c>
      <c r="K87" s="3" t="s">
        <v>47</v>
      </c>
      <c r="L87" s="3" t="s">
        <v>40</v>
      </c>
      <c r="M87" s="3" t="s">
        <v>514</v>
      </c>
      <c r="N87" s="3" t="s">
        <v>891</v>
      </c>
      <c r="O87" s="3" t="s">
        <v>42</v>
      </c>
      <c r="P87" s="42" t="s">
        <v>43</v>
      </c>
      <c r="Q87" s="42">
        <v>51535273.560000002</v>
      </c>
      <c r="R87" s="42" t="s">
        <v>886</v>
      </c>
      <c r="S87" s="2" t="s">
        <v>43</v>
      </c>
    </row>
    <row r="88" spans="3:19" x14ac:dyDescent="0.25">
      <c r="C88" s="3" t="s">
        <v>65</v>
      </c>
      <c r="D88" s="3" t="s">
        <v>66</v>
      </c>
      <c r="E88" s="3" t="s">
        <v>66</v>
      </c>
      <c r="F88" s="4" t="s">
        <v>36</v>
      </c>
      <c r="G88" s="3" t="s">
        <v>37</v>
      </c>
      <c r="H88" s="3" t="s">
        <v>38</v>
      </c>
      <c r="I88" s="3" t="s">
        <v>1046</v>
      </c>
      <c r="J88" s="3" t="s">
        <v>67</v>
      </c>
      <c r="K88" s="3" t="s">
        <v>59</v>
      </c>
      <c r="L88" s="3" t="s">
        <v>40</v>
      </c>
      <c r="M88" s="3">
        <v>0</v>
      </c>
      <c r="N88" s="3" t="s">
        <v>65</v>
      </c>
      <c r="O88" s="3" t="s">
        <v>42</v>
      </c>
      <c r="P88" s="42" t="s">
        <v>43</v>
      </c>
      <c r="Q88" s="42" t="s">
        <v>36</v>
      </c>
      <c r="R88" s="42">
        <v>0</v>
      </c>
      <c r="S88" s="2" t="s">
        <v>43</v>
      </c>
    </row>
    <row r="89" spans="3:19" x14ac:dyDescent="0.25">
      <c r="C89" s="3" t="s">
        <v>777</v>
      </c>
      <c r="D89" s="3" t="s">
        <v>779</v>
      </c>
      <c r="E89" s="3" t="s">
        <v>779</v>
      </c>
      <c r="F89" s="4">
        <v>6.45</v>
      </c>
      <c r="G89" s="3" t="s">
        <v>376</v>
      </c>
      <c r="H89" s="3" t="s">
        <v>46</v>
      </c>
      <c r="I89" s="3" t="s">
        <v>1031</v>
      </c>
      <c r="J89" s="3" t="s">
        <v>89</v>
      </c>
      <c r="K89" s="3" t="s">
        <v>90</v>
      </c>
      <c r="L89" s="3" t="s">
        <v>91</v>
      </c>
      <c r="M89" s="3" t="s">
        <v>378</v>
      </c>
      <c r="N89" s="3" t="s">
        <v>777</v>
      </c>
      <c r="O89" s="3" t="s">
        <v>42</v>
      </c>
      <c r="P89" s="42" t="s">
        <v>440</v>
      </c>
      <c r="Q89" s="42">
        <v>52284218.174999997</v>
      </c>
      <c r="R89" s="42" t="s">
        <v>772</v>
      </c>
      <c r="S89" s="2" t="s">
        <v>43</v>
      </c>
    </row>
    <row r="90" spans="3:19" x14ac:dyDescent="0.25">
      <c r="C90" s="3" t="s">
        <v>480</v>
      </c>
      <c r="D90" s="3" t="s">
        <v>481</v>
      </c>
      <c r="E90" s="3" t="s">
        <v>482</v>
      </c>
      <c r="F90" s="4">
        <v>5</v>
      </c>
      <c r="G90" s="3" t="s">
        <v>376</v>
      </c>
      <c r="H90" s="3" t="s">
        <v>46</v>
      </c>
      <c r="I90" s="3" t="s">
        <v>1030</v>
      </c>
      <c r="J90" s="3" t="s">
        <v>466</v>
      </c>
      <c r="K90" s="3" t="s">
        <v>51</v>
      </c>
      <c r="L90" s="3" t="s">
        <v>40</v>
      </c>
      <c r="M90" s="3" t="s">
        <v>1035</v>
      </c>
      <c r="N90" s="3" t="s">
        <v>480</v>
      </c>
      <c r="O90" s="3" t="s">
        <v>42</v>
      </c>
      <c r="P90" s="42" t="s">
        <v>43</v>
      </c>
      <c r="Q90" s="42">
        <v>36945532.200000003</v>
      </c>
      <c r="R90" s="42" t="s">
        <v>467</v>
      </c>
      <c r="S90" s="2" t="s">
        <v>43</v>
      </c>
    </row>
    <row r="91" spans="3:19" x14ac:dyDescent="0.25">
      <c r="C91" s="3" t="s">
        <v>807</v>
      </c>
      <c r="D91" s="3" t="s">
        <v>808</v>
      </c>
      <c r="E91" s="3" t="s">
        <v>809</v>
      </c>
      <c r="F91" s="44">
        <v>7</v>
      </c>
      <c r="G91" s="3" t="s">
        <v>376</v>
      </c>
      <c r="H91" s="3" t="s">
        <v>46</v>
      </c>
      <c r="I91" s="3" t="s">
        <v>1030</v>
      </c>
      <c r="J91" s="3" t="s">
        <v>146</v>
      </c>
      <c r="K91" s="3" t="s">
        <v>59</v>
      </c>
      <c r="L91" s="3" t="s">
        <v>40</v>
      </c>
      <c r="M91" s="3" t="s">
        <v>1035</v>
      </c>
      <c r="N91" s="3" t="s">
        <v>807</v>
      </c>
      <c r="O91" s="3" t="s">
        <v>42</v>
      </c>
      <c r="P91" s="42" t="s">
        <v>440</v>
      </c>
      <c r="Q91" s="42">
        <v>66123888.319999993</v>
      </c>
      <c r="R91" s="42" t="s">
        <v>799</v>
      </c>
      <c r="S91" s="2" t="s">
        <v>43</v>
      </c>
    </row>
    <row r="92" spans="3:19" x14ac:dyDescent="0.25">
      <c r="C92" s="3" t="s">
        <v>400</v>
      </c>
      <c r="D92" s="3" t="s">
        <v>401</v>
      </c>
      <c r="E92" s="3" t="s">
        <v>401</v>
      </c>
      <c r="F92" s="4">
        <v>5.45</v>
      </c>
      <c r="G92" s="3" t="s">
        <v>376</v>
      </c>
      <c r="H92" s="3" t="s">
        <v>46</v>
      </c>
      <c r="I92" s="3" t="s">
        <v>1031</v>
      </c>
      <c r="J92" s="3" t="s">
        <v>63</v>
      </c>
      <c r="K92" s="3" t="s">
        <v>138</v>
      </c>
      <c r="L92" s="3" t="s">
        <v>40</v>
      </c>
      <c r="M92" s="3" t="s">
        <v>378</v>
      </c>
      <c r="N92" s="3" t="s">
        <v>400</v>
      </c>
      <c r="O92" s="3" t="s">
        <v>42</v>
      </c>
      <c r="P92" s="42" t="s">
        <v>43</v>
      </c>
      <c r="Q92" s="42">
        <v>41964655.319999993</v>
      </c>
      <c r="R92" s="42" t="s">
        <v>380</v>
      </c>
      <c r="S92" s="2" t="s">
        <v>43</v>
      </c>
    </row>
    <row r="93" spans="3:19" x14ac:dyDescent="0.25">
      <c r="C93" s="3" t="s">
        <v>402</v>
      </c>
      <c r="D93" s="3" t="s">
        <v>403</v>
      </c>
      <c r="E93" s="3" t="s">
        <v>403</v>
      </c>
      <c r="F93" s="4">
        <v>5.45</v>
      </c>
      <c r="G93" s="3" t="s">
        <v>376</v>
      </c>
      <c r="H93" s="3" t="s">
        <v>46</v>
      </c>
      <c r="I93" s="3" t="s">
        <v>1031</v>
      </c>
      <c r="J93" s="3" t="s">
        <v>63</v>
      </c>
      <c r="K93" s="3" t="s">
        <v>138</v>
      </c>
      <c r="L93" s="3" t="s">
        <v>40</v>
      </c>
      <c r="M93" s="3" t="s">
        <v>378</v>
      </c>
      <c r="N93" s="3" t="s">
        <v>402</v>
      </c>
      <c r="O93" s="3" t="s">
        <v>42</v>
      </c>
      <c r="P93" s="42" t="s">
        <v>43</v>
      </c>
      <c r="Q93" s="42">
        <v>66569990.969999991</v>
      </c>
      <c r="R93" s="42" t="s">
        <v>380</v>
      </c>
      <c r="S93" s="2" t="s">
        <v>43</v>
      </c>
    </row>
    <row r="94" spans="3:19" x14ac:dyDescent="0.25">
      <c r="C94" s="45" t="s">
        <v>665</v>
      </c>
      <c r="D94" s="45" t="s">
        <v>666</v>
      </c>
      <c r="E94" s="45" t="s">
        <v>666</v>
      </c>
      <c r="F94" s="44">
        <v>6</v>
      </c>
      <c r="G94" s="45" t="s">
        <v>376</v>
      </c>
      <c r="H94" s="3" t="s">
        <v>46</v>
      </c>
      <c r="I94" s="3" t="s">
        <v>1030</v>
      </c>
      <c r="J94" s="3" t="s">
        <v>248</v>
      </c>
      <c r="K94" s="3" t="s">
        <v>51</v>
      </c>
      <c r="L94" s="3" t="s">
        <v>40</v>
      </c>
      <c r="M94" s="3" t="s">
        <v>984</v>
      </c>
      <c r="N94" s="3" t="s">
        <v>665</v>
      </c>
      <c r="O94" s="3" t="s">
        <v>42</v>
      </c>
      <c r="P94" s="42" t="s">
        <v>43</v>
      </c>
      <c r="Q94" s="42">
        <v>63682331.160000004</v>
      </c>
      <c r="R94" s="42" t="s">
        <v>51</v>
      </c>
      <c r="S94" s="2" t="s">
        <v>43</v>
      </c>
    </row>
    <row r="95" spans="3:19" x14ac:dyDescent="0.25">
      <c r="C95" s="3" t="s">
        <v>404</v>
      </c>
      <c r="D95" s="3" t="s">
        <v>405</v>
      </c>
      <c r="E95" s="3" t="s">
        <v>405</v>
      </c>
      <c r="F95" s="4">
        <v>5</v>
      </c>
      <c r="G95" s="3" t="s">
        <v>376</v>
      </c>
      <c r="H95" s="3" t="s">
        <v>46</v>
      </c>
      <c r="I95" s="3" t="s">
        <v>1031</v>
      </c>
      <c r="J95" s="3" t="s">
        <v>63</v>
      </c>
      <c r="K95" s="3" t="s">
        <v>138</v>
      </c>
      <c r="L95" s="3" t="s">
        <v>40</v>
      </c>
      <c r="M95" s="3" t="s">
        <v>378</v>
      </c>
      <c r="N95" s="3" t="s">
        <v>404</v>
      </c>
      <c r="O95" s="3" t="s">
        <v>42</v>
      </c>
      <c r="P95" s="42" t="s">
        <v>43</v>
      </c>
      <c r="Q95" s="42">
        <v>39142588.740000002</v>
      </c>
      <c r="R95" s="42" t="s">
        <v>380</v>
      </c>
      <c r="S95" s="2" t="s">
        <v>43</v>
      </c>
    </row>
    <row r="96" spans="3:19" x14ac:dyDescent="0.25">
      <c r="C96" s="3" t="s">
        <v>948</v>
      </c>
      <c r="D96" s="3" t="s">
        <v>949</v>
      </c>
      <c r="E96" s="3" t="s">
        <v>949</v>
      </c>
      <c r="F96" s="4">
        <v>5.45</v>
      </c>
      <c r="G96" s="3" t="s">
        <v>376</v>
      </c>
      <c r="H96" s="3" t="s">
        <v>46</v>
      </c>
      <c r="I96" s="3" t="s">
        <v>1030</v>
      </c>
      <c r="J96" s="3" t="s">
        <v>160</v>
      </c>
      <c r="K96" s="3" t="s">
        <v>353</v>
      </c>
      <c r="L96" s="3" t="s">
        <v>40</v>
      </c>
      <c r="M96" s="3" t="s">
        <v>984</v>
      </c>
      <c r="N96" s="3" t="s">
        <v>948</v>
      </c>
      <c r="O96" s="3" t="s">
        <v>42</v>
      </c>
      <c r="P96" s="42" t="s">
        <v>43</v>
      </c>
      <c r="Q96" s="42">
        <v>47424247.200000003</v>
      </c>
      <c r="R96" s="42" t="s">
        <v>931</v>
      </c>
      <c r="S96" s="2" t="s">
        <v>43</v>
      </c>
    </row>
    <row r="97" spans="3:19" x14ac:dyDescent="0.25">
      <c r="C97" s="3" t="s">
        <v>667</v>
      </c>
      <c r="D97" s="3" t="s">
        <v>668</v>
      </c>
      <c r="E97" s="3" t="s">
        <v>668</v>
      </c>
      <c r="F97" s="4">
        <v>6</v>
      </c>
      <c r="G97" s="3" t="s">
        <v>376</v>
      </c>
      <c r="H97" s="3" t="s">
        <v>46</v>
      </c>
      <c r="I97" s="3" t="s">
        <v>1030</v>
      </c>
      <c r="J97" s="3" t="s">
        <v>248</v>
      </c>
      <c r="K97" s="3" t="s">
        <v>51</v>
      </c>
      <c r="L97" s="3" t="s">
        <v>40</v>
      </c>
      <c r="M97" s="3" t="s">
        <v>984</v>
      </c>
      <c r="N97" s="3" t="s">
        <v>667</v>
      </c>
      <c r="O97" s="3" t="s">
        <v>42</v>
      </c>
      <c r="P97" s="42" t="s">
        <v>43</v>
      </c>
      <c r="Q97" s="42">
        <v>55164303.004999995</v>
      </c>
      <c r="R97" s="42" t="s">
        <v>51</v>
      </c>
      <c r="S97" s="2" t="s">
        <v>43</v>
      </c>
    </row>
    <row r="98" spans="3:19" x14ac:dyDescent="0.25">
      <c r="C98" s="45" t="s">
        <v>669</v>
      </c>
      <c r="D98" s="45" t="s">
        <v>670</v>
      </c>
      <c r="E98" s="45" t="s">
        <v>670</v>
      </c>
      <c r="F98" s="44">
        <v>5.45</v>
      </c>
      <c r="G98" s="45" t="s">
        <v>376</v>
      </c>
      <c r="H98" s="3" t="s">
        <v>46</v>
      </c>
      <c r="I98" s="3" t="s">
        <v>1030</v>
      </c>
      <c r="J98" s="3" t="s">
        <v>248</v>
      </c>
      <c r="K98" s="3" t="s">
        <v>51</v>
      </c>
      <c r="L98" s="3" t="s">
        <v>40</v>
      </c>
      <c r="M98" s="3" t="s">
        <v>984</v>
      </c>
      <c r="N98" s="3" t="s">
        <v>669</v>
      </c>
      <c r="O98" s="3" t="s">
        <v>42</v>
      </c>
      <c r="P98" s="42" t="s">
        <v>43</v>
      </c>
      <c r="Q98" s="42">
        <v>58121537.984999992</v>
      </c>
      <c r="R98" s="42" t="s">
        <v>51</v>
      </c>
      <c r="S98" s="2" t="s">
        <v>43</v>
      </c>
    </row>
    <row r="99" spans="3:19" x14ac:dyDescent="0.25">
      <c r="C99" s="3" t="s">
        <v>894</v>
      </c>
      <c r="D99" s="3" t="s">
        <v>895</v>
      </c>
      <c r="E99" s="3" t="s">
        <v>895</v>
      </c>
      <c r="F99" s="4">
        <v>5</v>
      </c>
      <c r="G99" s="3" t="s">
        <v>376</v>
      </c>
      <c r="H99" s="3" t="s">
        <v>46</v>
      </c>
      <c r="I99" s="3" t="s">
        <v>1030</v>
      </c>
      <c r="J99" s="3" t="s">
        <v>73</v>
      </c>
      <c r="K99" s="3" t="s">
        <v>609</v>
      </c>
      <c r="L99" s="3" t="s">
        <v>40</v>
      </c>
      <c r="M99" s="3" t="s">
        <v>514</v>
      </c>
      <c r="N99" s="3" t="s">
        <v>894</v>
      </c>
      <c r="O99" s="3" t="s">
        <v>42</v>
      </c>
      <c r="P99" s="42" t="s">
        <v>43</v>
      </c>
      <c r="Q99" s="42">
        <v>47102719.740000002</v>
      </c>
      <c r="R99" s="42" t="s">
        <v>886</v>
      </c>
      <c r="S99" s="2" t="s">
        <v>43</v>
      </c>
    </row>
    <row r="100" spans="3:19" x14ac:dyDescent="0.25">
      <c r="C100" s="3" t="s">
        <v>537</v>
      </c>
      <c r="D100" s="3" t="s">
        <v>538</v>
      </c>
      <c r="E100" s="3" t="s">
        <v>538</v>
      </c>
      <c r="F100" s="4">
        <v>6.13</v>
      </c>
      <c r="G100" s="3" t="s">
        <v>376</v>
      </c>
      <c r="H100" s="3" t="s">
        <v>46</v>
      </c>
      <c r="I100" s="3" t="s">
        <v>1030</v>
      </c>
      <c r="J100" s="3" t="s">
        <v>100</v>
      </c>
      <c r="K100" s="3" t="s">
        <v>64</v>
      </c>
      <c r="L100" s="3" t="s">
        <v>40</v>
      </c>
      <c r="M100" s="3" t="s">
        <v>514</v>
      </c>
      <c r="N100" s="3" t="s">
        <v>537</v>
      </c>
      <c r="O100" s="3" t="s">
        <v>42</v>
      </c>
      <c r="P100" s="42" t="s">
        <v>43</v>
      </c>
      <c r="Q100" s="42">
        <v>62897265.234999992</v>
      </c>
      <c r="R100" s="42" t="s">
        <v>515</v>
      </c>
      <c r="S100" s="2" t="s">
        <v>43</v>
      </c>
    </row>
    <row r="101" spans="3:19" x14ac:dyDescent="0.25">
      <c r="C101" s="3" t="s">
        <v>863</v>
      </c>
      <c r="D101" s="3" t="s">
        <v>864</v>
      </c>
      <c r="E101" s="3" t="s">
        <v>864</v>
      </c>
      <c r="F101" s="4">
        <v>5.45</v>
      </c>
      <c r="G101" s="3" t="s">
        <v>376</v>
      </c>
      <c r="H101" s="3" t="s">
        <v>46</v>
      </c>
      <c r="I101" s="3" t="s">
        <v>1030</v>
      </c>
      <c r="J101" s="3" t="s">
        <v>132</v>
      </c>
      <c r="K101" s="3" t="s">
        <v>138</v>
      </c>
      <c r="L101" s="3" t="s">
        <v>40</v>
      </c>
      <c r="M101" s="3" t="s">
        <v>1035</v>
      </c>
      <c r="N101" s="3" t="s">
        <v>863</v>
      </c>
      <c r="O101" s="3" t="s">
        <v>42</v>
      </c>
      <c r="P101" s="42" t="s">
        <v>43</v>
      </c>
      <c r="Q101" s="42">
        <v>49972633.829999998</v>
      </c>
      <c r="R101" s="42" t="s">
        <v>847</v>
      </c>
      <c r="S101" s="2" t="s">
        <v>43</v>
      </c>
    </row>
    <row r="102" spans="3:19" x14ac:dyDescent="0.25">
      <c r="C102" s="3" t="s">
        <v>896</v>
      </c>
      <c r="D102" s="3" t="s">
        <v>897</v>
      </c>
      <c r="E102" s="3" t="s">
        <v>897</v>
      </c>
      <c r="F102" s="4">
        <v>5</v>
      </c>
      <c r="G102" s="3" t="s">
        <v>376</v>
      </c>
      <c r="H102" s="3" t="s">
        <v>46</v>
      </c>
      <c r="I102" s="3" t="s">
        <v>1030</v>
      </c>
      <c r="J102" s="3" t="s">
        <v>73</v>
      </c>
      <c r="K102" s="3" t="s">
        <v>133</v>
      </c>
      <c r="L102" s="3" t="s">
        <v>40</v>
      </c>
      <c r="M102" s="3" t="s">
        <v>514</v>
      </c>
      <c r="N102" s="3" t="s">
        <v>896</v>
      </c>
      <c r="O102" s="3" t="s">
        <v>42</v>
      </c>
      <c r="P102" s="42" t="s">
        <v>43</v>
      </c>
      <c r="Q102" s="42">
        <v>40553575.140000001</v>
      </c>
      <c r="R102" s="42" t="s">
        <v>886</v>
      </c>
      <c r="S102" s="2" t="s">
        <v>43</v>
      </c>
    </row>
    <row r="103" spans="3:19" x14ac:dyDescent="0.25">
      <c r="C103" s="3" t="s">
        <v>898</v>
      </c>
      <c r="D103" s="3" t="s">
        <v>899</v>
      </c>
      <c r="E103" s="3" t="s">
        <v>899</v>
      </c>
      <c r="F103" s="4">
        <v>5</v>
      </c>
      <c r="G103" s="3" t="s">
        <v>376</v>
      </c>
      <c r="H103" s="3" t="s">
        <v>46</v>
      </c>
      <c r="I103" s="3" t="s">
        <v>1030</v>
      </c>
      <c r="J103" s="3" t="s">
        <v>73</v>
      </c>
      <c r="K103" s="3" t="s">
        <v>315</v>
      </c>
      <c r="L103" s="3" t="s">
        <v>40</v>
      </c>
      <c r="M103" s="3" t="s">
        <v>514</v>
      </c>
      <c r="N103" s="3" t="s">
        <v>898</v>
      </c>
      <c r="O103" s="3" t="s">
        <v>42</v>
      </c>
      <c r="P103" s="42" t="s">
        <v>440</v>
      </c>
      <c r="Q103" s="42">
        <v>56840193.864999995</v>
      </c>
      <c r="R103" s="42" t="s">
        <v>886</v>
      </c>
      <c r="S103" s="2" t="s">
        <v>43</v>
      </c>
    </row>
    <row r="104" spans="3:19" x14ac:dyDescent="0.25">
      <c r="C104" s="3" t="s">
        <v>950</v>
      </c>
      <c r="D104" s="3" t="s">
        <v>951</v>
      </c>
      <c r="E104" s="3" t="s">
        <v>951</v>
      </c>
      <c r="F104" s="4">
        <v>5.45</v>
      </c>
      <c r="G104" s="3" t="s">
        <v>376</v>
      </c>
      <c r="H104" s="3" t="s">
        <v>46</v>
      </c>
      <c r="I104" s="3" t="s">
        <v>1030</v>
      </c>
      <c r="J104" s="3" t="s">
        <v>160</v>
      </c>
      <c r="K104" s="3" t="s">
        <v>353</v>
      </c>
      <c r="L104" s="3" t="s">
        <v>40</v>
      </c>
      <c r="M104" s="3" t="s">
        <v>984</v>
      </c>
      <c r="N104" s="3" t="s">
        <v>950</v>
      </c>
      <c r="O104" s="3" t="s">
        <v>42</v>
      </c>
      <c r="P104" s="42" t="s">
        <v>43</v>
      </c>
      <c r="Q104" s="42">
        <v>42813841.079999998</v>
      </c>
      <c r="R104" s="42" t="s">
        <v>931</v>
      </c>
      <c r="S104" s="2" t="s">
        <v>43</v>
      </c>
    </row>
    <row r="105" spans="3:19" x14ac:dyDescent="0.25">
      <c r="C105" s="3" t="s">
        <v>406</v>
      </c>
      <c r="D105" s="3" t="s">
        <v>407</v>
      </c>
      <c r="E105" s="3" t="s">
        <v>407</v>
      </c>
      <c r="F105" s="4">
        <v>5.45</v>
      </c>
      <c r="G105" s="3" t="s">
        <v>376</v>
      </c>
      <c r="H105" s="3" t="s">
        <v>46</v>
      </c>
      <c r="I105" s="3" t="s">
        <v>1031</v>
      </c>
      <c r="J105" s="3" t="s">
        <v>63</v>
      </c>
      <c r="K105" s="3" t="s">
        <v>138</v>
      </c>
      <c r="L105" s="3" t="s">
        <v>40</v>
      </c>
      <c r="M105" s="3" t="s">
        <v>378</v>
      </c>
      <c r="N105" s="3" t="s">
        <v>406</v>
      </c>
      <c r="O105" s="3" t="s">
        <v>42</v>
      </c>
      <c r="P105" s="42" t="s">
        <v>43</v>
      </c>
      <c r="Q105" s="42">
        <v>49197518.219999999</v>
      </c>
      <c r="R105" s="42" t="s">
        <v>380</v>
      </c>
      <c r="S105" s="2" t="s">
        <v>43</v>
      </c>
    </row>
    <row r="106" spans="3:19" x14ac:dyDescent="0.25">
      <c r="C106" s="3" t="s">
        <v>429</v>
      </c>
      <c r="D106" s="3" t="s">
        <v>430</v>
      </c>
      <c r="E106" s="3" t="s">
        <v>431</v>
      </c>
      <c r="F106" s="4">
        <v>6</v>
      </c>
      <c r="G106" s="3" t="s">
        <v>376</v>
      </c>
      <c r="H106" s="3" t="s">
        <v>46</v>
      </c>
      <c r="I106" s="3" t="s">
        <v>1030</v>
      </c>
      <c r="J106" s="3" t="s">
        <v>94</v>
      </c>
      <c r="K106" s="3" t="s">
        <v>64</v>
      </c>
      <c r="L106" s="3" t="s">
        <v>40</v>
      </c>
      <c r="M106" s="3" t="s">
        <v>1035</v>
      </c>
      <c r="N106" s="3" t="s">
        <v>429</v>
      </c>
      <c r="O106" s="3" t="s">
        <v>42</v>
      </c>
      <c r="P106" s="42" t="s">
        <v>43</v>
      </c>
      <c r="Q106" s="42">
        <v>76136977</v>
      </c>
      <c r="R106" s="42" t="s">
        <v>423</v>
      </c>
      <c r="S106" s="2" t="s">
        <v>43</v>
      </c>
    </row>
    <row r="107" spans="3:19" x14ac:dyDescent="0.25">
      <c r="C107" s="3" t="s">
        <v>483</v>
      </c>
      <c r="D107" s="3" t="s">
        <v>484</v>
      </c>
      <c r="E107" s="3" t="s">
        <v>485</v>
      </c>
      <c r="F107" s="4">
        <v>5</v>
      </c>
      <c r="G107" s="3" t="s">
        <v>376</v>
      </c>
      <c r="H107" s="3" t="s">
        <v>46</v>
      </c>
      <c r="I107" s="3" t="s">
        <v>1030</v>
      </c>
      <c r="J107" s="3" t="s">
        <v>466</v>
      </c>
      <c r="K107" s="3" t="s">
        <v>51</v>
      </c>
      <c r="L107" s="3" t="s">
        <v>40</v>
      </c>
      <c r="M107" s="3" t="s">
        <v>1035</v>
      </c>
      <c r="N107" s="3" t="s">
        <v>483</v>
      </c>
      <c r="O107" s="3" t="s">
        <v>42</v>
      </c>
      <c r="P107" s="42" t="s">
        <v>43</v>
      </c>
      <c r="Q107" s="42">
        <v>70195939.414999992</v>
      </c>
      <c r="R107" s="42" t="s">
        <v>467</v>
      </c>
      <c r="S107" s="2" t="s">
        <v>43</v>
      </c>
    </row>
    <row r="108" spans="3:19" x14ac:dyDescent="0.25">
      <c r="C108" s="3" t="s">
        <v>539</v>
      </c>
      <c r="D108" s="3" t="s">
        <v>540</v>
      </c>
      <c r="E108" s="3" t="s">
        <v>541</v>
      </c>
      <c r="F108" s="4">
        <v>6.13</v>
      </c>
      <c r="G108" s="3" t="s">
        <v>376</v>
      </c>
      <c r="H108" s="3" t="s">
        <v>46</v>
      </c>
      <c r="I108" s="3" t="s">
        <v>1030</v>
      </c>
      <c r="J108" s="3" t="s">
        <v>100</v>
      </c>
      <c r="K108" s="3" t="s">
        <v>51</v>
      </c>
      <c r="L108" s="3" t="s">
        <v>40</v>
      </c>
      <c r="M108" s="3" t="s">
        <v>514</v>
      </c>
      <c r="N108" s="3" t="s">
        <v>539</v>
      </c>
      <c r="O108" s="3" t="s">
        <v>42</v>
      </c>
      <c r="P108" s="42" t="s">
        <v>43</v>
      </c>
      <c r="Q108" s="42">
        <v>58571759.504999995</v>
      </c>
      <c r="R108" s="42" t="s">
        <v>515</v>
      </c>
      <c r="S108" s="2" t="s">
        <v>43</v>
      </c>
    </row>
    <row r="109" spans="3:19" x14ac:dyDescent="0.25">
      <c r="C109" s="3" t="s">
        <v>432</v>
      </c>
      <c r="D109" s="3" t="s">
        <v>433</v>
      </c>
      <c r="E109" s="3" t="s">
        <v>434</v>
      </c>
      <c r="F109" s="4">
        <v>5.45</v>
      </c>
      <c r="G109" s="3" t="s">
        <v>376</v>
      </c>
      <c r="H109" s="3" t="s">
        <v>46</v>
      </c>
      <c r="I109" s="3" t="s">
        <v>1030</v>
      </c>
      <c r="J109" s="3" t="s">
        <v>94</v>
      </c>
      <c r="K109" s="3" t="s">
        <v>205</v>
      </c>
      <c r="L109" s="3" t="s">
        <v>40</v>
      </c>
      <c r="M109" s="3" t="s">
        <v>1035</v>
      </c>
      <c r="N109" s="3" t="s">
        <v>432</v>
      </c>
      <c r="O109" s="3" t="s">
        <v>42</v>
      </c>
      <c r="P109" s="42" t="s">
        <v>43</v>
      </c>
      <c r="Q109" s="42">
        <v>59756694.864999995</v>
      </c>
      <c r="R109" s="42" t="s">
        <v>423</v>
      </c>
      <c r="S109" s="2" t="s">
        <v>43</v>
      </c>
    </row>
    <row r="110" spans="3:19" x14ac:dyDescent="0.25">
      <c r="C110" s="3" t="s">
        <v>671</v>
      </c>
      <c r="D110" s="3" t="s">
        <v>672</v>
      </c>
      <c r="E110" s="3" t="s">
        <v>672</v>
      </c>
      <c r="F110" s="4">
        <v>5</v>
      </c>
      <c r="G110" s="3" t="s">
        <v>376</v>
      </c>
      <c r="H110" s="3" t="s">
        <v>46</v>
      </c>
      <c r="I110" s="3" t="s">
        <v>1030</v>
      </c>
      <c r="J110" s="3" t="s">
        <v>248</v>
      </c>
      <c r="K110" s="3" t="s">
        <v>51</v>
      </c>
      <c r="L110" s="3" t="s">
        <v>40</v>
      </c>
      <c r="M110" s="3" t="s">
        <v>984</v>
      </c>
      <c r="N110" s="3" t="s">
        <v>671</v>
      </c>
      <c r="O110" s="3" t="s">
        <v>42</v>
      </c>
      <c r="P110" s="42" t="s">
        <v>43</v>
      </c>
      <c r="Q110" s="42">
        <v>53469979.744999997</v>
      </c>
      <c r="R110" s="42" t="s">
        <v>51</v>
      </c>
      <c r="S110" s="2" t="s">
        <v>43</v>
      </c>
    </row>
    <row r="111" spans="3:19" x14ac:dyDescent="0.25">
      <c r="C111" s="3" t="s">
        <v>567</v>
      </c>
      <c r="D111" s="3" t="s">
        <v>568</v>
      </c>
      <c r="E111" s="3" t="s">
        <v>568</v>
      </c>
      <c r="F111" s="4">
        <v>5</v>
      </c>
      <c r="G111" s="3" t="s">
        <v>376</v>
      </c>
      <c r="H111" s="3" t="s">
        <v>46</v>
      </c>
      <c r="I111" s="3" t="s">
        <v>1030</v>
      </c>
      <c r="J111" s="3" t="s">
        <v>331</v>
      </c>
      <c r="K111" s="3" t="s">
        <v>138</v>
      </c>
      <c r="L111" s="3" t="s">
        <v>40</v>
      </c>
      <c r="M111" s="3" t="s">
        <v>984</v>
      </c>
      <c r="N111" s="3" t="s">
        <v>567</v>
      </c>
      <c r="O111" s="3" t="s">
        <v>42</v>
      </c>
      <c r="P111" s="42" t="s">
        <v>43</v>
      </c>
      <c r="Q111" s="42">
        <v>43379685.089999996</v>
      </c>
      <c r="R111" s="42" t="s">
        <v>557</v>
      </c>
      <c r="S111" s="2" t="s">
        <v>43</v>
      </c>
    </row>
    <row r="112" spans="3:19" x14ac:dyDescent="0.25">
      <c r="C112" s="3" t="s">
        <v>435</v>
      </c>
      <c r="D112" s="3" t="s">
        <v>436</v>
      </c>
      <c r="E112" s="3" t="s">
        <v>436</v>
      </c>
      <c r="F112" s="4">
        <v>5</v>
      </c>
      <c r="G112" s="3" t="s">
        <v>376</v>
      </c>
      <c r="H112" s="3" t="s">
        <v>46</v>
      </c>
      <c r="I112" s="3" t="s">
        <v>1030</v>
      </c>
      <c r="J112" s="3" t="s">
        <v>94</v>
      </c>
      <c r="K112" s="3" t="s">
        <v>64</v>
      </c>
      <c r="L112" s="3" t="s">
        <v>40</v>
      </c>
      <c r="M112" s="3" t="s">
        <v>1035</v>
      </c>
      <c r="N112" s="3" t="s">
        <v>435</v>
      </c>
      <c r="O112" s="3" t="s">
        <v>42</v>
      </c>
      <c r="P112" s="42" t="s">
        <v>43</v>
      </c>
      <c r="Q112" s="42">
        <v>62101468.694999993</v>
      </c>
      <c r="R112" s="42" t="s">
        <v>423</v>
      </c>
      <c r="S112" s="2" t="s">
        <v>43</v>
      </c>
    </row>
    <row r="113" spans="3:19" x14ac:dyDescent="0.25">
      <c r="C113" s="3" t="s">
        <v>865</v>
      </c>
      <c r="D113" s="3" t="s">
        <v>866</v>
      </c>
      <c r="E113" s="3" t="s">
        <v>866</v>
      </c>
      <c r="F113" s="4">
        <v>6</v>
      </c>
      <c r="G113" s="3" t="s">
        <v>376</v>
      </c>
      <c r="H113" s="3" t="s">
        <v>46</v>
      </c>
      <c r="I113" s="3" t="s">
        <v>1030</v>
      </c>
      <c r="J113" s="3" t="s">
        <v>132</v>
      </c>
      <c r="K113" s="3" t="s">
        <v>856</v>
      </c>
      <c r="L113" s="3" t="s">
        <v>40</v>
      </c>
      <c r="M113" s="3" t="s">
        <v>1035</v>
      </c>
      <c r="N113" s="3" t="s">
        <v>865</v>
      </c>
      <c r="O113" s="3" t="s">
        <v>42</v>
      </c>
      <c r="P113" s="42" t="s">
        <v>43</v>
      </c>
      <c r="Q113" s="42">
        <v>62106806.579999991</v>
      </c>
      <c r="R113" s="42" t="s">
        <v>847</v>
      </c>
      <c r="S113" s="2" t="s">
        <v>43</v>
      </c>
    </row>
    <row r="114" spans="3:19" x14ac:dyDescent="0.25">
      <c r="C114" s="3" t="s">
        <v>486</v>
      </c>
      <c r="D114" s="3" t="s">
        <v>487</v>
      </c>
      <c r="E114" s="3" t="s">
        <v>487</v>
      </c>
      <c r="F114" s="4">
        <v>5</v>
      </c>
      <c r="G114" s="3" t="s">
        <v>376</v>
      </c>
      <c r="H114" s="3" t="s">
        <v>46</v>
      </c>
      <c r="I114" s="3" t="s">
        <v>1030</v>
      </c>
      <c r="J114" s="3" t="s">
        <v>466</v>
      </c>
      <c r="K114" s="3" t="s">
        <v>51</v>
      </c>
      <c r="L114" s="3" t="s">
        <v>40</v>
      </c>
      <c r="M114" s="3" t="s">
        <v>1035</v>
      </c>
      <c r="N114" s="3" t="s">
        <v>486</v>
      </c>
      <c r="O114" s="3" t="s">
        <v>42</v>
      </c>
      <c r="P114" s="42" t="s">
        <v>43</v>
      </c>
      <c r="Q114" s="42">
        <v>44210639.280000001</v>
      </c>
      <c r="R114" s="42" t="s">
        <v>467</v>
      </c>
      <c r="S114" s="2" t="s">
        <v>43</v>
      </c>
    </row>
    <row r="115" spans="3:19" x14ac:dyDescent="0.25">
      <c r="C115" s="3" t="s">
        <v>673</v>
      </c>
      <c r="D115" s="3" t="s">
        <v>674</v>
      </c>
      <c r="E115" s="3" t="s">
        <v>674</v>
      </c>
      <c r="F115" s="4">
        <v>5.45</v>
      </c>
      <c r="G115" s="3" t="s">
        <v>376</v>
      </c>
      <c r="H115" s="3" t="s">
        <v>46</v>
      </c>
      <c r="I115" s="3" t="s">
        <v>1030</v>
      </c>
      <c r="J115" s="3" t="s">
        <v>248</v>
      </c>
      <c r="K115" s="3" t="s">
        <v>51</v>
      </c>
      <c r="L115" s="3" t="s">
        <v>40</v>
      </c>
      <c r="M115" s="3" t="s">
        <v>984</v>
      </c>
      <c r="N115" s="3" t="s">
        <v>673</v>
      </c>
      <c r="O115" s="3" t="s">
        <v>42</v>
      </c>
      <c r="P115" s="42" t="s">
        <v>43</v>
      </c>
      <c r="Q115" s="42">
        <v>37628216.160000004</v>
      </c>
      <c r="R115" s="42" t="s">
        <v>51</v>
      </c>
      <c r="S115" s="2" t="s">
        <v>43</v>
      </c>
    </row>
    <row r="116" spans="3:19" x14ac:dyDescent="0.25">
      <c r="C116" s="3" t="s">
        <v>569</v>
      </c>
      <c r="D116" s="3" t="s">
        <v>570</v>
      </c>
      <c r="E116" s="3" t="s">
        <v>570</v>
      </c>
      <c r="F116" s="4">
        <v>5.45</v>
      </c>
      <c r="G116" s="3" t="s">
        <v>376</v>
      </c>
      <c r="H116" s="3" t="s">
        <v>46</v>
      </c>
      <c r="I116" s="3" t="s">
        <v>1030</v>
      </c>
      <c r="J116" s="3" t="s">
        <v>331</v>
      </c>
      <c r="K116" s="3" t="s">
        <v>138</v>
      </c>
      <c r="L116" s="3" t="s">
        <v>40</v>
      </c>
      <c r="M116" s="3" t="s">
        <v>984</v>
      </c>
      <c r="N116" s="3" t="s">
        <v>569</v>
      </c>
      <c r="O116" s="3" t="s">
        <v>42</v>
      </c>
      <c r="P116" s="42" t="s">
        <v>43</v>
      </c>
      <c r="Q116" s="42">
        <v>53936490.240000002</v>
      </c>
      <c r="R116" s="42" t="s">
        <v>557</v>
      </c>
      <c r="S116" s="2" t="s">
        <v>43</v>
      </c>
    </row>
    <row r="117" spans="3:19" x14ac:dyDescent="0.25">
      <c r="C117" s="3" t="s">
        <v>750</v>
      </c>
      <c r="D117" s="3" t="s">
        <v>751</v>
      </c>
      <c r="E117" s="3" t="s">
        <v>751</v>
      </c>
      <c r="F117" s="4">
        <v>5</v>
      </c>
      <c r="G117" s="3" t="s">
        <v>376</v>
      </c>
      <c r="H117" s="3" t="s">
        <v>46</v>
      </c>
      <c r="I117" s="3" t="s">
        <v>1031</v>
      </c>
      <c r="J117" s="3" t="s">
        <v>84</v>
      </c>
      <c r="K117" s="3" t="s">
        <v>54</v>
      </c>
      <c r="L117" s="3" t="s">
        <v>55</v>
      </c>
      <c r="M117" s="3" t="s">
        <v>378</v>
      </c>
      <c r="N117" s="3" t="s">
        <v>750</v>
      </c>
      <c r="O117" s="3" t="s">
        <v>42</v>
      </c>
      <c r="P117" s="42" t="s">
        <v>43</v>
      </c>
      <c r="Q117" s="42">
        <v>50594446.174999997</v>
      </c>
      <c r="R117" s="42" t="s">
        <v>741</v>
      </c>
      <c r="S117" s="2" t="s">
        <v>43</v>
      </c>
    </row>
    <row r="118" spans="3:19" x14ac:dyDescent="0.25">
      <c r="C118" s="3" t="s">
        <v>488</v>
      </c>
      <c r="D118" s="3" t="s">
        <v>489</v>
      </c>
      <c r="E118" s="3" t="s">
        <v>490</v>
      </c>
      <c r="F118" s="4">
        <v>5</v>
      </c>
      <c r="G118" s="3" t="s">
        <v>376</v>
      </c>
      <c r="H118" s="3" t="s">
        <v>46</v>
      </c>
      <c r="I118" s="3" t="s">
        <v>1030</v>
      </c>
      <c r="J118" s="3" t="s">
        <v>466</v>
      </c>
      <c r="K118" s="3" t="s">
        <v>51</v>
      </c>
      <c r="L118" s="3" t="s">
        <v>40</v>
      </c>
      <c r="M118" s="3" t="s">
        <v>1035</v>
      </c>
      <c r="N118" s="3" t="s">
        <v>488</v>
      </c>
      <c r="O118" s="3" t="s">
        <v>42</v>
      </c>
      <c r="P118" s="42" t="s">
        <v>43</v>
      </c>
      <c r="Q118" s="42">
        <v>46498275.634999998</v>
      </c>
      <c r="R118" s="42" t="s">
        <v>467</v>
      </c>
      <c r="S118" s="2" t="s">
        <v>43</v>
      </c>
    </row>
    <row r="119" spans="3:19" x14ac:dyDescent="0.25">
      <c r="C119" s="3" t="s">
        <v>952</v>
      </c>
      <c r="D119" s="3" t="s">
        <v>953</v>
      </c>
      <c r="E119" s="3" t="s">
        <v>953</v>
      </c>
      <c r="F119" s="4">
        <v>5.45</v>
      </c>
      <c r="G119" s="3" t="s">
        <v>376</v>
      </c>
      <c r="H119" s="3" t="s">
        <v>46</v>
      </c>
      <c r="I119" s="3" t="s">
        <v>1030</v>
      </c>
      <c r="J119" s="3" t="s">
        <v>160</v>
      </c>
      <c r="K119" s="3" t="s">
        <v>371</v>
      </c>
      <c r="L119" s="3" t="s">
        <v>40</v>
      </c>
      <c r="M119" s="3" t="s">
        <v>984</v>
      </c>
      <c r="N119" s="3" t="s">
        <v>952</v>
      </c>
      <c r="O119" s="3" t="s">
        <v>42</v>
      </c>
      <c r="P119" s="42" t="s">
        <v>43</v>
      </c>
      <c r="Q119" s="42">
        <v>52615306.099999994</v>
      </c>
      <c r="R119" s="42" t="s">
        <v>931</v>
      </c>
      <c r="S119" s="2" t="s">
        <v>43</v>
      </c>
    </row>
    <row r="120" spans="3:19" x14ac:dyDescent="0.25">
      <c r="C120" s="3" t="s">
        <v>675</v>
      </c>
      <c r="D120" s="3" t="s">
        <v>676</v>
      </c>
      <c r="E120" s="3" t="s">
        <v>676</v>
      </c>
      <c r="F120" s="4">
        <v>5</v>
      </c>
      <c r="G120" s="3" t="s">
        <v>376</v>
      </c>
      <c r="H120" s="3" t="s">
        <v>81</v>
      </c>
      <c r="I120" s="3" t="s">
        <v>1030</v>
      </c>
      <c r="J120" s="3" t="s">
        <v>248</v>
      </c>
      <c r="K120" s="3" t="s">
        <v>51</v>
      </c>
      <c r="L120" s="3" t="s">
        <v>40</v>
      </c>
      <c r="M120" s="3" t="s">
        <v>984</v>
      </c>
      <c r="N120" s="3" t="s">
        <v>675</v>
      </c>
      <c r="O120" s="3" t="s">
        <v>42</v>
      </c>
      <c r="P120" s="42" t="s">
        <v>43</v>
      </c>
      <c r="Q120" s="42">
        <v>45783462.899999999</v>
      </c>
      <c r="R120" s="42" t="s">
        <v>51</v>
      </c>
      <c r="S120" s="2" t="s">
        <v>43</v>
      </c>
    </row>
    <row r="121" spans="3:19" x14ac:dyDescent="0.25">
      <c r="C121" s="3" t="s">
        <v>780</v>
      </c>
      <c r="D121" s="3" t="s">
        <v>781</v>
      </c>
      <c r="E121" s="3" t="s">
        <v>781</v>
      </c>
      <c r="F121" s="4">
        <v>5.45</v>
      </c>
      <c r="G121" s="3" t="s">
        <v>376</v>
      </c>
      <c r="H121" s="3" t="s">
        <v>46</v>
      </c>
      <c r="I121" s="3" t="s">
        <v>1031</v>
      </c>
      <c r="J121" s="3" t="s">
        <v>89</v>
      </c>
      <c r="K121" s="3" t="s">
        <v>109</v>
      </c>
      <c r="L121" s="3" t="s">
        <v>91</v>
      </c>
      <c r="M121" s="3" t="s">
        <v>378</v>
      </c>
      <c r="N121" s="3" t="s">
        <v>780</v>
      </c>
      <c r="O121" s="3" t="s">
        <v>42</v>
      </c>
      <c r="P121" s="42" t="s">
        <v>43</v>
      </c>
      <c r="Q121" s="42">
        <v>42394281.474999994</v>
      </c>
      <c r="R121" s="42" t="s">
        <v>772</v>
      </c>
      <c r="S121" s="2" t="s">
        <v>43</v>
      </c>
    </row>
    <row r="122" spans="3:19" x14ac:dyDescent="0.25">
      <c r="C122" s="3" t="s">
        <v>628</v>
      </c>
      <c r="D122" s="3" t="s">
        <v>996</v>
      </c>
      <c r="E122" s="3" t="s">
        <v>630</v>
      </c>
      <c r="F122" s="4">
        <v>5</v>
      </c>
      <c r="G122" s="3" t="s">
        <v>987</v>
      </c>
      <c r="H122" s="3" t="s">
        <v>46</v>
      </c>
      <c r="I122" s="3" t="s">
        <v>1046</v>
      </c>
      <c r="J122" s="3" t="s">
        <v>50</v>
      </c>
      <c r="K122" s="3" t="s">
        <v>64</v>
      </c>
      <c r="L122" s="3" t="s">
        <v>40</v>
      </c>
      <c r="M122" s="3" t="s">
        <v>514</v>
      </c>
      <c r="N122" s="3" t="s">
        <v>628</v>
      </c>
      <c r="O122" s="3" t="s">
        <v>42</v>
      </c>
      <c r="P122" s="42" t="s">
        <v>43</v>
      </c>
      <c r="Q122" s="42">
        <v>0</v>
      </c>
      <c r="R122" s="42" t="s">
        <v>597</v>
      </c>
      <c r="S122" s="2" t="s">
        <v>43</v>
      </c>
    </row>
    <row r="123" spans="3:19" x14ac:dyDescent="0.25">
      <c r="C123" s="3" t="s">
        <v>408</v>
      </c>
      <c r="D123" s="3" t="s">
        <v>409</v>
      </c>
      <c r="E123" s="3" t="s">
        <v>410</v>
      </c>
      <c r="F123" s="4">
        <v>5</v>
      </c>
      <c r="G123" s="3" t="s">
        <v>376</v>
      </c>
      <c r="H123" s="3" t="s">
        <v>46</v>
      </c>
      <c r="I123" s="3" t="s">
        <v>1031</v>
      </c>
      <c r="J123" s="3" t="s">
        <v>63</v>
      </c>
      <c r="K123" s="3" t="s">
        <v>138</v>
      </c>
      <c r="L123" s="3" t="s">
        <v>40</v>
      </c>
      <c r="M123" s="3" t="s">
        <v>378</v>
      </c>
      <c r="N123" s="3" t="s">
        <v>408</v>
      </c>
      <c r="O123" s="3" t="s">
        <v>42</v>
      </c>
      <c r="P123" s="42" t="s">
        <v>43</v>
      </c>
      <c r="Q123" s="42">
        <v>48893954.759999998</v>
      </c>
      <c r="R123" s="42" t="s">
        <v>380</v>
      </c>
      <c r="S123" s="2" t="s">
        <v>43</v>
      </c>
    </row>
    <row r="124" spans="3:19" x14ac:dyDescent="0.25">
      <c r="C124" s="3" t="s">
        <v>677</v>
      </c>
      <c r="D124" s="3" t="s">
        <v>678</v>
      </c>
      <c r="E124" s="3" t="s">
        <v>679</v>
      </c>
      <c r="F124" s="4">
        <v>5</v>
      </c>
      <c r="G124" s="3" t="s">
        <v>376</v>
      </c>
      <c r="H124" s="3" t="s">
        <v>46</v>
      </c>
      <c r="I124" s="3" t="s">
        <v>1030</v>
      </c>
      <c r="J124" s="3" t="s">
        <v>248</v>
      </c>
      <c r="K124" s="3" t="s">
        <v>51</v>
      </c>
      <c r="L124" s="3" t="s">
        <v>40</v>
      </c>
      <c r="M124" s="3" t="s">
        <v>984</v>
      </c>
      <c r="N124" s="3" t="s">
        <v>677</v>
      </c>
      <c r="O124" s="3" t="s">
        <v>42</v>
      </c>
      <c r="P124" s="42" t="s">
        <v>43</v>
      </c>
      <c r="Q124" s="42">
        <v>50034493.004999995</v>
      </c>
      <c r="R124" s="42" t="s">
        <v>51</v>
      </c>
      <c r="S124" s="2" t="s">
        <v>43</v>
      </c>
    </row>
    <row r="125" spans="3:19" x14ac:dyDescent="0.25">
      <c r="C125" s="3" t="s">
        <v>571</v>
      </c>
      <c r="D125" s="3" t="s">
        <v>572</v>
      </c>
      <c r="E125" s="3" t="s">
        <v>572</v>
      </c>
      <c r="F125" s="4">
        <v>6</v>
      </c>
      <c r="G125" s="3" t="s">
        <v>376</v>
      </c>
      <c r="H125" s="3" t="s">
        <v>46</v>
      </c>
      <c r="I125" s="3" t="s">
        <v>1030</v>
      </c>
      <c r="J125" s="3" t="s">
        <v>331</v>
      </c>
      <c r="K125" s="3" t="s">
        <v>138</v>
      </c>
      <c r="L125" s="3" t="s">
        <v>40</v>
      </c>
      <c r="M125" s="3" t="s">
        <v>984</v>
      </c>
      <c r="N125" s="3" t="s">
        <v>571</v>
      </c>
      <c r="O125" s="3" t="s">
        <v>42</v>
      </c>
      <c r="P125" s="42" t="s">
        <v>43</v>
      </c>
      <c r="Q125" s="42">
        <v>61709601.18</v>
      </c>
      <c r="R125" s="42" t="s">
        <v>557</v>
      </c>
      <c r="S125" s="2" t="s">
        <v>43</v>
      </c>
    </row>
    <row r="126" spans="3:19" x14ac:dyDescent="0.25">
      <c r="C126" s="3" t="s">
        <v>752</v>
      </c>
      <c r="D126" s="3" t="s">
        <v>753</v>
      </c>
      <c r="E126" s="3" t="s">
        <v>753</v>
      </c>
      <c r="F126" s="4">
        <v>8</v>
      </c>
      <c r="G126" s="3" t="s">
        <v>376</v>
      </c>
      <c r="H126" s="3" t="s">
        <v>46</v>
      </c>
      <c r="I126" s="3" t="s">
        <v>1031</v>
      </c>
      <c r="J126" s="3" t="s">
        <v>84</v>
      </c>
      <c r="K126" s="3" t="s">
        <v>54</v>
      </c>
      <c r="L126" s="3" t="s">
        <v>55</v>
      </c>
      <c r="M126" s="3" t="s">
        <v>378</v>
      </c>
      <c r="N126" s="3" t="s">
        <v>752</v>
      </c>
      <c r="O126" s="3" t="s">
        <v>379</v>
      </c>
      <c r="P126" s="42" t="s">
        <v>43</v>
      </c>
      <c r="Q126" s="42">
        <v>59755483.969999991</v>
      </c>
      <c r="R126" s="42" t="s">
        <v>741</v>
      </c>
      <c r="S126" s="2" t="s">
        <v>43</v>
      </c>
    </row>
    <row r="127" spans="3:19" x14ac:dyDescent="0.25">
      <c r="C127" s="3" t="s">
        <v>680</v>
      </c>
      <c r="D127" s="3" t="s">
        <v>681</v>
      </c>
      <c r="E127" s="3" t="s">
        <v>682</v>
      </c>
      <c r="F127" s="4">
        <v>5</v>
      </c>
      <c r="G127" s="3" t="s">
        <v>376</v>
      </c>
      <c r="H127" s="3" t="s">
        <v>46</v>
      </c>
      <c r="I127" s="3" t="s">
        <v>1030</v>
      </c>
      <c r="J127" s="3" t="s">
        <v>248</v>
      </c>
      <c r="K127" s="3" t="s">
        <v>51</v>
      </c>
      <c r="L127" s="3" t="s">
        <v>40</v>
      </c>
      <c r="M127" s="3" t="s">
        <v>984</v>
      </c>
      <c r="N127" s="3" t="s">
        <v>680</v>
      </c>
      <c r="O127" s="3" t="s">
        <v>42</v>
      </c>
      <c r="P127" s="42" t="s">
        <v>440</v>
      </c>
      <c r="Q127" s="42">
        <v>32399994</v>
      </c>
      <c r="R127" s="42" t="s">
        <v>51</v>
      </c>
      <c r="S127" s="2" t="s">
        <v>43</v>
      </c>
    </row>
    <row r="128" spans="3:19" x14ac:dyDescent="0.25">
      <c r="C128" s="3" t="s">
        <v>954</v>
      </c>
      <c r="D128" s="3" t="s">
        <v>955</v>
      </c>
      <c r="E128" s="3" t="s">
        <v>956</v>
      </c>
      <c r="F128" s="4">
        <v>5</v>
      </c>
      <c r="G128" s="3" t="s">
        <v>376</v>
      </c>
      <c r="H128" s="3" t="s">
        <v>46</v>
      </c>
      <c r="I128" s="3" t="s">
        <v>1030</v>
      </c>
      <c r="J128" s="3" t="s">
        <v>160</v>
      </c>
      <c r="K128" s="3" t="s">
        <v>353</v>
      </c>
      <c r="L128" s="3" t="s">
        <v>40</v>
      </c>
      <c r="M128" s="3" t="s">
        <v>984</v>
      </c>
      <c r="N128" s="3" t="s">
        <v>954</v>
      </c>
      <c r="O128" s="3" t="s">
        <v>42</v>
      </c>
      <c r="P128" s="42" t="s">
        <v>440</v>
      </c>
      <c r="Q128" s="42">
        <v>41719051.709999993</v>
      </c>
      <c r="R128" s="42" t="s">
        <v>931</v>
      </c>
      <c r="S128" s="2" t="s">
        <v>43</v>
      </c>
    </row>
    <row r="129" spans="3:19" x14ac:dyDescent="0.25">
      <c r="C129" s="3" t="s">
        <v>68</v>
      </c>
      <c r="D129" s="3" t="s">
        <v>69</v>
      </c>
      <c r="E129" s="3" t="s">
        <v>70</v>
      </c>
      <c r="F129" s="4" t="s">
        <v>36</v>
      </c>
      <c r="G129" s="3" t="s">
        <v>37</v>
      </c>
      <c r="H129" s="3" t="s">
        <v>38</v>
      </c>
      <c r="I129" s="3" t="s">
        <v>1046</v>
      </c>
      <c r="J129" s="3" t="s">
        <v>58</v>
      </c>
      <c r="K129" s="3" t="s">
        <v>64</v>
      </c>
      <c r="L129" s="3" t="s">
        <v>40</v>
      </c>
      <c r="M129" s="3">
        <v>0</v>
      </c>
      <c r="N129" s="3" t="s">
        <v>68</v>
      </c>
      <c r="O129" s="3" t="s">
        <v>42</v>
      </c>
      <c r="P129" s="42" t="s">
        <v>43</v>
      </c>
      <c r="Q129" s="42" t="s">
        <v>36</v>
      </c>
      <c r="R129" s="42">
        <v>0</v>
      </c>
      <c r="S129" s="2" t="s">
        <v>43</v>
      </c>
    </row>
    <row r="130" spans="3:19" x14ac:dyDescent="0.25">
      <c r="C130" s="3" t="s">
        <v>867</v>
      </c>
      <c r="D130" s="3" t="s">
        <v>997</v>
      </c>
      <c r="E130" s="3" t="s">
        <v>869</v>
      </c>
      <c r="F130" s="4">
        <v>5</v>
      </c>
      <c r="G130" s="3" t="s">
        <v>376</v>
      </c>
      <c r="H130" s="3" t="s">
        <v>46</v>
      </c>
      <c r="I130" s="3" t="s">
        <v>1030</v>
      </c>
      <c r="J130" s="3" t="s">
        <v>132</v>
      </c>
      <c r="K130" s="3" t="s">
        <v>856</v>
      </c>
      <c r="L130" s="3" t="s">
        <v>40</v>
      </c>
      <c r="M130" s="3" t="s">
        <v>1035</v>
      </c>
      <c r="N130" s="3" t="s">
        <v>867</v>
      </c>
      <c r="O130" s="3" t="s">
        <v>42</v>
      </c>
      <c r="P130" s="42" t="s">
        <v>440</v>
      </c>
      <c r="Q130" s="42">
        <v>41100793.894999996</v>
      </c>
      <c r="R130" s="42" t="s">
        <v>847</v>
      </c>
      <c r="S130" s="2" t="s">
        <v>43</v>
      </c>
    </row>
    <row r="131" spans="3:19" x14ac:dyDescent="0.25">
      <c r="C131" s="3" t="s">
        <v>71</v>
      </c>
      <c r="D131" s="3" t="s">
        <v>72</v>
      </c>
      <c r="E131" s="3" t="s">
        <v>72</v>
      </c>
      <c r="F131" s="4">
        <v>0</v>
      </c>
      <c r="G131" s="3" t="s">
        <v>37</v>
      </c>
      <c r="H131" s="3" t="s">
        <v>46</v>
      </c>
      <c r="I131" s="3" t="s">
        <v>1046</v>
      </c>
      <c r="J131" s="3" t="s">
        <v>73</v>
      </c>
      <c r="K131" s="3" t="s">
        <v>74</v>
      </c>
      <c r="L131" s="3" t="s">
        <v>40</v>
      </c>
      <c r="M131" s="3">
        <v>0</v>
      </c>
      <c r="N131" s="3" t="s">
        <v>71</v>
      </c>
      <c r="O131" s="3" t="s">
        <v>42</v>
      </c>
      <c r="P131" s="42" t="s">
        <v>43</v>
      </c>
      <c r="Q131" s="42" t="s">
        <v>36</v>
      </c>
      <c r="R131" s="42">
        <v>0</v>
      </c>
      <c r="S131" s="2" t="s">
        <v>43</v>
      </c>
    </row>
    <row r="132" spans="3:19" x14ac:dyDescent="0.25">
      <c r="C132" s="3" t="s">
        <v>802</v>
      </c>
      <c r="D132" s="3" t="s">
        <v>803</v>
      </c>
      <c r="E132" s="3" t="s">
        <v>803</v>
      </c>
      <c r="F132" s="4">
        <v>6</v>
      </c>
      <c r="G132" s="3" t="s">
        <v>376</v>
      </c>
      <c r="H132" s="3" t="s">
        <v>46</v>
      </c>
      <c r="I132" s="3" t="s">
        <v>1030</v>
      </c>
      <c r="J132" s="3" t="s">
        <v>146</v>
      </c>
      <c r="K132" s="3" t="s">
        <v>59</v>
      </c>
      <c r="L132" s="3" t="s">
        <v>40</v>
      </c>
      <c r="M132" s="3" t="s">
        <v>1035</v>
      </c>
      <c r="N132" s="3" t="s">
        <v>802</v>
      </c>
      <c r="O132" s="3" t="s">
        <v>42</v>
      </c>
      <c r="P132" s="42" t="s">
        <v>43</v>
      </c>
      <c r="Q132" s="42">
        <v>65756671.469999991</v>
      </c>
      <c r="R132" s="42" t="s">
        <v>799</v>
      </c>
      <c r="S132" s="2" t="s">
        <v>43</v>
      </c>
    </row>
    <row r="133" spans="3:19" x14ac:dyDescent="0.25">
      <c r="C133" s="3" t="s">
        <v>957</v>
      </c>
      <c r="D133" s="3" t="s">
        <v>959</v>
      </c>
      <c r="E133" s="3" t="s">
        <v>998</v>
      </c>
      <c r="F133" s="44">
        <v>5.45</v>
      </c>
      <c r="G133" s="3" t="s">
        <v>376</v>
      </c>
      <c r="H133" s="3" t="s">
        <v>46</v>
      </c>
      <c r="I133" s="3" t="s">
        <v>1030</v>
      </c>
      <c r="J133" s="3" t="s">
        <v>160</v>
      </c>
      <c r="K133" s="3" t="s">
        <v>39</v>
      </c>
      <c r="L133" s="3" t="s">
        <v>40</v>
      </c>
      <c r="M133" s="3" t="s">
        <v>984</v>
      </c>
      <c r="N133" s="3" t="s">
        <v>957</v>
      </c>
      <c r="O133" s="3" t="s">
        <v>42</v>
      </c>
      <c r="P133" s="42" t="s">
        <v>43</v>
      </c>
      <c r="Q133" s="42">
        <v>69949462.904999986</v>
      </c>
      <c r="R133" s="42" t="s">
        <v>931</v>
      </c>
      <c r="S133" s="2" t="s">
        <v>43</v>
      </c>
    </row>
    <row r="134" spans="3:19" x14ac:dyDescent="0.25">
      <c r="C134" s="3" t="s">
        <v>75</v>
      </c>
      <c r="D134" s="3" t="s">
        <v>76</v>
      </c>
      <c r="E134" s="3" t="s">
        <v>77</v>
      </c>
      <c r="F134" s="4" t="s">
        <v>36</v>
      </c>
      <c r="G134" s="3" t="s">
        <v>37</v>
      </c>
      <c r="H134" s="3" t="s">
        <v>38</v>
      </c>
      <c r="I134" s="3" t="s">
        <v>1046</v>
      </c>
      <c r="J134" s="3">
        <v>0</v>
      </c>
      <c r="K134" s="3" t="s">
        <v>78</v>
      </c>
      <c r="L134" s="3" t="s">
        <v>40</v>
      </c>
      <c r="M134" s="3">
        <v>0</v>
      </c>
      <c r="N134" s="3" t="s">
        <v>75</v>
      </c>
      <c r="O134" s="3" t="s">
        <v>42</v>
      </c>
      <c r="P134" s="42" t="s">
        <v>43</v>
      </c>
      <c r="Q134" s="42" t="s">
        <v>36</v>
      </c>
      <c r="R134" s="42">
        <v>0</v>
      </c>
      <c r="S134" s="2" t="s">
        <v>43</v>
      </c>
    </row>
    <row r="135" spans="3:19" x14ac:dyDescent="0.25">
      <c r="C135" s="3" t="s">
        <v>491</v>
      </c>
      <c r="D135" s="3" t="s">
        <v>493</v>
      </c>
      <c r="E135" s="3" t="s">
        <v>493</v>
      </c>
      <c r="F135" s="4">
        <v>5</v>
      </c>
      <c r="G135" s="3" t="s">
        <v>376</v>
      </c>
      <c r="H135" s="3" t="s">
        <v>46</v>
      </c>
      <c r="I135" s="3" t="s">
        <v>1030</v>
      </c>
      <c r="J135" s="3" t="s">
        <v>466</v>
      </c>
      <c r="K135" s="3" t="s">
        <v>51</v>
      </c>
      <c r="L135" s="3" t="s">
        <v>40</v>
      </c>
      <c r="M135" s="3" t="s">
        <v>1035</v>
      </c>
      <c r="N135" s="3" t="s">
        <v>491</v>
      </c>
      <c r="O135" s="3" t="s">
        <v>42</v>
      </c>
      <c r="P135" s="42" t="s">
        <v>43</v>
      </c>
      <c r="Q135" s="42">
        <v>30826536.900000002</v>
      </c>
      <c r="R135" s="42" t="s">
        <v>467</v>
      </c>
      <c r="S135" s="2" t="s">
        <v>43</v>
      </c>
    </row>
    <row r="136" spans="3:19" x14ac:dyDescent="0.25">
      <c r="C136" s="3" t="s">
        <v>494</v>
      </c>
      <c r="D136" s="3" t="s">
        <v>496</v>
      </c>
      <c r="E136" s="3" t="s">
        <v>496</v>
      </c>
      <c r="F136" s="4">
        <v>5</v>
      </c>
      <c r="G136" s="3" t="s">
        <v>1047</v>
      </c>
      <c r="H136" s="3" t="s">
        <v>46</v>
      </c>
      <c r="I136" s="3" t="s">
        <v>1030</v>
      </c>
      <c r="J136" s="3" t="s">
        <v>466</v>
      </c>
      <c r="K136" s="3" t="s">
        <v>51</v>
      </c>
      <c r="L136" s="3" t="s">
        <v>40</v>
      </c>
      <c r="M136" s="3" t="s">
        <v>1035</v>
      </c>
      <c r="N136" s="3" t="s">
        <v>494</v>
      </c>
      <c r="O136" s="3" t="s">
        <v>42</v>
      </c>
      <c r="P136" s="42" t="s">
        <v>43</v>
      </c>
      <c r="Q136" s="42">
        <v>34169471.559999995</v>
      </c>
      <c r="R136" s="42" t="s">
        <v>467</v>
      </c>
      <c r="S136" s="2" t="s">
        <v>43</v>
      </c>
    </row>
    <row r="137" spans="3:19" x14ac:dyDescent="0.25">
      <c r="C137" s="3" t="s">
        <v>542</v>
      </c>
      <c r="D137" s="3" t="s">
        <v>543</v>
      </c>
      <c r="E137" s="3" t="s">
        <v>543</v>
      </c>
      <c r="F137" s="4">
        <v>6</v>
      </c>
      <c r="G137" s="3" t="s">
        <v>376</v>
      </c>
      <c r="H137" s="3" t="s">
        <v>46</v>
      </c>
      <c r="I137" s="3" t="s">
        <v>1030</v>
      </c>
      <c r="J137" s="3" t="s">
        <v>100</v>
      </c>
      <c r="K137" s="3" t="s">
        <v>138</v>
      </c>
      <c r="L137" s="3" t="s">
        <v>40</v>
      </c>
      <c r="M137" s="3" t="s">
        <v>514</v>
      </c>
      <c r="N137" s="3" t="s">
        <v>542</v>
      </c>
      <c r="O137" s="3" t="s">
        <v>42</v>
      </c>
      <c r="P137" s="42" t="s">
        <v>43</v>
      </c>
      <c r="Q137" s="42">
        <v>64928127.539999999</v>
      </c>
      <c r="R137" s="42" t="s">
        <v>515</v>
      </c>
      <c r="S137" s="2" t="s">
        <v>43</v>
      </c>
    </row>
    <row r="138" spans="3:19" x14ac:dyDescent="0.25">
      <c r="C138" s="3" t="s">
        <v>544</v>
      </c>
      <c r="D138" s="3" t="s">
        <v>545</v>
      </c>
      <c r="E138" s="3" t="s">
        <v>545</v>
      </c>
      <c r="F138" s="4">
        <v>5</v>
      </c>
      <c r="G138" s="3" t="s">
        <v>376</v>
      </c>
      <c r="H138" s="3" t="s">
        <v>46</v>
      </c>
      <c r="I138" s="3" t="s">
        <v>1030</v>
      </c>
      <c r="J138" s="3" t="s">
        <v>100</v>
      </c>
      <c r="K138" s="3" t="s">
        <v>138</v>
      </c>
      <c r="L138" s="3" t="s">
        <v>40</v>
      </c>
      <c r="M138" s="3" t="s">
        <v>514</v>
      </c>
      <c r="N138" s="3" t="s">
        <v>544</v>
      </c>
      <c r="O138" s="3" t="s">
        <v>42</v>
      </c>
      <c r="P138" s="42" t="s">
        <v>43</v>
      </c>
      <c r="Q138" s="42">
        <v>43915549.264999993</v>
      </c>
      <c r="R138" s="42" t="s">
        <v>515</v>
      </c>
      <c r="S138" s="2" t="s">
        <v>43</v>
      </c>
    </row>
    <row r="139" spans="3:19" x14ac:dyDescent="0.25">
      <c r="C139" s="3" t="s">
        <v>810</v>
      </c>
      <c r="D139" s="3" t="s">
        <v>811</v>
      </c>
      <c r="E139" s="3" t="s">
        <v>811</v>
      </c>
      <c r="F139" s="4">
        <v>5</v>
      </c>
      <c r="G139" s="3" t="s">
        <v>376</v>
      </c>
      <c r="H139" s="3" t="s">
        <v>46</v>
      </c>
      <c r="I139" s="3" t="s">
        <v>1030</v>
      </c>
      <c r="J139" s="3" t="s">
        <v>146</v>
      </c>
      <c r="K139" s="3" t="s">
        <v>59</v>
      </c>
      <c r="L139" s="3" t="s">
        <v>40</v>
      </c>
      <c r="M139" s="3" t="s">
        <v>1035</v>
      </c>
      <c r="N139" s="3" t="s">
        <v>810</v>
      </c>
      <c r="O139" s="3" t="s">
        <v>42</v>
      </c>
      <c r="P139" s="42" t="s">
        <v>43</v>
      </c>
      <c r="Q139" s="42">
        <v>40939018.859999999</v>
      </c>
      <c r="R139" s="42" t="s">
        <v>799</v>
      </c>
      <c r="S139" s="2" t="s">
        <v>43</v>
      </c>
    </row>
    <row r="140" spans="3:19" x14ac:dyDescent="0.25">
      <c r="C140" s="3" t="s">
        <v>79</v>
      </c>
      <c r="D140" s="3" t="s">
        <v>80</v>
      </c>
      <c r="E140" s="3" t="s">
        <v>80</v>
      </c>
      <c r="F140" s="4" t="s">
        <v>36</v>
      </c>
      <c r="G140" s="3" t="s">
        <v>37</v>
      </c>
      <c r="H140" s="3" t="s">
        <v>81</v>
      </c>
      <c r="I140" s="3" t="s">
        <v>1046</v>
      </c>
      <c r="J140" s="3">
        <v>0</v>
      </c>
      <c r="K140" s="3" t="s">
        <v>59</v>
      </c>
      <c r="L140" s="3" t="s">
        <v>40</v>
      </c>
      <c r="M140" s="3">
        <v>0</v>
      </c>
      <c r="N140" s="3" t="s">
        <v>79</v>
      </c>
      <c r="O140" s="3" t="s">
        <v>42</v>
      </c>
      <c r="P140" s="42" t="s">
        <v>43</v>
      </c>
      <c r="Q140" s="42" t="s">
        <v>36</v>
      </c>
      <c r="R140" s="42">
        <v>0</v>
      </c>
      <c r="S140" s="2" t="s">
        <v>43</v>
      </c>
    </row>
    <row r="141" spans="3:19" x14ac:dyDescent="0.25">
      <c r="C141" s="3" t="s">
        <v>870</v>
      </c>
      <c r="D141" s="3" t="s">
        <v>871</v>
      </c>
      <c r="E141" s="3" t="s">
        <v>871</v>
      </c>
      <c r="F141" s="4">
        <v>5</v>
      </c>
      <c r="G141" s="3" t="s">
        <v>376</v>
      </c>
      <c r="H141" s="3" t="s">
        <v>46</v>
      </c>
      <c r="I141" s="3" t="s">
        <v>1030</v>
      </c>
      <c r="J141" s="3" t="s">
        <v>132</v>
      </c>
      <c r="K141" s="3" t="s">
        <v>856</v>
      </c>
      <c r="L141" s="3" t="s">
        <v>40</v>
      </c>
      <c r="M141" s="3" t="s">
        <v>1035</v>
      </c>
      <c r="N141" s="3" t="s">
        <v>870</v>
      </c>
      <c r="O141" s="3" t="s">
        <v>42</v>
      </c>
      <c r="P141" s="42" t="s">
        <v>43</v>
      </c>
      <c r="Q141" s="42">
        <v>47813318.769999996</v>
      </c>
      <c r="R141" s="42" t="s">
        <v>847</v>
      </c>
      <c r="S141" s="2" t="s">
        <v>43</v>
      </c>
    </row>
    <row r="142" spans="3:19" x14ac:dyDescent="0.25">
      <c r="C142" s="3">
        <v>50096</v>
      </c>
      <c r="D142" s="3" t="s">
        <v>683</v>
      </c>
      <c r="E142" s="3" t="s">
        <v>684</v>
      </c>
      <c r="F142" s="4">
        <v>5</v>
      </c>
      <c r="G142" s="3" t="s">
        <v>376</v>
      </c>
      <c r="H142" s="3" t="s">
        <v>81</v>
      </c>
      <c r="I142" s="3" t="s">
        <v>1030</v>
      </c>
      <c r="J142" s="3" t="s">
        <v>248</v>
      </c>
      <c r="K142" s="3" t="s">
        <v>51</v>
      </c>
      <c r="L142" s="3" t="s">
        <v>40</v>
      </c>
      <c r="M142" s="3" t="s">
        <v>984</v>
      </c>
      <c r="N142" s="3">
        <v>50096</v>
      </c>
      <c r="O142" s="3" t="s">
        <v>42</v>
      </c>
      <c r="P142" s="42" t="s">
        <v>43</v>
      </c>
      <c r="Q142" s="42">
        <v>39149229.960000001</v>
      </c>
      <c r="R142" s="42" t="s">
        <v>51</v>
      </c>
      <c r="S142" s="2" t="s">
        <v>440</v>
      </c>
    </row>
    <row r="143" spans="3:19" x14ac:dyDescent="0.25">
      <c r="C143" s="3">
        <v>50724</v>
      </c>
      <c r="D143" s="3" t="s">
        <v>900</v>
      </c>
      <c r="E143" s="3" t="s">
        <v>900</v>
      </c>
      <c r="F143" s="4">
        <v>5</v>
      </c>
      <c r="G143" s="3" t="s">
        <v>376</v>
      </c>
      <c r="H143" s="3" t="s">
        <v>46</v>
      </c>
      <c r="I143" s="3" t="s">
        <v>1030</v>
      </c>
      <c r="J143" s="3" t="s">
        <v>73</v>
      </c>
      <c r="K143" s="3" t="s">
        <v>609</v>
      </c>
      <c r="L143" s="3" t="s">
        <v>40</v>
      </c>
      <c r="M143" s="3" t="s">
        <v>514</v>
      </c>
      <c r="N143" s="3">
        <v>50724</v>
      </c>
      <c r="O143" s="3" t="s">
        <v>42</v>
      </c>
      <c r="P143" s="42" t="s">
        <v>43</v>
      </c>
      <c r="Q143" s="42">
        <v>33404369.634999998</v>
      </c>
      <c r="R143" s="42" t="s">
        <v>886</v>
      </c>
      <c r="S143" s="2" t="s">
        <v>43</v>
      </c>
    </row>
    <row r="144" spans="3:19" x14ac:dyDescent="0.25">
      <c r="C144" s="3">
        <v>50863</v>
      </c>
      <c r="D144" s="3" t="s">
        <v>901</v>
      </c>
      <c r="E144" s="3" t="s">
        <v>902</v>
      </c>
      <c r="F144" s="4">
        <v>5</v>
      </c>
      <c r="G144" s="3" t="s">
        <v>376</v>
      </c>
      <c r="H144" s="3" t="s">
        <v>81</v>
      </c>
      <c r="I144" s="3" t="s">
        <v>1030</v>
      </c>
      <c r="J144" s="3" t="s">
        <v>73</v>
      </c>
      <c r="K144" s="3" t="s">
        <v>364</v>
      </c>
      <c r="L144" s="3" t="s">
        <v>40</v>
      </c>
      <c r="M144" s="3" t="s">
        <v>514</v>
      </c>
      <c r="N144" s="3">
        <v>50863</v>
      </c>
      <c r="O144" s="3" t="s">
        <v>42</v>
      </c>
      <c r="P144" s="42" t="s">
        <v>43</v>
      </c>
      <c r="Q144" s="42">
        <v>50286772.269999996</v>
      </c>
      <c r="R144" s="42" t="s">
        <v>886</v>
      </c>
      <c r="S144" s="2" t="s">
        <v>43</v>
      </c>
    </row>
    <row r="145" spans="3:19" x14ac:dyDescent="0.25">
      <c r="C145" s="3" t="s">
        <v>82</v>
      </c>
      <c r="D145" s="3" t="s">
        <v>83</v>
      </c>
      <c r="E145" s="3" t="s">
        <v>83</v>
      </c>
      <c r="F145" s="4" t="s">
        <v>36</v>
      </c>
      <c r="G145" s="3" t="s">
        <v>37</v>
      </c>
      <c r="H145" s="3" t="s">
        <v>81</v>
      </c>
      <c r="I145" s="3" t="s">
        <v>1046</v>
      </c>
      <c r="J145" s="3" t="s">
        <v>84</v>
      </c>
      <c r="K145" s="3" t="s">
        <v>85</v>
      </c>
      <c r="L145" s="3" t="s">
        <v>55</v>
      </c>
      <c r="M145" s="3">
        <v>0</v>
      </c>
      <c r="N145" s="3" t="s">
        <v>82</v>
      </c>
      <c r="O145" s="3" t="s">
        <v>42</v>
      </c>
      <c r="P145" s="42" t="s">
        <v>43</v>
      </c>
      <c r="Q145" s="42" t="s">
        <v>36</v>
      </c>
      <c r="R145" s="42">
        <v>0</v>
      </c>
      <c r="S145" s="2" t="s">
        <v>43</v>
      </c>
    </row>
    <row r="146" spans="3:19" x14ac:dyDescent="0.25">
      <c r="C146" s="3" t="s">
        <v>86</v>
      </c>
      <c r="D146" s="3" t="s">
        <v>87</v>
      </c>
      <c r="E146" s="3" t="s">
        <v>87</v>
      </c>
      <c r="F146" s="4" t="s">
        <v>36</v>
      </c>
      <c r="G146" s="3" t="s">
        <v>37</v>
      </c>
      <c r="H146" s="3" t="s">
        <v>88</v>
      </c>
      <c r="I146" s="3" t="s">
        <v>1046</v>
      </c>
      <c r="J146" s="3" t="s">
        <v>89</v>
      </c>
      <c r="K146" s="3" t="s">
        <v>90</v>
      </c>
      <c r="L146" s="3" t="s">
        <v>91</v>
      </c>
      <c r="M146" s="3">
        <v>0</v>
      </c>
      <c r="N146" s="3" t="s">
        <v>86</v>
      </c>
      <c r="O146" s="3" t="s">
        <v>42</v>
      </c>
      <c r="P146" s="42" t="s">
        <v>43</v>
      </c>
      <c r="Q146" s="42" t="s">
        <v>36</v>
      </c>
      <c r="R146" s="42">
        <v>0</v>
      </c>
      <c r="S146" s="2" t="s">
        <v>43</v>
      </c>
    </row>
    <row r="147" spans="3:19" x14ac:dyDescent="0.25">
      <c r="C147" s="3" t="s">
        <v>576</v>
      </c>
      <c r="D147" s="3" t="s">
        <v>577</v>
      </c>
      <c r="E147" s="3" t="s">
        <v>577</v>
      </c>
      <c r="F147" s="4">
        <v>5</v>
      </c>
      <c r="G147" s="3" t="s">
        <v>376</v>
      </c>
      <c r="H147" s="3" t="s">
        <v>46</v>
      </c>
      <c r="I147" s="3" t="s">
        <v>1030</v>
      </c>
      <c r="J147" s="3" t="s">
        <v>331</v>
      </c>
      <c r="K147" s="3" t="s">
        <v>138</v>
      </c>
      <c r="L147" s="3" t="s">
        <v>40</v>
      </c>
      <c r="M147" s="3" t="s">
        <v>984</v>
      </c>
      <c r="N147" s="3" t="s">
        <v>576</v>
      </c>
      <c r="O147" s="3" t="s">
        <v>42</v>
      </c>
      <c r="P147" s="42" t="s">
        <v>43</v>
      </c>
      <c r="Q147" s="42">
        <v>47737989</v>
      </c>
      <c r="R147" s="42" t="s">
        <v>557</v>
      </c>
      <c r="S147" s="2" t="s">
        <v>43</v>
      </c>
    </row>
    <row r="148" spans="3:19" x14ac:dyDescent="0.25">
      <c r="C148" s="3" t="s">
        <v>92</v>
      </c>
      <c r="D148" s="3" t="s">
        <v>93</v>
      </c>
      <c r="E148" s="3" t="s">
        <v>93</v>
      </c>
      <c r="F148" s="4" t="s">
        <v>36</v>
      </c>
      <c r="G148" s="3" t="s">
        <v>37</v>
      </c>
      <c r="H148" s="3" t="s">
        <v>81</v>
      </c>
      <c r="I148" s="3" t="s">
        <v>1046</v>
      </c>
      <c r="J148" s="3" t="s">
        <v>94</v>
      </c>
      <c r="K148" s="3" t="s">
        <v>64</v>
      </c>
      <c r="L148" s="3" t="s">
        <v>40</v>
      </c>
      <c r="M148" s="3">
        <v>0</v>
      </c>
      <c r="N148" s="3" t="s">
        <v>92</v>
      </c>
      <c r="O148" s="3" t="s">
        <v>42</v>
      </c>
      <c r="P148" s="42" t="s">
        <v>43</v>
      </c>
      <c r="Q148" s="42" t="s">
        <v>36</v>
      </c>
      <c r="R148" s="42">
        <v>0</v>
      </c>
      <c r="S148" s="2" t="s">
        <v>43</v>
      </c>
    </row>
    <row r="149" spans="3:19" x14ac:dyDescent="0.25">
      <c r="C149" s="3" t="s">
        <v>782</v>
      </c>
      <c r="D149" s="3" t="s">
        <v>783</v>
      </c>
      <c r="E149" s="3" t="s">
        <v>783</v>
      </c>
      <c r="F149" s="4">
        <v>5</v>
      </c>
      <c r="G149" s="3" t="s">
        <v>376</v>
      </c>
      <c r="H149" s="3" t="s">
        <v>81</v>
      </c>
      <c r="I149" s="3" t="s">
        <v>1031</v>
      </c>
      <c r="J149" s="3" t="s">
        <v>89</v>
      </c>
      <c r="K149" s="3" t="s">
        <v>103</v>
      </c>
      <c r="L149" s="3" t="s">
        <v>104</v>
      </c>
      <c r="M149" s="3" t="s">
        <v>378</v>
      </c>
      <c r="N149" s="3" t="s">
        <v>782</v>
      </c>
      <c r="O149" s="3" t="s">
        <v>42</v>
      </c>
      <c r="P149" s="42" t="s">
        <v>43</v>
      </c>
      <c r="Q149" s="42">
        <v>29998420.482519992</v>
      </c>
      <c r="R149" s="42" t="s">
        <v>772</v>
      </c>
      <c r="S149" s="2" t="s">
        <v>43</v>
      </c>
    </row>
    <row r="150" spans="3:19" x14ac:dyDescent="0.25">
      <c r="C150" s="3" t="s">
        <v>95</v>
      </c>
      <c r="D150" s="3" t="s">
        <v>96</v>
      </c>
      <c r="E150" s="3" t="s">
        <v>96</v>
      </c>
      <c r="F150" s="4" t="s">
        <v>36</v>
      </c>
      <c r="G150" s="3" t="s">
        <v>37</v>
      </c>
      <c r="H150" s="3" t="s">
        <v>81</v>
      </c>
      <c r="I150" s="3" t="s">
        <v>1046</v>
      </c>
      <c r="J150" s="3">
        <v>0</v>
      </c>
      <c r="K150" s="3" t="s">
        <v>97</v>
      </c>
      <c r="L150" s="3" t="s">
        <v>40</v>
      </c>
      <c r="M150" s="3">
        <v>0</v>
      </c>
      <c r="N150" s="3" t="s">
        <v>95</v>
      </c>
      <c r="O150" s="3" t="s">
        <v>42</v>
      </c>
      <c r="P150" s="42" t="s">
        <v>43</v>
      </c>
      <c r="Q150" s="42" t="s">
        <v>36</v>
      </c>
      <c r="R150" s="42">
        <v>0</v>
      </c>
      <c r="S150" s="2" t="s">
        <v>43</v>
      </c>
    </row>
    <row r="151" spans="3:19" x14ac:dyDescent="0.25">
      <c r="C151" s="3" t="s">
        <v>98</v>
      </c>
      <c r="D151" s="3" t="s">
        <v>99</v>
      </c>
      <c r="E151" s="3" t="s">
        <v>99</v>
      </c>
      <c r="F151" s="4" t="s">
        <v>36</v>
      </c>
      <c r="G151" s="3" t="s">
        <v>37</v>
      </c>
      <c r="H151" s="3" t="s">
        <v>81</v>
      </c>
      <c r="I151" s="3" t="s">
        <v>1046</v>
      </c>
      <c r="J151" s="3" t="s">
        <v>100</v>
      </c>
      <c r="K151" s="3" t="s">
        <v>59</v>
      </c>
      <c r="L151" s="3" t="s">
        <v>40</v>
      </c>
      <c r="M151" s="3">
        <v>0</v>
      </c>
      <c r="N151" s="3" t="s">
        <v>98</v>
      </c>
      <c r="O151" s="3" t="s">
        <v>42</v>
      </c>
      <c r="P151" s="42" t="s">
        <v>43</v>
      </c>
      <c r="Q151" s="42" t="s">
        <v>36</v>
      </c>
      <c r="R151" s="42">
        <v>0</v>
      </c>
      <c r="S151" s="2" t="s">
        <v>43</v>
      </c>
    </row>
    <row r="152" spans="3:19" x14ac:dyDescent="0.25">
      <c r="C152" s="3" t="s">
        <v>712</v>
      </c>
      <c r="D152" s="3" t="s">
        <v>713</v>
      </c>
      <c r="E152" s="3" t="s">
        <v>713</v>
      </c>
      <c r="F152" s="4">
        <v>5</v>
      </c>
      <c r="G152" s="3" t="s">
        <v>376</v>
      </c>
      <c r="H152" s="3" t="s">
        <v>46</v>
      </c>
      <c r="I152" s="3" t="s">
        <v>1031</v>
      </c>
      <c r="J152" s="3" t="s">
        <v>84</v>
      </c>
      <c r="K152" s="3" t="s">
        <v>54</v>
      </c>
      <c r="L152" s="3" t="s">
        <v>55</v>
      </c>
      <c r="M152" s="3" t="s">
        <v>378</v>
      </c>
      <c r="N152" s="3" t="s">
        <v>712</v>
      </c>
      <c r="O152" s="3" t="s">
        <v>42</v>
      </c>
      <c r="P152" s="42" t="s">
        <v>43</v>
      </c>
      <c r="Q152" s="42">
        <v>28663904.34</v>
      </c>
      <c r="R152" s="42" t="s">
        <v>702</v>
      </c>
      <c r="S152" s="2" t="s">
        <v>43</v>
      </c>
    </row>
    <row r="153" spans="3:19" x14ac:dyDescent="0.25">
      <c r="C153" s="3" t="s">
        <v>101</v>
      </c>
      <c r="D153" s="3" t="s">
        <v>102</v>
      </c>
      <c r="E153" s="3" t="s">
        <v>102</v>
      </c>
      <c r="F153" s="4" t="s">
        <v>36</v>
      </c>
      <c r="G153" s="3" t="s">
        <v>37</v>
      </c>
      <c r="H153" s="3" t="s">
        <v>81</v>
      </c>
      <c r="I153" s="3" t="s">
        <v>1046</v>
      </c>
      <c r="J153" s="3" t="s">
        <v>73</v>
      </c>
      <c r="K153" s="3" t="s">
        <v>103</v>
      </c>
      <c r="L153" s="3" t="s">
        <v>104</v>
      </c>
      <c r="M153" s="3">
        <v>0</v>
      </c>
      <c r="N153" s="3" t="s">
        <v>101</v>
      </c>
      <c r="O153" s="3" t="s">
        <v>42</v>
      </c>
      <c r="P153" s="42" t="s">
        <v>43</v>
      </c>
      <c r="Q153" s="42" t="s">
        <v>36</v>
      </c>
      <c r="R153" s="42">
        <v>0</v>
      </c>
      <c r="S153" s="2" t="s">
        <v>43</v>
      </c>
    </row>
    <row r="154" spans="3:19" x14ac:dyDescent="0.25">
      <c r="C154" s="3" t="s">
        <v>105</v>
      </c>
      <c r="D154" s="3" t="s">
        <v>106</v>
      </c>
      <c r="E154" s="3" t="s">
        <v>106</v>
      </c>
      <c r="F154" s="4" t="s">
        <v>36</v>
      </c>
      <c r="G154" s="3" t="s">
        <v>37</v>
      </c>
      <c r="H154" s="3" t="s">
        <v>81</v>
      </c>
      <c r="I154" s="3" t="s">
        <v>1046</v>
      </c>
      <c r="J154" s="3" t="s">
        <v>100</v>
      </c>
      <c r="K154" s="3" t="s">
        <v>59</v>
      </c>
      <c r="L154" s="3" t="s">
        <v>40</v>
      </c>
      <c r="M154" s="3">
        <v>0</v>
      </c>
      <c r="N154" s="3" t="s">
        <v>105</v>
      </c>
      <c r="O154" s="3" t="s">
        <v>42</v>
      </c>
      <c r="P154" s="42" t="s">
        <v>43</v>
      </c>
      <c r="Q154" s="42" t="s">
        <v>36</v>
      </c>
      <c r="R154" s="42">
        <v>0</v>
      </c>
      <c r="S154" s="2" t="s">
        <v>43</v>
      </c>
    </row>
    <row r="155" spans="3:19" x14ac:dyDescent="0.25">
      <c r="C155" s="3" t="s">
        <v>903</v>
      </c>
      <c r="D155" s="3" t="s">
        <v>904</v>
      </c>
      <c r="E155" s="3" t="s">
        <v>904</v>
      </c>
      <c r="F155" s="4">
        <v>5</v>
      </c>
      <c r="G155" s="3" t="s">
        <v>376</v>
      </c>
      <c r="H155" s="3" t="s">
        <v>46</v>
      </c>
      <c r="I155" s="3" t="s">
        <v>1030</v>
      </c>
      <c r="J155" s="3" t="s">
        <v>73</v>
      </c>
      <c r="K155" s="3" t="s">
        <v>47</v>
      </c>
      <c r="L155" s="3" t="s">
        <v>40</v>
      </c>
      <c r="M155" s="3" t="s">
        <v>514</v>
      </c>
      <c r="N155" s="3" t="s">
        <v>903</v>
      </c>
      <c r="O155" s="3" t="s">
        <v>42</v>
      </c>
      <c r="P155" s="42" t="s">
        <v>43</v>
      </c>
      <c r="Q155" s="42">
        <v>32965454.460000001</v>
      </c>
      <c r="R155" s="42" t="s">
        <v>886</v>
      </c>
      <c r="S155" s="2" t="s">
        <v>43</v>
      </c>
    </row>
    <row r="156" spans="3:19" x14ac:dyDescent="0.25">
      <c r="C156" s="3" t="s">
        <v>107</v>
      </c>
      <c r="D156" s="3" t="s">
        <v>108</v>
      </c>
      <c r="E156" s="3" t="s">
        <v>108</v>
      </c>
      <c r="F156" s="4" t="s">
        <v>36</v>
      </c>
      <c r="G156" s="3" t="s">
        <v>37</v>
      </c>
      <c r="H156" s="3" t="s">
        <v>81</v>
      </c>
      <c r="I156" s="3" t="s">
        <v>1046</v>
      </c>
      <c r="J156" s="3" t="s">
        <v>89</v>
      </c>
      <c r="K156" s="3" t="s">
        <v>109</v>
      </c>
      <c r="L156" s="3" t="s">
        <v>91</v>
      </c>
      <c r="M156" s="3">
        <v>0</v>
      </c>
      <c r="N156" s="3" t="s">
        <v>107</v>
      </c>
      <c r="O156" s="3" t="s">
        <v>42</v>
      </c>
      <c r="P156" s="42" t="s">
        <v>43</v>
      </c>
      <c r="Q156" s="42" t="s">
        <v>36</v>
      </c>
      <c r="R156" s="42" t="s">
        <v>772</v>
      </c>
      <c r="S156" s="2" t="s">
        <v>43</v>
      </c>
    </row>
    <row r="157" spans="3:19" x14ac:dyDescent="0.25">
      <c r="C157" s="3" t="s">
        <v>110</v>
      </c>
      <c r="D157" s="3" t="s">
        <v>111</v>
      </c>
      <c r="E157" s="3" t="s">
        <v>111</v>
      </c>
      <c r="F157" s="4" t="s">
        <v>36</v>
      </c>
      <c r="G157" s="3" t="s">
        <v>37</v>
      </c>
      <c r="H157" s="3" t="s">
        <v>81</v>
      </c>
      <c r="I157" s="3" t="s">
        <v>1046</v>
      </c>
      <c r="J157" s="3" t="s">
        <v>58</v>
      </c>
      <c r="K157" s="3" t="s">
        <v>59</v>
      </c>
      <c r="L157" s="3" t="s">
        <v>40</v>
      </c>
      <c r="M157" s="3">
        <v>0</v>
      </c>
      <c r="N157" s="3" t="s">
        <v>110</v>
      </c>
      <c r="O157" s="3" t="s">
        <v>42</v>
      </c>
      <c r="P157" s="42" t="s">
        <v>43</v>
      </c>
      <c r="Q157" s="42" t="s">
        <v>36</v>
      </c>
      <c r="R157" s="42">
        <v>0</v>
      </c>
      <c r="S157" s="2" t="s">
        <v>43</v>
      </c>
    </row>
    <row r="158" spans="3:19" x14ac:dyDescent="0.25">
      <c r="C158" s="3" t="s">
        <v>112</v>
      </c>
      <c r="D158" s="3" t="s">
        <v>113</v>
      </c>
      <c r="E158" s="3" t="s">
        <v>114</v>
      </c>
      <c r="F158" s="4" t="s">
        <v>36</v>
      </c>
      <c r="G158" s="3" t="s">
        <v>37</v>
      </c>
      <c r="H158" s="3" t="s">
        <v>81</v>
      </c>
      <c r="I158" s="3" t="s">
        <v>1031</v>
      </c>
      <c r="J158" s="3" t="s">
        <v>73</v>
      </c>
      <c r="K158" s="3" t="s">
        <v>115</v>
      </c>
      <c r="L158" s="3" t="s">
        <v>116</v>
      </c>
      <c r="M158" s="3">
        <v>0</v>
      </c>
      <c r="N158" s="3" t="s">
        <v>112</v>
      </c>
      <c r="O158" s="3" t="s">
        <v>42</v>
      </c>
      <c r="P158" s="42" t="s">
        <v>43</v>
      </c>
      <c r="Q158" s="42" t="s">
        <v>36</v>
      </c>
      <c r="R158" s="42">
        <v>0</v>
      </c>
      <c r="S158" s="2" t="s">
        <v>43</v>
      </c>
    </row>
    <row r="159" spans="3:19" x14ac:dyDescent="0.25">
      <c r="C159" s="3" t="s">
        <v>905</v>
      </c>
      <c r="D159" s="3" t="s">
        <v>906</v>
      </c>
      <c r="E159" s="3" t="s">
        <v>906</v>
      </c>
      <c r="F159" s="4">
        <v>5</v>
      </c>
      <c r="G159" s="3" t="s">
        <v>376</v>
      </c>
      <c r="H159" s="3" t="s">
        <v>81</v>
      </c>
      <c r="I159" s="3" t="s">
        <v>1030</v>
      </c>
      <c r="J159" s="3" t="s">
        <v>73</v>
      </c>
      <c r="K159" s="3" t="s">
        <v>907</v>
      </c>
      <c r="L159" s="3" t="s">
        <v>40</v>
      </c>
      <c r="M159" s="3" t="s">
        <v>514</v>
      </c>
      <c r="N159" s="3" t="s">
        <v>905</v>
      </c>
      <c r="O159" s="3" t="s">
        <v>42</v>
      </c>
      <c r="P159" s="42" t="s">
        <v>43</v>
      </c>
      <c r="Q159" s="42">
        <v>38722012.140000001</v>
      </c>
      <c r="R159" s="42" t="s">
        <v>886</v>
      </c>
      <c r="S159" s="2" t="s">
        <v>43</v>
      </c>
    </row>
    <row r="160" spans="3:19" x14ac:dyDescent="0.25">
      <c r="C160" s="3" t="s">
        <v>685</v>
      </c>
      <c r="D160" s="3" t="s">
        <v>686</v>
      </c>
      <c r="E160" s="3" t="s">
        <v>686</v>
      </c>
      <c r="F160" s="4">
        <v>5</v>
      </c>
      <c r="G160" s="3" t="s">
        <v>376</v>
      </c>
      <c r="H160" s="3" t="s">
        <v>81</v>
      </c>
      <c r="I160" s="3" t="s">
        <v>1030</v>
      </c>
      <c r="J160" s="3" t="s">
        <v>248</v>
      </c>
      <c r="K160" s="3" t="s">
        <v>51</v>
      </c>
      <c r="L160" s="3" t="s">
        <v>40</v>
      </c>
      <c r="M160" s="3" t="s">
        <v>984</v>
      </c>
      <c r="N160" s="3" t="s">
        <v>685</v>
      </c>
      <c r="O160" s="3" t="s">
        <v>42</v>
      </c>
      <c r="P160" s="42" t="s">
        <v>43</v>
      </c>
      <c r="Q160" s="42">
        <v>25060112.489999998</v>
      </c>
      <c r="R160" s="42" t="s">
        <v>51</v>
      </c>
      <c r="S160" s="2" t="s">
        <v>440</v>
      </c>
    </row>
    <row r="161" spans="3:19" x14ac:dyDescent="0.25">
      <c r="C161" s="3" t="s">
        <v>960</v>
      </c>
      <c r="D161" s="3" t="s">
        <v>961</v>
      </c>
      <c r="E161" s="3" t="s">
        <v>961</v>
      </c>
      <c r="F161" s="4">
        <v>5</v>
      </c>
      <c r="G161" s="3" t="s">
        <v>376</v>
      </c>
      <c r="H161" s="3" t="s">
        <v>81</v>
      </c>
      <c r="I161" s="3" t="s">
        <v>1030</v>
      </c>
      <c r="J161" s="3" t="s">
        <v>160</v>
      </c>
      <c r="K161" s="3" t="s">
        <v>353</v>
      </c>
      <c r="L161" s="3" t="s">
        <v>40</v>
      </c>
      <c r="M161" s="3" t="s">
        <v>984</v>
      </c>
      <c r="N161" s="3" t="s">
        <v>960</v>
      </c>
      <c r="O161" s="3" t="s">
        <v>42</v>
      </c>
      <c r="P161" s="42" t="s">
        <v>43</v>
      </c>
      <c r="Q161" s="42">
        <v>40353600.060000002</v>
      </c>
      <c r="R161" s="42" t="s">
        <v>931</v>
      </c>
      <c r="S161" s="2" t="s">
        <v>43</v>
      </c>
    </row>
    <row r="162" spans="3:19" x14ac:dyDescent="0.25">
      <c r="C162" s="3" t="s">
        <v>754</v>
      </c>
      <c r="D162" s="3" t="s">
        <v>755</v>
      </c>
      <c r="E162" s="3" t="s">
        <v>755</v>
      </c>
      <c r="F162" s="4">
        <v>5</v>
      </c>
      <c r="G162" s="3" t="s">
        <v>376</v>
      </c>
      <c r="H162" s="3" t="s">
        <v>81</v>
      </c>
      <c r="I162" s="3" t="s">
        <v>1031</v>
      </c>
      <c r="J162" s="3" t="s">
        <v>84</v>
      </c>
      <c r="K162" s="3" t="s">
        <v>279</v>
      </c>
      <c r="L162" s="3" t="s">
        <v>55</v>
      </c>
      <c r="M162" s="3" t="s">
        <v>378</v>
      </c>
      <c r="N162" s="3" t="s">
        <v>754</v>
      </c>
      <c r="O162" s="3" t="s">
        <v>42</v>
      </c>
      <c r="P162" s="42" t="s">
        <v>43</v>
      </c>
      <c r="Q162" s="42">
        <v>40782483.539999999</v>
      </c>
      <c r="R162" s="42" t="s">
        <v>741</v>
      </c>
      <c r="S162" s="2" t="s">
        <v>43</v>
      </c>
    </row>
    <row r="163" spans="3:19" x14ac:dyDescent="0.25">
      <c r="C163" s="3" t="s">
        <v>872</v>
      </c>
      <c r="D163" s="3" t="s">
        <v>873</v>
      </c>
      <c r="E163" s="3" t="s">
        <v>874</v>
      </c>
      <c r="F163" s="4">
        <v>5</v>
      </c>
      <c r="G163" s="3" t="s">
        <v>376</v>
      </c>
      <c r="H163" s="3" t="s">
        <v>81</v>
      </c>
      <c r="I163" s="3" t="s">
        <v>1030</v>
      </c>
      <c r="J163" s="3" t="s">
        <v>132</v>
      </c>
      <c r="K163" s="3" t="s">
        <v>138</v>
      </c>
      <c r="L163" s="3" t="s">
        <v>40</v>
      </c>
      <c r="M163" s="3" t="s">
        <v>1035</v>
      </c>
      <c r="N163" s="3" t="s">
        <v>872</v>
      </c>
      <c r="O163" s="3" t="s">
        <v>42</v>
      </c>
      <c r="P163" s="42" t="s">
        <v>43</v>
      </c>
      <c r="Q163" s="42">
        <v>35304594.779999994</v>
      </c>
      <c r="R163" s="42" t="s">
        <v>847</v>
      </c>
      <c r="S163" s="2" t="s">
        <v>43</v>
      </c>
    </row>
    <row r="164" spans="3:19" x14ac:dyDescent="0.25">
      <c r="C164" s="3" t="s">
        <v>117</v>
      </c>
      <c r="D164" s="3" t="s">
        <v>118</v>
      </c>
      <c r="E164" s="3" t="s">
        <v>118</v>
      </c>
      <c r="F164" s="4" t="s">
        <v>36</v>
      </c>
      <c r="G164" s="3" t="s">
        <v>37</v>
      </c>
      <c r="H164" s="3" t="s">
        <v>81</v>
      </c>
      <c r="I164" s="3" t="s">
        <v>1046</v>
      </c>
      <c r="J164" s="3">
        <v>0</v>
      </c>
      <c r="K164" s="3" t="s">
        <v>59</v>
      </c>
      <c r="L164" s="3" t="s">
        <v>40</v>
      </c>
      <c r="M164" s="3">
        <v>0</v>
      </c>
      <c r="N164" s="3" t="s">
        <v>117</v>
      </c>
      <c r="O164" s="3" t="s">
        <v>42</v>
      </c>
      <c r="P164" s="42" t="s">
        <v>43</v>
      </c>
      <c r="Q164" s="42" t="s">
        <v>36</v>
      </c>
      <c r="R164" s="42">
        <v>0</v>
      </c>
      <c r="S164" s="2" t="s">
        <v>43</v>
      </c>
    </row>
    <row r="165" spans="3:19" x14ac:dyDescent="0.25">
      <c r="C165" s="3" t="s">
        <v>594</v>
      </c>
      <c r="D165" s="3" t="s">
        <v>595</v>
      </c>
      <c r="E165" s="3" t="s">
        <v>595</v>
      </c>
      <c r="F165" s="4">
        <v>5</v>
      </c>
      <c r="G165" s="3" t="s">
        <v>376</v>
      </c>
      <c r="H165" s="3" t="s">
        <v>81</v>
      </c>
      <c r="I165" s="3" t="s">
        <v>1030</v>
      </c>
      <c r="J165" s="3" t="s">
        <v>50</v>
      </c>
      <c r="K165" s="3" t="s">
        <v>596</v>
      </c>
      <c r="L165" s="3" t="s">
        <v>40</v>
      </c>
      <c r="M165" s="3" t="s">
        <v>514</v>
      </c>
      <c r="N165" s="3" t="s">
        <v>594</v>
      </c>
      <c r="O165" s="3" t="s">
        <v>42</v>
      </c>
      <c r="P165" s="42" t="s">
        <v>43</v>
      </c>
      <c r="Q165" s="42">
        <v>34010340.875</v>
      </c>
      <c r="R165" s="42" t="s">
        <v>597</v>
      </c>
      <c r="S165" s="2" t="s">
        <v>440</v>
      </c>
    </row>
    <row r="166" spans="3:19" x14ac:dyDescent="0.25">
      <c r="C166" s="3" t="s">
        <v>119</v>
      </c>
      <c r="D166" s="3" t="s">
        <v>120</v>
      </c>
      <c r="E166" s="3" t="s">
        <v>120</v>
      </c>
      <c r="F166" s="4" t="s">
        <v>36</v>
      </c>
      <c r="G166" s="3" t="s">
        <v>37</v>
      </c>
      <c r="H166" s="3" t="s">
        <v>81</v>
      </c>
      <c r="I166" s="3" t="s">
        <v>1046</v>
      </c>
      <c r="J166" s="3" t="s">
        <v>63</v>
      </c>
      <c r="K166" s="3" t="s">
        <v>64</v>
      </c>
      <c r="L166" s="3" t="s">
        <v>40</v>
      </c>
      <c r="M166" s="3">
        <v>0</v>
      </c>
      <c r="N166" s="3" t="s">
        <v>119</v>
      </c>
      <c r="O166" s="3" t="s">
        <v>42</v>
      </c>
      <c r="P166" s="42" t="s">
        <v>43</v>
      </c>
      <c r="Q166" s="42" t="s">
        <v>36</v>
      </c>
      <c r="R166" s="42">
        <v>0</v>
      </c>
      <c r="S166" s="2" t="s">
        <v>43</v>
      </c>
    </row>
    <row r="167" spans="3:19" x14ac:dyDescent="0.25">
      <c r="C167" s="3" t="s">
        <v>121</v>
      </c>
      <c r="D167" s="3" t="s">
        <v>122</v>
      </c>
      <c r="E167" s="3" t="s">
        <v>123</v>
      </c>
      <c r="F167" s="4" t="s">
        <v>36</v>
      </c>
      <c r="G167" s="3" t="s">
        <v>37</v>
      </c>
      <c r="H167" s="3" t="s">
        <v>81</v>
      </c>
      <c r="I167" s="3" t="s">
        <v>1046</v>
      </c>
      <c r="J167" s="3" t="s">
        <v>73</v>
      </c>
      <c r="K167" s="3" t="s">
        <v>122</v>
      </c>
      <c r="L167" s="3" t="s">
        <v>104</v>
      </c>
      <c r="M167" s="3">
        <v>0</v>
      </c>
      <c r="N167" s="3" t="s">
        <v>121</v>
      </c>
      <c r="O167" s="3" t="s">
        <v>42</v>
      </c>
      <c r="P167" s="42" t="s">
        <v>43</v>
      </c>
      <c r="Q167" s="42" t="s">
        <v>36</v>
      </c>
      <c r="R167" s="42">
        <v>0</v>
      </c>
      <c r="S167" s="2" t="s">
        <v>43</v>
      </c>
    </row>
    <row r="168" spans="3:19" x14ac:dyDescent="0.25">
      <c r="C168" s="3" t="s">
        <v>124</v>
      </c>
      <c r="D168" s="3" t="s">
        <v>125</v>
      </c>
      <c r="E168" s="3" t="s">
        <v>125</v>
      </c>
      <c r="F168" s="4" t="s">
        <v>36</v>
      </c>
      <c r="G168" s="3" t="s">
        <v>37</v>
      </c>
      <c r="H168" s="3" t="s">
        <v>81</v>
      </c>
      <c r="I168" s="3" t="s">
        <v>1046</v>
      </c>
      <c r="J168" s="3">
        <v>0</v>
      </c>
      <c r="K168" s="3" t="s">
        <v>51</v>
      </c>
      <c r="L168" s="3" t="s">
        <v>40</v>
      </c>
      <c r="M168" s="3">
        <v>0</v>
      </c>
      <c r="N168" s="3" t="s">
        <v>124</v>
      </c>
      <c r="O168" s="3" t="s">
        <v>42</v>
      </c>
      <c r="P168" s="42" t="s">
        <v>43</v>
      </c>
      <c r="Q168" s="42" t="s">
        <v>36</v>
      </c>
      <c r="R168" s="42">
        <v>0</v>
      </c>
      <c r="S168" s="2" t="s">
        <v>43</v>
      </c>
    </row>
    <row r="169" spans="3:19" x14ac:dyDescent="0.25">
      <c r="C169" s="3" t="s">
        <v>126</v>
      </c>
      <c r="D169" s="3" t="s">
        <v>127</v>
      </c>
      <c r="E169" s="3" t="s">
        <v>128</v>
      </c>
      <c r="F169" s="4" t="s">
        <v>36</v>
      </c>
      <c r="G169" s="3" t="s">
        <v>37</v>
      </c>
      <c r="H169" s="3" t="s">
        <v>81</v>
      </c>
      <c r="I169" s="3" t="s">
        <v>1046</v>
      </c>
      <c r="J169" s="3" t="s">
        <v>73</v>
      </c>
      <c r="K169" s="3" t="s">
        <v>129</v>
      </c>
      <c r="L169" s="3" t="s">
        <v>116</v>
      </c>
      <c r="M169" s="3">
        <v>0</v>
      </c>
      <c r="N169" s="3" t="s">
        <v>126</v>
      </c>
      <c r="O169" s="3" t="s">
        <v>42</v>
      </c>
      <c r="P169" s="42" t="s">
        <v>43</v>
      </c>
      <c r="Q169" s="42" t="s">
        <v>36</v>
      </c>
      <c r="R169" s="42">
        <v>0</v>
      </c>
      <c r="S169" s="2" t="s">
        <v>43</v>
      </c>
    </row>
    <row r="170" spans="3:19" x14ac:dyDescent="0.25">
      <c r="C170" s="3" t="s">
        <v>546</v>
      </c>
      <c r="D170" s="3" t="s">
        <v>547</v>
      </c>
      <c r="E170" s="3" t="s">
        <v>547</v>
      </c>
      <c r="F170" s="4">
        <v>5</v>
      </c>
      <c r="G170" s="3" t="s">
        <v>376</v>
      </c>
      <c r="H170" s="3" t="s">
        <v>46</v>
      </c>
      <c r="I170" s="3" t="s">
        <v>1030</v>
      </c>
      <c r="J170" s="3" t="s">
        <v>100</v>
      </c>
      <c r="K170" s="3" t="s">
        <v>138</v>
      </c>
      <c r="L170" s="3" t="s">
        <v>40</v>
      </c>
      <c r="M170" s="3" t="s">
        <v>514</v>
      </c>
      <c r="N170" s="3" t="s">
        <v>546</v>
      </c>
      <c r="O170" s="3" t="s">
        <v>42</v>
      </c>
      <c r="P170" s="42" t="s">
        <v>43</v>
      </c>
      <c r="Q170" s="42">
        <v>30294657.900000002</v>
      </c>
      <c r="R170" s="42" t="s">
        <v>515</v>
      </c>
      <c r="S170" s="2" t="s">
        <v>43</v>
      </c>
    </row>
    <row r="171" spans="3:19" x14ac:dyDescent="0.25">
      <c r="C171" s="3" t="s">
        <v>130</v>
      </c>
      <c r="D171" s="3" t="s">
        <v>131</v>
      </c>
      <c r="E171" s="3" t="s">
        <v>131</v>
      </c>
      <c r="F171" s="4" t="s">
        <v>36</v>
      </c>
      <c r="G171" s="3" t="s">
        <v>37</v>
      </c>
      <c r="H171" s="3" t="s">
        <v>81</v>
      </c>
      <c r="I171" s="3" t="s">
        <v>1046</v>
      </c>
      <c r="J171" s="3" t="s">
        <v>132</v>
      </c>
      <c r="K171" s="3" t="s">
        <v>133</v>
      </c>
      <c r="L171" s="3" t="s">
        <v>40</v>
      </c>
      <c r="M171" s="3">
        <v>0</v>
      </c>
      <c r="N171" s="3" t="s">
        <v>130</v>
      </c>
      <c r="O171" s="3" t="s">
        <v>42</v>
      </c>
      <c r="P171" s="42" t="s">
        <v>43</v>
      </c>
      <c r="Q171" s="42" t="s">
        <v>36</v>
      </c>
      <c r="R171" s="42">
        <v>0</v>
      </c>
      <c r="S171" s="2" t="s">
        <v>43</v>
      </c>
    </row>
    <row r="172" spans="3:19" x14ac:dyDescent="0.25">
      <c r="C172" s="3" t="s">
        <v>134</v>
      </c>
      <c r="D172" s="3" t="s">
        <v>135</v>
      </c>
      <c r="E172" s="3" t="s">
        <v>135</v>
      </c>
      <c r="F172" s="4" t="s">
        <v>36</v>
      </c>
      <c r="G172" s="3" t="s">
        <v>37</v>
      </c>
      <c r="H172" s="3" t="s">
        <v>81</v>
      </c>
      <c r="I172" s="3" t="s">
        <v>1046</v>
      </c>
      <c r="J172" s="3" t="s">
        <v>132</v>
      </c>
      <c r="K172" s="3" t="s">
        <v>51</v>
      </c>
      <c r="L172" s="3" t="s">
        <v>40</v>
      </c>
      <c r="M172" s="3">
        <v>0</v>
      </c>
      <c r="N172" s="3" t="s">
        <v>134</v>
      </c>
      <c r="O172" s="3" t="s">
        <v>42</v>
      </c>
      <c r="P172" s="42" t="s">
        <v>43</v>
      </c>
      <c r="Q172" s="42" t="s">
        <v>36</v>
      </c>
      <c r="R172" s="42">
        <v>0</v>
      </c>
      <c r="S172" s="2" t="s">
        <v>43</v>
      </c>
    </row>
    <row r="173" spans="3:19" x14ac:dyDescent="0.25">
      <c r="C173" s="3" t="s">
        <v>136</v>
      </c>
      <c r="D173" s="3" t="s">
        <v>137</v>
      </c>
      <c r="E173" s="3" t="s">
        <v>137</v>
      </c>
      <c r="F173" s="4" t="s">
        <v>36</v>
      </c>
      <c r="G173" s="3" t="s">
        <v>37</v>
      </c>
      <c r="H173" s="3" t="s">
        <v>88</v>
      </c>
      <c r="I173" s="3" t="s">
        <v>1046</v>
      </c>
      <c r="J173" s="3" t="s">
        <v>58</v>
      </c>
      <c r="K173" s="3" t="s">
        <v>138</v>
      </c>
      <c r="L173" s="3" t="s">
        <v>40</v>
      </c>
      <c r="M173" s="3">
        <v>0</v>
      </c>
      <c r="N173" s="3" t="s">
        <v>136</v>
      </c>
      <c r="O173" s="3" t="s">
        <v>42</v>
      </c>
      <c r="P173" s="42" t="s">
        <v>43</v>
      </c>
      <c r="Q173" s="42" t="s">
        <v>36</v>
      </c>
      <c r="R173" s="42">
        <v>0</v>
      </c>
      <c r="S173" s="2" t="s">
        <v>43</v>
      </c>
    </row>
    <row r="174" spans="3:19" x14ac:dyDescent="0.25">
      <c r="C174" s="3" t="s">
        <v>139</v>
      </c>
      <c r="D174" s="3" t="s">
        <v>140</v>
      </c>
      <c r="E174" s="3" t="s">
        <v>140</v>
      </c>
      <c r="F174" s="4" t="s">
        <v>36</v>
      </c>
      <c r="G174" s="3" t="s">
        <v>37</v>
      </c>
      <c r="H174" s="3" t="s">
        <v>88</v>
      </c>
      <c r="I174" s="3" t="s">
        <v>1046</v>
      </c>
      <c r="J174" s="3" t="s">
        <v>89</v>
      </c>
      <c r="K174" s="3" t="s">
        <v>109</v>
      </c>
      <c r="L174" s="3" t="s">
        <v>91</v>
      </c>
      <c r="M174" s="3">
        <v>0</v>
      </c>
      <c r="N174" s="3" t="s">
        <v>139</v>
      </c>
      <c r="O174" s="3" t="s">
        <v>42</v>
      </c>
      <c r="P174" s="42" t="s">
        <v>43</v>
      </c>
      <c r="Q174" s="42" t="s">
        <v>36</v>
      </c>
      <c r="R174" s="42">
        <v>0</v>
      </c>
      <c r="S174" s="2" t="s">
        <v>43</v>
      </c>
    </row>
    <row r="175" spans="3:19" x14ac:dyDescent="0.25">
      <c r="C175" s="3" t="s">
        <v>411</v>
      </c>
      <c r="D175" s="3" t="s">
        <v>412</v>
      </c>
      <c r="E175" s="3" t="s">
        <v>412</v>
      </c>
      <c r="F175" s="4">
        <v>5</v>
      </c>
      <c r="G175" s="3" t="s">
        <v>376</v>
      </c>
      <c r="H175" s="3" t="s">
        <v>46</v>
      </c>
      <c r="I175" s="3" t="s">
        <v>1031</v>
      </c>
      <c r="J175" s="3" t="s">
        <v>63</v>
      </c>
      <c r="K175" s="3" t="s">
        <v>138</v>
      </c>
      <c r="L175" s="3" t="s">
        <v>40</v>
      </c>
      <c r="M175" s="3" t="s">
        <v>378</v>
      </c>
      <c r="N175" s="3" t="s">
        <v>411</v>
      </c>
      <c r="O175" s="3" t="s">
        <v>42</v>
      </c>
      <c r="P175" s="42" t="s">
        <v>440</v>
      </c>
      <c r="Q175" s="42">
        <v>40637969.119999997</v>
      </c>
      <c r="R175" s="42" t="s">
        <v>380</v>
      </c>
      <c r="S175" s="2" t="s">
        <v>43</v>
      </c>
    </row>
    <row r="176" spans="3:19" x14ac:dyDescent="0.25">
      <c r="C176" s="3" t="s">
        <v>578</v>
      </c>
      <c r="D176" s="3" t="s">
        <v>579</v>
      </c>
      <c r="E176" s="3" t="s">
        <v>579</v>
      </c>
      <c r="F176" s="4">
        <v>5</v>
      </c>
      <c r="G176" s="3" t="s">
        <v>376</v>
      </c>
      <c r="H176" s="3" t="s">
        <v>46</v>
      </c>
      <c r="I176" s="3" t="s">
        <v>1030</v>
      </c>
      <c r="J176" s="3" t="s">
        <v>331</v>
      </c>
      <c r="K176" s="3" t="s">
        <v>138</v>
      </c>
      <c r="L176" s="3" t="s">
        <v>40</v>
      </c>
      <c r="M176" s="3" t="s">
        <v>984</v>
      </c>
      <c r="N176" s="3" t="s">
        <v>578</v>
      </c>
      <c r="O176" s="3" t="s">
        <v>42</v>
      </c>
      <c r="P176" s="42" t="s">
        <v>43</v>
      </c>
      <c r="Q176" s="42">
        <v>32757519.269999996</v>
      </c>
      <c r="R176" s="42" t="s">
        <v>557</v>
      </c>
      <c r="S176" s="2" t="s">
        <v>43</v>
      </c>
    </row>
    <row r="177" spans="3:19" x14ac:dyDescent="0.25">
      <c r="C177" s="3" t="s">
        <v>908</v>
      </c>
      <c r="D177" s="3" t="s">
        <v>909</v>
      </c>
      <c r="E177" s="3" t="s">
        <v>910</v>
      </c>
      <c r="F177" s="4">
        <v>5</v>
      </c>
      <c r="G177" s="3" t="s">
        <v>37</v>
      </c>
      <c r="H177" s="3" t="s">
        <v>81</v>
      </c>
      <c r="I177" s="3" t="s">
        <v>1046</v>
      </c>
      <c r="J177" s="3" t="s">
        <v>73</v>
      </c>
      <c r="K177" s="3" t="s">
        <v>911</v>
      </c>
      <c r="L177" s="3" t="s">
        <v>40</v>
      </c>
      <c r="M177" s="3" t="s">
        <v>514</v>
      </c>
      <c r="N177" s="3" t="s">
        <v>908</v>
      </c>
      <c r="O177" s="3" t="s">
        <v>42</v>
      </c>
      <c r="P177" s="42" t="s">
        <v>43</v>
      </c>
      <c r="Q177" s="42" t="s">
        <v>36</v>
      </c>
      <c r="R177" s="42" t="s">
        <v>886</v>
      </c>
      <c r="S177" s="2" t="s">
        <v>43</v>
      </c>
    </row>
    <row r="178" spans="3:19" x14ac:dyDescent="0.25">
      <c r="C178" s="3" t="s">
        <v>413</v>
      </c>
      <c r="D178" s="3" t="s">
        <v>414</v>
      </c>
      <c r="E178" s="3" t="s">
        <v>414</v>
      </c>
      <c r="F178" s="4">
        <v>5</v>
      </c>
      <c r="G178" s="3" t="s">
        <v>376</v>
      </c>
      <c r="H178" s="3" t="s">
        <v>46</v>
      </c>
      <c r="I178" s="3" t="s">
        <v>1031</v>
      </c>
      <c r="J178" s="3" t="s">
        <v>63</v>
      </c>
      <c r="K178" s="3" t="s">
        <v>138</v>
      </c>
      <c r="L178" s="3" t="s">
        <v>40</v>
      </c>
      <c r="M178" s="3" t="s">
        <v>378</v>
      </c>
      <c r="N178" s="3" t="s">
        <v>413</v>
      </c>
      <c r="O178" s="3" t="s">
        <v>42</v>
      </c>
      <c r="P178" s="42" t="s">
        <v>43</v>
      </c>
      <c r="Q178" s="42">
        <v>37352370.474999994</v>
      </c>
      <c r="R178" s="42" t="s">
        <v>380</v>
      </c>
      <c r="S178" s="2" t="s">
        <v>43</v>
      </c>
    </row>
    <row r="179" spans="3:19" x14ac:dyDescent="0.25">
      <c r="C179" s="3" t="s">
        <v>580</v>
      </c>
      <c r="D179" s="3" t="s">
        <v>581</v>
      </c>
      <c r="E179" s="3" t="s">
        <v>581</v>
      </c>
      <c r="F179" s="4">
        <v>5</v>
      </c>
      <c r="G179" s="3" t="s">
        <v>376</v>
      </c>
      <c r="H179" s="3" t="s">
        <v>46</v>
      </c>
      <c r="I179" s="3" t="s">
        <v>1030</v>
      </c>
      <c r="J179" s="3" t="s">
        <v>331</v>
      </c>
      <c r="K179" s="3" t="s">
        <v>138</v>
      </c>
      <c r="L179" s="3" t="s">
        <v>40</v>
      </c>
      <c r="M179" s="3" t="s">
        <v>984</v>
      </c>
      <c r="N179" s="3" t="s">
        <v>580</v>
      </c>
      <c r="O179" s="3" t="s">
        <v>42</v>
      </c>
      <c r="P179" s="42" t="s">
        <v>43</v>
      </c>
      <c r="Q179" s="42">
        <v>35106573.18</v>
      </c>
      <c r="R179" s="42" t="s">
        <v>557</v>
      </c>
      <c r="S179" s="2" t="s">
        <v>43</v>
      </c>
    </row>
    <row r="180" spans="3:19" x14ac:dyDescent="0.25">
      <c r="C180" s="3" t="s">
        <v>756</v>
      </c>
      <c r="D180" s="3" t="s">
        <v>757</v>
      </c>
      <c r="E180" s="3" t="s">
        <v>757</v>
      </c>
      <c r="F180" s="4">
        <v>5</v>
      </c>
      <c r="G180" s="3" t="s">
        <v>376</v>
      </c>
      <c r="H180" s="3" t="s">
        <v>46</v>
      </c>
      <c r="I180" s="3" t="s">
        <v>1031</v>
      </c>
      <c r="J180" s="3" t="s">
        <v>84</v>
      </c>
      <c r="K180" s="3" t="s">
        <v>54</v>
      </c>
      <c r="L180" s="3" t="s">
        <v>55</v>
      </c>
      <c r="M180" s="3" t="s">
        <v>378</v>
      </c>
      <c r="N180" s="3" t="s">
        <v>756</v>
      </c>
      <c r="O180" s="3" t="s">
        <v>42</v>
      </c>
      <c r="P180" s="42" t="s">
        <v>43</v>
      </c>
      <c r="Q180" s="42">
        <v>38455779.899999999</v>
      </c>
      <c r="R180" s="42" t="s">
        <v>741</v>
      </c>
      <c r="S180" s="2" t="s">
        <v>43</v>
      </c>
    </row>
    <row r="181" spans="3:19" x14ac:dyDescent="0.25">
      <c r="C181" s="3" t="s">
        <v>812</v>
      </c>
      <c r="D181" s="3" t="s">
        <v>813</v>
      </c>
      <c r="E181" s="3" t="s">
        <v>813</v>
      </c>
      <c r="F181" s="4">
        <v>5</v>
      </c>
      <c r="G181" s="3" t="s">
        <v>376</v>
      </c>
      <c r="H181" s="3" t="s">
        <v>46</v>
      </c>
      <c r="I181" s="3" t="s">
        <v>1030</v>
      </c>
      <c r="J181" s="3" t="s">
        <v>146</v>
      </c>
      <c r="K181" s="3" t="s">
        <v>59</v>
      </c>
      <c r="L181" s="3" t="s">
        <v>40</v>
      </c>
      <c r="M181" s="3" t="s">
        <v>1035</v>
      </c>
      <c r="N181" s="3" t="s">
        <v>812</v>
      </c>
      <c r="O181" s="3" t="s">
        <v>42</v>
      </c>
      <c r="P181" s="42" t="s">
        <v>43</v>
      </c>
      <c r="Q181" s="42">
        <v>32524311.600000001</v>
      </c>
      <c r="R181" s="42" t="s">
        <v>799</v>
      </c>
      <c r="S181" s="2" t="s">
        <v>43</v>
      </c>
    </row>
    <row r="182" spans="3:19" x14ac:dyDescent="0.25">
      <c r="C182" s="3" t="s">
        <v>141</v>
      </c>
      <c r="D182" s="3" t="s">
        <v>142</v>
      </c>
      <c r="E182" s="3" t="s">
        <v>142</v>
      </c>
      <c r="F182" s="4" t="s">
        <v>36</v>
      </c>
      <c r="G182" s="3" t="s">
        <v>37</v>
      </c>
      <c r="H182" s="3" t="s">
        <v>81</v>
      </c>
      <c r="I182" s="3" t="s">
        <v>1046</v>
      </c>
      <c r="J182" s="3">
        <v>0</v>
      </c>
      <c r="K182" s="3" t="s">
        <v>143</v>
      </c>
      <c r="L182" s="3" t="s">
        <v>40</v>
      </c>
      <c r="M182" s="3">
        <v>0</v>
      </c>
      <c r="N182" s="3" t="s">
        <v>141</v>
      </c>
      <c r="O182" s="3" t="s">
        <v>42</v>
      </c>
      <c r="P182" s="42" t="s">
        <v>43</v>
      </c>
      <c r="Q182" s="42" t="s">
        <v>36</v>
      </c>
      <c r="R182" s="42">
        <v>0</v>
      </c>
      <c r="S182" s="2" t="s">
        <v>43</v>
      </c>
    </row>
    <row r="183" spans="3:19" x14ac:dyDescent="0.25">
      <c r="C183" s="3" t="s">
        <v>437</v>
      </c>
      <c r="D183" s="3" t="s">
        <v>438</v>
      </c>
      <c r="E183" s="3" t="s">
        <v>439</v>
      </c>
      <c r="F183" s="4">
        <v>5</v>
      </c>
      <c r="G183" s="3" t="s">
        <v>376</v>
      </c>
      <c r="H183" s="3" t="s">
        <v>81</v>
      </c>
      <c r="I183" s="3" t="s">
        <v>1030</v>
      </c>
      <c r="J183" s="3" t="s">
        <v>94</v>
      </c>
      <c r="K183" s="3" t="s">
        <v>64</v>
      </c>
      <c r="L183" s="3" t="s">
        <v>40</v>
      </c>
      <c r="M183" s="3" t="s">
        <v>1035</v>
      </c>
      <c r="N183" s="3" t="s">
        <v>437</v>
      </c>
      <c r="O183" s="3" t="s">
        <v>42</v>
      </c>
      <c r="P183" s="42" t="s">
        <v>43</v>
      </c>
      <c r="Q183" s="42">
        <v>26952255.600000001</v>
      </c>
      <c r="R183" s="42" t="s">
        <v>423</v>
      </c>
      <c r="S183" s="2" t="s">
        <v>440</v>
      </c>
    </row>
    <row r="184" spans="3:19" x14ac:dyDescent="0.25">
      <c r="C184" s="3" t="s">
        <v>497</v>
      </c>
      <c r="D184" s="3" t="s">
        <v>498</v>
      </c>
      <c r="E184" s="3" t="s">
        <v>499</v>
      </c>
      <c r="F184" s="4">
        <v>5</v>
      </c>
      <c r="G184" s="3" t="s">
        <v>376</v>
      </c>
      <c r="H184" s="3" t="s">
        <v>46</v>
      </c>
      <c r="I184" s="3" t="s">
        <v>1030</v>
      </c>
      <c r="J184" s="3" t="s">
        <v>466</v>
      </c>
      <c r="K184" s="3" t="s">
        <v>51</v>
      </c>
      <c r="L184" s="3" t="s">
        <v>40</v>
      </c>
      <c r="M184" s="3" t="s">
        <v>1035</v>
      </c>
      <c r="N184" s="3" t="s">
        <v>497</v>
      </c>
      <c r="O184" s="3" t="s">
        <v>42</v>
      </c>
      <c r="P184" s="42" t="s">
        <v>43</v>
      </c>
      <c r="Q184" s="42">
        <v>30425092.440000001</v>
      </c>
      <c r="R184" s="42" t="s">
        <v>467</v>
      </c>
      <c r="S184" s="2" t="s">
        <v>43</v>
      </c>
    </row>
    <row r="185" spans="3:19" x14ac:dyDescent="0.25">
      <c r="C185" s="3" t="s">
        <v>144</v>
      </c>
      <c r="D185" s="3" t="s">
        <v>145</v>
      </c>
      <c r="E185" s="3" t="s">
        <v>145</v>
      </c>
      <c r="F185" s="4" t="s">
        <v>36</v>
      </c>
      <c r="G185" s="3" t="s">
        <v>37</v>
      </c>
      <c r="H185" s="3" t="s">
        <v>46</v>
      </c>
      <c r="I185" s="3" t="s">
        <v>1046</v>
      </c>
      <c r="J185" s="3" t="s">
        <v>146</v>
      </c>
      <c r="K185" s="3" t="s">
        <v>138</v>
      </c>
      <c r="L185" s="3" t="s">
        <v>40</v>
      </c>
      <c r="M185" s="3">
        <v>0</v>
      </c>
      <c r="N185" s="3" t="s">
        <v>144</v>
      </c>
      <c r="O185" s="3" t="s">
        <v>42</v>
      </c>
      <c r="P185" s="42" t="s">
        <v>43</v>
      </c>
      <c r="Q185" s="42" t="s">
        <v>36</v>
      </c>
      <c r="R185" s="42">
        <v>0</v>
      </c>
      <c r="S185" s="2" t="s">
        <v>43</v>
      </c>
    </row>
    <row r="186" spans="3:19" x14ac:dyDescent="0.25">
      <c r="C186" s="3" t="s">
        <v>784</v>
      </c>
      <c r="D186" s="3" t="s">
        <v>785</v>
      </c>
      <c r="E186" s="3" t="s">
        <v>785</v>
      </c>
      <c r="F186" s="4">
        <v>5.45</v>
      </c>
      <c r="G186" s="3" t="s">
        <v>376</v>
      </c>
      <c r="H186" s="3" t="s">
        <v>46</v>
      </c>
      <c r="I186" s="3" t="s">
        <v>1031</v>
      </c>
      <c r="J186" s="3" t="s">
        <v>89</v>
      </c>
      <c r="K186" s="3" t="s">
        <v>109</v>
      </c>
      <c r="L186" s="3" t="s">
        <v>91</v>
      </c>
      <c r="M186" s="3" t="s">
        <v>378</v>
      </c>
      <c r="N186" s="3" t="s">
        <v>784</v>
      </c>
      <c r="O186" s="3" t="s">
        <v>42</v>
      </c>
      <c r="P186" s="42" t="s">
        <v>43</v>
      </c>
      <c r="Q186" s="42">
        <v>41988673.264999993</v>
      </c>
      <c r="R186" s="42" t="s">
        <v>772</v>
      </c>
      <c r="S186" s="2" t="s">
        <v>43</v>
      </c>
    </row>
    <row r="187" spans="3:19" x14ac:dyDescent="0.25">
      <c r="C187" s="3" t="s">
        <v>147</v>
      </c>
      <c r="D187" s="3" t="s">
        <v>148</v>
      </c>
      <c r="E187" s="3" t="s">
        <v>148</v>
      </c>
      <c r="F187" s="4" t="s">
        <v>36</v>
      </c>
      <c r="G187" s="3" t="s">
        <v>37</v>
      </c>
      <c r="H187" s="3" t="s">
        <v>46</v>
      </c>
      <c r="I187" s="3" t="s">
        <v>1046</v>
      </c>
      <c r="J187" s="3" t="s">
        <v>50</v>
      </c>
      <c r="K187" s="3" t="s">
        <v>51</v>
      </c>
      <c r="L187" s="3" t="s">
        <v>40</v>
      </c>
      <c r="M187" s="3">
        <v>0</v>
      </c>
      <c r="N187" s="3" t="s">
        <v>147</v>
      </c>
      <c r="O187" s="3" t="s">
        <v>42</v>
      </c>
      <c r="P187" s="42" t="s">
        <v>43</v>
      </c>
      <c r="Q187" s="42" t="s">
        <v>36</v>
      </c>
      <c r="R187" s="42">
        <v>0</v>
      </c>
      <c r="S187" s="2" t="s">
        <v>43</v>
      </c>
    </row>
    <row r="188" spans="3:19" x14ac:dyDescent="0.25">
      <c r="C188" s="3" t="s">
        <v>149</v>
      </c>
      <c r="D188" s="3" t="s">
        <v>150</v>
      </c>
      <c r="E188" s="3" t="s">
        <v>150</v>
      </c>
      <c r="F188" s="4" t="s">
        <v>36</v>
      </c>
      <c r="G188" s="3" t="s">
        <v>37</v>
      </c>
      <c r="H188" s="3" t="s">
        <v>81</v>
      </c>
      <c r="I188" s="3" t="s">
        <v>1046</v>
      </c>
      <c r="J188" s="3" t="s">
        <v>100</v>
      </c>
      <c r="K188" s="3" t="s">
        <v>59</v>
      </c>
      <c r="L188" s="3" t="s">
        <v>40</v>
      </c>
      <c r="M188" s="3">
        <v>0</v>
      </c>
      <c r="N188" s="3" t="s">
        <v>149</v>
      </c>
      <c r="O188" s="3" t="s">
        <v>42</v>
      </c>
      <c r="P188" s="42" t="s">
        <v>43</v>
      </c>
      <c r="Q188" s="42" t="s">
        <v>36</v>
      </c>
      <c r="R188" s="42">
        <v>0</v>
      </c>
      <c r="S188" s="2" t="s">
        <v>43</v>
      </c>
    </row>
    <row r="189" spans="3:19" x14ac:dyDescent="0.25">
      <c r="C189" s="3" t="s">
        <v>151</v>
      </c>
      <c r="D189" s="3" t="s">
        <v>152</v>
      </c>
      <c r="E189" s="3" t="s">
        <v>152</v>
      </c>
      <c r="F189" s="4" t="s">
        <v>36</v>
      </c>
      <c r="G189" s="3" t="s">
        <v>37</v>
      </c>
      <c r="H189" s="3" t="s">
        <v>88</v>
      </c>
      <c r="I189" s="3" t="s">
        <v>1046</v>
      </c>
      <c r="J189" s="3" t="s">
        <v>132</v>
      </c>
      <c r="K189" s="3" t="s">
        <v>133</v>
      </c>
      <c r="L189" s="3" t="s">
        <v>40</v>
      </c>
      <c r="M189" s="3">
        <v>0</v>
      </c>
      <c r="N189" s="3" t="s">
        <v>151</v>
      </c>
      <c r="O189" s="3" t="s">
        <v>42</v>
      </c>
      <c r="P189" s="42" t="s">
        <v>43</v>
      </c>
      <c r="Q189" s="42" t="s">
        <v>36</v>
      </c>
      <c r="R189" s="42">
        <v>0</v>
      </c>
      <c r="S189" s="2" t="s">
        <v>43</v>
      </c>
    </row>
    <row r="190" spans="3:19" x14ac:dyDescent="0.25">
      <c r="C190" s="3" t="s">
        <v>786</v>
      </c>
      <c r="D190" s="3" t="s">
        <v>787</v>
      </c>
      <c r="E190" s="3" t="s">
        <v>787</v>
      </c>
      <c r="F190" s="4">
        <v>5</v>
      </c>
      <c r="G190" s="3" t="s">
        <v>376</v>
      </c>
      <c r="H190" s="3" t="s">
        <v>81</v>
      </c>
      <c r="I190" s="3" t="s">
        <v>1031</v>
      </c>
      <c r="J190" s="3" t="s">
        <v>89</v>
      </c>
      <c r="K190" s="3" t="s">
        <v>109</v>
      </c>
      <c r="L190" s="3" t="s">
        <v>91</v>
      </c>
      <c r="M190" s="3" t="s">
        <v>378</v>
      </c>
      <c r="N190" s="3" t="s">
        <v>786</v>
      </c>
      <c r="O190" s="3" t="s">
        <v>42</v>
      </c>
      <c r="P190" s="42" t="s">
        <v>43</v>
      </c>
      <c r="Q190" s="42">
        <v>37544757.634999998</v>
      </c>
      <c r="R190" s="42" t="s">
        <v>772</v>
      </c>
      <c r="S190" s="2" t="s">
        <v>440</v>
      </c>
    </row>
    <row r="191" spans="3:19" x14ac:dyDescent="0.25">
      <c r="C191" s="3" t="s">
        <v>582</v>
      </c>
      <c r="D191" s="3" t="s">
        <v>583</v>
      </c>
      <c r="E191" s="3" t="s">
        <v>583</v>
      </c>
      <c r="F191" s="4">
        <v>5</v>
      </c>
      <c r="G191" s="3" t="s">
        <v>376</v>
      </c>
      <c r="H191" s="3" t="s">
        <v>46</v>
      </c>
      <c r="I191" s="3" t="s">
        <v>1030</v>
      </c>
      <c r="J191" s="3" t="s">
        <v>331</v>
      </c>
      <c r="K191" s="3" t="s">
        <v>138</v>
      </c>
      <c r="L191" s="3" t="s">
        <v>40</v>
      </c>
      <c r="M191" s="3" t="s">
        <v>984</v>
      </c>
      <c r="N191" s="3" t="s">
        <v>582</v>
      </c>
      <c r="O191" s="3" t="s">
        <v>42</v>
      </c>
      <c r="P191" s="42" t="s">
        <v>43</v>
      </c>
      <c r="Q191" s="42">
        <v>56526525.369999997</v>
      </c>
      <c r="R191" s="42" t="s">
        <v>557</v>
      </c>
      <c r="S191" s="2" t="s">
        <v>43</v>
      </c>
    </row>
    <row r="192" spans="3:19" x14ac:dyDescent="0.25">
      <c r="C192" s="3" t="s">
        <v>714</v>
      </c>
      <c r="D192" s="3" t="s">
        <v>715</v>
      </c>
      <c r="E192" s="3" t="s">
        <v>715</v>
      </c>
      <c r="F192" s="4">
        <v>5</v>
      </c>
      <c r="G192" s="3" t="s">
        <v>376</v>
      </c>
      <c r="H192" s="3" t="s">
        <v>46</v>
      </c>
      <c r="I192" s="3" t="s">
        <v>1031</v>
      </c>
      <c r="J192" s="3" t="s">
        <v>84</v>
      </c>
      <c r="K192" s="3" t="s">
        <v>54</v>
      </c>
      <c r="L192" s="3" t="s">
        <v>55</v>
      </c>
      <c r="M192" s="3" t="s">
        <v>378</v>
      </c>
      <c r="N192" s="3" t="s">
        <v>714</v>
      </c>
      <c r="O192" s="3" t="s">
        <v>42</v>
      </c>
      <c r="P192" s="42" t="s">
        <v>43</v>
      </c>
      <c r="Q192" s="42">
        <v>38125739.520000003</v>
      </c>
      <c r="R192" s="42" t="s">
        <v>702</v>
      </c>
      <c r="S192" s="2" t="s">
        <v>43</v>
      </c>
    </row>
    <row r="193" spans="3:19" x14ac:dyDescent="0.25">
      <c r="C193" s="3" t="s">
        <v>153</v>
      </c>
      <c r="D193" s="3" t="s">
        <v>154</v>
      </c>
      <c r="E193" s="3" t="s">
        <v>155</v>
      </c>
      <c r="F193" s="4" t="s">
        <v>36</v>
      </c>
      <c r="G193" s="3" t="s">
        <v>37</v>
      </c>
      <c r="H193" s="3" t="s">
        <v>81</v>
      </c>
      <c r="I193" s="3" t="s">
        <v>1046</v>
      </c>
      <c r="J193" s="3" t="s">
        <v>84</v>
      </c>
      <c r="K193" s="3" t="s">
        <v>54</v>
      </c>
      <c r="L193" s="3" t="s">
        <v>55</v>
      </c>
      <c r="M193" s="3">
        <v>0</v>
      </c>
      <c r="N193" s="3" t="s">
        <v>153</v>
      </c>
      <c r="O193" s="3" t="s">
        <v>42</v>
      </c>
      <c r="P193" s="42" t="s">
        <v>43</v>
      </c>
      <c r="Q193" s="42" t="s">
        <v>36</v>
      </c>
      <c r="R193" s="42">
        <v>0</v>
      </c>
      <c r="S193" s="2" t="s">
        <v>43</v>
      </c>
    </row>
    <row r="194" spans="3:19" x14ac:dyDescent="0.25">
      <c r="C194" s="3" t="s">
        <v>912</v>
      </c>
      <c r="D194" s="3" t="s">
        <v>913</v>
      </c>
      <c r="E194" s="3" t="s">
        <v>913</v>
      </c>
      <c r="F194" s="4">
        <v>5</v>
      </c>
      <c r="G194" s="3" t="s">
        <v>376</v>
      </c>
      <c r="H194" s="3" t="s">
        <v>81</v>
      </c>
      <c r="I194" s="3" t="s">
        <v>1030</v>
      </c>
      <c r="J194" s="3" t="s">
        <v>73</v>
      </c>
      <c r="K194" s="3" t="s">
        <v>914</v>
      </c>
      <c r="L194" s="3" t="s">
        <v>40</v>
      </c>
      <c r="M194" s="3" t="s">
        <v>514</v>
      </c>
      <c r="N194" s="3" t="s">
        <v>912</v>
      </c>
      <c r="O194" s="3" t="s">
        <v>42</v>
      </c>
      <c r="P194" s="42" t="s">
        <v>43</v>
      </c>
      <c r="Q194" s="42">
        <v>27798787.260000002</v>
      </c>
      <c r="R194" s="42" t="s">
        <v>886</v>
      </c>
      <c r="S194" s="2" t="s">
        <v>43</v>
      </c>
    </row>
    <row r="195" spans="3:19" x14ac:dyDescent="0.25">
      <c r="C195" s="3" t="s">
        <v>500</v>
      </c>
      <c r="D195" s="3" t="s">
        <v>501</v>
      </c>
      <c r="E195" s="3" t="s">
        <v>501</v>
      </c>
      <c r="F195" s="4">
        <v>5</v>
      </c>
      <c r="G195" s="3" t="s">
        <v>376</v>
      </c>
      <c r="H195" s="3" t="s">
        <v>46</v>
      </c>
      <c r="I195" s="3" t="s">
        <v>1030</v>
      </c>
      <c r="J195" s="3" t="s">
        <v>466</v>
      </c>
      <c r="K195" s="3" t="s">
        <v>51</v>
      </c>
      <c r="L195" s="3" t="s">
        <v>40</v>
      </c>
      <c r="M195" s="3" t="s">
        <v>1035</v>
      </c>
      <c r="N195" s="3" t="s">
        <v>500</v>
      </c>
      <c r="O195" s="3" t="s">
        <v>42</v>
      </c>
      <c r="P195" s="42" t="s">
        <v>43</v>
      </c>
      <c r="Q195" s="42">
        <v>41785734.119999997</v>
      </c>
      <c r="R195" s="42" t="s">
        <v>467</v>
      </c>
      <c r="S195" s="2" t="s">
        <v>43</v>
      </c>
    </row>
    <row r="196" spans="3:19" x14ac:dyDescent="0.25">
      <c r="C196" s="3" t="s">
        <v>441</v>
      </c>
      <c r="D196" s="3" t="s">
        <v>442</v>
      </c>
      <c r="E196" s="3" t="s">
        <v>442</v>
      </c>
      <c r="F196" s="4">
        <v>5</v>
      </c>
      <c r="G196" s="3" t="s">
        <v>376</v>
      </c>
      <c r="H196" s="3" t="s">
        <v>46</v>
      </c>
      <c r="I196" s="3" t="s">
        <v>1030</v>
      </c>
      <c r="J196" s="3" t="s">
        <v>94</v>
      </c>
      <c r="K196" s="3" t="s">
        <v>64</v>
      </c>
      <c r="L196" s="3" t="s">
        <v>40</v>
      </c>
      <c r="M196" s="3" t="s">
        <v>1035</v>
      </c>
      <c r="N196" s="3" t="s">
        <v>441</v>
      </c>
      <c r="O196" s="3" t="s">
        <v>42</v>
      </c>
      <c r="P196" s="42" t="s">
        <v>440</v>
      </c>
      <c r="Q196" s="42">
        <v>38465680.329999998</v>
      </c>
      <c r="R196" s="42" t="s">
        <v>423</v>
      </c>
      <c r="S196" s="2" t="s">
        <v>43</v>
      </c>
    </row>
    <row r="197" spans="3:19" x14ac:dyDescent="0.25">
      <c r="C197" s="3" t="s">
        <v>156</v>
      </c>
      <c r="D197" s="3" t="s">
        <v>157</v>
      </c>
      <c r="E197" s="3" t="s">
        <v>157</v>
      </c>
      <c r="F197" s="4" t="s">
        <v>36</v>
      </c>
      <c r="G197" s="3" t="s">
        <v>37</v>
      </c>
      <c r="H197" s="3" t="s">
        <v>46</v>
      </c>
      <c r="I197" s="3" t="s">
        <v>1046</v>
      </c>
      <c r="J197" s="3">
        <v>0</v>
      </c>
      <c r="K197" s="3" t="s">
        <v>51</v>
      </c>
      <c r="L197" s="3" t="s">
        <v>40</v>
      </c>
      <c r="M197" s="3">
        <v>0</v>
      </c>
      <c r="N197" s="3" t="s">
        <v>156</v>
      </c>
      <c r="O197" s="3" t="s">
        <v>42</v>
      </c>
      <c r="P197" s="42" t="s">
        <v>43</v>
      </c>
      <c r="Q197" s="42" t="s">
        <v>36</v>
      </c>
      <c r="R197" s="42">
        <v>0</v>
      </c>
      <c r="S197" s="2" t="s">
        <v>43</v>
      </c>
    </row>
    <row r="198" spans="3:19" x14ac:dyDescent="0.25">
      <c r="C198" s="3" t="s">
        <v>875</v>
      </c>
      <c r="D198" s="3" t="s">
        <v>876</v>
      </c>
      <c r="E198" s="3" t="s">
        <v>876</v>
      </c>
      <c r="F198" s="4">
        <v>5</v>
      </c>
      <c r="G198" s="3" t="s">
        <v>376</v>
      </c>
      <c r="H198" s="3" t="s">
        <v>81</v>
      </c>
      <c r="I198" s="3" t="s">
        <v>1030</v>
      </c>
      <c r="J198" s="3" t="s">
        <v>132</v>
      </c>
      <c r="K198" s="3" t="s">
        <v>856</v>
      </c>
      <c r="L198" s="3" t="s">
        <v>40</v>
      </c>
      <c r="M198" s="3" t="s">
        <v>1035</v>
      </c>
      <c r="N198" s="3" t="s">
        <v>875</v>
      </c>
      <c r="O198" s="3" t="s">
        <v>42</v>
      </c>
      <c r="P198" s="42" t="s">
        <v>43</v>
      </c>
      <c r="Q198" s="42">
        <v>29784446.760000002</v>
      </c>
      <c r="R198" s="42" t="s">
        <v>847</v>
      </c>
      <c r="S198" s="2" t="s">
        <v>43</v>
      </c>
    </row>
    <row r="199" spans="3:19" x14ac:dyDescent="0.25">
      <c r="C199" s="3" t="s">
        <v>158</v>
      </c>
      <c r="D199" s="3" t="s">
        <v>159</v>
      </c>
      <c r="E199" s="3" t="s">
        <v>159</v>
      </c>
      <c r="F199" s="4" t="s">
        <v>36</v>
      </c>
      <c r="G199" s="3" t="s">
        <v>37</v>
      </c>
      <c r="H199" s="3" t="s">
        <v>81</v>
      </c>
      <c r="I199" s="3" t="s">
        <v>1046</v>
      </c>
      <c r="J199" s="3" t="s">
        <v>160</v>
      </c>
      <c r="K199" s="3" t="s">
        <v>161</v>
      </c>
      <c r="L199" s="3" t="s">
        <v>55</v>
      </c>
      <c r="M199" s="3">
        <v>0</v>
      </c>
      <c r="N199" s="3" t="s">
        <v>158</v>
      </c>
      <c r="O199" s="3" t="s">
        <v>42</v>
      </c>
      <c r="P199" s="42" t="s">
        <v>43</v>
      </c>
      <c r="Q199" s="42" t="s">
        <v>36</v>
      </c>
      <c r="R199" s="42">
        <v>0</v>
      </c>
      <c r="S199" s="2" t="s">
        <v>43</v>
      </c>
    </row>
    <row r="200" spans="3:19" x14ac:dyDescent="0.25">
      <c r="C200" s="3" t="s">
        <v>814</v>
      </c>
      <c r="D200" s="3" t="s">
        <v>815</v>
      </c>
      <c r="E200" s="3" t="s">
        <v>816</v>
      </c>
      <c r="F200" s="4">
        <v>5</v>
      </c>
      <c r="G200" s="3" t="s">
        <v>376</v>
      </c>
      <c r="H200" s="3" t="s">
        <v>81</v>
      </c>
      <c r="I200" s="3" t="s">
        <v>1030</v>
      </c>
      <c r="J200" s="3" t="s">
        <v>146</v>
      </c>
      <c r="K200" s="3" t="s">
        <v>59</v>
      </c>
      <c r="L200" s="3" t="s">
        <v>40</v>
      </c>
      <c r="M200" s="3" t="s">
        <v>1035</v>
      </c>
      <c r="N200" s="3" t="s">
        <v>814</v>
      </c>
      <c r="O200" s="3" t="s">
        <v>42</v>
      </c>
      <c r="P200" s="42" t="s">
        <v>43</v>
      </c>
      <c r="Q200" s="42">
        <v>39312210.660000004</v>
      </c>
      <c r="R200" s="42" t="s">
        <v>799</v>
      </c>
      <c r="S200" s="2" t="s">
        <v>440</v>
      </c>
    </row>
    <row r="201" spans="3:19" x14ac:dyDescent="0.25">
      <c r="C201" s="3" t="s">
        <v>598</v>
      </c>
      <c r="D201" s="3" t="s">
        <v>599</v>
      </c>
      <c r="E201" s="3" t="s">
        <v>600</v>
      </c>
      <c r="F201" s="4">
        <v>5</v>
      </c>
      <c r="G201" s="3" t="s">
        <v>376</v>
      </c>
      <c r="H201" s="3" t="s">
        <v>81</v>
      </c>
      <c r="I201" s="3" t="s">
        <v>1030</v>
      </c>
      <c r="J201" s="3" t="s">
        <v>50</v>
      </c>
      <c r="K201" s="3" t="s">
        <v>601</v>
      </c>
      <c r="L201" s="3" t="s">
        <v>40</v>
      </c>
      <c r="M201" s="3" t="s">
        <v>514</v>
      </c>
      <c r="N201" s="3" t="s">
        <v>598</v>
      </c>
      <c r="O201" s="3" t="s">
        <v>42</v>
      </c>
      <c r="P201" s="42" t="s">
        <v>43</v>
      </c>
      <c r="Q201" s="42">
        <v>45037419.629999995</v>
      </c>
      <c r="R201" s="42" t="s">
        <v>597</v>
      </c>
      <c r="S201" s="2" t="s">
        <v>440</v>
      </c>
    </row>
    <row r="202" spans="3:19" x14ac:dyDescent="0.25">
      <c r="C202" s="3" t="s">
        <v>162</v>
      </c>
      <c r="D202" s="3" t="s">
        <v>163</v>
      </c>
      <c r="E202" s="3" t="s">
        <v>163</v>
      </c>
      <c r="F202" s="4" t="s">
        <v>36</v>
      </c>
      <c r="G202" s="3" t="s">
        <v>37</v>
      </c>
      <c r="H202" s="3" t="s">
        <v>88</v>
      </c>
      <c r="I202" s="3" t="s">
        <v>1046</v>
      </c>
      <c r="J202" s="3" t="s">
        <v>63</v>
      </c>
      <c r="K202" s="3" t="s">
        <v>138</v>
      </c>
      <c r="L202" s="3" t="s">
        <v>40</v>
      </c>
      <c r="M202" s="3">
        <v>0</v>
      </c>
      <c r="N202" s="3" t="s">
        <v>162</v>
      </c>
      <c r="O202" s="3" t="s">
        <v>42</v>
      </c>
      <c r="P202" s="42" t="s">
        <v>43</v>
      </c>
      <c r="Q202" s="42" t="s">
        <v>36</v>
      </c>
      <c r="R202" s="42">
        <v>0</v>
      </c>
      <c r="S202" s="2" t="s">
        <v>43</v>
      </c>
    </row>
    <row r="203" spans="3:19" x14ac:dyDescent="0.25">
      <c r="C203" s="3" t="s">
        <v>716</v>
      </c>
      <c r="D203" s="3" t="s">
        <v>717</v>
      </c>
      <c r="E203" s="3" t="s">
        <v>718</v>
      </c>
      <c r="F203" s="4">
        <v>5</v>
      </c>
      <c r="G203" s="3" t="s">
        <v>376</v>
      </c>
      <c r="H203" s="3" t="s">
        <v>46</v>
      </c>
      <c r="I203" s="3" t="s">
        <v>1031</v>
      </c>
      <c r="J203" s="3" t="s">
        <v>84</v>
      </c>
      <c r="K203" s="3" t="s">
        <v>54</v>
      </c>
      <c r="L203" s="3" t="s">
        <v>55</v>
      </c>
      <c r="M203" s="3" t="s">
        <v>378</v>
      </c>
      <c r="N203" s="3" t="s">
        <v>716</v>
      </c>
      <c r="O203" s="3" t="s">
        <v>42</v>
      </c>
      <c r="P203" s="42" t="s">
        <v>440</v>
      </c>
      <c r="Q203" s="42">
        <v>36054290.019999996</v>
      </c>
      <c r="R203" s="42" t="s">
        <v>702</v>
      </c>
      <c r="S203" s="2" t="s">
        <v>43</v>
      </c>
    </row>
    <row r="204" spans="3:19" x14ac:dyDescent="0.25">
      <c r="C204" s="3" t="s">
        <v>788</v>
      </c>
      <c r="D204" s="3" t="s">
        <v>789</v>
      </c>
      <c r="E204" s="3" t="s">
        <v>790</v>
      </c>
      <c r="F204" s="4">
        <v>5</v>
      </c>
      <c r="G204" s="3" t="s">
        <v>376</v>
      </c>
      <c r="H204" s="3" t="s">
        <v>81</v>
      </c>
      <c r="I204" s="3" t="s">
        <v>1031</v>
      </c>
      <c r="J204" s="3" t="s">
        <v>89</v>
      </c>
      <c r="K204" s="3" t="s">
        <v>109</v>
      </c>
      <c r="L204" s="3" t="s">
        <v>91</v>
      </c>
      <c r="M204" s="3" t="s">
        <v>378</v>
      </c>
      <c r="N204" s="3" t="s">
        <v>788</v>
      </c>
      <c r="O204" s="3" t="s">
        <v>42</v>
      </c>
      <c r="P204" s="42" t="s">
        <v>43</v>
      </c>
      <c r="Q204" s="42">
        <v>39209581.949999996</v>
      </c>
      <c r="R204" s="42" t="s">
        <v>772</v>
      </c>
      <c r="S204" s="2" t="s">
        <v>43</v>
      </c>
    </row>
    <row r="205" spans="3:19" x14ac:dyDescent="0.25">
      <c r="C205" s="3" t="s">
        <v>443</v>
      </c>
      <c r="D205" s="3" t="s">
        <v>444</v>
      </c>
      <c r="E205" s="3" t="s">
        <v>444</v>
      </c>
      <c r="F205" s="4">
        <v>5</v>
      </c>
      <c r="G205" s="3" t="s">
        <v>376</v>
      </c>
      <c r="H205" s="3" t="s">
        <v>81</v>
      </c>
      <c r="I205" s="3" t="s">
        <v>1030</v>
      </c>
      <c r="J205" s="3" t="s">
        <v>94</v>
      </c>
      <c r="K205" s="3" t="s">
        <v>64</v>
      </c>
      <c r="L205" s="3" t="s">
        <v>40</v>
      </c>
      <c r="M205" s="3" t="s">
        <v>1035</v>
      </c>
      <c r="N205" s="3" t="s">
        <v>443</v>
      </c>
      <c r="O205" s="3" t="s">
        <v>42</v>
      </c>
      <c r="P205" s="42" t="s">
        <v>43</v>
      </c>
      <c r="Q205" s="42">
        <v>25058456.280000001</v>
      </c>
      <c r="R205" s="42" t="s">
        <v>423</v>
      </c>
      <c r="S205" s="2" t="s">
        <v>43</v>
      </c>
    </row>
    <row r="206" spans="3:19" x14ac:dyDescent="0.25">
      <c r="C206" s="3" t="s">
        <v>415</v>
      </c>
      <c r="D206" s="3" t="s">
        <v>416</v>
      </c>
      <c r="E206" s="3" t="s">
        <v>416</v>
      </c>
      <c r="F206" s="4">
        <v>5</v>
      </c>
      <c r="G206" s="3" t="s">
        <v>376</v>
      </c>
      <c r="H206" s="3" t="s">
        <v>81</v>
      </c>
      <c r="I206" s="3" t="s">
        <v>1031</v>
      </c>
      <c r="J206" s="3" t="s">
        <v>63</v>
      </c>
      <c r="K206" s="3" t="s">
        <v>138</v>
      </c>
      <c r="L206" s="3" t="s">
        <v>40</v>
      </c>
      <c r="M206" s="3" t="s">
        <v>378</v>
      </c>
      <c r="N206" s="3" t="s">
        <v>415</v>
      </c>
      <c r="O206" s="3" t="s">
        <v>42</v>
      </c>
      <c r="P206" s="42" t="s">
        <v>43</v>
      </c>
      <c r="Q206" s="42">
        <v>31121637.679999996</v>
      </c>
      <c r="R206" s="42" t="s">
        <v>380</v>
      </c>
      <c r="S206" s="2" t="s">
        <v>43</v>
      </c>
    </row>
    <row r="207" spans="3:19" x14ac:dyDescent="0.25">
      <c r="C207" s="3" t="s">
        <v>915</v>
      </c>
      <c r="D207" s="3" t="s">
        <v>916</v>
      </c>
      <c r="E207" s="3" t="s">
        <v>916</v>
      </c>
      <c r="F207" s="4">
        <v>5</v>
      </c>
      <c r="G207" s="3" t="s">
        <v>376</v>
      </c>
      <c r="H207" s="3" t="s">
        <v>81</v>
      </c>
      <c r="I207" s="3" t="s">
        <v>1030</v>
      </c>
      <c r="J207" s="3" t="s">
        <v>73</v>
      </c>
      <c r="K207" s="3" t="s">
        <v>133</v>
      </c>
      <c r="L207" s="3" t="s">
        <v>40</v>
      </c>
      <c r="M207" s="3" t="s">
        <v>514</v>
      </c>
      <c r="N207" s="3" t="s">
        <v>915</v>
      </c>
      <c r="O207" s="3" t="s">
        <v>42</v>
      </c>
      <c r="P207" s="42" t="s">
        <v>43</v>
      </c>
      <c r="Q207" s="42">
        <v>25955060.319999997</v>
      </c>
      <c r="R207" s="42" t="s">
        <v>886</v>
      </c>
      <c r="S207" s="2" t="s">
        <v>440</v>
      </c>
    </row>
    <row r="208" spans="3:19" x14ac:dyDescent="0.25">
      <c r="C208" s="3" t="s">
        <v>164</v>
      </c>
      <c r="D208" s="3" t="s">
        <v>165</v>
      </c>
      <c r="E208" s="3" t="s">
        <v>165</v>
      </c>
      <c r="F208" s="4" t="s">
        <v>36</v>
      </c>
      <c r="G208" s="3" t="s">
        <v>37</v>
      </c>
      <c r="H208" s="3" t="s">
        <v>46</v>
      </c>
      <c r="I208" s="3" t="s">
        <v>1046</v>
      </c>
      <c r="J208" s="3" t="s">
        <v>58</v>
      </c>
      <c r="K208" s="3" t="s">
        <v>138</v>
      </c>
      <c r="L208" s="3" t="s">
        <v>40</v>
      </c>
      <c r="M208" s="3">
        <v>0</v>
      </c>
      <c r="N208" s="3" t="s">
        <v>164</v>
      </c>
      <c r="O208" s="3" t="s">
        <v>42</v>
      </c>
      <c r="P208" s="42" t="s">
        <v>43</v>
      </c>
      <c r="Q208" s="42" t="s">
        <v>36</v>
      </c>
      <c r="R208" s="42">
        <v>0</v>
      </c>
      <c r="S208" s="2" t="s">
        <v>43</v>
      </c>
    </row>
    <row r="209" spans="3:19" x14ac:dyDescent="0.25">
      <c r="C209" s="3" t="s">
        <v>166</v>
      </c>
      <c r="D209" s="3" t="s">
        <v>167</v>
      </c>
      <c r="E209" s="3" t="s">
        <v>167</v>
      </c>
      <c r="F209" s="4" t="s">
        <v>36</v>
      </c>
      <c r="G209" s="3" t="s">
        <v>37</v>
      </c>
      <c r="H209" s="3" t="s">
        <v>81</v>
      </c>
      <c r="I209" s="3" t="s">
        <v>1046</v>
      </c>
      <c r="J209" s="3" t="s">
        <v>58</v>
      </c>
      <c r="K209" s="3" t="s">
        <v>59</v>
      </c>
      <c r="L209" s="3" t="s">
        <v>40</v>
      </c>
      <c r="M209" s="3">
        <v>0</v>
      </c>
      <c r="N209" s="3" t="s">
        <v>166</v>
      </c>
      <c r="O209" s="3" t="s">
        <v>42</v>
      </c>
      <c r="P209" s="42" t="s">
        <v>43</v>
      </c>
      <c r="Q209" s="42" t="s">
        <v>36</v>
      </c>
      <c r="R209" s="42">
        <v>0</v>
      </c>
      <c r="S209" s="2" t="s">
        <v>43</v>
      </c>
    </row>
    <row r="210" spans="3:19" x14ac:dyDescent="0.25">
      <c r="C210" s="3" t="s">
        <v>168</v>
      </c>
      <c r="D210" s="3" t="s">
        <v>169</v>
      </c>
      <c r="E210" s="3" t="s">
        <v>170</v>
      </c>
      <c r="F210" s="4" t="s">
        <v>36</v>
      </c>
      <c r="G210" s="3" t="s">
        <v>37</v>
      </c>
      <c r="H210" s="3" t="s">
        <v>46</v>
      </c>
      <c r="I210" s="3" t="s">
        <v>1046</v>
      </c>
      <c r="J210" s="3" t="s">
        <v>160</v>
      </c>
      <c r="K210" s="3" t="s">
        <v>59</v>
      </c>
      <c r="L210" s="3" t="s">
        <v>40</v>
      </c>
      <c r="M210" s="3">
        <v>0</v>
      </c>
      <c r="N210" s="3" t="s">
        <v>168</v>
      </c>
      <c r="O210" s="3" t="s">
        <v>42</v>
      </c>
      <c r="P210" s="42" t="s">
        <v>43</v>
      </c>
      <c r="Q210" s="42" t="s">
        <v>36</v>
      </c>
      <c r="R210" s="42">
        <v>0</v>
      </c>
      <c r="S210" s="2" t="s">
        <v>43</v>
      </c>
    </row>
    <row r="211" spans="3:19" x14ac:dyDescent="0.25">
      <c r="C211" s="3" t="s">
        <v>171</v>
      </c>
      <c r="D211" s="3" t="s">
        <v>172</v>
      </c>
      <c r="E211" s="3" t="s">
        <v>172</v>
      </c>
      <c r="F211" s="4" t="s">
        <v>36</v>
      </c>
      <c r="G211" s="3" t="s">
        <v>37</v>
      </c>
      <c r="H211" s="3" t="s">
        <v>81</v>
      </c>
      <c r="I211" s="3" t="s">
        <v>1046</v>
      </c>
      <c r="J211" s="3" t="s">
        <v>89</v>
      </c>
      <c r="K211" s="3" t="s">
        <v>109</v>
      </c>
      <c r="L211" s="3" t="s">
        <v>91</v>
      </c>
      <c r="M211" s="3">
        <v>0</v>
      </c>
      <c r="N211" s="3" t="s">
        <v>171</v>
      </c>
      <c r="O211" s="3" t="s">
        <v>42</v>
      </c>
      <c r="P211" s="42" t="s">
        <v>43</v>
      </c>
      <c r="Q211" s="42" t="s">
        <v>36</v>
      </c>
      <c r="R211" s="42" t="s">
        <v>772</v>
      </c>
      <c r="S211" s="2" t="s">
        <v>43</v>
      </c>
    </row>
    <row r="212" spans="3:19" x14ac:dyDescent="0.25">
      <c r="C212" s="3" t="s">
        <v>173</v>
      </c>
      <c r="D212" s="3" t="s">
        <v>174</v>
      </c>
      <c r="E212" s="3" t="s">
        <v>174</v>
      </c>
      <c r="F212" s="4" t="s">
        <v>36</v>
      </c>
      <c r="G212" s="3" t="s">
        <v>37</v>
      </c>
      <c r="H212" s="3" t="s">
        <v>46</v>
      </c>
      <c r="I212" s="3" t="s">
        <v>1046</v>
      </c>
      <c r="J212" s="3" t="s">
        <v>73</v>
      </c>
      <c r="K212" s="3" t="s">
        <v>64</v>
      </c>
      <c r="L212" s="3" t="s">
        <v>40</v>
      </c>
      <c r="M212" s="3">
        <v>0</v>
      </c>
      <c r="N212" s="3" t="s">
        <v>173</v>
      </c>
      <c r="O212" s="3" t="s">
        <v>42</v>
      </c>
      <c r="P212" s="42" t="s">
        <v>43</v>
      </c>
      <c r="Q212" s="42" t="s">
        <v>36</v>
      </c>
      <c r="R212" s="42">
        <v>0</v>
      </c>
      <c r="S212" s="2" t="s">
        <v>43</v>
      </c>
    </row>
    <row r="213" spans="3:19" x14ac:dyDescent="0.25">
      <c r="C213" s="3" t="s">
        <v>584</v>
      </c>
      <c r="D213" s="3" t="s">
        <v>585</v>
      </c>
      <c r="E213" s="3" t="s">
        <v>585</v>
      </c>
      <c r="F213" s="4">
        <v>5</v>
      </c>
      <c r="G213" s="3" t="s">
        <v>376</v>
      </c>
      <c r="H213" s="3" t="s">
        <v>46</v>
      </c>
      <c r="I213" s="3" t="s">
        <v>1030</v>
      </c>
      <c r="J213" s="3" t="s">
        <v>331</v>
      </c>
      <c r="K213" s="3" t="s">
        <v>138</v>
      </c>
      <c r="L213" s="3" t="s">
        <v>40</v>
      </c>
      <c r="M213" s="3" t="s">
        <v>984</v>
      </c>
      <c r="N213" s="3" t="s">
        <v>584</v>
      </c>
      <c r="O213" s="3" t="s">
        <v>42</v>
      </c>
      <c r="P213" s="42" t="s">
        <v>43</v>
      </c>
      <c r="Q213" s="42">
        <v>38849485.619999997</v>
      </c>
      <c r="R213" s="42" t="s">
        <v>557</v>
      </c>
      <c r="S213" s="2" t="s">
        <v>43</v>
      </c>
    </row>
    <row r="214" spans="3:19" x14ac:dyDescent="0.25">
      <c r="C214" s="3" t="s">
        <v>917</v>
      </c>
      <c r="D214" s="3" t="s">
        <v>918</v>
      </c>
      <c r="E214" s="3" t="s">
        <v>918</v>
      </c>
      <c r="F214" s="4">
        <v>5</v>
      </c>
      <c r="G214" s="3" t="s">
        <v>376</v>
      </c>
      <c r="H214" s="3" t="s">
        <v>46</v>
      </c>
      <c r="I214" s="3" t="s">
        <v>1030</v>
      </c>
      <c r="J214" s="3" t="s">
        <v>73</v>
      </c>
      <c r="K214" s="3" t="s">
        <v>605</v>
      </c>
      <c r="L214" s="3" t="s">
        <v>40</v>
      </c>
      <c r="M214" s="3" t="s">
        <v>514</v>
      </c>
      <c r="N214" s="3" t="s">
        <v>917</v>
      </c>
      <c r="O214" s="3" t="s">
        <v>42</v>
      </c>
      <c r="P214" s="42" t="s">
        <v>43</v>
      </c>
      <c r="Q214" s="42">
        <v>35654340.719999999</v>
      </c>
      <c r="R214" s="42" t="s">
        <v>886</v>
      </c>
      <c r="S214" s="2" t="s">
        <v>43</v>
      </c>
    </row>
    <row r="215" spans="3:19" x14ac:dyDescent="0.25">
      <c r="C215" s="3" t="s">
        <v>877</v>
      </c>
      <c r="D215" s="3" t="s">
        <v>878</v>
      </c>
      <c r="E215" s="3" t="s">
        <v>878</v>
      </c>
      <c r="F215" s="4">
        <v>5</v>
      </c>
      <c r="G215" s="3" t="s">
        <v>376</v>
      </c>
      <c r="H215" s="3" t="s">
        <v>81</v>
      </c>
      <c r="I215" s="3" t="s">
        <v>1030</v>
      </c>
      <c r="J215" s="3" t="s">
        <v>132</v>
      </c>
      <c r="K215" s="3" t="s">
        <v>856</v>
      </c>
      <c r="L215" s="3" t="s">
        <v>40</v>
      </c>
      <c r="M215" s="3" t="s">
        <v>1035</v>
      </c>
      <c r="N215" s="3" t="s">
        <v>877</v>
      </c>
      <c r="O215" s="3" t="s">
        <v>42</v>
      </c>
      <c r="P215" s="42" t="s">
        <v>43</v>
      </c>
      <c r="Q215" s="42">
        <v>35730041.729350008</v>
      </c>
      <c r="R215" s="42" t="s">
        <v>847</v>
      </c>
      <c r="S215" s="2" t="s">
        <v>440</v>
      </c>
    </row>
    <row r="216" spans="3:19" x14ac:dyDescent="0.25">
      <c r="C216" s="3" t="s">
        <v>586</v>
      </c>
      <c r="D216" s="3" t="s">
        <v>587</v>
      </c>
      <c r="E216" s="3" t="s">
        <v>587</v>
      </c>
      <c r="F216" s="4">
        <v>5</v>
      </c>
      <c r="G216" s="3" t="s">
        <v>376</v>
      </c>
      <c r="H216" s="3" t="s">
        <v>46</v>
      </c>
      <c r="I216" s="3" t="s">
        <v>1030</v>
      </c>
      <c r="J216" s="3" t="s">
        <v>331</v>
      </c>
      <c r="K216" s="3" t="s">
        <v>138</v>
      </c>
      <c r="L216" s="3" t="s">
        <v>40</v>
      </c>
      <c r="M216" s="3" t="s">
        <v>984</v>
      </c>
      <c r="N216" s="3" t="s">
        <v>586</v>
      </c>
      <c r="O216" s="3" t="s">
        <v>42</v>
      </c>
      <c r="P216" s="42" t="s">
        <v>43</v>
      </c>
      <c r="Q216" s="42">
        <v>56459501.039999999</v>
      </c>
      <c r="R216" s="42" t="s">
        <v>557</v>
      </c>
      <c r="S216" s="2" t="s">
        <v>43</v>
      </c>
    </row>
    <row r="217" spans="3:19" x14ac:dyDescent="0.25">
      <c r="C217" s="3" t="s">
        <v>175</v>
      </c>
      <c r="D217" s="3" t="s">
        <v>176</v>
      </c>
      <c r="E217" s="3" t="s">
        <v>176</v>
      </c>
      <c r="F217" s="4" t="s">
        <v>36</v>
      </c>
      <c r="G217" s="3" t="s">
        <v>37</v>
      </c>
      <c r="H217" s="3" t="s">
        <v>46</v>
      </c>
      <c r="I217" s="3" t="s">
        <v>1046</v>
      </c>
      <c r="J217" s="3" t="s">
        <v>132</v>
      </c>
      <c r="K217" s="3" t="s">
        <v>64</v>
      </c>
      <c r="L217" s="3" t="s">
        <v>40</v>
      </c>
      <c r="M217" s="3">
        <v>0</v>
      </c>
      <c r="N217" s="3" t="s">
        <v>175</v>
      </c>
      <c r="O217" s="3" t="s">
        <v>42</v>
      </c>
      <c r="P217" s="42" t="s">
        <v>43</v>
      </c>
      <c r="Q217" s="42" t="s">
        <v>36</v>
      </c>
      <c r="R217" s="42">
        <v>0</v>
      </c>
      <c r="S217" s="2" t="s">
        <v>43</v>
      </c>
    </row>
    <row r="218" spans="3:19" x14ac:dyDescent="0.25">
      <c r="C218" s="3" t="s">
        <v>177</v>
      </c>
      <c r="D218" s="3" t="s">
        <v>178</v>
      </c>
      <c r="E218" s="3" t="s">
        <v>178</v>
      </c>
      <c r="F218" s="4" t="s">
        <v>36</v>
      </c>
      <c r="G218" s="3" t="s">
        <v>37</v>
      </c>
      <c r="H218" s="3" t="s">
        <v>81</v>
      </c>
      <c r="I218" s="3" t="s">
        <v>1046</v>
      </c>
      <c r="J218" s="3" t="s">
        <v>84</v>
      </c>
      <c r="K218" s="3" t="s">
        <v>179</v>
      </c>
      <c r="L218" s="3" t="s">
        <v>55</v>
      </c>
      <c r="M218" s="3">
        <v>0</v>
      </c>
      <c r="N218" s="3" t="s">
        <v>177</v>
      </c>
      <c r="O218" s="3" t="s">
        <v>42</v>
      </c>
      <c r="P218" s="42" t="s">
        <v>43</v>
      </c>
      <c r="Q218" s="42" t="s">
        <v>36</v>
      </c>
      <c r="R218" s="42">
        <v>0</v>
      </c>
      <c r="S218" s="2" t="s">
        <v>43</v>
      </c>
    </row>
    <row r="219" spans="3:19" x14ac:dyDescent="0.25">
      <c r="C219" s="3" t="s">
        <v>180</v>
      </c>
      <c r="D219" s="3" t="s">
        <v>181</v>
      </c>
      <c r="E219" s="3" t="s">
        <v>181</v>
      </c>
      <c r="F219" s="4" t="s">
        <v>36</v>
      </c>
      <c r="G219" s="3" t="s">
        <v>37</v>
      </c>
      <c r="H219" s="3" t="s">
        <v>81</v>
      </c>
      <c r="I219" s="3" t="s">
        <v>1046</v>
      </c>
      <c r="J219" s="3" t="s">
        <v>84</v>
      </c>
      <c r="K219" s="3" t="s">
        <v>182</v>
      </c>
      <c r="L219" s="3" t="s">
        <v>55</v>
      </c>
      <c r="M219" s="3">
        <v>0</v>
      </c>
      <c r="N219" s="3" t="s">
        <v>180</v>
      </c>
      <c r="O219" s="3" t="s">
        <v>42</v>
      </c>
      <c r="P219" s="42" t="s">
        <v>43</v>
      </c>
      <c r="Q219" s="42" t="s">
        <v>36</v>
      </c>
      <c r="R219" s="42">
        <v>0</v>
      </c>
      <c r="S219" s="2" t="s">
        <v>43</v>
      </c>
    </row>
    <row r="220" spans="3:19" x14ac:dyDescent="0.25">
      <c r="C220" s="3" t="s">
        <v>588</v>
      </c>
      <c r="D220" s="3" t="s">
        <v>589</v>
      </c>
      <c r="E220" s="3" t="s">
        <v>589</v>
      </c>
      <c r="F220" s="4">
        <v>5</v>
      </c>
      <c r="G220" s="3" t="s">
        <v>376</v>
      </c>
      <c r="H220" s="3" t="s">
        <v>46</v>
      </c>
      <c r="I220" s="3" t="s">
        <v>1030</v>
      </c>
      <c r="J220" s="3" t="s">
        <v>331</v>
      </c>
      <c r="K220" s="3" t="s">
        <v>138</v>
      </c>
      <c r="L220" s="3" t="s">
        <v>40</v>
      </c>
      <c r="M220" s="3" t="s">
        <v>984</v>
      </c>
      <c r="N220" s="3" t="s">
        <v>588</v>
      </c>
      <c r="O220" s="3" t="s">
        <v>42</v>
      </c>
      <c r="P220" s="42" t="s">
        <v>43</v>
      </c>
      <c r="Q220" s="42">
        <v>49099452.359999999</v>
      </c>
      <c r="R220" s="42" t="s">
        <v>557</v>
      </c>
      <c r="S220" s="2" t="s">
        <v>43</v>
      </c>
    </row>
    <row r="221" spans="3:19" x14ac:dyDescent="0.25">
      <c r="C221" s="3" t="s">
        <v>183</v>
      </c>
      <c r="D221" s="3" t="s">
        <v>184</v>
      </c>
      <c r="E221" s="3" t="s">
        <v>184</v>
      </c>
      <c r="F221" s="4" t="s">
        <v>36</v>
      </c>
      <c r="G221" s="3" t="s">
        <v>37</v>
      </c>
      <c r="H221" s="3" t="s">
        <v>81</v>
      </c>
      <c r="I221" s="3" t="s">
        <v>1046</v>
      </c>
      <c r="J221" s="3">
        <v>0</v>
      </c>
      <c r="K221" s="3" t="s">
        <v>64</v>
      </c>
      <c r="L221" s="3" t="s">
        <v>40</v>
      </c>
      <c r="M221" s="3">
        <v>0</v>
      </c>
      <c r="N221" s="3" t="s">
        <v>183</v>
      </c>
      <c r="O221" s="3" t="s">
        <v>42</v>
      </c>
      <c r="P221" s="42" t="s">
        <v>43</v>
      </c>
      <c r="Q221" s="42" t="s">
        <v>36</v>
      </c>
      <c r="R221" s="42">
        <v>0</v>
      </c>
      <c r="S221" s="2" t="s">
        <v>43</v>
      </c>
    </row>
    <row r="222" spans="3:19" x14ac:dyDescent="0.25">
      <c r="C222" s="3" t="s">
        <v>185</v>
      </c>
      <c r="D222" s="3" t="s">
        <v>186</v>
      </c>
      <c r="E222" s="3" t="s">
        <v>186</v>
      </c>
      <c r="F222" s="4" t="s">
        <v>36</v>
      </c>
      <c r="G222" s="3" t="s">
        <v>37</v>
      </c>
      <c r="H222" s="3" t="s">
        <v>46</v>
      </c>
      <c r="I222" s="3" t="s">
        <v>1046</v>
      </c>
      <c r="J222" s="3" t="s">
        <v>94</v>
      </c>
      <c r="K222" s="3" t="s">
        <v>64</v>
      </c>
      <c r="L222" s="3" t="s">
        <v>40</v>
      </c>
      <c r="M222" s="3">
        <v>0</v>
      </c>
      <c r="N222" s="3" t="s">
        <v>185</v>
      </c>
      <c r="O222" s="3" t="s">
        <v>42</v>
      </c>
      <c r="P222" s="42" t="s">
        <v>43</v>
      </c>
      <c r="Q222" s="42" t="s">
        <v>36</v>
      </c>
      <c r="R222" s="42">
        <v>0</v>
      </c>
      <c r="S222" s="2" t="s">
        <v>43</v>
      </c>
    </row>
    <row r="223" spans="3:19" x14ac:dyDescent="0.25">
      <c r="C223" s="3" t="s">
        <v>445</v>
      </c>
      <c r="D223" s="3" t="s">
        <v>446</v>
      </c>
      <c r="E223" s="3" t="s">
        <v>446</v>
      </c>
      <c r="F223" s="4">
        <v>5</v>
      </c>
      <c r="G223" s="3" t="s">
        <v>376</v>
      </c>
      <c r="H223" s="3" t="s">
        <v>46</v>
      </c>
      <c r="I223" s="3" t="s">
        <v>1030</v>
      </c>
      <c r="J223" s="3" t="s">
        <v>94</v>
      </c>
      <c r="K223" s="3" t="s">
        <v>64</v>
      </c>
      <c r="L223" s="3" t="s">
        <v>40</v>
      </c>
      <c r="M223" s="3" t="s">
        <v>1035</v>
      </c>
      <c r="N223" s="3" t="s">
        <v>445</v>
      </c>
      <c r="O223" s="3" t="s">
        <v>42</v>
      </c>
      <c r="P223" s="42" t="s">
        <v>43</v>
      </c>
      <c r="Q223" s="42">
        <v>30943609.440000001</v>
      </c>
      <c r="R223" s="42" t="s">
        <v>423</v>
      </c>
      <c r="S223" s="2" t="s">
        <v>43</v>
      </c>
    </row>
    <row r="224" spans="3:19" x14ac:dyDescent="0.25">
      <c r="C224" s="3" t="s">
        <v>817</v>
      </c>
      <c r="D224" s="3" t="s">
        <v>818</v>
      </c>
      <c r="E224" s="3" t="s">
        <v>818</v>
      </c>
      <c r="F224" s="4">
        <v>5</v>
      </c>
      <c r="G224" s="3" t="s">
        <v>376</v>
      </c>
      <c r="H224" s="3" t="s">
        <v>46</v>
      </c>
      <c r="I224" s="3" t="s">
        <v>1030</v>
      </c>
      <c r="J224" s="3" t="s">
        <v>146</v>
      </c>
      <c r="K224" s="3" t="s">
        <v>59</v>
      </c>
      <c r="L224" s="3" t="s">
        <v>40</v>
      </c>
      <c r="M224" s="3" t="s">
        <v>1035</v>
      </c>
      <c r="N224" s="3" t="s">
        <v>817</v>
      </c>
      <c r="O224" s="3" t="s">
        <v>42</v>
      </c>
      <c r="P224" s="42" t="s">
        <v>43</v>
      </c>
      <c r="Q224" s="42">
        <v>41841753.539999999</v>
      </c>
      <c r="R224" s="42" t="s">
        <v>799</v>
      </c>
      <c r="S224" s="2" t="s">
        <v>43</v>
      </c>
    </row>
    <row r="225" spans="3:19" x14ac:dyDescent="0.25">
      <c r="C225" s="3" t="s">
        <v>187</v>
      </c>
      <c r="D225" s="3" t="s">
        <v>188</v>
      </c>
      <c r="E225" s="3" t="s">
        <v>188</v>
      </c>
      <c r="F225" s="4" t="s">
        <v>36</v>
      </c>
      <c r="G225" s="3" t="s">
        <v>37</v>
      </c>
      <c r="H225" s="3" t="s">
        <v>81</v>
      </c>
      <c r="I225" s="3" t="s">
        <v>1046</v>
      </c>
      <c r="J225" s="3" t="s">
        <v>160</v>
      </c>
      <c r="K225" s="3" t="s">
        <v>64</v>
      </c>
      <c r="L225" s="3" t="s">
        <v>40</v>
      </c>
      <c r="M225" s="3">
        <v>0</v>
      </c>
      <c r="N225" s="3" t="s">
        <v>187</v>
      </c>
      <c r="O225" s="3" t="s">
        <v>42</v>
      </c>
      <c r="P225" s="42" t="s">
        <v>43</v>
      </c>
      <c r="Q225" s="42" t="s">
        <v>36</v>
      </c>
      <c r="R225" s="42">
        <v>0</v>
      </c>
      <c r="S225" s="2" t="s">
        <v>43</v>
      </c>
    </row>
    <row r="226" spans="3:19" x14ac:dyDescent="0.25">
      <c r="C226" s="3" t="s">
        <v>189</v>
      </c>
      <c r="D226" s="3" t="s">
        <v>190</v>
      </c>
      <c r="E226" s="3" t="s">
        <v>190</v>
      </c>
      <c r="F226" s="4" t="s">
        <v>36</v>
      </c>
      <c r="G226" s="3" t="s">
        <v>37</v>
      </c>
      <c r="H226" s="3" t="s">
        <v>81</v>
      </c>
      <c r="I226" s="3" t="s">
        <v>1046</v>
      </c>
      <c r="J226" s="3" t="s">
        <v>73</v>
      </c>
      <c r="K226" s="3" t="s">
        <v>64</v>
      </c>
      <c r="L226" s="3" t="s">
        <v>40</v>
      </c>
      <c r="M226" s="3">
        <v>0</v>
      </c>
      <c r="N226" s="3" t="s">
        <v>189</v>
      </c>
      <c r="O226" s="3" t="s">
        <v>42</v>
      </c>
      <c r="P226" s="42" t="s">
        <v>43</v>
      </c>
      <c r="Q226" s="42" t="s">
        <v>36</v>
      </c>
      <c r="R226" s="42">
        <v>0</v>
      </c>
      <c r="S226" s="2" t="s">
        <v>43</v>
      </c>
    </row>
    <row r="227" spans="3:19" x14ac:dyDescent="0.25">
      <c r="C227" s="3" t="s">
        <v>602</v>
      </c>
      <c r="D227" s="3" t="s">
        <v>603</v>
      </c>
      <c r="E227" s="3" t="s">
        <v>604</v>
      </c>
      <c r="F227" s="4">
        <v>5</v>
      </c>
      <c r="G227" s="3" t="s">
        <v>376</v>
      </c>
      <c r="H227" s="3" t="s">
        <v>81</v>
      </c>
      <c r="I227" s="3" t="s">
        <v>1030</v>
      </c>
      <c r="J227" s="3" t="s">
        <v>50</v>
      </c>
      <c r="K227" s="3" t="s">
        <v>605</v>
      </c>
      <c r="L227" s="3" t="s">
        <v>40</v>
      </c>
      <c r="M227" s="3" t="s">
        <v>514</v>
      </c>
      <c r="N227" s="3" t="s">
        <v>602</v>
      </c>
      <c r="O227" s="3" t="s">
        <v>42</v>
      </c>
      <c r="P227" s="42" t="s">
        <v>43</v>
      </c>
      <c r="Q227" s="42">
        <v>60684432.269999996</v>
      </c>
      <c r="R227" s="42" t="s">
        <v>597</v>
      </c>
      <c r="S227" s="2" t="s">
        <v>440</v>
      </c>
    </row>
    <row r="228" spans="3:19" x14ac:dyDescent="0.25">
      <c r="C228" s="3" t="s">
        <v>191</v>
      </c>
      <c r="D228" s="3" t="s">
        <v>192</v>
      </c>
      <c r="E228" s="3" t="s">
        <v>193</v>
      </c>
      <c r="F228" s="4" t="s">
        <v>36</v>
      </c>
      <c r="G228" s="3" t="s">
        <v>37</v>
      </c>
      <c r="H228" s="3" t="s">
        <v>81</v>
      </c>
      <c r="I228" s="3" t="s">
        <v>1046</v>
      </c>
      <c r="J228" s="3" t="s">
        <v>94</v>
      </c>
      <c r="K228" s="3" t="s">
        <v>64</v>
      </c>
      <c r="L228" s="3" t="s">
        <v>40</v>
      </c>
      <c r="M228" s="3">
        <v>0</v>
      </c>
      <c r="N228" s="3" t="s">
        <v>191</v>
      </c>
      <c r="O228" s="3" t="s">
        <v>42</v>
      </c>
      <c r="P228" s="42" t="s">
        <v>43</v>
      </c>
      <c r="Q228" s="42" t="s">
        <v>36</v>
      </c>
      <c r="R228" s="42">
        <v>0</v>
      </c>
      <c r="S228" s="2" t="s">
        <v>43</v>
      </c>
    </row>
    <row r="229" spans="3:19" x14ac:dyDescent="0.25">
      <c r="C229" s="3" t="s">
        <v>194</v>
      </c>
      <c r="D229" s="3" t="s">
        <v>195</v>
      </c>
      <c r="E229" s="3" t="s">
        <v>196</v>
      </c>
      <c r="F229" s="4" t="s">
        <v>36</v>
      </c>
      <c r="G229" s="3" t="s">
        <v>37</v>
      </c>
      <c r="H229" s="3" t="s">
        <v>88</v>
      </c>
      <c r="I229" s="3" t="s">
        <v>1046</v>
      </c>
      <c r="J229" s="3" t="s">
        <v>84</v>
      </c>
      <c r="K229" s="3" t="s">
        <v>85</v>
      </c>
      <c r="L229" s="3" t="s">
        <v>55</v>
      </c>
      <c r="M229" s="3">
        <v>0</v>
      </c>
      <c r="N229" s="3" t="s">
        <v>194</v>
      </c>
      <c r="O229" s="3" t="s">
        <v>42</v>
      </c>
      <c r="P229" s="42" t="s">
        <v>43</v>
      </c>
      <c r="Q229" s="42" t="s">
        <v>36</v>
      </c>
      <c r="R229" s="42">
        <v>0</v>
      </c>
      <c r="S229" s="2" t="s">
        <v>43</v>
      </c>
    </row>
    <row r="230" spans="3:19" x14ac:dyDescent="0.25">
      <c r="C230" s="3" t="s">
        <v>719</v>
      </c>
      <c r="D230" s="3" t="s">
        <v>720</v>
      </c>
      <c r="E230" s="3" t="s">
        <v>721</v>
      </c>
      <c r="F230" s="4">
        <v>5</v>
      </c>
      <c r="G230" s="3" t="s">
        <v>376</v>
      </c>
      <c r="H230" s="3" t="s">
        <v>81</v>
      </c>
      <c r="I230" s="3" t="s">
        <v>1031</v>
      </c>
      <c r="J230" s="3" t="s">
        <v>84</v>
      </c>
      <c r="K230" s="3" t="s">
        <v>722</v>
      </c>
      <c r="L230" s="3" t="s">
        <v>55</v>
      </c>
      <c r="M230" s="3" t="s">
        <v>378</v>
      </c>
      <c r="N230" s="3" t="s">
        <v>719</v>
      </c>
      <c r="O230" s="3" t="s">
        <v>42</v>
      </c>
      <c r="P230" s="42" t="s">
        <v>43</v>
      </c>
      <c r="Q230" s="42">
        <v>35058769.859999999</v>
      </c>
      <c r="R230" s="42" t="s">
        <v>702</v>
      </c>
      <c r="S230" s="2" t="s">
        <v>43</v>
      </c>
    </row>
    <row r="231" spans="3:19" x14ac:dyDescent="0.25">
      <c r="C231" s="3" t="s">
        <v>197</v>
      </c>
      <c r="D231" s="3" t="s">
        <v>198</v>
      </c>
      <c r="E231" s="3" t="s">
        <v>198</v>
      </c>
      <c r="F231" s="4" t="s">
        <v>36</v>
      </c>
      <c r="G231" s="3" t="s">
        <v>37</v>
      </c>
      <c r="H231" s="3" t="s">
        <v>46</v>
      </c>
      <c r="I231" s="3" t="s">
        <v>1046</v>
      </c>
      <c r="J231" s="3" t="s">
        <v>63</v>
      </c>
      <c r="K231" s="3" t="s">
        <v>138</v>
      </c>
      <c r="L231" s="3" t="s">
        <v>40</v>
      </c>
      <c r="M231" s="3">
        <v>0</v>
      </c>
      <c r="N231" s="3" t="s">
        <v>197</v>
      </c>
      <c r="O231" s="3" t="s">
        <v>42</v>
      </c>
      <c r="P231" s="42" t="s">
        <v>43</v>
      </c>
      <c r="Q231" s="42" t="s">
        <v>36</v>
      </c>
      <c r="R231" s="42">
        <v>0</v>
      </c>
      <c r="S231" s="2" t="s">
        <v>43</v>
      </c>
    </row>
    <row r="232" spans="3:19" x14ac:dyDescent="0.25">
      <c r="C232" s="3" t="s">
        <v>199</v>
      </c>
      <c r="D232" s="3" t="s">
        <v>200</v>
      </c>
      <c r="E232" s="3" t="s">
        <v>201</v>
      </c>
      <c r="F232" s="4" t="s">
        <v>36</v>
      </c>
      <c r="G232" s="3" t="s">
        <v>37</v>
      </c>
      <c r="H232" s="3" t="s">
        <v>202</v>
      </c>
      <c r="I232" s="3" t="s">
        <v>1046</v>
      </c>
      <c r="J232" s="3">
        <v>0</v>
      </c>
      <c r="K232" s="3" t="s">
        <v>59</v>
      </c>
      <c r="L232" s="3" t="s">
        <v>40</v>
      </c>
      <c r="M232" s="3">
        <v>0</v>
      </c>
      <c r="N232" s="3" t="s">
        <v>199</v>
      </c>
      <c r="O232" s="3" t="s">
        <v>42</v>
      </c>
      <c r="P232" s="42" t="s">
        <v>43</v>
      </c>
      <c r="Q232" s="42" t="s">
        <v>36</v>
      </c>
      <c r="R232" s="42">
        <v>0</v>
      </c>
      <c r="S232" s="2" t="s">
        <v>43</v>
      </c>
    </row>
    <row r="233" spans="3:19" x14ac:dyDescent="0.25">
      <c r="C233" s="3" t="s">
        <v>723</v>
      </c>
      <c r="D233" s="3" t="s">
        <v>724</v>
      </c>
      <c r="E233" s="3" t="s">
        <v>725</v>
      </c>
      <c r="F233" s="4">
        <v>5</v>
      </c>
      <c r="G233" s="3" t="s">
        <v>376</v>
      </c>
      <c r="H233" s="3" t="s">
        <v>46</v>
      </c>
      <c r="I233" s="3" t="s">
        <v>1031</v>
      </c>
      <c r="J233" s="3" t="s">
        <v>84</v>
      </c>
      <c r="K233" s="3" t="s">
        <v>54</v>
      </c>
      <c r="L233" s="3" t="s">
        <v>55</v>
      </c>
      <c r="M233" s="3" t="s">
        <v>378</v>
      </c>
      <c r="N233" s="3" t="s">
        <v>723</v>
      </c>
      <c r="O233" s="3" t="s">
        <v>42</v>
      </c>
      <c r="P233" s="42" t="s">
        <v>440</v>
      </c>
      <c r="Q233" s="42">
        <v>32665288.859999999</v>
      </c>
      <c r="R233" s="42" t="s">
        <v>702</v>
      </c>
      <c r="S233" s="2" t="s">
        <v>43</v>
      </c>
    </row>
    <row r="234" spans="3:19" x14ac:dyDescent="0.25">
      <c r="C234" s="3" t="s">
        <v>819</v>
      </c>
      <c r="D234" s="3" t="s">
        <v>820</v>
      </c>
      <c r="E234" s="3" t="s">
        <v>820</v>
      </c>
      <c r="F234" s="4">
        <v>6</v>
      </c>
      <c r="G234" s="3" t="s">
        <v>376</v>
      </c>
      <c r="H234" s="3" t="s">
        <v>46</v>
      </c>
      <c r="I234" s="3" t="s">
        <v>1030</v>
      </c>
      <c r="J234" s="3" t="s">
        <v>146</v>
      </c>
      <c r="K234" s="3" t="s">
        <v>59</v>
      </c>
      <c r="L234" s="3" t="s">
        <v>40</v>
      </c>
      <c r="M234" s="3" t="s">
        <v>1035</v>
      </c>
      <c r="N234" s="3" t="s">
        <v>819</v>
      </c>
      <c r="O234" s="3" t="s">
        <v>42</v>
      </c>
      <c r="P234" s="42" t="s">
        <v>43</v>
      </c>
      <c r="Q234" s="42">
        <v>54858678.384999998</v>
      </c>
      <c r="R234" s="42" t="s">
        <v>799</v>
      </c>
      <c r="S234" s="2" t="s">
        <v>43</v>
      </c>
    </row>
    <row r="235" spans="3:19" x14ac:dyDescent="0.25">
      <c r="C235" s="3" t="s">
        <v>821</v>
      </c>
      <c r="D235" s="3" t="s">
        <v>822</v>
      </c>
      <c r="E235" s="3" t="s">
        <v>822</v>
      </c>
      <c r="F235" s="4">
        <v>5</v>
      </c>
      <c r="G235" s="3" t="s">
        <v>376</v>
      </c>
      <c r="H235" s="3" t="s">
        <v>46</v>
      </c>
      <c r="I235" s="3" t="s">
        <v>1030</v>
      </c>
      <c r="J235" s="3" t="s">
        <v>146</v>
      </c>
      <c r="K235" s="3" t="s">
        <v>59</v>
      </c>
      <c r="L235" s="3" t="s">
        <v>40</v>
      </c>
      <c r="M235" s="3" t="s">
        <v>1035</v>
      </c>
      <c r="N235" s="3" t="s">
        <v>821</v>
      </c>
      <c r="O235" s="3" t="s">
        <v>42</v>
      </c>
      <c r="P235" s="42" t="s">
        <v>43</v>
      </c>
      <c r="Q235" s="42">
        <v>47729499.054999992</v>
      </c>
      <c r="R235" s="42" t="s">
        <v>799</v>
      </c>
      <c r="S235" s="2" t="s">
        <v>43</v>
      </c>
    </row>
    <row r="236" spans="3:19" x14ac:dyDescent="0.25">
      <c r="C236" s="3" t="s">
        <v>203</v>
      </c>
      <c r="D236" s="3" t="s">
        <v>204</v>
      </c>
      <c r="E236" s="3" t="s">
        <v>204</v>
      </c>
      <c r="F236" s="4" t="s">
        <v>36</v>
      </c>
      <c r="G236" s="3" t="s">
        <v>37</v>
      </c>
      <c r="H236" s="3" t="s">
        <v>46</v>
      </c>
      <c r="I236" s="3" t="s">
        <v>1046</v>
      </c>
      <c r="J236" s="3">
        <v>0</v>
      </c>
      <c r="K236" s="3" t="s">
        <v>205</v>
      </c>
      <c r="L236" s="3" t="s">
        <v>40</v>
      </c>
      <c r="M236" s="3">
        <v>0</v>
      </c>
      <c r="N236" s="3" t="s">
        <v>203</v>
      </c>
      <c r="O236" s="3" t="s">
        <v>42</v>
      </c>
      <c r="P236" s="42" t="s">
        <v>43</v>
      </c>
      <c r="Q236" s="42" t="s">
        <v>36</v>
      </c>
      <c r="R236" s="42">
        <v>0</v>
      </c>
      <c r="S236" s="2" t="s">
        <v>43</v>
      </c>
    </row>
    <row r="237" spans="3:19" x14ac:dyDescent="0.25">
      <c r="C237" s="3" t="s">
        <v>206</v>
      </c>
      <c r="D237" s="3" t="s">
        <v>207</v>
      </c>
      <c r="E237" s="3" t="s">
        <v>207</v>
      </c>
      <c r="F237" s="4" t="s">
        <v>36</v>
      </c>
      <c r="G237" s="3" t="s">
        <v>37</v>
      </c>
      <c r="H237" s="3" t="s">
        <v>46</v>
      </c>
      <c r="I237" s="3" t="s">
        <v>1046</v>
      </c>
      <c r="J237" s="3" t="s">
        <v>58</v>
      </c>
      <c r="K237" s="3" t="s">
        <v>64</v>
      </c>
      <c r="L237" s="3" t="s">
        <v>40</v>
      </c>
      <c r="M237" s="3">
        <v>0</v>
      </c>
      <c r="N237" s="3" t="s">
        <v>206</v>
      </c>
      <c r="O237" s="3" t="s">
        <v>42</v>
      </c>
      <c r="P237" s="42" t="s">
        <v>43</v>
      </c>
      <c r="Q237" s="42" t="s">
        <v>36</v>
      </c>
      <c r="R237" s="42">
        <v>0</v>
      </c>
      <c r="S237" s="2" t="s">
        <v>43</v>
      </c>
    </row>
    <row r="238" spans="3:19" x14ac:dyDescent="0.25">
      <c r="C238" s="3" t="s">
        <v>758</v>
      </c>
      <c r="D238" s="3" t="s">
        <v>759</v>
      </c>
      <c r="E238" s="3" t="s">
        <v>760</v>
      </c>
      <c r="F238" s="4">
        <v>5</v>
      </c>
      <c r="G238" s="3" t="s">
        <v>376</v>
      </c>
      <c r="H238" s="3" t="s">
        <v>81</v>
      </c>
      <c r="I238" s="3" t="s">
        <v>1031</v>
      </c>
      <c r="J238" s="3" t="s">
        <v>84</v>
      </c>
      <c r="K238" s="3" t="s">
        <v>54</v>
      </c>
      <c r="L238" s="3" t="s">
        <v>55</v>
      </c>
      <c r="M238" s="3" t="s">
        <v>378</v>
      </c>
      <c r="N238" s="3" t="s">
        <v>758</v>
      </c>
      <c r="O238" s="3" t="s">
        <v>379</v>
      </c>
      <c r="P238" s="42" t="s">
        <v>43</v>
      </c>
      <c r="Q238" s="42">
        <v>38556359.670359999</v>
      </c>
      <c r="R238" s="42" t="s">
        <v>741</v>
      </c>
      <c r="S238" s="2" t="s">
        <v>440</v>
      </c>
    </row>
    <row r="239" spans="3:19" x14ac:dyDescent="0.25">
      <c r="C239" s="3" t="s">
        <v>208</v>
      </c>
      <c r="D239" s="3" t="s">
        <v>209</v>
      </c>
      <c r="E239" s="3" t="s">
        <v>209</v>
      </c>
      <c r="F239" s="4" t="s">
        <v>36</v>
      </c>
      <c r="G239" s="3" t="s">
        <v>37</v>
      </c>
      <c r="H239" s="3" t="s">
        <v>81</v>
      </c>
      <c r="I239" s="3" t="s">
        <v>1046</v>
      </c>
      <c r="J239" s="3">
        <v>0</v>
      </c>
      <c r="K239" s="3" t="s">
        <v>78</v>
      </c>
      <c r="L239" s="3" t="s">
        <v>40</v>
      </c>
      <c r="M239" s="3">
        <v>0</v>
      </c>
      <c r="N239" s="3" t="s">
        <v>208</v>
      </c>
      <c r="O239" s="3" t="s">
        <v>42</v>
      </c>
      <c r="P239" s="42" t="s">
        <v>43</v>
      </c>
      <c r="Q239" s="42" t="s">
        <v>36</v>
      </c>
      <c r="R239" s="42">
        <v>0</v>
      </c>
      <c r="S239" s="2" t="s">
        <v>43</v>
      </c>
    </row>
    <row r="240" spans="3:19" x14ac:dyDescent="0.25">
      <c r="C240" s="3" t="s">
        <v>606</v>
      </c>
      <c r="D240" s="3" t="s">
        <v>607</v>
      </c>
      <c r="E240" s="3" t="s">
        <v>608</v>
      </c>
      <c r="F240" s="4">
        <v>5</v>
      </c>
      <c r="G240" s="3" t="s">
        <v>376</v>
      </c>
      <c r="H240" s="3" t="s">
        <v>46</v>
      </c>
      <c r="I240" s="3" t="s">
        <v>1030</v>
      </c>
      <c r="J240" s="3" t="s">
        <v>50</v>
      </c>
      <c r="K240" s="3" t="s">
        <v>609</v>
      </c>
      <c r="L240" s="3" t="s">
        <v>40</v>
      </c>
      <c r="M240" s="3" t="s">
        <v>514</v>
      </c>
      <c r="N240" s="3" t="s">
        <v>606</v>
      </c>
      <c r="O240" s="3" t="s">
        <v>42</v>
      </c>
      <c r="P240" s="42" t="s">
        <v>43</v>
      </c>
      <c r="Q240" s="42">
        <v>37207087.434999995</v>
      </c>
      <c r="R240" s="42" t="s">
        <v>597</v>
      </c>
      <c r="S240" s="2" t="s">
        <v>43</v>
      </c>
    </row>
    <row r="241" spans="3:19" x14ac:dyDescent="0.25">
      <c r="C241" s="3" t="s">
        <v>210</v>
      </c>
      <c r="D241" s="3" t="s">
        <v>211</v>
      </c>
      <c r="E241" s="3" t="s">
        <v>212</v>
      </c>
      <c r="F241" s="4" t="s">
        <v>36</v>
      </c>
      <c r="G241" s="3" t="s">
        <v>37</v>
      </c>
      <c r="H241" s="3" t="s">
        <v>46</v>
      </c>
      <c r="I241" s="3" t="s">
        <v>1046</v>
      </c>
      <c r="J241" s="3">
        <v>0</v>
      </c>
      <c r="K241" s="3" t="s">
        <v>59</v>
      </c>
      <c r="L241" s="3" t="s">
        <v>40</v>
      </c>
      <c r="M241" s="3">
        <v>0</v>
      </c>
      <c r="N241" s="3" t="s">
        <v>210</v>
      </c>
      <c r="O241" s="3" t="s">
        <v>42</v>
      </c>
      <c r="P241" s="42" t="s">
        <v>43</v>
      </c>
      <c r="Q241" s="42" t="s">
        <v>36</v>
      </c>
      <c r="R241" s="42">
        <v>0</v>
      </c>
      <c r="S241" s="2" t="s">
        <v>43</v>
      </c>
    </row>
    <row r="242" spans="3:19" x14ac:dyDescent="0.25">
      <c r="C242" s="3" t="s">
        <v>213</v>
      </c>
      <c r="D242" s="3" t="s">
        <v>214</v>
      </c>
      <c r="E242" s="3" t="s">
        <v>214</v>
      </c>
      <c r="F242" s="4" t="s">
        <v>36</v>
      </c>
      <c r="G242" s="3" t="s">
        <v>37</v>
      </c>
      <c r="H242" s="3" t="s">
        <v>202</v>
      </c>
      <c r="I242" s="3" t="s">
        <v>1046</v>
      </c>
      <c r="J242" s="3">
        <v>0</v>
      </c>
      <c r="K242" s="3" t="s">
        <v>59</v>
      </c>
      <c r="L242" s="3" t="s">
        <v>40</v>
      </c>
      <c r="M242" s="3">
        <v>0</v>
      </c>
      <c r="N242" s="3" t="s">
        <v>213</v>
      </c>
      <c r="O242" s="3" t="s">
        <v>42</v>
      </c>
      <c r="P242" s="42" t="s">
        <v>43</v>
      </c>
      <c r="Q242" s="42" t="s">
        <v>36</v>
      </c>
      <c r="R242" s="42">
        <v>0</v>
      </c>
      <c r="S242" s="2" t="s">
        <v>43</v>
      </c>
    </row>
    <row r="243" spans="3:19" x14ac:dyDescent="0.25">
      <c r="C243" s="3" t="s">
        <v>215</v>
      </c>
      <c r="D243" s="3" t="s">
        <v>216</v>
      </c>
      <c r="E243" s="3" t="s">
        <v>216</v>
      </c>
      <c r="F243" s="4" t="s">
        <v>36</v>
      </c>
      <c r="G243" s="3" t="s">
        <v>37</v>
      </c>
      <c r="H243" s="3" t="s">
        <v>81</v>
      </c>
      <c r="I243" s="3" t="s">
        <v>1046</v>
      </c>
      <c r="J243" s="3" t="s">
        <v>67</v>
      </c>
      <c r="K243" s="3" t="s">
        <v>138</v>
      </c>
      <c r="L243" s="3" t="s">
        <v>40</v>
      </c>
      <c r="M243" s="3">
        <v>0</v>
      </c>
      <c r="N243" s="3" t="s">
        <v>215</v>
      </c>
      <c r="O243" s="3" t="s">
        <v>42</v>
      </c>
      <c r="P243" s="42" t="s">
        <v>43</v>
      </c>
      <c r="Q243" s="42" t="s">
        <v>36</v>
      </c>
      <c r="R243" s="42">
        <v>0</v>
      </c>
      <c r="S243" s="2" t="s">
        <v>43</v>
      </c>
    </row>
    <row r="244" spans="3:19" x14ac:dyDescent="0.25">
      <c r="C244" s="3" t="s">
        <v>548</v>
      </c>
      <c r="D244" s="3" t="s">
        <v>549</v>
      </c>
      <c r="E244" s="3" t="s">
        <v>550</v>
      </c>
      <c r="F244" s="4">
        <v>5</v>
      </c>
      <c r="G244" s="3" t="s">
        <v>376</v>
      </c>
      <c r="H244" s="3" t="s">
        <v>81</v>
      </c>
      <c r="I244" s="3" t="s">
        <v>1030</v>
      </c>
      <c r="J244" s="3" t="s">
        <v>100</v>
      </c>
      <c r="K244" s="3" t="s">
        <v>138</v>
      </c>
      <c r="L244" s="3" t="s">
        <v>40</v>
      </c>
      <c r="M244" s="3" t="s">
        <v>514</v>
      </c>
      <c r="N244" s="3" t="s">
        <v>548</v>
      </c>
      <c r="O244" s="3" t="s">
        <v>42</v>
      </c>
      <c r="P244" s="42" t="s">
        <v>43</v>
      </c>
      <c r="Q244" s="42">
        <v>26022153.300000001</v>
      </c>
      <c r="R244" s="42" t="s">
        <v>515</v>
      </c>
      <c r="S244" s="2" t="s">
        <v>43</v>
      </c>
    </row>
    <row r="245" spans="3:19" x14ac:dyDescent="0.25">
      <c r="C245" s="3" t="s">
        <v>726</v>
      </c>
      <c r="D245" s="3" t="s">
        <v>727</v>
      </c>
      <c r="E245" s="3" t="s">
        <v>727</v>
      </c>
      <c r="F245" s="4">
        <v>5</v>
      </c>
      <c r="G245" s="3" t="s">
        <v>376</v>
      </c>
      <c r="H245" s="3" t="s">
        <v>81</v>
      </c>
      <c r="I245" s="3" t="s">
        <v>1030</v>
      </c>
      <c r="J245" s="3" t="s">
        <v>84</v>
      </c>
      <c r="K245" s="3" t="s">
        <v>54</v>
      </c>
      <c r="L245" s="3" t="s">
        <v>55</v>
      </c>
      <c r="M245" s="3" t="s">
        <v>378</v>
      </c>
      <c r="N245" s="3" t="s">
        <v>726</v>
      </c>
      <c r="O245" s="3" t="s">
        <v>42</v>
      </c>
      <c r="P245" s="42" t="s">
        <v>43</v>
      </c>
      <c r="Q245" s="42">
        <v>28502026.209999997</v>
      </c>
      <c r="R245" s="42" t="s">
        <v>702</v>
      </c>
      <c r="S245" s="2" t="s">
        <v>440</v>
      </c>
    </row>
    <row r="246" spans="3:19" x14ac:dyDescent="0.25">
      <c r="C246" s="3" t="s">
        <v>217</v>
      </c>
      <c r="D246" s="3" t="s">
        <v>218</v>
      </c>
      <c r="F246" s="4" t="s">
        <v>36</v>
      </c>
      <c r="G246" s="3" t="s">
        <v>37</v>
      </c>
      <c r="H246" s="3" t="s">
        <v>81</v>
      </c>
      <c r="I246" s="3" t="s">
        <v>1046</v>
      </c>
      <c r="J246" s="3">
        <v>0</v>
      </c>
      <c r="K246" s="3" t="s">
        <v>59</v>
      </c>
      <c r="L246" s="3" t="s">
        <v>40</v>
      </c>
      <c r="M246" s="3">
        <v>0</v>
      </c>
      <c r="N246" s="3" t="s">
        <v>217</v>
      </c>
      <c r="O246" s="3" t="s">
        <v>42</v>
      </c>
      <c r="P246" s="42" t="s">
        <v>43</v>
      </c>
      <c r="Q246" s="42" t="s">
        <v>36</v>
      </c>
      <c r="R246" s="42">
        <v>0</v>
      </c>
      <c r="S246" s="2" t="s">
        <v>43</v>
      </c>
    </row>
    <row r="247" spans="3:19" x14ac:dyDescent="0.25">
      <c r="C247" s="3" t="s">
        <v>551</v>
      </c>
      <c r="D247" s="3" t="s">
        <v>552</v>
      </c>
      <c r="E247" s="3" t="s">
        <v>999</v>
      </c>
      <c r="F247" s="4">
        <v>5</v>
      </c>
      <c r="G247" s="3" t="s">
        <v>376</v>
      </c>
      <c r="H247" s="3" t="s">
        <v>46</v>
      </c>
      <c r="I247" s="3" t="s">
        <v>1030</v>
      </c>
      <c r="J247" s="3" t="s">
        <v>100</v>
      </c>
      <c r="K247" s="3" t="s">
        <v>138</v>
      </c>
      <c r="L247" s="3" t="s">
        <v>40</v>
      </c>
      <c r="M247" s="3" t="s">
        <v>514</v>
      </c>
      <c r="N247" s="3" t="s">
        <v>551</v>
      </c>
      <c r="O247" s="3" t="s">
        <v>42</v>
      </c>
      <c r="P247" s="42" t="s">
        <v>440</v>
      </c>
      <c r="Q247" s="42">
        <v>26067738.514999997</v>
      </c>
      <c r="R247" s="42" t="s">
        <v>515</v>
      </c>
      <c r="S247" s="2" t="s">
        <v>43</v>
      </c>
    </row>
    <row r="248" spans="3:19" x14ac:dyDescent="0.25">
      <c r="C248" s="3" t="s">
        <v>219</v>
      </c>
      <c r="D248" s="3" t="s">
        <v>220</v>
      </c>
      <c r="E248" s="3" t="s">
        <v>220</v>
      </c>
      <c r="F248" s="4" t="s">
        <v>36</v>
      </c>
      <c r="G248" s="3" t="s">
        <v>37</v>
      </c>
      <c r="H248" s="3" t="s">
        <v>38</v>
      </c>
      <c r="I248" s="3" t="s">
        <v>1046</v>
      </c>
      <c r="J248" s="3" t="s">
        <v>100</v>
      </c>
      <c r="K248" s="3" t="s">
        <v>59</v>
      </c>
      <c r="L248" s="3" t="s">
        <v>40</v>
      </c>
      <c r="M248" s="3">
        <v>0</v>
      </c>
      <c r="N248" s="3" t="s">
        <v>219</v>
      </c>
      <c r="O248" s="3" t="s">
        <v>42</v>
      </c>
      <c r="P248" s="42" t="s">
        <v>43</v>
      </c>
      <c r="Q248" s="42" t="s">
        <v>36</v>
      </c>
      <c r="R248" s="42">
        <v>0</v>
      </c>
      <c r="S248" s="2" t="s">
        <v>43</v>
      </c>
    </row>
    <row r="249" spans="3:19" x14ac:dyDescent="0.25">
      <c r="C249" s="3" t="s">
        <v>221</v>
      </c>
      <c r="D249" s="3" t="s">
        <v>222</v>
      </c>
      <c r="E249" s="3" t="s">
        <v>223</v>
      </c>
      <c r="F249" s="4" t="s">
        <v>36</v>
      </c>
      <c r="G249" s="3" t="s">
        <v>37</v>
      </c>
      <c r="H249" s="3" t="s">
        <v>38</v>
      </c>
      <c r="I249" s="3" t="s">
        <v>1046</v>
      </c>
      <c r="J249" s="3">
        <v>0</v>
      </c>
      <c r="K249" s="3" t="s">
        <v>47</v>
      </c>
      <c r="L249" s="3" t="s">
        <v>40</v>
      </c>
      <c r="M249" s="3">
        <v>0</v>
      </c>
      <c r="N249" s="3" t="s">
        <v>221</v>
      </c>
      <c r="O249" s="3" t="s">
        <v>42</v>
      </c>
      <c r="P249" s="42" t="s">
        <v>43</v>
      </c>
      <c r="Q249" s="42" t="s">
        <v>36</v>
      </c>
      <c r="R249" s="42">
        <v>0</v>
      </c>
      <c r="S249" s="2" t="s">
        <v>43</v>
      </c>
    </row>
    <row r="250" spans="3:19" x14ac:dyDescent="0.25">
      <c r="C250" s="3" t="s">
        <v>224</v>
      </c>
      <c r="D250" s="3" t="s">
        <v>225</v>
      </c>
      <c r="E250" s="3" t="s">
        <v>226</v>
      </c>
      <c r="F250" s="4" t="s">
        <v>36</v>
      </c>
      <c r="G250" s="3" t="s">
        <v>37</v>
      </c>
      <c r="H250" s="3" t="s">
        <v>38</v>
      </c>
      <c r="I250" s="3" t="s">
        <v>1046</v>
      </c>
      <c r="J250" s="3">
        <v>0</v>
      </c>
      <c r="K250" s="3" t="s">
        <v>59</v>
      </c>
      <c r="L250" s="3" t="s">
        <v>40</v>
      </c>
      <c r="M250" s="3">
        <v>0</v>
      </c>
      <c r="N250" s="3" t="s">
        <v>224</v>
      </c>
      <c r="O250" s="3" t="s">
        <v>42</v>
      </c>
      <c r="P250" s="42" t="s">
        <v>43</v>
      </c>
      <c r="Q250" s="42" t="s">
        <v>36</v>
      </c>
      <c r="R250" s="42">
        <v>0</v>
      </c>
      <c r="S250" s="2" t="s">
        <v>43</v>
      </c>
    </row>
    <row r="251" spans="3:19" x14ac:dyDescent="0.25">
      <c r="C251" s="3" t="s">
        <v>502</v>
      </c>
      <c r="D251" s="3" t="s">
        <v>503</v>
      </c>
      <c r="E251" s="3" t="s">
        <v>504</v>
      </c>
      <c r="F251" s="4">
        <v>5</v>
      </c>
      <c r="G251" s="3" t="s">
        <v>376</v>
      </c>
      <c r="H251" s="3" t="s">
        <v>46</v>
      </c>
      <c r="I251" s="3" t="s">
        <v>1030</v>
      </c>
      <c r="J251" s="3" t="s">
        <v>466</v>
      </c>
      <c r="K251" s="3" t="s">
        <v>51</v>
      </c>
      <c r="L251" s="3" t="s">
        <v>40</v>
      </c>
      <c r="M251" s="3" t="s">
        <v>1035</v>
      </c>
      <c r="N251" s="3" t="s">
        <v>502</v>
      </c>
      <c r="O251" s="3" t="s">
        <v>42</v>
      </c>
      <c r="P251" s="42" t="s">
        <v>43</v>
      </c>
      <c r="Q251" s="42">
        <v>27258517.740000002</v>
      </c>
      <c r="R251" s="42" t="s">
        <v>467</v>
      </c>
      <c r="S251" s="2" t="s">
        <v>43</v>
      </c>
    </row>
    <row r="252" spans="3:19" x14ac:dyDescent="0.25">
      <c r="C252" s="3" t="s">
        <v>227</v>
      </c>
      <c r="D252" s="3" t="s">
        <v>228</v>
      </c>
      <c r="E252" s="3" t="s">
        <v>229</v>
      </c>
      <c r="F252" s="4" t="s">
        <v>36</v>
      </c>
      <c r="G252" s="3" t="s">
        <v>37</v>
      </c>
      <c r="H252" s="3" t="s">
        <v>38</v>
      </c>
      <c r="I252" s="3" t="s">
        <v>1046</v>
      </c>
      <c r="J252" s="3">
        <v>0</v>
      </c>
      <c r="K252" s="3" t="s">
        <v>54</v>
      </c>
      <c r="L252" s="3" t="s">
        <v>55</v>
      </c>
      <c r="M252" s="3">
        <v>0</v>
      </c>
      <c r="N252" s="3" t="s">
        <v>227</v>
      </c>
      <c r="O252" s="3" t="s">
        <v>42</v>
      </c>
      <c r="P252" s="42" t="s">
        <v>43</v>
      </c>
      <c r="Q252" s="42" t="s">
        <v>36</v>
      </c>
      <c r="R252" s="42">
        <v>0</v>
      </c>
      <c r="S252" s="2" t="s">
        <v>43</v>
      </c>
    </row>
    <row r="253" spans="3:19" x14ac:dyDescent="0.25">
      <c r="C253" s="3" t="s">
        <v>728</v>
      </c>
      <c r="D253" s="3" t="s">
        <v>729</v>
      </c>
      <c r="E253" s="3" t="s">
        <v>730</v>
      </c>
      <c r="F253" s="4">
        <v>5</v>
      </c>
      <c r="G253" s="3" t="s">
        <v>376</v>
      </c>
      <c r="H253" s="3" t="s">
        <v>46</v>
      </c>
      <c r="I253" s="3" t="s">
        <v>1031</v>
      </c>
      <c r="J253" s="3" t="s">
        <v>84</v>
      </c>
      <c r="K253" s="3" t="s">
        <v>722</v>
      </c>
      <c r="L253" s="3" t="s">
        <v>55</v>
      </c>
      <c r="M253" s="3" t="s">
        <v>378</v>
      </c>
      <c r="N253" s="3" t="s">
        <v>728</v>
      </c>
      <c r="O253" s="3" t="s">
        <v>42</v>
      </c>
      <c r="P253" s="42" t="s">
        <v>440</v>
      </c>
      <c r="Q253" s="42">
        <v>31514465.699999999</v>
      </c>
      <c r="R253" s="42" t="s">
        <v>702</v>
      </c>
      <c r="S253" s="2" t="s">
        <v>43</v>
      </c>
    </row>
    <row r="254" spans="3:19" x14ac:dyDescent="0.25">
      <c r="C254" s="3" t="s">
        <v>230</v>
      </c>
      <c r="D254" s="3" t="s">
        <v>231</v>
      </c>
      <c r="E254" s="3" t="s">
        <v>232</v>
      </c>
      <c r="F254" s="4" t="s">
        <v>36</v>
      </c>
      <c r="G254" s="3" t="s">
        <v>37</v>
      </c>
      <c r="H254" s="3" t="s">
        <v>38</v>
      </c>
      <c r="I254" s="3" t="s">
        <v>1046</v>
      </c>
      <c r="J254" s="3" t="s">
        <v>84</v>
      </c>
      <c r="K254" s="3" t="s">
        <v>54</v>
      </c>
      <c r="L254" s="3" t="s">
        <v>55</v>
      </c>
      <c r="M254" s="3">
        <v>0</v>
      </c>
      <c r="N254" s="3" t="s">
        <v>230</v>
      </c>
      <c r="O254" s="3" t="s">
        <v>42</v>
      </c>
      <c r="P254" s="42" t="s">
        <v>43</v>
      </c>
      <c r="Q254" s="42" t="s">
        <v>36</v>
      </c>
      <c r="R254" s="42" t="s">
        <v>702</v>
      </c>
      <c r="S254" s="2" t="s">
        <v>43</v>
      </c>
    </row>
    <row r="255" spans="3:19" x14ac:dyDescent="0.25">
      <c r="C255" s="3" t="s">
        <v>233</v>
      </c>
      <c r="D255" s="3" t="s">
        <v>234</v>
      </c>
      <c r="E255" s="3" t="s">
        <v>235</v>
      </c>
      <c r="F255" s="4" t="s">
        <v>36</v>
      </c>
      <c r="G255" s="3" t="s">
        <v>37</v>
      </c>
      <c r="H255" s="3" t="s">
        <v>38</v>
      </c>
      <c r="I255" s="3" t="s">
        <v>1046</v>
      </c>
      <c r="J255" s="3" t="s">
        <v>84</v>
      </c>
      <c r="K255" s="3" t="s">
        <v>54</v>
      </c>
      <c r="L255" s="3" t="s">
        <v>55</v>
      </c>
      <c r="M255" s="3">
        <v>0</v>
      </c>
      <c r="N255" s="3" t="s">
        <v>233</v>
      </c>
      <c r="O255" s="3" t="s">
        <v>42</v>
      </c>
      <c r="P255" s="42" t="s">
        <v>43</v>
      </c>
      <c r="Q255" s="42" t="s">
        <v>36</v>
      </c>
      <c r="R255" s="42">
        <v>0</v>
      </c>
      <c r="S255" s="2" t="s">
        <v>43</v>
      </c>
    </row>
    <row r="256" spans="3:19" x14ac:dyDescent="0.25">
      <c r="C256" s="3" t="s">
        <v>236</v>
      </c>
      <c r="D256" s="3" t="s">
        <v>237</v>
      </c>
      <c r="E256" s="3" t="s">
        <v>237</v>
      </c>
      <c r="F256" s="4" t="s">
        <v>36</v>
      </c>
      <c r="G256" s="3" t="s">
        <v>37</v>
      </c>
      <c r="H256" s="3" t="s">
        <v>38</v>
      </c>
      <c r="I256" s="3" t="s">
        <v>1046</v>
      </c>
      <c r="J256" s="3">
        <v>0</v>
      </c>
      <c r="K256" s="3" t="s">
        <v>59</v>
      </c>
      <c r="L256" s="3" t="s">
        <v>40</v>
      </c>
      <c r="M256" s="3">
        <v>0</v>
      </c>
      <c r="N256" s="3" t="s">
        <v>236</v>
      </c>
      <c r="O256" s="3" t="s">
        <v>42</v>
      </c>
      <c r="P256" s="42" t="s">
        <v>43</v>
      </c>
      <c r="Q256" s="42" t="s">
        <v>36</v>
      </c>
      <c r="R256" s="42">
        <v>0</v>
      </c>
      <c r="S256" s="2" t="s">
        <v>43</v>
      </c>
    </row>
    <row r="257" spans="3:19" x14ac:dyDescent="0.25">
      <c r="C257" s="3" t="s">
        <v>238</v>
      </c>
      <c r="D257" s="3" t="s">
        <v>239</v>
      </c>
      <c r="E257" s="3" t="s">
        <v>240</v>
      </c>
      <c r="F257" s="4" t="s">
        <v>36</v>
      </c>
      <c r="G257" s="3" t="s">
        <v>37</v>
      </c>
      <c r="H257" s="3" t="s">
        <v>38</v>
      </c>
      <c r="I257" s="3" t="s">
        <v>1046</v>
      </c>
      <c r="J257" s="3" t="s">
        <v>146</v>
      </c>
      <c r="K257" s="3" t="s">
        <v>59</v>
      </c>
      <c r="L257" s="3" t="s">
        <v>40</v>
      </c>
      <c r="M257" s="3">
        <v>0</v>
      </c>
      <c r="N257" s="3" t="s">
        <v>238</v>
      </c>
      <c r="O257" s="3" t="s">
        <v>42</v>
      </c>
      <c r="P257" s="42" t="s">
        <v>43</v>
      </c>
      <c r="Q257" s="42" t="s">
        <v>36</v>
      </c>
      <c r="R257" s="42">
        <v>0</v>
      </c>
      <c r="S257" s="2" t="s">
        <v>43</v>
      </c>
    </row>
    <row r="258" spans="3:19" x14ac:dyDescent="0.25">
      <c r="C258" s="3" t="s">
        <v>962</v>
      </c>
      <c r="D258" s="3" t="s">
        <v>963</v>
      </c>
      <c r="E258" s="3" t="s">
        <v>964</v>
      </c>
      <c r="F258" s="4">
        <v>5</v>
      </c>
      <c r="G258" s="3" t="s">
        <v>376</v>
      </c>
      <c r="H258" s="3" t="s">
        <v>46</v>
      </c>
      <c r="I258" s="3" t="s">
        <v>1030</v>
      </c>
      <c r="J258" s="3" t="s">
        <v>160</v>
      </c>
      <c r="K258" s="3" t="s">
        <v>371</v>
      </c>
      <c r="L258" s="3" t="s">
        <v>40</v>
      </c>
      <c r="M258" s="3" t="s">
        <v>984</v>
      </c>
      <c r="N258" s="3" t="s">
        <v>962</v>
      </c>
      <c r="O258" s="3" t="s">
        <v>42</v>
      </c>
      <c r="P258" s="42" t="s">
        <v>440</v>
      </c>
      <c r="Q258" s="42">
        <v>33232657.009999998</v>
      </c>
      <c r="R258" s="42" t="s">
        <v>931</v>
      </c>
      <c r="S258" s="2" t="s">
        <v>43</v>
      </c>
    </row>
    <row r="259" spans="3:19" x14ac:dyDescent="0.25">
      <c r="C259" s="3" t="s">
        <v>687</v>
      </c>
      <c r="D259" s="3" t="s">
        <v>688</v>
      </c>
      <c r="E259" s="3" t="s">
        <v>689</v>
      </c>
      <c r="F259" s="4">
        <v>6</v>
      </c>
      <c r="G259" s="3" t="s">
        <v>376</v>
      </c>
      <c r="H259" s="3" t="s">
        <v>46</v>
      </c>
      <c r="I259" s="3" t="s">
        <v>1030</v>
      </c>
      <c r="J259" s="3" t="s">
        <v>248</v>
      </c>
      <c r="K259" s="3" t="s">
        <v>51</v>
      </c>
      <c r="L259" s="3" t="s">
        <v>40</v>
      </c>
      <c r="M259" s="3" t="s">
        <v>984</v>
      </c>
      <c r="N259" s="3" t="s">
        <v>687</v>
      </c>
      <c r="O259" s="3" t="s">
        <v>42</v>
      </c>
      <c r="P259" s="42" t="s">
        <v>440</v>
      </c>
      <c r="Q259" s="42">
        <v>57727202.364999995</v>
      </c>
      <c r="R259" s="42" t="s">
        <v>51</v>
      </c>
      <c r="S259" s="2" t="s">
        <v>43</v>
      </c>
    </row>
    <row r="260" spans="3:19" x14ac:dyDescent="0.25">
      <c r="C260" s="3" t="s">
        <v>241</v>
      </c>
      <c r="D260" s="3" t="s">
        <v>242</v>
      </c>
      <c r="E260" s="3" t="s">
        <v>243</v>
      </c>
      <c r="F260" s="4" t="s">
        <v>36</v>
      </c>
      <c r="G260" s="3" t="s">
        <v>37</v>
      </c>
      <c r="H260" s="3" t="s">
        <v>38</v>
      </c>
      <c r="I260" s="3" t="s">
        <v>1046</v>
      </c>
      <c r="J260" s="3" t="s">
        <v>132</v>
      </c>
      <c r="K260" s="3" t="s">
        <v>64</v>
      </c>
      <c r="L260" s="3" t="s">
        <v>40</v>
      </c>
      <c r="M260" s="3">
        <v>0</v>
      </c>
      <c r="N260" s="3" t="s">
        <v>241</v>
      </c>
      <c r="O260" s="3" t="s">
        <v>42</v>
      </c>
      <c r="P260" s="42" t="s">
        <v>43</v>
      </c>
      <c r="Q260" s="42" t="s">
        <v>36</v>
      </c>
      <c r="R260" s="42">
        <v>0</v>
      </c>
      <c r="S260" s="2" t="s">
        <v>43</v>
      </c>
    </row>
    <row r="261" spans="3:19" x14ac:dyDescent="0.25">
      <c r="C261" s="3" t="s">
        <v>244</v>
      </c>
      <c r="D261" s="3" t="s">
        <v>245</v>
      </c>
      <c r="E261" s="3" t="s">
        <v>245</v>
      </c>
      <c r="F261" s="4" t="s">
        <v>36</v>
      </c>
      <c r="G261" s="3" t="s">
        <v>37</v>
      </c>
      <c r="H261" s="3" t="s">
        <v>81</v>
      </c>
      <c r="I261" s="3" t="s">
        <v>1046</v>
      </c>
      <c r="J261" s="3">
        <v>0</v>
      </c>
      <c r="K261" s="3" t="s">
        <v>133</v>
      </c>
      <c r="L261" s="3" t="s">
        <v>40</v>
      </c>
      <c r="M261" s="3">
        <v>0</v>
      </c>
      <c r="N261" s="3" t="s">
        <v>244</v>
      </c>
      <c r="O261" s="3" t="s">
        <v>42</v>
      </c>
      <c r="P261" s="42" t="s">
        <v>43</v>
      </c>
      <c r="Q261" s="42" t="s">
        <v>36</v>
      </c>
      <c r="R261" s="42">
        <v>0</v>
      </c>
      <c r="S261" s="2" t="s">
        <v>43</v>
      </c>
    </row>
    <row r="262" spans="3:19" x14ac:dyDescent="0.25">
      <c r="C262" s="3" t="s">
        <v>246</v>
      </c>
      <c r="D262" s="3" t="s">
        <v>247</v>
      </c>
      <c r="E262" s="3" t="s">
        <v>247</v>
      </c>
      <c r="F262" s="4" t="s">
        <v>36</v>
      </c>
      <c r="G262" s="3" t="s">
        <v>37</v>
      </c>
      <c r="H262" s="3" t="s">
        <v>38</v>
      </c>
      <c r="I262" s="3" t="s">
        <v>1046</v>
      </c>
      <c r="J262" s="3" t="s">
        <v>248</v>
      </c>
      <c r="K262" s="3" t="s">
        <v>138</v>
      </c>
      <c r="L262" s="3" t="s">
        <v>40</v>
      </c>
      <c r="M262" s="3">
        <v>0</v>
      </c>
      <c r="N262" s="3" t="s">
        <v>246</v>
      </c>
      <c r="O262" s="3" t="s">
        <v>42</v>
      </c>
      <c r="P262" s="42" t="s">
        <v>43</v>
      </c>
      <c r="Q262" s="42" t="s">
        <v>36</v>
      </c>
      <c r="R262" s="42">
        <v>0</v>
      </c>
      <c r="S262" s="2" t="s">
        <v>43</v>
      </c>
    </row>
    <row r="263" spans="3:19" x14ac:dyDescent="0.25">
      <c r="C263" s="3" t="s">
        <v>249</v>
      </c>
      <c r="D263" s="3" t="s">
        <v>250</v>
      </c>
      <c r="E263" s="3" t="s">
        <v>250</v>
      </c>
      <c r="F263" s="4" t="s">
        <v>36</v>
      </c>
      <c r="G263" s="3" t="s">
        <v>37</v>
      </c>
      <c r="H263" s="3" t="s">
        <v>38</v>
      </c>
      <c r="I263" s="3" t="s">
        <v>1046</v>
      </c>
      <c r="J263" s="3" t="s">
        <v>94</v>
      </c>
      <c r="K263" s="3" t="s">
        <v>138</v>
      </c>
      <c r="L263" s="3" t="s">
        <v>40</v>
      </c>
      <c r="M263" s="3">
        <v>0</v>
      </c>
      <c r="N263" s="3" t="s">
        <v>249</v>
      </c>
      <c r="O263" s="3" t="s">
        <v>42</v>
      </c>
      <c r="P263" s="42" t="s">
        <v>43</v>
      </c>
      <c r="Q263" s="42" t="s">
        <v>36</v>
      </c>
      <c r="R263" s="42">
        <v>0</v>
      </c>
      <c r="S263" s="2" t="s">
        <v>43</v>
      </c>
    </row>
    <row r="264" spans="3:19" x14ac:dyDescent="0.25">
      <c r="C264" s="3" t="s">
        <v>251</v>
      </c>
      <c r="D264" s="3" t="s">
        <v>252</v>
      </c>
      <c r="E264" s="3" t="s">
        <v>253</v>
      </c>
      <c r="F264" s="4" t="s">
        <v>36</v>
      </c>
      <c r="G264" s="3" t="s">
        <v>37</v>
      </c>
      <c r="H264" s="3" t="s">
        <v>38</v>
      </c>
      <c r="I264" s="3" t="s">
        <v>1046</v>
      </c>
      <c r="J264" s="3">
        <v>0</v>
      </c>
      <c r="K264" s="3" t="s">
        <v>64</v>
      </c>
      <c r="L264" s="3" t="s">
        <v>40</v>
      </c>
      <c r="M264" s="3">
        <v>0</v>
      </c>
      <c r="N264" s="3" t="s">
        <v>251</v>
      </c>
      <c r="O264" s="3" t="s">
        <v>42</v>
      </c>
      <c r="P264" s="42" t="s">
        <v>43</v>
      </c>
      <c r="Q264" s="42" t="s">
        <v>36</v>
      </c>
      <c r="R264" s="42">
        <v>0</v>
      </c>
      <c r="S264" s="2" t="s">
        <v>43</v>
      </c>
    </row>
    <row r="265" spans="3:19" x14ac:dyDescent="0.25">
      <c r="C265" s="3" t="s">
        <v>254</v>
      </c>
      <c r="D265" s="3" t="s">
        <v>255</v>
      </c>
      <c r="E265" s="3" t="s">
        <v>255</v>
      </c>
      <c r="F265" s="4" t="s">
        <v>36</v>
      </c>
      <c r="G265" s="3" t="s">
        <v>37</v>
      </c>
      <c r="H265" s="3" t="s">
        <v>38</v>
      </c>
      <c r="I265" s="3" t="s">
        <v>1046</v>
      </c>
      <c r="J265" s="3">
        <v>0</v>
      </c>
      <c r="K265" s="3" t="s">
        <v>51</v>
      </c>
      <c r="L265" s="3" t="s">
        <v>40</v>
      </c>
      <c r="M265" s="3">
        <v>0</v>
      </c>
      <c r="N265" s="3" t="s">
        <v>254</v>
      </c>
      <c r="O265" s="3" t="s">
        <v>42</v>
      </c>
      <c r="P265" s="42" t="s">
        <v>43</v>
      </c>
      <c r="Q265" s="42" t="s">
        <v>36</v>
      </c>
      <c r="R265" s="42">
        <v>0</v>
      </c>
      <c r="S265" s="2" t="s">
        <v>43</v>
      </c>
    </row>
    <row r="266" spans="3:19" x14ac:dyDescent="0.25">
      <c r="C266" s="3" t="s">
        <v>590</v>
      </c>
      <c r="D266" s="3" t="s">
        <v>591</v>
      </c>
      <c r="E266" s="3" t="s">
        <v>591</v>
      </c>
      <c r="F266" s="4">
        <v>5</v>
      </c>
      <c r="G266" s="3" t="s">
        <v>376</v>
      </c>
      <c r="H266" s="3" t="s">
        <v>46</v>
      </c>
      <c r="I266" s="3" t="s">
        <v>1030</v>
      </c>
      <c r="J266" s="3" t="s">
        <v>331</v>
      </c>
      <c r="K266" s="3" t="s">
        <v>138</v>
      </c>
      <c r="L266" s="3" t="s">
        <v>40</v>
      </c>
      <c r="M266" s="3" t="s">
        <v>984</v>
      </c>
      <c r="N266" s="3" t="s">
        <v>590</v>
      </c>
      <c r="O266" s="3" t="s">
        <v>42</v>
      </c>
      <c r="P266" s="42" t="s">
        <v>43</v>
      </c>
      <c r="Q266" s="42">
        <v>52483290.124999993</v>
      </c>
      <c r="R266" s="42" t="s">
        <v>557</v>
      </c>
      <c r="S266" s="2" t="s">
        <v>43</v>
      </c>
    </row>
    <row r="267" spans="3:19" x14ac:dyDescent="0.25">
      <c r="C267" s="3" t="s">
        <v>447</v>
      </c>
      <c r="D267" s="3" t="s">
        <v>448</v>
      </c>
      <c r="E267" s="3" t="s">
        <v>449</v>
      </c>
      <c r="F267" s="4">
        <v>6</v>
      </c>
      <c r="G267" s="3" t="s">
        <v>376</v>
      </c>
      <c r="H267" s="3" t="s">
        <v>46</v>
      </c>
      <c r="I267" s="3" t="s">
        <v>1030</v>
      </c>
      <c r="J267" s="3" t="s">
        <v>94</v>
      </c>
      <c r="K267" s="3" t="s">
        <v>64</v>
      </c>
      <c r="L267" s="3" t="s">
        <v>40</v>
      </c>
      <c r="M267" s="3" t="s">
        <v>1035</v>
      </c>
      <c r="N267" s="3" t="s">
        <v>447</v>
      </c>
      <c r="O267" s="3" t="s">
        <v>42</v>
      </c>
      <c r="P267" s="42" t="s">
        <v>440</v>
      </c>
      <c r="Q267" s="42">
        <v>41560068.199999996</v>
      </c>
      <c r="R267" s="42" t="s">
        <v>423</v>
      </c>
      <c r="S267" s="2" t="s">
        <v>43</v>
      </c>
    </row>
    <row r="268" spans="3:19" x14ac:dyDescent="0.25">
      <c r="C268" s="3" t="s">
        <v>256</v>
      </c>
      <c r="D268" s="3" t="s">
        <v>257</v>
      </c>
      <c r="E268" s="3" t="s">
        <v>257</v>
      </c>
      <c r="F268" s="4" t="s">
        <v>36</v>
      </c>
      <c r="G268" s="3" t="s">
        <v>37</v>
      </c>
      <c r="H268" s="3" t="s">
        <v>38</v>
      </c>
      <c r="I268" s="3" t="s">
        <v>1046</v>
      </c>
      <c r="J268" s="3">
        <v>0</v>
      </c>
      <c r="K268" s="3" t="s">
        <v>138</v>
      </c>
      <c r="L268" s="3" t="s">
        <v>40</v>
      </c>
      <c r="M268" s="3">
        <v>0</v>
      </c>
      <c r="N268" s="3" t="s">
        <v>256</v>
      </c>
      <c r="O268" s="3" t="s">
        <v>42</v>
      </c>
      <c r="P268" s="42" t="s">
        <v>43</v>
      </c>
      <c r="Q268" s="42" t="s">
        <v>36</v>
      </c>
      <c r="R268" s="42">
        <v>0</v>
      </c>
      <c r="S268" s="2" t="s">
        <v>43</v>
      </c>
    </row>
    <row r="269" spans="3:19" x14ac:dyDescent="0.25">
      <c r="C269" s="3" t="s">
        <v>450</v>
      </c>
      <c r="D269" s="3" t="s">
        <v>451</v>
      </c>
      <c r="E269" s="3" t="s">
        <v>452</v>
      </c>
      <c r="F269" s="4">
        <v>5</v>
      </c>
      <c r="G269" s="3" t="s">
        <v>376</v>
      </c>
      <c r="H269" s="3" t="s">
        <v>46</v>
      </c>
      <c r="I269" s="3" t="s">
        <v>1030</v>
      </c>
      <c r="J269" s="3" t="s">
        <v>94</v>
      </c>
      <c r="K269" s="3" t="s">
        <v>64</v>
      </c>
      <c r="L269" s="3" t="s">
        <v>40</v>
      </c>
      <c r="M269" s="3" t="s">
        <v>1035</v>
      </c>
      <c r="N269" s="3" t="s">
        <v>450</v>
      </c>
      <c r="O269" s="3" t="s">
        <v>42</v>
      </c>
      <c r="P269" s="42" t="s">
        <v>43</v>
      </c>
      <c r="Q269" s="42">
        <v>42773126.164999999</v>
      </c>
      <c r="R269" s="42" t="s">
        <v>423</v>
      </c>
      <c r="S269" s="2" t="s">
        <v>43</v>
      </c>
    </row>
    <row r="270" spans="3:19" x14ac:dyDescent="0.25">
      <c r="C270" s="3" t="s">
        <v>965</v>
      </c>
      <c r="D270" s="3" t="s">
        <v>966</v>
      </c>
      <c r="E270" s="3" t="s">
        <v>967</v>
      </c>
      <c r="F270" s="4">
        <v>5</v>
      </c>
      <c r="G270" s="3" t="s">
        <v>376</v>
      </c>
      <c r="H270" s="3" t="s">
        <v>46</v>
      </c>
      <c r="I270" s="3" t="s">
        <v>1030</v>
      </c>
      <c r="J270" s="3" t="s">
        <v>160</v>
      </c>
      <c r="K270" s="3" t="s">
        <v>353</v>
      </c>
      <c r="L270" s="3" t="s">
        <v>40</v>
      </c>
      <c r="M270" s="3" t="s">
        <v>984</v>
      </c>
      <c r="N270" s="3" t="s">
        <v>965</v>
      </c>
      <c r="O270" s="3" t="s">
        <v>42</v>
      </c>
      <c r="P270" s="42" t="s">
        <v>43</v>
      </c>
      <c r="Q270" s="42">
        <v>32790487.484999996</v>
      </c>
      <c r="R270" s="42" t="s">
        <v>931</v>
      </c>
      <c r="S270" s="2" t="s">
        <v>43</v>
      </c>
    </row>
    <row r="271" spans="3:19" x14ac:dyDescent="0.25">
      <c r="C271" s="3" t="s">
        <v>258</v>
      </c>
      <c r="D271" s="3" t="s">
        <v>259</v>
      </c>
      <c r="E271" s="3" t="s">
        <v>260</v>
      </c>
      <c r="F271" s="4" t="s">
        <v>36</v>
      </c>
      <c r="G271" s="3" t="s">
        <v>37</v>
      </c>
      <c r="H271" s="3" t="s">
        <v>38</v>
      </c>
      <c r="I271" s="3" t="s">
        <v>1046</v>
      </c>
      <c r="J271" s="3" t="s">
        <v>50</v>
      </c>
      <c r="K271" s="3" t="s">
        <v>51</v>
      </c>
      <c r="L271" s="3" t="s">
        <v>40</v>
      </c>
      <c r="M271" s="3">
        <v>0</v>
      </c>
      <c r="N271" s="3" t="s">
        <v>258</v>
      </c>
      <c r="O271" s="3" t="s">
        <v>42</v>
      </c>
      <c r="P271" s="42" t="s">
        <v>43</v>
      </c>
      <c r="Q271" s="42" t="s">
        <v>36</v>
      </c>
      <c r="R271" s="42">
        <v>0</v>
      </c>
      <c r="S271" s="2" t="s">
        <v>43</v>
      </c>
    </row>
    <row r="272" spans="3:19" x14ac:dyDescent="0.25">
      <c r="C272" s="3" t="s">
        <v>261</v>
      </c>
      <c r="D272" s="3" t="s">
        <v>262</v>
      </c>
      <c r="E272" s="3" t="s">
        <v>263</v>
      </c>
      <c r="F272" s="4" t="s">
        <v>36</v>
      </c>
      <c r="G272" s="3" t="s">
        <v>37</v>
      </c>
      <c r="H272" s="3" t="s">
        <v>38</v>
      </c>
      <c r="I272" s="3" t="s">
        <v>1046</v>
      </c>
      <c r="J272" s="3" t="s">
        <v>58</v>
      </c>
      <c r="K272" s="3" t="s">
        <v>138</v>
      </c>
      <c r="L272" s="3" t="s">
        <v>40</v>
      </c>
      <c r="M272" s="3">
        <v>0</v>
      </c>
      <c r="N272" s="3" t="s">
        <v>261</v>
      </c>
      <c r="O272" s="3" t="s">
        <v>42</v>
      </c>
      <c r="P272" s="42" t="s">
        <v>43</v>
      </c>
      <c r="Q272" s="42" t="s">
        <v>36</v>
      </c>
      <c r="R272" s="42">
        <v>0</v>
      </c>
      <c r="S272" s="2" t="s">
        <v>43</v>
      </c>
    </row>
    <row r="273" spans="3:19" x14ac:dyDescent="0.25">
      <c r="C273" s="3" t="s">
        <v>791</v>
      </c>
      <c r="D273" s="3" t="s">
        <v>793</v>
      </c>
      <c r="E273" s="3" t="s">
        <v>1000</v>
      </c>
      <c r="F273" s="4">
        <v>5</v>
      </c>
      <c r="G273" s="3" t="s">
        <v>376</v>
      </c>
      <c r="H273" s="3" t="s">
        <v>46</v>
      </c>
      <c r="I273" s="3" t="s">
        <v>1031</v>
      </c>
      <c r="J273" s="3" t="s">
        <v>89</v>
      </c>
      <c r="K273" s="3" t="s">
        <v>109</v>
      </c>
      <c r="L273" s="3" t="s">
        <v>91</v>
      </c>
      <c r="M273" s="3" t="s">
        <v>378</v>
      </c>
      <c r="N273" s="3" t="s">
        <v>791</v>
      </c>
      <c r="O273" s="3" t="s">
        <v>42</v>
      </c>
      <c r="P273" s="42" t="s">
        <v>43</v>
      </c>
      <c r="Q273" s="42">
        <v>48529453.920000002</v>
      </c>
      <c r="R273" s="42" t="s">
        <v>772</v>
      </c>
      <c r="S273" s="2" t="s">
        <v>43</v>
      </c>
    </row>
    <row r="274" spans="3:19" x14ac:dyDescent="0.25">
      <c r="C274" s="3" t="s">
        <v>264</v>
      </c>
      <c r="D274" s="3" t="s">
        <v>265</v>
      </c>
      <c r="E274" s="3" t="s">
        <v>266</v>
      </c>
      <c r="F274" s="4" t="s">
        <v>36</v>
      </c>
      <c r="G274" s="3" t="s">
        <v>37</v>
      </c>
      <c r="H274" s="3" t="s">
        <v>38</v>
      </c>
      <c r="I274" s="3" t="s">
        <v>1046</v>
      </c>
      <c r="J274" s="3">
        <v>0</v>
      </c>
      <c r="K274" s="3" t="s">
        <v>51</v>
      </c>
      <c r="L274" s="3" t="s">
        <v>40</v>
      </c>
      <c r="M274" s="3">
        <v>0</v>
      </c>
      <c r="N274" s="3" t="s">
        <v>264</v>
      </c>
      <c r="O274" s="3" t="s">
        <v>42</v>
      </c>
      <c r="P274" s="42" t="s">
        <v>43</v>
      </c>
      <c r="Q274" s="42" t="s">
        <v>36</v>
      </c>
      <c r="R274" s="42">
        <v>0</v>
      </c>
      <c r="S274" s="2" t="s">
        <v>43</v>
      </c>
    </row>
    <row r="275" spans="3:19" x14ac:dyDescent="0.25">
      <c r="C275" s="3" t="s">
        <v>267</v>
      </c>
      <c r="D275" s="3" t="s">
        <v>268</v>
      </c>
      <c r="E275" s="3" t="s">
        <v>269</v>
      </c>
      <c r="F275" s="4" t="s">
        <v>36</v>
      </c>
      <c r="G275" s="3" t="s">
        <v>37</v>
      </c>
      <c r="H275" s="3" t="s">
        <v>38</v>
      </c>
      <c r="I275" s="3" t="s">
        <v>1046</v>
      </c>
      <c r="J275" s="3">
        <v>0</v>
      </c>
      <c r="K275" s="3" t="s">
        <v>51</v>
      </c>
      <c r="L275" s="3" t="s">
        <v>40</v>
      </c>
      <c r="M275" s="3">
        <v>0</v>
      </c>
      <c r="N275" s="3" t="s">
        <v>267</v>
      </c>
      <c r="O275" s="3" t="s">
        <v>42</v>
      </c>
      <c r="P275" s="42" t="s">
        <v>43</v>
      </c>
      <c r="Q275" s="42" t="s">
        <v>36</v>
      </c>
      <c r="R275" s="42">
        <v>0</v>
      </c>
      <c r="S275" s="2" t="s">
        <v>43</v>
      </c>
    </row>
    <row r="276" spans="3:19" x14ac:dyDescent="0.25">
      <c r="C276" s="3" t="s">
        <v>270</v>
      </c>
      <c r="D276" s="3" t="s">
        <v>271</v>
      </c>
      <c r="E276" s="3" t="s">
        <v>271</v>
      </c>
      <c r="F276" s="4" t="s">
        <v>36</v>
      </c>
      <c r="G276" s="3" t="s">
        <v>37</v>
      </c>
      <c r="H276" s="3" t="s">
        <v>38</v>
      </c>
      <c r="I276" s="3" t="s">
        <v>1046</v>
      </c>
      <c r="J276" s="3" t="s">
        <v>100</v>
      </c>
      <c r="K276" s="3" t="s">
        <v>59</v>
      </c>
      <c r="L276" s="3" t="s">
        <v>40</v>
      </c>
      <c r="M276" s="3">
        <v>0</v>
      </c>
      <c r="N276" s="3" t="s">
        <v>270</v>
      </c>
      <c r="O276" s="3" t="s">
        <v>42</v>
      </c>
      <c r="P276" s="42" t="s">
        <v>43</v>
      </c>
      <c r="Q276" s="42" t="s">
        <v>36</v>
      </c>
      <c r="R276" s="42">
        <v>0</v>
      </c>
      <c r="S276" s="2" t="s">
        <v>43</v>
      </c>
    </row>
    <row r="277" spans="3:19" x14ac:dyDescent="0.25">
      <c r="C277" s="3" t="s">
        <v>631</v>
      </c>
      <c r="D277" s="3" t="s">
        <v>633</v>
      </c>
      <c r="E277" s="3" t="s">
        <v>1001</v>
      </c>
      <c r="F277" s="4">
        <v>5</v>
      </c>
      <c r="G277" s="3" t="s">
        <v>376</v>
      </c>
      <c r="H277" s="3" t="s">
        <v>46</v>
      </c>
      <c r="I277" s="3" t="s">
        <v>1030</v>
      </c>
      <c r="J277" s="3" t="s">
        <v>50</v>
      </c>
      <c r="K277" s="3" t="s">
        <v>51</v>
      </c>
      <c r="L277" s="3" t="s">
        <v>40</v>
      </c>
      <c r="M277" s="3" t="s">
        <v>514</v>
      </c>
      <c r="N277" s="3" t="s">
        <v>631</v>
      </c>
      <c r="O277" s="3" t="s">
        <v>42</v>
      </c>
      <c r="P277" s="42" t="s">
        <v>43</v>
      </c>
      <c r="Q277" s="42">
        <v>29272519.814999998</v>
      </c>
      <c r="R277" s="42" t="s">
        <v>597</v>
      </c>
      <c r="S277" s="2" t="s">
        <v>43</v>
      </c>
    </row>
    <row r="278" spans="3:19" x14ac:dyDescent="0.25">
      <c r="C278" s="3" t="s">
        <v>272</v>
      </c>
      <c r="D278" s="3" t="s">
        <v>273</v>
      </c>
      <c r="E278" s="3" t="s">
        <v>274</v>
      </c>
      <c r="F278" s="4" t="s">
        <v>36</v>
      </c>
      <c r="G278" s="3" t="s">
        <v>37</v>
      </c>
      <c r="H278" s="3" t="s">
        <v>38</v>
      </c>
      <c r="I278" s="3" t="s">
        <v>1046</v>
      </c>
      <c r="J278" s="3" t="s">
        <v>73</v>
      </c>
      <c r="K278" s="3" t="s">
        <v>275</v>
      </c>
      <c r="L278" s="3" t="s">
        <v>40</v>
      </c>
      <c r="M278" s="3">
        <v>0</v>
      </c>
      <c r="N278" s="3" t="s">
        <v>272</v>
      </c>
      <c r="O278" s="3" t="s">
        <v>42</v>
      </c>
      <c r="P278" s="42" t="s">
        <v>43</v>
      </c>
      <c r="Q278" s="42" t="s">
        <v>36</v>
      </c>
      <c r="R278" s="42">
        <v>0</v>
      </c>
      <c r="S278" s="2" t="s">
        <v>43</v>
      </c>
    </row>
    <row r="279" spans="3:19" x14ac:dyDescent="0.25">
      <c r="C279" s="3" t="s">
        <v>690</v>
      </c>
      <c r="D279" s="3" t="s">
        <v>691</v>
      </c>
      <c r="E279" s="3" t="s">
        <v>692</v>
      </c>
      <c r="F279" s="4">
        <v>5</v>
      </c>
      <c r="G279" s="3" t="s">
        <v>376</v>
      </c>
      <c r="H279" s="3" t="s">
        <v>46</v>
      </c>
      <c r="I279" s="3" t="s">
        <v>1030</v>
      </c>
      <c r="J279" s="3" t="s">
        <v>248</v>
      </c>
      <c r="K279" s="3" t="s">
        <v>51</v>
      </c>
      <c r="L279" s="3" t="s">
        <v>40</v>
      </c>
      <c r="M279" s="3" t="s">
        <v>984</v>
      </c>
      <c r="N279" s="3" t="s">
        <v>690</v>
      </c>
      <c r="O279" s="3" t="s">
        <v>42</v>
      </c>
      <c r="P279" s="42" t="s">
        <v>440</v>
      </c>
      <c r="Q279" s="42">
        <v>36435773.709999993</v>
      </c>
      <c r="R279" s="42" t="s">
        <v>51</v>
      </c>
      <c r="S279" s="2" t="s">
        <v>43</v>
      </c>
    </row>
    <row r="280" spans="3:19" x14ac:dyDescent="0.25">
      <c r="C280" s="3" t="s">
        <v>276</v>
      </c>
      <c r="D280" s="3" t="s">
        <v>277</v>
      </c>
      <c r="E280" s="3" t="s">
        <v>278</v>
      </c>
      <c r="F280" s="4" t="s">
        <v>36</v>
      </c>
      <c r="G280" s="3" t="s">
        <v>37</v>
      </c>
      <c r="H280" s="3" t="s">
        <v>38</v>
      </c>
      <c r="I280" s="3" t="s">
        <v>1046</v>
      </c>
      <c r="J280" s="3" t="s">
        <v>84</v>
      </c>
      <c r="K280" s="3" t="s">
        <v>279</v>
      </c>
      <c r="L280" s="3" t="s">
        <v>55</v>
      </c>
      <c r="M280" s="3">
        <v>0</v>
      </c>
      <c r="N280" s="3" t="s">
        <v>276</v>
      </c>
      <c r="O280" s="3" t="s">
        <v>42</v>
      </c>
      <c r="P280" s="42" t="s">
        <v>43</v>
      </c>
      <c r="Q280" s="42" t="s">
        <v>36</v>
      </c>
      <c r="R280" s="42">
        <v>0</v>
      </c>
      <c r="S280" s="2" t="s">
        <v>43</v>
      </c>
    </row>
    <row r="281" spans="3:19" x14ac:dyDescent="0.25">
      <c r="C281" s="3" t="s">
        <v>731</v>
      </c>
      <c r="D281" s="3" t="s">
        <v>732</v>
      </c>
      <c r="E281" s="3" t="s">
        <v>54</v>
      </c>
      <c r="F281" s="4">
        <v>5</v>
      </c>
      <c r="G281" s="3" t="s">
        <v>376</v>
      </c>
      <c r="H281" s="3" t="s">
        <v>46</v>
      </c>
      <c r="I281" s="3" t="s">
        <v>1031</v>
      </c>
      <c r="J281" s="3" t="s">
        <v>84</v>
      </c>
      <c r="K281" s="3" t="s">
        <v>54</v>
      </c>
      <c r="L281" s="3" t="s">
        <v>55</v>
      </c>
      <c r="M281" s="3" t="s">
        <v>378</v>
      </c>
      <c r="N281" s="3" t="s">
        <v>731</v>
      </c>
      <c r="O281" s="3" t="s">
        <v>42</v>
      </c>
      <c r="P281" s="42" t="s">
        <v>440</v>
      </c>
      <c r="Q281" s="42">
        <v>29460591.194999997</v>
      </c>
      <c r="R281" s="42" t="s">
        <v>702</v>
      </c>
      <c r="S281" s="2" t="s">
        <v>43</v>
      </c>
    </row>
    <row r="282" spans="3:19" x14ac:dyDescent="0.25">
      <c r="C282" s="3" t="s">
        <v>453</v>
      </c>
      <c r="D282" s="3" t="s">
        <v>454</v>
      </c>
      <c r="E282" s="3" t="s">
        <v>454</v>
      </c>
      <c r="F282" s="4">
        <v>5</v>
      </c>
      <c r="G282" s="3" t="s">
        <v>376</v>
      </c>
      <c r="H282" s="3" t="s">
        <v>46</v>
      </c>
      <c r="I282" s="3" t="s">
        <v>1030</v>
      </c>
      <c r="J282" s="3" t="s">
        <v>94</v>
      </c>
      <c r="K282" s="3" t="s">
        <v>64</v>
      </c>
      <c r="L282" s="3" t="s">
        <v>40</v>
      </c>
      <c r="M282" s="3" t="s">
        <v>1035</v>
      </c>
      <c r="N282" s="3" t="s">
        <v>453</v>
      </c>
      <c r="O282" s="3" t="s">
        <v>42</v>
      </c>
      <c r="P282" s="42" t="s">
        <v>440</v>
      </c>
      <c r="Q282" s="42">
        <v>37836836.064999998</v>
      </c>
      <c r="R282" s="42" t="s">
        <v>423</v>
      </c>
      <c r="S282" s="2" t="s">
        <v>43</v>
      </c>
    </row>
    <row r="283" spans="3:19" x14ac:dyDescent="0.25">
      <c r="C283" s="3" t="s">
        <v>280</v>
      </c>
      <c r="D283" s="3" t="s">
        <v>281</v>
      </c>
      <c r="E283" s="3" t="s">
        <v>281</v>
      </c>
      <c r="F283" s="4" t="s">
        <v>36</v>
      </c>
      <c r="G283" s="3" t="s">
        <v>37</v>
      </c>
      <c r="H283" s="3" t="s">
        <v>38</v>
      </c>
      <c r="I283" s="3" t="s">
        <v>1046</v>
      </c>
      <c r="J283" s="3" t="s">
        <v>132</v>
      </c>
      <c r="K283" s="3" t="s">
        <v>64</v>
      </c>
      <c r="L283" s="3" t="s">
        <v>40</v>
      </c>
      <c r="M283" s="3">
        <v>0</v>
      </c>
      <c r="N283" s="3" t="s">
        <v>280</v>
      </c>
      <c r="O283" s="3" t="s">
        <v>42</v>
      </c>
      <c r="P283" s="42" t="s">
        <v>43</v>
      </c>
      <c r="Q283" s="42" t="s">
        <v>36</v>
      </c>
      <c r="R283" s="42">
        <v>0</v>
      </c>
      <c r="S283" s="2" t="s">
        <v>43</v>
      </c>
    </row>
    <row r="284" spans="3:19" x14ac:dyDescent="0.25">
      <c r="C284" s="3" t="s">
        <v>282</v>
      </c>
      <c r="D284" s="3" t="s">
        <v>283</v>
      </c>
      <c r="E284" s="3" t="s">
        <v>284</v>
      </c>
      <c r="F284" s="4" t="s">
        <v>36</v>
      </c>
      <c r="G284" s="3" t="s">
        <v>37</v>
      </c>
      <c r="H284" s="3" t="s">
        <v>38</v>
      </c>
      <c r="I284" s="3" t="s">
        <v>1046</v>
      </c>
      <c r="J284" s="3">
        <v>0</v>
      </c>
      <c r="K284" s="3" t="s">
        <v>279</v>
      </c>
      <c r="L284" s="3" t="s">
        <v>55</v>
      </c>
      <c r="M284" s="3">
        <v>0</v>
      </c>
      <c r="N284" s="3" t="s">
        <v>282</v>
      </c>
      <c r="O284" s="3" t="s">
        <v>42</v>
      </c>
      <c r="P284" s="42" t="s">
        <v>43</v>
      </c>
      <c r="Q284" s="42" t="s">
        <v>36</v>
      </c>
      <c r="R284" s="42">
        <v>0</v>
      </c>
      <c r="S284" s="2" t="s">
        <v>43</v>
      </c>
    </row>
    <row r="285" spans="3:19" x14ac:dyDescent="0.25">
      <c r="C285" s="3" t="s">
        <v>455</v>
      </c>
      <c r="D285" s="3" t="s">
        <v>456</v>
      </c>
      <c r="E285" s="3" t="s">
        <v>1002</v>
      </c>
      <c r="F285" s="4">
        <v>5</v>
      </c>
      <c r="G285" s="3" t="s">
        <v>376</v>
      </c>
      <c r="H285" s="3" t="s">
        <v>46</v>
      </c>
      <c r="I285" s="3" t="s">
        <v>1030</v>
      </c>
      <c r="J285" s="3" t="s">
        <v>94</v>
      </c>
      <c r="K285" s="3" t="s">
        <v>64</v>
      </c>
      <c r="L285" s="3" t="s">
        <v>40</v>
      </c>
      <c r="M285" s="3" t="s">
        <v>1035</v>
      </c>
      <c r="N285" s="3" t="s">
        <v>455</v>
      </c>
      <c r="O285" s="3" t="s">
        <v>42</v>
      </c>
      <c r="P285" s="42" t="s">
        <v>440</v>
      </c>
      <c r="Q285" s="42">
        <v>46587534.734999992</v>
      </c>
      <c r="R285" s="42" t="s">
        <v>423</v>
      </c>
      <c r="S285" s="2" t="s">
        <v>43</v>
      </c>
    </row>
    <row r="286" spans="3:19" x14ac:dyDescent="0.25">
      <c r="C286" s="3" t="s">
        <v>285</v>
      </c>
      <c r="D286" s="3" t="s">
        <v>286</v>
      </c>
      <c r="E286" s="3" t="s">
        <v>287</v>
      </c>
      <c r="F286" s="4" t="s">
        <v>36</v>
      </c>
      <c r="G286" s="3" t="s">
        <v>37</v>
      </c>
      <c r="H286" s="3" t="s">
        <v>38</v>
      </c>
      <c r="I286" s="3" t="s">
        <v>1046</v>
      </c>
      <c r="J286" s="3">
        <v>0</v>
      </c>
      <c r="K286" s="3" t="s">
        <v>51</v>
      </c>
      <c r="L286" s="3" t="s">
        <v>40</v>
      </c>
      <c r="M286" s="3">
        <v>0</v>
      </c>
      <c r="N286" s="3" t="s">
        <v>285</v>
      </c>
      <c r="O286" s="3" t="s">
        <v>42</v>
      </c>
      <c r="P286" s="42" t="s">
        <v>43</v>
      </c>
      <c r="Q286" s="42" t="s">
        <v>36</v>
      </c>
      <c r="R286" s="42">
        <v>0</v>
      </c>
      <c r="S286" s="2" t="s">
        <v>43</v>
      </c>
    </row>
    <row r="287" spans="3:19" x14ac:dyDescent="0.25">
      <c r="C287" s="3" t="s">
        <v>288</v>
      </c>
      <c r="D287" s="3" t="s">
        <v>289</v>
      </c>
      <c r="E287" s="3" t="s">
        <v>290</v>
      </c>
      <c r="F287" s="4" t="s">
        <v>36</v>
      </c>
      <c r="G287" s="3" t="s">
        <v>37</v>
      </c>
      <c r="H287" s="3" t="s">
        <v>38</v>
      </c>
      <c r="I287" s="3" t="s">
        <v>1046</v>
      </c>
      <c r="J287" s="3">
        <v>0</v>
      </c>
      <c r="K287" s="3" t="s">
        <v>59</v>
      </c>
      <c r="L287" s="3" t="s">
        <v>40</v>
      </c>
      <c r="M287" s="3">
        <v>0</v>
      </c>
      <c r="N287" s="3" t="s">
        <v>288</v>
      </c>
      <c r="O287" s="3" t="s">
        <v>42</v>
      </c>
      <c r="P287" s="42" t="s">
        <v>43</v>
      </c>
      <c r="Q287" s="42" t="s">
        <v>36</v>
      </c>
      <c r="R287" s="42">
        <v>0</v>
      </c>
      <c r="S287" s="2" t="s">
        <v>43</v>
      </c>
    </row>
    <row r="288" spans="3:19" x14ac:dyDescent="0.25">
      <c r="C288" s="3" t="s">
        <v>291</v>
      </c>
      <c r="D288" s="3" t="s">
        <v>292</v>
      </c>
      <c r="E288" s="3" t="s">
        <v>292</v>
      </c>
      <c r="F288" s="4" t="s">
        <v>36</v>
      </c>
      <c r="G288" s="3" t="s">
        <v>37</v>
      </c>
      <c r="H288" s="3" t="s">
        <v>38</v>
      </c>
      <c r="I288" s="3" t="s">
        <v>1046</v>
      </c>
      <c r="J288" s="3" t="s">
        <v>94</v>
      </c>
      <c r="K288" s="3" t="s">
        <v>51</v>
      </c>
      <c r="L288" s="3" t="s">
        <v>40</v>
      </c>
      <c r="M288" s="3">
        <v>0</v>
      </c>
      <c r="N288" s="3" t="s">
        <v>291</v>
      </c>
      <c r="O288" s="3" t="s">
        <v>42</v>
      </c>
      <c r="P288" s="42" t="s">
        <v>43</v>
      </c>
      <c r="Q288" s="42" t="s">
        <v>36</v>
      </c>
      <c r="R288" s="42">
        <v>0</v>
      </c>
      <c r="S288" s="2" t="s">
        <v>43</v>
      </c>
    </row>
    <row r="289" spans="3:19" x14ac:dyDescent="0.25">
      <c r="C289" s="3" t="s">
        <v>293</v>
      </c>
      <c r="D289" s="3" t="s">
        <v>294</v>
      </c>
      <c r="E289" s="3" t="s">
        <v>294</v>
      </c>
      <c r="F289" s="4" t="s">
        <v>36</v>
      </c>
      <c r="G289" s="3" t="s">
        <v>37</v>
      </c>
      <c r="H289" s="3" t="s">
        <v>38</v>
      </c>
      <c r="I289" s="3" t="s">
        <v>1046</v>
      </c>
      <c r="J289" s="3" t="s">
        <v>73</v>
      </c>
      <c r="K289" s="3" t="s">
        <v>64</v>
      </c>
      <c r="L289" s="3" t="s">
        <v>40</v>
      </c>
      <c r="M289" s="3">
        <v>0</v>
      </c>
      <c r="N289" s="3" t="s">
        <v>293</v>
      </c>
      <c r="O289" s="3" t="s">
        <v>42</v>
      </c>
      <c r="P289" s="42" t="s">
        <v>43</v>
      </c>
      <c r="Q289" s="42" t="s">
        <v>36</v>
      </c>
      <c r="R289" s="42">
        <v>0</v>
      </c>
      <c r="S289" s="2" t="s">
        <v>43</v>
      </c>
    </row>
    <row r="290" spans="3:19" x14ac:dyDescent="0.25">
      <c r="C290" s="3" t="s">
        <v>295</v>
      </c>
      <c r="D290" s="3" t="s">
        <v>296</v>
      </c>
      <c r="E290" s="3" t="s">
        <v>297</v>
      </c>
      <c r="F290" s="4" t="s">
        <v>36</v>
      </c>
      <c r="G290" s="3" t="s">
        <v>37</v>
      </c>
      <c r="H290" s="3" t="s">
        <v>38</v>
      </c>
      <c r="I290" s="3" t="s">
        <v>1046</v>
      </c>
      <c r="J290" s="3" t="s">
        <v>94</v>
      </c>
      <c r="K290" s="3" t="s">
        <v>64</v>
      </c>
      <c r="L290" s="3" t="s">
        <v>40</v>
      </c>
      <c r="M290" s="3">
        <v>0</v>
      </c>
      <c r="N290" s="3" t="s">
        <v>295</v>
      </c>
      <c r="O290" s="3" t="s">
        <v>42</v>
      </c>
      <c r="P290" s="42" t="s">
        <v>43</v>
      </c>
      <c r="Q290" s="42" t="s">
        <v>36</v>
      </c>
      <c r="R290" s="42">
        <v>0</v>
      </c>
      <c r="S290" s="2" t="s">
        <v>43</v>
      </c>
    </row>
    <row r="291" spans="3:19" x14ac:dyDescent="0.25">
      <c r="C291" s="3" t="s">
        <v>298</v>
      </c>
      <c r="D291" s="3" t="s">
        <v>299</v>
      </c>
      <c r="E291" s="3" t="s">
        <v>300</v>
      </c>
      <c r="F291" s="4" t="s">
        <v>36</v>
      </c>
      <c r="G291" s="3" t="s">
        <v>37</v>
      </c>
      <c r="H291" s="3" t="s">
        <v>38</v>
      </c>
      <c r="I291" s="3" t="s">
        <v>1046</v>
      </c>
      <c r="J291" s="3" t="s">
        <v>58</v>
      </c>
      <c r="K291" s="3" t="s">
        <v>59</v>
      </c>
      <c r="L291" s="3" t="s">
        <v>40</v>
      </c>
      <c r="M291" s="3">
        <v>0</v>
      </c>
      <c r="N291" s="3" t="s">
        <v>298</v>
      </c>
      <c r="O291" s="3" t="s">
        <v>42</v>
      </c>
      <c r="P291" s="42" t="s">
        <v>43</v>
      </c>
      <c r="Q291" s="42" t="s">
        <v>36</v>
      </c>
      <c r="R291" s="42">
        <v>0</v>
      </c>
      <c r="S291" s="2" t="s">
        <v>43</v>
      </c>
    </row>
    <row r="292" spans="3:19" x14ac:dyDescent="0.25">
      <c r="C292" s="3" t="s">
        <v>794</v>
      </c>
      <c r="D292" s="3" t="s">
        <v>795</v>
      </c>
      <c r="E292" s="3" t="s">
        <v>795</v>
      </c>
      <c r="F292" s="4">
        <v>0</v>
      </c>
      <c r="G292" s="3" t="s">
        <v>37</v>
      </c>
      <c r="H292" s="3" t="s">
        <v>46</v>
      </c>
      <c r="I292" s="3" t="s">
        <v>1031</v>
      </c>
      <c r="J292" s="3" t="s">
        <v>89</v>
      </c>
      <c r="K292" s="3" t="s">
        <v>109</v>
      </c>
      <c r="L292" s="3" t="s">
        <v>91</v>
      </c>
      <c r="M292" s="3" t="s">
        <v>378</v>
      </c>
      <c r="N292" s="3" t="s">
        <v>794</v>
      </c>
      <c r="O292" s="3" t="s">
        <v>42</v>
      </c>
      <c r="P292" s="42" t="s">
        <v>43</v>
      </c>
      <c r="Q292" s="42" t="s">
        <v>36</v>
      </c>
      <c r="R292" s="42" t="s">
        <v>772</v>
      </c>
      <c r="S292" s="2" t="s">
        <v>43</v>
      </c>
    </row>
    <row r="293" spans="3:19" x14ac:dyDescent="0.25">
      <c r="C293" s="3" t="s">
        <v>620</v>
      </c>
      <c r="D293" s="3" t="s">
        <v>622</v>
      </c>
      <c r="E293" s="3" t="s">
        <v>622</v>
      </c>
      <c r="F293" s="4">
        <v>5</v>
      </c>
      <c r="G293" s="3" t="s">
        <v>987</v>
      </c>
      <c r="H293" s="3" t="s">
        <v>46</v>
      </c>
      <c r="I293" s="3" t="s">
        <v>1030</v>
      </c>
      <c r="J293" s="3" t="s">
        <v>50</v>
      </c>
      <c r="K293" s="3" t="s">
        <v>59</v>
      </c>
      <c r="L293" s="3" t="s">
        <v>40</v>
      </c>
      <c r="M293" s="3" t="s">
        <v>514</v>
      </c>
      <c r="N293" s="3" t="s">
        <v>620</v>
      </c>
      <c r="O293" s="3" t="s">
        <v>42</v>
      </c>
      <c r="P293" s="42" t="s">
        <v>43</v>
      </c>
      <c r="Q293" s="42">
        <v>47217418.359999992</v>
      </c>
      <c r="R293" s="42" t="s">
        <v>597</v>
      </c>
      <c r="S293" s="2" t="s">
        <v>43</v>
      </c>
    </row>
    <row r="294" spans="3:19" x14ac:dyDescent="0.25">
      <c r="C294" s="3" t="s">
        <v>733</v>
      </c>
      <c r="D294" s="3" t="s">
        <v>734</v>
      </c>
      <c r="E294" s="3" t="s">
        <v>735</v>
      </c>
      <c r="F294" s="4">
        <v>6</v>
      </c>
      <c r="G294" s="3" t="s">
        <v>376</v>
      </c>
      <c r="H294" s="3" t="s">
        <v>46</v>
      </c>
      <c r="I294" s="3" t="s">
        <v>1031</v>
      </c>
      <c r="J294" s="3" t="s">
        <v>84</v>
      </c>
      <c r="K294" s="3" t="s">
        <v>54</v>
      </c>
      <c r="L294" s="3" t="s">
        <v>55</v>
      </c>
      <c r="M294" s="3" t="s">
        <v>378</v>
      </c>
      <c r="N294" s="3" t="s">
        <v>733</v>
      </c>
      <c r="O294" s="3" t="s">
        <v>42</v>
      </c>
      <c r="P294" s="42" t="s">
        <v>43</v>
      </c>
      <c r="Q294" s="42">
        <v>54017905.164999992</v>
      </c>
      <c r="R294" s="42" t="s">
        <v>702</v>
      </c>
      <c r="S294" s="2" t="s">
        <v>43</v>
      </c>
    </row>
    <row r="295" spans="3:19" x14ac:dyDescent="0.25">
      <c r="C295" s="3" t="s">
        <v>301</v>
      </c>
      <c r="D295" s="3" t="s">
        <v>302</v>
      </c>
      <c r="E295" s="3" t="s">
        <v>303</v>
      </c>
      <c r="F295" s="4" t="s">
        <v>36</v>
      </c>
      <c r="G295" s="3" t="s">
        <v>37</v>
      </c>
      <c r="H295" s="3" t="s">
        <v>38</v>
      </c>
      <c r="I295" s="3" t="s">
        <v>1046</v>
      </c>
      <c r="J295" s="3" t="s">
        <v>132</v>
      </c>
      <c r="K295" s="3" t="s">
        <v>133</v>
      </c>
      <c r="L295" s="3" t="s">
        <v>40</v>
      </c>
      <c r="M295" s="3">
        <v>0</v>
      </c>
      <c r="N295" s="3" t="s">
        <v>301</v>
      </c>
      <c r="O295" s="3" t="s">
        <v>42</v>
      </c>
      <c r="P295" s="42" t="s">
        <v>43</v>
      </c>
      <c r="Q295" s="42" t="s">
        <v>36</v>
      </c>
      <c r="R295" s="42">
        <v>0</v>
      </c>
      <c r="S295" s="2" t="s">
        <v>43</v>
      </c>
    </row>
    <row r="296" spans="3:19" x14ac:dyDescent="0.25">
      <c r="C296" s="3" t="s">
        <v>505</v>
      </c>
      <c r="D296" s="3" t="s">
        <v>506</v>
      </c>
      <c r="E296" s="3" t="s">
        <v>506</v>
      </c>
      <c r="F296" s="4">
        <v>5</v>
      </c>
      <c r="G296" s="3" t="s">
        <v>376</v>
      </c>
      <c r="H296" s="3" t="s">
        <v>46</v>
      </c>
      <c r="I296" s="3" t="s">
        <v>1030</v>
      </c>
      <c r="J296" s="3" t="s">
        <v>466</v>
      </c>
      <c r="K296" s="3" t="s">
        <v>51</v>
      </c>
      <c r="L296" s="3" t="s">
        <v>40</v>
      </c>
      <c r="M296" s="3" t="s">
        <v>1035</v>
      </c>
      <c r="N296" s="3" t="s">
        <v>505</v>
      </c>
      <c r="O296" s="3" t="s">
        <v>42</v>
      </c>
      <c r="P296" s="42" t="s">
        <v>43</v>
      </c>
      <c r="Q296" s="42">
        <v>34243539.154999994</v>
      </c>
      <c r="R296" s="42" t="s">
        <v>467</v>
      </c>
      <c r="S296" s="2" t="s">
        <v>43</v>
      </c>
    </row>
    <row r="297" spans="3:19" x14ac:dyDescent="0.25">
      <c r="C297" s="3" t="s">
        <v>304</v>
      </c>
      <c r="D297" s="3" t="s">
        <v>305</v>
      </c>
      <c r="E297" s="3" t="s">
        <v>305</v>
      </c>
      <c r="F297" s="4" t="s">
        <v>36</v>
      </c>
      <c r="G297" s="3" t="s">
        <v>37</v>
      </c>
      <c r="H297" s="3" t="s">
        <v>81</v>
      </c>
      <c r="I297" s="3" t="s">
        <v>1046</v>
      </c>
      <c r="J297" s="3" t="s">
        <v>132</v>
      </c>
      <c r="K297" s="3" t="s">
        <v>51</v>
      </c>
      <c r="L297" s="3" t="s">
        <v>40</v>
      </c>
      <c r="M297" s="3">
        <v>0</v>
      </c>
      <c r="N297" s="3" t="s">
        <v>304</v>
      </c>
      <c r="O297" s="3" t="s">
        <v>42</v>
      </c>
      <c r="P297" s="42" t="s">
        <v>43</v>
      </c>
      <c r="Q297" s="42" t="s">
        <v>36</v>
      </c>
      <c r="R297" s="42">
        <v>0</v>
      </c>
      <c r="S297" s="2" t="s">
        <v>43</v>
      </c>
    </row>
    <row r="298" spans="3:19" x14ac:dyDescent="0.25">
      <c r="C298" s="3" t="s">
        <v>306</v>
      </c>
      <c r="D298" s="3" t="s">
        <v>307</v>
      </c>
      <c r="E298" s="3" t="s">
        <v>307</v>
      </c>
      <c r="F298" s="4" t="s">
        <v>36</v>
      </c>
      <c r="G298" s="3" t="s">
        <v>37</v>
      </c>
      <c r="H298" s="3" t="s">
        <v>46</v>
      </c>
      <c r="I298" s="3" t="s">
        <v>1046</v>
      </c>
      <c r="J298" s="3">
        <v>0</v>
      </c>
      <c r="K298" s="3" t="s">
        <v>138</v>
      </c>
      <c r="L298" s="3" t="s">
        <v>40</v>
      </c>
      <c r="M298" s="3">
        <v>0</v>
      </c>
      <c r="N298" s="3" t="s">
        <v>306</v>
      </c>
      <c r="O298" s="3" t="s">
        <v>42</v>
      </c>
      <c r="P298" s="42" t="s">
        <v>43</v>
      </c>
      <c r="Q298" s="42" t="s">
        <v>36</v>
      </c>
      <c r="R298" s="42">
        <v>0</v>
      </c>
      <c r="S298" s="2" t="s">
        <v>43</v>
      </c>
    </row>
    <row r="299" spans="3:19" x14ac:dyDescent="0.25">
      <c r="C299" s="3" t="s">
        <v>308</v>
      </c>
      <c r="D299" s="3" t="s">
        <v>309</v>
      </c>
      <c r="E299" s="3" t="s">
        <v>309</v>
      </c>
      <c r="F299" s="4" t="s">
        <v>36</v>
      </c>
      <c r="G299" s="3" t="s">
        <v>37</v>
      </c>
      <c r="H299" s="3" t="s">
        <v>46</v>
      </c>
      <c r="I299" s="3" t="s">
        <v>1046</v>
      </c>
      <c r="J299" s="3">
        <v>0</v>
      </c>
      <c r="K299" s="3" t="s">
        <v>279</v>
      </c>
      <c r="L299" s="3" t="s">
        <v>55</v>
      </c>
      <c r="M299" s="3">
        <v>0</v>
      </c>
      <c r="N299" s="3" t="s">
        <v>308</v>
      </c>
      <c r="O299" s="3" t="s">
        <v>42</v>
      </c>
      <c r="P299" s="42" t="s">
        <v>43</v>
      </c>
      <c r="Q299" s="42" t="s">
        <v>36</v>
      </c>
      <c r="R299" s="42">
        <v>0</v>
      </c>
      <c r="S299" s="2" t="s">
        <v>43</v>
      </c>
    </row>
    <row r="300" spans="3:19" x14ac:dyDescent="0.25">
      <c r="C300" s="3" t="s">
        <v>310</v>
      </c>
      <c r="D300" s="3" t="s">
        <v>311</v>
      </c>
      <c r="E300" s="3" t="s">
        <v>312</v>
      </c>
      <c r="F300" s="4" t="s">
        <v>36</v>
      </c>
      <c r="G300" s="3" t="s">
        <v>37</v>
      </c>
      <c r="H300" s="3" t="s">
        <v>81</v>
      </c>
      <c r="I300" s="3" t="s">
        <v>1046</v>
      </c>
      <c r="J300" s="3" t="s">
        <v>160</v>
      </c>
      <c r="K300" s="3" t="s">
        <v>64</v>
      </c>
      <c r="L300" s="3" t="s">
        <v>40</v>
      </c>
      <c r="M300" s="3">
        <v>0</v>
      </c>
      <c r="N300" s="3" t="s">
        <v>310</v>
      </c>
      <c r="O300" s="3" t="s">
        <v>42</v>
      </c>
      <c r="P300" s="42" t="s">
        <v>43</v>
      </c>
      <c r="Q300" s="42" t="s">
        <v>36</v>
      </c>
      <c r="R300" s="42">
        <v>0</v>
      </c>
      <c r="S300" s="2" t="s">
        <v>43</v>
      </c>
    </row>
    <row r="301" spans="3:19" x14ac:dyDescent="0.25">
      <c r="C301" s="3" t="s">
        <v>968</v>
      </c>
      <c r="D301" s="3" t="s">
        <v>969</v>
      </c>
      <c r="E301" s="3" t="s">
        <v>969</v>
      </c>
      <c r="F301" s="4">
        <v>5</v>
      </c>
      <c r="G301" s="3" t="s">
        <v>376</v>
      </c>
      <c r="H301" s="3" t="s">
        <v>46</v>
      </c>
      <c r="I301" s="3" t="s">
        <v>1030</v>
      </c>
      <c r="J301" s="3" t="s">
        <v>160</v>
      </c>
      <c r="K301" s="3" t="s">
        <v>39</v>
      </c>
      <c r="L301" s="3" t="s">
        <v>40</v>
      </c>
      <c r="M301" s="3" t="s">
        <v>984</v>
      </c>
      <c r="N301" s="3" t="s">
        <v>968</v>
      </c>
      <c r="O301" s="3" t="s">
        <v>42</v>
      </c>
      <c r="P301" s="42" t="s">
        <v>440</v>
      </c>
      <c r="Q301" s="42">
        <v>28106134.68</v>
      </c>
      <c r="R301" s="42" t="s">
        <v>931</v>
      </c>
      <c r="S301" s="2" t="s">
        <v>43</v>
      </c>
    </row>
    <row r="302" spans="3:19" x14ac:dyDescent="0.25">
      <c r="C302" s="3" t="s">
        <v>313</v>
      </c>
      <c r="D302" s="3" t="s">
        <v>314</v>
      </c>
      <c r="E302" s="3" t="s">
        <v>314</v>
      </c>
      <c r="F302" s="4" t="s">
        <v>36</v>
      </c>
      <c r="G302" s="3" t="s">
        <v>37</v>
      </c>
      <c r="H302" s="3" t="s">
        <v>81</v>
      </c>
      <c r="I302" s="3" t="s">
        <v>1046</v>
      </c>
      <c r="J302" s="3">
        <v>0</v>
      </c>
      <c r="K302" s="3" t="s">
        <v>315</v>
      </c>
      <c r="L302" s="3" t="s">
        <v>40</v>
      </c>
      <c r="M302" s="3">
        <v>0</v>
      </c>
      <c r="N302" s="3" t="s">
        <v>313</v>
      </c>
      <c r="O302" s="3" t="s">
        <v>42</v>
      </c>
      <c r="P302" s="42" t="s">
        <v>43</v>
      </c>
      <c r="Q302" s="42" t="s">
        <v>36</v>
      </c>
      <c r="R302" s="42">
        <v>0</v>
      </c>
      <c r="S302" s="2" t="s">
        <v>43</v>
      </c>
    </row>
    <row r="303" spans="3:19" x14ac:dyDescent="0.25">
      <c r="C303" s="3" t="s">
        <v>823</v>
      </c>
      <c r="D303" s="3" t="s">
        <v>824</v>
      </c>
      <c r="E303" s="3" t="s">
        <v>824</v>
      </c>
      <c r="F303" s="4">
        <v>5</v>
      </c>
      <c r="G303" s="3" t="s">
        <v>376</v>
      </c>
      <c r="H303" s="3" t="s">
        <v>46</v>
      </c>
      <c r="I303" s="3" t="s">
        <v>1030</v>
      </c>
      <c r="J303" s="3" t="s">
        <v>146</v>
      </c>
      <c r="K303" s="3" t="s">
        <v>59</v>
      </c>
      <c r="L303" s="3" t="s">
        <v>40</v>
      </c>
      <c r="M303" s="3" t="s">
        <v>1035</v>
      </c>
      <c r="N303" s="3" t="s">
        <v>823</v>
      </c>
      <c r="O303" s="3" t="s">
        <v>42</v>
      </c>
      <c r="P303" s="42" t="s">
        <v>43</v>
      </c>
      <c r="Q303" s="42">
        <v>35556666.539999999</v>
      </c>
      <c r="R303" s="42" t="s">
        <v>799</v>
      </c>
      <c r="S303" s="2" t="s">
        <v>43</v>
      </c>
    </row>
    <row r="304" spans="3:19" x14ac:dyDescent="0.25">
      <c r="C304" s="3" t="s">
        <v>316</v>
      </c>
      <c r="D304" s="3" t="s">
        <v>317</v>
      </c>
      <c r="E304" s="3" t="s">
        <v>318</v>
      </c>
      <c r="F304" s="4" t="s">
        <v>36</v>
      </c>
      <c r="G304" s="3" t="s">
        <v>37</v>
      </c>
      <c r="H304" s="3" t="s">
        <v>81</v>
      </c>
      <c r="I304" s="3" t="s">
        <v>1046</v>
      </c>
      <c r="J304" s="3" t="s">
        <v>67</v>
      </c>
      <c r="K304" s="3" t="s">
        <v>59</v>
      </c>
      <c r="L304" s="3" t="s">
        <v>40</v>
      </c>
      <c r="M304" s="3">
        <v>0</v>
      </c>
      <c r="N304" s="3" t="s">
        <v>316</v>
      </c>
      <c r="O304" s="3" t="s">
        <v>42</v>
      </c>
      <c r="P304" s="42" t="s">
        <v>43</v>
      </c>
      <c r="Q304" s="42" t="s">
        <v>36</v>
      </c>
      <c r="R304" s="42">
        <v>0</v>
      </c>
      <c r="S304" s="2" t="s">
        <v>43</v>
      </c>
    </row>
    <row r="305" spans="3:19" x14ac:dyDescent="0.25">
      <c r="C305" s="3" t="s">
        <v>319</v>
      </c>
      <c r="D305" s="3" t="s">
        <v>320</v>
      </c>
      <c r="E305" s="3" t="s">
        <v>320</v>
      </c>
      <c r="F305" s="4" t="s">
        <v>36</v>
      </c>
      <c r="G305" s="3" t="s">
        <v>37</v>
      </c>
      <c r="H305" s="3" t="s">
        <v>46</v>
      </c>
      <c r="I305" s="3" t="s">
        <v>1046</v>
      </c>
      <c r="J305" s="3">
        <v>0</v>
      </c>
      <c r="K305" s="3" t="s">
        <v>97</v>
      </c>
      <c r="L305" s="3" t="s">
        <v>40</v>
      </c>
      <c r="M305" s="3">
        <v>0</v>
      </c>
      <c r="N305" s="3" t="s">
        <v>319</v>
      </c>
      <c r="O305" s="3" t="s">
        <v>42</v>
      </c>
      <c r="P305" s="42" t="s">
        <v>43</v>
      </c>
      <c r="Q305" s="42" t="s">
        <v>36</v>
      </c>
      <c r="R305" s="42">
        <v>0</v>
      </c>
      <c r="S305" s="2" t="s">
        <v>43</v>
      </c>
    </row>
    <row r="306" spans="3:19" x14ac:dyDescent="0.25">
      <c r="C306" s="3" t="s">
        <v>321</v>
      </c>
      <c r="D306" s="3" t="s">
        <v>322</v>
      </c>
      <c r="E306" s="3" t="s">
        <v>322</v>
      </c>
      <c r="F306" s="4" t="s">
        <v>36</v>
      </c>
      <c r="G306" s="3" t="s">
        <v>37</v>
      </c>
      <c r="H306" s="3" t="s">
        <v>81</v>
      </c>
      <c r="I306" s="3" t="s">
        <v>1046</v>
      </c>
      <c r="J306" s="3" t="s">
        <v>50</v>
      </c>
      <c r="K306" s="3" t="s">
        <v>51</v>
      </c>
      <c r="L306" s="3" t="s">
        <v>40</v>
      </c>
      <c r="M306" s="3">
        <v>0</v>
      </c>
      <c r="N306" s="3" t="s">
        <v>321</v>
      </c>
      <c r="O306" s="3" t="s">
        <v>42</v>
      </c>
      <c r="P306" s="42" t="s">
        <v>43</v>
      </c>
      <c r="Q306" s="42" t="s">
        <v>36</v>
      </c>
      <c r="R306" s="42">
        <v>0</v>
      </c>
      <c r="S306" s="2" t="s">
        <v>43</v>
      </c>
    </row>
    <row r="307" spans="3:19" x14ac:dyDescent="0.25">
      <c r="C307" s="3" t="s">
        <v>457</v>
      </c>
      <c r="D307" s="3" t="s">
        <v>458</v>
      </c>
      <c r="E307" s="3" t="s">
        <v>458</v>
      </c>
      <c r="F307" s="4">
        <v>5</v>
      </c>
      <c r="G307" s="3" t="s">
        <v>376</v>
      </c>
      <c r="H307" s="3" t="s">
        <v>81</v>
      </c>
      <c r="I307" s="3" t="s">
        <v>1030</v>
      </c>
      <c r="J307" s="3" t="s">
        <v>94</v>
      </c>
      <c r="K307" s="3" t="s">
        <v>205</v>
      </c>
      <c r="L307" s="3" t="s">
        <v>40</v>
      </c>
      <c r="M307" s="3" t="s">
        <v>1035</v>
      </c>
      <c r="N307" s="3" t="s">
        <v>457</v>
      </c>
      <c r="O307" s="3" t="s">
        <v>42</v>
      </c>
      <c r="P307" s="42" t="s">
        <v>43</v>
      </c>
      <c r="Q307" s="42">
        <v>49987968.387900002</v>
      </c>
      <c r="R307" s="42" t="s">
        <v>423</v>
      </c>
      <c r="S307" s="2" t="s">
        <v>440</v>
      </c>
    </row>
    <row r="308" spans="3:19" x14ac:dyDescent="0.25">
      <c r="C308" s="3" t="s">
        <v>323</v>
      </c>
      <c r="D308" s="3" t="s">
        <v>324</v>
      </c>
      <c r="E308" s="3" t="s">
        <v>324</v>
      </c>
      <c r="F308" s="4" t="s">
        <v>36</v>
      </c>
      <c r="G308" s="3" t="s">
        <v>37</v>
      </c>
      <c r="H308" s="3" t="s">
        <v>46</v>
      </c>
      <c r="I308" s="3" t="s">
        <v>1046</v>
      </c>
      <c r="J308" s="3" t="s">
        <v>58</v>
      </c>
      <c r="K308" s="3" t="s">
        <v>138</v>
      </c>
      <c r="L308" s="3" t="s">
        <v>40</v>
      </c>
      <c r="M308" s="3">
        <v>0</v>
      </c>
      <c r="N308" s="3" t="s">
        <v>323</v>
      </c>
      <c r="O308" s="3" t="s">
        <v>42</v>
      </c>
      <c r="P308" s="42" t="s">
        <v>43</v>
      </c>
      <c r="Q308" s="42" t="s">
        <v>36</v>
      </c>
      <c r="R308" s="42">
        <v>0</v>
      </c>
      <c r="S308" s="2" t="s">
        <v>43</v>
      </c>
    </row>
    <row r="309" spans="3:19" x14ac:dyDescent="0.25">
      <c r="C309" s="3" t="s">
        <v>325</v>
      </c>
      <c r="D309" s="3" t="s">
        <v>326</v>
      </c>
      <c r="E309" s="3" t="s">
        <v>326</v>
      </c>
      <c r="F309" s="4" t="s">
        <v>36</v>
      </c>
      <c r="G309" s="3" t="s">
        <v>37</v>
      </c>
      <c r="H309" s="3" t="s">
        <v>46</v>
      </c>
      <c r="I309" s="3" t="s">
        <v>1046</v>
      </c>
      <c r="J309" s="3" t="s">
        <v>67</v>
      </c>
      <c r="K309" s="3" t="s">
        <v>59</v>
      </c>
      <c r="L309" s="3" t="s">
        <v>40</v>
      </c>
      <c r="M309" s="3">
        <v>0</v>
      </c>
      <c r="N309" s="3" t="s">
        <v>325</v>
      </c>
      <c r="O309" s="3" t="s">
        <v>42</v>
      </c>
      <c r="P309" s="42" t="s">
        <v>43</v>
      </c>
      <c r="Q309" s="42" t="s">
        <v>36</v>
      </c>
      <c r="R309" s="42">
        <v>0</v>
      </c>
      <c r="S309" s="2" t="s">
        <v>43</v>
      </c>
    </row>
    <row r="310" spans="3:19" x14ac:dyDescent="0.25">
      <c r="C310" s="3" t="s">
        <v>459</v>
      </c>
      <c r="D310" s="3" t="s">
        <v>460</v>
      </c>
      <c r="E310" s="3" t="s">
        <v>460</v>
      </c>
      <c r="F310" s="4">
        <v>5</v>
      </c>
      <c r="G310" s="3" t="s">
        <v>376</v>
      </c>
      <c r="H310" s="3" t="s">
        <v>46</v>
      </c>
      <c r="I310" s="3" t="s">
        <v>1030</v>
      </c>
      <c r="J310" s="3" t="s">
        <v>94</v>
      </c>
      <c r="K310" s="3" t="s">
        <v>64</v>
      </c>
      <c r="L310" s="3" t="s">
        <v>40</v>
      </c>
      <c r="M310" s="3" t="s">
        <v>1035</v>
      </c>
      <c r="N310" s="3" t="s">
        <v>459</v>
      </c>
      <c r="O310" s="3" t="s">
        <v>42</v>
      </c>
      <c r="P310" s="42" t="s">
        <v>43</v>
      </c>
      <c r="Q310" s="42">
        <v>43964938.149999999</v>
      </c>
      <c r="R310" s="42" t="s">
        <v>423</v>
      </c>
      <c r="S310" s="2" t="s">
        <v>43</v>
      </c>
    </row>
    <row r="311" spans="3:19" x14ac:dyDescent="0.25">
      <c r="C311" s="3" t="s">
        <v>919</v>
      </c>
      <c r="D311" s="3" t="s">
        <v>920</v>
      </c>
      <c r="E311" s="3" t="s">
        <v>920</v>
      </c>
      <c r="F311" s="4">
        <v>5</v>
      </c>
      <c r="G311" s="3" t="s">
        <v>376</v>
      </c>
      <c r="H311" s="3" t="s">
        <v>81</v>
      </c>
      <c r="I311" s="3" t="s">
        <v>1030</v>
      </c>
      <c r="J311" s="3" t="s">
        <v>73</v>
      </c>
      <c r="K311" s="3" t="s">
        <v>315</v>
      </c>
      <c r="L311" s="3" t="s">
        <v>40</v>
      </c>
      <c r="M311" s="3" t="s">
        <v>514</v>
      </c>
      <c r="N311" s="3" t="s">
        <v>919</v>
      </c>
      <c r="O311" s="3" t="s">
        <v>42</v>
      </c>
      <c r="P311" s="42" t="s">
        <v>43</v>
      </c>
      <c r="Q311" s="42">
        <v>32197782.060000002</v>
      </c>
      <c r="R311" s="42" t="s">
        <v>886</v>
      </c>
      <c r="S311" s="2" t="s">
        <v>43</v>
      </c>
    </row>
    <row r="312" spans="3:19" x14ac:dyDescent="0.25">
      <c r="C312" s="3" t="s">
        <v>610</v>
      </c>
      <c r="D312" s="3" t="s">
        <v>611</v>
      </c>
      <c r="E312" s="3" t="s">
        <v>611</v>
      </c>
      <c r="F312" s="4">
        <v>5</v>
      </c>
      <c r="G312" s="3" t="s">
        <v>376</v>
      </c>
      <c r="H312" s="3" t="s">
        <v>81</v>
      </c>
      <c r="I312" s="3" t="s">
        <v>1030</v>
      </c>
      <c r="J312" s="3" t="s">
        <v>50</v>
      </c>
      <c r="K312" s="3" t="s">
        <v>59</v>
      </c>
      <c r="L312" s="3" t="s">
        <v>40</v>
      </c>
      <c r="M312" s="3" t="s">
        <v>514</v>
      </c>
      <c r="N312" s="3" t="s">
        <v>610</v>
      </c>
      <c r="O312" s="3" t="s">
        <v>42</v>
      </c>
      <c r="P312" s="42" t="s">
        <v>43</v>
      </c>
      <c r="Q312" s="42">
        <v>38994187.784999996</v>
      </c>
      <c r="R312" s="42" t="s">
        <v>597</v>
      </c>
      <c r="S312" s="2" t="s">
        <v>440</v>
      </c>
    </row>
    <row r="313" spans="3:19" x14ac:dyDescent="0.25">
      <c r="C313" s="3" t="s">
        <v>461</v>
      </c>
      <c r="D313" s="3" t="s">
        <v>462</v>
      </c>
      <c r="E313" s="3" t="s">
        <v>462</v>
      </c>
      <c r="F313" s="4">
        <v>5</v>
      </c>
      <c r="G313" s="3" t="s">
        <v>376</v>
      </c>
      <c r="H313" s="3" t="s">
        <v>46</v>
      </c>
      <c r="I313" s="3" t="s">
        <v>1030</v>
      </c>
      <c r="J313" s="3" t="s">
        <v>94</v>
      </c>
      <c r="K313" s="3" t="s">
        <v>64</v>
      </c>
      <c r="L313" s="3" t="s">
        <v>40</v>
      </c>
      <c r="M313" s="3" t="s">
        <v>1035</v>
      </c>
      <c r="N313" s="3" t="s">
        <v>461</v>
      </c>
      <c r="O313" s="3" t="s">
        <v>42</v>
      </c>
      <c r="P313" s="42" t="s">
        <v>440</v>
      </c>
      <c r="Q313" s="42">
        <v>32519325.159999996</v>
      </c>
      <c r="R313" s="42" t="s">
        <v>423</v>
      </c>
      <c r="S313" s="2" t="s">
        <v>43</v>
      </c>
    </row>
    <row r="314" spans="3:19" x14ac:dyDescent="0.25">
      <c r="C314" s="3" t="s">
        <v>639</v>
      </c>
      <c r="D314" s="3" t="s">
        <v>640</v>
      </c>
      <c r="E314" s="3" t="s">
        <v>641</v>
      </c>
      <c r="F314" s="4">
        <v>5</v>
      </c>
      <c r="G314" s="3" t="s">
        <v>376</v>
      </c>
      <c r="H314" s="3" t="s">
        <v>81</v>
      </c>
      <c r="I314" s="3" t="s">
        <v>1030</v>
      </c>
      <c r="J314" s="3" t="s">
        <v>50</v>
      </c>
      <c r="K314" s="3" t="s">
        <v>64</v>
      </c>
      <c r="L314" s="3" t="s">
        <v>40</v>
      </c>
      <c r="M314" s="3" t="s">
        <v>514</v>
      </c>
      <c r="N314" s="3" t="s">
        <v>639</v>
      </c>
      <c r="O314" s="3" t="s">
        <v>42</v>
      </c>
      <c r="P314" s="42" t="s">
        <v>43</v>
      </c>
      <c r="Q314" s="42">
        <v>56354375.279999994</v>
      </c>
      <c r="R314" s="42" t="s">
        <v>597</v>
      </c>
      <c r="S314" s="2" t="s">
        <v>440</v>
      </c>
    </row>
    <row r="315" spans="3:19" x14ac:dyDescent="0.25">
      <c r="C315" s="3" t="s">
        <v>327</v>
      </c>
      <c r="D315" s="3" t="s">
        <v>328</v>
      </c>
      <c r="E315" s="3" t="s">
        <v>328</v>
      </c>
      <c r="F315" s="4" t="s">
        <v>36</v>
      </c>
      <c r="G315" s="3" t="s">
        <v>37</v>
      </c>
      <c r="H315" s="3" t="s">
        <v>81</v>
      </c>
      <c r="I315" s="3" t="s">
        <v>1046</v>
      </c>
      <c r="J315" s="3" t="s">
        <v>63</v>
      </c>
      <c r="K315" s="3" t="s">
        <v>138</v>
      </c>
      <c r="L315" s="3" t="s">
        <v>40</v>
      </c>
      <c r="M315" s="3">
        <v>0</v>
      </c>
      <c r="N315" s="3" t="s">
        <v>327</v>
      </c>
      <c r="O315" s="3" t="s">
        <v>42</v>
      </c>
      <c r="P315" s="42" t="s">
        <v>43</v>
      </c>
      <c r="Q315" s="42" t="s">
        <v>36</v>
      </c>
      <c r="R315" s="42">
        <v>0</v>
      </c>
      <c r="S315" s="2" t="s">
        <v>43</v>
      </c>
    </row>
    <row r="316" spans="3:19" x14ac:dyDescent="0.25">
      <c r="C316" s="3" t="s">
        <v>329</v>
      </c>
      <c r="D316" s="3" t="s">
        <v>330</v>
      </c>
      <c r="E316" s="3" t="s">
        <v>330</v>
      </c>
      <c r="F316" s="4" t="s">
        <v>36</v>
      </c>
      <c r="G316" s="3" t="s">
        <v>37</v>
      </c>
      <c r="H316" s="3" t="s">
        <v>46</v>
      </c>
      <c r="I316" s="3" t="s">
        <v>1046</v>
      </c>
      <c r="J316" s="3" t="s">
        <v>331</v>
      </c>
      <c r="K316" s="3" t="s">
        <v>138</v>
      </c>
      <c r="L316" s="3" t="s">
        <v>40</v>
      </c>
      <c r="M316" s="3">
        <v>0</v>
      </c>
      <c r="N316" s="3" t="s">
        <v>329</v>
      </c>
      <c r="O316" s="3" t="s">
        <v>42</v>
      </c>
      <c r="P316" s="42" t="s">
        <v>43</v>
      </c>
      <c r="Q316" s="42" t="s">
        <v>36</v>
      </c>
      <c r="R316" s="42">
        <v>0</v>
      </c>
      <c r="S316" s="2" t="s">
        <v>43</v>
      </c>
    </row>
    <row r="317" spans="3:19" x14ac:dyDescent="0.25">
      <c r="C317" s="3" t="s">
        <v>332</v>
      </c>
      <c r="D317" s="3" t="s">
        <v>333</v>
      </c>
      <c r="E317" s="3" t="s">
        <v>333</v>
      </c>
      <c r="F317" s="4" t="s">
        <v>36</v>
      </c>
      <c r="G317" s="3" t="s">
        <v>37</v>
      </c>
      <c r="H317" s="3" t="s">
        <v>81</v>
      </c>
      <c r="I317" s="3" t="s">
        <v>1046</v>
      </c>
      <c r="J317" s="3">
        <v>0</v>
      </c>
      <c r="K317" s="3" t="s">
        <v>59</v>
      </c>
      <c r="L317" s="3" t="s">
        <v>40</v>
      </c>
      <c r="M317" s="3">
        <v>0</v>
      </c>
      <c r="N317" s="3" t="s">
        <v>332</v>
      </c>
      <c r="O317" s="3" t="s">
        <v>42</v>
      </c>
      <c r="P317" s="42" t="s">
        <v>43</v>
      </c>
      <c r="Q317" s="42" t="s">
        <v>36</v>
      </c>
      <c r="R317" s="42">
        <v>0</v>
      </c>
      <c r="S317" s="2" t="s">
        <v>43</v>
      </c>
    </row>
    <row r="318" spans="3:19" x14ac:dyDescent="0.25">
      <c r="C318" s="3" t="s">
        <v>334</v>
      </c>
      <c r="D318" s="3" t="s">
        <v>335</v>
      </c>
      <c r="E318" s="3" t="s">
        <v>336</v>
      </c>
      <c r="F318" s="4" t="s">
        <v>36</v>
      </c>
      <c r="G318" s="3" t="s">
        <v>37</v>
      </c>
      <c r="H318" s="3" t="s">
        <v>46</v>
      </c>
      <c r="I318" s="3" t="s">
        <v>1046</v>
      </c>
      <c r="J318" s="3">
        <v>0</v>
      </c>
      <c r="K318" s="3" t="s">
        <v>47</v>
      </c>
      <c r="L318" s="3" t="s">
        <v>40</v>
      </c>
      <c r="M318" s="3">
        <v>0</v>
      </c>
      <c r="N318" s="3" t="s">
        <v>334</v>
      </c>
      <c r="O318" s="3" t="s">
        <v>42</v>
      </c>
      <c r="P318" s="42" t="s">
        <v>43</v>
      </c>
      <c r="Q318" s="42" t="s">
        <v>36</v>
      </c>
      <c r="R318" s="42">
        <v>0</v>
      </c>
      <c r="S318" s="2" t="s">
        <v>43</v>
      </c>
    </row>
    <row r="319" spans="3:19" x14ac:dyDescent="0.25">
      <c r="C319" s="3" t="s">
        <v>507</v>
      </c>
      <c r="D319" s="3" t="s">
        <v>508</v>
      </c>
      <c r="E319" s="3" t="s">
        <v>508</v>
      </c>
      <c r="F319" s="4">
        <v>5</v>
      </c>
      <c r="G319" s="3" t="s">
        <v>376</v>
      </c>
      <c r="H319" s="3" t="s">
        <v>46</v>
      </c>
      <c r="I319" s="3" t="s">
        <v>1030</v>
      </c>
      <c r="J319" s="3" t="s">
        <v>466</v>
      </c>
      <c r="K319" s="3" t="s">
        <v>51</v>
      </c>
      <c r="L319" s="3" t="s">
        <v>40</v>
      </c>
      <c r="M319" s="3" t="s">
        <v>1035</v>
      </c>
      <c r="N319" s="3" t="s">
        <v>507</v>
      </c>
      <c r="O319" s="3" t="s">
        <v>42</v>
      </c>
      <c r="P319" s="42" t="s">
        <v>43</v>
      </c>
      <c r="Q319" s="42">
        <v>25547209.68</v>
      </c>
      <c r="R319" s="42" t="s">
        <v>467</v>
      </c>
      <c r="S319" s="2" t="s">
        <v>43</v>
      </c>
    </row>
    <row r="320" spans="3:19" x14ac:dyDescent="0.25">
      <c r="C320" s="3" t="s">
        <v>417</v>
      </c>
      <c r="D320" s="3" t="s">
        <v>418</v>
      </c>
      <c r="E320" s="3" t="s">
        <v>418</v>
      </c>
      <c r="F320" s="4">
        <v>5</v>
      </c>
      <c r="G320" s="3" t="s">
        <v>376</v>
      </c>
      <c r="H320" s="3" t="s">
        <v>46</v>
      </c>
      <c r="I320" s="3" t="s">
        <v>1031</v>
      </c>
      <c r="J320" s="3" t="s">
        <v>63</v>
      </c>
      <c r="K320" s="3" t="s">
        <v>138</v>
      </c>
      <c r="L320" s="3" t="s">
        <v>40</v>
      </c>
      <c r="M320" s="3" t="s">
        <v>378</v>
      </c>
      <c r="N320" s="3" t="s">
        <v>417</v>
      </c>
      <c r="O320" s="3" t="s">
        <v>42</v>
      </c>
      <c r="P320" s="42" t="s">
        <v>43</v>
      </c>
      <c r="Q320" s="42">
        <v>28515314.589999996</v>
      </c>
      <c r="R320" s="42" t="s">
        <v>380</v>
      </c>
      <c r="S320" s="2" t="s">
        <v>43</v>
      </c>
    </row>
    <row r="321" spans="3:19" x14ac:dyDescent="0.25">
      <c r="C321" s="3" t="s">
        <v>337</v>
      </c>
      <c r="D321" s="3" t="s">
        <v>338</v>
      </c>
      <c r="E321" s="3" t="s">
        <v>338</v>
      </c>
      <c r="F321" s="4" t="s">
        <v>36</v>
      </c>
      <c r="G321" s="3" t="s">
        <v>37</v>
      </c>
      <c r="H321" s="3" t="s">
        <v>81</v>
      </c>
      <c r="I321" s="3" t="s">
        <v>1046</v>
      </c>
      <c r="J321" s="3" t="s">
        <v>89</v>
      </c>
      <c r="K321" s="3" t="s">
        <v>109</v>
      </c>
      <c r="L321" s="3" t="s">
        <v>91</v>
      </c>
      <c r="M321" s="3">
        <v>0</v>
      </c>
      <c r="N321" s="3" t="s">
        <v>337</v>
      </c>
      <c r="O321" s="3" t="s">
        <v>42</v>
      </c>
      <c r="P321" s="42" t="s">
        <v>43</v>
      </c>
      <c r="Q321" s="42" t="s">
        <v>36</v>
      </c>
      <c r="R321" s="42">
        <v>0</v>
      </c>
      <c r="S321" s="2" t="s">
        <v>43</v>
      </c>
    </row>
    <row r="322" spans="3:19" x14ac:dyDescent="0.25">
      <c r="C322" s="3" t="s">
        <v>339</v>
      </c>
      <c r="D322" s="3" t="s">
        <v>340</v>
      </c>
      <c r="E322" s="3" t="s">
        <v>341</v>
      </c>
      <c r="F322" s="4" t="s">
        <v>36</v>
      </c>
      <c r="G322" s="3" t="s">
        <v>37</v>
      </c>
      <c r="H322" s="3" t="s">
        <v>46</v>
      </c>
      <c r="I322" s="3" t="s">
        <v>1046</v>
      </c>
      <c r="J322" s="3">
        <v>0</v>
      </c>
      <c r="K322" s="3" t="s">
        <v>47</v>
      </c>
      <c r="L322" s="3" t="s">
        <v>40</v>
      </c>
      <c r="M322" s="3">
        <v>0</v>
      </c>
      <c r="N322" s="3" t="s">
        <v>339</v>
      </c>
      <c r="O322" s="3" t="s">
        <v>42</v>
      </c>
      <c r="P322" s="42" t="s">
        <v>43</v>
      </c>
      <c r="Q322" s="42" t="s">
        <v>36</v>
      </c>
      <c r="R322" s="42">
        <v>0</v>
      </c>
      <c r="S322" s="2" t="s">
        <v>43</v>
      </c>
    </row>
    <row r="323" spans="3:19" x14ac:dyDescent="0.25">
      <c r="C323" s="3" t="s">
        <v>825</v>
      </c>
      <c r="D323" s="3" t="s">
        <v>826</v>
      </c>
      <c r="E323" s="3" t="s">
        <v>827</v>
      </c>
      <c r="F323" s="4">
        <v>5</v>
      </c>
      <c r="G323" s="3" t="s">
        <v>376</v>
      </c>
      <c r="H323" s="3" t="s">
        <v>81</v>
      </c>
      <c r="I323" s="3" t="s">
        <v>1030</v>
      </c>
      <c r="J323" s="3" t="s">
        <v>146</v>
      </c>
      <c r="K323" s="3" t="s">
        <v>59</v>
      </c>
      <c r="L323" s="3" t="s">
        <v>40</v>
      </c>
      <c r="M323" s="3" t="s">
        <v>1035</v>
      </c>
      <c r="N323" s="3" t="s">
        <v>825</v>
      </c>
      <c r="O323" s="3" t="s">
        <v>42</v>
      </c>
      <c r="P323" s="42" t="s">
        <v>43</v>
      </c>
      <c r="Q323" s="42">
        <v>47518632.804999992</v>
      </c>
      <c r="R323" s="42" t="s">
        <v>799</v>
      </c>
      <c r="S323" s="2" t="s">
        <v>440</v>
      </c>
    </row>
    <row r="324" spans="3:19" x14ac:dyDescent="0.25">
      <c r="C324" s="3" t="s">
        <v>828</v>
      </c>
      <c r="D324" s="3" t="s">
        <v>829</v>
      </c>
      <c r="E324" s="3" t="s">
        <v>829</v>
      </c>
      <c r="F324" s="4">
        <v>5.68</v>
      </c>
      <c r="G324" s="3" t="s">
        <v>376</v>
      </c>
      <c r="H324" s="3" t="s">
        <v>46</v>
      </c>
      <c r="I324" s="3" t="s">
        <v>1030</v>
      </c>
      <c r="J324" s="3" t="s">
        <v>146</v>
      </c>
      <c r="K324" s="3" t="s">
        <v>59</v>
      </c>
      <c r="L324" s="3" t="s">
        <v>40</v>
      </c>
      <c r="M324" s="3" t="s">
        <v>1035</v>
      </c>
      <c r="N324" s="3" t="s">
        <v>828</v>
      </c>
      <c r="O324" s="3" t="s">
        <v>42</v>
      </c>
      <c r="P324" s="42" t="s">
        <v>43</v>
      </c>
      <c r="Q324" s="42">
        <v>56342879.389999993</v>
      </c>
      <c r="R324" s="42" t="s">
        <v>799</v>
      </c>
      <c r="S324" s="2" t="s">
        <v>43</v>
      </c>
    </row>
    <row r="325" spans="3:19" x14ac:dyDescent="0.25">
      <c r="C325" s="3" t="s">
        <v>342</v>
      </c>
      <c r="D325" s="3" t="s">
        <v>343</v>
      </c>
      <c r="E325" s="3" t="s">
        <v>343</v>
      </c>
      <c r="F325" s="4" t="s">
        <v>36</v>
      </c>
      <c r="G325" s="3" t="s">
        <v>37</v>
      </c>
      <c r="H325" s="3" t="s">
        <v>81</v>
      </c>
      <c r="I325" s="3" t="s">
        <v>1046</v>
      </c>
      <c r="J325" s="3" t="s">
        <v>132</v>
      </c>
      <c r="K325" s="3" t="s">
        <v>51</v>
      </c>
      <c r="L325" s="3" t="s">
        <v>40</v>
      </c>
      <c r="M325" s="3">
        <v>0</v>
      </c>
      <c r="N325" s="3" t="s">
        <v>342</v>
      </c>
      <c r="O325" s="3" t="s">
        <v>42</v>
      </c>
      <c r="P325" s="42" t="s">
        <v>43</v>
      </c>
      <c r="Q325" s="42" t="s">
        <v>36</v>
      </c>
      <c r="R325" s="42">
        <v>0</v>
      </c>
      <c r="S325" s="2" t="s">
        <v>43</v>
      </c>
    </row>
    <row r="326" spans="3:19" x14ac:dyDescent="0.25">
      <c r="C326" s="3" t="s">
        <v>830</v>
      </c>
      <c r="D326" s="3" t="s">
        <v>831</v>
      </c>
      <c r="E326" s="3" t="s">
        <v>832</v>
      </c>
      <c r="F326" s="4">
        <v>5</v>
      </c>
      <c r="G326" s="3" t="s">
        <v>376</v>
      </c>
      <c r="H326" s="3" t="s">
        <v>46</v>
      </c>
      <c r="I326" s="3" t="s">
        <v>1030</v>
      </c>
      <c r="J326" s="3" t="s">
        <v>146</v>
      </c>
      <c r="K326" s="3" t="s">
        <v>59</v>
      </c>
      <c r="L326" s="3" t="s">
        <v>40</v>
      </c>
      <c r="M326" s="3" t="s">
        <v>1035</v>
      </c>
      <c r="N326" s="3" t="s">
        <v>830</v>
      </c>
      <c r="O326" s="3" t="s">
        <v>42</v>
      </c>
      <c r="P326" s="42" t="s">
        <v>43</v>
      </c>
      <c r="Q326" s="42">
        <v>34272435.539999999</v>
      </c>
      <c r="R326" s="42" t="s">
        <v>799</v>
      </c>
      <c r="S326" s="2" t="s">
        <v>43</v>
      </c>
    </row>
    <row r="327" spans="3:19" x14ac:dyDescent="0.25">
      <c r="C327" s="3" t="s">
        <v>921</v>
      </c>
      <c r="D327" s="3" t="s">
        <v>922</v>
      </c>
      <c r="E327" s="3" t="s">
        <v>911</v>
      </c>
      <c r="F327" s="4">
        <v>5</v>
      </c>
      <c r="G327" s="3" t="s">
        <v>376</v>
      </c>
      <c r="H327" s="3" t="s">
        <v>81</v>
      </c>
      <c r="I327" s="3" t="s">
        <v>1030</v>
      </c>
      <c r="J327" s="3" t="s">
        <v>73</v>
      </c>
      <c r="K327" s="3" t="s">
        <v>911</v>
      </c>
      <c r="L327" s="3" t="s">
        <v>40</v>
      </c>
      <c r="M327" s="3" t="s">
        <v>514</v>
      </c>
      <c r="N327" s="3" t="s">
        <v>921</v>
      </c>
      <c r="O327" s="3" t="s">
        <v>42</v>
      </c>
      <c r="P327" s="42" t="s">
        <v>43</v>
      </c>
      <c r="Q327" s="42">
        <v>30216350.044999998</v>
      </c>
      <c r="R327" s="42" t="s">
        <v>886</v>
      </c>
      <c r="S327" s="2" t="s">
        <v>43</v>
      </c>
    </row>
    <row r="328" spans="3:19" x14ac:dyDescent="0.25">
      <c r="C328" s="3" t="s">
        <v>970</v>
      </c>
      <c r="D328" s="3" t="s">
        <v>971</v>
      </c>
      <c r="E328" s="3" t="s">
        <v>972</v>
      </c>
      <c r="F328" s="4">
        <v>5</v>
      </c>
      <c r="G328" s="3" t="s">
        <v>376</v>
      </c>
      <c r="H328" s="3" t="s">
        <v>81</v>
      </c>
      <c r="I328" s="3" t="s">
        <v>1030</v>
      </c>
      <c r="J328" s="3" t="s">
        <v>160</v>
      </c>
      <c r="K328" s="3" t="s">
        <v>353</v>
      </c>
      <c r="L328" s="3" t="s">
        <v>40</v>
      </c>
      <c r="M328" s="3" t="s">
        <v>984</v>
      </c>
      <c r="N328" s="3" t="s">
        <v>970</v>
      </c>
      <c r="O328" s="3" t="s">
        <v>42</v>
      </c>
      <c r="P328" s="42" t="s">
        <v>43</v>
      </c>
      <c r="Q328" s="42">
        <v>31356765.539999999</v>
      </c>
      <c r="R328" s="42" t="s">
        <v>931</v>
      </c>
      <c r="S328" s="2" t="s">
        <v>43</v>
      </c>
    </row>
    <row r="329" spans="3:19" x14ac:dyDescent="0.25">
      <c r="C329" s="3" t="s">
        <v>344</v>
      </c>
      <c r="D329" s="3" t="s">
        <v>345</v>
      </c>
      <c r="E329" s="3" t="s">
        <v>345</v>
      </c>
      <c r="F329" s="4" t="s">
        <v>36</v>
      </c>
      <c r="G329" s="3" t="s">
        <v>37</v>
      </c>
      <c r="H329" s="3" t="s">
        <v>88</v>
      </c>
      <c r="I329" s="3" t="s">
        <v>1046</v>
      </c>
      <c r="J329" s="3">
        <v>0</v>
      </c>
      <c r="K329" s="3" t="s">
        <v>346</v>
      </c>
      <c r="L329" s="3" t="s">
        <v>40</v>
      </c>
      <c r="M329" s="3">
        <v>0</v>
      </c>
      <c r="N329" s="3" t="s">
        <v>344</v>
      </c>
      <c r="O329" s="3" t="s">
        <v>42</v>
      </c>
      <c r="P329" s="42" t="s">
        <v>43</v>
      </c>
      <c r="Q329" s="42" t="s">
        <v>36</v>
      </c>
      <c r="R329" s="42">
        <v>0</v>
      </c>
      <c r="S329" s="2" t="s">
        <v>43</v>
      </c>
    </row>
    <row r="330" spans="3:19" x14ac:dyDescent="0.25">
      <c r="C330" s="3" t="s">
        <v>879</v>
      </c>
      <c r="D330" s="3" t="s">
        <v>880</v>
      </c>
      <c r="E330" s="3" t="s">
        <v>880</v>
      </c>
      <c r="F330" s="4">
        <v>5</v>
      </c>
      <c r="G330" s="3" t="s">
        <v>376</v>
      </c>
      <c r="H330" s="3" t="s">
        <v>46</v>
      </c>
      <c r="I330" s="3" t="s">
        <v>1030</v>
      </c>
      <c r="J330" s="3" t="s">
        <v>132</v>
      </c>
      <c r="K330" s="3" t="s">
        <v>138</v>
      </c>
      <c r="L330" s="3" t="s">
        <v>40</v>
      </c>
      <c r="M330" s="3" t="s">
        <v>1035</v>
      </c>
      <c r="N330" s="3" t="s">
        <v>879</v>
      </c>
      <c r="O330" s="3" t="s">
        <v>42</v>
      </c>
      <c r="P330" s="42" t="s">
        <v>43</v>
      </c>
      <c r="Q330" s="42">
        <v>41414343.634999998</v>
      </c>
      <c r="R330" s="42" t="s">
        <v>847</v>
      </c>
      <c r="S330" s="2" t="s">
        <v>43</v>
      </c>
    </row>
    <row r="331" spans="3:19" x14ac:dyDescent="0.25">
      <c r="C331" s="3" t="s">
        <v>553</v>
      </c>
      <c r="D331" s="3" t="s">
        <v>554</v>
      </c>
      <c r="E331" s="3" t="s">
        <v>554</v>
      </c>
      <c r="F331" s="4">
        <v>5</v>
      </c>
      <c r="G331" s="3" t="s">
        <v>376</v>
      </c>
      <c r="H331" s="3" t="s">
        <v>46</v>
      </c>
      <c r="I331" s="3" t="s">
        <v>1030</v>
      </c>
      <c r="J331" s="3" t="s">
        <v>100</v>
      </c>
      <c r="K331" s="3" t="s">
        <v>138</v>
      </c>
      <c r="L331" s="3" t="s">
        <v>40</v>
      </c>
      <c r="M331" s="3" t="s">
        <v>514</v>
      </c>
      <c r="N331" s="3" t="s">
        <v>553</v>
      </c>
      <c r="O331" s="3" t="s">
        <v>42</v>
      </c>
      <c r="P331" s="42" t="s">
        <v>43</v>
      </c>
      <c r="Q331" s="42">
        <v>29265693.120000001</v>
      </c>
      <c r="R331" s="42" t="s">
        <v>515</v>
      </c>
      <c r="S331" s="2" t="s">
        <v>43</v>
      </c>
    </row>
    <row r="332" spans="3:19" x14ac:dyDescent="0.25">
      <c r="C332" s="3" t="s">
        <v>923</v>
      </c>
      <c r="D332" s="3" t="s">
        <v>924</v>
      </c>
      <c r="E332" s="3" t="s">
        <v>924</v>
      </c>
      <c r="F332" s="4">
        <v>5</v>
      </c>
      <c r="G332" s="3" t="s">
        <v>376</v>
      </c>
      <c r="H332" s="3" t="s">
        <v>46</v>
      </c>
      <c r="I332" s="3" t="s">
        <v>1030</v>
      </c>
      <c r="J332" s="3" t="s">
        <v>73</v>
      </c>
      <c r="K332" s="3" t="s">
        <v>133</v>
      </c>
      <c r="L332" s="3" t="s">
        <v>40</v>
      </c>
      <c r="M332" s="3" t="s">
        <v>514</v>
      </c>
      <c r="N332" s="3" t="s">
        <v>923</v>
      </c>
      <c r="O332" s="3" t="s">
        <v>42</v>
      </c>
      <c r="P332" s="42" t="s">
        <v>43</v>
      </c>
      <c r="Q332" s="42">
        <v>44453995.599999994</v>
      </c>
      <c r="R332" s="42" t="s">
        <v>886</v>
      </c>
      <c r="S332" s="2" t="s">
        <v>43</v>
      </c>
    </row>
    <row r="333" spans="3:19" x14ac:dyDescent="0.25">
      <c r="C333" s="3" t="s">
        <v>761</v>
      </c>
      <c r="D333" s="3" t="s">
        <v>762</v>
      </c>
      <c r="E333" s="3" t="s">
        <v>762</v>
      </c>
      <c r="F333" s="4">
        <v>5</v>
      </c>
      <c r="G333" s="3" t="s">
        <v>376</v>
      </c>
      <c r="H333" s="3" t="s">
        <v>46</v>
      </c>
      <c r="I333" s="3" t="s">
        <v>1031</v>
      </c>
      <c r="J333" s="3" t="s">
        <v>84</v>
      </c>
      <c r="K333" s="3" t="s">
        <v>54</v>
      </c>
      <c r="L333" s="3" t="s">
        <v>55</v>
      </c>
      <c r="M333" s="3" t="s">
        <v>378</v>
      </c>
      <c r="N333" s="3" t="s">
        <v>761</v>
      </c>
      <c r="O333" s="3" t="s">
        <v>42</v>
      </c>
      <c r="P333" s="42" t="s">
        <v>440</v>
      </c>
      <c r="Q333" s="42">
        <v>44240678.124999993</v>
      </c>
      <c r="R333" s="42" t="s">
        <v>741</v>
      </c>
      <c r="S333" s="2" t="s">
        <v>43</v>
      </c>
    </row>
    <row r="334" spans="3:19" x14ac:dyDescent="0.25">
      <c r="C334" s="3" t="s">
        <v>509</v>
      </c>
      <c r="D334" s="3" t="s">
        <v>510</v>
      </c>
      <c r="E334" s="3" t="s">
        <v>510</v>
      </c>
      <c r="F334" s="4">
        <v>5</v>
      </c>
      <c r="G334" s="3" t="s">
        <v>376</v>
      </c>
      <c r="H334" s="3" t="s">
        <v>46</v>
      </c>
      <c r="I334" s="3" t="s">
        <v>1030</v>
      </c>
      <c r="J334" s="3" t="s">
        <v>466</v>
      </c>
      <c r="K334" s="3" t="s">
        <v>51</v>
      </c>
      <c r="L334" s="3" t="s">
        <v>40</v>
      </c>
      <c r="M334" s="3" t="s">
        <v>1035</v>
      </c>
      <c r="N334" s="3" t="s">
        <v>509</v>
      </c>
      <c r="O334" s="3" t="s">
        <v>42</v>
      </c>
      <c r="P334" s="42" t="s">
        <v>43</v>
      </c>
      <c r="Q334" s="42">
        <v>40992133.069999993</v>
      </c>
      <c r="R334" s="42" t="s">
        <v>467</v>
      </c>
      <c r="S334" s="2" t="s">
        <v>43</v>
      </c>
    </row>
    <row r="335" spans="3:19" x14ac:dyDescent="0.25">
      <c r="C335" s="3" t="s">
        <v>347</v>
      </c>
      <c r="D335" s="3" t="s">
        <v>348</v>
      </c>
      <c r="E335" s="3" t="s">
        <v>348</v>
      </c>
      <c r="F335" s="4" t="s">
        <v>36</v>
      </c>
      <c r="G335" s="3" t="s">
        <v>37</v>
      </c>
      <c r="H335" s="3" t="s">
        <v>81</v>
      </c>
      <c r="I335" s="3" t="s">
        <v>1046</v>
      </c>
      <c r="J335" s="3" t="s">
        <v>58</v>
      </c>
      <c r="K335" s="3" t="s">
        <v>59</v>
      </c>
      <c r="L335" s="3" t="s">
        <v>40</v>
      </c>
      <c r="M335" s="3">
        <v>0</v>
      </c>
      <c r="N335" s="3" t="s">
        <v>347</v>
      </c>
      <c r="O335" s="3" t="s">
        <v>42</v>
      </c>
      <c r="P335" s="42" t="s">
        <v>43</v>
      </c>
      <c r="Q335" s="42" t="s">
        <v>36</v>
      </c>
      <c r="R335" s="42">
        <v>0</v>
      </c>
      <c r="S335" s="2" t="s">
        <v>43</v>
      </c>
    </row>
    <row r="336" spans="3:19" x14ac:dyDescent="0.25">
      <c r="C336" s="3" t="s">
        <v>973</v>
      </c>
      <c r="D336" s="3" t="s">
        <v>974</v>
      </c>
      <c r="E336" s="3" t="s">
        <v>974</v>
      </c>
      <c r="F336" s="4">
        <v>5</v>
      </c>
      <c r="G336" s="3" t="s">
        <v>376</v>
      </c>
      <c r="H336" s="3" t="s">
        <v>46</v>
      </c>
      <c r="I336" s="3" t="s">
        <v>1030</v>
      </c>
      <c r="J336" s="3" t="s">
        <v>160</v>
      </c>
      <c r="K336" s="3" t="s">
        <v>39</v>
      </c>
      <c r="L336" s="3" t="s">
        <v>40</v>
      </c>
      <c r="M336" s="3" t="s">
        <v>984</v>
      </c>
      <c r="N336" s="3" t="s">
        <v>973</v>
      </c>
      <c r="O336" s="3" t="s">
        <v>42</v>
      </c>
      <c r="P336" s="42" t="s">
        <v>43</v>
      </c>
      <c r="Q336" s="42">
        <v>31707291.664999995</v>
      </c>
      <c r="R336" s="42" t="s">
        <v>931</v>
      </c>
      <c r="S336" s="2" t="s">
        <v>43</v>
      </c>
    </row>
    <row r="337" spans="3:19" x14ac:dyDescent="0.25">
      <c r="C337" s="3" t="s">
        <v>349</v>
      </c>
      <c r="D337" s="3" t="s">
        <v>350</v>
      </c>
      <c r="E337" s="3" t="s">
        <v>350</v>
      </c>
      <c r="F337" s="4" t="s">
        <v>36</v>
      </c>
      <c r="G337" s="3" t="s">
        <v>37</v>
      </c>
      <c r="H337" s="3" t="s">
        <v>46</v>
      </c>
      <c r="I337" s="3" t="s">
        <v>1046</v>
      </c>
      <c r="J337" s="3">
        <v>0</v>
      </c>
      <c r="K337" s="3" t="s">
        <v>138</v>
      </c>
      <c r="L337" s="3" t="s">
        <v>40</v>
      </c>
      <c r="M337" s="3">
        <v>0</v>
      </c>
      <c r="N337" s="3" t="s">
        <v>349</v>
      </c>
      <c r="O337" s="3" t="s">
        <v>42</v>
      </c>
      <c r="P337" s="42" t="s">
        <v>43</v>
      </c>
      <c r="Q337" s="42" t="s">
        <v>36</v>
      </c>
      <c r="R337" s="42">
        <v>0</v>
      </c>
      <c r="S337" s="2" t="s">
        <v>43</v>
      </c>
    </row>
    <row r="338" spans="3:19" x14ac:dyDescent="0.25">
      <c r="C338" s="3" t="s">
        <v>351</v>
      </c>
      <c r="D338" s="3" t="s">
        <v>352</v>
      </c>
      <c r="E338" s="3" t="s">
        <v>352</v>
      </c>
      <c r="F338" s="4" t="s">
        <v>36</v>
      </c>
      <c r="G338" s="3" t="s">
        <v>37</v>
      </c>
      <c r="H338" s="3" t="s">
        <v>46</v>
      </c>
      <c r="I338" s="3" t="s">
        <v>1046</v>
      </c>
      <c r="J338" s="3" t="s">
        <v>331</v>
      </c>
      <c r="K338" s="3" t="s">
        <v>353</v>
      </c>
      <c r="L338" s="3" t="s">
        <v>40</v>
      </c>
      <c r="M338" s="3">
        <v>0</v>
      </c>
      <c r="N338" s="3" t="s">
        <v>351</v>
      </c>
      <c r="O338" s="3" t="s">
        <v>42</v>
      </c>
      <c r="P338" s="42" t="s">
        <v>43</v>
      </c>
      <c r="Q338" s="42" t="s">
        <v>36</v>
      </c>
      <c r="R338" s="42">
        <v>0</v>
      </c>
      <c r="S338" s="2" t="s">
        <v>43</v>
      </c>
    </row>
    <row r="339" spans="3:19" x14ac:dyDescent="0.25">
      <c r="C339" s="3" t="s">
        <v>833</v>
      </c>
      <c r="D339" s="3" t="s">
        <v>834</v>
      </c>
      <c r="E339" s="3" t="s">
        <v>835</v>
      </c>
      <c r="F339" s="4">
        <v>5</v>
      </c>
      <c r="G339" s="3" t="s">
        <v>376</v>
      </c>
      <c r="H339" s="3" t="s">
        <v>46</v>
      </c>
      <c r="I339" s="3" t="s">
        <v>1030</v>
      </c>
      <c r="J339" s="3" t="s">
        <v>146</v>
      </c>
      <c r="K339" s="3" t="s">
        <v>59</v>
      </c>
      <c r="L339" s="3" t="s">
        <v>40</v>
      </c>
      <c r="M339" s="3" t="s">
        <v>1035</v>
      </c>
      <c r="N339" s="3" t="s">
        <v>833</v>
      </c>
      <c r="O339" s="3" t="s">
        <v>42</v>
      </c>
      <c r="P339" s="42" t="s">
        <v>43</v>
      </c>
      <c r="Q339" s="42">
        <v>52553995.5</v>
      </c>
      <c r="R339" s="42" t="s">
        <v>799</v>
      </c>
      <c r="S339" s="2" t="s">
        <v>43</v>
      </c>
    </row>
    <row r="340" spans="3:19" x14ac:dyDescent="0.25">
      <c r="C340" s="3" t="s">
        <v>354</v>
      </c>
      <c r="D340" s="3" t="s">
        <v>355</v>
      </c>
      <c r="E340" s="3" t="s">
        <v>355</v>
      </c>
      <c r="F340" s="4" t="s">
        <v>36</v>
      </c>
      <c r="G340" s="3" t="s">
        <v>37</v>
      </c>
      <c r="H340" s="3" t="s">
        <v>46</v>
      </c>
      <c r="I340" s="3" t="s">
        <v>1046</v>
      </c>
      <c r="J340" s="3" t="s">
        <v>67</v>
      </c>
      <c r="K340" s="3" t="s">
        <v>59</v>
      </c>
      <c r="L340" s="3" t="s">
        <v>40</v>
      </c>
      <c r="M340" s="3">
        <v>0</v>
      </c>
      <c r="N340" s="3" t="s">
        <v>354</v>
      </c>
      <c r="O340" s="3" t="s">
        <v>42</v>
      </c>
      <c r="P340" s="42" t="s">
        <v>43</v>
      </c>
      <c r="Q340" s="42" t="s">
        <v>36</v>
      </c>
      <c r="R340" s="42">
        <v>0</v>
      </c>
      <c r="S340" s="2" t="s">
        <v>43</v>
      </c>
    </row>
    <row r="341" spans="3:19" x14ac:dyDescent="0.25">
      <c r="C341" s="3" t="s">
        <v>693</v>
      </c>
      <c r="D341" s="3" t="s">
        <v>694</v>
      </c>
      <c r="E341" s="3" t="s">
        <v>694</v>
      </c>
      <c r="F341" s="4">
        <v>5</v>
      </c>
      <c r="G341" s="3" t="s">
        <v>376</v>
      </c>
      <c r="H341" s="3" t="s">
        <v>46</v>
      </c>
      <c r="I341" s="3" t="s">
        <v>1030</v>
      </c>
      <c r="J341" s="3" t="s">
        <v>248</v>
      </c>
      <c r="K341" s="3" t="s">
        <v>51</v>
      </c>
      <c r="L341" s="3" t="s">
        <v>40</v>
      </c>
      <c r="M341" s="3" t="s">
        <v>984</v>
      </c>
      <c r="N341" s="3" t="s">
        <v>693</v>
      </c>
      <c r="O341" s="3" t="s">
        <v>42</v>
      </c>
      <c r="P341" s="42" t="s">
        <v>43</v>
      </c>
      <c r="Q341" s="42">
        <v>30574683.600000001</v>
      </c>
      <c r="R341" s="42" t="s">
        <v>51</v>
      </c>
      <c r="S341" s="2" t="s">
        <v>43</v>
      </c>
    </row>
    <row r="342" spans="3:19" x14ac:dyDescent="0.25">
      <c r="C342" s="3" t="s">
        <v>356</v>
      </c>
      <c r="D342" s="3" t="s">
        <v>357</v>
      </c>
      <c r="E342" s="3" t="s">
        <v>357</v>
      </c>
      <c r="F342" s="4" t="s">
        <v>36</v>
      </c>
      <c r="G342" s="3" t="s">
        <v>37</v>
      </c>
      <c r="H342" s="3" t="s">
        <v>81</v>
      </c>
      <c r="I342" s="3" t="s">
        <v>1046</v>
      </c>
      <c r="J342" s="3" t="s">
        <v>89</v>
      </c>
      <c r="K342" s="3" t="s">
        <v>109</v>
      </c>
      <c r="L342" s="3" t="s">
        <v>91</v>
      </c>
      <c r="M342" s="3">
        <v>0</v>
      </c>
      <c r="N342" s="3" t="s">
        <v>356</v>
      </c>
      <c r="O342" s="3" t="s">
        <v>42</v>
      </c>
      <c r="P342" s="42" t="s">
        <v>43</v>
      </c>
      <c r="Q342" s="42" t="s">
        <v>36</v>
      </c>
      <c r="R342" s="42">
        <v>0</v>
      </c>
      <c r="S342" s="2" t="s">
        <v>43</v>
      </c>
    </row>
    <row r="343" spans="3:19" x14ac:dyDescent="0.25">
      <c r="C343" s="3" t="s">
        <v>925</v>
      </c>
      <c r="D343" s="3" t="s">
        <v>926</v>
      </c>
      <c r="E343" s="3" t="s">
        <v>927</v>
      </c>
      <c r="F343" s="4">
        <v>5</v>
      </c>
      <c r="G343" s="3" t="s">
        <v>376</v>
      </c>
      <c r="H343" s="3" t="s">
        <v>81</v>
      </c>
      <c r="I343" s="3" t="s">
        <v>1030</v>
      </c>
      <c r="J343" s="3" t="s">
        <v>73</v>
      </c>
      <c r="K343" s="3" t="s">
        <v>928</v>
      </c>
      <c r="L343" s="3" t="s">
        <v>40</v>
      </c>
      <c r="M343" s="3" t="s">
        <v>514</v>
      </c>
      <c r="N343" s="3" t="s">
        <v>925</v>
      </c>
      <c r="O343" s="3" t="s">
        <v>42</v>
      </c>
      <c r="P343" s="42" t="s">
        <v>43</v>
      </c>
      <c r="Q343" s="42">
        <v>27533039.931909993</v>
      </c>
      <c r="R343" s="42" t="s">
        <v>886</v>
      </c>
      <c r="S343" s="2" t="s">
        <v>440</v>
      </c>
    </row>
    <row r="344" spans="3:19" x14ac:dyDescent="0.25">
      <c r="C344" s="3" t="s">
        <v>358</v>
      </c>
      <c r="D344" s="3" t="s">
        <v>359</v>
      </c>
      <c r="E344" s="3" t="s">
        <v>359</v>
      </c>
      <c r="F344" s="4" t="s">
        <v>36</v>
      </c>
      <c r="G344" s="3" t="s">
        <v>37</v>
      </c>
      <c r="H344" s="3" t="s">
        <v>81</v>
      </c>
      <c r="I344" s="3" t="s">
        <v>1046</v>
      </c>
      <c r="J344" s="3" t="s">
        <v>248</v>
      </c>
      <c r="K344" s="3" t="s">
        <v>138</v>
      </c>
      <c r="L344" s="3" t="s">
        <v>40</v>
      </c>
      <c r="M344" s="3">
        <v>0</v>
      </c>
      <c r="N344" s="3" t="s">
        <v>358</v>
      </c>
      <c r="O344" s="3" t="s">
        <v>42</v>
      </c>
      <c r="P344" s="42" t="s">
        <v>43</v>
      </c>
      <c r="Q344" s="42" t="s">
        <v>36</v>
      </c>
      <c r="R344" s="42">
        <v>0</v>
      </c>
      <c r="S344" s="2" t="s">
        <v>43</v>
      </c>
    </row>
    <row r="345" spans="3:19" x14ac:dyDescent="0.25">
      <c r="C345" s="3" t="s">
        <v>695</v>
      </c>
      <c r="D345" s="3" t="s">
        <v>696</v>
      </c>
      <c r="E345" s="3" t="s">
        <v>696</v>
      </c>
      <c r="F345" s="4">
        <v>5</v>
      </c>
      <c r="G345" s="3" t="s">
        <v>376</v>
      </c>
      <c r="H345" s="3" t="s">
        <v>46</v>
      </c>
      <c r="I345" s="3" t="s">
        <v>1030</v>
      </c>
      <c r="J345" s="3" t="s">
        <v>248</v>
      </c>
      <c r="K345" s="3" t="s">
        <v>51</v>
      </c>
      <c r="L345" s="3" t="s">
        <v>40</v>
      </c>
      <c r="M345" s="3" t="s">
        <v>984</v>
      </c>
      <c r="N345" s="3" t="s">
        <v>695</v>
      </c>
      <c r="O345" s="3" t="s">
        <v>42</v>
      </c>
      <c r="P345" s="42" t="s">
        <v>43</v>
      </c>
      <c r="Q345" s="42">
        <v>40236349.020000003</v>
      </c>
      <c r="R345" s="42" t="s">
        <v>51</v>
      </c>
      <c r="S345" s="2" t="s">
        <v>43</v>
      </c>
    </row>
    <row r="346" spans="3:19" x14ac:dyDescent="0.25">
      <c r="C346" s="3" t="s">
        <v>360</v>
      </c>
      <c r="D346" s="3" t="s">
        <v>361</v>
      </c>
      <c r="E346" s="3" t="s">
        <v>361</v>
      </c>
      <c r="F346" s="4" t="s">
        <v>36</v>
      </c>
      <c r="G346" s="3" t="s">
        <v>37</v>
      </c>
      <c r="H346" s="3" t="s">
        <v>46</v>
      </c>
      <c r="I346" s="3" t="s">
        <v>1046</v>
      </c>
      <c r="J346" s="3" t="s">
        <v>67</v>
      </c>
      <c r="K346" s="3" t="s">
        <v>59</v>
      </c>
      <c r="L346" s="3" t="s">
        <v>40</v>
      </c>
      <c r="M346" s="3">
        <v>0</v>
      </c>
      <c r="N346" s="3" t="s">
        <v>360</v>
      </c>
      <c r="O346" s="3" t="s">
        <v>42</v>
      </c>
      <c r="P346" s="42" t="s">
        <v>43</v>
      </c>
      <c r="Q346" s="42" t="s">
        <v>36</v>
      </c>
      <c r="R346" s="42">
        <v>0</v>
      </c>
      <c r="S346" s="2" t="s">
        <v>43</v>
      </c>
    </row>
    <row r="347" spans="3:19" x14ac:dyDescent="0.25">
      <c r="C347" s="3" t="s">
        <v>362</v>
      </c>
      <c r="D347" s="3" t="s">
        <v>363</v>
      </c>
      <c r="E347" s="3" t="s">
        <v>363</v>
      </c>
      <c r="F347" s="4" t="s">
        <v>36</v>
      </c>
      <c r="G347" s="3" t="s">
        <v>37</v>
      </c>
      <c r="H347" s="3" t="s">
        <v>81</v>
      </c>
      <c r="I347" s="3" t="s">
        <v>1046</v>
      </c>
      <c r="J347" s="3" t="s">
        <v>73</v>
      </c>
      <c r="K347" s="3" t="s">
        <v>364</v>
      </c>
      <c r="L347" s="3" t="s">
        <v>40</v>
      </c>
      <c r="M347" s="3">
        <v>0</v>
      </c>
      <c r="N347" s="3" t="s">
        <v>362</v>
      </c>
      <c r="O347" s="3" t="s">
        <v>42</v>
      </c>
      <c r="P347" s="42" t="s">
        <v>43</v>
      </c>
      <c r="Q347" s="42" t="s">
        <v>36</v>
      </c>
      <c r="R347" s="42">
        <v>0</v>
      </c>
      <c r="S347" s="2" t="s">
        <v>43</v>
      </c>
    </row>
    <row r="348" spans="3:19" x14ac:dyDescent="0.25">
      <c r="C348" s="3" t="s">
        <v>592</v>
      </c>
      <c r="D348" s="3" t="s">
        <v>593</v>
      </c>
      <c r="E348" s="3" t="s">
        <v>593</v>
      </c>
      <c r="F348" s="4">
        <v>5</v>
      </c>
      <c r="G348" s="3" t="s">
        <v>376</v>
      </c>
      <c r="H348" s="3" t="s">
        <v>81</v>
      </c>
      <c r="I348" s="3" t="s">
        <v>1030</v>
      </c>
      <c r="J348" s="3" t="s">
        <v>331</v>
      </c>
      <c r="K348" s="3" t="s">
        <v>138</v>
      </c>
      <c r="L348" s="3" t="s">
        <v>40</v>
      </c>
      <c r="M348" s="3" t="s">
        <v>984</v>
      </c>
      <c r="N348" s="3" t="s">
        <v>592</v>
      </c>
      <c r="O348" s="3" t="s">
        <v>42</v>
      </c>
      <c r="P348" s="42" t="s">
        <v>43</v>
      </c>
      <c r="Q348" s="42">
        <v>26720192.030429997</v>
      </c>
      <c r="R348" s="42" t="s">
        <v>557</v>
      </c>
      <c r="S348" s="2" t="s">
        <v>440</v>
      </c>
    </row>
    <row r="349" spans="3:19" x14ac:dyDescent="0.25">
      <c r="C349" s="3" t="s">
        <v>365</v>
      </c>
      <c r="D349" s="3" t="s">
        <v>366</v>
      </c>
      <c r="E349" s="3" t="s">
        <v>367</v>
      </c>
      <c r="F349" s="4" t="s">
        <v>36</v>
      </c>
      <c r="G349" s="3" t="s">
        <v>37</v>
      </c>
      <c r="H349" s="3" t="s">
        <v>81</v>
      </c>
      <c r="I349" s="3" t="s">
        <v>1046</v>
      </c>
      <c r="J349" s="3" t="s">
        <v>146</v>
      </c>
      <c r="K349" s="3" t="s">
        <v>59</v>
      </c>
      <c r="L349" s="3" t="s">
        <v>40</v>
      </c>
      <c r="M349" s="3">
        <v>0</v>
      </c>
      <c r="N349" s="3" t="s">
        <v>365</v>
      </c>
      <c r="O349" s="3" t="s">
        <v>42</v>
      </c>
      <c r="P349" s="42" t="s">
        <v>43</v>
      </c>
      <c r="Q349" s="42" t="s">
        <v>36</v>
      </c>
      <c r="R349" s="42">
        <v>0</v>
      </c>
      <c r="S349" s="2" t="s">
        <v>43</v>
      </c>
    </row>
    <row r="350" spans="3:19" x14ac:dyDescent="0.25">
      <c r="C350" s="3" t="s">
        <v>763</v>
      </c>
      <c r="D350" s="3" t="s">
        <v>764</v>
      </c>
      <c r="E350" s="3" t="s">
        <v>765</v>
      </c>
      <c r="F350" s="4">
        <v>5</v>
      </c>
      <c r="G350" s="3" t="s">
        <v>376</v>
      </c>
      <c r="H350" s="3" t="s">
        <v>81</v>
      </c>
      <c r="I350" s="3" t="s">
        <v>1031</v>
      </c>
      <c r="J350" s="3" t="s">
        <v>84</v>
      </c>
      <c r="K350" s="3" t="s">
        <v>279</v>
      </c>
      <c r="L350" s="3" t="s">
        <v>55</v>
      </c>
      <c r="M350" s="3" t="s">
        <v>378</v>
      </c>
      <c r="N350" s="3" t="s">
        <v>763</v>
      </c>
      <c r="O350" s="3" t="s">
        <v>42</v>
      </c>
      <c r="P350" s="42" t="s">
        <v>43</v>
      </c>
      <c r="Q350" s="42">
        <v>32201407.874999996</v>
      </c>
      <c r="R350" s="42" t="s">
        <v>741</v>
      </c>
      <c r="S350" s="2" t="s">
        <v>440</v>
      </c>
    </row>
    <row r="351" spans="3:19" x14ac:dyDescent="0.25">
      <c r="C351" s="3" t="s">
        <v>836</v>
      </c>
      <c r="D351" s="3" t="s">
        <v>837</v>
      </c>
      <c r="E351" s="3" t="s">
        <v>838</v>
      </c>
      <c r="F351" s="4">
        <v>5</v>
      </c>
      <c r="G351" s="3" t="s">
        <v>376</v>
      </c>
      <c r="H351" s="3" t="s">
        <v>81</v>
      </c>
      <c r="I351" s="3" t="s">
        <v>1030</v>
      </c>
      <c r="J351" s="3" t="s">
        <v>146</v>
      </c>
      <c r="K351" s="3" t="s">
        <v>59</v>
      </c>
      <c r="L351" s="3" t="s">
        <v>40</v>
      </c>
      <c r="M351" s="3" t="s">
        <v>1035</v>
      </c>
      <c r="N351" s="3" t="s">
        <v>836</v>
      </c>
      <c r="O351" s="3" t="s">
        <v>42</v>
      </c>
      <c r="P351" s="42" t="s">
        <v>43</v>
      </c>
      <c r="Q351" s="42">
        <v>44199064.32</v>
      </c>
      <c r="R351" s="42" t="s">
        <v>799</v>
      </c>
      <c r="S351" s="2" t="s">
        <v>43</v>
      </c>
    </row>
    <row r="352" spans="3:19" x14ac:dyDescent="0.25">
      <c r="C352" s="3" t="s">
        <v>975</v>
      </c>
      <c r="D352" s="3" t="s">
        <v>976</v>
      </c>
      <c r="E352" s="3" t="s">
        <v>976</v>
      </c>
      <c r="F352" s="4">
        <v>2</v>
      </c>
      <c r="G352" s="3" t="s">
        <v>376</v>
      </c>
      <c r="H352" s="3" t="s">
        <v>46</v>
      </c>
      <c r="I352" s="3" t="s">
        <v>1030</v>
      </c>
      <c r="J352" s="3" t="s">
        <v>160</v>
      </c>
      <c r="K352" s="3" t="s">
        <v>39</v>
      </c>
      <c r="L352" s="3" t="s">
        <v>40</v>
      </c>
      <c r="M352" s="3" t="s">
        <v>984</v>
      </c>
      <c r="N352" s="3" t="s">
        <v>975</v>
      </c>
      <c r="O352" s="3" t="s">
        <v>42</v>
      </c>
      <c r="P352" s="42" t="s">
        <v>43</v>
      </c>
      <c r="Q352" s="42">
        <v>17512624.254999999</v>
      </c>
      <c r="R352" s="42" t="s">
        <v>931</v>
      </c>
      <c r="S352" s="2" t="s">
        <v>43</v>
      </c>
    </row>
    <row r="353" spans="3:19" x14ac:dyDescent="0.25">
      <c r="C353" s="3" t="s">
        <v>766</v>
      </c>
      <c r="D353" s="3" t="s">
        <v>767</v>
      </c>
      <c r="E353" s="3" t="s">
        <v>768</v>
      </c>
      <c r="F353" s="4">
        <v>4.5</v>
      </c>
      <c r="G353" s="3" t="s">
        <v>376</v>
      </c>
      <c r="H353" s="3" t="s">
        <v>81</v>
      </c>
      <c r="I353" s="3" t="s">
        <v>1031</v>
      </c>
      <c r="J353" s="3" t="s">
        <v>84</v>
      </c>
      <c r="K353" s="3" t="s">
        <v>54</v>
      </c>
      <c r="L353" s="3" t="s">
        <v>55</v>
      </c>
      <c r="M353" s="3" t="s">
        <v>378</v>
      </c>
      <c r="N353" s="3" t="s">
        <v>766</v>
      </c>
      <c r="O353" s="3" t="s">
        <v>42</v>
      </c>
      <c r="P353" s="42" t="s">
        <v>43</v>
      </c>
      <c r="Q353" s="42">
        <v>29609576.940000001</v>
      </c>
      <c r="R353" s="42" t="s">
        <v>741</v>
      </c>
      <c r="S353" s="2" t="s">
        <v>440</v>
      </c>
    </row>
    <row r="354" spans="3:19" x14ac:dyDescent="0.25">
      <c r="C354" s="3" t="s">
        <v>368</v>
      </c>
      <c r="D354" s="3" t="s">
        <v>369</v>
      </c>
      <c r="E354" s="3" t="s">
        <v>370</v>
      </c>
      <c r="F354" s="4" t="s">
        <v>36</v>
      </c>
      <c r="G354" s="3" t="s">
        <v>37</v>
      </c>
      <c r="H354" s="3" t="s">
        <v>88</v>
      </c>
      <c r="I354" s="3" t="s">
        <v>1046</v>
      </c>
      <c r="J354" s="3" t="s">
        <v>160</v>
      </c>
      <c r="K354" s="3" t="s">
        <v>371</v>
      </c>
      <c r="L354" s="3" t="s">
        <v>40</v>
      </c>
      <c r="M354" s="3">
        <v>0</v>
      </c>
      <c r="N354" s="3" t="s">
        <v>368</v>
      </c>
      <c r="O354" s="3" t="s">
        <v>42</v>
      </c>
      <c r="P354" s="42" t="s">
        <v>43</v>
      </c>
      <c r="Q354" s="42" t="s">
        <v>36</v>
      </c>
      <c r="R354" s="42">
        <v>0</v>
      </c>
      <c r="S354" s="2" t="s">
        <v>43</v>
      </c>
    </row>
    <row r="355" spans="3:19" x14ac:dyDescent="0.25">
      <c r="C355" s="3" t="s">
        <v>736</v>
      </c>
      <c r="D355" s="3" t="s">
        <v>737</v>
      </c>
      <c r="E355" s="3" t="s">
        <v>738</v>
      </c>
      <c r="F355" s="4">
        <v>6</v>
      </c>
      <c r="G355" s="3" t="s">
        <v>376</v>
      </c>
      <c r="H355" s="3" t="s">
        <v>81</v>
      </c>
      <c r="I355" s="3" t="s">
        <v>1031</v>
      </c>
      <c r="J355" s="3" t="s">
        <v>84</v>
      </c>
      <c r="K355" s="3" t="s">
        <v>722</v>
      </c>
      <c r="L355" s="3" t="s">
        <v>55</v>
      </c>
      <c r="M355" s="3" t="s">
        <v>378</v>
      </c>
      <c r="N355" s="3" t="s">
        <v>736</v>
      </c>
      <c r="O355" s="3">
        <v>0</v>
      </c>
      <c r="P355" s="42" t="s">
        <v>43</v>
      </c>
      <c r="Q355" s="42">
        <v>45970624.800000004</v>
      </c>
      <c r="R355" s="42" t="s">
        <v>702</v>
      </c>
      <c r="S355" s="2" t="s">
        <v>440</v>
      </c>
    </row>
    <row r="356" spans="3:19" x14ac:dyDescent="0.25">
      <c r="C356" s="3" t="s">
        <v>612</v>
      </c>
      <c r="D356" s="3" t="s">
        <v>613</v>
      </c>
      <c r="E356" s="3" t="s">
        <v>613</v>
      </c>
      <c r="F356" s="4">
        <v>5</v>
      </c>
      <c r="G356" s="3" t="s">
        <v>376</v>
      </c>
      <c r="H356" s="3" t="s">
        <v>81</v>
      </c>
      <c r="I356" s="3" t="s">
        <v>1030</v>
      </c>
      <c r="J356" s="3" t="s">
        <v>50</v>
      </c>
      <c r="K356" s="3" t="s">
        <v>364</v>
      </c>
      <c r="L356" s="3" t="s">
        <v>40</v>
      </c>
      <c r="M356" s="3" t="s">
        <v>514</v>
      </c>
      <c r="N356" s="3" t="s">
        <v>612</v>
      </c>
      <c r="O356" s="3" t="s">
        <v>42</v>
      </c>
      <c r="P356" s="42" t="s">
        <v>43</v>
      </c>
      <c r="Q356" s="42">
        <v>51275447.229999997</v>
      </c>
      <c r="R356" s="42" t="s">
        <v>597</v>
      </c>
      <c r="S356" s="2" t="s">
        <v>440</v>
      </c>
    </row>
    <row r="357" spans="3:19" x14ac:dyDescent="0.25">
      <c r="C357" s="3" t="s">
        <v>614</v>
      </c>
      <c r="D357" s="3" t="s">
        <v>615</v>
      </c>
      <c r="E357" s="3" t="s">
        <v>615</v>
      </c>
      <c r="F357" s="4">
        <v>5</v>
      </c>
      <c r="G357" s="3" t="s">
        <v>376</v>
      </c>
      <c r="H357" s="3" t="s">
        <v>81</v>
      </c>
      <c r="I357" s="3" t="s">
        <v>1030</v>
      </c>
      <c r="J357" s="3" t="s">
        <v>50</v>
      </c>
      <c r="K357" s="3" t="s">
        <v>64</v>
      </c>
      <c r="L357" s="3" t="s">
        <v>40</v>
      </c>
      <c r="M357" s="3" t="s">
        <v>514</v>
      </c>
      <c r="N357" s="3" t="s">
        <v>614</v>
      </c>
      <c r="O357" s="3" t="s">
        <v>42</v>
      </c>
      <c r="P357" s="42" t="s">
        <v>43</v>
      </c>
      <c r="Q357" s="42">
        <v>38197992.349999994</v>
      </c>
      <c r="R357" s="42" t="s">
        <v>597</v>
      </c>
      <c r="S357" s="2" t="s">
        <v>440</v>
      </c>
    </row>
    <row r="358" spans="3:19" x14ac:dyDescent="0.25">
      <c r="C358" s="3" t="s">
        <v>372</v>
      </c>
      <c r="D358" s="3" t="s">
        <v>372</v>
      </c>
      <c r="E358" s="3" t="s">
        <v>372</v>
      </c>
      <c r="F358" s="4"/>
      <c r="G358" s="3" t="s">
        <v>372</v>
      </c>
      <c r="H358" s="3" t="s">
        <v>372</v>
      </c>
      <c r="I358" s="3" t="s">
        <v>372</v>
      </c>
      <c r="J358" s="3" t="s">
        <v>372</v>
      </c>
      <c r="K358" s="3" t="s">
        <v>372</v>
      </c>
      <c r="L358" s="3" t="s">
        <v>372</v>
      </c>
      <c r="M358" s="3" t="s">
        <v>372</v>
      </c>
      <c r="N358" s="3" t="s">
        <v>372</v>
      </c>
      <c r="O358" s="3" t="s">
        <v>372</v>
      </c>
      <c r="P358" s="3" t="s">
        <v>372</v>
      </c>
      <c r="Q358" s="3" t="s">
        <v>372</v>
      </c>
      <c r="R358" s="3" t="s">
        <v>372</v>
      </c>
      <c r="S358" s="2" t="s">
        <v>43</v>
      </c>
    </row>
    <row r="359" spans="3:19" x14ac:dyDescent="0.25">
      <c r="C359" s="3" t="s">
        <v>697</v>
      </c>
      <c r="D359" s="3" t="s">
        <v>698</v>
      </c>
      <c r="E359" s="3" t="s">
        <v>698</v>
      </c>
      <c r="F359" s="4">
        <v>5.07</v>
      </c>
      <c r="G359" s="3" t="s">
        <v>376</v>
      </c>
      <c r="H359" s="3" t="s">
        <v>81</v>
      </c>
      <c r="I359" s="3" t="s">
        <v>1030</v>
      </c>
      <c r="J359" s="3" t="s">
        <v>248</v>
      </c>
      <c r="K359" s="3" t="s">
        <v>51</v>
      </c>
      <c r="L359" s="3" t="s">
        <v>40</v>
      </c>
      <c r="M359" s="3" t="s">
        <v>984</v>
      </c>
      <c r="N359" s="3" t="s">
        <v>697</v>
      </c>
      <c r="O359" s="3" t="s">
        <v>42</v>
      </c>
      <c r="P359" s="42" t="s">
        <v>43</v>
      </c>
      <c r="Q359" s="42">
        <v>30134890</v>
      </c>
      <c r="R359" s="42" t="s">
        <v>51</v>
      </c>
      <c r="S359" s="2" t="s">
        <v>43</v>
      </c>
    </row>
    <row r="360" spans="3:19" ht="18" x14ac:dyDescent="0.25">
      <c r="F360" s="46">
        <f>SUM(F4:F357)</f>
        <v>1323.9900000000005</v>
      </c>
    </row>
    <row r="374" spans="3:3" x14ac:dyDescent="0.25">
      <c r="C374" s="3" t="s">
        <v>426</v>
      </c>
    </row>
    <row r="375" spans="3:3" x14ac:dyDescent="0.25">
      <c r="C375" s="3" t="s">
        <v>685</v>
      </c>
    </row>
    <row r="376" spans="3:3" x14ac:dyDescent="0.25">
      <c r="C376" s="3" t="s">
        <v>437</v>
      </c>
    </row>
    <row r="377" spans="3:3" x14ac:dyDescent="0.25">
      <c r="C377" s="3" t="s">
        <v>592</v>
      </c>
    </row>
  </sheetData>
  <autoFilter ref="C3:S360" xr:uid="{45A353CE-669D-43E3-82E9-D48409214764}"/>
  <pageMargins left="0.7" right="0.7" top="0.75" bottom="0.75" header="0.3" footer="0.3"/>
  <pageSetup paperSize="9" orientation="portrait" r:id="rId1"/>
  <headerFooter>
    <oddFooter>&amp;C_x000D_&amp;1#&amp;"Calibri"&amp;10&amp;K000000 OXXO | Uso Interno</oddFooter>
  </headerFooter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5EE7A-8650-41C3-8A38-A4CC79BD1687}">
  <sheetPr codeName="Hoja6"/>
  <dimension ref="C1:V360"/>
  <sheetViews>
    <sheetView topLeftCell="F326" zoomScale="70" zoomScaleNormal="70" workbookViewId="0">
      <selection activeCell="J337" sqref="J337"/>
    </sheetView>
  </sheetViews>
  <sheetFormatPr baseColWidth="10" defaultColWidth="10.81640625" defaultRowHeight="12.5" x14ac:dyDescent="0.25"/>
  <cols>
    <col min="1" max="1" width="6.453125" style="16" customWidth="1"/>
    <col min="2" max="2" width="5.26953125" style="16" customWidth="1"/>
    <col min="3" max="3" width="17.26953125" style="16" bestFit="1" customWidth="1"/>
    <col min="4" max="4" width="40.54296875" style="16" bestFit="1" customWidth="1"/>
    <col min="5" max="5" width="33.26953125" style="16" customWidth="1"/>
    <col min="6" max="6" width="16.26953125" style="16" customWidth="1"/>
    <col min="7" max="8" width="23.54296875" style="16" customWidth="1"/>
    <col min="9" max="9" width="30" style="16" customWidth="1"/>
    <col min="10" max="10" width="39.81640625" style="16" customWidth="1"/>
    <col min="11" max="13" width="31.453125" style="16" customWidth="1"/>
    <col min="14" max="14" width="10.81640625" style="16" customWidth="1"/>
    <col min="15" max="15" width="48" style="16" customWidth="1"/>
    <col min="16" max="16" width="14.54296875" style="16" customWidth="1"/>
    <col min="17" max="20" width="25.453125" style="16" customWidth="1"/>
    <col min="21" max="21" width="17" style="16" bestFit="1" customWidth="1"/>
    <col min="22" max="22" width="16.54296875" style="16" bestFit="1" customWidth="1"/>
    <col min="23" max="16384" width="10.81640625" style="16"/>
  </cols>
  <sheetData>
    <row r="1" spans="3:22" ht="15.5" x14ac:dyDescent="0.25">
      <c r="F1" s="22">
        <f>30/44</f>
        <v>0.68181818181818177</v>
      </c>
      <c r="U1" s="16" t="s">
        <v>1040</v>
      </c>
      <c r="V1" s="16" t="s">
        <v>1042</v>
      </c>
    </row>
    <row r="2" spans="3:22" x14ac:dyDescent="0.25">
      <c r="C2" s="16">
        <v>1</v>
      </c>
      <c r="D2" s="16">
        <f>C2+1</f>
        <v>2</v>
      </c>
      <c r="E2" s="16">
        <f t="shared" ref="E2:O2" si="0">D2+1</f>
        <v>3</v>
      </c>
      <c r="F2" s="16">
        <f t="shared" si="0"/>
        <v>4</v>
      </c>
      <c r="G2" s="16">
        <f t="shared" si="0"/>
        <v>5</v>
      </c>
      <c r="H2" s="16">
        <f>G2+1</f>
        <v>6</v>
      </c>
      <c r="I2" s="16">
        <f t="shared" si="0"/>
        <v>7</v>
      </c>
      <c r="J2" s="16">
        <f t="shared" si="0"/>
        <v>8</v>
      </c>
      <c r="K2" s="16">
        <f t="shared" si="0"/>
        <v>9</v>
      </c>
      <c r="L2" s="16">
        <f t="shared" si="0"/>
        <v>10</v>
      </c>
      <c r="M2" s="16">
        <f t="shared" si="0"/>
        <v>11</v>
      </c>
      <c r="N2" s="16">
        <f t="shared" si="0"/>
        <v>12</v>
      </c>
      <c r="O2" s="16">
        <f t="shared" si="0"/>
        <v>13</v>
      </c>
      <c r="P2" s="16">
        <v>14</v>
      </c>
      <c r="Q2" s="16">
        <v>15</v>
      </c>
      <c r="U2"/>
      <c r="V2"/>
    </row>
    <row r="3" spans="3:22" ht="13" x14ac:dyDescent="0.25">
      <c r="C3" s="23" t="s">
        <v>15</v>
      </c>
      <c r="D3" s="23" t="s">
        <v>16</v>
      </c>
      <c r="E3" s="23" t="s">
        <v>17</v>
      </c>
      <c r="F3" s="23" t="s">
        <v>18</v>
      </c>
      <c r="G3" s="23" t="s">
        <v>1040</v>
      </c>
      <c r="H3" s="23" t="s">
        <v>20</v>
      </c>
      <c r="I3" s="23" t="s">
        <v>21</v>
      </c>
      <c r="J3" s="23" t="s">
        <v>22</v>
      </c>
      <c r="K3" s="23" t="s">
        <v>24</v>
      </c>
      <c r="L3" s="23" t="s">
        <v>25</v>
      </c>
      <c r="M3" s="23" t="s">
        <v>26</v>
      </c>
      <c r="N3" s="23" t="s">
        <v>15</v>
      </c>
      <c r="O3" s="23" t="s">
        <v>27</v>
      </c>
      <c r="P3" s="34" t="s">
        <v>28</v>
      </c>
      <c r="Q3" s="36" t="s">
        <v>29</v>
      </c>
      <c r="R3" s="36" t="s">
        <v>33</v>
      </c>
      <c r="S3" s="36"/>
      <c r="T3" s="36"/>
      <c r="U3"/>
      <c r="V3"/>
    </row>
    <row r="4" spans="3:22" x14ac:dyDescent="0.25">
      <c r="C4" s="24" t="s">
        <v>929</v>
      </c>
      <c r="D4" s="24" t="s">
        <v>930</v>
      </c>
      <c r="E4" s="24" t="s">
        <v>930</v>
      </c>
      <c r="F4" s="25">
        <v>11.68</v>
      </c>
      <c r="G4" s="24" t="s">
        <v>376</v>
      </c>
      <c r="H4" s="24" t="s">
        <v>46</v>
      </c>
      <c r="I4" s="24" t="s">
        <v>1030</v>
      </c>
      <c r="J4" s="24" t="s">
        <v>160</v>
      </c>
      <c r="K4" s="24" t="s">
        <v>353</v>
      </c>
      <c r="L4" s="24" t="s">
        <v>40</v>
      </c>
      <c r="M4" s="3" t="s">
        <v>984</v>
      </c>
      <c r="N4" s="24" t="s">
        <v>929</v>
      </c>
      <c r="O4" s="24" t="s">
        <v>379</v>
      </c>
      <c r="P4" s="16" t="s">
        <v>43</v>
      </c>
      <c r="Q4" s="32">
        <v>89434618.611360028</v>
      </c>
      <c r="R4" s="32"/>
      <c r="S4" s="32"/>
      <c r="T4" s="32"/>
      <c r="U4"/>
      <c r="V4"/>
    </row>
    <row r="5" spans="3:22" x14ac:dyDescent="0.25">
      <c r="C5" s="24" t="s">
        <v>651</v>
      </c>
      <c r="D5" s="24" t="s">
        <v>652</v>
      </c>
      <c r="E5" s="24" t="s">
        <v>652</v>
      </c>
      <c r="F5" s="25">
        <v>12</v>
      </c>
      <c r="G5" s="24" t="s">
        <v>376</v>
      </c>
      <c r="H5" s="24" t="s">
        <v>46</v>
      </c>
      <c r="I5" s="24" t="s">
        <v>1030</v>
      </c>
      <c r="J5" s="24" t="s">
        <v>248</v>
      </c>
      <c r="K5" s="24" t="s">
        <v>51</v>
      </c>
      <c r="L5" s="24" t="s">
        <v>40</v>
      </c>
      <c r="M5" s="3" t="s">
        <v>984</v>
      </c>
      <c r="N5" s="24" t="s">
        <v>651</v>
      </c>
      <c r="O5" s="24" t="s">
        <v>379</v>
      </c>
      <c r="P5" s="16" t="s">
        <v>43</v>
      </c>
      <c r="Q5" s="32">
        <v>136726755.60683998</v>
      </c>
      <c r="R5" s="32"/>
      <c r="S5" s="32"/>
      <c r="T5" s="32"/>
      <c r="U5"/>
      <c r="V5"/>
    </row>
    <row r="6" spans="3:22" x14ac:dyDescent="0.25">
      <c r="C6" s="24" t="s">
        <v>373</v>
      </c>
      <c r="D6" s="24" t="s">
        <v>374</v>
      </c>
      <c r="E6" s="24" t="s">
        <v>375</v>
      </c>
      <c r="F6" s="25">
        <v>11.68</v>
      </c>
      <c r="G6" s="24" t="s">
        <v>376</v>
      </c>
      <c r="H6" s="24" t="s">
        <v>46</v>
      </c>
      <c r="I6" s="24" t="s">
        <v>1031</v>
      </c>
      <c r="J6" s="24" t="s">
        <v>63</v>
      </c>
      <c r="K6" s="24" t="s">
        <v>138</v>
      </c>
      <c r="L6" s="24" t="s">
        <v>40</v>
      </c>
      <c r="M6" s="24" t="s">
        <v>378</v>
      </c>
      <c r="N6" s="24" t="s">
        <v>373</v>
      </c>
      <c r="O6" s="24" t="s">
        <v>379</v>
      </c>
      <c r="P6" s="16" t="s">
        <v>43</v>
      </c>
      <c r="Q6" s="32">
        <v>121829542.82536665</v>
      </c>
      <c r="R6" s="32"/>
      <c r="S6" s="32"/>
      <c r="T6" s="32"/>
      <c r="U6"/>
      <c r="V6"/>
    </row>
    <row r="7" spans="3:22" x14ac:dyDescent="0.25">
      <c r="C7" s="24" t="s">
        <v>699</v>
      </c>
      <c r="D7" s="24" t="s">
        <v>985</v>
      </c>
      <c r="E7" s="24" t="s">
        <v>701</v>
      </c>
      <c r="F7" s="25">
        <v>10</v>
      </c>
      <c r="G7" s="24" t="s">
        <v>376</v>
      </c>
      <c r="H7" s="24" t="s">
        <v>46</v>
      </c>
      <c r="I7" s="24" t="s">
        <v>1031</v>
      </c>
      <c r="J7" s="24" t="s">
        <v>84</v>
      </c>
      <c r="K7" s="24" t="s">
        <v>54</v>
      </c>
      <c r="L7" s="24" t="s">
        <v>55</v>
      </c>
      <c r="M7" s="24" t="s">
        <v>378</v>
      </c>
      <c r="N7" s="24" t="s">
        <v>699</v>
      </c>
      <c r="O7" s="24" t="s">
        <v>379</v>
      </c>
      <c r="P7" s="16" t="s">
        <v>43</v>
      </c>
      <c r="Q7" s="32">
        <v>105522724.46799996</v>
      </c>
      <c r="R7" s="32"/>
      <c r="S7" s="32"/>
      <c r="T7" s="32"/>
      <c r="U7"/>
      <c r="V7"/>
    </row>
    <row r="8" spans="3:22" x14ac:dyDescent="0.25">
      <c r="C8" s="24" t="s">
        <v>739</v>
      </c>
      <c r="D8" s="24" t="s">
        <v>740</v>
      </c>
      <c r="E8" s="24" t="s">
        <v>740</v>
      </c>
      <c r="F8" s="25">
        <v>9</v>
      </c>
      <c r="G8" s="24" t="s">
        <v>376</v>
      </c>
      <c r="H8" s="24" t="s">
        <v>46</v>
      </c>
      <c r="I8" s="24" t="s">
        <v>1031</v>
      </c>
      <c r="J8" s="24" t="s">
        <v>1048</v>
      </c>
      <c r="K8" s="24" t="s">
        <v>54</v>
      </c>
      <c r="L8" s="24" t="s">
        <v>55</v>
      </c>
      <c r="M8" s="24" t="s">
        <v>378</v>
      </c>
      <c r="N8" s="24" t="s">
        <v>739</v>
      </c>
      <c r="O8" s="24" t="s">
        <v>379</v>
      </c>
      <c r="P8" s="16" t="s">
        <v>43</v>
      </c>
      <c r="Q8" s="32">
        <v>85235705.744666666</v>
      </c>
      <c r="R8" s="32"/>
      <c r="S8" s="32"/>
      <c r="T8" s="32"/>
      <c r="U8"/>
      <c r="V8"/>
    </row>
    <row r="9" spans="3:22" x14ac:dyDescent="0.25">
      <c r="C9" s="24" t="s">
        <v>381</v>
      </c>
      <c r="D9" s="24" t="s">
        <v>382</v>
      </c>
      <c r="E9" s="24" t="s">
        <v>382</v>
      </c>
      <c r="F9" s="25">
        <v>9.1300000000000008</v>
      </c>
      <c r="G9" s="24" t="s">
        <v>376</v>
      </c>
      <c r="H9" s="24" t="s">
        <v>46</v>
      </c>
      <c r="I9" s="24" t="s">
        <v>1031</v>
      </c>
      <c r="J9" s="24" t="s">
        <v>63</v>
      </c>
      <c r="K9" s="24" t="s">
        <v>138</v>
      </c>
      <c r="L9" s="24" t="s">
        <v>40</v>
      </c>
      <c r="M9" s="24" t="s">
        <v>378</v>
      </c>
      <c r="N9" s="24" t="s">
        <v>381</v>
      </c>
      <c r="O9" s="24" t="s">
        <v>379</v>
      </c>
      <c r="P9" s="16" t="s">
        <v>43</v>
      </c>
      <c r="Q9" s="32">
        <v>66225973.509233318</v>
      </c>
      <c r="R9" s="32"/>
      <c r="S9" s="32"/>
      <c r="T9" s="32"/>
      <c r="U9"/>
      <c r="V9"/>
    </row>
    <row r="10" spans="3:22" x14ac:dyDescent="0.25">
      <c r="C10" s="24" t="s">
        <v>511</v>
      </c>
      <c r="D10" s="24" t="s">
        <v>512</v>
      </c>
      <c r="E10" s="24" t="s">
        <v>513</v>
      </c>
      <c r="F10" s="25">
        <v>10.58</v>
      </c>
      <c r="G10" s="24" t="s">
        <v>376</v>
      </c>
      <c r="H10" s="24" t="s">
        <v>46</v>
      </c>
      <c r="I10" s="24" t="s">
        <v>1030</v>
      </c>
      <c r="J10" s="24" t="s">
        <v>100</v>
      </c>
      <c r="K10" s="24" t="s">
        <v>138</v>
      </c>
      <c r="L10" s="24" t="s">
        <v>40</v>
      </c>
      <c r="M10" s="24" t="s">
        <v>514</v>
      </c>
      <c r="N10" s="24" t="s">
        <v>511</v>
      </c>
      <c r="O10" s="24" t="s">
        <v>379</v>
      </c>
      <c r="P10" s="16" t="s">
        <v>43</v>
      </c>
      <c r="Q10" s="32">
        <v>99462965.505333334</v>
      </c>
      <c r="R10" s="32"/>
      <c r="S10" s="32"/>
      <c r="T10" s="32"/>
      <c r="U10"/>
      <c r="V10"/>
    </row>
    <row r="11" spans="3:22" x14ac:dyDescent="0.25">
      <c r="C11" s="24" t="s">
        <v>516</v>
      </c>
      <c r="D11" s="24" t="s">
        <v>517</v>
      </c>
      <c r="E11" s="24" t="s">
        <v>518</v>
      </c>
      <c r="F11" s="25">
        <v>10.130000000000001</v>
      </c>
      <c r="G11" s="24" t="s">
        <v>376</v>
      </c>
      <c r="H11" s="24" t="s">
        <v>46</v>
      </c>
      <c r="I11" s="24" t="s">
        <v>1030</v>
      </c>
      <c r="J11" s="24" t="s">
        <v>100</v>
      </c>
      <c r="K11" s="24" t="s">
        <v>205</v>
      </c>
      <c r="L11" s="24" t="s">
        <v>40</v>
      </c>
      <c r="M11" s="24" t="s">
        <v>514</v>
      </c>
      <c r="N11" s="24" t="s">
        <v>516</v>
      </c>
      <c r="O11" s="24" t="s">
        <v>379</v>
      </c>
      <c r="P11" s="16" t="s">
        <v>43</v>
      </c>
      <c r="Q11" s="32">
        <v>86565525.286666647</v>
      </c>
      <c r="R11" s="32"/>
      <c r="S11" s="32"/>
      <c r="T11" s="32"/>
      <c r="U11"/>
      <c r="V11"/>
    </row>
    <row r="12" spans="3:22" x14ac:dyDescent="0.25">
      <c r="C12" s="24" t="s">
        <v>796</v>
      </c>
      <c r="D12" s="24" t="s">
        <v>797</v>
      </c>
      <c r="E12" s="24" t="s">
        <v>797</v>
      </c>
      <c r="F12" s="25">
        <v>8</v>
      </c>
      <c r="G12" s="24" t="s">
        <v>376</v>
      </c>
      <c r="H12" s="24" t="s">
        <v>81</v>
      </c>
      <c r="I12" s="24" t="s">
        <v>1030</v>
      </c>
      <c r="J12" s="24" t="s">
        <v>146</v>
      </c>
      <c r="K12" s="24" t="s">
        <v>59</v>
      </c>
      <c r="L12" s="24" t="s">
        <v>40</v>
      </c>
      <c r="M12" s="24" t="s">
        <v>1035</v>
      </c>
      <c r="N12" s="24" t="s">
        <v>796</v>
      </c>
      <c r="O12" s="24" t="s">
        <v>379</v>
      </c>
      <c r="P12" s="16" t="s">
        <v>43</v>
      </c>
      <c r="Q12" s="32">
        <v>37822210.847333334</v>
      </c>
      <c r="R12" s="32"/>
      <c r="S12" s="32"/>
      <c r="T12" s="32"/>
      <c r="U12"/>
      <c r="V12"/>
    </row>
    <row r="13" spans="3:22" x14ac:dyDescent="0.25">
      <c r="C13" s="24" t="s">
        <v>463</v>
      </c>
      <c r="D13" s="24" t="s">
        <v>464</v>
      </c>
      <c r="E13" s="24" t="s">
        <v>465</v>
      </c>
      <c r="F13" s="25">
        <v>8.9</v>
      </c>
      <c r="G13" s="24" t="s">
        <v>376</v>
      </c>
      <c r="H13" s="24" t="s">
        <v>46</v>
      </c>
      <c r="I13" s="24" t="s">
        <v>1030</v>
      </c>
      <c r="J13" s="24" t="s">
        <v>466</v>
      </c>
      <c r="K13" s="24" t="s">
        <v>51</v>
      </c>
      <c r="L13" s="24" t="s">
        <v>40</v>
      </c>
      <c r="M13" s="24" t="s">
        <v>1035</v>
      </c>
      <c r="N13" s="24" t="s">
        <v>463</v>
      </c>
      <c r="O13" s="24" t="s">
        <v>379</v>
      </c>
      <c r="P13" s="16" t="s">
        <v>43</v>
      </c>
      <c r="Q13" s="32">
        <v>75701892.863999993</v>
      </c>
      <c r="R13" s="32"/>
      <c r="S13" s="32"/>
      <c r="T13" s="32"/>
      <c r="U13"/>
      <c r="V13"/>
    </row>
    <row r="14" spans="3:22" x14ac:dyDescent="0.25">
      <c r="C14" s="24" t="s">
        <v>383</v>
      </c>
      <c r="D14" s="24" t="s">
        <v>384</v>
      </c>
      <c r="E14" s="24" t="s">
        <v>384</v>
      </c>
      <c r="F14" s="25">
        <v>8</v>
      </c>
      <c r="G14" s="24" t="s">
        <v>376</v>
      </c>
      <c r="H14" s="24" t="s">
        <v>46</v>
      </c>
      <c r="I14" s="24" t="s">
        <v>1031</v>
      </c>
      <c r="J14" s="24" t="s">
        <v>63</v>
      </c>
      <c r="K14" s="24" t="s">
        <v>138</v>
      </c>
      <c r="L14" s="24" t="s">
        <v>40</v>
      </c>
      <c r="M14" s="24" t="s">
        <v>378</v>
      </c>
      <c r="N14" s="24" t="s">
        <v>383</v>
      </c>
      <c r="O14" s="24" t="s">
        <v>42</v>
      </c>
      <c r="P14" s="16" t="s">
        <v>43</v>
      </c>
      <c r="Q14" s="32">
        <v>93959047.189116672</v>
      </c>
      <c r="R14" s="32"/>
      <c r="S14" s="32"/>
      <c r="T14" s="32"/>
      <c r="U14"/>
      <c r="V14"/>
    </row>
    <row r="15" spans="3:22" x14ac:dyDescent="0.25">
      <c r="C15" s="24" t="s">
        <v>646</v>
      </c>
      <c r="D15" s="24" t="s">
        <v>647</v>
      </c>
      <c r="E15" s="24" t="s">
        <v>647</v>
      </c>
      <c r="F15" s="25">
        <v>7</v>
      </c>
      <c r="G15" s="24" t="s">
        <v>376</v>
      </c>
      <c r="H15" s="24" t="s">
        <v>46</v>
      </c>
      <c r="I15" s="24" t="s">
        <v>1030</v>
      </c>
      <c r="J15" s="24" t="s">
        <v>50</v>
      </c>
      <c r="K15" s="24" t="s">
        <v>59</v>
      </c>
      <c r="L15" s="24" t="s">
        <v>40</v>
      </c>
      <c r="M15" s="24" t="s">
        <v>514</v>
      </c>
      <c r="N15" s="24" t="s">
        <v>646</v>
      </c>
      <c r="O15" s="24" t="s">
        <v>42</v>
      </c>
      <c r="P15" s="16" t="s">
        <v>43</v>
      </c>
      <c r="Q15" s="32">
        <v>71753890.770000011</v>
      </c>
      <c r="R15" s="32"/>
      <c r="S15" s="32"/>
      <c r="T15" s="32"/>
      <c r="U15"/>
      <c r="V15"/>
    </row>
    <row r="16" spans="3:22" x14ac:dyDescent="0.25">
      <c r="C16" s="24" t="s">
        <v>648</v>
      </c>
      <c r="D16" s="24" t="s">
        <v>649</v>
      </c>
      <c r="E16" s="24" t="s">
        <v>650</v>
      </c>
      <c r="F16" s="25">
        <v>7.45</v>
      </c>
      <c r="G16" s="24" t="s">
        <v>376</v>
      </c>
      <c r="H16" s="24" t="s">
        <v>46</v>
      </c>
      <c r="I16" s="24" t="s">
        <v>1030</v>
      </c>
      <c r="J16" s="24" t="s">
        <v>50</v>
      </c>
      <c r="K16" s="24" t="s">
        <v>64</v>
      </c>
      <c r="L16" s="24" t="s">
        <v>40</v>
      </c>
      <c r="M16" s="24" t="s">
        <v>514</v>
      </c>
      <c r="N16" s="24" t="s">
        <v>648</v>
      </c>
      <c r="O16" s="24" t="s">
        <v>42</v>
      </c>
      <c r="P16" s="16" t="s">
        <v>43</v>
      </c>
      <c r="Q16" s="32">
        <v>83859068.488666654</v>
      </c>
      <c r="R16" s="32"/>
      <c r="S16" s="32"/>
      <c r="T16" s="32"/>
      <c r="U16"/>
      <c r="V16"/>
    </row>
    <row r="17" spans="3:22" x14ac:dyDescent="0.25">
      <c r="C17" s="24" t="s">
        <v>642</v>
      </c>
      <c r="D17" s="24" t="s">
        <v>643</v>
      </c>
      <c r="E17" s="24" t="s">
        <v>643</v>
      </c>
      <c r="F17" s="25">
        <v>5.07</v>
      </c>
      <c r="G17" s="24" t="s">
        <v>376</v>
      </c>
      <c r="H17" s="24" t="s">
        <v>46</v>
      </c>
      <c r="I17" s="24" t="s">
        <v>1030</v>
      </c>
      <c r="J17" s="24" t="s">
        <v>50</v>
      </c>
      <c r="K17" s="24" t="s">
        <v>51</v>
      </c>
      <c r="L17" s="24" t="s">
        <v>40</v>
      </c>
      <c r="M17" s="24" t="s">
        <v>514</v>
      </c>
      <c r="N17" s="24" t="s">
        <v>642</v>
      </c>
      <c r="O17" s="24" t="s">
        <v>42</v>
      </c>
      <c r="P17" s="16" t="s">
        <v>43</v>
      </c>
      <c r="Q17" s="32">
        <v>91320150.292000011</v>
      </c>
      <c r="R17" s="32"/>
      <c r="S17" s="32"/>
      <c r="T17" s="32"/>
      <c r="U17"/>
      <c r="V17"/>
    </row>
    <row r="18" spans="3:22" x14ac:dyDescent="0.25">
      <c r="C18" s="24" t="s">
        <v>468</v>
      </c>
      <c r="D18" s="24" t="s">
        <v>469</v>
      </c>
      <c r="E18" s="24" t="s">
        <v>470</v>
      </c>
      <c r="F18" s="25">
        <v>8.4499999999999993</v>
      </c>
      <c r="G18" s="24" t="s">
        <v>376</v>
      </c>
      <c r="H18" s="24" t="s">
        <v>46</v>
      </c>
      <c r="I18" s="24" t="s">
        <v>1030</v>
      </c>
      <c r="J18" s="24" t="s">
        <v>466</v>
      </c>
      <c r="K18" s="24" t="s">
        <v>51</v>
      </c>
      <c r="L18" s="24" t="s">
        <v>40</v>
      </c>
      <c r="M18" s="24" t="s">
        <v>1035</v>
      </c>
      <c r="N18" s="24" t="s">
        <v>468</v>
      </c>
      <c r="O18" s="24" t="s">
        <v>42</v>
      </c>
      <c r="P18" s="16" t="s">
        <v>43</v>
      </c>
      <c r="Q18" s="32">
        <v>99790908.900000006</v>
      </c>
      <c r="R18" s="32"/>
      <c r="S18" s="32"/>
      <c r="T18" s="32"/>
      <c r="U18"/>
      <c r="V18"/>
    </row>
    <row r="19" spans="3:22" x14ac:dyDescent="0.25">
      <c r="C19" s="24" t="s">
        <v>932</v>
      </c>
      <c r="D19" s="24" t="s">
        <v>933</v>
      </c>
      <c r="E19" s="24" t="s">
        <v>933</v>
      </c>
      <c r="F19" s="25">
        <v>7</v>
      </c>
      <c r="G19" s="24" t="s">
        <v>376</v>
      </c>
      <c r="H19" s="24" t="s">
        <v>46</v>
      </c>
      <c r="I19" s="24" t="s">
        <v>1030</v>
      </c>
      <c r="J19" s="24" t="s">
        <v>160</v>
      </c>
      <c r="K19" s="24" t="s">
        <v>353</v>
      </c>
      <c r="L19" s="24" t="s">
        <v>40</v>
      </c>
      <c r="M19" s="3" t="s">
        <v>984</v>
      </c>
      <c r="N19" s="24" t="s">
        <v>932</v>
      </c>
      <c r="O19" s="24" t="s">
        <v>42</v>
      </c>
      <c r="P19" s="16" t="s">
        <v>43</v>
      </c>
      <c r="Q19" s="32">
        <v>75307369.334383324</v>
      </c>
      <c r="R19" s="32"/>
      <c r="S19" s="32"/>
      <c r="T19" s="32"/>
      <c r="U19"/>
      <c r="V19"/>
    </row>
    <row r="20" spans="3:22" x14ac:dyDescent="0.25">
      <c r="C20" s="24" t="s">
        <v>390</v>
      </c>
      <c r="D20" s="24" t="s">
        <v>391</v>
      </c>
      <c r="E20" s="24" t="s">
        <v>391</v>
      </c>
      <c r="F20" s="25">
        <v>7</v>
      </c>
      <c r="G20" s="24" t="s">
        <v>376</v>
      </c>
      <c r="H20" s="24" t="s">
        <v>46</v>
      </c>
      <c r="I20" s="24" t="s">
        <v>1031</v>
      </c>
      <c r="J20" s="24" t="s">
        <v>63</v>
      </c>
      <c r="K20" s="24" t="s">
        <v>138</v>
      </c>
      <c r="L20" s="24" t="s">
        <v>40</v>
      </c>
      <c r="M20" s="24" t="s">
        <v>378</v>
      </c>
      <c r="N20" s="24" t="s">
        <v>390</v>
      </c>
      <c r="O20" s="24" t="s">
        <v>42</v>
      </c>
      <c r="P20" s="16" t="s">
        <v>43</v>
      </c>
      <c r="Q20" s="32">
        <v>87345249.386250004</v>
      </c>
      <c r="R20" s="32"/>
      <c r="S20" s="32"/>
      <c r="T20" s="32"/>
      <c r="U20"/>
      <c r="V20"/>
    </row>
    <row r="21" spans="3:22" x14ac:dyDescent="0.25">
      <c r="C21" s="24" t="s">
        <v>883</v>
      </c>
      <c r="D21" s="24" t="s">
        <v>884</v>
      </c>
      <c r="E21" s="24" t="s">
        <v>986</v>
      </c>
      <c r="F21" s="25">
        <v>5.45</v>
      </c>
      <c r="G21" s="24" t="s">
        <v>376</v>
      </c>
      <c r="H21" s="24" t="s">
        <v>46</v>
      </c>
      <c r="I21" s="24" t="s">
        <v>1030</v>
      </c>
      <c r="J21" s="24" t="s">
        <v>73</v>
      </c>
      <c r="K21" s="24" t="s">
        <v>315</v>
      </c>
      <c r="L21" s="24" t="s">
        <v>40</v>
      </c>
      <c r="M21" s="24" t="s">
        <v>514</v>
      </c>
      <c r="N21" s="24" t="s">
        <v>883</v>
      </c>
      <c r="O21" s="24" t="s">
        <v>42</v>
      </c>
      <c r="P21" s="16" t="s">
        <v>440</v>
      </c>
      <c r="Q21" s="32">
        <v>41902783.834000006</v>
      </c>
      <c r="R21" s="32"/>
      <c r="S21" s="32"/>
      <c r="T21" s="32"/>
      <c r="U21"/>
      <c r="V21"/>
    </row>
    <row r="22" spans="3:22" x14ac:dyDescent="0.25">
      <c r="C22" s="24" t="s">
        <v>387</v>
      </c>
      <c r="D22" s="24" t="s">
        <v>388</v>
      </c>
      <c r="E22" s="24" t="s">
        <v>389</v>
      </c>
      <c r="F22" s="25">
        <v>7</v>
      </c>
      <c r="G22" s="24" t="s">
        <v>376</v>
      </c>
      <c r="H22" s="24" t="s">
        <v>46</v>
      </c>
      <c r="I22" s="24" t="s">
        <v>1031</v>
      </c>
      <c r="J22" s="24" t="s">
        <v>63</v>
      </c>
      <c r="K22" s="24" t="s">
        <v>138</v>
      </c>
      <c r="L22" s="24" t="s">
        <v>40</v>
      </c>
      <c r="M22" s="24" t="s">
        <v>378</v>
      </c>
      <c r="N22" s="24" t="s">
        <v>387</v>
      </c>
      <c r="O22" s="24" t="s">
        <v>42</v>
      </c>
      <c r="P22" s="16" t="s">
        <v>43</v>
      </c>
      <c r="Q22" s="32">
        <v>65307511.149599999</v>
      </c>
      <c r="R22" s="32"/>
      <c r="S22" s="32"/>
      <c r="T22" s="32"/>
      <c r="U22"/>
      <c r="V22"/>
    </row>
    <row r="23" spans="3:22" x14ac:dyDescent="0.25">
      <c r="C23" s="24" t="s">
        <v>519</v>
      </c>
      <c r="D23" s="24" t="s">
        <v>520</v>
      </c>
      <c r="E23" s="24" t="s">
        <v>520</v>
      </c>
      <c r="F23" s="25">
        <v>7</v>
      </c>
      <c r="G23" s="24" t="s">
        <v>376</v>
      </c>
      <c r="H23" s="24" t="s">
        <v>46</v>
      </c>
      <c r="I23" s="24" t="s">
        <v>1030</v>
      </c>
      <c r="J23" s="24" t="s">
        <v>100</v>
      </c>
      <c r="K23" s="24" t="s">
        <v>138</v>
      </c>
      <c r="L23" s="24" t="s">
        <v>40</v>
      </c>
      <c r="M23" s="24" t="s">
        <v>514</v>
      </c>
      <c r="N23" s="24" t="s">
        <v>519</v>
      </c>
      <c r="O23" s="24" t="s">
        <v>42</v>
      </c>
      <c r="P23" s="16" t="s">
        <v>43</v>
      </c>
      <c r="Q23" s="32">
        <v>76695274.644666672</v>
      </c>
      <c r="R23" s="32"/>
      <c r="S23" s="32"/>
      <c r="T23" s="32"/>
      <c r="U23"/>
      <c r="V23"/>
    </row>
    <row r="24" spans="3:22" x14ac:dyDescent="0.25">
      <c r="C24" s="24" t="s">
        <v>887</v>
      </c>
      <c r="D24" s="24" t="s">
        <v>275</v>
      </c>
      <c r="E24" s="24" t="s">
        <v>888</v>
      </c>
      <c r="F24" s="25">
        <v>8.68</v>
      </c>
      <c r="G24" s="24" t="s">
        <v>376</v>
      </c>
      <c r="H24" s="24" t="s">
        <v>46</v>
      </c>
      <c r="I24" s="24" t="s">
        <v>1030</v>
      </c>
      <c r="J24" s="24" t="s">
        <v>73</v>
      </c>
      <c r="K24" s="24" t="s">
        <v>275</v>
      </c>
      <c r="L24" s="24" t="s">
        <v>40</v>
      </c>
      <c r="M24" s="24" t="s">
        <v>514</v>
      </c>
      <c r="N24" s="24" t="s">
        <v>887</v>
      </c>
      <c r="O24" s="24" t="s">
        <v>42</v>
      </c>
      <c r="P24" s="16" t="s">
        <v>43</v>
      </c>
      <c r="Q24" s="32">
        <v>87461540.046141654</v>
      </c>
      <c r="R24" s="32"/>
      <c r="S24" s="32"/>
      <c r="T24" s="32"/>
      <c r="U24"/>
      <c r="V24"/>
    </row>
    <row r="25" spans="3:22" ht="13" x14ac:dyDescent="0.25">
      <c r="C25" s="24" t="s">
        <v>654</v>
      </c>
      <c r="D25" s="24" t="s">
        <v>655</v>
      </c>
      <c r="E25" s="24" t="s">
        <v>655</v>
      </c>
      <c r="F25" s="33">
        <v>7</v>
      </c>
      <c r="G25" s="24" t="s">
        <v>376</v>
      </c>
      <c r="H25" s="24" t="s">
        <v>46</v>
      </c>
      <c r="I25" s="24" t="s">
        <v>1030</v>
      </c>
      <c r="J25" s="24" t="s">
        <v>248</v>
      </c>
      <c r="K25" s="24" t="s">
        <v>51</v>
      </c>
      <c r="L25" s="24" t="s">
        <v>40</v>
      </c>
      <c r="M25" s="3" t="s">
        <v>984</v>
      </c>
      <c r="N25" s="24" t="s">
        <v>654</v>
      </c>
      <c r="O25" s="24" t="s">
        <v>42</v>
      </c>
      <c r="P25" s="16" t="s">
        <v>43</v>
      </c>
      <c r="Q25" s="32">
        <v>80175981.525319993</v>
      </c>
      <c r="R25" s="32"/>
      <c r="S25" s="32"/>
      <c r="T25" s="32"/>
      <c r="U25"/>
      <c r="V25"/>
    </row>
    <row r="26" spans="3:22" x14ac:dyDescent="0.25">
      <c r="C26" s="24" t="s">
        <v>800</v>
      </c>
      <c r="D26" s="24" t="s">
        <v>801</v>
      </c>
      <c r="E26" s="24" t="s">
        <v>801</v>
      </c>
      <c r="F26" s="25">
        <v>7</v>
      </c>
      <c r="G26" s="24" t="s">
        <v>376</v>
      </c>
      <c r="H26" s="24" t="s">
        <v>46</v>
      </c>
      <c r="I26" s="24" t="s">
        <v>1030</v>
      </c>
      <c r="J26" s="24" t="s">
        <v>146</v>
      </c>
      <c r="K26" s="24" t="s">
        <v>59</v>
      </c>
      <c r="L26" s="24" t="s">
        <v>40</v>
      </c>
      <c r="M26" s="24" t="s">
        <v>1035</v>
      </c>
      <c r="N26" s="24" t="s">
        <v>800</v>
      </c>
      <c r="O26" s="24" t="s">
        <v>42</v>
      </c>
      <c r="P26" s="16" t="s">
        <v>43</v>
      </c>
      <c r="Q26" s="32">
        <v>63601918.172216654</v>
      </c>
      <c r="R26" s="32"/>
      <c r="S26" s="32"/>
      <c r="T26" s="32"/>
      <c r="U26"/>
      <c r="V26"/>
    </row>
    <row r="27" spans="3:22" x14ac:dyDescent="0.25">
      <c r="C27" s="24" t="s">
        <v>385</v>
      </c>
      <c r="D27" s="24" t="s">
        <v>386</v>
      </c>
      <c r="E27" s="24" t="s">
        <v>386</v>
      </c>
      <c r="F27" s="25">
        <v>7</v>
      </c>
      <c r="G27" s="24" t="s">
        <v>376</v>
      </c>
      <c r="H27" s="24" t="s">
        <v>46</v>
      </c>
      <c r="I27" s="24" t="s">
        <v>1031</v>
      </c>
      <c r="J27" s="24" t="s">
        <v>63</v>
      </c>
      <c r="K27" s="24" t="s">
        <v>138</v>
      </c>
      <c r="L27" s="24" t="s">
        <v>40</v>
      </c>
      <c r="M27" s="24" t="s">
        <v>378</v>
      </c>
      <c r="N27" s="24" t="s">
        <v>385</v>
      </c>
      <c r="O27" s="24" t="s">
        <v>42</v>
      </c>
      <c r="P27" s="16" t="s">
        <v>43</v>
      </c>
      <c r="Q27" s="32">
        <v>82818195.677466646</v>
      </c>
      <c r="R27" s="32"/>
      <c r="S27" s="32"/>
      <c r="T27" s="32"/>
      <c r="U27"/>
      <c r="V27"/>
    </row>
    <row r="28" spans="3:22" x14ac:dyDescent="0.25">
      <c r="C28" s="24" t="s">
        <v>934</v>
      </c>
      <c r="D28" s="24" t="s">
        <v>935</v>
      </c>
      <c r="E28" s="24" t="s">
        <v>935</v>
      </c>
      <c r="F28" s="25">
        <v>7</v>
      </c>
      <c r="G28" s="24" t="s">
        <v>376</v>
      </c>
      <c r="H28" s="24" t="s">
        <v>46</v>
      </c>
      <c r="I28" s="24" t="s">
        <v>1030</v>
      </c>
      <c r="J28" s="24" t="s">
        <v>160</v>
      </c>
      <c r="K28" s="24" t="s">
        <v>353</v>
      </c>
      <c r="L28" s="24" t="s">
        <v>40</v>
      </c>
      <c r="M28" s="3" t="s">
        <v>984</v>
      </c>
      <c r="N28" s="24" t="s">
        <v>934</v>
      </c>
      <c r="O28" s="24" t="s">
        <v>42</v>
      </c>
      <c r="P28" s="16" t="s">
        <v>43</v>
      </c>
      <c r="Q28" s="32">
        <v>64986272.894000001</v>
      </c>
      <c r="R28" s="32"/>
      <c r="S28" s="32"/>
      <c r="T28" s="32"/>
      <c r="U28"/>
      <c r="V28"/>
    </row>
    <row r="29" spans="3:22" x14ac:dyDescent="0.25">
      <c r="C29" s="24" t="s">
        <v>573</v>
      </c>
      <c r="D29" s="24" t="s">
        <v>574</v>
      </c>
      <c r="E29" s="24" t="s">
        <v>575</v>
      </c>
      <c r="F29" s="25">
        <v>7</v>
      </c>
      <c r="G29" s="24" t="s">
        <v>376</v>
      </c>
      <c r="H29" s="24" t="s">
        <v>46</v>
      </c>
      <c r="I29" s="24" t="s">
        <v>1030</v>
      </c>
      <c r="J29" s="24" t="s">
        <v>331</v>
      </c>
      <c r="K29" s="24" t="s">
        <v>138</v>
      </c>
      <c r="L29" s="24" t="s">
        <v>40</v>
      </c>
      <c r="M29" s="3" t="s">
        <v>984</v>
      </c>
      <c r="N29" s="24" t="s">
        <v>573</v>
      </c>
      <c r="O29" s="24" t="s">
        <v>42</v>
      </c>
      <c r="P29" s="16" t="s">
        <v>440</v>
      </c>
      <c r="Q29" s="32">
        <v>76444999.811866656</v>
      </c>
      <c r="R29" s="32"/>
      <c r="S29" s="32"/>
      <c r="T29" s="32"/>
      <c r="U29"/>
      <c r="V29"/>
    </row>
    <row r="30" spans="3:22" x14ac:dyDescent="0.25">
      <c r="C30" s="24" t="s">
        <v>804</v>
      </c>
      <c r="D30" s="24" t="s">
        <v>805</v>
      </c>
      <c r="E30" s="24" t="s">
        <v>806</v>
      </c>
      <c r="F30" s="25">
        <v>6.45</v>
      </c>
      <c r="G30" s="24" t="s">
        <v>376</v>
      </c>
      <c r="H30" s="24" t="s">
        <v>46</v>
      </c>
      <c r="I30" s="24" t="s">
        <v>1030</v>
      </c>
      <c r="J30" s="24" t="s">
        <v>146</v>
      </c>
      <c r="K30" s="24" t="s">
        <v>59</v>
      </c>
      <c r="L30" s="24" t="s">
        <v>40</v>
      </c>
      <c r="M30" s="24" t="s">
        <v>1035</v>
      </c>
      <c r="N30" s="24" t="s">
        <v>804</v>
      </c>
      <c r="O30" s="24" t="s">
        <v>42</v>
      </c>
      <c r="P30" s="16" t="s">
        <v>43</v>
      </c>
      <c r="Q30" s="32">
        <v>65332380.081583336</v>
      </c>
      <c r="R30" s="32"/>
      <c r="S30" s="32"/>
      <c r="T30" s="32"/>
      <c r="U30"/>
      <c r="V30"/>
    </row>
    <row r="31" spans="3:22" x14ac:dyDescent="0.25">
      <c r="C31" s="24" t="s">
        <v>618</v>
      </c>
      <c r="D31" s="24" t="s">
        <v>619</v>
      </c>
      <c r="E31" s="24" t="s">
        <v>619</v>
      </c>
      <c r="F31" s="25">
        <v>6.68</v>
      </c>
      <c r="G31" s="24" t="s">
        <v>376</v>
      </c>
      <c r="H31" s="24" t="s">
        <v>46</v>
      </c>
      <c r="I31" s="24" t="s">
        <v>1030</v>
      </c>
      <c r="J31" s="24" t="s">
        <v>50</v>
      </c>
      <c r="K31" s="24" t="s">
        <v>59</v>
      </c>
      <c r="L31" s="24" t="s">
        <v>40</v>
      </c>
      <c r="M31" s="24" t="s">
        <v>514</v>
      </c>
      <c r="N31" s="24" t="s">
        <v>618</v>
      </c>
      <c r="O31" s="24" t="s">
        <v>42</v>
      </c>
      <c r="P31" s="16" t="s">
        <v>43</v>
      </c>
      <c r="Q31" s="32">
        <v>61765068.170533329</v>
      </c>
      <c r="R31" s="32"/>
      <c r="S31" s="32"/>
      <c r="T31" s="32"/>
      <c r="U31"/>
      <c r="V31"/>
    </row>
    <row r="32" spans="3:22" x14ac:dyDescent="0.25">
      <c r="C32" s="24" t="s">
        <v>419</v>
      </c>
      <c r="D32" s="24" t="s">
        <v>420</v>
      </c>
      <c r="E32" s="24" t="s">
        <v>64</v>
      </c>
      <c r="F32" s="25">
        <v>6</v>
      </c>
      <c r="G32" s="24" t="s">
        <v>376</v>
      </c>
      <c r="H32" s="24" t="s">
        <v>46</v>
      </c>
      <c r="I32" s="24" t="s">
        <v>1030</v>
      </c>
      <c r="J32" s="24" t="s">
        <v>94</v>
      </c>
      <c r="K32" s="24" t="s">
        <v>64</v>
      </c>
      <c r="L32" s="24" t="s">
        <v>40</v>
      </c>
      <c r="M32" s="24" t="s">
        <v>1035</v>
      </c>
      <c r="N32" s="24" t="s">
        <v>419</v>
      </c>
      <c r="O32" s="24" t="s">
        <v>42</v>
      </c>
      <c r="P32" s="16" t="s">
        <v>43</v>
      </c>
      <c r="Q32" s="32">
        <v>64091171.248666659</v>
      </c>
      <c r="R32" s="32"/>
      <c r="S32" s="32"/>
      <c r="T32" s="32"/>
      <c r="U32"/>
      <c r="V32"/>
    </row>
    <row r="33" spans="3:22" x14ac:dyDescent="0.25">
      <c r="C33" s="24" t="s">
        <v>521</v>
      </c>
      <c r="D33" s="24" t="s">
        <v>522</v>
      </c>
      <c r="E33" s="24" t="s">
        <v>522</v>
      </c>
      <c r="F33" s="37">
        <v>6</v>
      </c>
      <c r="G33" s="24" t="s">
        <v>376</v>
      </c>
      <c r="H33" s="24" t="s">
        <v>46</v>
      </c>
      <c r="I33" s="24" t="s">
        <v>1030</v>
      </c>
      <c r="J33" s="24" t="s">
        <v>100</v>
      </c>
      <c r="K33" s="24" t="s">
        <v>138</v>
      </c>
      <c r="L33" s="24" t="s">
        <v>40</v>
      </c>
      <c r="M33" s="24" t="s">
        <v>514</v>
      </c>
      <c r="N33" s="24" t="s">
        <v>521</v>
      </c>
      <c r="O33" s="24" t="s">
        <v>42</v>
      </c>
      <c r="P33" s="16" t="s">
        <v>43</v>
      </c>
      <c r="Q33" s="32">
        <v>58510194.079333328</v>
      </c>
      <c r="R33" s="32"/>
      <c r="S33" s="32"/>
      <c r="T33" s="32"/>
      <c r="U33"/>
      <c r="V33"/>
    </row>
    <row r="34" spans="3:22" x14ac:dyDescent="0.25">
      <c r="C34" s="24" t="s">
        <v>844</v>
      </c>
      <c r="D34" s="24" t="s">
        <v>845</v>
      </c>
      <c r="E34" s="24" t="s">
        <v>846</v>
      </c>
      <c r="F34" s="25">
        <v>6</v>
      </c>
      <c r="G34" s="24" t="s">
        <v>376</v>
      </c>
      <c r="H34" s="24" t="s">
        <v>46</v>
      </c>
      <c r="I34" s="24" t="s">
        <v>1030</v>
      </c>
      <c r="J34" s="24" t="s">
        <v>132</v>
      </c>
      <c r="K34" s="24" t="s">
        <v>138</v>
      </c>
      <c r="L34" s="24" t="s">
        <v>40</v>
      </c>
      <c r="M34" s="24" t="s">
        <v>1035</v>
      </c>
      <c r="N34" s="24" t="s">
        <v>844</v>
      </c>
      <c r="O34" s="24" t="s">
        <v>42</v>
      </c>
      <c r="P34" s="16" t="s">
        <v>43</v>
      </c>
      <c r="Q34" s="32">
        <v>65833815.473933309</v>
      </c>
      <c r="R34" s="32"/>
      <c r="S34" s="32"/>
      <c r="T34" s="32"/>
      <c r="U34"/>
      <c r="V34"/>
    </row>
    <row r="35" spans="3:22" x14ac:dyDescent="0.25">
      <c r="C35" s="24" t="s">
        <v>889</v>
      </c>
      <c r="D35" s="24" t="s">
        <v>890</v>
      </c>
      <c r="E35" s="24" t="s">
        <v>890</v>
      </c>
      <c r="F35" s="25">
        <v>6</v>
      </c>
      <c r="G35" s="24" t="s">
        <v>376</v>
      </c>
      <c r="H35" s="24" t="s">
        <v>46</v>
      </c>
      <c r="I35" s="24" t="s">
        <v>1030</v>
      </c>
      <c r="J35" s="24" t="s">
        <v>73</v>
      </c>
      <c r="K35" s="24" t="s">
        <v>97</v>
      </c>
      <c r="L35" s="24" t="s">
        <v>40</v>
      </c>
      <c r="M35" s="24" t="s">
        <v>514</v>
      </c>
      <c r="N35" s="24" t="s">
        <v>889</v>
      </c>
      <c r="O35" s="24" t="s">
        <v>42</v>
      </c>
      <c r="P35" s="16" t="s">
        <v>43</v>
      </c>
      <c r="Q35" s="32">
        <v>58817921.475966655</v>
      </c>
      <c r="R35" s="32"/>
      <c r="S35" s="32"/>
      <c r="T35" s="32"/>
      <c r="U35"/>
      <c r="V35"/>
    </row>
    <row r="36" spans="3:22" x14ac:dyDescent="0.25">
      <c r="C36" s="24" t="s">
        <v>392</v>
      </c>
      <c r="D36" s="24" t="s">
        <v>393</v>
      </c>
      <c r="E36" s="24" t="s">
        <v>393</v>
      </c>
      <c r="F36" s="25">
        <v>5</v>
      </c>
      <c r="G36" s="24" t="s">
        <v>376</v>
      </c>
      <c r="H36" s="24" t="s">
        <v>46</v>
      </c>
      <c r="I36" s="24" t="s">
        <v>1031</v>
      </c>
      <c r="J36" s="24" t="s">
        <v>63</v>
      </c>
      <c r="K36" s="24" t="s">
        <v>138</v>
      </c>
      <c r="L36" s="24" t="s">
        <v>40</v>
      </c>
      <c r="M36" s="24" t="s">
        <v>378</v>
      </c>
      <c r="N36" s="24" t="s">
        <v>392</v>
      </c>
      <c r="O36" s="24" t="s">
        <v>42</v>
      </c>
      <c r="P36" s="16" t="s">
        <v>43</v>
      </c>
      <c r="Q36" s="32">
        <v>52735376.671300009</v>
      </c>
      <c r="R36" s="32"/>
      <c r="S36" s="32"/>
      <c r="T36" s="32"/>
      <c r="U36"/>
      <c r="V36"/>
    </row>
    <row r="37" spans="3:22" x14ac:dyDescent="0.25">
      <c r="C37" s="24" t="s">
        <v>703</v>
      </c>
      <c r="D37" s="24" t="s">
        <v>704</v>
      </c>
      <c r="E37" s="24" t="s">
        <v>705</v>
      </c>
      <c r="F37" s="25">
        <v>5</v>
      </c>
      <c r="G37" s="24" t="s">
        <v>376</v>
      </c>
      <c r="H37" s="24" t="s">
        <v>46</v>
      </c>
      <c r="I37" s="24" t="s">
        <v>1031</v>
      </c>
      <c r="J37" s="24" t="s">
        <v>84</v>
      </c>
      <c r="K37" s="24" t="s">
        <v>706</v>
      </c>
      <c r="L37" s="24" t="s">
        <v>55</v>
      </c>
      <c r="M37" s="24" t="s">
        <v>378</v>
      </c>
      <c r="N37" s="24" t="s">
        <v>703</v>
      </c>
      <c r="O37" s="24" t="s">
        <v>42</v>
      </c>
      <c r="P37" s="16" t="s">
        <v>43</v>
      </c>
      <c r="Q37" s="32">
        <v>53088455.539683335</v>
      </c>
      <c r="R37" s="32"/>
      <c r="S37" s="32"/>
      <c r="T37" s="32"/>
      <c r="U37"/>
      <c r="V37"/>
    </row>
    <row r="38" spans="3:22" x14ac:dyDescent="0.25">
      <c r="C38" s="24" t="s">
        <v>34</v>
      </c>
      <c r="D38" s="24" t="s">
        <v>35</v>
      </c>
      <c r="E38" s="24" t="s">
        <v>35</v>
      </c>
      <c r="F38" s="25" t="s">
        <v>36</v>
      </c>
      <c r="G38" s="24" t="s">
        <v>37</v>
      </c>
      <c r="H38" s="24" t="s">
        <v>38</v>
      </c>
      <c r="I38" s="24" t="s">
        <v>1046</v>
      </c>
      <c r="J38" s="24">
        <v>0</v>
      </c>
      <c r="K38" s="24" t="s">
        <v>39</v>
      </c>
      <c r="L38" s="24" t="s">
        <v>40</v>
      </c>
      <c r="M38" s="24">
        <v>0</v>
      </c>
      <c r="N38" s="24" t="s">
        <v>34</v>
      </c>
      <c r="O38" s="24" t="s">
        <v>42</v>
      </c>
      <c r="P38" s="16" t="s">
        <v>43</v>
      </c>
      <c r="Q38" s="32">
        <v>0</v>
      </c>
      <c r="R38" s="32"/>
      <c r="S38" s="32"/>
      <c r="T38" s="32"/>
      <c r="U38"/>
      <c r="V38"/>
    </row>
    <row r="39" spans="3:22" x14ac:dyDescent="0.25">
      <c r="C39" s="24" t="s">
        <v>424</v>
      </c>
      <c r="D39" s="24" t="s">
        <v>425</v>
      </c>
      <c r="E39" s="24" t="s">
        <v>988</v>
      </c>
      <c r="F39" s="25">
        <v>6</v>
      </c>
      <c r="G39" s="24" t="s">
        <v>37</v>
      </c>
      <c r="H39" s="24" t="s">
        <v>46</v>
      </c>
      <c r="I39" s="24" t="s">
        <v>1046</v>
      </c>
      <c r="J39" s="24" t="s">
        <v>94</v>
      </c>
      <c r="K39" s="24" t="s">
        <v>64</v>
      </c>
      <c r="L39" s="24" t="s">
        <v>40</v>
      </c>
      <c r="M39" s="24" t="s">
        <v>1035</v>
      </c>
      <c r="N39" s="24" t="s">
        <v>424</v>
      </c>
      <c r="O39" s="24" t="s">
        <v>42</v>
      </c>
      <c r="P39" s="16" t="s">
        <v>43</v>
      </c>
      <c r="Q39" s="32">
        <v>0</v>
      </c>
      <c r="R39" s="32"/>
      <c r="S39" s="32"/>
      <c r="T39" s="32"/>
      <c r="U39"/>
      <c r="V39"/>
    </row>
    <row r="40" spans="3:22" x14ac:dyDescent="0.25">
      <c r="C40" s="24" t="s">
        <v>471</v>
      </c>
      <c r="D40" s="24" t="s">
        <v>472</v>
      </c>
      <c r="E40" s="24" t="s">
        <v>473</v>
      </c>
      <c r="F40" s="25">
        <v>5</v>
      </c>
      <c r="G40" s="24" t="s">
        <v>376</v>
      </c>
      <c r="H40" s="24" t="s">
        <v>46</v>
      </c>
      <c r="I40" s="24" t="s">
        <v>1030</v>
      </c>
      <c r="J40" s="24" t="s">
        <v>466</v>
      </c>
      <c r="K40" s="24" t="s">
        <v>51</v>
      </c>
      <c r="L40" s="24" t="s">
        <v>40</v>
      </c>
      <c r="M40" s="24" t="s">
        <v>1035</v>
      </c>
      <c r="N40" s="24" t="s">
        <v>471</v>
      </c>
      <c r="O40" s="24" t="s">
        <v>42</v>
      </c>
      <c r="P40" s="16" t="s">
        <v>43</v>
      </c>
      <c r="Q40" s="32">
        <v>49764463.217550009</v>
      </c>
      <c r="R40" s="32"/>
      <c r="S40" s="32"/>
      <c r="T40" s="32"/>
      <c r="U40"/>
      <c r="V40"/>
    </row>
    <row r="41" spans="3:22" x14ac:dyDescent="0.25">
      <c r="C41" s="24" t="s">
        <v>742</v>
      </c>
      <c r="D41" s="24" t="s">
        <v>744</v>
      </c>
      <c r="E41" s="26" t="s">
        <v>989</v>
      </c>
      <c r="F41" s="25">
        <v>6</v>
      </c>
      <c r="G41" s="24" t="s">
        <v>376</v>
      </c>
      <c r="H41" s="24" t="s">
        <v>46</v>
      </c>
      <c r="I41" s="24" t="s">
        <v>1031</v>
      </c>
      <c r="J41" s="24" t="s">
        <v>1048</v>
      </c>
      <c r="K41" s="24" t="s">
        <v>54</v>
      </c>
      <c r="L41" s="24" t="s">
        <v>55</v>
      </c>
      <c r="M41" s="24" t="s">
        <v>378</v>
      </c>
      <c r="N41" s="24" t="s">
        <v>742</v>
      </c>
      <c r="O41" s="24" t="s">
        <v>42</v>
      </c>
      <c r="P41" s="16" t="s">
        <v>440</v>
      </c>
      <c r="Q41" s="32">
        <v>23737234.240853328</v>
      </c>
      <c r="R41" s="32"/>
      <c r="S41" s="32"/>
      <c r="T41" s="32"/>
      <c r="U41"/>
      <c r="V41"/>
    </row>
    <row r="42" spans="3:22" x14ac:dyDescent="0.25">
      <c r="C42" s="24" t="s">
        <v>707</v>
      </c>
      <c r="D42" s="24" t="s">
        <v>706</v>
      </c>
      <c r="E42" s="24" t="s">
        <v>708</v>
      </c>
      <c r="F42" s="25">
        <v>5</v>
      </c>
      <c r="G42" s="24" t="s">
        <v>376</v>
      </c>
      <c r="H42" s="24" t="s">
        <v>46</v>
      </c>
      <c r="I42" s="24" t="s">
        <v>1031</v>
      </c>
      <c r="J42" s="24" t="s">
        <v>84</v>
      </c>
      <c r="K42" s="24" t="s">
        <v>706</v>
      </c>
      <c r="L42" s="24" t="s">
        <v>55</v>
      </c>
      <c r="M42" s="24" t="s">
        <v>378</v>
      </c>
      <c r="N42" s="24" t="s">
        <v>707</v>
      </c>
      <c r="O42" s="24" t="s">
        <v>42</v>
      </c>
      <c r="P42" s="16" t="s">
        <v>440</v>
      </c>
      <c r="Q42" s="32">
        <v>26192236.377599999</v>
      </c>
      <c r="R42" s="32"/>
      <c r="S42" s="32"/>
      <c r="T42" s="32"/>
      <c r="U42"/>
      <c r="V42"/>
    </row>
    <row r="43" spans="3:22" x14ac:dyDescent="0.25">
      <c r="C43" s="24" t="s">
        <v>394</v>
      </c>
      <c r="D43" s="24" t="s">
        <v>395</v>
      </c>
      <c r="E43" s="24" t="s">
        <v>395</v>
      </c>
      <c r="F43" s="25">
        <v>6</v>
      </c>
      <c r="G43" s="24" t="s">
        <v>376</v>
      </c>
      <c r="H43" s="24" t="s">
        <v>46</v>
      </c>
      <c r="I43" s="24" t="s">
        <v>1031</v>
      </c>
      <c r="J43" s="24" t="s">
        <v>63</v>
      </c>
      <c r="K43" s="24" t="s">
        <v>138</v>
      </c>
      <c r="L43" s="24" t="s">
        <v>40</v>
      </c>
      <c r="M43" s="24" t="s">
        <v>378</v>
      </c>
      <c r="N43" s="24" t="s">
        <v>394</v>
      </c>
      <c r="O43" s="24" t="s">
        <v>42</v>
      </c>
      <c r="P43" s="16" t="s">
        <v>43</v>
      </c>
      <c r="Q43" s="32">
        <v>70596531.880566671</v>
      </c>
      <c r="R43" s="32"/>
      <c r="S43" s="32"/>
      <c r="T43" s="32"/>
      <c r="U43"/>
      <c r="V43"/>
    </row>
    <row r="44" spans="3:22" x14ac:dyDescent="0.25">
      <c r="C44" s="24" t="s">
        <v>396</v>
      </c>
      <c r="D44" s="24" t="s">
        <v>397</v>
      </c>
      <c r="E44" s="24" t="s">
        <v>397</v>
      </c>
      <c r="F44" s="25">
        <v>6</v>
      </c>
      <c r="G44" s="24" t="s">
        <v>376</v>
      </c>
      <c r="H44" s="24" t="s">
        <v>46</v>
      </c>
      <c r="I44" s="24" t="s">
        <v>1031</v>
      </c>
      <c r="J44" s="24" t="s">
        <v>63</v>
      </c>
      <c r="K44" s="24" t="s">
        <v>138</v>
      </c>
      <c r="L44" s="24" t="s">
        <v>40</v>
      </c>
      <c r="M44" s="24" t="s">
        <v>378</v>
      </c>
      <c r="N44" s="24" t="s">
        <v>396</v>
      </c>
      <c r="O44" s="24" t="s">
        <v>42</v>
      </c>
      <c r="P44" s="16" t="s">
        <v>43</v>
      </c>
      <c r="Q44" s="32">
        <v>52283822.606666662</v>
      </c>
      <c r="R44" s="32"/>
      <c r="S44" s="32"/>
      <c r="T44" s="32"/>
      <c r="U44"/>
      <c r="V44"/>
    </row>
    <row r="45" spans="3:22" x14ac:dyDescent="0.25">
      <c r="C45" s="24" t="s">
        <v>848</v>
      </c>
      <c r="D45" s="24" t="s">
        <v>849</v>
      </c>
      <c r="E45" s="24" t="s">
        <v>849</v>
      </c>
      <c r="F45" s="25">
        <v>9.68</v>
      </c>
      <c r="G45" s="24" t="s">
        <v>376</v>
      </c>
      <c r="H45" s="24" t="s">
        <v>46</v>
      </c>
      <c r="I45" s="24" t="s">
        <v>1030</v>
      </c>
      <c r="J45" s="24" t="s">
        <v>132</v>
      </c>
      <c r="K45" s="24" t="s">
        <v>138</v>
      </c>
      <c r="L45" s="24" t="s">
        <v>40</v>
      </c>
      <c r="M45" s="24" t="s">
        <v>1035</v>
      </c>
      <c r="N45" s="24" t="s">
        <v>848</v>
      </c>
      <c r="O45" s="24" t="s">
        <v>42</v>
      </c>
      <c r="P45" s="16" t="s">
        <v>43</v>
      </c>
      <c r="Q45" s="32">
        <v>69183971.230666667</v>
      </c>
      <c r="R45" s="32"/>
      <c r="S45" s="32"/>
      <c r="T45" s="32"/>
      <c r="U45"/>
      <c r="V45"/>
    </row>
    <row r="46" spans="3:22" x14ac:dyDescent="0.25">
      <c r="C46" s="24" t="s">
        <v>936</v>
      </c>
      <c r="D46" s="24" t="s">
        <v>937</v>
      </c>
      <c r="E46" s="24" t="s">
        <v>938</v>
      </c>
      <c r="F46" s="25">
        <v>5</v>
      </c>
      <c r="G46" s="24" t="s">
        <v>376</v>
      </c>
      <c r="H46" s="24" t="s">
        <v>46</v>
      </c>
      <c r="I46" s="24" t="s">
        <v>1030</v>
      </c>
      <c r="J46" s="24" t="s">
        <v>160</v>
      </c>
      <c r="K46" s="24" t="s">
        <v>138</v>
      </c>
      <c r="L46" s="24" t="s">
        <v>40</v>
      </c>
      <c r="M46" s="3" t="s">
        <v>984</v>
      </c>
      <c r="N46" s="24" t="s">
        <v>936</v>
      </c>
      <c r="O46" s="24" t="s">
        <v>42</v>
      </c>
      <c r="P46" s="16" t="s">
        <v>43</v>
      </c>
      <c r="Q46" s="32">
        <v>45003878.864049993</v>
      </c>
      <c r="R46" s="32"/>
      <c r="S46" s="32"/>
      <c r="T46" s="32"/>
      <c r="U46"/>
      <c r="V46"/>
    </row>
    <row r="47" spans="3:22" x14ac:dyDescent="0.25">
      <c r="C47" s="24" t="s">
        <v>939</v>
      </c>
      <c r="D47" s="24" t="s">
        <v>39</v>
      </c>
      <c r="E47" s="24" t="s">
        <v>39</v>
      </c>
      <c r="F47" s="25">
        <v>6.45</v>
      </c>
      <c r="G47" s="24" t="s">
        <v>376</v>
      </c>
      <c r="H47" s="24" t="s">
        <v>46</v>
      </c>
      <c r="I47" s="24" t="s">
        <v>1030</v>
      </c>
      <c r="J47" s="24" t="s">
        <v>160</v>
      </c>
      <c r="K47" s="24" t="s">
        <v>39</v>
      </c>
      <c r="L47" s="24" t="s">
        <v>40</v>
      </c>
      <c r="M47" s="3" t="s">
        <v>984</v>
      </c>
      <c r="N47" s="24" t="s">
        <v>939</v>
      </c>
      <c r="O47" s="24" t="s">
        <v>42</v>
      </c>
      <c r="P47" s="16" t="s">
        <v>43</v>
      </c>
      <c r="Q47" s="32">
        <v>74753964.10861665</v>
      </c>
      <c r="R47" s="32"/>
      <c r="S47" s="32"/>
      <c r="T47" s="32"/>
      <c r="U47"/>
      <c r="V47"/>
    </row>
    <row r="48" spans="3:22" x14ac:dyDescent="0.25">
      <c r="C48" s="24" t="s">
        <v>44</v>
      </c>
      <c r="D48" s="24" t="s">
        <v>45</v>
      </c>
      <c r="E48" s="24" t="s">
        <v>45</v>
      </c>
      <c r="F48" s="25" t="s">
        <v>36</v>
      </c>
      <c r="G48" s="24" t="s">
        <v>37</v>
      </c>
      <c r="H48" s="24" t="s">
        <v>46</v>
      </c>
      <c r="I48" s="24" t="s">
        <v>1046</v>
      </c>
      <c r="J48" s="24">
        <v>0</v>
      </c>
      <c r="K48" s="24" t="s">
        <v>47</v>
      </c>
      <c r="L48" s="24" t="s">
        <v>40</v>
      </c>
      <c r="M48" s="24">
        <v>0</v>
      </c>
      <c r="N48" s="24" t="s">
        <v>44</v>
      </c>
      <c r="O48" s="24" t="s">
        <v>42</v>
      </c>
      <c r="P48" s="16" t="s">
        <v>43</v>
      </c>
      <c r="Q48" s="32">
        <v>0</v>
      </c>
      <c r="R48" s="32"/>
      <c r="S48" s="32"/>
      <c r="T48" s="32"/>
      <c r="U48"/>
      <c r="V48"/>
    </row>
    <row r="49" spans="3:22" x14ac:dyDescent="0.25">
      <c r="C49" s="24" t="s">
        <v>940</v>
      </c>
      <c r="D49" s="24" t="s">
        <v>941</v>
      </c>
      <c r="E49" s="24" t="s">
        <v>941</v>
      </c>
      <c r="F49" s="37">
        <v>9</v>
      </c>
      <c r="G49" s="24" t="s">
        <v>376</v>
      </c>
      <c r="H49" s="24" t="s">
        <v>46</v>
      </c>
      <c r="I49" s="24" t="s">
        <v>1030</v>
      </c>
      <c r="J49" s="24" t="s">
        <v>160</v>
      </c>
      <c r="K49" s="24" t="s">
        <v>371</v>
      </c>
      <c r="L49" s="24" t="s">
        <v>40</v>
      </c>
      <c r="M49" s="3" t="s">
        <v>984</v>
      </c>
      <c r="N49" s="24" t="s">
        <v>940</v>
      </c>
      <c r="O49" s="24" t="s">
        <v>379</v>
      </c>
      <c r="P49" s="16" t="s">
        <v>43</v>
      </c>
      <c r="Q49" s="32">
        <v>62904430.934666671</v>
      </c>
      <c r="R49" s="32"/>
      <c r="S49" s="32"/>
      <c r="T49" s="32"/>
      <c r="U49"/>
      <c r="V49"/>
    </row>
    <row r="50" spans="3:22" x14ac:dyDescent="0.25">
      <c r="C50" s="24" t="s">
        <v>850</v>
      </c>
      <c r="D50" s="24" t="s">
        <v>851</v>
      </c>
      <c r="E50" s="24" t="s">
        <v>851</v>
      </c>
      <c r="F50" s="25">
        <v>6</v>
      </c>
      <c r="G50" s="24" t="s">
        <v>376</v>
      </c>
      <c r="H50" s="24" t="s">
        <v>46</v>
      </c>
      <c r="I50" s="24" t="s">
        <v>1030</v>
      </c>
      <c r="J50" s="24" t="s">
        <v>132</v>
      </c>
      <c r="K50" s="24" t="s">
        <v>138</v>
      </c>
      <c r="L50" s="24" t="s">
        <v>40</v>
      </c>
      <c r="M50" s="24" t="s">
        <v>1035</v>
      </c>
      <c r="N50" s="24" t="s">
        <v>850</v>
      </c>
      <c r="O50" s="24" t="s">
        <v>42</v>
      </c>
      <c r="P50" s="16" t="s">
        <v>43</v>
      </c>
      <c r="Q50" s="32">
        <v>52653997.339549996</v>
      </c>
      <c r="R50" s="32"/>
      <c r="S50" s="32"/>
      <c r="T50" s="32"/>
      <c r="U50" s="16" t="s">
        <v>1040</v>
      </c>
      <c r="V50" s="16" t="s">
        <v>1042</v>
      </c>
    </row>
    <row r="51" spans="3:22" x14ac:dyDescent="0.25">
      <c r="C51" s="24" t="s">
        <v>474</v>
      </c>
      <c r="D51" s="24" t="s">
        <v>475</v>
      </c>
      <c r="E51" s="24" t="s">
        <v>475</v>
      </c>
      <c r="F51" s="25">
        <v>6</v>
      </c>
      <c r="G51" s="24" t="s">
        <v>376</v>
      </c>
      <c r="H51" s="24" t="s">
        <v>46</v>
      </c>
      <c r="I51" s="24" t="s">
        <v>1030</v>
      </c>
      <c r="J51" s="24" t="s">
        <v>466</v>
      </c>
      <c r="K51" s="24" t="s">
        <v>51</v>
      </c>
      <c r="L51" s="24" t="s">
        <v>40</v>
      </c>
      <c r="M51" s="24">
        <v>0</v>
      </c>
      <c r="N51" s="24" t="s">
        <v>474</v>
      </c>
      <c r="O51" s="24" t="s">
        <v>42</v>
      </c>
      <c r="P51" s="16" t="s">
        <v>43</v>
      </c>
      <c r="Q51" s="32">
        <v>74617580.8565</v>
      </c>
      <c r="R51" s="32"/>
      <c r="S51" s="32"/>
      <c r="T51" s="32"/>
    </row>
    <row r="52" spans="3:22" x14ac:dyDescent="0.25">
      <c r="C52" s="24" t="s">
        <v>555</v>
      </c>
      <c r="D52" s="24" t="s">
        <v>556</v>
      </c>
      <c r="E52" s="24" t="s">
        <v>556</v>
      </c>
      <c r="F52" s="25">
        <v>5</v>
      </c>
      <c r="G52" s="24" t="s">
        <v>376</v>
      </c>
      <c r="H52" s="24" t="s">
        <v>46</v>
      </c>
      <c r="I52" s="24" t="s">
        <v>1030</v>
      </c>
      <c r="J52" s="24" t="s">
        <v>331</v>
      </c>
      <c r="K52" s="24" t="s">
        <v>138</v>
      </c>
      <c r="L52" s="24" t="s">
        <v>40</v>
      </c>
      <c r="M52" s="3" t="s">
        <v>984</v>
      </c>
      <c r="N52" s="24" t="s">
        <v>555</v>
      </c>
      <c r="O52" s="24" t="s">
        <v>42</v>
      </c>
      <c r="P52" s="16" t="s">
        <v>43</v>
      </c>
      <c r="Q52" s="32">
        <v>48074870.632983334</v>
      </c>
      <c r="R52" s="32"/>
      <c r="S52" s="32"/>
      <c r="T52" s="32"/>
      <c r="U52" t="s">
        <v>1049</v>
      </c>
      <c r="V52" t="s">
        <v>1050</v>
      </c>
    </row>
    <row r="53" spans="3:22" x14ac:dyDescent="0.25">
      <c r="C53" s="24" t="s">
        <v>745</v>
      </c>
      <c r="D53" s="24" t="s">
        <v>746</v>
      </c>
      <c r="E53" s="24" t="s">
        <v>746</v>
      </c>
      <c r="F53" s="25">
        <v>9</v>
      </c>
      <c r="G53" s="24" t="s">
        <v>376</v>
      </c>
      <c r="H53" s="24" t="s">
        <v>46</v>
      </c>
      <c r="I53" s="24" t="s">
        <v>1031</v>
      </c>
      <c r="J53" s="24" t="s">
        <v>1048</v>
      </c>
      <c r="K53" s="24" t="s">
        <v>279</v>
      </c>
      <c r="L53" s="24" t="s">
        <v>55</v>
      </c>
      <c r="M53" s="24" t="s">
        <v>378</v>
      </c>
      <c r="N53" s="24" t="s">
        <v>745</v>
      </c>
      <c r="O53" s="24" t="s">
        <v>379</v>
      </c>
      <c r="P53" s="16" t="s">
        <v>43</v>
      </c>
      <c r="Q53" s="32">
        <v>94607900.780533329</v>
      </c>
      <c r="R53" s="32"/>
      <c r="S53" s="32"/>
      <c r="T53" s="32"/>
      <c r="U53" t="s">
        <v>1051</v>
      </c>
      <c r="V53">
        <v>0</v>
      </c>
    </row>
    <row r="54" spans="3:22" x14ac:dyDescent="0.25">
      <c r="C54" s="24" t="s">
        <v>656</v>
      </c>
      <c r="D54" s="24" t="s">
        <v>657</v>
      </c>
      <c r="E54" s="24" t="s">
        <v>658</v>
      </c>
      <c r="F54" s="25">
        <v>5</v>
      </c>
      <c r="G54" s="24" t="s">
        <v>376</v>
      </c>
      <c r="H54" s="24" t="s">
        <v>46</v>
      </c>
      <c r="I54" s="24" t="s">
        <v>1030</v>
      </c>
      <c r="J54" s="24" t="s">
        <v>248</v>
      </c>
      <c r="K54" s="24" t="s">
        <v>51</v>
      </c>
      <c r="L54" s="24" t="s">
        <v>40</v>
      </c>
      <c r="M54" s="3" t="s">
        <v>984</v>
      </c>
      <c r="N54" s="24" t="s">
        <v>656</v>
      </c>
      <c r="O54" s="24" t="s">
        <v>42</v>
      </c>
      <c r="P54" s="16" t="s">
        <v>43</v>
      </c>
      <c r="Q54" s="32">
        <v>40907923.499016657</v>
      </c>
      <c r="R54" s="32"/>
      <c r="S54" s="32"/>
      <c r="T54" s="32"/>
      <c r="U54" t="s">
        <v>1052</v>
      </c>
      <c r="V54">
        <v>0</v>
      </c>
    </row>
    <row r="55" spans="3:22" x14ac:dyDescent="0.25">
      <c r="C55" s="24" t="s">
        <v>523</v>
      </c>
      <c r="D55" s="24" t="s">
        <v>524</v>
      </c>
      <c r="E55" s="24" t="s">
        <v>524</v>
      </c>
      <c r="F55" s="25">
        <v>6</v>
      </c>
      <c r="G55" s="24" t="s">
        <v>376</v>
      </c>
      <c r="H55" s="24" t="s">
        <v>46</v>
      </c>
      <c r="I55" s="24" t="s">
        <v>1030</v>
      </c>
      <c r="J55" s="24" t="s">
        <v>100</v>
      </c>
      <c r="K55" s="24" t="s">
        <v>138</v>
      </c>
      <c r="L55" s="24" t="s">
        <v>40</v>
      </c>
      <c r="M55" s="24" t="s">
        <v>514</v>
      </c>
      <c r="N55" s="24" t="s">
        <v>523</v>
      </c>
      <c r="O55" s="24" t="s">
        <v>42</v>
      </c>
      <c r="P55" s="16" t="s">
        <v>43</v>
      </c>
      <c r="Q55" s="32">
        <v>59929506.259333342</v>
      </c>
      <c r="R55" s="32"/>
      <c r="S55" s="32"/>
      <c r="T55" s="32"/>
      <c r="U55"/>
      <c r="V55"/>
    </row>
    <row r="56" spans="3:22" x14ac:dyDescent="0.25">
      <c r="C56" s="24" t="s">
        <v>476</v>
      </c>
      <c r="D56" s="24" t="s">
        <v>477</v>
      </c>
      <c r="E56" s="24" t="s">
        <v>477</v>
      </c>
      <c r="F56" s="25">
        <v>5</v>
      </c>
      <c r="G56" s="24" t="s">
        <v>376</v>
      </c>
      <c r="H56" s="24" t="s">
        <v>46</v>
      </c>
      <c r="I56" s="24" t="s">
        <v>1030</v>
      </c>
      <c r="J56" s="24" t="s">
        <v>466</v>
      </c>
      <c r="K56" s="24" t="s">
        <v>51</v>
      </c>
      <c r="L56" s="24" t="s">
        <v>40</v>
      </c>
      <c r="M56" s="24" t="s">
        <v>1035</v>
      </c>
      <c r="N56" s="24" t="s">
        <v>476</v>
      </c>
      <c r="O56" s="24" t="s">
        <v>42</v>
      </c>
      <c r="P56" s="16" t="s">
        <v>43</v>
      </c>
      <c r="Q56" s="32">
        <v>48818965.257098667</v>
      </c>
      <c r="R56" s="32"/>
      <c r="S56" s="32"/>
      <c r="T56" s="32"/>
      <c r="U56"/>
      <c r="V56"/>
    </row>
    <row r="57" spans="3:22" x14ac:dyDescent="0.25">
      <c r="C57" s="24" t="s">
        <v>659</v>
      </c>
      <c r="D57" s="24" t="s">
        <v>660</v>
      </c>
      <c r="E57" s="24" t="s">
        <v>661</v>
      </c>
      <c r="F57" s="25">
        <v>6</v>
      </c>
      <c r="G57" s="24" t="s">
        <v>376</v>
      </c>
      <c r="H57" s="24" t="s">
        <v>46</v>
      </c>
      <c r="I57" s="24" t="s">
        <v>1030</v>
      </c>
      <c r="J57" s="24" t="s">
        <v>248</v>
      </c>
      <c r="K57" s="24" t="s">
        <v>51</v>
      </c>
      <c r="L57" s="24" t="s">
        <v>40</v>
      </c>
      <c r="M57" s="3" t="s">
        <v>984</v>
      </c>
      <c r="N57" s="24" t="s">
        <v>659</v>
      </c>
      <c r="O57" s="24" t="s">
        <v>42</v>
      </c>
      <c r="P57" s="16" t="s">
        <v>43</v>
      </c>
      <c r="Q57" s="32">
        <v>46978336.781566665</v>
      </c>
      <c r="R57" s="32"/>
      <c r="S57" s="32"/>
      <c r="T57" s="32"/>
      <c r="U57"/>
      <c r="V57"/>
    </row>
    <row r="58" spans="3:22" x14ac:dyDescent="0.25">
      <c r="C58" s="24" t="s">
        <v>644</v>
      </c>
      <c r="D58" s="24" t="s">
        <v>645</v>
      </c>
      <c r="E58" s="24" t="s">
        <v>645</v>
      </c>
      <c r="F58" s="25">
        <v>5.07</v>
      </c>
      <c r="G58" s="24" t="s">
        <v>376</v>
      </c>
      <c r="H58" s="24" t="s">
        <v>81</v>
      </c>
      <c r="I58" s="24" t="s">
        <v>1030</v>
      </c>
      <c r="J58" s="24" t="s">
        <v>50</v>
      </c>
      <c r="K58" s="24" t="s">
        <v>51</v>
      </c>
      <c r="L58" s="24" t="s">
        <v>40</v>
      </c>
      <c r="M58" s="24" t="s">
        <v>514</v>
      </c>
      <c r="N58" s="24" t="s">
        <v>644</v>
      </c>
      <c r="O58" s="24" t="s">
        <v>42</v>
      </c>
      <c r="P58" s="16" t="s">
        <v>43</v>
      </c>
      <c r="Q58" s="32">
        <v>69781109.965999991</v>
      </c>
      <c r="R58" s="32"/>
      <c r="S58" s="32"/>
      <c r="T58" s="32"/>
      <c r="U58"/>
      <c r="V58"/>
    </row>
    <row r="59" spans="3:22" x14ac:dyDescent="0.25">
      <c r="C59" s="24" t="s">
        <v>398</v>
      </c>
      <c r="D59" s="24" t="s">
        <v>399</v>
      </c>
      <c r="E59" s="24" t="s">
        <v>399</v>
      </c>
      <c r="F59" s="25">
        <v>5</v>
      </c>
      <c r="G59" s="24" t="s">
        <v>376</v>
      </c>
      <c r="H59" s="24" t="s">
        <v>46</v>
      </c>
      <c r="I59" s="24" t="s">
        <v>1031</v>
      </c>
      <c r="J59" s="24" t="s">
        <v>63</v>
      </c>
      <c r="K59" s="24" t="s">
        <v>138</v>
      </c>
      <c r="L59" s="24" t="s">
        <v>40</v>
      </c>
      <c r="M59" s="24" t="s">
        <v>378</v>
      </c>
      <c r="N59" s="24" t="s">
        <v>398</v>
      </c>
      <c r="O59" s="24" t="s">
        <v>42</v>
      </c>
      <c r="P59" s="16" t="s">
        <v>43</v>
      </c>
      <c r="Q59" s="32">
        <v>54444551.027383327</v>
      </c>
      <c r="R59" s="32"/>
      <c r="S59" s="32"/>
      <c r="T59" s="32"/>
      <c r="U59"/>
      <c r="V59"/>
    </row>
    <row r="60" spans="3:22" x14ac:dyDescent="0.25">
      <c r="C60" s="24" t="s">
        <v>634</v>
      </c>
      <c r="D60" s="24" t="s">
        <v>635</v>
      </c>
      <c r="E60" s="24" t="s">
        <v>635</v>
      </c>
      <c r="F60" s="25">
        <v>6</v>
      </c>
      <c r="G60" s="24" t="s">
        <v>376</v>
      </c>
      <c r="H60" s="24" t="s">
        <v>46</v>
      </c>
      <c r="I60" s="24" t="s">
        <v>1030</v>
      </c>
      <c r="J60" s="24" t="s">
        <v>50</v>
      </c>
      <c r="K60" s="24" t="s">
        <v>59</v>
      </c>
      <c r="L60" s="24" t="s">
        <v>40</v>
      </c>
      <c r="M60" s="24" t="s">
        <v>514</v>
      </c>
      <c r="N60" s="24" t="s">
        <v>634</v>
      </c>
      <c r="O60" s="24" t="s">
        <v>42</v>
      </c>
      <c r="P60" s="16" t="s">
        <v>43</v>
      </c>
      <c r="Q60" s="32">
        <v>70073901.664116651</v>
      </c>
      <c r="R60" s="32"/>
      <c r="S60" s="32"/>
      <c r="T60" s="32"/>
      <c r="U60" s="16" t="s">
        <v>1040</v>
      </c>
      <c r="V60" s="16" t="s">
        <v>1042</v>
      </c>
    </row>
    <row r="61" spans="3:22" x14ac:dyDescent="0.25">
      <c r="C61" s="24" t="s">
        <v>558</v>
      </c>
      <c r="D61" s="24" t="s">
        <v>559</v>
      </c>
      <c r="E61" s="24" t="s">
        <v>560</v>
      </c>
      <c r="F61" s="25">
        <v>6</v>
      </c>
      <c r="G61" s="24" t="s">
        <v>376</v>
      </c>
      <c r="H61" s="24" t="s">
        <v>46</v>
      </c>
      <c r="I61" s="24" t="s">
        <v>1030</v>
      </c>
      <c r="J61" s="24" t="s">
        <v>331</v>
      </c>
      <c r="K61" s="24" t="s">
        <v>138</v>
      </c>
      <c r="L61" s="24" t="s">
        <v>40</v>
      </c>
      <c r="M61" s="3" t="s">
        <v>984</v>
      </c>
      <c r="N61" s="24" t="s">
        <v>558</v>
      </c>
      <c r="O61" s="24" t="s">
        <v>42</v>
      </c>
      <c r="P61" s="16" t="s">
        <v>43</v>
      </c>
      <c r="Q61" s="32">
        <v>60899242.247899987</v>
      </c>
      <c r="R61" s="32"/>
      <c r="S61" s="32"/>
      <c r="T61" s="32"/>
      <c r="U61"/>
      <c r="V61"/>
    </row>
    <row r="62" spans="3:22" x14ac:dyDescent="0.25">
      <c r="C62" s="24" t="s">
        <v>561</v>
      </c>
      <c r="D62" s="24" t="s">
        <v>562</v>
      </c>
      <c r="E62" s="24" t="s">
        <v>563</v>
      </c>
      <c r="F62" s="25">
        <v>6</v>
      </c>
      <c r="G62" s="24" t="s">
        <v>376</v>
      </c>
      <c r="H62" s="24" t="s">
        <v>46</v>
      </c>
      <c r="I62" s="24" t="s">
        <v>1030</v>
      </c>
      <c r="J62" s="24" t="s">
        <v>331</v>
      </c>
      <c r="K62" s="24" t="s">
        <v>138</v>
      </c>
      <c r="L62" s="24" t="s">
        <v>40</v>
      </c>
      <c r="M62" s="3" t="s">
        <v>984</v>
      </c>
      <c r="N62" s="24" t="s">
        <v>561</v>
      </c>
      <c r="O62" s="24" t="s">
        <v>42</v>
      </c>
      <c r="P62" s="16" t="s">
        <v>43</v>
      </c>
      <c r="Q62" s="32">
        <v>40791286.995583318</v>
      </c>
      <c r="R62" s="32"/>
      <c r="S62" s="32"/>
      <c r="T62" s="32"/>
      <c r="U62" t="s">
        <v>1049</v>
      </c>
      <c r="V62" t="s">
        <v>1050</v>
      </c>
    </row>
    <row r="63" spans="3:22" x14ac:dyDescent="0.25">
      <c r="C63" s="24" t="s">
        <v>478</v>
      </c>
      <c r="D63" s="24" t="s">
        <v>479</v>
      </c>
      <c r="E63" s="24" t="s">
        <v>479</v>
      </c>
      <c r="F63" s="25">
        <v>5</v>
      </c>
      <c r="G63" s="24" t="s">
        <v>376</v>
      </c>
      <c r="H63" s="24" t="s">
        <v>46</v>
      </c>
      <c r="I63" s="24" t="s">
        <v>1030</v>
      </c>
      <c r="J63" s="24" t="s">
        <v>466</v>
      </c>
      <c r="K63" s="24" t="s">
        <v>51</v>
      </c>
      <c r="L63" s="24" t="s">
        <v>40</v>
      </c>
      <c r="M63" s="24" t="s">
        <v>1035</v>
      </c>
      <c r="N63" s="24" t="s">
        <v>478</v>
      </c>
      <c r="O63" s="24" t="s">
        <v>42</v>
      </c>
      <c r="P63" s="16" t="s">
        <v>43</v>
      </c>
      <c r="Q63" s="32">
        <v>53719939.869166672</v>
      </c>
      <c r="R63" s="32"/>
      <c r="S63" s="32"/>
      <c r="T63" s="32"/>
      <c r="U63" t="s">
        <v>1053</v>
      </c>
      <c r="V63">
        <v>0</v>
      </c>
    </row>
    <row r="64" spans="3:22" x14ac:dyDescent="0.25">
      <c r="C64" s="24" t="s">
        <v>852</v>
      </c>
      <c r="D64" s="24" t="s">
        <v>853</v>
      </c>
      <c r="E64" s="24" t="s">
        <v>853</v>
      </c>
      <c r="F64" s="25">
        <v>5</v>
      </c>
      <c r="G64" s="24" t="s">
        <v>376</v>
      </c>
      <c r="H64" s="24" t="s">
        <v>46</v>
      </c>
      <c r="I64" s="24" t="s">
        <v>1030</v>
      </c>
      <c r="J64" s="24" t="s">
        <v>132</v>
      </c>
      <c r="K64" s="24" t="s">
        <v>138</v>
      </c>
      <c r="L64" s="24" t="s">
        <v>40</v>
      </c>
      <c r="M64" s="24" t="s">
        <v>1035</v>
      </c>
      <c r="N64" s="24" t="s">
        <v>852</v>
      </c>
      <c r="O64" s="24" t="s">
        <v>42</v>
      </c>
      <c r="P64" s="16" t="s">
        <v>43</v>
      </c>
      <c r="Q64" s="32">
        <v>48625200.618900001</v>
      </c>
      <c r="R64" s="32"/>
      <c r="S64" s="32"/>
      <c r="T64" s="32"/>
      <c r="U64" t="s">
        <v>1052</v>
      </c>
      <c r="V64">
        <v>0</v>
      </c>
    </row>
    <row r="65" spans="3:22" x14ac:dyDescent="0.25">
      <c r="C65" s="24" t="s">
        <v>426</v>
      </c>
      <c r="D65" s="24" t="s">
        <v>427</v>
      </c>
      <c r="E65" s="24" t="s">
        <v>428</v>
      </c>
      <c r="F65" s="25">
        <v>5</v>
      </c>
      <c r="G65" s="24" t="s">
        <v>376</v>
      </c>
      <c r="H65" s="24" t="s">
        <v>46</v>
      </c>
      <c r="I65" s="24" t="s">
        <v>1030</v>
      </c>
      <c r="J65" s="24" t="s">
        <v>94</v>
      </c>
      <c r="K65" s="24" t="s">
        <v>64</v>
      </c>
      <c r="L65" s="24" t="s">
        <v>40</v>
      </c>
      <c r="M65" s="24" t="s">
        <v>1035</v>
      </c>
      <c r="N65" s="24" t="s">
        <v>426</v>
      </c>
      <c r="O65" s="24" t="s">
        <v>42</v>
      </c>
      <c r="P65" s="16" t="s">
        <v>43</v>
      </c>
      <c r="Q65" s="32">
        <v>48379367.033116668</v>
      </c>
      <c r="R65" s="32"/>
      <c r="S65" s="32"/>
      <c r="T65" s="32"/>
      <c r="U65"/>
      <c r="V65"/>
    </row>
    <row r="66" spans="3:22" x14ac:dyDescent="0.25">
      <c r="C66" s="24" t="s">
        <v>769</v>
      </c>
      <c r="D66" s="24" t="s">
        <v>771</v>
      </c>
      <c r="E66" s="24" t="s">
        <v>771</v>
      </c>
      <c r="F66" s="25">
        <v>6</v>
      </c>
      <c r="G66" s="24" t="s">
        <v>376</v>
      </c>
      <c r="H66" s="24" t="s">
        <v>46</v>
      </c>
      <c r="I66" s="24" t="s">
        <v>1031</v>
      </c>
      <c r="J66" s="24" t="s">
        <v>89</v>
      </c>
      <c r="K66" s="24" t="s">
        <v>109</v>
      </c>
      <c r="L66" s="24" t="s">
        <v>91</v>
      </c>
      <c r="M66" s="24" t="s">
        <v>378</v>
      </c>
      <c r="N66" s="24" t="s">
        <v>769</v>
      </c>
      <c r="O66" s="24" t="s">
        <v>42</v>
      </c>
      <c r="P66" s="16" t="s">
        <v>440</v>
      </c>
      <c r="Q66" s="32">
        <v>53066889.677033328</v>
      </c>
      <c r="R66" s="32"/>
      <c r="S66" s="32"/>
      <c r="T66" s="32"/>
      <c r="U66"/>
      <c r="V66"/>
    </row>
    <row r="67" spans="3:22" x14ac:dyDescent="0.25">
      <c r="C67" s="24" t="s">
        <v>942</v>
      </c>
      <c r="D67" s="24" t="s">
        <v>944</v>
      </c>
      <c r="E67" s="24" t="s">
        <v>944</v>
      </c>
      <c r="F67" s="25">
        <v>6.9</v>
      </c>
      <c r="G67" s="24" t="s">
        <v>376</v>
      </c>
      <c r="H67" s="24" t="s">
        <v>46</v>
      </c>
      <c r="I67" s="24" t="s">
        <v>1030</v>
      </c>
      <c r="J67" s="24" t="s">
        <v>160</v>
      </c>
      <c r="K67" s="24" t="s">
        <v>371</v>
      </c>
      <c r="L67" s="24" t="s">
        <v>40</v>
      </c>
      <c r="M67" s="3" t="s">
        <v>984</v>
      </c>
      <c r="N67" s="24" t="s">
        <v>942</v>
      </c>
      <c r="O67" s="24" t="s">
        <v>42</v>
      </c>
      <c r="P67" s="16" t="s">
        <v>43</v>
      </c>
      <c r="Q67" s="32">
        <v>66380634.530666664</v>
      </c>
      <c r="R67" s="32"/>
      <c r="S67" s="32"/>
      <c r="T67" s="32"/>
      <c r="U67"/>
      <c r="V67"/>
    </row>
    <row r="68" spans="3:22" x14ac:dyDescent="0.25">
      <c r="C68" s="24" t="s">
        <v>525</v>
      </c>
      <c r="D68" s="24" t="s">
        <v>526</v>
      </c>
      <c r="E68" s="24" t="s">
        <v>527</v>
      </c>
      <c r="F68" s="37">
        <f>5.9+0.68</f>
        <v>6.58</v>
      </c>
      <c r="G68" s="24" t="s">
        <v>376</v>
      </c>
      <c r="H68" s="24" t="s">
        <v>46</v>
      </c>
      <c r="I68" s="24" t="s">
        <v>1030</v>
      </c>
      <c r="J68" s="24" t="s">
        <v>100</v>
      </c>
      <c r="K68" s="24" t="s">
        <v>138</v>
      </c>
      <c r="L68" s="24" t="s">
        <v>40</v>
      </c>
      <c r="M68" s="24" t="s">
        <v>514</v>
      </c>
      <c r="N68" s="24" t="s">
        <v>525</v>
      </c>
      <c r="O68" s="24" t="s">
        <v>42</v>
      </c>
      <c r="P68" s="16" t="s">
        <v>440</v>
      </c>
      <c r="Q68" s="32">
        <v>60644496.071866661</v>
      </c>
      <c r="R68" s="32"/>
      <c r="S68" s="32"/>
      <c r="T68" s="32"/>
      <c r="U68"/>
      <c r="V68"/>
    </row>
    <row r="69" spans="3:22" x14ac:dyDescent="0.25">
      <c r="C69" s="24" t="s">
        <v>48</v>
      </c>
      <c r="D69" s="24" t="s">
        <v>49</v>
      </c>
      <c r="E69" s="24" t="s">
        <v>49</v>
      </c>
      <c r="F69" s="25" t="s">
        <v>36</v>
      </c>
      <c r="G69" s="24" t="s">
        <v>37</v>
      </c>
      <c r="H69" s="24" t="s">
        <v>38</v>
      </c>
      <c r="I69" s="24" t="s">
        <v>1046</v>
      </c>
      <c r="J69" s="24" t="s">
        <v>50</v>
      </c>
      <c r="K69" s="24" t="s">
        <v>51</v>
      </c>
      <c r="L69" s="24" t="s">
        <v>40</v>
      </c>
      <c r="M69" s="24">
        <v>0</v>
      </c>
      <c r="N69" s="24" t="s">
        <v>48</v>
      </c>
      <c r="O69" s="24" t="s">
        <v>42</v>
      </c>
      <c r="P69" s="16" t="s">
        <v>43</v>
      </c>
      <c r="Q69" s="32">
        <v>0</v>
      </c>
      <c r="R69" s="32"/>
      <c r="S69" s="32"/>
      <c r="T69" s="32"/>
      <c r="U69"/>
      <c r="V69"/>
    </row>
    <row r="70" spans="3:22" x14ac:dyDescent="0.25">
      <c r="C70" s="24" t="s">
        <v>52</v>
      </c>
      <c r="D70" s="24" t="s">
        <v>53</v>
      </c>
      <c r="E70" s="24" t="s">
        <v>53</v>
      </c>
      <c r="F70" s="25" t="s">
        <v>36</v>
      </c>
      <c r="G70" s="24" t="s">
        <v>987</v>
      </c>
      <c r="H70" s="24" t="s">
        <v>38</v>
      </c>
      <c r="I70" s="24" t="s">
        <v>1046</v>
      </c>
      <c r="J70" s="24">
        <v>0</v>
      </c>
      <c r="K70" s="24" t="s">
        <v>54</v>
      </c>
      <c r="L70" s="24" t="s">
        <v>55</v>
      </c>
      <c r="M70" s="24">
        <v>0</v>
      </c>
      <c r="N70" s="24" t="s">
        <v>52</v>
      </c>
      <c r="O70" s="24" t="s">
        <v>42</v>
      </c>
      <c r="P70" s="16" t="s">
        <v>43</v>
      </c>
      <c r="Q70" s="32">
        <v>0</v>
      </c>
      <c r="R70" s="32"/>
      <c r="S70" s="32"/>
      <c r="T70" s="32"/>
      <c r="U70"/>
      <c r="V70"/>
    </row>
    <row r="71" spans="3:22" x14ac:dyDescent="0.25">
      <c r="C71" s="24" t="s">
        <v>528</v>
      </c>
      <c r="D71" s="24" t="s">
        <v>530</v>
      </c>
      <c r="E71" s="24" t="s">
        <v>530</v>
      </c>
      <c r="F71" s="37">
        <f>5.9+0.68</f>
        <v>6.58</v>
      </c>
      <c r="G71" s="24" t="s">
        <v>376</v>
      </c>
      <c r="H71" s="24" t="s">
        <v>46</v>
      </c>
      <c r="I71" s="24" t="s">
        <v>1030</v>
      </c>
      <c r="J71" s="24" t="s">
        <v>100</v>
      </c>
      <c r="K71" s="24" t="s">
        <v>64</v>
      </c>
      <c r="L71" s="24" t="s">
        <v>40</v>
      </c>
      <c r="M71" s="24" t="s">
        <v>514</v>
      </c>
      <c r="N71" s="24" t="s">
        <v>528</v>
      </c>
      <c r="O71" s="24" t="s">
        <v>42</v>
      </c>
      <c r="P71" s="16" t="s">
        <v>440</v>
      </c>
      <c r="Q71" s="32">
        <v>68899559.448000014</v>
      </c>
      <c r="R71" s="32"/>
      <c r="S71" s="32"/>
      <c r="T71" s="32"/>
      <c r="U71"/>
      <c r="V71"/>
    </row>
    <row r="72" spans="3:22" x14ac:dyDescent="0.25">
      <c r="C72" s="24" t="s">
        <v>854</v>
      </c>
      <c r="D72" s="24" t="s">
        <v>982</v>
      </c>
      <c r="E72" s="24" t="s">
        <v>990</v>
      </c>
      <c r="F72" s="25">
        <v>6.45</v>
      </c>
      <c r="G72" s="24" t="s">
        <v>376</v>
      </c>
      <c r="H72" s="24" t="s">
        <v>46</v>
      </c>
      <c r="I72" s="24" t="s">
        <v>1030</v>
      </c>
      <c r="J72" s="24" t="s">
        <v>132</v>
      </c>
      <c r="K72" s="24" t="s">
        <v>856</v>
      </c>
      <c r="L72" s="24" t="s">
        <v>40</v>
      </c>
      <c r="M72" s="24" t="s">
        <v>1035</v>
      </c>
      <c r="N72" s="24" t="s">
        <v>854</v>
      </c>
      <c r="O72" s="24" t="s">
        <v>42</v>
      </c>
      <c r="P72" s="16" t="s">
        <v>440</v>
      </c>
      <c r="Q72" s="32">
        <v>45687683.962000005</v>
      </c>
      <c r="R72" s="32"/>
      <c r="S72" s="32"/>
      <c r="T72" s="32"/>
      <c r="U72"/>
      <c r="V72"/>
    </row>
    <row r="73" spans="3:22" x14ac:dyDescent="0.25">
      <c r="C73" s="24" t="s">
        <v>531</v>
      </c>
      <c r="D73" s="24" t="s">
        <v>533</v>
      </c>
      <c r="E73" s="24" t="s">
        <v>991</v>
      </c>
      <c r="F73" s="25">
        <v>5.45</v>
      </c>
      <c r="G73" s="24" t="s">
        <v>376</v>
      </c>
      <c r="H73" s="24" t="s">
        <v>46</v>
      </c>
      <c r="I73" s="24" t="s">
        <v>1030</v>
      </c>
      <c r="J73" s="24" t="s">
        <v>100</v>
      </c>
      <c r="K73" s="24" t="s">
        <v>138</v>
      </c>
      <c r="L73" s="24" t="s">
        <v>40</v>
      </c>
      <c r="M73" s="24" t="s">
        <v>514</v>
      </c>
      <c r="N73" s="24" t="s">
        <v>531</v>
      </c>
      <c r="O73" s="24" t="s">
        <v>42</v>
      </c>
      <c r="P73" s="16" t="s">
        <v>440</v>
      </c>
      <c r="Q73" s="32">
        <v>42640509.654599994</v>
      </c>
      <c r="R73" s="32"/>
      <c r="S73" s="32"/>
      <c r="T73" s="32"/>
      <c r="U73"/>
      <c r="V73"/>
    </row>
    <row r="74" spans="3:22" x14ac:dyDescent="0.25">
      <c r="C74" s="24" t="s">
        <v>945</v>
      </c>
      <c r="D74" s="24" t="s">
        <v>946</v>
      </c>
      <c r="E74" s="24" t="s">
        <v>947</v>
      </c>
      <c r="F74" s="25">
        <v>5.9</v>
      </c>
      <c r="G74" s="24" t="s">
        <v>376</v>
      </c>
      <c r="H74" s="24" t="s">
        <v>46</v>
      </c>
      <c r="I74" s="24" t="s">
        <v>1030</v>
      </c>
      <c r="J74" s="24" t="s">
        <v>160</v>
      </c>
      <c r="K74" s="24" t="s">
        <v>371</v>
      </c>
      <c r="L74" s="24" t="s">
        <v>40</v>
      </c>
      <c r="M74" s="3" t="s">
        <v>984</v>
      </c>
      <c r="N74" s="24" t="s">
        <v>945</v>
      </c>
      <c r="O74" s="24" t="s">
        <v>42</v>
      </c>
      <c r="P74" s="16" t="s">
        <v>440</v>
      </c>
      <c r="Q74" s="32">
        <v>44953981.981999993</v>
      </c>
      <c r="R74" s="32"/>
      <c r="S74" s="32"/>
      <c r="T74" s="32"/>
      <c r="U74"/>
      <c r="V74"/>
    </row>
    <row r="75" spans="3:22" x14ac:dyDescent="0.25">
      <c r="C75" s="24" t="s">
        <v>773</v>
      </c>
      <c r="D75" s="24" t="s">
        <v>775</v>
      </c>
      <c r="E75" s="24" t="s">
        <v>775</v>
      </c>
      <c r="F75" s="25">
        <v>6.45</v>
      </c>
      <c r="G75" s="24" t="s">
        <v>376</v>
      </c>
      <c r="H75" s="24" t="s">
        <v>46</v>
      </c>
      <c r="I75" s="24" t="s">
        <v>1031</v>
      </c>
      <c r="J75" s="24" t="s">
        <v>89</v>
      </c>
      <c r="K75" s="24" t="s">
        <v>776</v>
      </c>
      <c r="L75" s="24" t="s">
        <v>91</v>
      </c>
      <c r="M75" s="24" t="s">
        <v>378</v>
      </c>
      <c r="N75" s="24" t="s">
        <v>773</v>
      </c>
      <c r="O75" s="24" t="s">
        <v>42</v>
      </c>
      <c r="P75" s="16" t="s">
        <v>440</v>
      </c>
      <c r="Q75" s="32">
        <v>44004194.186949991</v>
      </c>
      <c r="R75" s="32"/>
      <c r="S75" s="32"/>
      <c r="T75" s="32"/>
      <c r="U75"/>
      <c r="V75"/>
    </row>
    <row r="76" spans="3:22" x14ac:dyDescent="0.25">
      <c r="C76" s="24" t="s">
        <v>662</v>
      </c>
      <c r="D76" s="24" t="s">
        <v>664</v>
      </c>
      <c r="E76" s="24" t="s">
        <v>992</v>
      </c>
      <c r="F76" s="25">
        <v>5.9</v>
      </c>
      <c r="G76" s="24" t="s">
        <v>376</v>
      </c>
      <c r="H76" s="24" t="s">
        <v>46</v>
      </c>
      <c r="I76" s="24" t="s">
        <v>1030</v>
      </c>
      <c r="J76" s="24" t="s">
        <v>248</v>
      </c>
      <c r="K76" s="24" t="s">
        <v>51</v>
      </c>
      <c r="L76" s="24" t="s">
        <v>40</v>
      </c>
      <c r="M76" s="3" t="s">
        <v>984</v>
      </c>
      <c r="N76" s="24" t="s">
        <v>662</v>
      </c>
      <c r="O76" s="24" t="s">
        <v>42</v>
      </c>
      <c r="P76" s="16" t="s">
        <v>43</v>
      </c>
      <c r="Q76" s="32">
        <v>64363317.363533333</v>
      </c>
      <c r="R76" s="32"/>
      <c r="S76" s="32"/>
      <c r="T76" s="32"/>
      <c r="U76"/>
      <c r="V76"/>
    </row>
    <row r="77" spans="3:22" x14ac:dyDescent="0.25">
      <c r="C77" s="24" t="s">
        <v>56</v>
      </c>
      <c r="D77" s="24" t="s">
        <v>57</v>
      </c>
      <c r="E77" s="24" t="s">
        <v>57</v>
      </c>
      <c r="F77" s="25" t="s">
        <v>36</v>
      </c>
      <c r="G77" s="24" t="s">
        <v>37</v>
      </c>
      <c r="H77" s="24" t="s">
        <v>38</v>
      </c>
      <c r="I77" s="24" t="s">
        <v>1046</v>
      </c>
      <c r="J77" s="24" t="s">
        <v>58</v>
      </c>
      <c r="K77" s="24" t="s">
        <v>59</v>
      </c>
      <c r="L77" s="24" t="s">
        <v>40</v>
      </c>
      <c r="M77" s="24">
        <v>0</v>
      </c>
      <c r="N77" s="24" t="s">
        <v>56</v>
      </c>
      <c r="O77" s="24" t="s">
        <v>42</v>
      </c>
      <c r="P77" s="16" t="s">
        <v>43</v>
      </c>
      <c r="Q77" s="32">
        <v>0</v>
      </c>
      <c r="R77" s="32"/>
      <c r="S77" s="32"/>
      <c r="T77" s="32"/>
      <c r="U77"/>
      <c r="V77"/>
    </row>
    <row r="78" spans="3:22" x14ac:dyDescent="0.25">
      <c r="C78" s="24" t="s">
        <v>534</v>
      </c>
      <c r="D78" s="24" t="s">
        <v>535</v>
      </c>
      <c r="E78" s="24" t="s">
        <v>536</v>
      </c>
      <c r="F78" s="25">
        <v>5.45</v>
      </c>
      <c r="G78" s="24" t="s">
        <v>376</v>
      </c>
      <c r="H78" s="24" t="s">
        <v>46</v>
      </c>
      <c r="I78" s="24" t="s">
        <v>1030</v>
      </c>
      <c r="J78" s="24" t="s">
        <v>100</v>
      </c>
      <c r="K78" s="24" t="s">
        <v>138</v>
      </c>
      <c r="L78" s="24" t="s">
        <v>40</v>
      </c>
      <c r="M78" s="24" t="s">
        <v>514</v>
      </c>
      <c r="N78" s="24" t="s">
        <v>534</v>
      </c>
      <c r="O78" s="24" t="s">
        <v>42</v>
      </c>
      <c r="P78" s="16" t="s">
        <v>43</v>
      </c>
      <c r="Q78" s="32">
        <v>46866151.572966658</v>
      </c>
      <c r="R78" s="32"/>
      <c r="S78" s="32"/>
      <c r="T78" s="32"/>
      <c r="U78"/>
      <c r="V78"/>
    </row>
    <row r="79" spans="3:22" x14ac:dyDescent="0.25">
      <c r="C79" s="24" t="s">
        <v>636</v>
      </c>
      <c r="D79" s="24" t="s">
        <v>637</v>
      </c>
      <c r="E79" s="24" t="s">
        <v>638</v>
      </c>
      <c r="F79" s="25">
        <v>5.45</v>
      </c>
      <c r="G79" s="24" t="s">
        <v>376</v>
      </c>
      <c r="H79" s="24" t="s">
        <v>46</v>
      </c>
      <c r="I79" s="24" t="s">
        <v>1030</v>
      </c>
      <c r="J79" s="24" t="s">
        <v>50</v>
      </c>
      <c r="K79" s="24" t="s">
        <v>315</v>
      </c>
      <c r="L79" s="24" t="s">
        <v>40</v>
      </c>
      <c r="M79" s="24" t="s">
        <v>514</v>
      </c>
      <c r="N79" s="24" t="s">
        <v>636</v>
      </c>
      <c r="O79" s="24" t="s">
        <v>42</v>
      </c>
      <c r="P79" s="16" t="s">
        <v>43</v>
      </c>
      <c r="Q79" s="32">
        <v>83651873.688833311</v>
      </c>
      <c r="R79" s="32"/>
      <c r="S79" s="32"/>
      <c r="T79" s="32"/>
      <c r="U79"/>
      <c r="V79"/>
    </row>
    <row r="80" spans="3:22" x14ac:dyDescent="0.25">
      <c r="C80" s="24" t="s">
        <v>857</v>
      </c>
      <c r="D80" s="24" t="s">
        <v>859</v>
      </c>
      <c r="E80" s="24" t="s">
        <v>993</v>
      </c>
      <c r="F80" s="25">
        <v>5.9</v>
      </c>
      <c r="G80" s="24" t="s">
        <v>376</v>
      </c>
      <c r="H80" s="24" t="s">
        <v>46</v>
      </c>
      <c r="I80" s="24" t="s">
        <v>1030</v>
      </c>
      <c r="J80" s="24" t="s">
        <v>132</v>
      </c>
      <c r="K80" s="24" t="s">
        <v>138</v>
      </c>
      <c r="L80" s="24" t="s">
        <v>40</v>
      </c>
      <c r="M80" s="24" t="s">
        <v>1035</v>
      </c>
      <c r="N80" s="24" t="s">
        <v>857</v>
      </c>
      <c r="O80" s="24" t="s">
        <v>42</v>
      </c>
      <c r="P80" s="16" t="s">
        <v>43</v>
      </c>
      <c r="Q80" s="32">
        <v>70352856.635916665</v>
      </c>
      <c r="R80" s="32"/>
      <c r="S80" s="32"/>
      <c r="T80" s="32"/>
      <c r="U80"/>
      <c r="V80"/>
    </row>
    <row r="81" spans="3:22" x14ac:dyDescent="0.25">
      <c r="C81" s="24" t="s">
        <v>747</v>
      </c>
      <c r="D81" s="24" t="s">
        <v>994</v>
      </c>
      <c r="E81" s="24" t="s">
        <v>749</v>
      </c>
      <c r="F81" s="25">
        <v>6.9</v>
      </c>
      <c r="G81" s="24" t="s">
        <v>376</v>
      </c>
      <c r="H81" s="24" t="s">
        <v>46</v>
      </c>
      <c r="I81" s="24" t="s">
        <v>1031</v>
      </c>
      <c r="J81" s="24" t="s">
        <v>1048</v>
      </c>
      <c r="K81" s="24" t="s">
        <v>54</v>
      </c>
      <c r="L81" s="24" t="s">
        <v>55</v>
      </c>
      <c r="M81" s="24" t="s">
        <v>378</v>
      </c>
      <c r="N81" s="24" t="s">
        <v>747</v>
      </c>
      <c r="O81" s="24" t="s">
        <v>42</v>
      </c>
      <c r="P81" s="16" t="s">
        <v>43</v>
      </c>
      <c r="Q81" s="32">
        <v>75796220.667333335</v>
      </c>
      <c r="R81" s="32"/>
      <c r="S81" s="32"/>
      <c r="T81" s="32"/>
      <c r="U81"/>
      <c r="V81"/>
    </row>
    <row r="82" spans="3:22" x14ac:dyDescent="0.25">
      <c r="C82" s="24" t="s">
        <v>564</v>
      </c>
      <c r="D82" s="24" t="s">
        <v>565</v>
      </c>
      <c r="E82" s="24" t="s">
        <v>566</v>
      </c>
      <c r="F82" s="25">
        <v>5.9</v>
      </c>
      <c r="G82" s="24" t="s">
        <v>376</v>
      </c>
      <c r="H82" s="24" t="s">
        <v>46</v>
      </c>
      <c r="I82" s="24" t="s">
        <v>1030</v>
      </c>
      <c r="J82" s="24" t="s">
        <v>331</v>
      </c>
      <c r="K82" s="24" t="s">
        <v>138</v>
      </c>
      <c r="L82" s="24" t="s">
        <v>40</v>
      </c>
      <c r="M82" s="3" t="s">
        <v>984</v>
      </c>
      <c r="N82" s="24" t="s">
        <v>564</v>
      </c>
      <c r="O82" s="24" t="s">
        <v>42</v>
      </c>
      <c r="P82" s="16" t="s">
        <v>440</v>
      </c>
      <c r="Q82" s="32">
        <v>39081989.302616663</v>
      </c>
      <c r="R82" s="32"/>
      <c r="S82" s="32"/>
      <c r="T82" s="32"/>
      <c r="U82"/>
      <c r="V82"/>
    </row>
    <row r="83" spans="3:22" x14ac:dyDescent="0.25">
      <c r="C83" s="24" t="s">
        <v>709</v>
      </c>
      <c r="D83" s="24" t="s">
        <v>710</v>
      </c>
      <c r="E83" s="24" t="s">
        <v>711</v>
      </c>
      <c r="F83" s="25">
        <v>8</v>
      </c>
      <c r="G83" s="24" t="s">
        <v>376</v>
      </c>
      <c r="H83" s="24" t="s">
        <v>46</v>
      </c>
      <c r="I83" s="24" t="s">
        <v>1031</v>
      </c>
      <c r="J83" s="24" t="s">
        <v>84</v>
      </c>
      <c r="K83" s="24" t="s">
        <v>54</v>
      </c>
      <c r="L83" s="24" t="s">
        <v>55</v>
      </c>
      <c r="M83" s="24" t="s">
        <v>378</v>
      </c>
      <c r="N83" s="24" t="s">
        <v>709</v>
      </c>
      <c r="O83" s="24" t="s">
        <v>379</v>
      </c>
      <c r="P83" s="16" t="s">
        <v>440</v>
      </c>
      <c r="Q83" s="32">
        <v>60068790.541156657</v>
      </c>
      <c r="R83" s="32"/>
      <c r="S83" s="32"/>
      <c r="T83" s="32"/>
      <c r="U83"/>
      <c r="V83"/>
    </row>
    <row r="84" spans="3:22" x14ac:dyDescent="0.25">
      <c r="C84" s="24" t="s">
        <v>60</v>
      </c>
      <c r="D84" s="24" t="s">
        <v>61</v>
      </c>
      <c r="E84" s="24" t="s">
        <v>62</v>
      </c>
      <c r="F84" s="25" t="s">
        <v>36</v>
      </c>
      <c r="G84" s="24" t="s">
        <v>37</v>
      </c>
      <c r="H84" s="24" t="s">
        <v>38</v>
      </c>
      <c r="I84" s="24" t="s">
        <v>1046</v>
      </c>
      <c r="J84" s="24" t="s">
        <v>63</v>
      </c>
      <c r="K84" s="24" t="s">
        <v>64</v>
      </c>
      <c r="L84" s="24" t="s">
        <v>40</v>
      </c>
      <c r="M84" s="24">
        <v>0</v>
      </c>
      <c r="N84" s="24" t="s">
        <v>60</v>
      </c>
      <c r="O84" s="24" t="s">
        <v>42</v>
      </c>
      <c r="P84" s="16" t="s">
        <v>43</v>
      </c>
      <c r="Q84" s="32">
        <v>0</v>
      </c>
      <c r="R84" s="32"/>
      <c r="S84" s="32"/>
      <c r="T84" s="32"/>
      <c r="U84"/>
      <c r="V84"/>
    </row>
    <row r="85" spans="3:22" x14ac:dyDescent="0.25">
      <c r="C85" s="24" t="s">
        <v>861</v>
      </c>
      <c r="D85" s="24" t="s">
        <v>983</v>
      </c>
      <c r="E85" s="24" t="s">
        <v>995</v>
      </c>
      <c r="F85" s="25">
        <v>8.9</v>
      </c>
      <c r="G85" s="24" t="s">
        <v>376</v>
      </c>
      <c r="H85" s="24" t="s">
        <v>46</v>
      </c>
      <c r="I85" s="24" t="s">
        <v>1030</v>
      </c>
      <c r="J85" s="24" t="s">
        <v>132</v>
      </c>
      <c r="K85" s="24" t="s">
        <v>856</v>
      </c>
      <c r="L85" s="24" t="s">
        <v>40</v>
      </c>
      <c r="M85" s="24" t="s">
        <v>1035</v>
      </c>
      <c r="N85" s="24" t="s">
        <v>861</v>
      </c>
      <c r="O85" s="24" t="s">
        <v>379</v>
      </c>
      <c r="P85" s="16" t="s">
        <v>440</v>
      </c>
      <c r="Q85" s="32">
        <v>85881868.59919998</v>
      </c>
      <c r="R85" s="32"/>
      <c r="S85" s="32"/>
      <c r="T85" s="32"/>
      <c r="U85"/>
      <c r="V85"/>
    </row>
    <row r="86" spans="3:22" x14ac:dyDescent="0.25">
      <c r="C86" s="24" t="s">
        <v>616</v>
      </c>
      <c r="D86" s="24" t="s">
        <v>617</v>
      </c>
      <c r="E86" s="24" t="s">
        <v>617</v>
      </c>
      <c r="F86" s="25">
        <v>5.45</v>
      </c>
      <c r="G86" s="24" t="s">
        <v>376</v>
      </c>
      <c r="H86" s="24" t="s">
        <v>46</v>
      </c>
      <c r="I86" s="24" t="s">
        <v>1030</v>
      </c>
      <c r="J86" s="24" t="s">
        <v>50</v>
      </c>
      <c r="K86" s="24" t="s">
        <v>138</v>
      </c>
      <c r="L86" s="24" t="s">
        <v>40</v>
      </c>
      <c r="M86" s="24" t="s">
        <v>514</v>
      </c>
      <c r="N86" s="24" t="s">
        <v>616</v>
      </c>
      <c r="O86" s="24" t="s">
        <v>42</v>
      </c>
      <c r="P86" s="16" t="s">
        <v>440</v>
      </c>
      <c r="Q86" s="32">
        <v>48237722.791516662</v>
      </c>
      <c r="R86" s="32"/>
      <c r="S86" s="32"/>
      <c r="T86" s="32"/>
      <c r="U86"/>
      <c r="V86"/>
    </row>
    <row r="87" spans="3:22" x14ac:dyDescent="0.25">
      <c r="C87" s="24" t="s">
        <v>891</v>
      </c>
      <c r="D87" s="24" t="s">
        <v>892</v>
      </c>
      <c r="E87" s="24" t="s">
        <v>893</v>
      </c>
      <c r="F87" s="25">
        <v>5</v>
      </c>
      <c r="G87" s="24" t="s">
        <v>376</v>
      </c>
      <c r="H87" s="24" t="s">
        <v>46</v>
      </c>
      <c r="I87" s="24" t="s">
        <v>1030</v>
      </c>
      <c r="J87" s="24" t="s">
        <v>73</v>
      </c>
      <c r="K87" s="24" t="s">
        <v>47</v>
      </c>
      <c r="L87" s="24" t="s">
        <v>40</v>
      </c>
      <c r="M87" s="24" t="s">
        <v>514</v>
      </c>
      <c r="N87" s="24" t="s">
        <v>891</v>
      </c>
      <c r="O87" s="24" t="s">
        <v>42</v>
      </c>
      <c r="P87" s="16" t="s">
        <v>43</v>
      </c>
      <c r="Q87" s="32">
        <v>52847004.986876652</v>
      </c>
      <c r="R87" s="32"/>
      <c r="S87" s="32"/>
      <c r="T87" s="32"/>
      <c r="U87"/>
      <c r="V87"/>
    </row>
    <row r="88" spans="3:22" x14ac:dyDescent="0.25">
      <c r="C88" s="24" t="s">
        <v>65</v>
      </c>
      <c r="D88" s="24" t="s">
        <v>66</v>
      </c>
      <c r="E88" s="24" t="s">
        <v>66</v>
      </c>
      <c r="F88" s="25" t="s">
        <v>36</v>
      </c>
      <c r="G88" s="24" t="s">
        <v>37</v>
      </c>
      <c r="H88" s="24" t="s">
        <v>38</v>
      </c>
      <c r="I88" s="24" t="s">
        <v>1046</v>
      </c>
      <c r="J88" s="24" t="s">
        <v>67</v>
      </c>
      <c r="K88" s="24" t="s">
        <v>59</v>
      </c>
      <c r="L88" s="24" t="s">
        <v>40</v>
      </c>
      <c r="M88" s="24">
        <v>0</v>
      </c>
      <c r="N88" s="24" t="s">
        <v>65</v>
      </c>
      <c r="O88" s="24" t="s">
        <v>42</v>
      </c>
      <c r="P88" s="16" t="s">
        <v>43</v>
      </c>
      <c r="Q88" s="32">
        <v>0</v>
      </c>
      <c r="R88" s="32"/>
      <c r="S88" s="32"/>
      <c r="T88" s="32"/>
      <c r="U88"/>
      <c r="V88"/>
    </row>
    <row r="89" spans="3:22" x14ac:dyDescent="0.25">
      <c r="C89" s="24" t="s">
        <v>777</v>
      </c>
      <c r="D89" s="24" t="s">
        <v>779</v>
      </c>
      <c r="E89" s="24" t="s">
        <v>779</v>
      </c>
      <c r="F89" s="25">
        <v>6.45</v>
      </c>
      <c r="G89" s="24" t="s">
        <v>376</v>
      </c>
      <c r="H89" s="24" t="s">
        <v>46</v>
      </c>
      <c r="I89" s="24" t="s">
        <v>1031</v>
      </c>
      <c r="J89" s="24" t="s">
        <v>89</v>
      </c>
      <c r="K89" s="24" t="s">
        <v>90</v>
      </c>
      <c r="L89" s="24" t="s">
        <v>91</v>
      </c>
      <c r="M89" s="24" t="s">
        <v>378</v>
      </c>
      <c r="N89" s="24" t="s">
        <v>777</v>
      </c>
      <c r="O89" s="24" t="s">
        <v>42</v>
      </c>
      <c r="P89" s="16" t="s">
        <v>440</v>
      </c>
      <c r="Q89" s="32">
        <v>50351906.851733319</v>
      </c>
      <c r="R89" s="32"/>
      <c r="S89" s="32"/>
      <c r="T89" s="32"/>
      <c r="U89"/>
      <c r="V89"/>
    </row>
    <row r="90" spans="3:22" x14ac:dyDescent="0.25">
      <c r="C90" s="24" t="s">
        <v>480</v>
      </c>
      <c r="D90" s="24" t="s">
        <v>481</v>
      </c>
      <c r="E90" s="24" t="s">
        <v>482</v>
      </c>
      <c r="F90" s="25">
        <v>5</v>
      </c>
      <c r="G90" s="24" t="s">
        <v>376</v>
      </c>
      <c r="H90" s="24" t="s">
        <v>46</v>
      </c>
      <c r="I90" s="24" t="s">
        <v>1030</v>
      </c>
      <c r="J90" s="24" t="s">
        <v>466</v>
      </c>
      <c r="K90" s="24" t="s">
        <v>51</v>
      </c>
      <c r="L90" s="24" t="s">
        <v>40</v>
      </c>
      <c r="M90" s="24" t="s">
        <v>1035</v>
      </c>
      <c r="N90" s="24" t="s">
        <v>480</v>
      </c>
      <c r="O90" s="24" t="s">
        <v>42</v>
      </c>
      <c r="P90" s="16" t="s">
        <v>43</v>
      </c>
      <c r="Q90" s="32">
        <v>37967630.520116672</v>
      </c>
      <c r="R90" s="32"/>
      <c r="S90" s="32"/>
      <c r="T90" s="32"/>
      <c r="U90"/>
      <c r="V90"/>
    </row>
    <row r="91" spans="3:22" x14ac:dyDescent="0.25">
      <c r="C91" s="24" t="s">
        <v>807</v>
      </c>
      <c r="D91" s="24" t="s">
        <v>808</v>
      </c>
      <c r="E91" s="24" t="s">
        <v>809</v>
      </c>
      <c r="F91" s="37">
        <v>7</v>
      </c>
      <c r="G91" s="24" t="s">
        <v>376</v>
      </c>
      <c r="H91" s="24" t="s">
        <v>46</v>
      </c>
      <c r="I91" s="24" t="s">
        <v>1030</v>
      </c>
      <c r="J91" s="24" t="s">
        <v>146</v>
      </c>
      <c r="K91" s="24" t="s">
        <v>59</v>
      </c>
      <c r="L91" s="24" t="s">
        <v>40</v>
      </c>
      <c r="M91" s="24" t="s">
        <v>1035</v>
      </c>
      <c r="N91" s="24" t="s">
        <v>807</v>
      </c>
      <c r="O91" s="24" t="s">
        <v>42</v>
      </c>
      <c r="P91" s="16" t="s">
        <v>440</v>
      </c>
      <c r="Q91" s="32">
        <v>110110193.11773331</v>
      </c>
      <c r="R91" s="32"/>
      <c r="S91" s="32"/>
      <c r="T91" s="32"/>
      <c r="U91"/>
      <c r="V91"/>
    </row>
    <row r="92" spans="3:22" x14ac:dyDescent="0.25">
      <c r="C92" s="24" t="s">
        <v>400</v>
      </c>
      <c r="D92" s="24" t="s">
        <v>401</v>
      </c>
      <c r="E92" s="24" t="s">
        <v>401</v>
      </c>
      <c r="F92" s="25">
        <v>5.45</v>
      </c>
      <c r="G92" s="24" t="s">
        <v>376</v>
      </c>
      <c r="H92" s="24" t="s">
        <v>46</v>
      </c>
      <c r="I92" s="24" t="s">
        <v>1031</v>
      </c>
      <c r="J92" s="24" t="s">
        <v>63</v>
      </c>
      <c r="K92" s="24" t="s">
        <v>138</v>
      </c>
      <c r="L92" s="24" t="s">
        <v>40</v>
      </c>
      <c r="M92" s="24" t="s">
        <v>378</v>
      </c>
      <c r="N92" s="24" t="s">
        <v>400</v>
      </c>
      <c r="O92" s="24" t="s">
        <v>42</v>
      </c>
      <c r="P92" s="16" t="s">
        <v>43</v>
      </c>
      <c r="Q92" s="32">
        <v>42655701.672283329</v>
      </c>
      <c r="R92" s="32"/>
      <c r="S92" s="32"/>
      <c r="T92" s="32"/>
      <c r="U92"/>
      <c r="V92"/>
    </row>
    <row r="93" spans="3:22" x14ac:dyDescent="0.25">
      <c r="C93" s="24" t="s">
        <v>402</v>
      </c>
      <c r="D93" s="24" t="s">
        <v>403</v>
      </c>
      <c r="E93" s="24" t="s">
        <v>403</v>
      </c>
      <c r="F93" s="25">
        <v>5.45</v>
      </c>
      <c r="G93" s="24" t="s">
        <v>376</v>
      </c>
      <c r="H93" s="24" t="s">
        <v>46</v>
      </c>
      <c r="I93" s="24" t="s">
        <v>1031</v>
      </c>
      <c r="J93" s="24" t="s">
        <v>63</v>
      </c>
      <c r="K93" s="24" t="s">
        <v>138</v>
      </c>
      <c r="L93" s="24" t="s">
        <v>40</v>
      </c>
      <c r="M93" s="24" t="s">
        <v>378</v>
      </c>
      <c r="N93" s="24" t="s">
        <v>402</v>
      </c>
      <c r="O93" s="24" t="s">
        <v>42</v>
      </c>
      <c r="P93" s="16" t="s">
        <v>43</v>
      </c>
      <c r="Q93" s="32">
        <v>67172892.766199961</v>
      </c>
      <c r="R93" s="32"/>
      <c r="S93" s="32"/>
      <c r="T93" s="32"/>
      <c r="U93"/>
      <c r="V93"/>
    </row>
    <row r="94" spans="3:22" x14ac:dyDescent="0.25">
      <c r="C94" s="38" t="s">
        <v>665</v>
      </c>
      <c r="D94" s="38" t="s">
        <v>666</v>
      </c>
      <c r="E94" s="38" t="s">
        <v>666</v>
      </c>
      <c r="F94" s="37">
        <v>6</v>
      </c>
      <c r="G94" s="38" t="s">
        <v>376</v>
      </c>
      <c r="H94" s="24" t="s">
        <v>46</v>
      </c>
      <c r="I94" s="24" t="s">
        <v>1030</v>
      </c>
      <c r="J94" s="24" t="s">
        <v>248</v>
      </c>
      <c r="K94" s="24" t="s">
        <v>51</v>
      </c>
      <c r="L94" s="24" t="s">
        <v>40</v>
      </c>
      <c r="M94" s="3" t="s">
        <v>984</v>
      </c>
      <c r="N94" s="24" t="s">
        <v>665</v>
      </c>
      <c r="O94" s="24" t="s">
        <v>42</v>
      </c>
      <c r="P94" s="16" t="s">
        <v>43</v>
      </c>
      <c r="Q94" s="32">
        <v>62594460.39533332</v>
      </c>
      <c r="R94" s="39" t="s">
        <v>1054</v>
      </c>
      <c r="S94" s="32"/>
      <c r="T94" s="32"/>
      <c r="U94"/>
      <c r="V94"/>
    </row>
    <row r="95" spans="3:22" x14ac:dyDescent="0.25">
      <c r="C95" s="24" t="s">
        <v>404</v>
      </c>
      <c r="D95" s="24" t="s">
        <v>405</v>
      </c>
      <c r="E95" s="24" t="s">
        <v>405</v>
      </c>
      <c r="F95" s="25">
        <v>5</v>
      </c>
      <c r="G95" s="24" t="s">
        <v>376</v>
      </c>
      <c r="H95" s="24" t="s">
        <v>46</v>
      </c>
      <c r="I95" s="24" t="s">
        <v>1031</v>
      </c>
      <c r="J95" s="24" t="s">
        <v>63</v>
      </c>
      <c r="K95" s="24" t="s">
        <v>138</v>
      </c>
      <c r="L95" s="24" t="s">
        <v>40</v>
      </c>
      <c r="M95" s="24" t="s">
        <v>378</v>
      </c>
      <c r="N95" s="24" t="s">
        <v>404</v>
      </c>
      <c r="O95" s="24" t="s">
        <v>42</v>
      </c>
      <c r="P95" s="16" t="s">
        <v>43</v>
      </c>
      <c r="Q95" s="32">
        <v>41050995.884733327</v>
      </c>
      <c r="R95" s="32"/>
      <c r="S95" s="32"/>
      <c r="T95" s="32"/>
      <c r="U95"/>
      <c r="V95"/>
    </row>
    <row r="96" spans="3:22" x14ac:dyDescent="0.25">
      <c r="C96" s="24" t="s">
        <v>948</v>
      </c>
      <c r="D96" s="24" t="s">
        <v>949</v>
      </c>
      <c r="E96" s="24" t="s">
        <v>949</v>
      </c>
      <c r="F96" s="25">
        <v>5.45</v>
      </c>
      <c r="G96" s="24" t="s">
        <v>376</v>
      </c>
      <c r="H96" s="24" t="s">
        <v>46</v>
      </c>
      <c r="I96" s="24" t="s">
        <v>1030</v>
      </c>
      <c r="J96" s="24" t="s">
        <v>160</v>
      </c>
      <c r="K96" s="24" t="s">
        <v>353</v>
      </c>
      <c r="L96" s="24" t="s">
        <v>40</v>
      </c>
      <c r="M96" s="3" t="s">
        <v>984</v>
      </c>
      <c r="N96" s="24" t="s">
        <v>948</v>
      </c>
      <c r="O96" s="24" t="s">
        <v>42</v>
      </c>
      <c r="P96" s="16" t="s">
        <v>43</v>
      </c>
      <c r="Q96" s="32">
        <v>46838618.633183315</v>
      </c>
      <c r="R96" s="32"/>
      <c r="S96" s="32"/>
      <c r="T96" s="32"/>
      <c r="U96"/>
      <c r="V96"/>
    </row>
    <row r="97" spans="3:22" x14ac:dyDescent="0.25">
      <c r="C97" s="24" t="s">
        <v>667</v>
      </c>
      <c r="D97" s="24" t="s">
        <v>668</v>
      </c>
      <c r="E97" s="24" t="s">
        <v>668</v>
      </c>
      <c r="F97" s="25">
        <v>6</v>
      </c>
      <c r="G97" s="24" t="s">
        <v>376</v>
      </c>
      <c r="H97" s="24" t="s">
        <v>46</v>
      </c>
      <c r="I97" s="24" t="s">
        <v>1030</v>
      </c>
      <c r="J97" s="24" t="s">
        <v>248</v>
      </c>
      <c r="K97" s="24" t="s">
        <v>51</v>
      </c>
      <c r="L97" s="24" t="s">
        <v>40</v>
      </c>
      <c r="M97" s="3" t="s">
        <v>984</v>
      </c>
      <c r="N97" s="24" t="s">
        <v>667</v>
      </c>
      <c r="O97" s="24" t="s">
        <v>42</v>
      </c>
      <c r="P97" s="16" t="s">
        <v>43</v>
      </c>
      <c r="Q97" s="32">
        <v>57362215.014999986</v>
      </c>
      <c r="R97" s="32"/>
      <c r="S97" s="32"/>
      <c r="T97" s="32"/>
      <c r="U97"/>
      <c r="V97"/>
    </row>
    <row r="98" spans="3:22" x14ac:dyDescent="0.25">
      <c r="C98" s="38" t="s">
        <v>669</v>
      </c>
      <c r="D98" s="38" t="s">
        <v>670</v>
      </c>
      <c r="E98" s="38" t="s">
        <v>670</v>
      </c>
      <c r="F98" s="37">
        <v>5.45</v>
      </c>
      <c r="G98" s="38" t="s">
        <v>376</v>
      </c>
      <c r="H98" s="24" t="s">
        <v>46</v>
      </c>
      <c r="I98" s="24" t="s">
        <v>1030</v>
      </c>
      <c r="J98" s="24" t="s">
        <v>248</v>
      </c>
      <c r="K98" s="24" t="s">
        <v>51</v>
      </c>
      <c r="L98" s="24" t="s">
        <v>40</v>
      </c>
      <c r="M98" s="3" t="s">
        <v>984</v>
      </c>
      <c r="N98" s="24" t="s">
        <v>669</v>
      </c>
      <c r="O98" s="24" t="s">
        <v>42</v>
      </c>
      <c r="P98" s="16" t="s">
        <v>43</v>
      </c>
      <c r="Q98" s="32">
        <v>61294202.983233325</v>
      </c>
      <c r="R98" s="39" t="s">
        <v>1055</v>
      </c>
      <c r="S98" s="32"/>
      <c r="T98" s="32"/>
      <c r="U98"/>
      <c r="V98"/>
    </row>
    <row r="99" spans="3:22" x14ac:dyDescent="0.25">
      <c r="C99" s="24" t="s">
        <v>894</v>
      </c>
      <c r="D99" s="24" t="s">
        <v>895</v>
      </c>
      <c r="E99" s="24" t="s">
        <v>895</v>
      </c>
      <c r="F99" s="25">
        <v>5</v>
      </c>
      <c r="G99" s="24" t="s">
        <v>376</v>
      </c>
      <c r="H99" s="24" t="s">
        <v>46</v>
      </c>
      <c r="I99" s="24" t="s">
        <v>1030</v>
      </c>
      <c r="J99" s="24" t="s">
        <v>73</v>
      </c>
      <c r="K99" s="24" t="s">
        <v>609</v>
      </c>
      <c r="L99" s="24" t="s">
        <v>40</v>
      </c>
      <c r="M99" s="24" t="s">
        <v>514</v>
      </c>
      <c r="N99" s="24" t="s">
        <v>894</v>
      </c>
      <c r="O99" s="24" t="s">
        <v>42</v>
      </c>
      <c r="P99" s="16" t="s">
        <v>43</v>
      </c>
      <c r="Q99" s="32">
        <v>45628588.571379997</v>
      </c>
      <c r="R99" s="32"/>
      <c r="S99" s="32"/>
      <c r="T99" s="32"/>
      <c r="U99"/>
      <c r="V99"/>
    </row>
    <row r="100" spans="3:22" x14ac:dyDescent="0.25">
      <c r="C100" s="24" t="s">
        <v>537</v>
      </c>
      <c r="D100" s="24" t="s">
        <v>538</v>
      </c>
      <c r="E100" s="24" t="s">
        <v>538</v>
      </c>
      <c r="F100" s="25">
        <v>6.13</v>
      </c>
      <c r="G100" s="24" t="s">
        <v>376</v>
      </c>
      <c r="H100" s="24" t="s">
        <v>46</v>
      </c>
      <c r="I100" s="24" t="s">
        <v>1030</v>
      </c>
      <c r="J100" s="24" t="s">
        <v>100</v>
      </c>
      <c r="K100" s="24" t="s">
        <v>64</v>
      </c>
      <c r="L100" s="24" t="s">
        <v>40</v>
      </c>
      <c r="M100" s="24" t="s">
        <v>514</v>
      </c>
      <c r="N100" s="24" t="s">
        <v>537</v>
      </c>
      <c r="O100" s="24" t="s">
        <v>42</v>
      </c>
      <c r="P100" s="16" t="s">
        <v>43</v>
      </c>
      <c r="Q100" s="32">
        <v>61876125.935333341</v>
      </c>
      <c r="R100" s="32"/>
      <c r="S100" s="32"/>
      <c r="T100" s="32"/>
      <c r="U100"/>
      <c r="V100"/>
    </row>
    <row r="101" spans="3:22" x14ac:dyDescent="0.25">
      <c r="C101" s="24" t="s">
        <v>863</v>
      </c>
      <c r="D101" s="24" t="s">
        <v>864</v>
      </c>
      <c r="E101" s="24" t="s">
        <v>864</v>
      </c>
      <c r="F101" s="25">
        <v>5.45</v>
      </c>
      <c r="G101" s="24" t="s">
        <v>376</v>
      </c>
      <c r="H101" s="24" t="s">
        <v>46</v>
      </c>
      <c r="I101" s="24" t="s">
        <v>1030</v>
      </c>
      <c r="J101" s="24" t="s">
        <v>132</v>
      </c>
      <c r="K101" s="24" t="s">
        <v>138</v>
      </c>
      <c r="L101" s="24" t="s">
        <v>40</v>
      </c>
      <c r="M101" s="24" t="s">
        <v>1035</v>
      </c>
      <c r="N101" s="24" t="s">
        <v>863</v>
      </c>
      <c r="O101" s="24" t="s">
        <v>42</v>
      </c>
      <c r="P101" s="16" t="s">
        <v>43</v>
      </c>
      <c r="Q101" s="32">
        <v>49354710.435333326</v>
      </c>
      <c r="R101" s="32"/>
      <c r="S101" s="32"/>
      <c r="T101" s="32"/>
      <c r="U101"/>
      <c r="V101"/>
    </row>
    <row r="102" spans="3:22" x14ac:dyDescent="0.25">
      <c r="C102" s="24" t="s">
        <v>896</v>
      </c>
      <c r="D102" s="24" t="s">
        <v>897</v>
      </c>
      <c r="E102" s="24" t="s">
        <v>897</v>
      </c>
      <c r="F102" s="25">
        <v>5</v>
      </c>
      <c r="G102" s="24" t="s">
        <v>376</v>
      </c>
      <c r="H102" s="24" t="s">
        <v>46</v>
      </c>
      <c r="I102" s="24" t="s">
        <v>1030</v>
      </c>
      <c r="J102" s="24" t="s">
        <v>73</v>
      </c>
      <c r="K102" s="24" t="s">
        <v>133</v>
      </c>
      <c r="L102" s="24" t="s">
        <v>40</v>
      </c>
      <c r="M102" s="24" t="s">
        <v>514</v>
      </c>
      <c r="N102" s="24" t="s">
        <v>896</v>
      </c>
      <c r="O102" s="24" t="s">
        <v>42</v>
      </c>
      <c r="P102" s="16" t="s">
        <v>43</v>
      </c>
      <c r="Q102" s="32">
        <v>38169376.82333333</v>
      </c>
      <c r="R102" s="32"/>
      <c r="S102" s="32"/>
      <c r="T102" s="32"/>
      <c r="U102"/>
      <c r="V102"/>
    </row>
    <row r="103" spans="3:22" x14ac:dyDescent="0.25">
      <c r="C103" s="24" t="s">
        <v>898</v>
      </c>
      <c r="D103" s="24" t="s">
        <v>899</v>
      </c>
      <c r="E103" s="24" t="s">
        <v>899</v>
      </c>
      <c r="F103" s="25">
        <v>5</v>
      </c>
      <c r="G103" s="24" t="s">
        <v>376</v>
      </c>
      <c r="H103" s="24" t="s">
        <v>46</v>
      </c>
      <c r="I103" s="24" t="s">
        <v>1030</v>
      </c>
      <c r="J103" s="24" t="s">
        <v>73</v>
      </c>
      <c r="K103" s="24" t="s">
        <v>315</v>
      </c>
      <c r="L103" s="24" t="s">
        <v>40</v>
      </c>
      <c r="M103" s="24" t="s">
        <v>514</v>
      </c>
      <c r="N103" s="24" t="s">
        <v>898</v>
      </c>
      <c r="O103" s="24" t="s">
        <v>42</v>
      </c>
      <c r="P103" s="16" t="s">
        <v>440</v>
      </c>
      <c r="Q103" s="32">
        <v>57452781.645333327</v>
      </c>
      <c r="R103" s="32"/>
      <c r="S103" s="32"/>
      <c r="T103" s="32"/>
      <c r="U103"/>
      <c r="V103"/>
    </row>
    <row r="104" spans="3:22" x14ac:dyDescent="0.25">
      <c r="C104" s="24" t="s">
        <v>950</v>
      </c>
      <c r="D104" s="24" t="s">
        <v>951</v>
      </c>
      <c r="E104" s="24" t="s">
        <v>951</v>
      </c>
      <c r="F104" s="25">
        <v>5.45</v>
      </c>
      <c r="G104" s="24" t="s">
        <v>376</v>
      </c>
      <c r="H104" s="24" t="s">
        <v>46</v>
      </c>
      <c r="I104" s="24" t="s">
        <v>1030</v>
      </c>
      <c r="J104" s="24" t="s">
        <v>160</v>
      </c>
      <c r="K104" s="24" t="s">
        <v>353</v>
      </c>
      <c r="L104" s="24" t="s">
        <v>40</v>
      </c>
      <c r="M104" s="3" t="s">
        <v>984</v>
      </c>
      <c r="N104" s="24" t="s">
        <v>950</v>
      </c>
      <c r="O104" s="24" t="s">
        <v>42</v>
      </c>
      <c r="P104" s="16" t="s">
        <v>43</v>
      </c>
      <c r="Q104" s="32">
        <v>44717013.411016658</v>
      </c>
      <c r="R104" s="32"/>
      <c r="S104" s="32"/>
      <c r="T104" s="32"/>
      <c r="U104"/>
      <c r="V104"/>
    </row>
    <row r="105" spans="3:22" x14ac:dyDescent="0.25">
      <c r="C105" s="24" t="s">
        <v>406</v>
      </c>
      <c r="D105" s="24" t="s">
        <v>407</v>
      </c>
      <c r="E105" s="24" t="s">
        <v>407</v>
      </c>
      <c r="F105" s="25">
        <v>5.45</v>
      </c>
      <c r="G105" s="24" t="s">
        <v>376</v>
      </c>
      <c r="H105" s="24" t="s">
        <v>46</v>
      </c>
      <c r="I105" s="24" t="s">
        <v>1031</v>
      </c>
      <c r="J105" s="24" t="s">
        <v>63</v>
      </c>
      <c r="K105" s="24" t="s">
        <v>138</v>
      </c>
      <c r="L105" s="24" t="s">
        <v>40</v>
      </c>
      <c r="M105" s="24" t="s">
        <v>378</v>
      </c>
      <c r="N105" s="24" t="s">
        <v>406</v>
      </c>
      <c r="O105" s="24" t="s">
        <v>42</v>
      </c>
      <c r="P105" s="16" t="s">
        <v>43</v>
      </c>
      <c r="Q105" s="32">
        <v>48218723.220683329</v>
      </c>
      <c r="R105" s="32"/>
      <c r="S105" s="32"/>
      <c r="T105" s="32"/>
      <c r="U105"/>
      <c r="V105"/>
    </row>
    <row r="106" spans="3:22" x14ac:dyDescent="0.25">
      <c r="C106" s="24" t="s">
        <v>429</v>
      </c>
      <c r="D106" s="24" t="s">
        <v>430</v>
      </c>
      <c r="E106" s="24" t="s">
        <v>431</v>
      </c>
      <c r="F106" s="25">
        <v>6</v>
      </c>
      <c r="G106" s="24" t="s">
        <v>376</v>
      </c>
      <c r="H106" s="24" t="s">
        <v>46</v>
      </c>
      <c r="I106" s="24" t="s">
        <v>1030</v>
      </c>
      <c r="J106" s="24" t="s">
        <v>94</v>
      </c>
      <c r="K106" s="24" t="s">
        <v>64</v>
      </c>
      <c r="L106" s="24" t="s">
        <v>40</v>
      </c>
      <c r="M106" s="24" t="s">
        <v>1035</v>
      </c>
      <c r="N106" s="24" t="s">
        <v>429</v>
      </c>
      <c r="O106" s="24" t="s">
        <v>42</v>
      </c>
      <c r="P106" s="16" t="s">
        <v>43</v>
      </c>
      <c r="Q106" s="32">
        <v>73757909.10800001</v>
      </c>
      <c r="R106" s="32"/>
      <c r="S106" s="32"/>
      <c r="T106" s="32"/>
      <c r="U106"/>
      <c r="V106"/>
    </row>
    <row r="107" spans="3:22" x14ac:dyDescent="0.25">
      <c r="C107" s="24" t="s">
        <v>483</v>
      </c>
      <c r="D107" s="24" t="s">
        <v>484</v>
      </c>
      <c r="E107" s="24" t="s">
        <v>485</v>
      </c>
      <c r="F107" s="25">
        <v>5</v>
      </c>
      <c r="G107" s="24" t="s">
        <v>376</v>
      </c>
      <c r="H107" s="24" t="s">
        <v>46</v>
      </c>
      <c r="I107" s="24" t="s">
        <v>1030</v>
      </c>
      <c r="J107" s="24" t="s">
        <v>466</v>
      </c>
      <c r="K107" s="24" t="s">
        <v>51</v>
      </c>
      <c r="L107" s="24" t="s">
        <v>40</v>
      </c>
      <c r="M107" s="24" t="s">
        <v>1035</v>
      </c>
      <c r="N107" s="24" t="s">
        <v>483</v>
      </c>
      <c r="O107" s="24" t="s">
        <v>42</v>
      </c>
      <c r="P107" s="16" t="s">
        <v>43</v>
      </c>
      <c r="Q107" s="32">
        <v>69384795.147333324</v>
      </c>
      <c r="R107" s="32"/>
      <c r="S107" s="32"/>
      <c r="T107" s="32"/>
      <c r="U107"/>
      <c r="V107"/>
    </row>
    <row r="108" spans="3:22" x14ac:dyDescent="0.25">
      <c r="C108" s="24" t="s">
        <v>539</v>
      </c>
      <c r="D108" s="24" t="s">
        <v>540</v>
      </c>
      <c r="E108" s="24" t="s">
        <v>541</v>
      </c>
      <c r="F108" s="25">
        <v>6.13</v>
      </c>
      <c r="G108" s="24" t="s">
        <v>376</v>
      </c>
      <c r="H108" s="24" t="s">
        <v>46</v>
      </c>
      <c r="I108" s="24" t="s">
        <v>1030</v>
      </c>
      <c r="J108" s="24" t="s">
        <v>100</v>
      </c>
      <c r="K108" s="24" t="s">
        <v>51</v>
      </c>
      <c r="L108" s="24" t="s">
        <v>40</v>
      </c>
      <c r="M108" s="24" t="s">
        <v>514</v>
      </c>
      <c r="N108" s="24" t="s">
        <v>539</v>
      </c>
      <c r="O108" s="24" t="s">
        <v>42</v>
      </c>
      <c r="P108" s="16" t="s">
        <v>43</v>
      </c>
      <c r="Q108" s="32">
        <v>57935647.720666662</v>
      </c>
      <c r="R108" s="32"/>
      <c r="S108" s="32"/>
      <c r="T108" s="32"/>
      <c r="U108"/>
      <c r="V108"/>
    </row>
    <row r="109" spans="3:22" x14ac:dyDescent="0.25">
      <c r="C109" s="24" t="s">
        <v>432</v>
      </c>
      <c r="D109" s="24" t="s">
        <v>433</v>
      </c>
      <c r="E109" s="24" t="s">
        <v>434</v>
      </c>
      <c r="F109" s="25">
        <v>5.45</v>
      </c>
      <c r="G109" s="24" t="s">
        <v>376</v>
      </c>
      <c r="H109" s="24" t="s">
        <v>46</v>
      </c>
      <c r="I109" s="24" t="s">
        <v>1030</v>
      </c>
      <c r="J109" s="24" t="s">
        <v>94</v>
      </c>
      <c r="K109" s="24" t="s">
        <v>205</v>
      </c>
      <c r="L109" s="24" t="s">
        <v>40</v>
      </c>
      <c r="M109" s="24" t="s">
        <v>1035</v>
      </c>
      <c r="N109" s="24" t="s">
        <v>432</v>
      </c>
      <c r="O109" s="24" t="s">
        <v>42</v>
      </c>
      <c r="P109" s="16" t="s">
        <v>43</v>
      </c>
      <c r="Q109" s="32">
        <v>57192467.838</v>
      </c>
      <c r="R109" s="32"/>
      <c r="S109" s="32"/>
      <c r="T109" s="32"/>
      <c r="U109"/>
      <c r="V109"/>
    </row>
    <row r="110" spans="3:22" x14ac:dyDescent="0.25">
      <c r="C110" s="24" t="s">
        <v>671</v>
      </c>
      <c r="D110" s="24" t="s">
        <v>672</v>
      </c>
      <c r="E110" s="24" t="s">
        <v>672</v>
      </c>
      <c r="F110" s="25">
        <v>5</v>
      </c>
      <c r="G110" s="24" t="s">
        <v>376</v>
      </c>
      <c r="H110" s="24" t="s">
        <v>46</v>
      </c>
      <c r="I110" s="24" t="s">
        <v>1030</v>
      </c>
      <c r="J110" s="24" t="s">
        <v>248</v>
      </c>
      <c r="K110" s="24" t="s">
        <v>51</v>
      </c>
      <c r="L110" s="24" t="s">
        <v>40</v>
      </c>
      <c r="M110" s="3" t="s">
        <v>984</v>
      </c>
      <c r="N110" s="24" t="s">
        <v>671</v>
      </c>
      <c r="O110" s="24" t="s">
        <v>42</v>
      </c>
      <c r="P110" s="16" t="s">
        <v>43</v>
      </c>
      <c r="Q110" s="32">
        <v>52190111.029333323</v>
      </c>
      <c r="R110" s="32"/>
      <c r="S110" s="32"/>
      <c r="T110" s="32"/>
      <c r="U110"/>
      <c r="V110"/>
    </row>
    <row r="111" spans="3:22" x14ac:dyDescent="0.25">
      <c r="C111" s="24" t="s">
        <v>567</v>
      </c>
      <c r="D111" s="24" t="s">
        <v>568</v>
      </c>
      <c r="E111" s="24" t="s">
        <v>568</v>
      </c>
      <c r="F111" s="25">
        <v>5</v>
      </c>
      <c r="G111" s="24" t="s">
        <v>376</v>
      </c>
      <c r="H111" s="24" t="s">
        <v>46</v>
      </c>
      <c r="I111" s="24" t="s">
        <v>1030</v>
      </c>
      <c r="J111" s="24" t="s">
        <v>331</v>
      </c>
      <c r="K111" s="24" t="s">
        <v>138</v>
      </c>
      <c r="L111" s="24" t="s">
        <v>40</v>
      </c>
      <c r="M111" s="3" t="s">
        <v>984</v>
      </c>
      <c r="N111" s="24" t="s">
        <v>567</v>
      </c>
      <c r="O111" s="24" t="s">
        <v>42</v>
      </c>
      <c r="P111" s="16" t="s">
        <v>43</v>
      </c>
      <c r="Q111" s="32">
        <v>44459409.475533329</v>
      </c>
      <c r="R111" s="32"/>
      <c r="S111" s="32"/>
      <c r="T111" s="32"/>
      <c r="U111"/>
      <c r="V111"/>
    </row>
    <row r="112" spans="3:22" x14ac:dyDescent="0.25">
      <c r="C112" s="24" t="s">
        <v>435</v>
      </c>
      <c r="D112" s="24" t="s">
        <v>436</v>
      </c>
      <c r="E112" s="24" t="s">
        <v>436</v>
      </c>
      <c r="F112" s="25">
        <v>5</v>
      </c>
      <c r="G112" s="24" t="s">
        <v>376</v>
      </c>
      <c r="H112" s="24" t="s">
        <v>46</v>
      </c>
      <c r="I112" s="24" t="s">
        <v>1030</v>
      </c>
      <c r="J112" s="24" t="s">
        <v>94</v>
      </c>
      <c r="K112" s="24" t="s">
        <v>64</v>
      </c>
      <c r="L112" s="24" t="s">
        <v>40</v>
      </c>
      <c r="M112" s="24" t="s">
        <v>1035</v>
      </c>
      <c r="N112" s="24" t="s">
        <v>435</v>
      </c>
      <c r="O112" s="24" t="s">
        <v>42</v>
      </c>
      <c r="P112" s="16" t="s">
        <v>43</v>
      </c>
      <c r="Q112" s="32">
        <v>56132656.703333333</v>
      </c>
      <c r="R112" s="32"/>
      <c r="S112" s="32"/>
      <c r="T112" s="32"/>
      <c r="U112"/>
      <c r="V112"/>
    </row>
    <row r="113" spans="3:22" x14ac:dyDescent="0.25">
      <c r="C113" s="24" t="s">
        <v>865</v>
      </c>
      <c r="D113" s="24" t="s">
        <v>866</v>
      </c>
      <c r="E113" s="24" t="s">
        <v>866</v>
      </c>
      <c r="F113" s="25">
        <v>6</v>
      </c>
      <c r="G113" s="24" t="s">
        <v>376</v>
      </c>
      <c r="H113" s="24" t="s">
        <v>46</v>
      </c>
      <c r="I113" s="24" t="s">
        <v>1030</v>
      </c>
      <c r="J113" s="24" t="s">
        <v>132</v>
      </c>
      <c r="K113" s="24" t="s">
        <v>856</v>
      </c>
      <c r="L113" s="24" t="s">
        <v>40</v>
      </c>
      <c r="M113" s="24" t="s">
        <v>1035</v>
      </c>
      <c r="N113" s="24" t="s">
        <v>865</v>
      </c>
      <c r="O113" s="24" t="s">
        <v>42</v>
      </c>
      <c r="P113" s="16" t="s">
        <v>43</v>
      </c>
      <c r="Q113" s="32">
        <v>62603382.131299987</v>
      </c>
      <c r="R113" s="32"/>
      <c r="S113" s="32"/>
      <c r="T113" s="32"/>
      <c r="U113"/>
      <c r="V113"/>
    </row>
    <row r="114" spans="3:22" x14ac:dyDescent="0.25">
      <c r="C114" s="24" t="s">
        <v>486</v>
      </c>
      <c r="D114" s="24" t="s">
        <v>487</v>
      </c>
      <c r="E114" s="24" t="s">
        <v>487</v>
      </c>
      <c r="F114" s="25">
        <v>5</v>
      </c>
      <c r="G114" s="24" t="s">
        <v>376</v>
      </c>
      <c r="H114" s="24" t="s">
        <v>46</v>
      </c>
      <c r="I114" s="24" t="s">
        <v>1030</v>
      </c>
      <c r="J114" s="24" t="s">
        <v>466</v>
      </c>
      <c r="K114" s="24" t="s">
        <v>51</v>
      </c>
      <c r="L114" s="24" t="s">
        <v>40</v>
      </c>
      <c r="M114" s="24" t="s">
        <v>1035</v>
      </c>
      <c r="N114" s="24" t="s">
        <v>486</v>
      </c>
      <c r="O114" s="24" t="s">
        <v>42</v>
      </c>
      <c r="P114" s="16" t="s">
        <v>43</v>
      </c>
      <c r="Q114" s="32">
        <v>46342195.948833331</v>
      </c>
      <c r="R114" s="32"/>
      <c r="S114" s="32"/>
      <c r="T114" s="32"/>
      <c r="U114"/>
      <c r="V114"/>
    </row>
    <row r="115" spans="3:22" x14ac:dyDescent="0.25">
      <c r="C115" s="24" t="s">
        <v>673</v>
      </c>
      <c r="D115" s="24" t="s">
        <v>674</v>
      </c>
      <c r="E115" s="24" t="s">
        <v>674</v>
      </c>
      <c r="F115" s="25">
        <v>5.45</v>
      </c>
      <c r="G115" s="24" t="s">
        <v>376</v>
      </c>
      <c r="H115" s="24" t="s">
        <v>46</v>
      </c>
      <c r="I115" s="24" t="s">
        <v>1030</v>
      </c>
      <c r="J115" s="24" t="s">
        <v>248</v>
      </c>
      <c r="K115" s="24" t="s">
        <v>51</v>
      </c>
      <c r="L115" s="24" t="s">
        <v>40</v>
      </c>
      <c r="M115" s="3" t="s">
        <v>984</v>
      </c>
      <c r="N115" s="24" t="s">
        <v>673</v>
      </c>
      <c r="O115" s="24" t="s">
        <v>42</v>
      </c>
      <c r="P115" s="16" t="s">
        <v>43</v>
      </c>
      <c r="Q115" s="32">
        <v>40432358.554016665</v>
      </c>
      <c r="R115" s="32"/>
      <c r="S115" s="32"/>
      <c r="T115" s="32"/>
      <c r="U115"/>
      <c r="V115"/>
    </row>
    <row r="116" spans="3:22" x14ac:dyDescent="0.25">
      <c r="C116" s="24" t="s">
        <v>569</v>
      </c>
      <c r="D116" s="24" t="s">
        <v>570</v>
      </c>
      <c r="E116" s="24" t="s">
        <v>570</v>
      </c>
      <c r="F116" s="25">
        <v>5.45</v>
      </c>
      <c r="G116" s="24" t="s">
        <v>376</v>
      </c>
      <c r="H116" s="24" t="s">
        <v>46</v>
      </c>
      <c r="I116" s="24" t="s">
        <v>1030</v>
      </c>
      <c r="J116" s="24" t="s">
        <v>331</v>
      </c>
      <c r="K116" s="24" t="s">
        <v>138</v>
      </c>
      <c r="L116" s="24" t="s">
        <v>40</v>
      </c>
      <c r="M116" s="3" t="s">
        <v>984</v>
      </c>
      <c r="N116" s="24" t="s">
        <v>569</v>
      </c>
      <c r="O116" s="24" t="s">
        <v>42</v>
      </c>
      <c r="P116" s="16" t="s">
        <v>43</v>
      </c>
      <c r="Q116" s="32">
        <v>55723998.905183338</v>
      </c>
      <c r="R116" s="32"/>
      <c r="S116" s="32"/>
      <c r="T116" s="32"/>
      <c r="U116"/>
      <c r="V116"/>
    </row>
    <row r="117" spans="3:22" x14ac:dyDescent="0.25">
      <c r="C117" s="24" t="s">
        <v>750</v>
      </c>
      <c r="D117" s="24" t="s">
        <v>751</v>
      </c>
      <c r="E117" s="24" t="s">
        <v>751</v>
      </c>
      <c r="F117" s="25">
        <v>5</v>
      </c>
      <c r="G117" s="24" t="s">
        <v>376</v>
      </c>
      <c r="H117" s="24" t="s">
        <v>46</v>
      </c>
      <c r="I117" s="24" t="s">
        <v>1031</v>
      </c>
      <c r="J117" s="24" t="s">
        <v>1048</v>
      </c>
      <c r="K117" s="24" t="s">
        <v>54</v>
      </c>
      <c r="L117" s="24" t="s">
        <v>55</v>
      </c>
      <c r="M117" s="24" t="s">
        <v>378</v>
      </c>
      <c r="N117" s="24" t="s">
        <v>750</v>
      </c>
      <c r="O117" s="24" t="s">
        <v>42</v>
      </c>
      <c r="P117" s="16" t="s">
        <v>43</v>
      </c>
      <c r="Q117" s="32">
        <v>45513767.745333329</v>
      </c>
      <c r="R117" s="32"/>
      <c r="S117" s="32"/>
      <c r="T117" s="32"/>
      <c r="U117"/>
      <c r="V117"/>
    </row>
    <row r="118" spans="3:22" x14ac:dyDescent="0.25">
      <c r="C118" s="24" t="s">
        <v>488</v>
      </c>
      <c r="D118" s="24" t="s">
        <v>489</v>
      </c>
      <c r="E118" s="24" t="s">
        <v>490</v>
      </c>
      <c r="F118" s="25">
        <v>5</v>
      </c>
      <c r="G118" s="24" t="s">
        <v>376</v>
      </c>
      <c r="H118" s="24" t="s">
        <v>46</v>
      </c>
      <c r="I118" s="24" t="s">
        <v>1030</v>
      </c>
      <c r="J118" s="24" t="s">
        <v>466</v>
      </c>
      <c r="K118" s="24" t="s">
        <v>51</v>
      </c>
      <c r="L118" s="24" t="s">
        <v>40</v>
      </c>
      <c r="M118" s="24" t="s">
        <v>1035</v>
      </c>
      <c r="N118" s="24" t="s">
        <v>488</v>
      </c>
      <c r="O118" s="24" t="s">
        <v>42</v>
      </c>
      <c r="P118" s="16" t="s">
        <v>43</v>
      </c>
      <c r="Q118" s="32">
        <v>47499855.065333329</v>
      </c>
      <c r="R118" s="32"/>
      <c r="S118" s="32"/>
      <c r="T118" s="32"/>
      <c r="U118"/>
      <c r="V118"/>
    </row>
    <row r="119" spans="3:22" x14ac:dyDescent="0.25">
      <c r="C119" s="24" t="s">
        <v>952</v>
      </c>
      <c r="D119" s="24" t="s">
        <v>953</v>
      </c>
      <c r="E119" s="24" t="s">
        <v>953</v>
      </c>
      <c r="F119" s="25">
        <v>5.45</v>
      </c>
      <c r="G119" s="24" t="s">
        <v>376</v>
      </c>
      <c r="H119" s="24" t="s">
        <v>46</v>
      </c>
      <c r="I119" s="24" t="s">
        <v>1030</v>
      </c>
      <c r="J119" s="24" t="s">
        <v>160</v>
      </c>
      <c r="K119" s="24" t="s">
        <v>371</v>
      </c>
      <c r="L119" s="24" t="s">
        <v>40</v>
      </c>
      <c r="M119" s="3" t="s">
        <v>984</v>
      </c>
      <c r="N119" s="24" t="s">
        <v>952</v>
      </c>
      <c r="O119" s="24" t="s">
        <v>42</v>
      </c>
      <c r="P119" s="16" t="s">
        <v>43</v>
      </c>
      <c r="Q119" s="32">
        <v>53860620.362033322</v>
      </c>
      <c r="R119" s="32"/>
      <c r="S119" s="32"/>
      <c r="T119" s="32"/>
      <c r="U119"/>
      <c r="V119"/>
    </row>
    <row r="120" spans="3:22" x14ac:dyDescent="0.25">
      <c r="C120" s="24" t="s">
        <v>675</v>
      </c>
      <c r="D120" s="24" t="s">
        <v>676</v>
      </c>
      <c r="E120" s="24" t="s">
        <v>676</v>
      </c>
      <c r="F120" s="25">
        <v>5</v>
      </c>
      <c r="G120" s="24" t="s">
        <v>376</v>
      </c>
      <c r="H120" s="24" t="s">
        <v>81</v>
      </c>
      <c r="I120" s="24" t="s">
        <v>1030</v>
      </c>
      <c r="J120" s="24" t="s">
        <v>248</v>
      </c>
      <c r="K120" s="24" t="s">
        <v>51</v>
      </c>
      <c r="L120" s="24" t="s">
        <v>40</v>
      </c>
      <c r="M120" s="3" t="s">
        <v>984</v>
      </c>
      <c r="N120" s="24" t="s">
        <v>675</v>
      </c>
      <c r="O120" s="24" t="s">
        <v>42</v>
      </c>
      <c r="P120" s="16" t="s">
        <v>43</v>
      </c>
      <c r="Q120" s="32">
        <v>44268597.938266665</v>
      </c>
      <c r="R120" s="32"/>
      <c r="S120" s="32"/>
      <c r="T120" s="32"/>
      <c r="U120"/>
      <c r="V120"/>
    </row>
    <row r="121" spans="3:22" x14ac:dyDescent="0.25">
      <c r="C121" s="24" t="s">
        <v>780</v>
      </c>
      <c r="D121" s="24" t="s">
        <v>781</v>
      </c>
      <c r="E121" s="24" t="s">
        <v>781</v>
      </c>
      <c r="F121" s="25">
        <v>5.45</v>
      </c>
      <c r="G121" s="24" t="s">
        <v>376</v>
      </c>
      <c r="H121" s="24" t="s">
        <v>46</v>
      </c>
      <c r="I121" s="24" t="s">
        <v>1031</v>
      </c>
      <c r="J121" s="24" t="s">
        <v>89</v>
      </c>
      <c r="K121" s="24" t="s">
        <v>109</v>
      </c>
      <c r="L121" s="24" t="s">
        <v>91</v>
      </c>
      <c r="M121" s="24" t="s">
        <v>378</v>
      </c>
      <c r="N121" s="24" t="s">
        <v>780</v>
      </c>
      <c r="O121" s="24" t="s">
        <v>42</v>
      </c>
      <c r="P121" s="16" t="s">
        <v>43</v>
      </c>
      <c r="Q121" s="32">
        <v>45564664.387749992</v>
      </c>
      <c r="R121" s="32"/>
      <c r="S121" s="32"/>
      <c r="T121" s="32"/>
      <c r="U121"/>
      <c r="V121"/>
    </row>
    <row r="122" spans="3:22" x14ac:dyDescent="0.25">
      <c r="C122" s="24" t="s">
        <v>628</v>
      </c>
      <c r="D122" s="24" t="s">
        <v>996</v>
      </c>
      <c r="E122" s="24" t="s">
        <v>630</v>
      </c>
      <c r="F122" s="25">
        <v>5</v>
      </c>
      <c r="G122" s="24" t="s">
        <v>987</v>
      </c>
      <c r="H122" s="24" t="s">
        <v>46</v>
      </c>
      <c r="I122" s="24" t="s">
        <v>1046</v>
      </c>
      <c r="J122" s="24" t="s">
        <v>50</v>
      </c>
      <c r="K122" s="24" t="s">
        <v>64</v>
      </c>
      <c r="L122" s="24" t="s">
        <v>40</v>
      </c>
      <c r="M122" s="24" t="s">
        <v>514</v>
      </c>
      <c r="N122" s="24" t="s">
        <v>628</v>
      </c>
      <c r="O122" s="24" t="s">
        <v>42</v>
      </c>
      <c r="P122" s="16" t="s">
        <v>43</v>
      </c>
      <c r="Q122" s="32">
        <v>0</v>
      </c>
      <c r="R122" s="32"/>
      <c r="S122" s="32"/>
      <c r="T122" s="32"/>
      <c r="U122"/>
      <c r="V122"/>
    </row>
    <row r="123" spans="3:22" x14ac:dyDescent="0.25">
      <c r="C123" s="24" t="s">
        <v>408</v>
      </c>
      <c r="D123" s="24" t="s">
        <v>409</v>
      </c>
      <c r="E123" s="24" t="s">
        <v>410</v>
      </c>
      <c r="F123" s="25">
        <v>5</v>
      </c>
      <c r="G123" s="24" t="s">
        <v>376</v>
      </c>
      <c r="H123" s="24" t="s">
        <v>46</v>
      </c>
      <c r="I123" s="24" t="s">
        <v>1031</v>
      </c>
      <c r="J123" s="24" t="s">
        <v>63</v>
      </c>
      <c r="K123" s="24" t="s">
        <v>138</v>
      </c>
      <c r="L123" s="24" t="s">
        <v>40</v>
      </c>
      <c r="M123" s="24" t="s">
        <v>378</v>
      </c>
      <c r="N123" s="24" t="s">
        <v>408</v>
      </c>
      <c r="O123" s="24" t="s">
        <v>42</v>
      </c>
      <c r="P123" s="16" t="s">
        <v>43</v>
      </c>
      <c r="Q123" s="32">
        <v>48832774.193683334</v>
      </c>
      <c r="R123" s="32"/>
      <c r="S123" s="32"/>
      <c r="T123" s="32"/>
      <c r="U123"/>
      <c r="V123"/>
    </row>
    <row r="124" spans="3:22" x14ac:dyDescent="0.25">
      <c r="C124" s="24" t="s">
        <v>677</v>
      </c>
      <c r="D124" s="24" t="s">
        <v>678</v>
      </c>
      <c r="E124" s="24" t="s">
        <v>679</v>
      </c>
      <c r="F124" s="25">
        <v>5</v>
      </c>
      <c r="G124" s="24" t="s">
        <v>376</v>
      </c>
      <c r="H124" s="24" t="s">
        <v>46</v>
      </c>
      <c r="I124" s="24" t="s">
        <v>1030</v>
      </c>
      <c r="J124" s="24" t="s">
        <v>248</v>
      </c>
      <c r="K124" s="24" t="s">
        <v>51</v>
      </c>
      <c r="L124" s="24" t="s">
        <v>40</v>
      </c>
      <c r="M124" s="3" t="s">
        <v>984</v>
      </c>
      <c r="N124" s="24" t="s">
        <v>677</v>
      </c>
      <c r="O124" s="24" t="s">
        <v>42</v>
      </c>
      <c r="P124" s="16" t="s">
        <v>43</v>
      </c>
      <c r="Q124" s="32">
        <v>48733811.61696665</v>
      </c>
      <c r="R124" s="32"/>
      <c r="S124" s="32"/>
      <c r="T124" s="32"/>
      <c r="U124"/>
      <c r="V124"/>
    </row>
    <row r="125" spans="3:22" x14ac:dyDescent="0.25">
      <c r="C125" s="24" t="s">
        <v>571</v>
      </c>
      <c r="D125" s="24" t="s">
        <v>572</v>
      </c>
      <c r="E125" s="24" t="s">
        <v>572</v>
      </c>
      <c r="F125" s="25">
        <v>6</v>
      </c>
      <c r="G125" s="24" t="s">
        <v>376</v>
      </c>
      <c r="H125" s="24" t="s">
        <v>46</v>
      </c>
      <c r="I125" s="24" t="s">
        <v>1030</v>
      </c>
      <c r="J125" s="24" t="s">
        <v>331</v>
      </c>
      <c r="K125" s="24" t="s">
        <v>138</v>
      </c>
      <c r="L125" s="24" t="s">
        <v>40</v>
      </c>
      <c r="M125" s="3" t="s">
        <v>984</v>
      </c>
      <c r="N125" s="24" t="s">
        <v>571</v>
      </c>
      <c r="O125" s="24" t="s">
        <v>42</v>
      </c>
      <c r="P125" s="16" t="s">
        <v>43</v>
      </c>
      <c r="Q125" s="32">
        <v>62374074.943050005</v>
      </c>
      <c r="R125" s="32"/>
      <c r="S125" s="32"/>
      <c r="T125" s="32"/>
      <c r="U125"/>
      <c r="V125"/>
    </row>
    <row r="126" spans="3:22" x14ac:dyDescent="0.25">
      <c r="C126" s="24" t="s">
        <v>752</v>
      </c>
      <c r="D126" s="24" t="s">
        <v>753</v>
      </c>
      <c r="E126" s="24" t="s">
        <v>753</v>
      </c>
      <c r="F126" s="25">
        <v>8</v>
      </c>
      <c r="G126" s="24" t="s">
        <v>376</v>
      </c>
      <c r="H126" s="24" t="s">
        <v>46</v>
      </c>
      <c r="I126" s="24" t="s">
        <v>1031</v>
      </c>
      <c r="J126" s="24" t="s">
        <v>1048</v>
      </c>
      <c r="K126" s="24" t="s">
        <v>54</v>
      </c>
      <c r="L126" s="24" t="s">
        <v>55</v>
      </c>
      <c r="M126" s="24" t="s">
        <v>378</v>
      </c>
      <c r="N126" s="24" t="s">
        <v>752</v>
      </c>
      <c r="O126" s="24" t="s">
        <v>379</v>
      </c>
      <c r="P126" s="16" t="s">
        <v>43</v>
      </c>
      <c r="Q126" s="32">
        <v>57791735.928666666</v>
      </c>
      <c r="R126" s="32"/>
      <c r="S126" s="32"/>
      <c r="T126" s="32"/>
      <c r="U126"/>
      <c r="V126"/>
    </row>
    <row r="127" spans="3:22" x14ac:dyDescent="0.25">
      <c r="C127" s="24" t="s">
        <v>680</v>
      </c>
      <c r="D127" s="24" t="s">
        <v>681</v>
      </c>
      <c r="E127" s="24" t="s">
        <v>682</v>
      </c>
      <c r="F127" s="25">
        <v>5</v>
      </c>
      <c r="G127" s="24" t="s">
        <v>376</v>
      </c>
      <c r="H127" s="24" t="s">
        <v>46</v>
      </c>
      <c r="I127" s="24" t="s">
        <v>1030</v>
      </c>
      <c r="J127" s="24" t="s">
        <v>248</v>
      </c>
      <c r="K127" s="24" t="s">
        <v>51</v>
      </c>
      <c r="L127" s="24" t="s">
        <v>40</v>
      </c>
      <c r="M127" s="3" t="s">
        <v>984</v>
      </c>
      <c r="N127" s="24" t="s">
        <v>680</v>
      </c>
      <c r="O127" s="24" t="s">
        <v>42</v>
      </c>
      <c r="P127" s="16" t="s">
        <v>440</v>
      </c>
      <c r="Q127" s="32">
        <v>36189395.778383337</v>
      </c>
      <c r="R127" s="32"/>
      <c r="S127" s="32"/>
      <c r="T127" s="32"/>
      <c r="U127"/>
      <c r="V127"/>
    </row>
    <row r="128" spans="3:22" x14ac:dyDescent="0.25">
      <c r="C128" s="24" t="s">
        <v>954</v>
      </c>
      <c r="D128" s="24" t="s">
        <v>955</v>
      </c>
      <c r="E128" s="24" t="s">
        <v>956</v>
      </c>
      <c r="F128" s="25">
        <v>5</v>
      </c>
      <c r="G128" s="24" t="s">
        <v>376</v>
      </c>
      <c r="H128" s="24" t="s">
        <v>46</v>
      </c>
      <c r="I128" s="24" t="s">
        <v>1030</v>
      </c>
      <c r="J128" s="24" t="s">
        <v>160</v>
      </c>
      <c r="K128" s="24" t="s">
        <v>353</v>
      </c>
      <c r="L128" s="24" t="s">
        <v>40</v>
      </c>
      <c r="M128" s="3" t="s">
        <v>984</v>
      </c>
      <c r="N128" s="24" t="s">
        <v>954</v>
      </c>
      <c r="O128" s="24" t="s">
        <v>42</v>
      </c>
      <c r="P128" s="16" t="s">
        <v>440</v>
      </c>
      <c r="Q128" s="32">
        <v>34817603.378666662</v>
      </c>
      <c r="R128" s="32"/>
      <c r="S128" s="32"/>
      <c r="T128" s="32"/>
      <c r="U128"/>
      <c r="V128"/>
    </row>
    <row r="129" spans="3:22" x14ac:dyDescent="0.25">
      <c r="C129" s="24" t="s">
        <v>68</v>
      </c>
      <c r="D129" s="24" t="s">
        <v>69</v>
      </c>
      <c r="E129" s="24" t="s">
        <v>70</v>
      </c>
      <c r="F129" s="25" t="s">
        <v>36</v>
      </c>
      <c r="G129" s="24" t="s">
        <v>37</v>
      </c>
      <c r="H129" s="24" t="s">
        <v>38</v>
      </c>
      <c r="I129" s="24" t="s">
        <v>1046</v>
      </c>
      <c r="J129" s="24" t="s">
        <v>58</v>
      </c>
      <c r="K129" s="24" t="s">
        <v>64</v>
      </c>
      <c r="L129" s="24" t="s">
        <v>40</v>
      </c>
      <c r="M129" s="24">
        <v>0</v>
      </c>
      <c r="N129" s="24" t="s">
        <v>68</v>
      </c>
      <c r="O129" s="24" t="s">
        <v>42</v>
      </c>
      <c r="P129" s="16" t="s">
        <v>43</v>
      </c>
      <c r="Q129" s="32">
        <v>0</v>
      </c>
      <c r="R129" s="32"/>
      <c r="S129" s="32"/>
      <c r="T129" s="32"/>
      <c r="U129"/>
      <c r="V129"/>
    </row>
    <row r="130" spans="3:22" x14ac:dyDescent="0.25">
      <c r="C130" s="24" t="s">
        <v>867</v>
      </c>
      <c r="D130" s="24" t="s">
        <v>997</v>
      </c>
      <c r="E130" s="24" t="s">
        <v>869</v>
      </c>
      <c r="F130" s="25">
        <v>5</v>
      </c>
      <c r="G130" s="24" t="s">
        <v>376</v>
      </c>
      <c r="H130" s="24" t="s">
        <v>46</v>
      </c>
      <c r="I130" s="24" t="s">
        <v>1030</v>
      </c>
      <c r="J130" s="24" t="s">
        <v>132</v>
      </c>
      <c r="K130" s="24" t="s">
        <v>856</v>
      </c>
      <c r="L130" s="24" t="s">
        <v>40</v>
      </c>
      <c r="M130" s="24" t="s">
        <v>1035</v>
      </c>
      <c r="N130" s="24" t="s">
        <v>867</v>
      </c>
      <c r="O130" s="24" t="s">
        <v>42</v>
      </c>
      <c r="P130" s="16" t="s">
        <v>440</v>
      </c>
      <c r="Q130" s="32">
        <v>41271303.239333332</v>
      </c>
      <c r="R130" s="32"/>
      <c r="S130" s="32"/>
      <c r="T130" s="32"/>
      <c r="U130"/>
      <c r="V130"/>
    </row>
    <row r="131" spans="3:22" x14ac:dyDescent="0.25">
      <c r="C131" s="24" t="s">
        <v>71</v>
      </c>
      <c r="D131" s="24" t="s">
        <v>72</v>
      </c>
      <c r="E131" s="24" t="s">
        <v>72</v>
      </c>
      <c r="F131" s="25">
        <v>0</v>
      </c>
      <c r="G131" s="24" t="s">
        <v>37</v>
      </c>
      <c r="H131" s="24" t="s">
        <v>46</v>
      </c>
      <c r="I131" s="24" t="s">
        <v>1046</v>
      </c>
      <c r="J131" s="24" t="s">
        <v>73</v>
      </c>
      <c r="K131" s="24" t="s">
        <v>74</v>
      </c>
      <c r="L131" s="24" t="s">
        <v>40</v>
      </c>
      <c r="M131" s="24">
        <v>0</v>
      </c>
      <c r="N131" s="24" t="s">
        <v>71</v>
      </c>
      <c r="O131" s="24" t="s">
        <v>42</v>
      </c>
      <c r="P131" s="16" t="s">
        <v>43</v>
      </c>
      <c r="Q131" s="32">
        <v>0</v>
      </c>
      <c r="R131" s="32"/>
      <c r="S131" s="32"/>
      <c r="T131" s="32"/>
      <c r="U131"/>
      <c r="V131"/>
    </row>
    <row r="132" spans="3:22" x14ac:dyDescent="0.25">
      <c r="C132" s="24" t="s">
        <v>802</v>
      </c>
      <c r="D132" s="24" t="s">
        <v>803</v>
      </c>
      <c r="E132" s="24" t="s">
        <v>803</v>
      </c>
      <c r="F132" s="25">
        <v>6</v>
      </c>
      <c r="G132" s="24" t="s">
        <v>376</v>
      </c>
      <c r="H132" s="24" t="s">
        <v>46</v>
      </c>
      <c r="I132" s="24" t="s">
        <v>1030</v>
      </c>
      <c r="J132" s="24" t="s">
        <v>146</v>
      </c>
      <c r="K132" s="24" t="s">
        <v>59</v>
      </c>
      <c r="L132" s="24" t="s">
        <v>40</v>
      </c>
      <c r="M132" s="24" t="s">
        <v>1035</v>
      </c>
      <c r="N132" s="24" t="s">
        <v>802</v>
      </c>
      <c r="O132" s="24" t="s">
        <v>42</v>
      </c>
      <c r="P132" s="16" t="s">
        <v>43</v>
      </c>
      <c r="Q132" s="32">
        <v>60322637.973333344</v>
      </c>
      <c r="R132" s="32"/>
      <c r="S132" s="32"/>
      <c r="T132" s="32"/>
      <c r="U132"/>
      <c r="V132"/>
    </row>
    <row r="133" spans="3:22" x14ac:dyDescent="0.25">
      <c r="C133" s="24" t="s">
        <v>957</v>
      </c>
      <c r="D133" s="24" t="s">
        <v>959</v>
      </c>
      <c r="E133" s="24" t="s">
        <v>998</v>
      </c>
      <c r="F133" s="37">
        <v>5.45</v>
      </c>
      <c r="G133" s="24" t="s">
        <v>376</v>
      </c>
      <c r="H133" s="24" t="s">
        <v>46</v>
      </c>
      <c r="I133" s="24" t="s">
        <v>1030</v>
      </c>
      <c r="J133" s="24" t="s">
        <v>160</v>
      </c>
      <c r="K133" s="24" t="s">
        <v>39</v>
      </c>
      <c r="L133" s="24" t="s">
        <v>40</v>
      </c>
      <c r="M133" s="3" t="s">
        <v>984</v>
      </c>
      <c r="N133" s="24" t="s">
        <v>957</v>
      </c>
      <c r="O133" s="24" t="s">
        <v>42</v>
      </c>
      <c r="P133" s="16" t="s">
        <v>43</v>
      </c>
      <c r="Q133" s="32">
        <v>68433266.976599991</v>
      </c>
      <c r="R133" s="32"/>
      <c r="S133" s="32"/>
      <c r="T133" s="32"/>
      <c r="U133"/>
      <c r="V133"/>
    </row>
    <row r="134" spans="3:22" x14ac:dyDescent="0.25">
      <c r="C134" s="24" t="s">
        <v>75</v>
      </c>
      <c r="D134" s="24" t="s">
        <v>76</v>
      </c>
      <c r="E134" s="24" t="s">
        <v>77</v>
      </c>
      <c r="F134" s="25" t="s">
        <v>36</v>
      </c>
      <c r="G134" s="24" t="s">
        <v>37</v>
      </c>
      <c r="H134" s="24" t="s">
        <v>38</v>
      </c>
      <c r="I134" s="24" t="s">
        <v>1046</v>
      </c>
      <c r="J134" s="24">
        <v>0</v>
      </c>
      <c r="K134" s="24" t="s">
        <v>78</v>
      </c>
      <c r="L134" s="24" t="s">
        <v>40</v>
      </c>
      <c r="M134" s="24">
        <v>0</v>
      </c>
      <c r="N134" s="24" t="s">
        <v>75</v>
      </c>
      <c r="O134" s="24" t="s">
        <v>42</v>
      </c>
      <c r="P134" s="16" t="s">
        <v>43</v>
      </c>
      <c r="Q134" s="32">
        <v>0</v>
      </c>
      <c r="R134" s="32"/>
      <c r="S134" s="32"/>
      <c r="T134" s="32"/>
      <c r="U134"/>
      <c r="V134"/>
    </row>
    <row r="135" spans="3:22" x14ac:dyDescent="0.25">
      <c r="C135" s="24" t="s">
        <v>491</v>
      </c>
      <c r="D135" s="24" t="s">
        <v>493</v>
      </c>
      <c r="E135" s="24" t="s">
        <v>493</v>
      </c>
      <c r="F135" s="25">
        <v>5</v>
      </c>
      <c r="G135" s="24" t="s">
        <v>376</v>
      </c>
      <c r="H135" s="24" t="s">
        <v>46</v>
      </c>
      <c r="I135" s="24" t="s">
        <v>1030</v>
      </c>
      <c r="J135" s="24" t="s">
        <v>466</v>
      </c>
      <c r="K135" s="24" t="s">
        <v>51</v>
      </c>
      <c r="L135" s="24" t="s">
        <v>40</v>
      </c>
      <c r="M135" s="24" t="s">
        <v>1035</v>
      </c>
      <c r="N135" s="24" t="s">
        <v>491</v>
      </c>
      <c r="O135" s="24" t="s">
        <v>42</v>
      </c>
      <c r="P135" s="16" t="s">
        <v>43</v>
      </c>
      <c r="Q135" s="32">
        <v>32499862.491633322</v>
      </c>
      <c r="R135" s="32"/>
      <c r="S135" s="32"/>
      <c r="T135" s="32"/>
      <c r="U135"/>
      <c r="V135"/>
    </row>
    <row r="136" spans="3:22" x14ac:dyDescent="0.25">
      <c r="C136" s="24" t="s">
        <v>494</v>
      </c>
      <c r="D136" s="24" t="s">
        <v>496</v>
      </c>
      <c r="E136" s="24" t="s">
        <v>496</v>
      </c>
      <c r="F136" s="25">
        <v>5</v>
      </c>
      <c r="G136" s="24" t="s">
        <v>376</v>
      </c>
      <c r="H136" s="24" t="s">
        <v>46</v>
      </c>
      <c r="I136" s="24" t="s">
        <v>1030</v>
      </c>
      <c r="J136" s="24" t="s">
        <v>466</v>
      </c>
      <c r="K136" s="24" t="s">
        <v>51</v>
      </c>
      <c r="L136" s="24" t="s">
        <v>40</v>
      </c>
      <c r="M136" s="24" t="s">
        <v>1035</v>
      </c>
      <c r="N136" s="24" t="s">
        <v>494</v>
      </c>
      <c r="O136" s="24" t="s">
        <v>42</v>
      </c>
      <c r="P136" s="16" t="s">
        <v>43</v>
      </c>
      <c r="Q136" s="32">
        <v>32670436.665333334</v>
      </c>
      <c r="R136" s="32"/>
      <c r="S136" s="32"/>
      <c r="T136" s="32"/>
      <c r="U136"/>
      <c r="V136"/>
    </row>
    <row r="137" spans="3:22" x14ac:dyDescent="0.25">
      <c r="C137" s="24" t="s">
        <v>542</v>
      </c>
      <c r="D137" s="24" t="s">
        <v>543</v>
      </c>
      <c r="E137" s="24" t="s">
        <v>543</v>
      </c>
      <c r="F137" s="25">
        <v>6</v>
      </c>
      <c r="G137" s="24" t="s">
        <v>376</v>
      </c>
      <c r="H137" s="24" t="s">
        <v>46</v>
      </c>
      <c r="I137" s="24" t="s">
        <v>1030</v>
      </c>
      <c r="J137" s="24" t="s">
        <v>100</v>
      </c>
      <c r="K137" s="24" t="s">
        <v>138</v>
      </c>
      <c r="L137" s="24" t="s">
        <v>40</v>
      </c>
      <c r="M137" s="24" t="s">
        <v>514</v>
      </c>
      <c r="N137" s="24" t="s">
        <v>542</v>
      </c>
      <c r="O137" s="24" t="s">
        <v>42</v>
      </c>
      <c r="P137" s="16" t="s">
        <v>43</v>
      </c>
      <c r="Q137" s="32">
        <v>64388200.157616645</v>
      </c>
      <c r="R137" s="32"/>
      <c r="S137" s="32"/>
      <c r="T137" s="32"/>
      <c r="U137"/>
      <c r="V137"/>
    </row>
    <row r="138" spans="3:22" x14ac:dyDescent="0.25">
      <c r="C138" s="24" t="s">
        <v>544</v>
      </c>
      <c r="D138" s="24" t="s">
        <v>545</v>
      </c>
      <c r="E138" s="24" t="s">
        <v>545</v>
      </c>
      <c r="F138" s="25">
        <v>5</v>
      </c>
      <c r="G138" s="24" t="s">
        <v>376</v>
      </c>
      <c r="H138" s="24" t="s">
        <v>46</v>
      </c>
      <c r="I138" s="24" t="s">
        <v>1030</v>
      </c>
      <c r="J138" s="24" t="s">
        <v>100</v>
      </c>
      <c r="K138" s="24" t="s">
        <v>138</v>
      </c>
      <c r="L138" s="24" t="s">
        <v>40</v>
      </c>
      <c r="M138" s="24" t="s">
        <v>514</v>
      </c>
      <c r="N138" s="24" t="s">
        <v>544</v>
      </c>
      <c r="O138" s="24" t="s">
        <v>42</v>
      </c>
      <c r="P138" s="16" t="s">
        <v>43</v>
      </c>
      <c r="Q138" s="32">
        <v>42423695.985333338</v>
      </c>
      <c r="R138" s="32"/>
      <c r="S138" s="32"/>
      <c r="T138" s="32"/>
      <c r="U138"/>
      <c r="V138"/>
    </row>
    <row r="139" spans="3:22" x14ac:dyDescent="0.25">
      <c r="C139" s="24" t="s">
        <v>810</v>
      </c>
      <c r="D139" s="24" t="s">
        <v>811</v>
      </c>
      <c r="E139" s="24" t="s">
        <v>811</v>
      </c>
      <c r="F139" s="25">
        <v>5</v>
      </c>
      <c r="G139" s="24" t="s">
        <v>376</v>
      </c>
      <c r="H139" s="24" t="s">
        <v>46</v>
      </c>
      <c r="I139" s="24" t="s">
        <v>1030</v>
      </c>
      <c r="J139" s="24" t="s">
        <v>146</v>
      </c>
      <c r="K139" s="24" t="s">
        <v>59</v>
      </c>
      <c r="L139" s="24" t="s">
        <v>40</v>
      </c>
      <c r="M139" s="24" t="s">
        <v>1035</v>
      </c>
      <c r="N139" s="24" t="s">
        <v>810</v>
      </c>
      <c r="O139" s="24" t="s">
        <v>42</v>
      </c>
      <c r="P139" s="16" t="s">
        <v>43</v>
      </c>
      <c r="Q139" s="32">
        <v>40003331.725699998</v>
      </c>
      <c r="R139" s="32"/>
      <c r="S139" s="32"/>
      <c r="T139" s="32"/>
      <c r="U139"/>
      <c r="V139"/>
    </row>
    <row r="140" spans="3:22" x14ac:dyDescent="0.25">
      <c r="C140" s="24" t="s">
        <v>79</v>
      </c>
      <c r="D140" s="24" t="s">
        <v>80</v>
      </c>
      <c r="E140" s="24" t="s">
        <v>80</v>
      </c>
      <c r="F140" s="25" t="s">
        <v>36</v>
      </c>
      <c r="G140" s="24" t="s">
        <v>37</v>
      </c>
      <c r="H140" s="24" t="s">
        <v>81</v>
      </c>
      <c r="I140" s="24" t="s">
        <v>1046</v>
      </c>
      <c r="J140" s="24">
        <v>0</v>
      </c>
      <c r="K140" s="24" t="s">
        <v>59</v>
      </c>
      <c r="L140" s="24" t="s">
        <v>40</v>
      </c>
      <c r="M140" s="24">
        <v>0</v>
      </c>
      <c r="N140" s="24" t="s">
        <v>79</v>
      </c>
      <c r="O140" s="24" t="s">
        <v>42</v>
      </c>
      <c r="P140" s="16" t="s">
        <v>43</v>
      </c>
      <c r="Q140" s="32">
        <v>0</v>
      </c>
      <c r="R140" s="32"/>
      <c r="S140" s="32"/>
      <c r="T140" s="32"/>
      <c r="U140"/>
      <c r="V140"/>
    </row>
    <row r="141" spans="3:22" x14ac:dyDescent="0.25">
      <c r="C141" s="24" t="s">
        <v>870</v>
      </c>
      <c r="D141" s="24" t="s">
        <v>871</v>
      </c>
      <c r="E141" s="24" t="s">
        <v>871</v>
      </c>
      <c r="F141" s="25">
        <v>5</v>
      </c>
      <c r="G141" s="24" t="s">
        <v>376</v>
      </c>
      <c r="H141" s="24" t="s">
        <v>46</v>
      </c>
      <c r="I141" s="24" t="s">
        <v>1030</v>
      </c>
      <c r="J141" s="24" t="s">
        <v>132</v>
      </c>
      <c r="K141" s="24" t="s">
        <v>856</v>
      </c>
      <c r="L141" s="24" t="s">
        <v>40</v>
      </c>
      <c r="M141" s="24" t="s">
        <v>1035</v>
      </c>
      <c r="N141" s="24" t="s">
        <v>870</v>
      </c>
      <c r="O141" s="24" t="s">
        <v>42</v>
      </c>
      <c r="P141" s="16" t="s">
        <v>43</v>
      </c>
      <c r="Q141" s="32">
        <v>45520673.238666669</v>
      </c>
      <c r="R141" s="32"/>
      <c r="S141" s="32"/>
      <c r="T141" s="32"/>
      <c r="U141"/>
      <c r="V141"/>
    </row>
    <row r="142" spans="3:22" x14ac:dyDescent="0.25">
      <c r="C142" s="24">
        <v>50096</v>
      </c>
      <c r="D142" s="24" t="s">
        <v>683</v>
      </c>
      <c r="E142" s="24" t="s">
        <v>684</v>
      </c>
      <c r="F142" s="25">
        <v>5</v>
      </c>
      <c r="G142" s="24" t="s">
        <v>376</v>
      </c>
      <c r="H142" s="24" t="s">
        <v>81</v>
      </c>
      <c r="I142" s="24" t="s">
        <v>1030</v>
      </c>
      <c r="J142" s="24" t="s">
        <v>248</v>
      </c>
      <c r="K142" s="24" t="s">
        <v>51</v>
      </c>
      <c r="L142" s="24" t="s">
        <v>40</v>
      </c>
      <c r="M142" s="3" t="s">
        <v>984</v>
      </c>
      <c r="N142" s="24">
        <v>50096</v>
      </c>
      <c r="O142" s="24" t="s">
        <v>42</v>
      </c>
      <c r="P142" s="16" t="s">
        <v>43</v>
      </c>
      <c r="Q142" s="32">
        <v>45268672.088033319</v>
      </c>
      <c r="R142" s="32"/>
      <c r="S142" s="32"/>
      <c r="T142" s="32"/>
      <c r="U142"/>
      <c r="V142"/>
    </row>
    <row r="143" spans="3:22" x14ac:dyDescent="0.25">
      <c r="C143" s="24">
        <v>50724</v>
      </c>
      <c r="D143" s="24" t="s">
        <v>900</v>
      </c>
      <c r="E143" s="24" t="s">
        <v>900</v>
      </c>
      <c r="F143" s="25">
        <v>5</v>
      </c>
      <c r="G143" s="24" t="s">
        <v>376</v>
      </c>
      <c r="H143" s="24" t="s">
        <v>46</v>
      </c>
      <c r="I143" s="24" t="s">
        <v>1030</v>
      </c>
      <c r="J143" s="24" t="s">
        <v>73</v>
      </c>
      <c r="K143" s="24" t="s">
        <v>609</v>
      </c>
      <c r="L143" s="24" t="s">
        <v>40</v>
      </c>
      <c r="M143" s="24" t="s">
        <v>514</v>
      </c>
      <c r="N143" s="24">
        <v>50724</v>
      </c>
      <c r="O143" s="24" t="s">
        <v>42</v>
      </c>
      <c r="P143" s="16" t="s">
        <v>43</v>
      </c>
      <c r="Q143" s="32">
        <v>30239664.598666664</v>
      </c>
      <c r="R143" s="32"/>
      <c r="S143" s="32"/>
      <c r="T143" s="32"/>
      <c r="U143"/>
      <c r="V143"/>
    </row>
    <row r="144" spans="3:22" x14ac:dyDescent="0.25">
      <c r="C144" s="24">
        <v>50863</v>
      </c>
      <c r="D144" s="24" t="s">
        <v>901</v>
      </c>
      <c r="E144" s="24" t="s">
        <v>902</v>
      </c>
      <c r="F144" s="25">
        <v>5</v>
      </c>
      <c r="G144" s="24" t="s">
        <v>376</v>
      </c>
      <c r="H144" s="24" t="s">
        <v>81</v>
      </c>
      <c r="I144" s="24" t="s">
        <v>1030</v>
      </c>
      <c r="J144" s="24" t="s">
        <v>73</v>
      </c>
      <c r="K144" s="24" t="s">
        <v>364</v>
      </c>
      <c r="L144" s="24" t="s">
        <v>40</v>
      </c>
      <c r="M144" s="24" t="s">
        <v>514</v>
      </c>
      <c r="N144" s="24">
        <v>50863</v>
      </c>
      <c r="O144" s="24" t="s">
        <v>42</v>
      </c>
      <c r="P144" s="16" t="s">
        <v>43</v>
      </c>
      <c r="Q144" s="32">
        <v>48625365.292666659</v>
      </c>
      <c r="R144" s="32"/>
      <c r="S144" s="32"/>
      <c r="T144" s="32"/>
      <c r="U144"/>
      <c r="V144"/>
    </row>
    <row r="145" spans="3:22" x14ac:dyDescent="0.25">
      <c r="C145" s="24" t="s">
        <v>82</v>
      </c>
      <c r="D145" s="24" t="s">
        <v>83</v>
      </c>
      <c r="E145" s="24" t="s">
        <v>83</v>
      </c>
      <c r="F145" s="25" t="s">
        <v>36</v>
      </c>
      <c r="G145" s="24" t="s">
        <v>37</v>
      </c>
      <c r="H145" s="24" t="s">
        <v>81</v>
      </c>
      <c r="I145" s="24" t="s">
        <v>1046</v>
      </c>
      <c r="J145" s="24" t="s">
        <v>1048</v>
      </c>
      <c r="K145" s="24" t="s">
        <v>85</v>
      </c>
      <c r="L145" s="24" t="s">
        <v>55</v>
      </c>
      <c r="M145" s="24">
        <v>0</v>
      </c>
      <c r="N145" s="24" t="s">
        <v>82</v>
      </c>
      <c r="O145" s="24" t="s">
        <v>42</v>
      </c>
      <c r="P145" s="16" t="s">
        <v>43</v>
      </c>
      <c r="Q145" s="32">
        <v>0</v>
      </c>
      <c r="R145" s="32"/>
      <c r="S145" s="32"/>
      <c r="T145" s="32"/>
      <c r="U145"/>
      <c r="V145"/>
    </row>
    <row r="146" spans="3:22" x14ac:dyDescent="0.25">
      <c r="C146" s="24" t="s">
        <v>86</v>
      </c>
      <c r="D146" s="24" t="s">
        <v>87</v>
      </c>
      <c r="E146" s="24" t="s">
        <v>87</v>
      </c>
      <c r="F146" s="25" t="s">
        <v>36</v>
      </c>
      <c r="G146" s="24" t="s">
        <v>37</v>
      </c>
      <c r="H146" s="24" t="s">
        <v>88</v>
      </c>
      <c r="I146" s="24" t="s">
        <v>1046</v>
      </c>
      <c r="J146" s="24" t="s">
        <v>89</v>
      </c>
      <c r="K146" s="24" t="s">
        <v>90</v>
      </c>
      <c r="L146" s="24" t="s">
        <v>91</v>
      </c>
      <c r="M146" s="24">
        <v>0</v>
      </c>
      <c r="N146" s="24" t="s">
        <v>86</v>
      </c>
      <c r="O146" s="24" t="s">
        <v>42</v>
      </c>
      <c r="P146" s="16" t="s">
        <v>43</v>
      </c>
      <c r="Q146" s="32">
        <v>0</v>
      </c>
      <c r="R146" s="32"/>
      <c r="S146" s="32"/>
      <c r="T146" s="32"/>
      <c r="U146"/>
      <c r="V146"/>
    </row>
    <row r="147" spans="3:22" x14ac:dyDescent="0.25">
      <c r="C147" s="24" t="s">
        <v>576</v>
      </c>
      <c r="D147" s="24" t="s">
        <v>577</v>
      </c>
      <c r="E147" s="24" t="s">
        <v>577</v>
      </c>
      <c r="F147" s="25">
        <v>5</v>
      </c>
      <c r="G147" s="24" t="s">
        <v>376</v>
      </c>
      <c r="H147" s="24" t="s">
        <v>46</v>
      </c>
      <c r="I147" s="24" t="s">
        <v>1030</v>
      </c>
      <c r="J147" s="24" t="s">
        <v>331</v>
      </c>
      <c r="K147" s="24" t="s">
        <v>138</v>
      </c>
      <c r="L147" s="24" t="s">
        <v>40</v>
      </c>
      <c r="M147" s="3" t="s">
        <v>984</v>
      </c>
      <c r="N147" s="24" t="s">
        <v>576</v>
      </c>
      <c r="O147" s="24" t="s">
        <v>42</v>
      </c>
      <c r="P147" s="16" t="s">
        <v>43</v>
      </c>
      <c r="Q147" s="32">
        <v>47502491.807149991</v>
      </c>
      <c r="R147" s="32"/>
      <c r="S147" s="32"/>
      <c r="T147" s="32"/>
      <c r="U147"/>
      <c r="V147"/>
    </row>
    <row r="148" spans="3:22" x14ac:dyDescent="0.25">
      <c r="C148" s="24" t="s">
        <v>92</v>
      </c>
      <c r="D148" s="24" t="s">
        <v>93</v>
      </c>
      <c r="E148" s="24" t="s">
        <v>93</v>
      </c>
      <c r="F148" s="25" t="s">
        <v>36</v>
      </c>
      <c r="G148" s="24" t="s">
        <v>37</v>
      </c>
      <c r="H148" s="24" t="s">
        <v>81</v>
      </c>
      <c r="I148" s="24" t="s">
        <v>1046</v>
      </c>
      <c r="J148" s="24" t="s">
        <v>94</v>
      </c>
      <c r="K148" s="24" t="s">
        <v>64</v>
      </c>
      <c r="L148" s="24" t="s">
        <v>40</v>
      </c>
      <c r="M148" s="24">
        <v>0</v>
      </c>
      <c r="N148" s="24" t="s">
        <v>92</v>
      </c>
      <c r="O148" s="24" t="s">
        <v>42</v>
      </c>
      <c r="P148" s="16" t="s">
        <v>43</v>
      </c>
      <c r="Q148" s="32">
        <v>0</v>
      </c>
      <c r="R148" s="32"/>
      <c r="S148" s="32"/>
      <c r="T148" s="32"/>
      <c r="U148"/>
      <c r="V148"/>
    </row>
    <row r="149" spans="3:22" x14ac:dyDescent="0.25">
      <c r="C149" s="24" t="s">
        <v>782</v>
      </c>
      <c r="D149" s="24" t="s">
        <v>783</v>
      </c>
      <c r="E149" s="24" t="s">
        <v>783</v>
      </c>
      <c r="F149" s="25">
        <v>5</v>
      </c>
      <c r="G149" s="24" t="s">
        <v>376</v>
      </c>
      <c r="H149" s="24" t="s">
        <v>81</v>
      </c>
      <c r="I149" s="24" t="s">
        <v>1031</v>
      </c>
      <c r="J149" s="24" t="s">
        <v>89</v>
      </c>
      <c r="K149" s="24" t="s">
        <v>103</v>
      </c>
      <c r="L149" s="24" t="s">
        <v>104</v>
      </c>
      <c r="M149" s="24" t="s">
        <v>378</v>
      </c>
      <c r="N149" s="24" t="s">
        <v>782</v>
      </c>
      <c r="O149" s="24" t="s">
        <v>42</v>
      </c>
      <c r="P149" s="16" t="s">
        <v>43</v>
      </c>
      <c r="Q149" s="32">
        <v>30079910.212649994</v>
      </c>
      <c r="R149" s="32"/>
      <c r="S149" s="32"/>
      <c r="T149" s="32"/>
      <c r="U149"/>
      <c r="V149"/>
    </row>
    <row r="150" spans="3:22" x14ac:dyDescent="0.25">
      <c r="C150" s="24" t="s">
        <v>95</v>
      </c>
      <c r="D150" s="24" t="s">
        <v>96</v>
      </c>
      <c r="E150" s="24" t="s">
        <v>96</v>
      </c>
      <c r="F150" s="25" t="s">
        <v>36</v>
      </c>
      <c r="G150" s="24" t="s">
        <v>37</v>
      </c>
      <c r="H150" s="24" t="s">
        <v>81</v>
      </c>
      <c r="I150" s="24" t="s">
        <v>1046</v>
      </c>
      <c r="J150" s="24">
        <v>0</v>
      </c>
      <c r="K150" s="24" t="s">
        <v>97</v>
      </c>
      <c r="L150" s="24" t="s">
        <v>40</v>
      </c>
      <c r="M150" s="24">
        <v>0</v>
      </c>
      <c r="N150" s="24" t="s">
        <v>95</v>
      </c>
      <c r="O150" s="24" t="s">
        <v>42</v>
      </c>
      <c r="P150" s="16" t="s">
        <v>43</v>
      </c>
      <c r="Q150" s="32">
        <v>0</v>
      </c>
      <c r="R150" s="32"/>
      <c r="S150" s="32"/>
      <c r="T150" s="32"/>
      <c r="U150"/>
      <c r="V150"/>
    </row>
    <row r="151" spans="3:22" x14ac:dyDescent="0.25">
      <c r="C151" s="24" t="s">
        <v>98</v>
      </c>
      <c r="D151" s="24" t="s">
        <v>99</v>
      </c>
      <c r="E151" s="24" t="s">
        <v>99</v>
      </c>
      <c r="F151" s="25" t="s">
        <v>36</v>
      </c>
      <c r="G151" s="24" t="s">
        <v>37</v>
      </c>
      <c r="H151" s="24" t="s">
        <v>81</v>
      </c>
      <c r="I151" s="24" t="s">
        <v>1046</v>
      </c>
      <c r="J151" s="24" t="s">
        <v>100</v>
      </c>
      <c r="K151" s="24" t="s">
        <v>59</v>
      </c>
      <c r="L151" s="24" t="s">
        <v>40</v>
      </c>
      <c r="M151" s="24">
        <v>0</v>
      </c>
      <c r="N151" s="24" t="s">
        <v>98</v>
      </c>
      <c r="O151" s="24" t="s">
        <v>42</v>
      </c>
      <c r="P151" s="16" t="s">
        <v>43</v>
      </c>
      <c r="Q151" s="32">
        <v>0</v>
      </c>
      <c r="R151" s="32"/>
      <c r="S151" s="32"/>
      <c r="T151" s="32"/>
      <c r="U151"/>
      <c r="V151"/>
    </row>
    <row r="152" spans="3:22" x14ac:dyDescent="0.25">
      <c r="C152" s="24" t="s">
        <v>712</v>
      </c>
      <c r="D152" s="24" t="s">
        <v>713</v>
      </c>
      <c r="E152" s="24" t="s">
        <v>713</v>
      </c>
      <c r="F152" s="25">
        <v>5</v>
      </c>
      <c r="G152" s="24" t="s">
        <v>376</v>
      </c>
      <c r="H152" s="24" t="s">
        <v>46</v>
      </c>
      <c r="I152" s="24" t="s">
        <v>1031</v>
      </c>
      <c r="J152" s="24" t="s">
        <v>84</v>
      </c>
      <c r="K152" s="24" t="s">
        <v>54</v>
      </c>
      <c r="L152" s="24" t="s">
        <v>55</v>
      </c>
      <c r="M152" s="24" t="s">
        <v>378</v>
      </c>
      <c r="N152" s="24" t="s">
        <v>712</v>
      </c>
      <c r="O152" s="24" t="s">
        <v>42</v>
      </c>
      <c r="P152" s="16" t="s">
        <v>43</v>
      </c>
      <c r="Q152" s="32">
        <v>28159170.896000005</v>
      </c>
      <c r="R152" s="32"/>
      <c r="S152" s="32"/>
      <c r="T152" s="32"/>
      <c r="U152"/>
      <c r="V152"/>
    </row>
    <row r="153" spans="3:22" x14ac:dyDescent="0.25">
      <c r="C153" s="24" t="s">
        <v>101</v>
      </c>
      <c r="D153" s="24" t="s">
        <v>102</v>
      </c>
      <c r="E153" s="24" t="s">
        <v>102</v>
      </c>
      <c r="F153" s="25" t="s">
        <v>36</v>
      </c>
      <c r="G153" s="24" t="s">
        <v>37</v>
      </c>
      <c r="H153" s="24" t="s">
        <v>81</v>
      </c>
      <c r="I153" s="24" t="s">
        <v>1046</v>
      </c>
      <c r="J153" s="24" t="s">
        <v>73</v>
      </c>
      <c r="K153" s="24" t="s">
        <v>103</v>
      </c>
      <c r="L153" s="24" t="s">
        <v>104</v>
      </c>
      <c r="M153" s="24">
        <v>0</v>
      </c>
      <c r="N153" s="24" t="s">
        <v>101</v>
      </c>
      <c r="O153" s="24" t="s">
        <v>42</v>
      </c>
      <c r="P153" s="16" t="s">
        <v>43</v>
      </c>
      <c r="Q153" s="32">
        <v>0</v>
      </c>
      <c r="R153" s="32"/>
      <c r="S153" s="32"/>
      <c r="T153" s="32"/>
      <c r="U153"/>
      <c r="V153"/>
    </row>
    <row r="154" spans="3:22" x14ac:dyDescent="0.25">
      <c r="C154" s="24" t="s">
        <v>105</v>
      </c>
      <c r="D154" s="24" t="s">
        <v>106</v>
      </c>
      <c r="E154" s="24" t="s">
        <v>106</v>
      </c>
      <c r="F154" s="25" t="s">
        <v>36</v>
      </c>
      <c r="G154" s="24" t="s">
        <v>37</v>
      </c>
      <c r="H154" s="24" t="s">
        <v>81</v>
      </c>
      <c r="I154" s="24" t="s">
        <v>1046</v>
      </c>
      <c r="J154" s="24" t="s">
        <v>100</v>
      </c>
      <c r="K154" s="24" t="s">
        <v>59</v>
      </c>
      <c r="L154" s="24" t="s">
        <v>40</v>
      </c>
      <c r="M154" s="24">
        <v>0</v>
      </c>
      <c r="N154" s="24" t="s">
        <v>105</v>
      </c>
      <c r="O154" s="24" t="s">
        <v>42</v>
      </c>
      <c r="P154" s="16" t="s">
        <v>43</v>
      </c>
      <c r="Q154" s="32">
        <v>0</v>
      </c>
      <c r="R154" s="32"/>
      <c r="S154" s="32"/>
      <c r="T154" s="32"/>
      <c r="U154"/>
      <c r="V154"/>
    </row>
    <row r="155" spans="3:22" x14ac:dyDescent="0.25">
      <c r="C155" s="24" t="s">
        <v>903</v>
      </c>
      <c r="D155" s="24" t="s">
        <v>904</v>
      </c>
      <c r="E155" s="24" t="s">
        <v>904</v>
      </c>
      <c r="F155" s="25">
        <v>5</v>
      </c>
      <c r="G155" s="24" t="s">
        <v>376</v>
      </c>
      <c r="H155" s="24" t="s">
        <v>46</v>
      </c>
      <c r="I155" s="24" t="s">
        <v>1030</v>
      </c>
      <c r="J155" s="24" t="s">
        <v>73</v>
      </c>
      <c r="K155" s="24" t="s">
        <v>47</v>
      </c>
      <c r="L155" s="24" t="s">
        <v>40</v>
      </c>
      <c r="M155" s="24" t="s">
        <v>514</v>
      </c>
      <c r="N155" s="24" t="s">
        <v>903</v>
      </c>
      <c r="O155" s="24" t="s">
        <v>42</v>
      </c>
      <c r="P155" s="16" t="s">
        <v>43</v>
      </c>
      <c r="Q155" s="32">
        <v>33435456.380666669</v>
      </c>
      <c r="R155" s="32"/>
      <c r="S155" s="32"/>
      <c r="T155" s="32"/>
      <c r="U155"/>
      <c r="V155"/>
    </row>
    <row r="156" spans="3:22" x14ac:dyDescent="0.25">
      <c r="C156" s="24" t="s">
        <v>107</v>
      </c>
      <c r="D156" s="24" t="s">
        <v>108</v>
      </c>
      <c r="E156" s="24" t="s">
        <v>108</v>
      </c>
      <c r="F156" s="25" t="s">
        <v>36</v>
      </c>
      <c r="G156" s="24" t="s">
        <v>37</v>
      </c>
      <c r="H156" s="24" t="s">
        <v>81</v>
      </c>
      <c r="I156" s="24" t="s">
        <v>1046</v>
      </c>
      <c r="J156" s="24" t="s">
        <v>89</v>
      </c>
      <c r="K156" s="24" t="s">
        <v>109</v>
      </c>
      <c r="L156" s="24" t="s">
        <v>91</v>
      </c>
      <c r="M156" s="24">
        <v>0</v>
      </c>
      <c r="N156" s="24" t="s">
        <v>107</v>
      </c>
      <c r="O156" s="24" t="s">
        <v>42</v>
      </c>
      <c r="P156" s="16" t="s">
        <v>43</v>
      </c>
      <c r="Q156" s="32">
        <v>0</v>
      </c>
      <c r="R156" s="32"/>
      <c r="S156" s="32"/>
      <c r="T156" s="32"/>
      <c r="U156"/>
      <c r="V156"/>
    </row>
    <row r="157" spans="3:22" x14ac:dyDescent="0.25">
      <c r="C157" s="24" t="s">
        <v>110</v>
      </c>
      <c r="D157" s="24" t="s">
        <v>111</v>
      </c>
      <c r="E157" s="24" t="s">
        <v>111</v>
      </c>
      <c r="F157" s="25" t="s">
        <v>36</v>
      </c>
      <c r="G157" s="24" t="s">
        <v>37</v>
      </c>
      <c r="H157" s="24" t="s">
        <v>81</v>
      </c>
      <c r="I157" s="24" t="s">
        <v>1046</v>
      </c>
      <c r="J157" s="24" t="s">
        <v>58</v>
      </c>
      <c r="K157" s="24" t="s">
        <v>59</v>
      </c>
      <c r="L157" s="24" t="s">
        <v>40</v>
      </c>
      <c r="M157" s="24">
        <v>0</v>
      </c>
      <c r="N157" s="24" t="s">
        <v>110</v>
      </c>
      <c r="O157" s="24" t="s">
        <v>42</v>
      </c>
      <c r="P157" s="16" t="s">
        <v>43</v>
      </c>
      <c r="Q157" s="32">
        <v>0</v>
      </c>
      <c r="R157" s="32"/>
      <c r="S157" s="32"/>
      <c r="T157" s="32"/>
      <c r="U157"/>
      <c r="V157"/>
    </row>
    <row r="158" spans="3:22" x14ac:dyDescent="0.25">
      <c r="C158" s="24" t="s">
        <v>112</v>
      </c>
      <c r="D158" s="24" t="s">
        <v>113</v>
      </c>
      <c r="E158" s="24" t="s">
        <v>114</v>
      </c>
      <c r="F158" s="25" t="s">
        <v>36</v>
      </c>
      <c r="G158" s="24" t="s">
        <v>37</v>
      </c>
      <c r="H158" s="24" t="s">
        <v>81</v>
      </c>
      <c r="I158" s="24" t="s">
        <v>1031</v>
      </c>
      <c r="J158" s="24" t="s">
        <v>73</v>
      </c>
      <c r="K158" s="24" t="s">
        <v>115</v>
      </c>
      <c r="L158" s="24" t="s">
        <v>116</v>
      </c>
      <c r="M158" s="24">
        <v>0</v>
      </c>
      <c r="N158" s="24" t="s">
        <v>112</v>
      </c>
      <c r="O158" s="24" t="s">
        <v>42</v>
      </c>
      <c r="P158" s="16" t="s">
        <v>43</v>
      </c>
      <c r="Q158" s="32">
        <v>0</v>
      </c>
      <c r="R158" s="32"/>
      <c r="S158" s="32"/>
      <c r="T158" s="32"/>
      <c r="U158"/>
      <c r="V158"/>
    </row>
    <row r="159" spans="3:22" x14ac:dyDescent="0.25">
      <c r="C159" s="24" t="s">
        <v>905</v>
      </c>
      <c r="D159" s="24" t="s">
        <v>906</v>
      </c>
      <c r="E159" s="24" t="s">
        <v>906</v>
      </c>
      <c r="F159" s="25">
        <v>5</v>
      </c>
      <c r="G159" s="24" t="s">
        <v>376</v>
      </c>
      <c r="H159" s="24" t="s">
        <v>81</v>
      </c>
      <c r="I159" s="24" t="s">
        <v>1030</v>
      </c>
      <c r="J159" s="24" t="s">
        <v>73</v>
      </c>
      <c r="K159" s="24" t="s">
        <v>907</v>
      </c>
      <c r="L159" s="24" t="s">
        <v>40</v>
      </c>
      <c r="M159" s="24" t="s">
        <v>514</v>
      </c>
      <c r="N159" s="24" t="s">
        <v>905</v>
      </c>
      <c r="O159" s="24" t="s">
        <v>42</v>
      </c>
      <c r="P159" s="16" t="s">
        <v>43</v>
      </c>
      <c r="Q159" s="32">
        <v>34481714.001999997</v>
      </c>
      <c r="R159" s="32"/>
      <c r="S159" s="32"/>
      <c r="T159" s="32"/>
      <c r="U159"/>
      <c r="V159"/>
    </row>
    <row r="160" spans="3:22" x14ac:dyDescent="0.25">
      <c r="C160" s="24" t="s">
        <v>685</v>
      </c>
      <c r="D160" s="24" t="s">
        <v>686</v>
      </c>
      <c r="E160" s="24" t="s">
        <v>686</v>
      </c>
      <c r="F160" s="25">
        <v>5</v>
      </c>
      <c r="G160" s="24" t="s">
        <v>376</v>
      </c>
      <c r="H160" s="24" t="s">
        <v>81</v>
      </c>
      <c r="I160" s="24" t="s">
        <v>1030</v>
      </c>
      <c r="J160" s="24" t="s">
        <v>248</v>
      </c>
      <c r="K160" s="24" t="s">
        <v>51</v>
      </c>
      <c r="L160" s="24" t="s">
        <v>40</v>
      </c>
      <c r="M160" s="3" t="s">
        <v>984</v>
      </c>
      <c r="N160" s="24" t="s">
        <v>685</v>
      </c>
      <c r="O160" s="24" t="s">
        <v>42</v>
      </c>
      <c r="P160" s="16" t="s">
        <v>43</v>
      </c>
      <c r="Q160" s="32">
        <v>27535126.699999999</v>
      </c>
      <c r="R160" s="32"/>
      <c r="S160" s="32"/>
      <c r="T160" s="32"/>
      <c r="U160"/>
      <c r="V160"/>
    </row>
    <row r="161" spans="3:22" x14ac:dyDescent="0.25">
      <c r="C161" s="24" t="s">
        <v>960</v>
      </c>
      <c r="D161" s="24" t="s">
        <v>961</v>
      </c>
      <c r="E161" s="24" t="s">
        <v>961</v>
      </c>
      <c r="F161" s="25">
        <v>5</v>
      </c>
      <c r="G161" s="24" t="s">
        <v>376</v>
      </c>
      <c r="H161" s="24" t="s">
        <v>81</v>
      </c>
      <c r="I161" s="24" t="s">
        <v>1030</v>
      </c>
      <c r="J161" s="24" t="s">
        <v>160</v>
      </c>
      <c r="K161" s="24" t="s">
        <v>353</v>
      </c>
      <c r="L161" s="24" t="s">
        <v>40</v>
      </c>
      <c r="M161" s="3" t="s">
        <v>984</v>
      </c>
      <c r="N161" s="24" t="s">
        <v>960</v>
      </c>
      <c r="O161" s="24" t="s">
        <v>42</v>
      </c>
      <c r="P161" s="16" t="s">
        <v>43</v>
      </c>
      <c r="Q161" s="32">
        <v>42013775.116000004</v>
      </c>
      <c r="R161" s="32"/>
      <c r="S161" s="32"/>
      <c r="T161" s="32"/>
      <c r="U161"/>
      <c r="V161"/>
    </row>
    <row r="162" spans="3:22" x14ac:dyDescent="0.25">
      <c r="C162" s="24" t="s">
        <v>754</v>
      </c>
      <c r="D162" s="24" t="s">
        <v>755</v>
      </c>
      <c r="E162" s="24" t="s">
        <v>755</v>
      </c>
      <c r="F162" s="25">
        <v>5</v>
      </c>
      <c r="G162" s="24" t="s">
        <v>376</v>
      </c>
      <c r="H162" s="24" t="s">
        <v>81</v>
      </c>
      <c r="I162" s="24" t="s">
        <v>1031</v>
      </c>
      <c r="J162" s="24" t="s">
        <v>1048</v>
      </c>
      <c r="K162" s="24" t="s">
        <v>279</v>
      </c>
      <c r="L162" s="24" t="s">
        <v>55</v>
      </c>
      <c r="M162" s="24" t="s">
        <v>378</v>
      </c>
      <c r="N162" s="24" t="s">
        <v>754</v>
      </c>
      <c r="O162" s="24" t="s">
        <v>42</v>
      </c>
      <c r="P162" s="16" t="s">
        <v>43</v>
      </c>
      <c r="Q162" s="32">
        <v>42472954.265333347</v>
      </c>
      <c r="R162" s="32"/>
      <c r="S162" s="32"/>
      <c r="T162" s="32"/>
      <c r="U162"/>
      <c r="V162"/>
    </row>
    <row r="163" spans="3:22" x14ac:dyDescent="0.25">
      <c r="C163" s="24" t="s">
        <v>872</v>
      </c>
      <c r="D163" s="24" t="s">
        <v>873</v>
      </c>
      <c r="E163" s="24" t="s">
        <v>874</v>
      </c>
      <c r="F163" s="25">
        <v>5</v>
      </c>
      <c r="G163" s="24" t="s">
        <v>376</v>
      </c>
      <c r="H163" s="24" t="s">
        <v>81</v>
      </c>
      <c r="I163" s="24" t="s">
        <v>1030</v>
      </c>
      <c r="J163" s="24" t="s">
        <v>132</v>
      </c>
      <c r="K163" s="24" t="s">
        <v>138</v>
      </c>
      <c r="L163" s="24" t="s">
        <v>40</v>
      </c>
      <c r="M163" s="24" t="s">
        <v>1035</v>
      </c>
      <c r="N163" s="24" t="s">
        <v>872</v>
      </c>
      <c r="O163" s="24" t="s">
        <v>42</v>
      </c>
      <c r="P163" s="16" t="s">
        <v>43</v>
      </c>
      <c r="Q163" s="32">
        <v>34459442.602483332</v>
      </c>
      <c r="R163" s="32"/>
      <c r="S163" s="32"/>
      <c r="T163" s="32"/>
      <c r="U163"/>
      <c r="V163"/>
    </row>
    <row r="164" spans="3:22" x14ac:dyDescent="0.25">
      <c r="C164" s="24" t="s">
        <v>117</v>
      </c>
      <c r="D164" s="24" t="s">
        <v>118</v>
      </c>
      <c r="E164" s="24" t="s">
        <v>118</v>
      </c>
      <c r="F164" s="25" t="s">
        <v>36</v>
      </c>
      <c r="G164" s="24" t="s">
        <v>37</v>
      </c>
      <c r="H164" s="24" t="s">
        <v>81</v>
      </c>
      <c r="I164" s="24" t="s">
        <v>1046</v>
      </c>
      <c r="J164" s="24">
        <v>0</v>
      </c>
      <c r="K164" s="24" t="s">
        <v>59</v>
      </c>
      <c r="L164" s="24" t="s">
        <v>40</v>
      </c>
      <c r="M164" s="24">
        <v>0</v>
      </c>
      <c r="N164" s="24" t="s">
        <v>117</v>
      </c>
      <c r="O164" s="24" t="s">
        <v>42</v>
      </c>
      <c r="P164" s="16" t="s">
        <v>43</v>
      </c>
      <c r="Q164" s="32">
        <v>0</v>
      </c>
      <c r="R164" s="32"/>
      <c r="S164" s="32"/>
      <c r="T164" s="32"/>
      <c r="U164"/>
      <c r="V164"/>
    </row>
    <row r="165" spans="3:22" x14ac:dyDescent="0.25">
      <c r="C165" s="24" t="s">
        <v>594</v>
      </c>
      <c r="D165" s="24" t="s">
        <v>595</v>
      </c>
      <c r="E165" s="24" t="s">
        <v>595</v>
      </c>
      <c r="F165" s="25">
        <v>5</v>
      </c>
      <c r="G165" s="24" t="s">
        <v>376</v>
      </c>
      <c r="H165" s="24" t="s">
        <v>81</v>
      </c>
      <c r="I165" s="24" t="s">
        <v>1030</v>
      </c>
      <c r="J165" s="24" t="s">
        <v>50</v>
      </c>
      <c r="K165" s="24" t="s">
        <v>596</v>
      </c>
      <c r="L165" s="24" t="s">
        <v>40</v>
      </c>
      <c r="M165" s="24" t="s">
        <v>514</v>
      </c>
      <c r="N165" s="24" t="s">
        <v>594</v>
      </c>
      <c r="O165" s="24" t="s">
        <v>42</v>
      </c>
      <c r="P165" s="16" t="s">
        <v>43</v>
      </c>
      <c r="Q165" s="32">
        <v>30190596.112666663</v>
      </c>
      <c r="R165" s="32"/>
      <c r="S165" s="32"/>
      <c r="T165" s="32"/>
      <c r="U165"/>
      <c r="V165"/>
    </row>
    <row r="166" spans="3:22" x14ac:dyDescent="0.25">
      <c r="C166" s="24" t="s">
        <v>119</v>
      </c>
      <c r="D166" s="24" t="s">
        <v>120</v>
      </c>
      <c r="E166" s="24" t="s">
        <v>120</v>
      </c>
      <c r="F166" s="25" t="s">
        <v>36</v>
      </c>
      <c r="G166" s="24" t="s">
        <v>37</v>
      </c>
      <c r="H166" s="24" t="s">
        <v>81</v>
      </c>
      <c r="I166" s="24" t="s">
        <v>1046</v>
      </c>
      <c r="J166" s="24" t="s">
        <v>63</v>
      </c>
      <c r="K166" s="24" t="s">
        <v>64</v>
      </c>
      <c r="L166" s="24" t="s">
        <v>40</v>
      </c>
      <c r="M166" s="24">
        <v>0</v>
      </c>
      <c r="N166" s="24" t="s">
        <v>119</v>
      </c>
      <c r="O166" s="24" t="s">
        <v>42</v>
      </c>
      <c r="P166" s="16" t="s">
        <v>43</v>
      </c>
      <c r="Q166" s="32">
        <v>0</v>
      </c>
      <c r="R166" s="32"/>
      <c r="S166" s="32"/>
      <c r="T166" s="32"/>
      <c r="U166"/>
      <c r="V166"/>
    </row>
    <row r="167" spans="3:22" x14ac:dyDescent="0.25">
      <c r="C167" s="24" t="s">
        <v>121</v>
      </c>
      <c r="D167" s="24" t="s">
        <v>122</v>
      </c>
      <c r="E167" s="24" t="s">
        <v>123</v>
      </c>
      <c r="F167" s="25" t="s">
        <v>36</v>
      </c>
      <c r="G167" s="24" t="s">
        <v>37</v>
      </c>
      <c r="H167" s="24" t="s">
        <v>81</v>
      </c>
      <c r="I167" s="24" t="s">
        <v>1046</v>
      </c>
      <c r="J167" s="24" t="s">
        <v>73</v>
      </c>
      <c r="K167" s="24" t="s">
        <v>122</v>
      </c>
      <c r="L167" s="24" t="s">
        <v>104</v>
      </c>
      <c r="M167" s="24">
        <v>0</v>
      </c>
      <c r="N167" s="24" t="s">
        <v>121</v>
      </c>
      <c r="O167" s="24" t="s">
        <v>42</v>
      </c>
      <c r="P167" s="16" t="s">
        <v>43</v>
      </c>
      <c r="Q167" s="32">
        <v>0</v>
      </c>
      <c r="R167" s="32"/>
      <c r="S167" s="32"/>
      <c r="T167" s="32"/>
      <c r="U167"/>
      <c r="V167"/>
    </row>
    <row r="168" spans="3:22" x14ac:dyDescent="0.25">
      <c r="C168" s="24" t="s">
        <v>124</v>
      </c>
      <c r="D168" s="24" t="s">
        <v>125</v>
      </c>
      <c r="E168" s="24" t="s">
        <v>125</v>
      </c>
      <c r="F168" s="25" t="s">
        <v>36</v>
      </c>
      <c r="G168" s="24" t="s">
        <v>37</v>
      </c>
      <c r="H168" s="24" t="s">
        <v>81</v>
      </c>
      <c r="I168" s="24" t="s">
        <v>1046</v>
      </c>
      <c r="J168" s="24">
        <v>0</v>
      </c>
      <c r="K168" s="24" t="s">
        <v>51</v>
      </c>
      <c r="L168" s="24" t="s">
        <v>40</v>
      </c>
      <c r="M168" s="24">
        <v>0</v>
      </c>
      <c r="N168" s="24" t="s">
        <v>124</v>
      </c>
      <c r="O168" s="24" t="s">
        <v>42</v>
      </c>
      <c r="P168" s="16" t="s">
        <v>43</v>
      </c>
      <c r="Q168" s="32">
        <v>0</v>
      </c>
      <c r="R168" s="32"/>
      <c r="S168" s="32"/>
      <c r="T168" s="32"/>
      <c r="U168"/>
      <c r="V168"/>
    </row>
    <row r="169" spans="3:22" x14ac:dyDescent="0.25">
      <c r="C169" s="24" t="s">
        <v>126</v>
      </c>
      <c r="D169" s="24" t="s">
        <v>127</v>
      </c>
      <c r="E169" s="24" t="s">
        <v>128</v>
      </c>
      <c r="F169" s="25" t="s">
        <v>36</v>
      </c>
      <c r="G169" s="24" t="s">
        <v>37</v>
      </c>
      <c r="H169" s="24" t="s">
        <v>81</v>
      </c>
      <c r="I169" s="24" t="s">
        <v>1046</v>
      </c>
      <c r="J169" s="24" t="s">
        <v>73</v>
      </c>
      <c r="K169" s="24" t="s">
        <v>129</v>
      </c>
      <c r="L169" s="24" t="s">
        <v>116</v>
      </c>
      <c r="M169" s="24">
        <v>0</v>
      </c>
      <c r="N169" s="24" t="s">
        <v>126</v>
      </c>
      <c r="O169" s="24" t="s">
        <v>42</v>
      </c>
      <c r="P169" s="16" t="s">
        <v>43</v>
      </c>
      <c r="Q169" s="32">
        <v>0</v>
      </c>
      <c r="R169" s="32"/>
      <c r="S169" s="32"/>
      <c r="T169" s="32"/>
      <c r="U169"/>
      <c r="V169"/>
    </row>
    <row r="170" spans="3:22" x14ac:dyDescent="0.25">
      <c r="C170" s="24" t="s">
        <v>546</v>
      </c>
      <c r="D170" s="24" t="s">
        <v>547</v>
      </c>
      <c r="E170" s="24" t="s">
        <v>547</v>
      </c>
      <c r="F170" s="25">
        <v>5</v>
      </c>
      <c r="G170" s="24" t="s">
        <v>376</v>
      </c>
      <c r="H170" s="24" t="s">
        <v>46</v>
      </c>
      <c r="I170" s="24" t="s">
        <v>1030</v>
      </c>
      <c r="J170" s="24" t="s">
        <v>100</v>
      </c>
      <c r="K170" s="24" t="s">
        <v>138</v>
      </c>
      <c r="L170" s="24" t="s">
        <v>40</v>
      </c>
      <c r="M170" s="24" t="s">
        <v>514</v>
      </c>
      <c r="N170" s="24" t="s">
        <v>546</v>
      </c>
      <c r="O170" s="24" t="s">
        <v>42</v>
      </c>
      <c r="P170" s="16" t="s">
        <v>43</v>
      </c>
      <c r="Q170" s="32">
        <v>30588526.674199998</v>
      </c>
      <c r="R170" s="32"/>
      <c r="S170" s="32"/>
      <c r="T170" s="32"/>
      <c r="U170"/>
      <c r="V170"/>
    </row>
    <row r="171" spans="3:22" x14ac:dyDescent="0.25">
      <c r="C171" s="24" t="s">
        <v>130</v>
      </c>
      <c r="D171" s="24" t="s">
        <v>131</v>
      </c>
      <c r="E171" s="24" t="s">
        <v>131</v>
      </c>
      <c r="F171" s="25" t="s">
        <v>36</v>
      </c>
      <c r="G171" s="24" t="s">
        <v>37</v>
      </c>
      <c r="H171" s="24" t="s">
        <v>81</v>
      </c>
      <c r="I171" s="24" t="s">
        <v>1046</v>
      </c>
      <c r="J171" s="24" t="s">
        <v>132</v>
      </c>
      <c r="K171" s="24" t="s">
        <v>133</v>
      </c>
      <c r="L171" s="24" t="s">
        <v>40</v>
      </c>
      <c r="M171" s="24">
        <v>0</v>
      </c>
      <c r="N171" s="24" t="s">
        <v>130</v>
      </c>
      <c r="O171" s="24" t="s">
        <v>42</v>
      </c>
      <c r="P171" s="16" t="s">
        <v>43</v>
      </c>
      <c r="Q171" s="32">
        <v>0</v>
      </c>
      <c r="R171" s="32"/>
      <c r="S171" s="32"/>
      <c r="T171" s="32"/>
      <c r="U171"/>
      <c r="V171"/>
    </row>
    <row r="172" spans="3:22" x14ac:dyDescent="0.25">
      <c r="C172" s="24" t="s">
        <v>134</v>
      </c>
      <c r="D172" s="24" t="s">
        <v>135</v>
      </c>
      <c r="E172" s="24" t="s">
        <v>135</v>
      </c>
      <c r="F172" s="25" t="s">
        <v>36</v>
      </c>
      <c r="G172" s="24" t="s">
        <v>37</v>
      </c>
      <c r="H172" s="24" t="s">
        <v>81</v>
      </c>
      <c r="I172" s="24" t="s">
        <v>1046</v>
      </c>
      <c r="J172" s="24" t="s">
        <v>132</v>
      </c>
      <c r="K172" s="24" t="s">
        <v>51</v>
      </c>
      <c r="L172" s="24" t="s">
        <v>40</v>
      </c>
      <c r="M172" s="24">
        <v>0</v>
      </c>
      <c r="N172" s="24" t="s">
        <v>134</v>
      </c>
      <c r="O172" s="24" t="s">
        <v>42</v>
      </c>
      <c r="P172" s="16" t="s">
        <v>43</v>
      </c>
      <c r="Q172" s="32">
        <v>0</v>
      </c>
      <c r="R172" s="32"/>
      <c r="S172" s="32"/>
      <c r="T172" s="32"/>
      <c r="U172"/>
      <c r="V172"/>
    </row>
    <row r="173" spans="3:22" x14ac:dyDescent="0.25">
      <c r="C173" s="24" t="s">
        <v>136</v>
      </c>
      <c r="D173" s="24" t="s">
        <v>137</v>
      </c>
      <c r="E173" s="24" t="s">
        <v>137</v>
      </c>
      <c r="F173" s="25" t="s">
        <v>36</v>
      </c>
      <c r="G173" s="24" t="s">
        <v>37</v>
      </c>
      <c r="H173" s="24" t="s">
        <v>88</v>
      </c>
      <c r="I173" s="24" t="s">
        <v>1046</v>
      </c>
      <c r="J173" s="24" t="s">
        <v>58</v>
      </c>
      <c r="K173" s="24" t="s">
        <v>138</v>
      </c>
      <c r="L173" s="24" t="s">
        <v>40</v>
      </c>
      <c r="M173" s="24">
        <v>0</v>
      </c>
      <c r="N173" s="24" t="s">
        <v>136</v>
      </c>
      <c r="O173" s="24" t="s">
        <v>42</v>
      </c>
      <c r="P173" s="16" t="s">
        <v>43</v>
      </c>
      <c r="Q173" s="32">
        <v>0</v>
      </c>
      <c r="R173" s="32"/>
      <c r="S173" s="32"/>
      <c r="T173" s="32"/>
      <c r="U173"/>
      <c r="V173"/>
    </row>
    <row r="174" spans="3:22" x14ac:dyDescent="0.25">
      <c r="C174" s="24" t="s">
        <v>139</v>
      </c>
      <c r="D174" s="24" t="s">
        <v>140</v>
      </c>
      <c r="E174" s="24" t="s">
        <v>140</v>
      </c>
      <c r="F174" s="25" t="s">
        <v>36</v>
      </c>
      <c r="G174" s="24" t="s">
        <v>37</v>
      </c>
      <c r="H174" s="24" t="s">
        <v>88</v>
      </c>
      <c r="I174" s="24" t="s">
        <v>1046</v>
      </c>
      <c r="J174" s="24" t="s">
        <v>89</v>
      </c>
      <c r="K174" s="24" t="s">
        <v>109</v>
      </c>
      <c r="L174" s="24" t="s">
        <v>91</v>
      </c>
      <c r="M174" s="24">
        <v>0</v>
      </c>
      <c r="N174" s="24" t="s">
        <v>139</v>
      </c>
      <c r="O174" s="24" t="s">
        <v>42</v>
      </c>
      <c r="P174" s="16" t="s">
        <v>43</v>
      </c>
      <c r="Q174" s="32">
        <v>0</v>
      </c>
      <c r="R174" s="32"/>
      <c r="S174" s="32"/>
      <c r="T174" s="32"/>
      <c r="U174"/>
      <c r="V174"/>
    </row>
    <row r="175" spans="3:22" x14ac:dyDescent="0.25">
      <c r="C175" s="24" t="s">
        <v>411</v>
      </c>
      <c r="D175" s="24" t="s">
        <v>412</v>
      </c>
      <c r="E175" s="24" t="s">
        <v>412</v>
      </c>
      <c r="F175" s="25">
        <v>5</v>
      </c>
      <c r="G175" s="24" t="s">
        <v>376</v>
      </c>
      <c r="H175" s="24" t="s">
        <v>46</v>
      </c>
      <c r="I175" s="24" t="s">
        <v>1031</v>
      </c>
      <c r="J175" s="24" t="s">
        <v>63</v>
      </c>
      <c r="K175" s="24" t="s">
        <v>138</v>
      </c>
      <c r="L175" s="24" t="s">
        <v>40</v>
      </c>
      <c r="M175" s="24" t="s">
        <v>378</v>
      </c>
      <c r="N175" s="24" t="s">
        <v>411</v>
      </c>
      <c r="O175" s="24" t="s">
        <v>42</v>
      </c>
      <c r="P175" s="16" t="s">
        <v>440</v>
      </c>
      <c r="Q175" s="32">
        <v>38472048.854316659</v>
      </c>
      <c r="R175" s="32"/>
      <c r="S175" s="32"/>
      <c r="T175" s="32"/>
      <c r="U175"/>
      <c r="V175"/>
    </row>
    <row r="176" spans="3:22" x14ac:dyDescent="0.25">
      <c r="C176" s="24" t="s">
        <v>578</v>
      </c>
      <c r="D176" s="24" t="s">
        <v>579</v>
      </c>
      <c r="E176" s="24" t="s">
        <v>579</v>
      </c>
      <c r="F176" s="25">
        <v>5</v>
      </c>
      <c r="G176" s="24" t="s">
        <v>376</v>
      </c>
      <c r="H176" s="24" t="s">
        <v>46</v>
      </c>
      <c r="I176" s="24" t="s">
        <v>1030</v>
      </c>
      <c r="J176" s="24" t="s">
        <v>331</v>
      </c>
      <c r="K176" s="24" t="s">
        <v>138</v>
      </c>
      <c r="L176" s="24" t="s">
        <v>40</v>
      </c>
      <c r="M176" s="3" t="s">
        <v>984</v>
      </c>
      <c r="N176" s="24" t="s">
        <v>578</v>
      </c>
      <c r="O176" s="24" t="s">
        <v>42</v>
      </c>
      <c r="P176" s="16" t="s">
        <v>43</v>
      </c>
      <c r="Q176" s="32">
        <v>32337537.440033324</v>
      </c>
      <c r="R176" s="32"/>
      <c r="S176" s="32"/>
      <c r="T176" s="32"/>
      <c r="U176"/>
      <c r="V176"/>
    </row>
    <row r="177" spans="3:22" x14ac:dyDescent="0.25">
      <c r="C177" s="24" t="s">
        <v>908</v>
      </c>
      <c r="D177" s="24" t="s">
        <v>909</v>
      </c>
      <c r="E177" s="24" t="s">
        <v>910</v>
      </c>
      <c r="F177" s="25">
        <v>5</v>
      </c>
      <c r="G177" s="24" t="s">
        <v>37</v>
      </c>
      <c r="H177" s="24" t="s">
        <v>81</v>
      </c>
      <c r="I177" s="24" t="s">
        <v>1046</v>
      </c>
      <c r="J177" s="24" t="s">
        <v>73</v>
      </c>
      <c r="K177" s="24" t="s">
        <v>911</v>
      </c>
      <c r="L177" s="24" t="s">
        <v>40</v>
      </c>
      <c r="M177" s="24" t="s">
        <v>514</v>
      </c>
      <c r="N177" s="24" t="s">
        <v>908</v>
      </c>
      <c r="O177" s="24" t="s">
        <v>42</v>
      </c>
      <c r="P177" s="16" t="s">
        <v>43</v>
      </c>
      <c r="Q177" s="32">
        <v>0</v>
      </c>
      <c r="R177" s="32"/>
      <c r="S177" s="32"/>
      <c r="T177" s="32"/>
      <c r="U177"/>
      <c r="V177"/>
    </row>
    <row r="178" spans="3:22" x14ac:dyDescent="0.25">
      <c r="C178" s="24" t="s">
        <v>413</v>
      </c>
      <c r="D178" s="24" t="s">
        <v>414</v>
      </c>
      <c r="E178" s="24" t="s">
        <v>414</v>
      </c>
      <c r="F178" s="25">
        <v>5</v>
      </c>
      <c r="G178" s="24" t="s">
        <v>376</v>
      </c>
      <c r="H178" s="24" t="s">
        <v>46</v>
      </c>
      <c r="I178" s="24" t="s">
        <v>1031</v>
      </c>
      <c r="J178" s="24" t="s">
        <v>63</v>
      </c>
      <c r="K178" s="24" t="s">
        <v>138</v>
      </c>
      <c r="L178" s="24" t="s">
        <v>40</v>
      </c>
      <c r="M178" s="24" t="s">
        <v>378</v>
      </c>
      <c r="N178" s="24" t="s">
        <v>413</v>
      </c>
      <c r="O178" s="24" t="s">
        <v>42</v>
      </c>
      <c r="P178" s="16" t="s">
        <v>43</v>
      </c>
      <c r="Q178" s="32">
        <v>37612609.331399985</v>
      </c>
      <c r="R178" s="32"/>
      <c r="S178" s="32"/>
      <c r="T178" s="32"/>
      <c r="U178"/>
      <c r="V178"/>
    </row>
    <row r="179" spans="3:22" x14ac:dyDescent="0.25">
      <c r="C179" s="24" t="s">
        <v>580</v>
      </c>
      <c r="D179" s="24" t="s">
        <v>581</v>
      </c>
      <c r="E179" s="24" t="s">
        <v>581</v>
      </c>
      <c r="F179" s="25">
        <v>5</v>
      </c>
      <c r="G179" s="24" t="s">
        <v>376</v>
      </c>
      <c r="H179" s="24" t="s">
        <v>46</v>
      </c>
      <c r="I179" s="24" t="s">
        <v>1030</v>
      </c>
      <c r="J179" s="24" t="s">
        <v>331</v>
      </c>
      <c r="K179" s="24" t="s">
        <v>138</v>
      </c>
      <c r="L179" s="24" t="s">
        <v>40</v>
      </c>
      <c r="M179" s="3" t="s">
        <v>984</v>
      </c>
      <c r="N179" s="24" t="s">
        <v>580</v>
      </c>
      <c r="O179" s="24" t="s">
        <v>42</v>
      </c>
      <c r="P179" s="16" t="s">
        <v>43</v>
      </c>
      <c r="Q179" s="32">
        <v>35547744.975466661</v>
      </c>
      <c r="R179" s="32"/>
      <c r="S179" s="32"/>
      <c r="T179" s="32"/>
      <c r="U179"/>
      <c r="V179"/>
    </row>
    <row r="180" spans="3:22" x14ac:dyDescent="0.25">
      <c r="C180" s="24" t="s">
        <v>756</v>
      </c>
      <c r="D180" s="24" t="s">
        <v>757</v>
      </c>
      <c r="E180" s="24" t="s">
        <v>757</v>
      </c>
      <c r="F180" s="25">
        <v>5</v>
      </c>
      <c r="G180" s="24" t="s">
        <v>376</v>
      </c>
      <c r="H180" s="24" t="s">
        <v>46</v>
      </c>
      <c r="I180" s="24" t="s">
        <v>1031</v>
      </c>
      <c r="J180" s="24" t="s">
        <v>1048</v>
      </c>
      <c r="K180" s="24" t="s">
        <v>54</v>
      </c>
      <c r="L180" s="24" t="s">
        <v>55</v>
      </c>
      <c r="M180" s="24" t="s">
        <v>378</v>
      </c>
      <c r="N180" s="24" t="s">
        <v>756</v>
      </c>
      <c r="O180" s="24" t="s">
        <v>42</v>
      </c>
      <c r="P180" s="16" t="s">
        <v>43</v>
      </c>
      <c r="Q180" s="32">
        <v>38011053.267333336</v>
      </c>
      <c r="R180" s="32"/>
      <c r="S180" s="32"/>
      <c r="T180" s="32"/>
      <c r="U180"/>
      <c r="V180"/>
    </row>
    <row r="181" spans="3:22" x14ac:dyDescent="0.25">
      <c r="C181" s="24" t="s">
        <v>812</v>
      </c>
      <c r="D181" s="24" t="s">
        <v>813</v>
      </c>
      <c r="E181" s="24" t="s">
        <v>813</v>
      </c>
      <c r="F181" s="25">
        <v>5</v>
      </c>
      <c r="G181" s="24" t="s">
        <v>376</v>
      </c>
      <c r="H181" s="24" t="s">
        <v>46</v>
      </c>
      <c r="I181" s="24" t="s">
        <v>1030</v>
      </c>
      <c r="J181" s="24" t="s">
        <v>146</v>
      </c>
      <c r="K181" s="24" t="s">
        <v>59</v>
      </c>
      <c r="L181" s="24" t="s">
        <v>40</v>
      </c>
      <c r="M181" s="24" t="s">
        <v>1035</v>
      </c>
      <c r="N181" s="24" t="s">
        <v>812</v>
      </c>
      <c r="O181" s="24" t="s">
        <v>42</v>
      </c>
      <c r="P181" s="16" t="s">
        <v>43</v>
      </c>
      <c r="Q181" s="32">
        <v>35960893.362733319</v>
      </c>
      <c r="R181" s="32"/>
      <c r="S181" s="32"/>
      <c r="T181" s="32"/>
      <c r="U181"/>
      <c r="V181"/>
    </row>
    <row r="182" spans="3:22" x14ac:dyDescent="0.25">
      <c r="C182" s="24" t="s">
        <v>141</v>
      </c>
      <c r="D182" s="24" t="s">
        <v>142</v>
      </c>
      <c r="E182" s="24" t="s">
        <v>142</v>
      </c>
      <c r="F182" s="25" t="s">
        <v>36</v>
      </c>
      <c r="G182" s="24" t="s">
        <v>37</v>
      </c>
      <c r="H182" s="24" t="s">
        <v>81</v>
      </c>
      <c r="I182" s="24" t="s">
        <v>1046</v>
      </c>
      <c r="J182" s="24">
        <v>0</v>
      </c>
      <c r="K182" s="24" t="s">
        <v>143</v>
      </c>
      <c r="L182" s="24" t="s">
        <v>40</v>
      </c>
      <c r="M182" s="24">
        <v>0</v>
      </c>
      <c r="N182" s="24" t="s">
        <v>141</v>
      </c>
      <c r="O182" s="24" t="s">
        <v>42</v>
      </c>
      <c r="P182" s="16" t="s">
        <v>43</v>
      </c>
      <c r="Q182" s="32">
        <v>0</v>
      </c>
      <c r="R182" s="32"/>
      <c r="S182" s="32"/>
      <c r="T182" s="32"/>
      <c r="U182"/>
      <c r="V182"/>
    </row>
    <row r="183" spans="3:22" x14ac:dyDescent="0.25">
      <c r="C183" s="24" t="s">
        <v>437</v>
      </c>
      <c r="D183" s="24" t="s">
        <v>438</v>
      </c>
      <c r="E183" s="24" t="s">
        <v>439</v>
      </c>
      <c r="F183" s="25">
        <v>5</v>
      </c>
      <c r="G183" s="24" t="s">
        <v>376</v>
      </c>
      <c r="H183" s="24" t="s">
        <v>81</v>
      </c>
      <c r="I183" s="24" t="s">
        <v>1030</v>
      </c>
      <c r="J183" s="24" t="s">
        <v>94</v>
      </c>
      <c r="K183" s="24" t="s">
        <v>64</v>
      </c>
      <c r="L183" s="24" t="s">
        <v>40</v>
      </c>
      <c r="M183" s="24" t="s">
        <v>1035</v>
      </c>
      <c r="N183" s="24" t="s">
        <v>437</v>
      </c>
      <c r="O183" s="24" t="s">
        <v>42</v>
      </c>
      <c r="P183" s="16" t="s">
        <v>43</v>
      </c>
      <c r="Q183" s="32">
        <v>26982171.239999998</v>
      </c>
      <c r="R183" s="32"/>
      <c r="S183" s="32"/>
      <c r="T183" s="32"/>
      <c r="U183"/>
      <c r="V183"/>
    </row>
    <row r="184" spans="3:22" x14ac:dyDescent="0.25">
      <c r="C184" s="24" t="s">
        <v>497</v>
      </c>
      <c r="D184" s="24" t="s">
        <v>498</v>
      </c>
      <c r="E184" s="24" t="s">
        <v>499</v>
      </c>
      <c r="F184" s="25">
        <v>5</v>
      </c>
      <c r="G184" s="24" t="s">
        <v>376</v>
      </c>
      <c r="H184" s="24" t="s">
        <v>46</v>
      </c>
      <c r="I184" s="24" t="s">
        <v>1030</v>
      </c>
      <c r="J184" s="24" t="s">
        <v>466</v>
      </c>
      <c r="K184" s="24" t="s">
        <v>51</v>
      </c>
      <c r="L184" s="24" t="s">
        <v>40</v>
      </c>
      <c r="M184" s="24" t="s">
        <v>1035</v>
      </c>
      <c r="N184" s="24" t="s">
        <v>497</v>
      </c>
      <c r="O184" s="24" t="s">
        <v>42</v>
      </c>
      <c r="P184" s="16" t="s">
        <v>43</v>
      </c>
      <c r="Q184" s="32">
        <v>30400702.651999995</v>
      </c>
      <c r="R184" s="32"/>
      <c r="S184" s="32"/>
      <c r="T184" s="32"/>
      <c r="U184"/>
      <c r="V184"/>
    </row>
    <row r="185" spans="3:22" x14ac:dyDescent="0.25">
      <c r="C185" s="24" t="s">
        <v>144</v>
      </c>
      <c r="D185" s="24" t="s">
        <v>145</v>
      </c>
      <c r="E185" s="24" t="s">
        <v>145</v>
      </c>
      <c r="F185" s="25" t="s">
        <v>36</v>
      </c>
      <c r="G185" s="24" t="s">
        <v>37</v>
      </c>
      <c r="H185" s="24" t="s">
        <v>46</v>
      </c>
      <c r="I185" s="24" t="s">
        <v>1046</v>
      </c>
      <c r="J185" s="24" t="s">
        <v>146</v>
      </c>
      <c r="K185" s="24" t="s">
        <v>138</v>
      </c>
      <c r="L185" s="24" t="s">
        <v>40</v>
      </c>
      <c r="M185" s="24">
        <v>0</v>
      </c>
      <c r="N185" s="24" t="s">
        <v>144</v>
      </c>
      <c r="O185" s="24" t="s">
        <v>42</v>
      </c>
      <c r="P185" s="16" t="s">
        <v>43</v>
      </c>
      <c r="Q185" s="32">
        <v>0</v>
      </c>
      <c r="R185" s="32"/>
      <c r="S185" s="32"/>
      <c r="T185" s="32"/>
      <c r="U185"/>
      <c r="V185"/>
    </row>
    <row r="186" spans="3:22" x14ac:dyDescent="0.25">
      <c r="C186" s="24" t="s">
        <v>784</v>
      </c>
      <c r="D186" s="24" t="s">
        <v>785</v>
      </c>
      <c r="E186" s="24" t="s">
        <v>785</v>
      </c>
      <c r="F186" s="25">
        <v>5.45</v>
      </c>
      <c r="G186" s="24" t="s">
        <v>376</v>
      </c>
      <c r="H186" s="24" t="s">
        <v>46</v>
      </c>
      <c r="I186" s="24" t="s">
        <v>1031</v>
      </c>
      <c r="J186" s="24" t="s">
        <v>89</v>
      </c>
      <c r="K186" s="24" t="s">
        <v>109</v>
      </c>
      <c r="L186" s="24" t="s">
        <v>91</v>
      </c>
      <c r="M186" s="24" t="s">
        <v>378</v>
      </c>
      <c r="N186" s="24" t="s">
        <v>784</v>
      </c>
      <c r="O186" s="24" t="s">
        <v>42</v>
      </c>
      <c r="P186" s="16" t="s">
        <v>43</v>
      </c>
      <c r="Q186" s="32">
        <v>40372029.175333329</v>
      </c>
      <c r="R186" s="32"/>
      <c r="S186" s="32"/>
      <c r="T186" s="32"/>
      <c r="U186"/>
      <c r="V186"/>
    </row>
    <row r="187" spans="3:22" x14ac:dyDescent="0.25">
      <c r="C187" s="24" t="s">
        <v>147</v>
      </c>
      <c r="D187" s="24" t="s">
        <v>148</v>
      </c>
      <c r="E187" s="24" t="s">
        <v>148</v>
      </c>
      <c r="F187" s="25" t="s">
        <v>36</v>
      </c>
      <c r="G187" s="24" t="s">
        <v>37</v>
      </c>
      <c r="H187" s="24" t="s">
        <v>46</v>
      </c>
      <c r="I187" s="24" t="s">
        <v>1046</v>
      </c>
      <c r="J187" s="24" t="s">
        <v>50</v>
      </c>
      <c r="K187" s="24" t="s">
        <v>51</v>
      </c>
      <c r="L187" s="24" t="s">
        <v>40</v>
      </c>
      <c r="M187" s="24">
        <v>0</v>
      </c>
      <c r="N187" s="24" t="s">
        <v>147</v>
      </c>
      <c r="O187" s="24" t="s">
        <v>42</v>
      </c>
      <c r="P187" s="16" t="s">
        <v>43</v>
      </c>
      <c r="Q187" s="32">
        <v>0</v>
      </c>
      <c r="R187" s="32"/>
      <c r="S187" s="32"/>
      <c r="T187" s="32"/>
      <c r="U187"/>
      <c r="V187"/>
    </row>
    <row r="188" spans="3:22" x14ac:dyDescent="0.25">
      <c r="C188" s="24" t="s">
        <v>149</v>
      </c>
      <c r="D188" s="24" t="s">
        <v>150</v>
      </c>
      <c r="E188" s="24" t="s">
        <v>150</v>
      </c>
      <c r="F188" s="25" t="s">
        <v>36</v>
      </c>
      <c r="G188" s="24" t="s">
        <v>37</v>
      </c>
      <c r="H188" s="24" t="s">
        <v>81</v>
      </c>
      <c r="I188" s="24" t="s">
        <v>1046</v>
      </c>
      <c r="J188" s="24" t="s">
        <v>100</v>
      </c>
      <c r="K188" s="24" t="s">
        <v>59</v>
      </c>
      <c r="L188" s="24" t="s">
        <v>40</v>
      </c>
      <c r="M188" s="24">
        <v>0</v>
      </c>
      <c r="N188" s="24" t="s">
        <v>149</v>
      </c>
      <c r="O188" s="24" t="s">
        <v>42</v>
      </c>
      <c r="P188" s="16" t="s">
        <v>43</v>
      </c>
      <c r="Q188" s="32">
        <v>0</v>
      </c>
      <c r="R188" s="32"/>
      <c r="S188" s="32"/>
      <c r="T188" s="32"/>
      <c r="U188"/>
      <c r="V188"/>
    </row>
    <row r="189" spans="3:22" x14ac:dyDescent="0.25">
      <c r="C189" s="24" t="s">
        <v>151</v>
      </c>
      <c r="D189" s="24" t="s">
        <v>152</v>
      </c>
      <c r="E189" s="24" t="s">
        <v>152</v>
      </c>
      <c r="F189" s="25" t="s">
        <v>36</v>
      </c>
      <c r="G189" s="24" t="s">
        <v>37</v>
      </c>
      <c r="H189" s="24" t="s">
        <v>88</v>
      </c>
      <c r="I189" s="24" t="s">
        <v>1046</v>
      </c>
      <c r="J189" s="24" t="s">
        <v>132</v>
      </c>
      <c r="K189" s="24" t="s">
        <v>133</v>
      </c>
      <c r="L189" s="24" t="s">
        <v>40</v>
      </c>
      <c r="M189" s="24">
        <v>0</v>
      </c>
      <c r="N189" s="24" t="s">
        <v>151</v>
      </c>
      <c r="O189" s="24" t="s">
        <v>42</v>
      </c>
      <c r="P189" s="16" t="s">
        <v>43</v>
      </c>
      <c r="Q189" s="32">
        <v>0</v>
      </c>
      <c r="R189" s="32"/>
      <c r="S189" s="32"/>
      <c r="T189" s="32"/>
      <c r="U189"/>
      <c r="V189"/>
    </row>
    <row r="190" spans="3:22" x14ac:dyDescent="0.25">
      <c r="C190" s="24" t="s">
        <v>786</v>
      </c>
      <c r="D190" s="24" t="s">
        <v>787</v>
      </c>
      <c r="E190" s="24" t="s">
        <v>787</v>
      </c>
      <c r="F190" s="25">
        <v>5</v>
      </c>
      <c r="G190" s="24" t="s">
        <v>376</v>
      </c>
      <c r="H190" s="24" t="s">
        <v>81</v>
      </c>
      <c r="I190" s="24" t="s">
        <v>1031</v>
      </c>
      <c r="J190" s="24" t="s">
        <v>89</v>
      </c>
      <c r="K190" s="24" t="s">
        <v>109</v>
      </c>
      <c r="L190" s="24" t="s">
        <v>91</v>
      </c>
      <c r="M190" s="24" t="s">
        <v>378</v>
      </c>
      <c r="N190" s="24" t="s">
        <v>786</v>
      </c>
      <c r="O190" s="24" t="s">
        <v>42</v>
      </c>
      <c r="P190" s="16" t="s">
        <v>43</v>
      </c>
      <c r="Q190" s="32">
        <v>35450930.615333326</v>
      </c>
      <c r="R190" s="32"/>
      <c r="S190" s="32"/>
      <c r="T190" s="32"/>
      <c r="U190"/>
      <c r="V190"/>
    </row>
    <row r="191" spans="3:22" x14ac:dyDescent="0.25">
      <c r="C191" s="24" t="s">
        <v>582</v>
      </c>
      <c r="D191" s="24" t="s">
        <v>583</v>
      </c>
      <c r="E191" s="24" t="s">
        <v>583</v>
      </c>
      <c r="F191" s="25">
        <v>5</v>
      </c>
      <c r="G191" s="24" t="s">
        <v>376</v>
      </c>
      <c r="H191" s="24" t="s">
        <v>46</v>
      </c>
      <c r="I191" s="24" t="s">
        <v>1030</v>
      </c>
      <c r="J191" s="24" t="s">
        <v>331</v>
      </c>
      <c r="K191" s="24" t="s">
        <v>138</v>
      </c>
      <c r="L191" s="24" t="s">
        <v>40</v>
      </c>
      <c r="M191" s="3" t="s">
        <v>984</v>
      </c>
      <c r="N191" s="24" t="s">
        <v>582</v>
      </c>
      <c r="O191" s="24" t="s">
        <v>42</v>
      </c>
      <c r="P191" s="16" t="s">
        <v>43</v>
      </c>
      <c r="Q191" s="32">
        <v>57160529.958616666</v>
      </c>
      <c r="R191" s="32"/>
      <c r="S191" s="32"/>
      <c r="T191" s="32"/>
      <c r="U191"/>
      <c r="V191"/>
    </row>
    <row r="192" spans="3:22" x14ac:dyDescent="0.25">
      <c r="C192" s="24" t="s">
        <v>714</v>
      </c>
      <c r="D192" s="24" t="s">
        <v>715</v>
      </c>
      <c r="E192" s="24" t="s">
        <v>715</v>
      </c>
      <c r="F192" s="25">
        <v>5</v>
      </c>
      <c r="G192" s="24" t="s">
        <v>376</v>
      </c>
      <c r="H192" s="24" t="s">
        <v>46</v>
      </c>
      <c r="I192" s="24" t="s">
        <v>1031</v>
      </c>
      <c r="J192" s="24" t="s">
        <v>84</v>
      </c>
      <c r="K192" s="24" t="s">
        <v>54</v>
      </c>
      <c r="L192" s="24" t="s">
        <v>55</v>
      </c>
      <c r="M192" s="24" t="s">
        <v>378</v>
      </c>
      <c r="N192" s="24" t="s">
        <v>714</v>
      </c>
      <c r="O192" s="24" t="s">
        <v>42</v>
      </c>
      <c r="P192" s="16" t="s">
        <v>43</v>
      </c>
      <c r="Q192" s="32">
        <v>36845441.277999997</v>
      </c>
      <c r="R192" s="32"/>
      <c r="S192" s="32"/>
      <c r="T192" s="32"/>
      <c r="U192"/>
      <c r="V192"/>
    </row>
    <row r="193" spans="3:22" x14ac:dyDescent="0.25">
      <c r="C193" s="24" t="s">
        <v>153</v>
      </c>
      <c r="D193" s="24" t="s">
        <v>154</v>
      </c>
      <c r="E193" s="24" t="s">
        <v>155</v>
      </c>
      <c r="F193" s="25" t="s">
        <v>36</v>
      </c>
      <c r="G193" s="24" t="s">
        <v>37</v>
      </c>
      <c r="H193" s="24" t="s">
        <v>81</v>
      </c>
      <c r="I193" s="24" t="s">
        <v>1046</v>
      </c>
      <c r="J193" s="24" t="s">
        <v>84</v>
      </c>
      <c r="K193" s="24" t="s">
        <v>54</v>
      </c>
      <c r="L193" s="24" t="s">
        <v>55</v>
      </c>
      <c r="M193" s="24">
        <v>0</v>
      </c>
      <c r="N193" s="24" t="s">
        <v>153</v>
      </c>
      <c r="O193" s="24" t="s">
        <v>42</v>
      </c>
      <c r="P193" s="16" t="s">
        <v>43</v>
      </c>
      <c r="Q193" s="32">
        <v>0</v>
      </c>
      <c r="R193" s="32"/>
      <c r="S193" s="32"/>
      <c r="T193" s="32"/>
      <c r="U193"/>
      <c r="V193"/>
    </row>
    <row r="194" spans="3:22" x14ac:dyDescent="0.25">
      <c r="C194" s="24" t="s">
        <v>912</v>
      </c>
      <c r="D194" s="24" t="s">
        <v>913</v>
      </c>
      <c r="E194" s="24" t="s">
        <v>913</v>
      </c>
      <c r="F194" s="25">
        <v>5</v>
      </c>
      <c r="G194" s="24" t="s">
        <v>376</v>
      </c>
      <c r="H194" s="24" t="s">
        <v>81</v>
      </c>
      <c r="I194" s="24" t="s">
        <v>1030</v>
      </c>
      <c r="J194" s="24" t="s">
        <v>73</v>
      </c>
      <c r="K194" s="24" t="s">
        <v>914</v>
      </c>
      <c r="L194" s="24" t="s">
        <v>40</v>
      </c>
      <c r="M194" s="24" t="s">
        <v>514</v>
      </c>
      <c r="N194" s="24" t="s">
        <v>912</v>
      </c>
      <c r="O194" s="24" t="s">
        <v>42</v>
      </c>
      <c r="P194" s="16" t="s">
        <v>43</v>
      </c>
      <c r="Q194" s="32">
        <v>30271978.990000002</v>
      </c>
      <c r="R194" s="32"/>
      <c r="S194" s="32"/>
      <c r="T194" s="32"/>
      <c r="U194"/>
      <c r="V194"/>
    </row>
    <row r="195" spans="3:22" x14ac:dyDescent="0.25">
      <c r="C195" s="24" t="s">
        <v>500</v>
      </c>
      <c r="D195" s="24" t="s">
        <v>501</v>
      </c>
      <c r="E195" s="24" t="s">
        <v>501</v>
      </c>
      <c r="F195" s="25">
        <v>5</v>
      </c>
      <c r="G195" s="24" t="s">
        <v>376</v>
      </c>
      <c r="H195" s="24" t="s">
        <v>46</v>
      </c>
      <c r="I195" s="24" t="s">
        <v>1030</v>
      </c>
      <c r="J195" s="24" t="s">
        <v>466</v>
      </c>
      <c r="K195" s="24" t="s">
        <v>51</v>
      </c>
      <c r="L195" s="24" t="s">
        <v>40</v>
      </c>
      <c r="M195" s="24" t="s">
        <v>1035</v>
      </c>
      <c r="N195" s="24" t="s">
        <v>500</v>
      </c>
      <c r="O195" s="24" t="s">
        <v>42</v>
      </c>
      <c r="P195" s="16" t="s">
        <v>43</v>
      </c>
      <c r="Q195" s="32">
        <v>44476443.185199998</v>
      </c>
      <c r="R195" s="32"/>
      <c r="S195" s="32"/>
      <c r="T195" s="32"/>
      <c r="U195"/>
      <c r="V195"/>
    </row>
    <row r="196" spans="3:22" x14ac:dyDescent="0.25">
      <c r="C196" s="24" t="s">
        <v>441</v>
      </c>
      <c r="D196" s="24" t="s">
        <v>442</v>
      </c>
      <c r="E196" s="24" t="s">
        <v>442</v>
      </c>
      <c r="F196" s="25">
        <v>5</v>
      </c>
      <c r="G196" s="24" t="s">
        <v>376</v>
      </c>
      <c r="H196" s="24" t="s">
        <v>46</v>
      </c>
      <c r="I196" s="24" t="s">
        <v>1030</v>
      </c>
      <c r="J196" s="24" t="s">
        <v>94</v>
      </c>
      <c r="K196" s="24" t="s">
        <v>64</v>
      </c>
      <c r="L196" s="24" t="s">
        <v>40</v>
      </c>
      <c r="M196" s="24" t="s">
        <v>1035</v>
      </c>
      <c r="N196" s="24" t="s">
        <v>441</v>
      </c>
      <c r="O196" s="24" t="s">
        <v>42</v>
      </c>
      <c r="P196" s="16" t="s">
        <v>440</v>
      </c>
      <c r="Q196" s="32">
        <v>33738708.582666658</v>
      </c>
      <c r="R196" s="32"/>
      <c r="S196" s="32"/>
      <c r="T196" s="32"/>
      <c r="U196"/>
      <c r="V196"/>
    </row>
    <row r="197" spans="3:22" x14ac:dyDescent="0.25">
      <c r="C197" s="24" t="s">
        <v>156</v>
      </c>
      <c r="D197" s="24" t="s">
        <v>157</v>
      </c>
      <c r="E197" s="24" t="s">
        <v>157</v>
      </c>
      <c r="F197" s="25" t="s">
        <v>36</v>
      </c>
      <c r="G197" s="24" t="s">
        <v>37</v>
      </c>
      <c r="H197" s="24" t="s">
        <v>46</v>
      </c>
      <c r="I197" s="24" t="s">
        <v>1046</v>
      </c>
      <c r="J197" s="24">
        <v>0</v>
      </c>
      <c r="K197" s="24" t="s">
        <v>51</v>
      </c>
      <c r="L197" s="24" t="s">
        <v>40</v>
      </c>
      <c r="M197" s="24">
        <v>0</v>
      </c>
      <c r="N197" s="24" t="s">
        <v>156</v>
      </c>
      <c r="O197" s="24" t="s">
        <v>42</v>
      </c>
      <c r="P197" s="16" t="s">
        <v>43</v>
      </c>
      <c r="Q197" s="32">
        <v>0</v>
      </c>
      <c r="R197" s="32"/>
      <c r="S197" s="32"/>
      <c r="T197" s="32"/>
      <c r="U197"/>
      <c r="V197"/>
    </row>
    <row r="198" spans="3:22" x14ac:dyDescent="0.25">
      <c r="C198" s="24" t="s">
        <v>875</v>
      </c>
      <c r="D198" s="24" t="s">
        <v>876</v>
      </c>
      <c r="E198" s="24" t="s">
        <v>876</v>
      </c>
      <c r="F198" s="25">
        <v>5</v>
      </c>
      <c r="G198" s="24" t="s">
        <v>376</v>
      </c>
      <c r="H198" s="24" t="s">
        <v>81</v>
      </c>
      <c r="I198" s="24" t="s">
        <v>1030</v>
      </c>
      <c r="J198" s="24" t="s">
        <v>132</v>
      </c>
      <c r="K198" s="24" t="s">
        <v>856</v>
      </c>
      <c r="L198" s="24" t="s">
        <v>40</v>
      </c>
      <c r="M198" s="24" t="s">
        <v>1035</v>
      </c>
      <c r="N198" s="24" t="s">
        <v>875</v>
      </c>
      <c r="O198" s="24" t="s">
        <v>42</v>
      </c>
      <c r="P198" s="16" t="s">
        <v>43</v>
      </c>
      <c r="Q198" s="32">
        <v>31109426.07</v>
      </c>
      <c r="R198" s="32"/>
      <c r="S198" s="32"/>
      <c r="T198" s="32"/>
      <c r="U198"/>
      <c r="V198"/>
    </row>
    <row r="199" spans="3:22" x14ac:dyDescent="0.25">
      <c r="C199" s="24" t="s">
        <v>158</v>
      </c>
      <c r="D199" s="24" t="s">
        <v>159</v>
      </c>
      <c r="E199" s="24" t="s">
        <v>159</v>
      </c>
      <c r="F199" s="25" t="s">
        <v>36</v>
      </c>
      <c r="G199" s="24" t="s">
        <v>37</v>
      </c>
      <c r="H199" s="24" t="s">
        <v>81</v>
      </c>
      <c r="I199" s="24" t="s">
        <v>1046</v>
      </c>
      <c r="J199" s="24" t="s">
        <v>160</v>
      </c>
      <c r="K199" s="24" t="s">
        <v>161</v>
      </c>
      <c r="L199" s="24" t="s">
        <v>55</v>
      </c>
      <c r="M199" s="24">
        <v>0</v>
      </c>
      <c r="N199" s="24" t="s">
        <v>158</v>
      </c>
      <c r="O199" s="24" t="s">
        <v>42</v>
      </c>
      <c r="P199" s="16" t="s">
        <v>43</v>
      </c>
      <c r="Q199" s="32">
        <v>0</v>
      </c>
      <c r="R199" s="32"/>
      <c r="S199" s="32"/>
      <c r="T199" s="32"/>
      <c r="U199"/>
      <c r="V199"/>
    </row>
    <row r="200" spans="3:22" x14ac:dyDescent="0.25">
      <c r="C200" s="24" t="s">
        <v>814</v>
      </c>
      <c r="D200" s="24" t="s">
        <v>815</v>
      </c>
      <c r="E200" s="24" t="s">
        <v>816</v>
      </c>
      <c r="F200" s="25">
        <v>5</v>
      </c>
      <c r="G200" s="24" t="s">
        <v>376</v>
      </c>
      <c r="H200" s="24" t="s">
        <v>81</v>
      </c>
      <c r="I200" s="24" t="s">
        <v>1030</v>
      </c>
      <c r="J200" s="24" t="s">
        <v>146</v>
      </c>
      <c r="K200" s="24" t="s">
        <v>59</v>
      </c>
      <c r="L200" s="24" t="s">
        <v>40</v>
      </c>
      <c r="M200" s="24" t="s">
        <v>1035</v>
      </c>
      <c r="N200" s="24" t="s">
        <v>814</v>
      </c>
      <c r="O200" s="24" t="s">
        <v>42</v>
      </c>
      <c r="P200" s="16" t="s">
        <v>43</v>
      </c>
      <c r="Q200" s="32">
        <v>37835676.717999995</v>
      </c>
      <c r="R200" s="32"/>
      <c r="S200" s="32"/>
      <c r="T200" s="32"/>
      <c r="U200"/>
      <c r="V200"/>
    </row>
    <row r="201" spans="3:22" x14ac:dyDescent="0.25">
      <c r="C201" s="24" t="s">
        <v>598</v>
      </c>
      <c r="D201" s="24" t="s">
        <v>599</v>
      </c>
      <c r="E201" s="24" t="s">
        <v>600</v>
      </c>
      <c r="F201" s="25">
        <v>5</v>
      </c>
      <c r="G201" s="24" t="s">
        <v>376</v>
      </c>
      <c r="H201" s="24" t="s">
        <v>81</v>
      </c>
      <c r="I201" s="24" t="s">
        <v>1030</v>
      </c>
      <c r="J201" s="24" t="s">
        <v>50</v>
      </c>
      <c r="K201" s="24" t="s">
        <v>601</v>
      </c>
      <c r="L201" s="24" t="s">
        <v>40</v>
      </c>
      <c r="M201" s="24" t="s">
        <v>514</v>
      </c>
      <c r="N201" s="24" t="s">
        <v>598</v>
      </c>
      <c r="O201" s="24" t="s">
        <v>42</v>
      </c>
      <c r="P201" s="16" t="s">
        <v>43</v>
      </c>
      <c r="Q201" s="32">
        <v>42118736.597816668</v>
      </c>
      <c r="R201" s="32"/>
      <c r="S201" s="32"/>
      <c r="T201" s="32"/>
      <c r="U201"/>
      <c r="V201"/>
    </row>
    <row r="202" spans="3:22" x14ac:dyDescent="0.25">
      <c r="C202" s="24" t="s">
        <v>162</v>
      </c>
      <c r="D202" s="24" t="s">
        <v>163</v>
      </c>
      <c r="E202" s="24" t="s">
        <v>163</v>
      </c>
      <c r="F202" s="25" t="s">
        <v>36</v>
      </c>
      <c r="G202" s="24" t="s">
        <v>37</v>
      </c>
      <c r="H202" s="24" t="s">
        <v>88</v>
      </c>
      <c r="I202" s="24" t="s">
        <v>1046</v>
      </c>
      <c r="J202" s="24" t="s">
        <v>63</v>
      </c>
      <c r="K202" s="24" t="s">
        <v>138</v>
      </c>
      <c r="L202" s="24" t="s">
        <v>40</v>
      </c>
      <c r="M202" s="24">
        <v>0</v>
      </c>
      <c r="N202" s="24" t="s">
        <v>162</v>
      </c>
      <c r="O202" s="24" t="s">
        <v>42</v>
      </c>
      <c r="P202" s="16" t="s">
        <v>43</v>
      </c>
      <c r="Q202" s="32">
        <v>0</v>
      </c>
      <c r="R202" s="32"/>
      <c r="S202" s="32"/>
      <c r="T202" s="32"/>
      <c r="U202"/>
      <c r="V202"/>
    </row>
    <row r="203" spans="3:22" x14ac:dyDescent="0.25">
      <c r="C203" s="24" t="s">
        <v>716</v>
      </c>
      <c r="D203" s="24" t="s">
        <v>717</v>
      </c>
      <c r="E203" s="24" t="s">
        <v>718</v>
      </c>
      <c r="F203" s="25">
        <v>5</v>
      </c>
      <c r="G203" s="24" t="s">
        <v>376</v>
      </c>
      <c r="H203" s="24" t="s">
        <v>46</v>
      </c>
      <c r="I203" s="24" t="s">
        <v>1031</v>
      </c>
      <c r="J203" s="24" t="s">
        <v>84</v>
      </c>
      <c r="K203" s="24" t="s">
        <v>54</v>
      </c>
      <c r="L203" s="24" t="s">
        <v>55</v>
      </c>
      <c r="M203" s="24" t="s">
        <v>378</v>
      </c>
      <c r="N203" s="24" t="s">
        <v>716</v>
      </c>
      <c r="O203" s="24" t="s">
        <v>42</v>
      </c>
      <c r="P203" s="16" t="s">
        <v>440</v>
      </c>
      <c r="Q203" s="32">
        <v>33424483.686666667</v>
      </c>
      <c r="R203" s="32"/>
      <c r="S203" s="32"/>
      <c r="T203" s="32"/>
      <c r="U203"/>
      <c r="V203"/>
    </row>
    <row r="204" spans="3:22" x14ac:dyDescent="0.25">
      <c r="C204" s="24" t="s">
        <v>788</v>
      </c>
      <c r="D204" s="24" t="s">
        <v>789</v>
      </c>
      <c r="E204" s="24" t="s">
        <v>790</v>
      </c>
      <c r="F204" s="25">
        <v>5</v>
      </c>
      <c r="G204" s="24" t="s">
        <v>376</v>
      </c>
      <c r="H204" s="24" t="s">
        <v>81</v>
      </c>
      <c r="I204" s="24" t="s">
        <v>1031</v>
      </c>
      <c r="J204" s="24" t="s">
        <v>89</v>
      </c>
      <c r="K204" s="24" t="s">
        <v>109</v>
      </c>
      <c r="L204" s="24" t="s">
        <v>91</v>
      </c>
      <c r="M204" s="24" t="s">
        <v>378</v>
      </c>
      <c r="N204" s="24" t="s">
        <v>788</v>
      </c>
      <c r="O204" s="24" t="s">
        <v>42</v>
      </c>
      <c r="P204" s="16" t="s">
        <v>43</v>
      </c>
      <c r="Q204" s="32">
        <v>40105233.980666667</v>
      </c>
      <c r="R204" s="32"/>
      <c r="S204" s="32"/>
      <c r="T204" s="32"/>
      <c r="U204"/>
      <c r="V204"/>
    </row>
    <row r="205" spans="3:22" x14ac:dyDescent="0.25">
      <c r="C205" s="24" t="s">
        <v>443</v>
      </c>
      <c r="D205" s="24" t="s">
        <v>444</v>
      </c>
      <c r="E205" s="24" t="s">
        <v>444</v>
      </c>
      <c r="F205" s="25">
        <v>5</v>
      </c>
      <c r="G205" s="24" t="s">
        <v>376</v>
      </c>
      <c r="H205" s="24" t="s">
        <v>81</v>
      </c>
      <c r="I205" s="24" t="s">
        <v>1030</v>
      </c>
      <c r="J205" s="24" t="s">
        <v>94</v>
      </c>
      <c r="K205" s="24" t="s">
        <v>64</v>
      </c>
      <c r="L205" s="24" t="s">
        <v>40</v>
      </c>
      <c r="M205" s="24" t="s">
        <v>1035</v>
      </c>
      <c r="N205" s="24" t="s">
        <v>443</v>
      </c>
      <c r="O205" s="24" t="s">
        <v>42</v>
      </c>
      <c r="P205" s="16" t="s">
        <v>43</v>
      </c>
      <c r="Q205" s="32">
        <v>29179178.650000002</v>
      </c>
      <c r="R205" s="32"/>
      <c r="S205" s="32"/>
      <c r="T205" s="32"/>
      <c r="U205"/>
      <c r="V205"/>
    </row>
    <row r="206" spans="3:22" x14ac:dyDescent="0.25">
      <c r="C206" s="24" t="s">
        <v>415</v>
      </c>
      <c r="D206" s="24" t="s">
        <v>416</v>
      </c>
      <c r="E206" s="24" t="s">
        <v>416</v>
      </c>
      <c r="F206" s="25">
        <v>5</v>
      </c>
      <c r="G206" s="24" t="s">
        <v>376</v>
      </c>
      <c r="H206" s="24" t="s">
        <v>81</v>
      </c>
      <c r="I206" s="24" t="s">
        <v>1031</v>
      </c>
      <c r="J206" s="24" t="s">
        <v>63</v>
      </c>
      <c r="K206" s="24" t="s">
        <v>138</v>
      </c>
      <c r="L206" s="24" t="s">
        <v>40</v>
      </c>
      <c r="M206" s="24" t="s">
        <v>378</v>
      </c>
      <c r="N206" s="24" t="s">
        <v>415</v>
      </c>
      <c r="O206" s="24" t="s">
        <v>42</v>
      </c>
      <c r="P206" s="16" t="s">
        <v>43</v>
      </c>
      <c r="Q206" s="32">
        <v>33894816.439999998</v>
      </c>
      <c r="R206" s="32"/>
      <c r="S206" s="32"/>
      <c r="T206" s="32"/>
      <c r="U206"/>
      <c r="V206"/>
    </row>
    <row r="207" spans="3:22" x14ac:dyDescent="0.25">
      <c r="C207" s="24" t="s">
        <v>915</v>
      </c>
      <c r="D207" s="24" t="s">
        <v>916</v>
      </c>
      <c r="E207" s="24" t="s">
        <v>916</v>
      </c>
      <c r="F207" s="25">
        <v>5</v>
      </c>
      <c r="G207" s="24" t="s">
        <v>376</v>
      </c>
      <c r="H207" s="24" t="s">
        <v>81</v>
      </c>
      <c r="I207" s="24" t="s">
        <v>1030</v>
      </c>
      <c r="J207" s="24" t="s">
        <v>73</v>
      </c>
      <c r="K207" s="24" t="s">
        <v>133</v>
      </c>
      <c r="L207" s="24" t="s">
        <v>40</v>
      </c>
      <c r="M207" s="24" t="s">
        <v>514</v>
      </c>
      <c r="N207" s="24" t="s">
        <v>915</v>
      </c>
      <c r="O207" s="24" t="s">
        <v>42</v>
      </c>
      <c r="P207" s="16" t="s">
        <v>43</v>
      </c>
      <c r="Q207" s="32">
        <v>25739918.957399994</v>
      </c>
      <c r="R207" s="32"/>
      <c r="S207" s="32"/>
      <c r="T207" s="32"/>
      <c r="U207"/>
      <c r="V207"/>
    </row>
    <row r="208" spans="3:22" x14ac:dyDescent="0.25">
      <c r="C208" s="24" t="s">
        <v>164</v>
      </c>
      <c r="D208" s="24" t="s">
        <v>165</v>
      </c>
      <c r="E208" s="24" t="s">
        <v>165</v>
      </c>
      <c r="F208" s="25" t="s">
        <v>36</v>
      </c>
      <c r="G208" s="24" t="s">
        <v>37</v>
      </c>
      <c r="H208" s="24" t="s">
        <v>46</v>
      </c>
      <c r="I208" s="24" t="s">
        <v>1046</v>
      </c>
      <c r="J208" s="24" t="s">
        <v>58</v>
      </c>
      <c r="K208" s="24" t="s">
        <v>138</v>
      </c>
      <c r="L208" s="24" t="s">
        <v>40</v>
      </c>
      <c r="M208" s="24">
        <v>0</v>
      </c>
      <c r="N208" s="24" t="s">
        <v>164</v>
      </c>
      <c r="O208" s="24" t="s">
        <v>42</v>
      </c>
      <c r="P208" s="16" t="s">
        <v>43</v>
      </c>
      <c r="Q208" s="32">
        <v>0</v>
      </c>
      <c r="R208" s="32"/>
      <c r="S208" s="32"/>
      <c r="T208" s="32"/>
      <c r="U208"/>
      <c r="V208"/>
    </row>
    <row r="209" spans="3:22" x14ac:dyDescent="0.25">
      <c r="C209" s="24" t="s">
        <v>166</v>
      </c>
      <c r="D209" s="24" t="s">
        <v>167</v>
      </c>
      <c r="E209" s="24" t="s">
        <v>167</v>
      </c>
      <c r="F209" s="25" t="s">
        <v>36</v>
      </c>
      <c r="G209" s="24" t="s">
        <v>37</v>
      </c>
      <c r="H209" s="24" t="s">
        <v>81</v>
      </c>
      <c r="I209" s="24" t="s">
        <v>1046</v>
      </c>
      <c r="J209" s="24" t="s">
        <v>58</v>
      </c>
      <c r="K209" s="24" t="s">
        <v>59</v>
      </c>
      <c r="L209" s="24" t="s">
        <v>40</v>
      </c>
      <c r="M209" s="24">
        <v>0</v>
      </c>
      <c r="N209" s="24" t="s">
        <v>166</v>
      </c>
      <c r="O209" s="24" t="s">
        <v>42</v>
      </c>
      <c r="P209" s="16" t="s">
        <v>43</v>
      </c>
      <c r="Q209" s="32">
        <v>0</v>
      </c>
      <c r="R209" s="32"/>
      <c r="S209" s="32"/>
      <c r="T209" s="32"/>
      <c r="U209"/>
      <c r="V209"/>
    </row>
    <row r="210" spans="3:22" x14ac:dyDescent="0.25">
      <c r="C210" s="24" t="s">
        <v>168</v>
      </c>
      <c r="D210" s="24" t="s">
        <v>169</v>
      </c>
      <c r="E210" s="24" t="s">
        <v>170</v>
      </c>
      <c r="F210" s="25" t="s">
        <v>36</v>
      </c>
      <c r="G210" s="24" t="s">
        <v>37</v>
      </c>
      <c r="H210" s="24" t="s">
        <v>46</v>
      </c>
      <c r="I210" s="24" t="s">
        <v>1046</v>
      </c>
      <c r="J210" s="24" t="s">
        <v>160</v>
      </c>
      <c r="K210" s="24" t="s">
        <v>59</v>
      </c>
      <c r="L210" s="24" t="s">
        <v>40</v>
      </c>
      <c r="M210" s="24">
        <v>0</v>
      </c>
      <c r="N210" s="24" t="s">
        <v>168</v>
      </c>
      <c r="O210" s="24" t="s">
        <v>42</v>
      </c>
      <c r="P210" s="16" t="s">
        <v>43</v>
      </c>
      <c r="Q210" s="32">
        <v>0</v>
      </c>
      <c r="R210" s="32"/>
      <c r="S210" s="32"/>
      <c r="T210" s="32"/>
      <c r="U210"/>
      <c r="V210"/>
    </row>
    <row r="211" spans="3:22" x14ac:dyDescent="0.25">
      <c r="C211" s="24" t="s">
        <v>171</v>
      </c>
      <c r="D211" s="24" t="s">
        <v>172</v>
      </c>
      <c r="E211" s="24" t="s">
        <v>172</v>
      </c>
      <c r="F211" s="25" t="s">
        <v>36</v>
      </c>
      <c r="G211" s="24" t="s">
        <v>37</v>
      </c>
      <c r="H211" s="24" t="s">
        <v>81</v>
      </c>
      <c r="I211" s="24" t="s">
        <v>1046</v>
      </c>
      <c r="J211" s="24" t="s">
        <v>89</v>
      </c>
      <c r="K211" s="24" t="s">
        <v>109</v>
      </c>
      <c r="L211" s="24" t="s">
        <v>91</v>
      </c>
      <c r="M211" s="24">
        <v>0</v>
      </c>
      <c r="N211" s="24" t="s">
        <v>171</v>
      </c>
      <c r="O211" s="24" t="s">
        <v>42</v>
      </c>
      <c r="P211" s="16" t="s">
        <v>43</v>
      </c>
      <c r="Q211" s="32">
        <v>0</v>
      </c>
      <c r="R211" s="32"/>
      <c r="S211" s="32"/>
      <c r="T211" s="32"/>
      <c r="U211"/>
      <c r="V211"/>
    </row>
    <row r="212" spans="3:22" x14ac:dyDescent="0.25">
      <c r="C212" s="24" t="s">
        <v>173</v>
      </c>
      <c r="D212" s="24" t="s">
        <v>174</v>
      </c>
      <c r="E212" s="24" t="s">
        <v>174</v>
      </c>
      <c r="F212" s="25" t="s">
        <v>36</v>
      </c>
      <c r="G212" s="24" t="s">
        <v>37</v>
      </c>
      <c r="H212" s="24" t="s">
        <v>46</v>
      </c>
      <c r="I212" s="24" t="s">
        <v>1046</v>
      </c>
      <c r="J212" s="24" t="s">
        <v>73</v>
      </c>
      <c r="K212" s="24" t="s">
        <v>64</v>
      </c>
      <c r="L212" s="24" t="s">
        <v>40</v>
      </c>
      <c r="M212" s="24">
        <v>0</v>
      </c>
      <c r="N212" s="24" t="s">
        <v>173</v>
      </c>
      <c r="O212" s="24" t="s">
        <v>42</v>
      </c>
      <c r="P212" s="16" t="s">
        <v>43</v>
      </c>
      <c r="Q212" s="32">
        <v>0</v>
      </c>
      <c r="R212" s="32"/>
      <c r="S212" s="32"/>
      <c r="T212" s="32"/>
      <c r="U212"/>
      <c r="V212"/>
    </row>
    <row r="213" spans="3:22" x14ac:dyDescent="0.25">
      <c r="C213" s="24" t="s">
        <v>584</v>
      </c>
      <c r="D213" s="24" t="s">
        <v>585</v>
      </c>
      <c r="E213" s="24" t="s">
        <v>585</v>
      </c>
      <c r="F213" s="25">
        <v>5</v>
      </c>
      <c r="G213" s="24" t="s">
        <v>376</v>
      </c>
      <c r="H213" s="24" t="s">
        <v>46</v>
      </c>
      <c r="I213" s="24" t="s">
        <v>1030</v>
      </c>
      <c r="J213" s="24" t="s">
        <v>331</v>
      </c>
      <c r="K213" s="24" t="s">
        <v>138</v>
      </c>
      <c r="L213" s="24" t="s">
        <v>40</v>
      </c>
      <c r="M213" s="3" t="s">
        <v>984</v>
      </c>
      <c r="N213" s="24" t="s">
        <v>584</v>
      </c>
      <c r="O213" s="24" t="s">
        <v>42</v>
      </c>
      <c r="P213" s="16" t="s">
        <v>43</v>
      </c>
      <c r="Q213" s="32">
        <v>40479342.58533334</v>
      </c>
      <c r="R213" s="32"/>
      <c r="S213" s="32"/>
      <c r="T213" s="32"/>
      <c r="U213"/>
      <c r="V213"/>
    </row>
    <row r="214" spans="3:22" x14ac:dyDescent="0.25">
      <c r="C214" s="24" t="s">
        <v>917</v>
      </c>
      <c r="D214" s="24" t="s">
        <v>918</v>
      </c>
      <c r="E214" s="24" t="s">
        <v>918</v>
      </c>
      <c r="F214" s="25">
        <v>5</v>
      </c>
      <c r="G214" s="24" t="s">
        <v>376</v>
      </c>
      <c r="H214" s="24" t="s">
        <v>46</v>
      </c>
      <c r="I214" s="24" t="s">
        <v>1030</v>
      </c>
      <c r="J214" s="24" t="s">
        <v>73</v>
      </c>
      <c r="K214" s="24" t="s">
        <v>605</v>
      </c>
      <c r="L214" s="24" t="s">
        <v>40</v>
      </c>
      <c r="M214" s="24" t="s">
        <v>514</v>
      </c>
      <c r="N214" s="24" t="s">
        <v>917</v>
      </c>
      <c r="O214" s="24" t="s">
        <v>42</v>
      </c>
      <c r="P214" s="16" t="s">
        <v>43</v>
      </c>
      <c r="Q214" s="32">
        <v>33830259.59533333</v>
      </c>
      <c r="R214" s="32"/>
      <c r="S214" s="32"/>
      <c r="T214" s="32"/>
      <c r="U214"/>
      <c r="V214"/>
    </row>
    <row r="215" spans="3:22" x14ac:dyDescent="0.25">
      <c r="C215" s="24" t="s">
        <v>877</v>
      </c>
      <c r="D215" s="24" t="s">
        <v>878</v>
      </c>
      <c r="E215" s="24" t="s">
        <v>878</v>
      </c>
      <c r="F215" s="25">
        <v>5</v>
      </c>
      <c r="G215" s="24" t="s">
        <v>376</v>
      </c>
      <c r="H215" s="24" t="s">
        <v>81</v>
      </c>
      <c r="I215" s="24" t="s">
        <v>1030</v>
      </c>
      <c r="J215" s="24" t="s">
        <v>132</v>
      </c>
      <c r="K215" s="24" t="s">
        <v>856</v>
      </c>
      <c r="L215" s="24" t="s">
        <v>40</v>
      </c>
      <c r="M215" s="24" t="s">
        <v>1035</v>
      </c>
      <c r="N215" s="24" t="s">
        <v>877</v>
      </c>
      <c r="O215" s="24" t="s">
        <v>42</v>
      </c>
      <c r="P215" s="16" t="s">
        <v>43</v>
      </c>
      <c r="Q215" s="32">
        <v>35110545.390000001</v>
      </c>
      <c r="R215" s="32"/>
      <c r="S215" s="32"/>
      <c r="T215" s="32"/>
      <c r="U215"/>
      <c r="V215"/>
    </row>
    <row r="216" spans="3:22" x14ac:dyDescent="0.25">
      <c r="C216" s="24" t="s">
        <v>586</v>
      </c>
      <c r="D216" s="24" t="s">
        <v>587</v>
      </c>
      <c r="E216" s="24" t="s">
        <v>587</v>
      </c>
      <c r="F216" s="25">
        <v>5</v>
      </c>
      <c r="G216" s="24" t="s">
        <v>376</v>
      </c>
      <c r="H216" s="24" t="s">
        <v>46</v>
      </c>
      <c r="I216" s="24" t="s">
        <v>1030</v>
      </c>
      <c r="J216" s="24" t="s">
        <v>331</v>
      </c>
      <c r="K216" s="24" t="s">
        <v>138</v>
      </c>
      <c r="L216" s="24" t="s">
        <v>40</v>
      </c>
      <c r="M216" s="3" t="s">
        <v>984</v>
      </c>
      <c r="N216" s="24" t="s">
        <v>586</v>
      </c>
      <c r="O216" s="24" t="s">
        <v>42</v>
      </c>
      <c r="P216" s="16" t="s">
        <v>43</v>
      </c>
      <c r="Q216" s="32">
        <v>57815327.844766654</v>
      </c>
      <c r="R216" s="32"/>
      <c r="S216" s="32"/>
      <c r="T216" s="32"/>
      <c r="U216"/>
      <c r="V216"/>
    </row>
    <row r="217" spans="3:22" x14ac:dyDescent="0.25">
      <c r="C217" s="24" t="s">
        <v>175</v>
      </c>
      <c r="D217" s="24" t="s">
        <v>176</v>
      </c>
      <c r="E217" s="24" t="s">
        <v>176</v>
      </c>
      <c r="F217" s="25" t="s">
        <v>36</v>
      </c>
      <c r="G217" s="24" t="s">
        <v>37</v>
      </c>
      <c r="H217" s="24" t="s">
        <v>46</v>
      </c>
      <c r="I217" s="24" t="s">
        <v>1046</v>
      </c>
      <c r="J217" s="24" t="s">
        <v>132</v>
      </c>
      <c r="K217" s="24" t="s">
        <v>64</v>
      </c>
      <c r="L217" s="24" t="s">
        <v>40</v>
      </c>
      <c r="M217" s="24">
        <v>0</v>
      </c>
      <c r="N217" s="24" t="s">
        <v>175</v>
      </c>
      <c r="O217" s="24" t="s">
        <v>42</v>
      </c>
      <c r="P217" s="16" t="s">
        <v>43</v>
      </c>
      <c r="Q217" s="32">
        <v>0</v>
      </c>
      <c r="R217" s="32"/>
      <c r="S217" s="32"/>
      <c r="T217" s="32"/>
      <c r="U217"/>
      <c r="V217"/>
    </row>
    <row r="218" spans="3:22" x14ac:dyDescent="0.25">
      <c r="C218" s="24" t="s">
        <v>177</v>
      </c>
      <c r="D218" s="24" t="s">
        <v>178</v>
      </c>
      <c r="E218" s="24" t="s">
        <v>178</v>
      </c>
      <c r="F218" s="25" t="s">
        <v>36</v>
      </c>
      <c r="G218" s="24" t="s">
        <v>37</v>
      </c>
      <c r="H218" s="24" t="s">
        <v>81</v>
      </c>
      <c r="I218" s="24" t="s">
        <v>1046</v>
      </c>
      <c r="J218" s="24" t="s">
        <v>1048</v>
      </c>
      <c r="K218" s="24" t="s">
        <v>179</v>
      </c>
      <c r="L218" s="24" t="s">
        <v>55</v>
      </c>
      <c r="M218" s="24">
        <v>0</v>
      </c>
      <c r="N218" s="24" t="s">
        <v>177</v>
      </c>
      <c r="O218" s="24" t="s">
        <v>42</v>
      </c>
      <c r="P218" s="16" t="s">
        <v>43</v>
      </c>
      <c r="Q218" s="32">
        <v>0</v>
      </c>
      <c r="R218" s="32"/>
      <c r="S218" s="32"/>
      <c r="T218" s="32"/>
      <c r="U218"/>
      <c r="V218"/>
    </row>
    <row r="219" spans="3:22" x14ac:dyDescent="0.25">
      <c r="C219" s="24" t="s">
        <v>180</v>
      </c>
      <c r="D219" s="24" t="s">
        <v>181</v>
      </c>
      <c r="E219" s="24" t="s">
        <v>181</v>
      </c>
      <c r="F219" s="25" t="s">
        <v>36</v>
      </c>
      <c r="G219" s="24" t="s">
        <v>37</v>
      </c>
      <c r="H219" s="24" t="s">
        <v>81</v>
      </c>
      <c r="I219" s="24" t="s">
        <v>1046</v>
      </c>
      <c r="J219" s="24" t="s">
        <v>1048</v>
      </c>
      <c r="K219" s="24" t="s">
        <v>182</v>
      </c>
      <c r="L219" s="24" t="s">
        <v>55</v>
      </c>
      <c r="M219" s="24">
        <v>0</v>
      </c>
      <c r="N219" s="24" t="s">
        <v>180</v>
      </c>
      <c r="O219" s="24" t="s">
        <v>42</v>
      </c>
      <c r="P219" s="16" t="s">
        <v>43</v>
      </c>
      <c r="Q219" s="32">
        <v>0</v>
      </c>
      <c r="R219" s="32"/>
      <c r="S219" s="32"/>
      <c r="T219" s="32"/>
      <c r="U219"/>
      <c r="V219"/>
    </row>
    <row r="220" spans="3:22" x14ac:dyDescent="0.25">
      <c r="C220" s="24" t="s">
        <v>588</v>
      </c>
      <c r="D220" s="24" t="s">
        <v>589</v>
      </c>
      <c r="E220" s="24" t="s">
        <v>589</v>
      </c>
      <c r="F220" s="25">
        <v>5</v>
      </c>
      <c r="G220" s="24" t="s">
        <v>376</v>
      </c>
      <c r="H220" s="24" t="s">
        <v>46</v>
      </c>
      <c r="I220" s="24" t="s">
        <v>1030</v>
      </c>
      <c r="J220" s="24" t="s">
        <v>331</v>
      </c>
      <c r="K220" s="24" t="s">
        <v>138</v>
      </c>
      <c r="L220" s="24" t="s">
        <v>40</v>
      </c>
      <c r="M220" s="3" t="s">
        <v>984</v>
      </c>
      <c r="N220" s="24" t="s">
        <v>588</v>
      </c>
      <c r="O220" s="24" t="s">
        <v>42</v>
      </c>
      <c r="P220" s="16" t="s">
        <v>43</v>
      </c>
      <c r="Q220" s="32">
        <v>50396660.45913332</v>
      </c>
      <c r="R220" s="32"/>
      <c r="S220" s="32"/>
      <c r="T220" s="32"/>
      <c r="U220"/>
      <c r="V220"/>
    </row>
    <row r="221" spans="3:22" x14ac:dyDescent="0.25">
      <c r="C221" s="24" t="s">
        <v>183</v>
      </c>
      <c r="D221" s="24" t="s">
        <v>184</v>
      </c>
      <c r="E221" s="24" t="s">
        <v>184</v>
      </c>
      <c r="F221" s="25" t="s">
        <v>36</v>
      </c>
      <c r="G221" s="24" t="s">
        <v>37</v>
      </c>
      <c r="H221" s="24" t="s">
        <v>81</v>
      </c>
      <c r="I221" s="24" t="s">
        <v>1046</v>
      </c>
      <c r="J221" s="24">
        <v>0</v>
      </c>
      <c r="K221" s="24" t="s">
        <v>64</v>
      </c>
      <c r="L221" s="24" t="s">
        <v>40</v>
      </c>
      <c r="M221" s="24">
        <v>0</v>
      </c>
      <c r="N221" s="24" t="s">
        <v>183</v>
      </c>
      <c r="O221" s="24" t="s">
        <v>42</v>
      </c>
      <c r="P221" s="16" t="s">
        <v>43</v>
      </c>
      <c r="Q221" s="32">
        <v>0</v>
      </c>
      <c r="R221" s="32"/>
      <c r="S221" s="32"/>
      <c r="T221" s="32"/>
      <c r="U221"/>
      <c r="V221"/>
    </row>
    <row r="222" spans="3:22" x14ac:dyDescent="0.25">
      <c r="C222" s="24" t="s">
        <v>185</v>
      </c>
      <c r="D222" s="24" t="s">
        <v>186</v>
      </c>
      <c r="E222" s="24" t="s">
        <v>186</v>
      </c>
      <c r="F222" s="25" t="s">
        <v>36</v>
      </c>
      <c r="G222" s="24" t="s">
        <v>37</v>
      </c>
      <c r="H222" s="24" t="s">
        <v>46</v>
      </c>
      <c r="I222" s="24" t="s">
        <v>1046</v>
      </c>
      <c r="J222" s="24" t="s">
        <v>94</v>
      </c>
      <c r="K222" s="24" t="s">
        <v>64</v>
      </c>
      <c r="L222" s="24" t="s">
        <v>40</v>
      </c>
      <c r="M222" s="24">
        <v>0</v>
      </c>
      <c r="N222" s="24" t="s">
        <v>185</v>
      </c>
      <c r="O222" s="24" t="s">
        <v>42</v>
      </c>
      <c r="P222" s="16" t="s">
        <v>43</v>
      </c>
      <c r="Q222" s="32">
        <v>0</v>
      </c>
      <c r="R222" s="32"/>
      <c r="S222" s="32"/>
      <c r="T222" s="32"/>
      <c r="U222"/>
      <c r="V222"/>
    </row>
    <row r="223" spans="3:22" x14ac:dyDescent="0.25">
      <c r="C223" s="24" t="s">
        <v>445</v>
      </c>
      <c r="D223" s="24" t="s">
        <v>446</v>
      </c>
      <c r="E223" s="24" t="s">
        <v>446</v>
      </c>
      <c r="F223" s="25">
        <v>5</v>
      </c>
      <c r="G223" s="24" t="s">
        <v>376</v>
      </c>
      <c r="H223" s="24" t="s">
        <v>46</v>
      </c>
      <c r="I223" s="24" t="s">
        <v>1030</v>
      </c>
      <c r="J223" s="24" t="s">
        <v>94</v>
      </c>
      <c r="K223" s="24" t="s">
        <v>64</v>
      </c>
      <c r="L223" s="24" t="s">
        <v>40</v>
      </c>
      <c r="M223" s="24" t="s">
        <v>1035</v>
      </c>
      <c r="N223" s="24" t="s">
        <v>445</v>
      </c>
      <c r="O223" s="24" t="s">
        <v>42</v>
      </c>
      <c r="P223" s="16" t="s">
        <v>43</v>
      </c>
      <c r="Q223" s="32">
        <v>29072610.232000005</v>
      </c>
      <c r="R223" s="32"/>
      <c r="S223" s="32"/>
      <c r="T223" s="32"/>
      <c r="U223"/>
      <c r="V223"/>
    </row>
    <row r="224" spans="3:22" x14ac:dyDescent="0.25">
      <c r="C224" s="24" t="s">
        <v>817</v>
      </c>
      <c r="D224" s="24" t="s">
        <v>818</v>
      </c>
      <c r="E224" s="24" t="s">
        <v>818</v>
      </c>
      <c r="F224" s="25">
        <v>5</v>
      </c>
      <c r="G224" s="24" t="s">
        <v>376</v>
      </c>
      <c r="H224" s="24" t="s">
        <v>46</v>
      </c>
      <c r="I224" s="24" t="s">
        <v>1030</v>
      </c>
      <c r="J224" s="24" t="s">
        <v>146</v>
      </c>
      <c r="K224" s="24" t="s">
        <v>59</v>
      </c>
      <c r="L224" s="24" t="s">
        <v>40</v>
      </c>
      <c r="M224" s="24" t="s">
        <v>1035</v>
      </c>
      <c r="N224" s="24" t="s">
        <v>817</v>
      </c>
      <c r="O224" s="24" t="s">
        <v>42</v>
      </c>
      <c r="P224" s="16" t="s">
        <v>43</v>
      </c>
      <c r="Q224" s="32">
        <v>38741785.280666664</v>
      </c>
      <c r="R224" s="32"/>
      <c r="S224" s="32"/>
      <c r="T224" s="32"/>
      <c r="U224"/>
      <c r="V224"/>
    </row>
    <row r="225" spans="3:22" x14ac:dyDescent="0.25">
      <c r="C225" s="24" t="s">
        <v>187</v>
      </c>
      <c r="D225" s="24" t="s">
        <v>188</v>
      </c>
      <c r="E225" s="24" t="s">
        <v>188</v>
      </c>
      <c r="F225" s="25" t="s">
        <v>36</v>
      </c>
      <c r="G225" s="24" t="s">
        <v>37</v>
      </c>
      <c r="H225" s="24" t="s">
        <v>81</v>
      </c>
      <c r="I225" s="24" t="s">
        <v>1046</v>
      </c>
      <c r="J225" s="24" t="s">
        <v>160</v>
      </c>
      <c r="K225" s="24" t="s">
        <v>64</v>
      </c>
      <c r="L225" s="24" t="s">
        <v>40</v>
      </c>
      <c r="M225" s="24">
        <v>0</v>
      </c>
      <c r="N225" s="24" t="s">
        <v>187</v>
      </c>
      <c r="O225" s="24" t="s">
        <v>42</v>
      </c>
      <c r="P225" s="16" t="s">
        <v>43</v>
      </c>
      <c r="Q225" s="32">
        <v>0</v>
      </c>
      <c r="R225" s="32"/>
      <c r="S225" s="32"/>
      <c r="T225" s="32"/>
      <c r="U225"/>
      <c r="V225"/>
    </row>
    <row r="226" spans="3:22" x14ac:dyDescent="0.25">
      <c r="C226" s="24" t="s">
        <v>189</v>
      </c>
      <c r="D226" s="24" t="s">
        <v>190</v>
      </c>
      <c r="E226" s="24" t="s">
        <v>190</v>
      </c>
      <c r="F226" s="25" t="s">
        <v>36</v>
      </c>
      <c r="G226" s="24" t="s">
        <v>37</v>
      </c>
      <c r="H226" s="24" t="s">
        <v>81</v>
      </c>
      <c r="I226" s="24" t="s">
        <v>1046</v>
      </c>
      <c r="J226" s="24" t="s">
        <v>73</v>
      </c>
      <c r="K226" s="24" t="s">
        <v>64</v>
      </c>
      <c r="L226" s="24" t="s">
        <v>40</v>
      </c>
      <c r="M226" s="24">
        <v>0</v>
      </c>
      <c r="N226" s="24" t="s">
        <v>189</v>
      </c>
      <c r="O226" s="24" t="s">
        <v>42</v>
      </c>
      <c r="P226" s="16" t="s">
        <v>43</v>
      </c>
      <c r="Q226" s="32">
        <v>0</v>
      </c>
      <c r="R226" s="32"/>
      <c r="S226" s="32"/>
      <c r="T226" s="32"/>
      <c r="U226"/>
      <c r="V226"/>
    </row>
    <row r="227" spans="3:22" x14ac:dyDescent="0.25">
      <c r="C227" s="24" t="s">
        <v>602</v>
      </c>
      <c r="D227" s="24" t="s">
        <v>603</v>
      </c>
      <c r="E227" s="24" t="s">
        <v>604</v>
      </c>
      <c r="F227" s="25">
        <v>5</v>
      </c>
      <c r="G227" s="24" t="s">
        <v>376</v>
      </c>
      <c r="H227" s="24" t="s">
        <v>81</v>
      </c>
      <c r="I227" s="24" t="s">
        <v>1030</v>
      </c>
      <c r="J227" s="24" t="s">
        <v>50</v>
      </c>
      <c r="K227" s="24" t="s">
        <v>605</v>
      </c>
      <c r="L227" s="24" t="s">
        <v>40</v>
      </c>
      <c r="M227" s="24" t="s">
        <v>514</v>
      </c>
      <c r="N227" s="24" t="s">
        <v>602</v>
      </c>
      <c r="O227" s="24" t="s">
        <v>42</v>
      </c>
      <c r="P227" s="16" t="s">
        <v>43</v>
      </c>
      <c r="Q227" s="32">
        <v>54077566.804666668</v>
      </c>
      <c r="R227" s="32"/>
      <c r="S227" s="32"/>
      <c r="T227" s="32"/>
      <c r="U227"/>
      <c r="V227"/>
    </row>
    <row r="228" spans="3:22" x14ac:dyDescent="0.25">
      <c r="C228" s="24" t="s">
        <v>191</v>
      </c>
      <c r="D228" s="24" t="s">
        <v>192</v>
      </c>
      <c r="E228" s="24" t="s">
        <v>193</v>
      </c>
      <c r="F228" s="25" t="s">
        <v>36</v>
      </c>
      <c r="G228" s="24" t="s">
        <v>37</v>
      </c>
      <c r="H228" s="24" t="s">
        <v>81</v>
      </c>
      <c r="I228" s="24" t="s">
        <v>1046</v>
      </c>
      <c r="J228" s="24" t="s">
        <v>94</v>
      </c>
      <c r="K228" s="24" t="s">
        <v>64</v>
      </c>
      <c r="L228" s="24" t="s">
        <v>40</v>
      </c>
      <c r="M228" s="24">
        <v>0</v>
      </c>
      <c r="N228" s="24" t="s">
        <v>191</v>
      </c>
      <c r="O228" s="24" t="s">
        <v>42</v>
      </c>
      <c r="P228" s="16" t="s">
        <v>43</v>
      </c>
      <c r="Q228" s="32">
        <v>0</v>
      </c>
      <c r="R228" s="32"/>
      <c r="S228" s="32"/>
      <c r="T228" s="32"/>
      <c r="U228"/>
      <c r="V228"/>
    </row>
    <row r="229" spans="3:22" x14ac:dyDescent="0.25">
      <c r="C229" s="24" t="s">
        <v>194</v>
      </c>
      <c r="D229" s="24" t="s">
        <v>195</v>
      </c>
      <c r="E229" s="24" t="s">
        <v>196</v>
      </c>
      <c r="F229" s="25" t="s">
        <v>36</v>
      </c>
      <c r="G229" s="24" t="s">
        <v>37</v>
      </c>
      <c r="H229" s="24" t="s">
        <v>88</v>
      </c>
      <c r="I229" s="24" t="s">
        <v>1046</v>
      </c>
      <c r="J229" s="24" t="s">
        <v>1048</v>
      </c>
      <c r="K229" s="24" t="s">
        <v>85</v>
      </c>
      <c r="L229" s="24" t="s">
        <v>55</v>
      </c>
      <c r="M229" s="24">
        <v>0</v>
      </c>
      <c r="N229" s="24" t="s">
        <v>194</v>
      </c>
      <c r="O229" s="24" t="s">
        <v>42</v>
      </c>
      <c r="P229" s="16" t="s">
        <v>43</v>
      </c>
      <c r="Q229" s="32">
        <v>0</v>
      </c>
      <c r="R229" s="32"/>
      <c r="S229" s="32"/>
      <c r="T229" s="32"/>
      <c r="U229"/>
      <c r="V229"/>
    </row>
    <row r="230" spans="3:22" x14ac:dyDescent="0.25">
      <c r="C230" s="24" t="s">
        <v>719</v>
      </c>
      <c r="D230" s="24" t="s">
        <v>720</v>
      </c>
      <c r="E230" s="24" t="s">
        <v>721</v>
      </c>
      <c r="F230" s="25">
        <v>5</v>
      </c>
      <c r="G230" s="24" t="s">
        <v>376</v>
      </c>
      <c r="H230" s="24" t="s">
        <v>81</v>
      </c>
      <c r="I230" s="24" t="s">
        <v>1031</v>
      </c>
      <c r="J230" s="24" t="s">
        <v>84</v>
      </c>
      <c r="K230" s="24" t="s">
        <v>722</v>
      </c>
      <c r="L230" s="24" t="s">
        <v>55</v>
      </c>
      <c r="M230" s="24" t="s">
        <v>378</v>
      </c>
      <c r="N230" s="24" t="s">
        <v>719</v>
      </c>
      <c r="O230" s="24" t="s">
        <v>42</v>
      </c>
      <c r="P230" s="16" t="s">
        <v>43</v>
      </c>
      <c r="Q230" s="32">
        <v>34115192.405549996</v>
      </c>
      <c r="R230" s="32"/>
      <c r="S230" s="32"/>
      <c r="T230" s="32"/>
      <c r="U230"/>
      <c r="V230"/>
    </row>
    <row r="231" spans="3:22" x14ac:dyDescent="0.25">
      <c r="C231" s="24" t="s">
        <v>197</v>
      </c>
      <c r="D231" s="24" t="s">
        <v>198</v>
      </c>
      <c r="E231" s="24" t="s">
        <v>198</v>
      </c>
      <c r="F231" s="25" t="s">
        <v>36</v>
      </c>
      <c r="G231" s="24" t="s">
        <v>37</v>
      </c>
      <c r="H231" s="24" t="s">
        <v>46</v>
      </c>
      <c r="I231" s="24" t="s">
        <v>1046</v>
      </c>
      <c r="J231" s="24" t="s">
        <v>63</v>
      </c>
      <c r="K231" s="24" t="s">
        <v>138</v>
      </c>
      <c r="L231" s="24" t="s">
        <v>40</v>
      </c>
      <c r="M231" s="24">
        <v>0</v>
      </c>
      <c r="N231" s="24" t="s">
        <v>197</v>
      </c>
      <c r="O231" s="24" t="s">
        <v>42</v>
      </c>
      <c r="P231" s="16" t="s">
        <v>43</v>
      </c>
      <c r="Q231" s="32">
        <v>0</v>
      </c>
      <c r="R231" s="32"/>
      <c r="S231" s="32"/>
      <c r="T231" s="32"/>
      <c r="U231"/>
      <c r="V231"/>
    </row>
    <row r="232" spans="3:22" x14ac:dyDescent="0.25">
      <c r="C232" s="24" t="s">
        <v>199</v>
      </c>
      <c r="D232" s="24" t="s">
        <v>200</v>
      </c>
      <c r="E232" s="24" t="s">
        <v>201</v>
      </c>
      <c r="F232" s="25" t="s">
        <v>36</v>
      </c>
      <c r="G232" s="24" t="s">
        <v>37</v>
      </c>
      <c r="H232" s="24" t="s">
        <v>202</v>
      </c>
      <c r="I232" s="24" t="s">
        <v>1046</v>
      </c>
      <c r="J232" s="24">
        <v>0</v>
      </c>
      <c r="K232" s="24" t="s">
        <v>59</v>
      </c>
      <c r="L232" s="24" t="s">
        <v>40</v>
      </c>
      <c r="M232" s="24">
        <v>0</v>
      </c>
      <c r="N232" s="24" t="s">
        <v>199</v>
      </c>
      <c r="O232" s="24" t="s">
        <v>42</v>
      </c>
      <c r="P232" s="16" t="s">
        <v>43</v>
      </c>
      <c r="Q232" s="32">
        <v>0</v>
      </c>
      <c r="R232" s="32"/>
      <c r="S232" s="32"/>
      <c r="T232" s="32"/>
      <c r="U232"/>
      <c r="V232"/>
    </row>
    <row r="233" spans="3:22" x14ac:dyDescent="0.25">
      <c r="C233" s="24" t="s">
        <v>723</v>
      </c>
      <c r="D233" s="24" t="s">
        <v>724</v>
      </c>
      <c r="E233" s="24" t="s">
        <v>725</v>
      </c>
      <c r="F233" s="25">
        <v>5</v>
      </c>
      <c r="G233" s="24" t="s">
        <v>376</v>
      </c>
      <c r="H233" s="24" t="s">
        <v>46</v>
      </c>
      <c r="I233" s="24" t="s">
        <v>1031</v>
      </c>
      <c r="J233" s="24" t="s">
        <v>84</v>
      </c>
      <c r="K233" s="24" t="s">
        <v>54</v>
      </c>
      <c r="L233" s="24" t="s">
        <v>55</v>
      </c>
      <c r="M233" s="24" t="s">
        <v>378</v>
      </c>
      <c r="N233" s="24" t="s">
        <v>723</v>
      </c>
      <c r="O233" s="24" t="s">
        <v>42</v>
      </c>
      <c r="P233" s="16" t="s">
        <v>440</v>
      </c>
      <c r="Q233" s="32">
        <v>33124114.255066659</v>
      </c>
      <c r="R233" s="32"/>
      <c r="S233" s="32"/>
      <c r="T233" s="32"/>
      <c r="U233"/>
      <c r="V233"/>
    </row>
    <row r="234" spans="3:22" x14ac:dyDescent="0.25">
      <c r="C234" s="24" t="s">
        <v>819</v>
      </c>
      <c r="D234" s="24" t="s">
        <v>820</v>
      </c>
      <c r="E234" s="24" t="s">
        <v>820</v>
      </c>
      <c r="F234" s="25">
        <v>6</v>
      </c>
      <c r="G234" s="24" t="s">
        <v>376</v>
      </c>
      <c r="H234" s="24" t="s">
        <v>46</v>
      </c>
      <c r="I234" s="24" t="s">
        <v>1030</v>
      </c>
      <c r="J234" s="24" t="s">
        <v>146</v>
      </c>
      <c r="K234" s="24" t="s">
        <v>59</v>
      </c>
      <c r="L234" s="24" t="s">
        <v>40</v>
      </c>
      <c r="M234" s="24" t="s">
        <v>1035</v>
      </c>
      <c r="N234" s="24" t="s">
        <v>819</v>
      </c>
      <c r="O234" s="24" t="s">
        <v>42</v>
      </c>
      <c r="P234" s="16" t="s">
        <v>43</v>
      </c>
      <c r="Q234" s="32">
        <v>58167705.920308329</v>
      </c>
      <c r="R234" s="32"/>
      <c r="S234" s="32"/>
      <c r="T234" s="32"/>
      <c r="U234"/>
      <c r="V234"/>
    </row>
    <row r="235" spans="3:22" x14ac:dyDescent="0.25">
      <c r="C235" s="24" t="s">
        <v>821</v>
      </c>
      <c r="D235" s="24" t="s">
        <v>822</v>
      </c>
      <c r="E235" s="24" t="s">
        <v>822</v>
      </c>
      <c r="F235" s="25">
        <v>5</v>
      </c>
      <c r="G235" s="24" t="s">
        <v>376</v>
      </c>
      <c r="H235" s="24" t="s">
        <v>46</v>
      </c>
      <c r="I235" s="24" t="s">
        <v>1030</v>
      </c>
      <c r="J235" s="24" t="s">
        <v>146</v>
      </c>
      <c r="K235" s="24" t="s">
        <v>59</v>
      </c>
      <c r="L235" s="24" t="s">
        <v>40</v>
      </c>
      <c r="M235" s="24" t="s">
        <v>1035</v>
      </c>
      <c r="N235" s="24" t="s">
        <v>821</v>
      </c>
      <c r="O235" s="24" t="s">
        <v>42</v>
      </c>
      <c r="P235" s="16" t="s">
        <v>43</v>
      </c>
      <c r="Q235" s="32">
        <v>46000559.815549992</v>
      </c>
      <c r="R235" s="32"/>
      <c r="S235" s="32"/>
      <c r="T235" s="32"/>
      <c r="U235"/>
      <c r="V235"/>
    </row>
    <row r="236" spans="3:22" x14ac:dyDescent="0.25">
      <c r="C236" s="24" t="s">
        <v>203</v>
      </c>
      <c r="D236" s="24" t="s">
        <v>204</v>
      </c>
      <c r="E236" s="24" t="s">
        <v>204</v>
      </c>
      <c r="F236" s="25" t="s">
        <v>36</v>
      </c>
      <c r="G236" s="24" t="s">
        <v>37</v>
      </c>
      <c r="H236" s="24" t="s">
        <v>46</v>
      </c>
      <c r="I236" s="24" t="s">
        <v>1046</v>
      </c>
      <c r="J236" s="24">
        <v>0</v>
      </c>
      <c r="K236" s="24" t="s">
        <v>205</v>
      </c>
      <c r="L236" s="24" t="s">
        <v>40</v>
      </c>
      <c r="M236" s="24">
        <v>0</v>
      </c>
      <c r="N236" s="24" t="s">
        <v>203</v>
      </c>
      <c r="O236" s="24" t="s">
        <v>42</v>
      </c>
      <c r="P236" s="16" t="s">
        <v>43</v>
      </c>
      <c r="Q236" s="32">
        <v>0</v>
      </c>
      <c r="R236" s="32"/>
      <c r="S236" s="32"/>
      <c r="T236" s="32"/>
      <c r="U236"/>
      <c r="V236"/>
    </row>
    <row r="237" spans="3:22" x14ac:dyDescent="0.25">
      <c r="C237" s="24" t="s">
        <v>206</v>
      </c>
      <c r="D237" s="24" t="s">
        <v>207</v>
      </c>
      <c r="E237" s="24" t="s">
        <v>207</v>
      </c>
      <c r="F237" s="25" t="s">
        <v>36</v>
      </c>
      <c r="G237" s="24" t="s">
        <v>37</v>
      </c>
      <c r="H237" s="24" t="s">
        <v>46</v>
      </c>
      <c r="I237" s="24" t="s">
        <v>1046</v>
      </c>
      <c r="J237" s="24" t="s">
        <v>58</v>
      </c>
      <c r="K237" s="24" t="s">
        <v>64</v>
      </c>
      <c r="L237" s="24" t="s">
        <v>40</v>
      </c>
      <c r="M237" s="24">
        <v>0</v>
      </c>
      <c r="N237" s="24" t="s">
        <v>206</v>
      </c>
      <c r="O237" s="24" t="s">
        <v>42</v>
      </c>
      <c r="P237" s="16" t="s">
        <v>43</v>
      </c>
      <c r="Q237" s="32">
        <v>0</v>
      </c>
      <c r="R237" s="32"/>
      <c r="S237" s="32"/>
      <c r="T237" s="32"/>
      <c r="U237"/>
      <c r="V237"/>
    </row>
    <row r="238" spans="3:22" x14ac:dyDescent="0.25">
      <c r="C238" s="24" t="s">
        <v>758</v>
      </c>
      <c r="D238" s="24" t="s">
        <v>759</v>
      </c>
      <c r="E238" s="24" t="s">
        <v>760</v>
      </c>
      <c r="F238" s="25">
        <v>5</v>
      </c>
      <c r="G238" s="24" t="s">
        <v>376</v>
      </c>
      <c r="H238" s="24" t="s">
        <v>81</v>
      </c>
      <c r="I238" s="24" t="s">
        <v>1031</v>
      </c>
      <c r="J238" s="24" t="s">
        <v>1048</v>
      </c>
      <c r="K238" s="24" t="s">
        <v>54</v>
      </c>
      <c r="L238" s="24" t="s">
        <v>55</v>
      </c>
      <c r="M238" s="24" t="s">
        <v>378</v>
      </c>
      <c r="N238" s="24" t="s">
        <v>758</v>
      </c>
      <c r="O238" s="24" t="s">
        <v>379</v>
      </c>
      <c r="P238" s="16" t="s">
        <v>43</v>
      </c>
      <c r="Q238" s="32">
        <v>39119424.704666667</v>
      </c>
      <c r="R238" s="32"/>
      <c r="S238" s="32"/>
      <c r="T238" s="32"/>
      <c r="U238"/>
      <c r="V238"/>
    </row>
    <row r="239" spans="3:22" x14ac:dyDescent="0.25">
      <c r="C239" s="24" t="s">
        <v>208</v>
      </c>
      <c r="D239" s="24" t="s">
        <v>209</v>
      </c>
      <c r="E239" s="24" t="s">
        <v>209</v>
      </c>
      <c r="F239" s="25" t="s">
        <v>36</v>
      </c>
      <c r="G239" s="24" t="s">
        <v>37</v>
      </c>
      <c r="H239" s="24" t="s">
        <v>81</v>
      </c>
      <c r="I239" s="24" t="s">
        <v>1046</v>
      </c>
      <c r="J239" s="24">
        <v>0</v>
      </c>
      <c r="K239" s="24" t="s">
        <v>78</v>
      </c>
      <c r="L239" s="24" t="s">
        <v>40</v>
      </c>
      <c r="M239" s="24">
        <v>0</v>
      </c>
      <c r="N239" s="24" t="s">
        <v>208</v>
      </c>
      <c r="O239" s="24" t="s">
        <v>42</v>
      </c>
      <c r="P239" s="16" t="s">
        <v>43</v>
      </c>
      <c r="Q239" s="32">
        <v>0</v>
      </c>
      <c r="R239" s="32"/>
      <c r="S239" s="32"/>
      <c r="T239" s="32"/>
      <c r="U239"/>
      <c r="V239"/>
    </row>
    <row r="240" spans="3:22" x14ac:dyDescent="0.25">
      <c r="C240" s="24" t="s">
        <v>606</v>
      </c>
      <c r="D240" s="24" t="s">
        <v>607</v>
      </c>
      <c r="E240" s="24" t="s">
        <v>608</v>
      </c>
      <c r="F240" s="25">
        <v>5</v>
      </c>
      <c r="G240" s="24" t="s">
        <v>376</v>
      </c>
      <c r="H240" s="24" t="s">
        <v>46</v>
      </c>
      <c r="I240" s="24" t="s">
        <v>1030</v>
      </c>
      <c r="J240" s="24" t="s">
        <v>50</v>
      </c>
      <c r="K240" s="24" t="s">
        <v>609</v>
      </c>
      <c r="L240" s="24" t="s">
        <v>40</v>
      </c>
      <c r="M240" s="24" t="s">
        <v>514</v>
      </c>
      <c r="N240" s="24" t="s">
        <v>606</v>
      </c>
      <c r="O240" s="24" t="s">
        <v>42</v>
      </c>
      <c r="P240" s="16" t="s">
        <v>43</v>
      </c>
      <c r="Q240" s="32">
        <v>33090397.563399993</v>
      </c>
      <c r="R240" s="32"/>
      <c r="S240" s="32"/>
      <c r="T240" s="32"/>
      <c r="U240"/>
      <c r="V240"/>
    </row>
    <row r="241" spans="3:22" x14ac:dyDescent="0.25">
      <c r="C241" s="24" t="s">
        <v>210</v>
      </c>
      <c r="D241" s="24" t="s">
        <v>211</v>
      </c>
      <c r="E241" s="24" t="s">
        <v>212</v>
      </c>
      <c r="F241" s="25" t="s">
        <v>36</v>
      </c>
      <c r="G241" s="24" t="s">
        <v>37</v>
      </c>
      <c r="H241" s="24" t="s">
        <v>46</v>
      </c>
      <c r="I241" s="24" t="s">
        <v>1046</v>
      </c>
      <c r="J241" s="24">
        <v>0</v>
      </c>
      <c r="K241" s="24" t="s">
        <v>59</v>
      </c>
      <c r="L241" s="24" t="s">
        <v>40</v>
      </c>
      <c r="M241" s="24">
        <v>0</v>
      </c>
      <c r="N241" s="24" t="s">
        <v>210</v>
      </c>
      <c r="O241" s="24" t="s">
        <v>42</v>
      </c>
      <c r="P241" s="16" t="s">
        <v>43</v>
      </c>
      <c r="Q241" s="32">
        <v>0</v>
      </c>
      <c r="R241" s="32"/>
      <c r="S241" s="32"/>
      <c r="T241" s="32"/>
      <c r="U241"/>
      <c r="V241"/>
    </row>
    <row r="242" spans="3:22" x14ac:dyDescent="0.25">
      <c r="C242" s="24" t="s">
        <v>213</v>
      </c>
      <c r="D242" s="24" t="s">
        <v>214</v>
      </c>
      <c r="E242" s="24" t="s">
        <v>214</v>
      </c>
      <c r="F242" s="25" t="s">
        <v>36</v>
      </c>
      <c r="G242" s="24" t="s">
        <v>37</v>
      </c>
      <c r="H242" s="24" t="s">
        <v>202</v>
      </c>
      <c r="I242" s="24" t="s">
        <v>1046</v>
      </c>
      <c r="J242" s="24">
        <v>0</v>
      </c>
      <c r="K242" s="24" t="s">
        <v>59</v>
      </c>
      <c r="L242" s="24" t="s">
        <v>40</v>
      </c>
      <c r="M242" s="24">
        <v>0</v>
      </c>
      <c r="N242" s="24" t="s">
        <v>213</v>
      </c>
      <c r="O242" s="24" t="s">
        <v>42</v>
      </c>
      <c r="P242" s="16" t="s">
        <v>43</v>
      </c>
      <c r="Q242" s="32">
        <v>0</v>
      </c>
      <c r="R242" s="32"/>
      <c r="S242" s="32"/>
      <c r="T242" s="32"/>
      <c r="U242"/>
      <c r="V242"/>
    </row>
    <row r="243" spans="3:22" x14ac:dyDescent="0.25">
      <c r="C243" s="24" t="s">
        <v>215</v>
      </c>
      <c r="D243" s="24" t="s">
        <v>216</v>
      </c>
      <c r="E243" s="24" t="s">
        <v>216</v>
      </c>
      <c r="F243" s="25" t="s">
        <v>36</v>
      </c>
      <c r="G243" s="24" t="s">
        <v>37</v>
      </c>
      <c r="H243" s="24" t="s">
        <v>81</v>
      </c>
      <c r="I243" s="24" t="s">
        <v>1046</v>
      </c>
      <c r="J243" s="24" t="s">
        <v>67</v>
      </c>
      <c r="K243" s="24" t="s">
        <v>138</v>
      </c>
      <c r="L243" s="24" t="s">
        <v>40</v>
      </c>
      <c r="M243" s="24">
        <v>0</v>
      </c>
      <c r="N243" s="24" t="s">
        <v>215</v>
      </c>
      <c r="O243" s="24" t="s">
        <v>42</v>
      </c>
      <c r="P243" s="16" t="s">
        <v>43</v>
      </c>
      <c r="Q243" s="32">
        <v>0</v>
      </c>
      <c r="R243" s="32"/>
      <c r="S243" s="32"/>
      <c r="T243" s="32"/>
      <c r="U243"/>
      <c r="V243"/>
    </row>
    <row r="244" spans="3:22" x14ac:dyDescent="0.25">
      <c r="C244" s="24" t="s">
        <v>548</v>
      </c>
      <c r="D244" s="24" t="s">
        <v>549</v>
      </c>
      <c r="E244" s="24" t="s">
        <v>550</v>
      </c>
      <c r="F244" s="25">
        <v>5</v>
      </c>
      <c r="G244" s="24" t="s">
        <v>376</v>
      </c>
      <c r="H244" s="24" t="s">
        <v>81</v>
      </c>
      <c r="I244" s="24" t="s">
        <v>1030</v>
      </c>
      <c r="J244" s="24" t="s">
        <v>100</v>
      </c>
      <c r="K244" s="24" t="s">
        <v>138</v>
      </c>
      <c r="L244" s="24" t="s">
        <v>40</v>
      </c>
      <c r="M244" s="24" t="s">
        <v>514</v>
      </c>
      <c r="N244" s="24" t="s">
        <v>548</v>
      </c>
      <c r="O244" s="24" t="s">
        <v>42</v>
      </c>
      <c r="P244" s="16" t="s">
        <v>43</v>
      </c>
      <c r="Q244" s="32">
        <v>30864479.240000002</v>
      </c>
      <c r="R244" s="32"/>
      <c r="S244" s="32"/>
      <c r="T244" s="32"/>
      <c r="U244"/>
      <c r="V244"/>
    </row>
    <row r="245" spans="3:22" x14ac:dyDescent="0.25">
      <c r="C245" s="24" t="s">
        <v>726</v>
      </c>
      <c r="D245" s="24" t="s">
        <v>727</v>
      </c>
      <c r="E245" s="24" t="s">
        <v>727</v>
      </c>
      <c r="F245" s="25">
        <v>5</v>
      </c>
      <c r="G245" s="24" t="s">
        <v>376</v>
      </c>
      <c r="H245" s="24" t="s">
        <v>81</v>
      </c>
      <c r="I245" s="24" t="s">
        <v>1030</v>
      </c>
      <c r="J245" s="24" t="s">
        <v>84</v>
      </c>
      <c r="K245" s="24" t="s">
        <v>54</v>
      </c>
      <c r="L245" s="24" t="s">
        <v>55</v>
      </c>
      <c r="M245" s="24" t="s">
        <v>378</v>
      </c>
      <c r="N245" s="24" t="s">
        <v>726</v>
      </c>
      <c r="O245" s="24" t="s">
        <v>42</v>
      </c>
      <c r="P245" s="16" t="s">
        <v>43</v>
      </c>
      <c r="Q245" s="32">
        <v>36400694.310000002</v>
      </c>
      <c r="R245" s="32"/>
      <c r="S245" s="32"/>
      <c r="T245" s="32"/>
      <c r="U245"/>
      <c r="V245"/>
    </row>
    <row r="246" spans="3:22" x14ac:dyDescent="0.25">
      <c r="C246" s="24" t="s">
        <v>217</v>
      </c>
      <c r="D246" s="24" t="s">
        <v>218</v>
      </c>
      <c r="F246" s="25" t="s">
        <v>36</v>
      </c>
      <c r="G246" s="24" t="s">
        <v>37</v>
      </c>
      <c r="H246" s="24" t="s">
        <v>81</v>
      </c>
      <c r="I246" s="24" t="s">
        <v>1046</v>
      </c>
      <c r="J246" s="24">
        <v>0</v>
      </c>
      <c r="K246" s="24" t="s">
        <v>59</v>
      </c>
      <c r="L246" s="24" t="s">
        <v>40</v>
      </c>
      <c r="M246" s="24">
        <v>0</v>
      </c>
      <c r="N246" s="24" t="s">
        <v>217</v>
      </c>
      <c r="O246" s="24" t="s">
        <v>42</v>
      </c>
      <c r="P246" s="16" t="s">
        <v>43</v>
      </c>
      <c r="Q246" s="32">
        <v>0</v>
      </c>
      <c r="R246" s="32"/>
      <c r="S246" s="32"/>
      <c r="T246" s="32"/>
      <c r="U246"/>
      <c r="V246"/>
    </row>
    <row r="247" spans="3:22" x14ac:dyDescent="0.25">
      <c r="C247" s="24" t="s">
        <v>551</v>
      </c>
      <c r="D247" s="24" t="s">
        <v>552</v>
      </c>
      <c r="E247" s="24" t="s">
        <v>999</v>
      </c>
      <c r="F247" s="25">
        <v>5</v>
      </c>
      <c r="G247" s="24" t="s">
        <v>376</v>
      </c>
      <c r="H247" s="24" t="s">
        <v>46</v>
      </c>
      <c r="I247" s="24" t="s">
        <v>1030</v>
      </c>
      <c r="J247" s="24" t="s">
        <v>100</v>
      </c>
      <c r="K247" s="24" t="s">
        <v>138</v>
      </c>
      <c r="L247" s="24" t="s">
        <v>40</v>
      </c>
      <c r="M247" s="24" t="s">
        <v>514</v>
      </c>
      <c r="N247" s="24" t="s">
        <v>551</v>
      </c>
      <c r="O247" s="24" t="s">
        <v>42</v>
      </c>
      <c r="P247" s="16" t="s">
        <v>440</v>
      </c>
      <c r="Q247" s="32">
        <v>25718222.463283334</v>
      </c>
      <c r="R247" s="32"/>
      <c r="S247" s="32"/>
      <c r="T247" s="32"/>
      <c r="U247"/>
      <c r="V247"/>
    </row>
    <row r="248" spans="3:22" x14ac:dyDescent="0.25">
      <c r="C248" s="24" t="s">
        <v>219</v>
      </c>
      <c r="D248" s="24" t="s">
        <v>220</v>
      </c>
      <c r="E248" s="24" t="s">
        <v>220</v>
      </c>
      <c r="F248" s="25" t="s">
        <v>36</v>
      </c>
      <c r="G248" s="24" t="s">
        <v>37</v>
      </c>
      <c r="H248" s="24" t="s">
        <v>38</v>
      </c>
      <c r="I248" s="24" t="s">
        <v>1046</v>
      </c>
      <c r="J248" s="24" t="s">
        <v>100</v>
      </c>
      <c r="K248" s="24" t="s">
        <v>59</v>
      </c>
      <c r="L248" s="24" t="s">
        <v>40</v>
      </c>
      <c r="M248" s="24">
        <v>0</v>
      </c>
      <c r="N248" s="24" t="s">
        <v>219</v>
      </c>
      <c r="O248" s="24" t="s">
        <v>42</v>
      </c>
      <c r="P248" s="16" t="s">
        <v>43</v>
      </c>
      <c r="Q248" s="32">
        <v>0</v>
      </c>
      <c r="R248" s="32"/>
      <c r="S248" s="32"/>
      <c r="T248" s="32"/>
      <c r="U248"/>
      <c r="V248"/>
    </row>
    <row r="249" spans="3:22" x14ac:dyDescent="0.25">
      <c r="C249" s="24" t="s">
        <v>221</v>
      </c>
      <c r="D249" s="24" t="s">
        <v>222</v>
      </c>
      <c r="E249" s="24" t="s">
        <v>223</v>
      </c>
      <c r="F249" s="25" t="s">
        <v>36</v>
      </c>
      <c r="G249" s="24" t="s">
        <v>37</v>
      </c>
      <c r="H249" s="24" t="s">
        <v>38</v>
      </c>
      <c r="I249" s="24" t="s">
        <v>1046</v>
      </c>
      <c r="J249" s="24">
        <v>0</v>
      </c>
      <c r="K249" s="24" t="s">
        <v>47</v>
      </c>
      <c r="L249" s="24" t="s">
        <v>40</v>
      </c>
      <c r="M249" s="24">
        <v>0</v>
      </c>
      <c r="N249" s="24" t="s">
        <v>221</v>
      </c>
      <c r="O249" s="24" t="s">
        <v>42</v>
      </c>
      <c r="P249" s="16" t="s">
        <v>43</v>
      </c>
      <c r="Q249" s="32">
        <v>0</v>
      </c>
      <c r="R249" s="32"/>
      <c r="S249" s="32"/>
      <c r="T249" s="32"/>
      <c r="U249"/>
      <c r="V249"/>
    </row>
    <row r="250" spans="3:22" x14ac:dyDescent="0.25">
      <c r="C250" s="24" t="s">
        <v>224</v>
      </c>
      <c r="D250" s="24" t="s">
        <v>225</v>
      </c>
      <c r="E250" s="24" t="s">
        <v>226</v>
      </c>
      <c r="F250" s="25" t="s">
        <v>36</v>
      </c>
      <c r="G250" s="24" t="s">
        <v>37</v>
      </c>
      <c r="H250" s="24" t="s">
        <v>38</v>
      </c>
      <c r="I250" s="24" t="s">
        <v>1046</v>
      </c>
      <c r="J250" s="24">
        <v>0</v>
      </c>
      <c r="K250" s="24" t="s">
        <v>59</v>
      </c>
      <c r="L250" s="24" t="s">
        <v>40</v>
      </c>
      <c r="M250" s="24">
        <v>0</v>
      </c>
      <c r="N250" s="24" t="s">
        <v>224</v>
      </c>
      <c r="O250" s="24" t="s">
        <v>42</v>
      </c>
      <c r="P250" s="16" t="s">
        <v>43</v>
      </c>
      <c r="Q250" s="32">
        <v>0</v>
      </c>
      <c r="R250" s="32"/>
      <c r="S250" s="32"/>
      <c r="T250" s="32"/>
      <c r="U250"/>
      <c r="V250"/>
    </row>
    <row r="251" spans="3:22" x14ac:dyDescent="0.25">
      <c r="C251" s="24" t="s">
        <v>502</v>
      </c>
      <c r="D251" s="24" t="s">
        <v>503</v>
      </c>
      <c r="E251" s="24" t="s">
        <v>504</v>
      </c>
      <c r="F251" s="25">
        <v>5</v>
      </c>
      <c r="G251" s="24" t="s">
        <v>376</v>
      </c>
      <c r="H251" s="24" t="s">
        <v>46</v>
      </c>
      <c r="I251" s="24" t="s">
        <v>1030</v>
      </c>
      <c r="J251" s="24" t="s">
        <v>466</v>
      </c>
      <c r="K251" s="24" t="s">
        <v>51</v>
      </c>
      <c r="L251" s="24" t="s">
        <v>40</v>
      </c>
      <c r="M251" s="24" t="s">
        <v>1035</v>
      </c>
      <c r="N251" s="24" t="s">
        <v>502</v>
      </c>
      <c r="O251" s="24" t="s">
        <v>42</v>
      </c>
      <c r="P251" s="16" t="s">
        <v>43</v>
      </c>
      <c r="Q251" s="32">
        <v>30205472.172816668</v>
      </c>
      <c r="R251" s="32"/>
      <c r="S251" s="32"/>
      <c r="T251" s="32"/>
      <c r="U251"/>
      <c r="V251"/>
    </row>
    <row r="252" spans="3:22" x14ac:dyDescent="0.25">
      <c r="C252" s="24" t="s">
        <v>227</v>
      </c>
      <c r="D252" s="24" t="s">
        <v>228</v>
      </c>
      <c r="E252" s="24" t="s">
        <v>229</v>
      </c>
      <c r="F252" s="25" t="s">
        <v>36</v>
      </c>
      <c r="G252" s="24" t="s">
        <v>37</v>
      </c>
      <c r="H252" s="24" t="s">
        <v>38</v>
      </c>
      <c r="I252" s="24" t="s">
        <v>1046</v>
      </c>
      <c r="J252" s="24">
        <v>0</v>
      </c>
      <c r="K252" s="24" t="s">
        <v>54</v>
      </c>
      <c r="L252" s="24" t="s">
        <v>55</v>
      </c>
      <c r="M252" s="24">
        <v>0</v>
      </c>
      <c r="N252" s="24" t="s">
        <v>227</v>
      </c>
      <c r="O252" s="24" t="s">
        <v>42</v>
      </c>
      <c r="P252" s="16" t="s">
        <v>43</v>
      </c>
      <c r="Q252" s="32">
        <v>0</v>
      </c>
      <c r="R252" s="32"/>
      <c r="S252" s="32"/>
      <c r="T252" s="32"/>
      <c r="U252"/>
      <c r="V252"/>
    </row>
    <row r="253" spans="3:22" x14ac:dyDescent="0.25">
      <c r="C253" s="24" t="s">
        <v>728</v>
      </c>
      <c r="D253" s="24" t="s">
        <v>729</v>
      </c>
      <c r="E253" s="24" t="s">
        <v>730</v>
      </c>
      <c r="F253" s="25">
        <v>5</v>
      </c>
      <c r="G253" s="24" t="s">
        <v>376</v>
      </c>
      <c r="H253" s="24" t="s">
        <v>46</v>
      </c>
      <c r="I253" s="24" t="s">
        <v>1031</v>
      </c>
      <c r="J253" s="24" t="s">
        <v>84</v>
      </c>
      <c r="K253" s="24" t="s">
        <v>722</v>
      </c>
      <c r="L253" s="24" t="s">
        <v>55</v>
      </c>
      <c r="M253" s="24" t="s">
        <v>378</v>
      </c>
      <c r="N253" s="24" t="s">
        <v>728</v>
      </c>
      <c r="O253" s="24" t="s">
        <v>42</v>
      </c>
      <c r="P253" s="16" t="s">
        <v>440</v>
      </c>
      <c r="Q253" s="32">
        <v>35509121.208799995</v>
      </c>
      <c r="R253" s="32"/>
      <c r="S253" s="32"/>
      <c r="T253" s="32"/>
      <c r="U253"/>
      <c r="V253"/>
    </row>
    <row r="254" spans="3:22" x14ac:dyDescent="0.25">
      <c r="C254" s="24" t="s">
        <v>230</v>
      </c>
      <c r="D254" s="24" t="s">
        <v>231</v>
      </c>
      <c r="E254" s="24" t="s">
        <v>232</v>
      </c>
      <c r="F254" s="25" t="s">
        <v>36</v>
      </c>
      <c r="G254" s="24" t="s">
        <v>37</v>
      </c>
      <c r="H254" s="24" t="s">
        <v>38</v>
      </c>
      <c r="I254" s="24" t="s">
        <v>1046</v>
      </c>
      <c r="J254" s="24" t="s">
        <v>84</v>
      </c>
      <c r="K254" s="24" t="s">
        <v>54</v>
      </c>
      <c r="L254" s="24" t="s">
        <v>55</v>
      </c>
      <c r="M254" s="24">
        <v>0</v>
      </c>
      <c r="N254" s="24" t="s">
        <v>230</v>
      </c>
      <c r="O254" s="24" t="s">
        <v>42</v>
      </c>
      <c r="P254" s="16" t="s">
        <v>43</v>
      </c>
      <c r="Q254" s="32">
        <v>0</v>
      </c>
      <c r="R254" s="32"/>
      <c r="S254" s="32"/>
      <c r="T254" s="32"/>
      <c r="U254"/>
      <c r="V254"/>
    </row>
    <row r="255" spans="3:22" x14ac:dyDescent="0.25">
      <c r="C255" s="24" t="s">
        <v>233</v>
      </c>
      <c r="D255" s="24" t="s">
        <v>234</v>
      </c>
      <c r="E255" s="24" t="s">
        <v>235</v>
      </c>
      <c r="F255" s="25" t="s">
        <v>36</v>
      </c>
      <c r="G255" s="24" t="s">
        <v>37</v>
      </c>
      <c r="H255" s="24" t="s">
        <v>38</v>
      </c>
      <c r="I255" s="24" t="s">
        <v>1046</v>
      </c>
      <c r="J255" s="24" t="s">
        <v>84</v>
      </c>
      <c r="K255" s="24" t="s">
        <v>54</v>
      </c>
      <c r="L255" s="24" t="s">
        <v>55</v>
      </c>
      <c r="M255" s="24">
        <v>0</v>
      </c>
      <c r="N255" s="24" t="s">
        <v>233</v>
      </c>
      <c r="O255" s="24" t="s">
        <v>42</v>
      </c>
      <c r="P255" s="16" t="s">
        <v>43</v>
      </c>
      <c r="Q255" s="32">
        <v>0</v>
      </c>
      <c r="R255" s="32"/>
      <c r="S255" s="32"/>
      <c r="T255" s="32"/>
      <c r="U255"/>
      <c r="V255"/>
    </row>
    <row r="256" spans="3:22" x14ac:dyDescent="0.25">
      <c r="C256" s="24" t="s">
        <v>236</v>
      </c>
      <c r="D256" s="24" t="s">
        <v>237</v>
      </c>
      <c r="E256" s="24" t="s">
        <v>237</v>
      </c>
      <c r="F256" s="25" t="s">
        <v>36</v>
      </c>
      <c r="G256" s="24" t="s">
        <v>37</v>
      </c>
      <c r="H256" s="24" t="s">
        <v>38</v>
      </c>
      <c r="I256" s="24" t="s">
        <v>1046</v>
      </c>
      <c r="J256" s="24">
        <v>0</v>
      </c>
      <c r="K256" s="24" t="s">
        <v>59</v>
      </c>
      <c r="L256" s="24" t="s">
        <v>40</v>
      </c>
      <c r="M256" s="24">
        <v>0</v>
      </c>
      <c r="N256" s="24" t="s">
        <v>236</v>
      </c>
      <c r="O256" s="24" t="s">
        <v>42</v>
      </c>
      <c r="P256" s="16" t="s">
        <v>43</v>
      </c>
      <c r="Q256" s="32">
        <v>0</v>
      </c>
      <c r="R256" s="32"/>
      <c r="S256" s="32"/>
      <c r="T256" s="32"/>
      <c r="U256"/>
      <c r="V256"/>
    </row>
    <row r="257" spans="3:22" x14ac:dyDescent="0.25">
      <c r="C257" s="24" t="s">
        <v>238</v>
      </c>
      <c r="D257" s="24" t="s">
        <v>239</v>
      </c>
      <c r="E257" s="24" t="s">
        <v>240</v>
      </c>
      <c r="F257" s="25" t="s">
        <v>36</v>
      </c>
      <c r="G257" s="24" t="s">
        <v>37</v>
      </c>
      <c r="H257" s="24" t="s">
        <v>38</v>
      </c>
      <c r="I257" s="24" t="s">
        <v>1046</v>
      </c>
      <c r="J257" s="24" t="s">
        <v>146</v>
      </c>
      <c r="K257" s="24" t="s">
        <v>59</v>
      </c>
      <c r="L257" s="24" t="s">
        <v>40</v>
      </c>
      <c r="M257" s="24">
        <v>0</v>
      </c>
      <c r="N257" s="24" t="s">
        <v>238</v>
      </c>
      <c r="O257" s="24" t="s">
        <v>42</v>
      </c>
      <c r="P257" s="16" t="s">
        <v>43</v>
      </c>
      <c r="Q257" s="32">
        <v>0</v>
      </c>
      <c r="R257" s="32"/>
      <c r="S257" s="32"/>
      <c r="T257" s="32"/>
      <c r="U257"/>
      <c r="V257"/>
    </row>
    <row r="258" spans="3:22" x14ac:dyDescent="0.25">
      <c r="C258" s="24" t="s">
        <v>962</v>
      </c>
      <c r="D258" s="24" t="s">
        <v>963</v>
      </c>
      <c r="E258" s="24" t="s">
        <v>964</v>
      </c>
      <c r="F258" s="25">
        <v>5</v>
      </c>
      <c r="G258" s="24" t="s">
        <v>376</v>
      </c>
      <c r="H258" s="24" t="s">
        <v>46</v>
      </c>
      <c r="I258" s="24" t="s">
        <v>1030</v>
      </c>
      <c r="J258" s="24" t="s">
        <v>160</v>
      </c>
      <c r="K258" s="24" t="s">
        <v>371</v>
      </c>
      <c r="L258" s="24" t="s">
        <v>40</v>
      </c>
      <c r="M258" s="3" t="s">
        <v>984</v>
      </c>
      <c r="N258" s="24" t="s">
        <v>962</v>
      </c>
      <c r="O258" s="24" t="s">
        <v>42</v>
      </c>
      <c r="P258" s="16" t="s">
        <v>440</v>
      </c>
      <c r="Q258" s="32">
        <v>31879251.725333329</v>
      </c>
      <c r="R258" s="32"/>
      <c r="S258" s="32"/>
      <c r="T258" s="32"/>
      <c r="U258"/>
      <c r="V258"/>
    </row>
    <row r="259" spans="3:22" x14ac:dyDescent="0.25">
      <c r="C259" s="24" t="s">
        <v>687</v>
      </c>
      <c r="D259" s="24" t="s">
        <v>688</v>
      </c>
      <c r="E259" s="24" t="s">
        <v>689</v>
      </c>
      <c r="F259" s="25">
        <v>6</v>
      </c>
      <c r="G259" s="24" t="s">
        <v>376</v>
      </c>
      <c r="H259" s="24" t="s">
        <v>46</v>
      </c>
      <c r="I259" s="24" t="s">
        <v>1030</v>
      </c>
      <c r="J259" s="24" t="s">
        <v>248</v>
      </c>
      <c r="K259" s="24" t="s">
        <v>51</v>
      </c>
      <c r="L259" s="24" t="s">
        <v>40</v>
      </c>
      <c r="M259" s="3" t="s">
        <v>984</v>
      </c>
      <c r="N259" s="24" t="s">
        <v>687</v>
      </c>
      <c r="O259" s="24" t="s">
        <v>42</v>
      </c>
      <c r="P259" s="16" t="s">
        <v>440</v>
      </c>
      <c r="Q259" s="32">
        <v>58998995.47496666</v>
      </c>
      <c r="R259" s="32"/>
      <c r="S259" s="32"/>
      <c r="T259" s="32"/>
      <c r="U259"/>
      <c r="V259"/>
    </row>
    <row r="260" spans="3:22" x14ac:dyDescent="0.25">
      <c r="C260" s="24" t="s">
        <v>241</v>
      </c>
      <c r="D260" s="24" t="s">
        <v>242</v>
      </c>
      <c r="E260" s="24" t="s">
        <v>243</v>
      </c>
      <c r="F260" s="25" t="s">
        <v>36</v>
      </c>
      <c r="G260" s="24" t="s">
        <v>37</v>
      </c>
      <c r="H260" s="24" t="s">
        <v>38</v>
      </c>
      <c r="I260" s="24" t="s">
        <v>1046</v>
      </c>
      <c r="J260" s="24" t="s">
        <v>132</v>
      </c>
      <c r="K260" s="24" t="s">
        <v>64</v>
      </c>
      <c r="L260" s="24" t="s">
        <v>40</v>
      </c>
      <c r="M260" s="24">
        <v>0</v>
      </c>
      <c r="N260" s="24" t="s">
        <v>241</v>
      </c>
      <c r="O260" s="24" t="s">
        <v>42</v>
      </c>
      <c r="P260" s="16" t="s">
        <v>43</v>
      </c>
      <c r="Q260" s="32">
        <v>0</v>
      </c>
      <c r="R260" s="32"/>
      <c r="S260" s="32"/>
      <c r="T260" s="32"/>
      <c r="U260"/>
      <c r="V260"/>
    </row>
    <row r="261" spans="3:22" x14ac:dyDescent="0.25">
      <c r="C261" s="24" t="s">
        <v>244</v>
      </c>
      <c r="D261" s="24" t="s">
        <v>245</v>
      </c>
      <c r="E261" s="24" t="s">
        <v>245</v>
      </c>
      <c r="F261" s="25" t="s">
        <v>36</v>
      </c>
      <c r="G261" s="24" t="s">
        <v>37</v>
      </c>
      <c r="H261" s="24" t="s">
        <v>81</v>
      </c>
      <c r="I261" s="24" t="s">
        <v>1046</v>
      </c>
      <c r="J261" s="24">
        <v>0</v>
      </c>
      <c r="K261" s="24" t="s">
        <v>133</v>
      </c>
      <c r="L261" s="24" t="s">
        <v>40</v>
      </c>
      <c r="M261" s="24">
        <v>0</v>
      </c>
      <c r="N261" s="24" t="s">
        <v>244</v>
      </c>
      <c r="O261" s="24" t="s">
        <v>42</v>
      </c>
      <c r="P261" s="16" t="s">
        <v>43</v>
      </c>
      <c r="Q261" s="32">
        <v>0</v>
      </c>
      <c r="R261" s="32"/>
      <c r="S261" s="32"/>
      <c r="T261" s="32"/>
      <c r="U261"/>
      <c r="V261"/>
    </row>
    <row r="262" spans="3:22" x14ac:dyDescent="0.25">
      <c r="C262" s="24" t="s">
        <v>246</v>
      </c>
      <c r="D262" s="24" t="s">
        <v>247</v>
      </c>
      <c r="E262" s="24" t="s">
        <v>247</v>
      </c>
      <c r="F262" s="25" t="s">
        <v>36</v>
      </c>
      <c r="G262" s="24" t="s">
        <v>37</v>
      </c>
      <c r="H262" s="24" t="s">
        <v>38</v>
      </c>
      <c r="I262" s="24" t="s">
        <v>1046</v>
      </c>
      <c r="J262" s="24" t="s">
        <v>248</v>
      </c>
      <c r="K262" s="24" t="s">
        <v>138</v>
      </c>
      <c r="L262" s="24" t="s">
        <v>40</v>
      </c>
      <c r="M262" s="24">
        <v>0</v>
      </c>
      <c r="N262" s="24" t="s">
        <v>246</v>
      </c>
      <c r="O262" s="24" t="s">
        <v>42</v>
      </c>
      <c r="P262" s="16" t="s">
        <v>43</v>
      </c>
      <c r="Q262" s="32">
        <v>0</v>
      </c>
      <c r="R262" s="32"/>
      <c r="S262" s="32"/>
      <c r="T262" s="32"/>
      <c r="U262"/>
      <c r="V262"/>
    </row>
    <row r="263" spans="3:22" x14ac:dyDescent="0.25">
      <c r="C263" s="24" t="s">
        <v>249</v>
      </c>
      <c r="D263" s="24" t="s">
        <v>250</v>
      </c>
      <c r="E263" s="24" t="s">
        <v>250</v>
      </c>
      <c r="F263" s="25" t="s">
        <v>36</v>
      </c>
      <c r="G263" s="24" t="s">
        <v>37</v>
      </c>
      <c r="H263" s="24" t="s">
        <v>38</v>
      </c>
      <c r="I263" s="24" t="s">
        <v>1046</v>
      </c>
      <c r="J263" s="24" t="s">
        <v>94</v>
      </c>
      <c r="K263" s="24" t="s">
        <v>138</v>
      </c>
      <c r="L263" s="24" t="s">
        <v>40</v>
      </c>
      <c r="M263" s="24">
        <v>0</v>
      </c>
      <c r="N263" s="24" t="s">
        <v>249</v>
      </c>
      <c r="O263" s="24" t="s">
        <v>42</v>
      </c>
      <c r="P263" s="16" t="s">
        <v>43</v>
      </c>
      <c r="Q263" s="32">
        <v>0</v>
      </c>
      <c r="R263" s="32"/>
      <c r="S263" s="32"/>
      <c r="T263" s="32"/>
      <c r="U263"/>
      <c r="V263"/>
    </row>
    <row r="264" spans="3:22" x14ac:dyDescent="0.25">
      <c r="C264" s="24" t="s">
        <v>251</v>
      </c>
      <c r="D264" s="24" t="s">
        <v>252</v>
      </c>
      <c r="E264" s="24" t="s">
        <v>253</v>
      </c>
      <c r="F264" s="25" t="s">
        <v>36</v>
      </c>
      <c r="G264" s="24" t="s">
        <v>37</v>
      </c>
      <c r="H264" s="24" t="s">
        <v>38</v>
      </c>
      <c r="I264" s="24" t="s">
        <v>1046</v>
      </c>
      <c r="J264" s="24">
        <v>0</v>
      </c>
      <c r="K264" s="24" t="s">
        <v>64</v>
      </c>
      <c r="L264" s="24" t="s">
        <v>40</v>
      </c>
      <c r="M264" s="24">
        <v>0</v>
      </c>
      <c r="N264" s="24" t="s">
        <v>251</v>
      </c>
      <c r="O264" s="24" t="s">
        <v>42</v>
      </c>
      <c r="P264" s="16" t="s">
        <v>43</v>
      </c>
      <c r="Q264" s="32">
        <v>0</v>
      </c>
      <c r="R264" s="32"/>
      <c r="S264" s="32"/>
      <c r="T264" s="32"/>
      <c r="U264"/>
      <c r="V264"/>
    </row>
    <row r="265" spans="3:22" x14ac:dyDescent="0.25">
      <c r="C265" s="24" t="s">
        <v>254</v>
      </c>
      <c r="D265" s="24" t="s">
        <v>255</v>
      </c>
      <c r="E265" s="24" t="s">
        <v>255</v>
      </c>
      <c r="F265" s="25" t="s">
        <v>36</v>
      </c>
      <c r="G265" s="24" t="s">
        <v>37</v>
      </c>
      <c r="H265" s="24" t="s">
        <v>38</v>
      </c>
      <c r="I265" s="24" t="s">
        <v>1046</v>
      </c>
      <c r="J265" s="24">
        <v>0</v>
      </c>
      <c r="K265" s="24" t="s">
        <v>51</v>
      </c>
      <c r="L265" s="24" t="s">
        <v>40</v>
      </c>
      <c r="M265" s="24">
        <v>0</v>
      </c>
      <c r="N265" s="24" t="s">
        <v>254</v>
      </c>
      <c r="O265" s="24" t="s">
        <v>42</v>
      </c>
      <c r="P265" s="16" t="s">
        <v>43</v>
      </c>
      <c r="Q265" s="32">
        <v>0</v>
      </c>
      <c r="R265" s="32"/>
      <c r="S265" s="32"/>
      <c r="T265" s="32"/>
      <c r="U265"/>
      <c r="V265"/>
    </row>
    <row r="266" spans="3:22" x14ac:dyDescent="0.25">
      <c r="C266" s="24" t="s">
        <v>590</v>
      </c>
      <c r="D266" s="24" t="s">
        <v>591</v>
      </c>
      <c r="E266" s="24" t="s">
        <v>591</v>
      </c>
      <c r="F266" s="25">
        <v>5</v>
      </c>
      <c r="G266" s="24" t="s">
        <v>376</v>
      </c>
      <c r="H266" s="24" t="s">
        <v>46</v>
      </c>
      <c r="I266" s="24" t="s">
        <v>1030</v>
      </c>
      <c r="J266" s="24" t="s">
        <v>331</v>
      </c>
      <c r="K266" s="24" t="s">
        <v>138</v>
      </c>
      <c r="L266" s="24" t="s">
        <v>40</v>
      </c>
      <c r="M266" s="3" t="s">
        <v>984</v>
      </c>
      <c r="N266" s="24" t="s">
        <v>590</v>
      </c>
      <c r="O266" s="24" t="s">
        <v>42</v>
      </c>
      <c r="P266" s="16" t="s">
        <v>43</v>
      </c>
      <c r="Q266" s="32">
        <v>51884695.350400001</v>
      </c>
      <c r="R266" s="32"/>
      <c r="S266" s="32"/>
      <c r="T266" s="32"/>
      <c r="U266"/>
      <c r="V266"/>
    </row>
    <row r="267" spans="3:22" x14ac:dyDescent="0.25">
      <c r="C267" s="24" t="s">
        <v>447</v>
      </c>
      <c r="D267" s="24" t="s">
        <v>448</v>
      </c>
      <c r="E267" s="24" t="s">
        <v>449</v>
      </c>
      <c r="F267" s="25">
        <v>6</v>
      </c>
      <c r="G267" s="24" t="s">
        <v>376</v>
      </c>
      <c r="H267" s="24" t="s">
        <v>46</v>
      </c>
      <c r="I267" s="24" t="s">
        <v>1030</v>
      </c>
      <c r="J267" s="24" t="s">
        <v>94</v>
      </c>
      <c r="K267" s="24" t="s">
        <v>64</v>
      </c>
      <c r="L267" s="24" t="s">
        <v>40</v>
      </c>
      <c r="M267" s="24" t="s">
        <v>1035</v>
      </c>
      <c r="N267" s="24" t="s">
        <v>447</v>
      </c>
      <c r="O267" s="24" t="s">
        <v>42</v>
      </c>
      <c r="P267" s="16" t="s">
        <v>440</v>
      </c>
      <c r="Q267" s="32">
        <v>37620202.376666673</v>
      </c>
      <c r="R267" s="32"/>
      <c r="S267" s="32"/>
      <c r="T267" s="32"/>
      <c r="U267"/>
      <c r="V267"/>
    </row>
    <row r="268" spans="3:22" x14ac:dyDescent="0.25">
      <c r="C268" s="24" t="s">
        <v>256</v>
      </c>
      <c r="D268" s="24" t="s">
        <v>257</v>
      </c>
      <c r="E268" s="24" t="s">
        <v>257</v>
      </c>
      <c r="F268" s="25" t="s">
        <v>36</v>
      </c>
      <c r="G268" s="24" t="s">
        <v>37</v>
      </c>
      <c r="H268" s="24" t="s">
        <v>38</v>
      </c>
      <c r="I268" s="24" t="s">
        <v>1046</v>
      </c>
      <c r="J268" s="24">
        <v>0</v>
      </c>
      <c r="K268" s="24" t="s">
        <v>138</v>
      </c>
      <c r="L268" s="24" t="s">
        <v>40</v>
      </c>
      <c r="M268" s="24">
        <v>0</v>
      </c>
      <c r="N268" s="24" t="s">
        <v>256</v>
      </c>
      <c r="O268" s="24" t="s">
        <v>42</v>
      </c>
      <c r="P268" s="16" t="s">
        <v>43</v>
      </c>
      <c r="Q268" s="32">
        <v>0</v>
      </c>
      <c r="R268" s="32"/>
      <c r="S268" s="32"/>
      <c r="T268" s="32"/>
      <c r="U268"/>
      <c r="V268"/>
    </row>
    <row r="269" spans="3:22" x14ac:dyDescent="0.25">
      <c r="C269" s="24" t="s">
        <v>450</v>
      </c>
      <c r="D269" s="24" t="s">
        <v>451</v>
      </c>
      <c r="E269" s="24" t="s">
        <v>452</v>
      </c>
      <c r="F269" s="25">
        <v>5</v>
      </c>
      <c r="G269" s="24" t="s">
        <v>376</v>
      </c>
      <c r="H269" s="24" t="s">
        <v>46</v>
      </c>
      <c r="I269" s="24" t="s">
        <v>1030</v>
      </c>
      <c r="J269" s="24" t="s">
        <v>94</v>
      </c>
      <c r="K269" s="24" t="s">
        <v>64</v>
      </c>
      <c r="L269" s="24" t="s">
        <v>40</v>
      </c>
      <c r="M269" s="24" t="s">
        <v>1035</v>
      </c>
      <c r="N269" s="24" t="s">
        <v>450</v>
      </c>
      <c r="O269" s="24" t="s">
        <v>42</v>
      </c>
      <c r="P269" s="16" t="s">
        <v>43</v>
      </c>
      <c r="Q269" s="32">
        <v>40209421.007333323</v>
      </c>
      <c r="R269" s="32"/>
      <c r="S269" s="32"/>
      <c r="T269" s="32"/>
      <c r="U269"/>
      <c r="V269"/>
    </row>
    <row r="270" spans="3:22" x14ac:dyDescent="0.25">
      <c r="C270" s="24" t="s">
        <v>965</v>
      </c>
      <c r="D270" s="24" t="s">
        <v>966</v>
      </c>
      <c r="E270" s="24" t="s">
        <v>967</v>
      </c>
      <c r="F270" s="25">
        <v>5</v>
      </c>
      <c r="G270" s="24" t="s">
        <v>376</v>
      </c>
      <c r="H270" s="24" t="s">
        <v>46</v>
      </c>
      <c r="I270" s="24" t="s">
        <v>1030</v>
      </c>
      <c r="J270" s="24" t="s">
        <v>160</v>
      </c>
      <c r="K270" s="24" t="s">
        <v>353</v>
      </c>
      <c r="L270" s="24" t="s">
        <v>40</v>
      </c>
      <c r="M270" s="3" t="s">
        <v>984</v>
      </c>
      <c r="N270" s="24" t="s">
        <v>965</v>
      </c>
      <c r="O270" s="24" t="s">
        <v>42</v>
      </c>
      <c r="P270" s="16" t="s">
        <v>43</v>
      </c>
      <c r="Q270" s="32">
        <v>33475093.910466667</v>
      </c>
      <c r="R270" s="32"/>
      <c r="S270" s="32"/>
      <c r="T270" s="32"/>
      <c r="U270"/>
      <c r="V270"/>
    </row>
    <row r="271" spans="3:22" x14ac:dyDescent="0.25">
      <c r="C271" s="24" t="s">
        <v>258</v>
      </c>
      <c r="D271" s="24" t="s">
        <v>259</v>
      </c>
      <c r="E271" s="24" t="s">
        <v>260</v>
      </c>
      <c r="F271" s="25" t="s">
        <v>36</v>
      </c>
      <c r="G271" s="24" t="s">
        <v>37</v>
      </c>
      <c r="H271" s="24" t="s">
        <v>38</v>
      </c>
      <c r="I271" s="24" t="s">
        <v>1046</v>
      </c>
      <c r="J271" s="24" t="s">
        <v>50</v>
      </c>
      <c r="K271" s="24" t="s">
        <v>51</v>
      </c>
      <c r="L271" s="24" t="s">
        <v>40</v>
      </c>
      <c r="M271" s="24">
        <v>0</v>
      </c>
      <c r="N271" s="24" t="s">
        <v>258</v>
      </c>
      <c r="O271" s="24" t="s">
        <v>42</v>
      </c>
      <c r="P271" s="16" t="s">
        <v>43</v>
      </c>
      <c r="Q271" s="32">
        <v>0</v>
      </c>
      <c r="R271" s="32"/>
      <c r="S271" s="32"/>
      <c r="T271" s="32"/>
      <c r="U271"/>
      <c r="V271"/>
    </row>
    <row r="272" spans="3:22" x14ac:dyDescent="0.25">
      <c r="C272" s="24" t="s">
        <v>261</v>
      </c>
      <c r="D272" s="24" t="s">
        <v>262</v>
      </c>
      <c r="E272" s="24" t="s">
        <v>263</v>
      </c>
      <c r="F272" s="25" t="s">
        <v>36</v>
      </c>
      <c r="G272" s="24" t="s">
        <v>37</v>
      </c>
      <c r="H272" s="24" t="s">
        <v>38</v>
      </c>
      <c r="I272" s="24" t="s">
        <v>1046</v>
      </c>
      <c r="J272" s="24" t="s">
        <v>58</v>
      </c>
      <c r="K272" s="24" t="s">
        <v>138</v>
      </c>
      <c r="L272" s="24" t="s">
        <v>40</v>
      </c>
      <c r="M272" s="24">
        <v>0</v>
      </c>
      <c r="N272" s="24" t="s">
        <v>261</v>
      </c>
      <c r="O272" s="24" t="s">
        <v>42</v>
      </c>
      <c r="P272" s="16" t="s">
        <v>43</v>
      </c>
      <c r="Q272" s="32">
        <v>0</v>
      </c>
      <c r="R272" s="32"/>
      <c r="S272" s="32"/>
      <c r="T272" s="32"/>
      <c r="U272"/>
      <c r="V272"/>
    </row>
    <row r="273" spans="3:22" x14ac:dyDescent="0.25">
      <c r="C273" s="24" t="s">
        <v>791</v>
      </c>
      <c r="D273" s="24" t="s">
        <v>793</v>
      </c>
      <c r="E273" s="24" t="s">
        <v>1000</v>
      </c>
      <c r="F273" s="25">
        <v>5</v>
      </c>
      <c r="G273" s="24" t="s">
        <v>376</v>
      </c>
      <c r="H273" s="24" t="s">
        <v>46</v>
      </c>
      <c r="I273" s="24" t="s">
        <v>1031</v>
      </c>
      <c r="J273" s="24" t="s">
        <v>89</v>
      </c>
      <c r="K273" s="24" t="s">
        <v>109</v>
      </c>
      <c r="L273" s="24" t="s">
        <v>91</v>
      </c>
      <c r="M273" s="24" t="s">
        <v>378</v>
      </c>
      <c r="N273" s="24" t="s">
        <v>791</v>
      </c>
      <c r="O273" s="24" t="s">
        <v>42</v>
      </c>
      <c r="P273" s="16" t="s">
        <v>43</v>
      </c>
      <c r="Q273" s="32">
        <v>49067932.114733323</v>
      </c>
      <c r="R273" s="32"/>
      <c r="S273" s="32"/>
      <c r="T273" s="32"/>
      <c r="U273"/>
      <c r="V273"/>
    </row>
    <row r="274" spans="3:22" x14ac:dyDescent="0.25">
      <c r="C274" s="24" t="s">
        <v>264</v>
      </c>
      <c r="D274" s="24" t="s">
        <v>265</v>
      </c>
      <c r="E274" s="24" t="s">
        <v>266</v>
      </c>
      <c r="F274" s="25" t="s">
        <v>36</v>
      </c>
      <c r="G274" s="24" t="s">
        <v>37</v>
      </c>
      <c r="H274" s="24" t="s">
        <v>38</v>
      </c>
      <c r="I274" s="24" t="s">
        <v>1046</v>
      </c>
      <c r="J274" s="24">
        <v>0</v>
      </c>
      <c r="K274" s="24" t="s">
        <v>51</v>
      </c>
      <c r="L274" s="24" t="s">
        <v>40</v>
      </c>
      <c r="M274" s="24">
        <v>0</v>
      </c>
      <c r="N274" s="24" t="s">
        <v>264</v>
      </c>
      <c r="O274" s="24" t="s">
        <v>42</v>
      </c>
      <c r="P274" s="16" t="s">
        <v>43</v>
      </c>
      <c r="Q274" s="32">
        <v>0</v>
      </c>
      <c r="R274" s="32"/>
      <c r="S274" s="32"/>
      <c r="T274" s="32"/>
      <c r="U274"/>
      <c r="V274"/>
    </row>
    <row r="275" spans="3:22" x14ac:dyDescent="0.25">
      <c r="C275" s="24" t="s">
        <v>267</v>
      </c>
      <c r="D275" s="24" t="s">
        <v>268</v>
      </c>
      <c r="E275" s="24" t="s">
        <v>269</v>
      </c>
      <c r="F275" s="25" t="s">
        <v>36</v>
      </c>
      <c r="G275" s="24" t="s">
        <v>37</v>
      </c>
      <c r="H275" s="24" t="s">
        <v>38</v>
      </c>
      <c r="I275" s="24" t="s">
        <v>1046</v>
      </c>
      <c r="J275" s="24">
        <v>0</v>
      </c>
      <c r="K275" s="24" t="s">
        <v>51</v>
      </c>
      <c r="L275" s="24" t="s">
        <v>40</v>
      </c>
      <c r="M275" s="24">
        <v>0</v>
      </c>
      <c r="N275" s="24" t="s">
        <v>267</v>
      </c>
      <c r="O275" s="24" t="s">
        <v>42</v>
      </c>
      <c r="P275" s="16" t="s">
        <v>43</v>
      </c>
      <c r="Q275" s="32">
        <v>0</v>
      </c>
      <c r="R275" s="32"/>
      <c r="S275" s="32"/>
      <c r="T275" s="32"/>
      <c r="U275"/>
      <c r="V275"/>
    </row>
    <row r="276" spans="3:22" x14ac:dyDescent="0.25">
      <c r="C276" s="24" t="s">
        <v>270</v>
      </c>
      <c r="D276" s="24" t="s">
        <v>271</v>
      </c>
      <c r="E276" s="24" t="s">
        <v>271</v>
      </c>
      <c r="F276" s="25" t="s">
        <v>36</v>
      </c>
      <c r="G276" s="24" t="s">
        <v>37</v>
      </c>
      <c r="H276" s="24" t="s">
        <v>38</v>
      </c>
      <c r="I276" s="24" t="s">
        <v>1046</v>
      </c>
      <c r="J276" s="24" t="s">
        <v>100</v>
      </c>
      <c r="K276" s="24" t="s">
        <v>59</v>
      </c>
      <c r="L276" s="24" t="s">
        <v>40</v>
      </c>
      <c r="M276" s="24">
        <v>0</v>
      </c>
      <c r="N276" s="24" t="s">
        <v>270</v>
      </c>
      <c r="O276" s="24" t="s">
        <v>42</v>
      </c>
      <c r="P276" s="16" t="s">
        <v>43</v>
      </c>
      <c r="Q276" s="32">
        <v>0</v>
      </c>
      <c r="R276" s="32"/>
      <c r="S276" s="32"/>
      <c r="T276" s="32"/>
      <c r="U276"/>
      <c r="V276"/>
    </row>
    <row r="277" spans="3:22" x14ac:dyDescent="0.25">
      <c r="C277" s="24" t="s">
        <v>631</v>
      </c>
      <c r="D277" s="24" t="s">
        <v>633</v>
      </c>
      <c r="E277" s="24" t="s">
        <v>1001</v>
      </c>
      <c r="F277" s="25">
        <v>5</v>
      </c>
      <c r="G277" s="24" t="s">
        <v>376</v>
      </c>
      <c r="H277" s="24" t="s">
        <v>46</v>
      </c>
      <c r="I277" s="24" t="s">
        <v>1030</v>
      </c>
      <c r="J277" s="24" t="s">
        <v>50</v>
      </c>
      <c r="K277" s="24" t="s">
        <v>51</v>
      </c>
      <c r="L277" s="24" t="s">
        <v>40</v>
      </c>
      <c r="M277" s="24" t="s">
        <v>514</v>
      </c>
      <c r="N277" s="24" t="s">
        <v>631</v>
      </c>
      <c r="O277" s="24" t="s">
        <v>42</v>
      </c>
      <c r="P277" s="16" t="s">
        <v>43</v>
      </c>
      <c r="Q277" s="32">
        <v>26851585.785133321</v>
      </c>
      <c r="R277" s="32"/>
      <c r="S277" s="32"/>
      <c r="T277" s="32"/>
      <c r="U277"/>
      <c r="V277"/>
    </row>
    <row r="278" spans="3:22" x14ac:dyDescent="0.25">
      <c r="C278" s="24" t="s">
        <v>272</v>
      </c>
      <c r="D278" s="24" t="s">
        <v>273</v>
      </c>
      <c r="E278" s="24" t="s">
        <v>274</v>
      </c>
      <c r="F278" s="25" t="s">
        <v>36</v>
      </c>
      <c r="G278" s="24" t="s">
        <v>37</v>
      </c>
      <c r="H278" s="24" t="s">
        <v>38</v>
      </c>
      <c r="I278" s="24" t="s">
        <v>1046</v>
      </c>
      <c r="J278" s="24" t="s">
        <v>73</v>
      </c>
      <c r="K278" s="24" t="s">
        <v>275</v>
      </c>
      <c r="L278" s="24" t="s">
        <v>40</v>
      </c>
      <c r="M278" s="24">
        <v>0</v>
      </c>
      <c r="N278" s="24" t="s">
        <v>272</v>
      </c>
      <c r="O278" s="24" t="s">
        <v>42</v>
      </c>
      <c r="P278" s="16" t="s">
        <v>43</v>
      </c>
      <c r="Q278" s="32">
        <v>0</v>
      </c>
      <c r="R278" s="32"/>
      <c r="S278" s="32"/>
      <c r="T278" s="32"/>
      <c r="U278"/>
      <c r="V278"/>
    </row>
    <row r="279" spans="3:22" x14ac:dyDescent="0.25">
      <c r="C279" s="24" t="s">
        <v>690</v>
      </c>
      <c r="D279" s="24" t="s">
        <v>691</v>
      </c>
      <c r="E279" s="24" t="s">
        <v>692</v>
      </c>
      <c r="F279" s="25">
        <v>5</v>
      </c>
      <c r="G279" s="24" t="s">
        <v>376</v>
      </c>
      <c r="H279" s="24" t="s">
        <v>46</v>
      </c>
      <c r="I279" s="24" t="s">
        <v>1030</v>
      </c>
      <c r="J279" s="24" t="s">
        <v>248</v>
      </c>
      <c r="K279" s="24" t="s">
        <v>51</v>
      </c>
      <c r="L279" s="24" t="s">
        <v>40</v>
      </c>
      <c r="M279" s="3" t="s">
        <v>984</v>
      </c>
      <c r="N279" s="24" t="s">
        <v>690</v>
      </c>
      <c r="O279" s="24" t="s">
        <v>42</v>
      </c>
      <c r="P279" s="16" t="s">
        <v>440</v>
      </c>
      <c r="Q279" s="32">
        <v>39610015.479866654</v>
      </c>
      <c r="R279" s="32"/>
      <c r="S279" s="32"/>
      <c r="T279" s="32"/>
      <c r="U279"/>
      <c r="V279"/>
    </row>
    <row r="280" spans="3:22" x14ac:dyDescent="0.25">
      <c r="C280" s="24" t="s">
        <v>276</v>
      </c>
      <c r="D280" s="24" t="s">
        <v>277</v>
      </c>
      <c r="E280" s="24" t="s">
        <v>278</v>
      </c>
      <c r="F280" s="25" t="s">
        <v>36</v>
      </c>
      <c r="G280" s="24" t="s">
        <v>37</v>
      </c>
      <c r="H280" s="24" t="s">
        <v>38</v>
      </c>
      <c r="I280" s="24" t="s">
        <v>1046</v>
      </c>
      <c r="J280" s="24" t="s">
        <v>84</v>
      </c>
      <c r="K280" s="24" t="s">
        <v>279</v>
      </c>
      <c r="L280" s="24" t="s">
        <v>55</v>
      </c>
      <c r="M280" s="24">
        <v>0</v>
      </c>
      <c r="N280" s="24" t="s">
        <v>276</v>
      </c>
      <c r="O280" s="24" t="s">
        <v>42</v>
      </c>
      <c r="P280" s="16" t="s">
        <v>43</v>
      </c>
      <c r="Q280" s="32">
        <v>0</v>
      </c>
      <c r="R280" s="32"/>
      <c r="S280" s="32"/>
      <c r="T280" s="32"/>
      <c r="U280"/>
      <c r="V280"/>
    </row>
    <row r="281" spans="3:22" x14ac:dyDescent="0.25">
      <c r="C281" s="24" t="s">
        <v>731</v>
      </c>
      <c r="D281" s="24" t="s">
        <v>732</v>
      </c>
      <c r="E281" s="24" t="s">
        <v>54</v>
      </c>
      <c r="F281" s="25">
        <v>5</v>
      </c>
      <c r="G281" s="24" t="s">
        <v>376</v>
      </c>
      <c r="H281" s="24" t="s">
        <v>46</v>
      </c>
      <c r="I281" s="24" t="s">
        <v>1031</v>
      </c>
      <c r="J281" s="24" t="s">
        <v>84</v>
      </c>
      <c r="K281" s="24" t="s">
        <v>54</v>
      </c>
      <c r="L281" s="24" t="s">
        <v>55</v>
      </c>
      <c r="M281" s="24" t="s">
        <v>378</v>
      </c>
      <c r="N281" s="24" t="s">
        <v>731</v>
      </c>
      <c r="O281" s="24" t="s">
        <v>42</v>
      </c>
      <c r="P281" s="16" t="s">
        <v>440</v>
      </c>
      <c r="Q281" s="32">
        <v>29319190.774683326</v>
      </c>
      <c r="R281" s="32"/>
      <c r="S281" s="32"/>
      <c r="T281" s="32"/>
      <c r="U281"/>
      <c r="V281"/>
    </row>
    <row r="282" spans="3:22" x14ac:dyDescent="0.25">
      <c r="C282" s="24" t="s">
        <v>453</v>
      </c>
      <c r="D282" s="24" t="s">
        <v>454</v>
      </c>
      <c r="E282" s="24" t="s">
        <v>454</v>
      </c>
      <c r="F282" s="25">
        <v>5</v>
      </c>
      <c r="G282" s="24" t="s">
        <v>376</v>
      </c>
      <c r="H282" s="24" t="s">
        <v>46</v>
      </c>
      <c r="I282" s="24" t="s">
        <v>1030</v>
      </c>
      <c r="J282" s="24" t="s">
        <v>94</v>
      </c>
      <c r="K282" s="24" t="s">
        <v>64</v>
      </c>
      <c r="L282" s="24" t="s">
        <v>40</v>
      </c>
      <c r="M282" s="24" t="s">
        <v>1035</v>
      </c>
      <c r="N282" s="24" t="s">
        <v>453</v>
      </c>
      <c r="O282" s="24" t="s">
        <v>42</v>
      </c>
      <c r="P282" s="16" t="s">
        <v>440</v>
      </c>
      <c r="Q282" s="32">
        <v>35788917.297216661</v>
      </c>
      <c r="R282" s="32"/>
      <c r="S282" s="32"/>
      <c r="T282" s="32"/>
      <c r="U282"/>
      <c r="V282"/>
    </row>
    <row r="283" spans="3:22" x14ac:dyDescent="0.25">
      <c r="C283" s="24" t="s">
        <v>280</v>
      </c>
      <c r="D283" s="24" t="s">
        <v>281</v>
      </c>
      <c r="E283" s="24" t="s">
        <v>281</v>
      </c>
      <c r="F283" s="25" t="s">
        <v>36</v>
      </c>
      <c r="G283" s="24" t="s">
        <v>37</v>
      </c>
      <c r="H283" s="24" t="s">
        <v>38</v>
      </c>
      <c r="I283" s="24" t="s">
        <v>1046</v>
      </c>
      <c r="J283" s="24" t="s">
        <v>132</v>
      </c>
      <c r="K283" s="24" t="s">
        <v>64</v>
      </c>
      <c r="L283" s="24" t="s">
        <v>40</v>
      </c>
      <c r="M283" s="24">
        <v>0</v>
      </c>
      <c r="N283" s="24" t="s">
        <v>280</v>
      </c>
      <c r="O283" s="24" t="s">
        <v>42</v>
      </c>
      <c r="P283" s="16" t="s">
        <v>43</v>
      </c>
      <c r="Q283" s="32">
        <v>0</v>
      </c>
      <c r="R283" s="32"/>
      <c r="S283" s="32"/>
      <c r="T283" s="32"/>
      <c r="U283"/>
      <c r="V283"/>
    </row>
    <row r="284" spans="3:22" x14ac:dyDescent="0.25">
      <c r="C284" s="24" t="s">
        <v>282</v>
      </c>
      <c r="D284" s="24" t="s">
        <v>283</v>
      </c>
      <c r="E284" s="24" t="s">
        <v>284</v>
      </c>
      <c r="F284" s="25" t="s">
        <v>36</v>
      </c>
      <c r="G284" s="24" t="s">
        <v>37</v>
      </c>
      <c r="H284" s="24" t="s">
        <v>38</v>
      </c>
      <c r="I284" s="24" t="s">
        <v>1046</v>
      </c>
      <c r="J284" s="24">
        <v>0</v>
      </c>
      <c r="K284" s="24" t="s">
        <v>279</v>
      </c>
      <c r="L284" s="24" t="s">
        <v>55</v>
      </c>
      <c r="M284" s="24">
        <v>0</v>
      </c>
      <c r="N284" s="24" t="s">
        <v>282</v>
      </c>
      <c r="O284" s="24" t="s">
        <v>42</v>
      </c>
      <c r="P284" s="16" t="s">
        <v>43</v>
      </c>
      <c r="Q284" s="32">
        <v>0</v>
      </c>
      <c r="R284" s="32"/>
      <c r="S284" s="32"/>
      <c r="T284" s="32"/>
      <c r="U284"/>
      <c r="V284"/>
    </row>
    <row r="285" spans="3:22" x14ac:dyDescent="0.25">
      <c r="C285" s="24" t="s">
        <v>455</v>
      </c>
      <c r="D285" s="24" t="s">
        <v>456</v>
      </c>
      <c r="E285" s="24" t="s">
        <v>1002</v>
      </c>
      <c r="F285" s="25">
        <v>5</v>
      </c>
      <c r="G285" s="24" t="s">
        <v>376</v>
      </c>
      <c r="H285" s="24" t="s">
        <v>46</v>
      </c>
      <c r="I285" s="24" t="s">
        <v>1030</v>
      </c>
      <c r="J285" s="24" t="s">
        <v>94</v>
      </c>
      <c r="K285" s="24" t="s">
        <v>64</v>
      </c>
      <c r="L285" s="24" t="s">
        <v>40</v>
      </c>
      <c r="M285" s="24" t="s">
        <v>1035</v>
      </c>
      <c r="N285" s="24" t="s">
        <v>455</v>
      </c>
      <c r="O285" s="24" t="s">
        <v>42</v>
      </c>
      <c r="P285" s="16" t="s">
        <v>440</v>
      </c>
      <c r="Q285" s="32">
        <v>46600422.548666663</v>
      </c>
      <c r="R285" s="32"/>
      <c r="S285" s="32"/>
      <c r="T285" s="32"/>
      <c r="U285"/>
      <c r="V285"/>
    </row>
    <row r="286" spans="3:22" x14ac:dyDescent="0.25">
      <c r="C286" s="24" t="s">
        <v>285</v>
      </c>
      <c r="D286" s="24" t="s">
        <v>286</v>
      </c>
      <c r="E286" s="24" t="s">
        <v>287</v>
      </c>
      <c r="F286" s="25" t="s">
        <v>36</v>
      </c>
      <c r="G286" s="24" t="s">
        <v>37</v>
      </c>
      <c r="H286" s="24" t="s">
        <v>38</v>
      </c>
      <c r="I286" s="24" t="s">
        <v>1046</v>
      </c>
      <c r="J286" s="24">
        <v>0</v>
      </c>
      <c r="K286" s="24" t="s">
        <v>51</v>
      </c>
      <c r="L286" s="24" t="s">
        <v>40</v>
      </c>
      <c r="M286" s="24">
        <v>0</v>
      </c>
      <c r="N286" s="24" t="s">
        <v>285</v>
      </c>
      <c r="O286" s="24" t="s">
        <v>42</v>
      </c>
      <c r="P286" s="16" t="s">
        <v>43</v>
      </c>
      <c r="Q286" s="32">
        <v>0</v>
      </c>
      <c r="R286" s="32"/>
      <c r="S286" s="32"/>
      <c r="T286" s="32"/>
      <c r="U286"/>
      <c r="V286"/>
    </row>
    <row r="287" spans="3:22" x14ac:dyDescent="0.25">
      <c r="C287" s="24" t="s">
        <v>288</v>
      </c>
      <c r="D287" s="24" t="s">
        <v>289</v>
      </c>
      <c r="E287" s="24" t="s">
        <v>290</v>
      </c>
      <c r="F287" s="25" t="s">
        <v>36</v>
      </c>
      <c r="G287" s="24" t="s">
        <v>37</v>
      </c>
      <c r="H287" s="24" t="s">
        <v>38</v>
      </c>
      <c r="I287" s="24" t="s">
        <v>1046</v>
      </c>
      <c r="J287" s="24">
        <v>0</v>
      </c>
      <c r="K287" s="24" t="s">
        <v>59</v>
      </c>
      <c r="L287" s="24" t="s">
        <v>40</v>
      </c>
      <c r="M287" s="24">
        <v>0</v>
      </c>
      <c r="N287" s="24" t="s">
        <v>288</v>
      </c>
      <c r="O287" s="24" t="s">
        <v>42</v>
      </c>
      <c r="P287" s="16" t="s">
        <v>43</v>
      </c>
      <c r="Q287" s="32">
        <v>0</v>
      </c>
      <c r="R287" s="32"/>
      <c r="S287" s="32"/>
      <c r="T287" s="32"/>
      <c r="U287"/>
      <c r="V287"/>
    </row>
    <row r="288" spans="3:22" x14ac:dyDescent="0.25">
      <c r="C288" s="24" t="s">
        <v>291</v>
      </c>
      <c r="D288" s="24" t="s">
        <v>292</v>
      </c>
      <c r="E288" s="24" t="s">
        <v>292</v>
      </c>
      <c r="F288" s="25" t="s">
        <v>36</v>
      </c>
      <c r="G288" s="24" t="s">
        <v>37</v>
      </c>
      <c r="H288" s="24" t="s">
        <v>38</v>
      </c>
      <c r="I288" s="24" t="s">
        <v>1046</v>
      </c>
      <c r="J288" s="24" t="s">
        <v>94</v>
      </c>
      <c r="K288" s="24" t="s">
        <v>51</v>
      </c>
      <c r="L288" s="24" t="s">
        <v>40</v>
      </c>
      <c r="M288" s="24">
        <v>0</v>
      </c>
      <c r="N288" s="24" t="s">
        <v>291</v>
      </c>
      <c r="O288" s="24" t="s">
        <v>42</v>
      </c>
      <c r="P288" s="16" t="s">
        <v>43</v>
      </c>
      <c r="Q288" s="32">
        <v>0</v>
      </c>
      <c r="R288" s="32"/>
      <c r="S288" s="32"/>
      <c r="T288" s="32"/>
      <c r="U288"/>
      <c r="V288"/>
    </row>
    <row r="289" spans="3:22" x14ac:dyDescent="0.25">
      <c r="C289" s="24" t="s">
        <v>293</v>
      </c>
      <c r="D289" s="24" t="s">
        <v>294</v>
      </c>
      <c r="E289" s="24" t="s">
        <v>294</v>
      </c>
      <c r="F289" s="25" t="s">
        <v>36</v>
      </c>
      <c r="G289" s="24" t="s">
        <v>37</v>
      </c>
      <c r="H289" s="24" t="s">
        <v>38</v>
      </c>
      <c r="I289" s="24" t="s">
        <v>1046</v>
      </c>
      <c r="J289" s="24" t="s">
        <v>73</v>
      </c>
      <c r="K289" s="24" t="s">
        <v>64</v>
      </c>
      <c r="L289" s="24" t="s">
        <v>40</v>
      </c>
      <c r="M289" s="24">
        <v>0</v>
      </c>
      <c r="N289" s="24" t="s">
        <v>293</v>
      </c>
      <c r="O289" s="24" t="s">
        <v>42</v>
      </c>
      <c r="P289" s="16" t="s">
        <v>43</v>
      </c>
      <c r="Q289" s="32">
        <v>0</v>
      </c>
      <c r="R289" s="32"/>
      <c r="S289" s="32"/>
      <c r="T289" s="32"/>
      <c r="U289"/>
      <c r="V289"/>
    </row>
    <row r="290" spans="3:22" x14ac:dyDescent="0.25">
      <c r="C290" s="24" t="s">
        <v>295</v>
      </c>
      <c r="D290" s="24" t="s">
        <v>296</v>
      </c>
      <c r="E290" s="24" t="s">
        <v>297</v>
      </c>
      <c r="F290" s="25" t="s">
        <v>36</v>
      </c>
      <c r="G290" s="24" t="s">
        <v>37</v>
      </c>
      <c r="H290" s="24" t="s">
        <v>38</v>
      </c>
      <c r="I290" s="24" t="s">
        <v>1046</v>
      </c>
      <c r="J290" s="24" t="s">
        <v>94</v>
      </c>
      <c r="K290" s="24" t="s">
        <v>64</v>
      </c>
      <c r="L290" s="24" t="s">
        <v>40</v>
      </c>
      <c r="M290" s="24">
        <v>0</v>
      </c>
      <c r="N290" s="24" t="s">
        <v>295</v>
      </c>
      <c r="O290" s="24" t="s">
        <v>42</v>
      </c>
      <c r="P290" s="16" t="s">
        <v>43</v>
      </c>
      <c r="Q290" s="32">
        <v>0</v>
      </c>
      <c r="R290" s="32"/>
      <c r="S290" s="32"/>
      <c r="T290" s="32"/>
      <c r="U290"/>
      <c r="V290"/>
    </row>
    <row r="291" spans="3:22" x14ac:dyDescent="0.25">
      <c r="C291" s="24" t="s">
        <v>298</v>
      </c>
      <c r="D291" s="24" t="s">
        <v>299</v>
      </c>
      <c r="E291" s="24" t="s">
        <v>300</v>
      </c>
      <c r="F291" s="25" t="s">
        <v>36</v>
      </c>
      <c r="G291" s="24" t="s">
        <v>37</v>
      </c>
      <c r="H291" s="24" t="s">
        <v>38</v>
      </c>
      <c r="I291" s="24" t="s">
        <v>1046</v>
      </c>
      <c r="J291" s="24" t="s">
        <v>58</v>
      </c>
      <c r="K291" s="24" t="s">
        <v>59</v>
      </c>
      <c r="L291" s="24" t="s">
        <v>40</v>
      </c>
      <c r="M291" s="24">
        <v>0</v>
      </c>
      <c r="N291" s="24" t="s">
        <v>298</v>
      </c>
      <c r="O291" s="24" t="s">
        <v>42</v>
      </c>
      <c r="P291" s="16" t="s">
        <v>43</v>
      </c>
      <c r="Q291" s="32">
        <v>0</v>
      </c>
      <c r="R291" s="32"/>
      <c r="S291" s="32"/>
      <c r="T291" s="32"/>
      <c r="U291"/>
      <c r="V291"/>
    </row>
    <row r="292" spans="3:22" x14ac:dyDescent="0.25">
      <c r="C292" s="24" t="s">
        <v>794</v>
      </c>
      <c r="D292" s="24" t="s">
        <v>795</v>
      </c>
      <c r="E292" s="24" t="s">
        <v>795</v>
      </c>
      <c r="F292" s="25">
        <v>0</v>
      </c>
      <c r="G292" s="24" t="s">
        <v>37</v>
      </c>
      <c r="H292" s="24" t="s">
        <v>46</v>
      </c>
      <c r="I292" s="24" t="s">
        <v>1031</v>
      </c>
      <c r="J292" s="24" t="s">
        <v>89</v>
      </c>
      <c r="K292" s="24" t="s">
        <v>109</v>
      </c>
      <c r="L292" s="24" t="s">
        <v>91</v>
      </c>
      <c r="M292" s="24" t="s">
        <v>378</v>
      </c>
      <c r="N292" s="24" t="s">
        <v>794</v>
      </c>
      <c r="O292" s="24" t="s">
        <v>42</v>
      </c>
      <c r="P292" s="16" t="s">
        <v>43</v>
      </c>
      <c r="Q292" s="32">
        <v>0</v>
      </c>
      <c r="R292" s="32"/>
      <c r="S292" s="32"/>
      <c r="T292" s="32"/>
      <c r="U292"/>
      <c r="V292"/>
    </row>
    <row r="293" spans="3:22" x14ac:dyDescent="0.25">
      <c r="C293" s="24" t="s">
        <v>620</v>
      </c>
      <c r="D293" s="24" t="s">
        <v>622</v>
      </c>
      <c r="E293" s="24" t="s">
        <v>622</v>
      </c>
      <c r="F293" s="25">
        <v>5</v>
      </c>
      <c r="G293" s="24" t="s">
        <v>376</v>
      </c>
      <c r="H293" s="24" t="s">
        <v>46</v>
      </c>
      <c r="I293" s="24" t="s">
        <v>1030</v>
      </c>
      <c r="J293" s="24" t="s">
        <v>50</v>
      </c>
      <c r="K293" s="24" t="s">
        <v>59</v>
      </c>
      <c r="L293" s="24" t="s">
        <v>40</v>
      </c>
      <c r="M293" s="24" t="s">
        <v>514</v>
      </c>
      <c r="N293" s="24" t="s">
        <v>620</v>
      </c>
      <c r="O293" s="24" t="s">
        <v>42</v>
      </c>
      <c r="P293" s="16" t="s">
        <v>43</v>
      </c>
      <c r="Q293" s="32">
        <v>20000000</v>
      </c>
      <c r="R293" s="32"/>
      <c r="S293" s="32"/>
      <c r="T293" s="32"/>
      <c r="U293"/>
      <c r="V293"/>
    </row>
    <row r="294" spans="3:22" x14ac:dyDescent="0.25">
      <c r="C294" s="24" t="s">
        <v>733</v>
      </c>
      <c r="D294" s="24" t="s">
        <v>734</v>
      </c>
      <c r="E294" s="24" t="s">
        <v>735</v>
      </c>
      <c r="F294" s="25">
        <v>6</v>
      </c>
      <c r="G294" s="24" t="s">
        <v>376</v>
      </c>
      <c r="H294" s="24" t="s">
        <v>46</v>
      </c>
      <c r="I294" s="24" t="s">
        <v>1031</v>
      </c>
      <c r="J294" s="24" t="s">
        <v>84</v>
      </c>
      <c r="K294" s="24" t="s">
        <v>54</v>
      </c>
      <c r="L294" s="24" t="s">
        <v>55</v>
      </c>
      <c r="M294" s="24" t="s">
        <v>378</v>
      </c>
      <c r="N294" s="24" t="s">
        <v>733</v>
      </c>
      <c r="O294" s="24" t="s">
        <v>42</v>
      </c>
      <c r="P294" s="16" t="s">
        <v>43</v>
      </c>
      <c r="Q294" s="32">
        <v>73174976.250300005</v>
      </c>
      <c r="R294" s="32"/>
      <c r="S294" s="32"/>
      <c r="T294" s="32"/>
      <c r="U294"/>
      <c r="V294"/>
    </row>
    <row r="295" spans="3:22" x14ac:dyDescent="0.25">
      <c r="C295" s="24" t="s">
        <v>301</v>
      </c>
      <c r="D295" s="24" t="s">
        <v>302</v>
      </c>
      <c r="E295" s="24" t="s">
        <v>303</v>
      </c>
      <c r="F295" s="25" t="s">
        <v>36</v>
      </c>
      <c r="G295" s="24" t="s">
        <v>37</v>
      </c>
      <c r="H295" s="24" t="s">
        <v>38</v>
      </c>
      <c r="I295" s="24" t="s">
        <v>1046</v>
      </c>
      <c r="J295" s="24" t="s">
        <v>132</v>
      </c>
      <c r="K295" s="24" t="s">
        <v>133</v>
      </c>
      <c r="L295" s="24" t="s">
        <v>40</v>
      </c>
      <c r="M295" s="24">
        <v>0</v>
      </c>
      <c r="N295" s="24" t="s">
        <v>301</v>
      </c>
      <c r="O295" s="24" t="s">
        <v>42</v>
      </c>
      <c r="P295" s="16" t="s">
        <v>43</v>
      </c>
      <c r="Q295" s="32">
        <v>0</v>
      </c>
      <c r="R295" s="32"/>
      <c r="S295" s="32"/>
      <c r="T295" s="32"/>
      <c r="U295"/>
      <c r="V295"/>
    </row>
    <row r="296" spans="3:22" x14ac:dyDescent="0.25">
      <c r="C296" s="24" t="s">
        <v>505</v>
      </c>
      <c r="D296" s="24" t="s">
        <v>506</v>
      </c>
      <c r="E296" s="24" t="s">
        <v>506</v>
      </c>
      <c r="F296" s="25">
        <v>5</v>
      </c>
      <c r="G296" s="24" t="s">
        <v>376</v>
      </c>
      <c r="H296" s="24" t="s">
        <v>46</v>
      </c>
      <c r="I296" s="24" t="s">
        <v>1030</v>
      </c>
      <c r="J296" s="24" t="s">
        <v>466</v>
      </c>
      <c r="K296" s="24" t="s">
        <v>51</v>
      </c>
      <c r="L296" s="24" t="s">
        <v>40</v>
      </c>
      <c r="M296" s="24" t="s">
        <v>1035</v>
      </c>
      <c r="N296" s="24" t="s">
        <v>505</v>
      </c>
      <c r="O296" s="24" t="s">
        <v>42</v>
      </c>
      <c r="P296" s="16" t="s">
        <v>43</v>
      </c>
      <c r="Q296" s="32">
        <v>33906656.844350003</v>
      </c>
      <c r="R296" s="32"/>
      <c r="S296" s="32"/>
      <c r="T296" s="32"/>
      <c r="U296"/>
      <c r="V296"/>
    </row>
    <row r="297" spans="3:22" x14ac:dyDescent="0.25">
      <c r="C297" s="24" t="s">
        <v>304</v>
      </c>
      <c r="D297" s="24" t="s">
        <v>305</v>
      </c>
      <c r="E297" s="24" t="s">
        <v>305</v>
      </c>
      <c r="F297" s="25" t="s">
        <v>36</v>
      </c>
      <c r="G297" s="24" t="s">
        <v>37</v>
      </c>
      <c r="H297" s="24" t="s">
        <v>81</v>
      </c>
      <c r="I297" s="24" t="s">
        <v>1046</v>
      </c>
      <c r="J297" s="24" t="s">
        <v>132</v>
      </c>
      <c r="K297" s="24" t="s">
        <v>51</v>
      </c>
      <c r="L297" s="24" t="s">
        <v>40</v>
      </c>
      <c r="M297" s="24">
        <v>0</v>
      </c>
      <c r="N297" s="24" t="s">
        <v>304</v>
      </c>
      <c r="O297" s="24" t="s">
        <v>42</v>
      </c>
      <c r="P297" s="16" t="s">
        <v>43</v>
      </c>
      <c r="Q297" s="32">
        <v>0</v>
      </c>
      <c r="R297" s="32"/>
      <c r="S297" s="32"/>
      <c r="T297" s="32"/>
      <c r="U297"/>
      <c r="V297"/>
    </row>
    <row r="298" spans="3:22" x14ac:dyDescent="0.25">
      <c r="C298" s="24" t="s">
        <v>306</v>
      </c>
      <c r="D298" s="24" t="s">
        <v>307</v>
      </c>
      <c r="E298" s="24" t="s">
        <v>307</v>
      </c>
      <c r="F298" s="25" t="s">
        <v>36</v>
      </c>
      <c r="G298" s="24" t="s">
        <v>37</v>
      </c>
      <c r="H298" s="24" t="s">
        <v>46</v>
      </c>
      <c r="I298" s="24" t="s">
        <v>1046</v>
      </c>
      <c r="J298" s="24">
        <v>0</v>
      </c>
      <c r="K298" s="24" t="s">
        <v>138</v>
      </c>
      <c r="L298" s="24" t="s">
        <v>40</v>
      </c>
      <c r="M298" s="24">
        <v>0</v>
      </c>
      <c r="N298" s="24" t="s">
        <v>306</v>
      </c>
      <c r="O298" s="24" t="s">
        <v>42</v>
      </c>
      <c r="P298" s="16" t="s">
        <v>43</v>
      </c>
      <c r="Q298" s="32">
        <v>0</v>
      </c>
      <c r="R298" s="32"/>
      <c r="S298" s="32"/>
      <c r="T298" s="32"/>
      <c r="U298"/>
      <c r="V298"/>
    </row>
    <row r="299" spans="3:22" x14ac:dyDescent="0.25">
      <c r="C299" s="24" t="s">
        <v>308</v>
      </c>
      <c r="D299" s="24" t="s">
        <v>309</v>
      </c>
      <c r="E299" s="24" t="s">
        <v>309</v>
      </c>
      <c r="F299" s="25" t="s">
        <v>36</v>
      </c>
      <c r="G299" s="24" t="s">
        <v>37</v>
      </c>
      <c r="H299" s="24" t="s">
        <v>46</v>
      </c>
      <c r="I299" s="24" t="s">
        <v>1046</v>
      </c>
      <c r="J299" s="24">
        <v>0</v>
      </c>
      <c r="K299" s="24" t="s">
        <v>279</v>
      </c>
      <c r="L299" s="24" t="s">
        <v>55</v>
      </c>
      <c r="M299" s="24">
        <v>0</v>
      </c>
      <c r="N299" s="24" t="s">
        <v>308</v>
      </c>
      <c r="O299" s="24" t="s">
        <v>42</v>
      </c>
      <c r="P299" s="16" t="s">
        <v>43</v>
      </c>
      <c r="Q299" s="32">
        <v>0</v>
      </c>
      <c r="R299" s="32"/>
      <c r="S299" s="32"/>
      <c r="T299" s="32"/>
      <c r="U299"/>
      <c r="V299"/>
    </row>
    <row r="300" spans="3:22" x14ac:dyDescent="0.25">
      <c r="C300" s="24" t="s">
        <v>310</v>
      </c>
      <c r="D300" s="24" t="s">
        <v>311</v>
      </c>
      <c r="E300" s="24" t="s">
        <v>312</v>
      </c>
      <c r="F300" s="25" t="s">
        <v>36</v>
      </c>
      <c r="G300" s="24" t="s">
        <v>37</v>
      </c>
      <c r="H300" s="24" t="s">
        <v>81</v>
      </c>
      <c r="I300" s="24" t="s">
        <v>1046</v>
      </c>
      <c r="J300" s="24" t="s">
        <v>160</v>
      </c>
      <c r="K300" s="24" t="s">
        <v>64</v>
      </c>
      <c r="L300" s="24" t="s">
        <v>40</v>
      </c>
      <c r="M300" s="24">
        <v>0</v>
      </c>
      <c r="N300" s="24" t="s">
        <v>310</v>
      </c>
      <c r="O300" s="24" t="s">
        <v>42</v>
      </c>
      <c r="P300" s="16" t="s">
        <v>43</v>
      </c>
      <c r="Q300" s="32">
        <v>0</v>
      </c>
      <c r="R300" s="32"/>
      <c r="S300" s="32"/>
      <c r="T300" s="32"/>
      <c r="U300"/>
      <c r="V300"/>
    </row>
    <row r="301" spans="3:22" x14ac:dyDescent="0.25">
      <c r="C301" s="24" t="s">
        <v>968</v>
      </c>
      <c r="D301" s="24" t="s">
        <v>969</v>
      </c>
      <c r="E301" s="24" t="s">
        <v>969</v>
      </c>
      <c r="F301" s="25">
        <v>5</v>
      </c>
      <c r="G301" s="24" t="s">
        <v>376</v>
      </c>
      <c r="H301" s="24" t="s">
        <v>46</v>
      </c>
      <c r="I301" s="24" t="s">
        <v>1030</v>
      </c>
      <c r="J301" s="24" t="s">
        <v>160</v>
      </c>
      <c r="K301" s="24" t="s">
        <v>39</v>
      </c>
      <c r="L301" s="24" t="s">
        <v>40</v>
      </c>
      <c r="M301" s="3" t="s">
        <v>984</v>
      </c>
      <c r="N301" s="24" t="s">
        <v>968</v>
      </c>
      <c r="O301" s="24" t="s">
        <v>42</v>
      </c>
      <c r="P301" s="16" t="s">
        <v>440</v>
      </c>
      <c r="Q301" s="32">
        <v>27906906.671333335</v>
      </c>
      <c r="R301" s="32"/>
      <c r="S301" s="32"/>
      <c r="T301" s="32"/>
      <c r="U301"/>
      <c r="V301"/>
    </row>
    <row r="302" spans="3:22" x14ac:dyDescent="0.25">
      <c r="C302" s="24" t="s">
        <v>313</v>
      </c>
      <c r="D302" s="24" t="s">
        <v>314</v>
      </c>
      <c r="E302" s="24" t="s">
        <v>314</v>
      </c>
      <c r="F302" s="25" t="s">
        <v>36</v>
      </c>
      <c r="G302" s="24" t="s">
        <v>37</v>
      </c>
      <c r="H302" s="24" t="s">
        <v>81</v>
      </c>
      <c r="I302" s="24" t="s">
        <v>1046</v>
      </c>
      <c r="J302" s="24">
        <v>0</v>
      </c>
      <c r="K302" s="24" t="s">
        <v>315</v>
      </c>
      <c r="L302" s="24" t="s">
        <v>40</v>
      </c>
      <c r="M302" s="24">
        <v>0</v>
      </c>
      <c r="N302" s="24" t="s">
        <v>313</v>
      </c>
      <c r="O302" s="24" t="s">
        <v>42</v>
      </c>
      <c r="P302" s="16" t="s">
        <v>43</v>
      </c>
      <c r="Q302" s="32">
        <v>0</v>
      </c>
      <c r="R302" s="32"/>
      <c r="S302" s="32"/>
      <c r="T302" s="32"/>
      <c r="U302"/>
      <c r="V302"/>
    </row>
    <row r="303" spans="3:22" x14ac:dyDescent="0.25">
      <c r="C303" s="24" t="s">
        <v>823</v>
      </c>
      <c r="D303" s="24" t="s">
        <v>824</v>
      </c>
      <c r="E303" s="24" t="s">
        <v>824</v>
      </c>
      <c r="F303" s="25">
        <v>5</v>
      </c>
      <c r="G303" s="24" t="s">
        <v>376</v>
      </c>
      <c r="H303" s="24" t="s">
        <v>46</v>
      </c>
      <c r="I303" s="24" t="s">
        <v>1030</v>
      </c>
      <c r="J303" s="24" t="s">
        <v>146</v>
      </c>
      <c r="K303" s="24" t="s">
        <v>59</v>
      </c>
      <c r="L303" s="24" t="s">
        <v>40</v>
      </c>
      <c r="M303" s="24" t="s">
        <v>1035</v>
      </c>
      <c r="N303" s="24" t="s">
        <v>823</v>
      </c>
      <c r="O303" s="24" t="s">
        <v>42</v>
      </c>
      <c r="P303" s="16" t="s">
        <v>43</v>
      </c>
      <c r="Q303" s="32">
        <v>37305347.641166657</v>
      </c>
      <c r="R303" s="32"/>
      <c r="S303" s="32"/>
      <c r="T303" s="32"/>
      <c r="U303"/>
      <c r="V303"/>
    </row>
    <row r="304" spans="3:22" x14ac:dyDescent="0.25">
      <c r="C304" s="24" t="s">
        <v>316</v>
      </c>
      <c r="D304" s="24" t="s">
        <v>317</v>
      </c>
      <c r="E304" s="24" t="s">
        <v>318</v>
      </c>
      <c r="F304" s="25" t="s">
        <v>36</v>
      </c>
      <c r="G304" s="24" t="s">
        <v>37</v>
      </c>
      <c r="H304" s="24" t="s">
        <v>81</v>
      </c>
      <c r="I304" s="24" t="s">
        <v>1046</v>
      </c>
      <c r="J304" s="24" t="s">
        <v>67</v>
      </c>
      <c r="K304" s="24" t="s">
        <v>59</v>
      </c>
      <c r="L304" s="24" t="s">
        <v>40</v>
      </c>
      <c r="M304" s="24">
        <v>0</v>
      </c>
      <c r="N304" s="24" t="s">
        <v>316</v>
      </c>
      <c r="O304" s="24" t="s">
        <v>42</v>
      </c>
      <c r="P304" s="16" t="s">
        <v>43</v>
      </c>
      <c r="Q304" s="32">
        <v>0</v>
      </c>
      <c r="R304" s="32"/>
      <c r="S304" s="32"/>
      <c r="T304" s="32"/>
      <c r="U304"/>
      <c r="V304"/>
    </row>
    <row r="305" spans="3:22" x14ac:dyDescent="0.25">
      <c r="C305" s="24" t="s">
        <v>319</v>
      </c>
      <c r="D305" s="24" t="s">
        <v>320</v>
      </c>
      <c r="E305" s="24" t="s">
        <v>320</v>
      </c>
      <c r="F305" s="25" t="s">
        <v>36</v>
      </c>
      <c r="G305" s="24" t="s">
        <v>37</v>
      </c>
      <c r="H305" s="24" t="s">
        <v>46</v>
      </c>
      <c r="I305" s="24" t="s">
        <v>1046</v>
      </c>
      <c r="J305" s="24">
        <v>0</v>
      </c>
      <c r="K305" s="24" t="s">
        <v>97</v>
      </c>
      <c r="L305" s="24" t="s">
        <v>40</v>
      </c>
      <c r="M305" s="24">
        <v>0</v>
      </c>
      <c r="N305" s="24" t="s">
        <v>319</v>
      </c>
      <c r="O305" s="24" t="s">
        <v>42</v>
      </c>
      <c r="P305" s="16" t="s">
        <v>43</v>
      </c>
      <c r="Q305" s="32">
        <v>0</v>
      </c>
      <c r="R305" s="32"/>
      <c r="S305" s="32"/>
      <c r="T305" s="32"/>
      <c r="U305"/>
      <c r="V305"/>
    </row>
    <row r="306" spans="3:22" x14ac:dyDescent="0.25">
      <c r="C306" s="24" t="s">
        <v>321</v>
      </c>
      <c r="D306" s="24" t="s">
        <v>322</v>
      </c>
      <c r="E306" s="24" t="s">
        <v>322</v>
      </c>
      <c r="F306" s="25" t="s">
        <v>36</v>
      </c>
      <c r="G306" s="24" t="s">
        <v>37</v>
      </c>
      <c r="H306" s="24" t="s">
        <v>81</v>
      </c>
      <c r="I306" s="24" t="s">
        <v>1046</v>
      </c>
      <c r="J306" s="24" t="s">
        <v>50</v>
      </c>
      <c r="K306" s="24" t="s">
        <v>51</v>
      </c>
      <c r="L306" s="24" t="s">
        <v>40</v>
      </c>
      <c r="M306" s="24">
        <v>0</v>
      </c>
      <c r="N306" s="24" t="s">
        <v>321</v>
      </c>
      <c r="O306" s="24" t="s">
        <v>42</v>
      </c>
      <c r="P306" s="16" t="s">
        <v>43</v>
      </c>
      <c r="Q306" s="32">
        <v>0</v>
      </c>
      <c r="R306" s="32"/>
      <c r="S306" s="32"/>
      <c r="T306" s="32"/>
      <c r="U306"/>
      <c r="V306"/>
    </row>
    <row r="307" spans="3:22" x14ac:dyDescent="0.25">
      <c r="C307" s="24" t="s">
        <v>457</v>
      </c>
      <c r="D307" s="24" t="s">
        <v>458</v>
      </c>
      <c r="E307" s="24" t="s">
        <v>458</v>
      </c>
      <c r="F307" s="25">
        <v>5</v>
      </c>
      <c r="G307" s="24" t="s">
        <v>376</v>
      </c>
      <c r="H307" s="24" t="s">
        <v>81</v>
      </c>
      <c r="I307" s="24" t="s">
        <v>1030</v>
      </c>
      <c r="J307" s="24" t="s">
        <v>94</v>
      </c>
      <c r="K307" s="24" t="s">
        <v>205</v>
      </c>
      <c r="L307" s="24" t="s">
        <v>40</v>
      </c>
      <c r="M307" s="24" t="s">
        <v>1035</v>
      </c>
      <c r="N307" s="24" t="s">
        <v>457</v>
      </c>
      <c r="O307" s="24" t="s">
        <v>42</v>
      </c>
      <c r="P307" s="16" t="s">
        <v>43</v>
      </c>
      <c r="Q307" s="32">
        <v>48441658.146666668</v>
      </c>
      <c r="R307" s="32"/>
      <c r="S307" s="32"/>
      <c r="T307" s="32"/>
      <c r="U307"/>
      <c r="V307"/>
    </row>
    <row r="308" spans="3:22" x14ac:dyDescent="0.25">
      <c r="C308" s="24" t="s">
        <v>323</v>
      </c>
      <c r="D308" s="24" t="s">
        <v>324</v>
      </c>
      <c r="E308" s="24" t="s">
        <v>324</v>
      </c>
      <c r="F308" s="25" t="s">
        <v>36</v>
      </c>
      <c r="G308" s="24" t="s">
        <v>37</v>
      </c>
      <c r="H308" s="24" t="s">
        <v>46</v>
      </c>
      <c r="I308" s="24" t="s">
        <v>1046</v>
      </c>
      <c r="J308" s="24" t="s">
        <v>58</v>
      </c>
      <c r="K308" s="24" t="s">
        <v>138</v>
      </c>
      <c r="L308" s="24" t="s">
        <v>40</v>
      </c>
      <c r="M308" s="24">
        <v>0</v>
      </c>
      <c r="N308" s="24" t="s">
        <v>323</v>
      </c>
      <c r="O308" s="24" t="s">
        <v>42</v>
      </c>
      <c r="P308" s="16" t="s">
        <v>43</v>
      </c>
      <c r="Q308" s="32">
        <v>0</v>
      </c>
      <c r="R308" s="32"/>
      <c r="S308" s="32"/>
      <c r="T308" s="32"/>
      <c r="U308"/>
      <c r="V308"/>
    </row>
    <row r="309" spans="3:22" x14ac:dyDescent="0.25">
      <c r="C309" s="24" t="s">
        <v>325</v>
      </c>
      <c r="D309" s="24" t="s">
        <v>326</v>
      </c>
      <c r="E309" s="24" t="s">
        <v>326</v>
      </c>
      <c r="F309" s="25" t="s">
        <v>36</v>
      </c>
      <c r="G309" s="24" t="s">
        <v>37</v>
      </c>
      <c r="H309" s="24" t="s">
        <v>46</v>
      </c>
      <c r="I309" s="24" t="s">
        <v>1046</v>
      </c>
      <c r="J309" s="24" t="s">
        <v>67</v>
      </c>
      <c r="K309" s="24" t="s">
        <v>59</v>
      </c>
      <c r="L309" s="24" t="s">
        <v>40</v>
      </c>
      <c r="M309" s="24">
        <v>0</v>
      </c>
      <c r="N309" s="24" t="s">
        <v>325</v>
      </c>
      <c r="O309" s="24" t="s">
        <v>42</v>
      </c>
      <c r="P309" s="16" t="s">
        <v>43</v>
      </c>
      <c r="Q309" s="32">
        <v>0</v>
      </c>
      <c r="R309" s="32"/>
      <c r="S309" s="32"/>
      <c r="T309" s="32"/>
    </row>
    <row r="310" spans="3:22" x14ac:dyDescent="0.25">
      <c r="C310" s="24" t="s">
        <v>459</v>
      </c>
      <c r="D310" s="24" t="s">
        <v>460</v>
      </c>
      <c r="E310" s="24" t="s">
        <v>460</v>
      </c>
      <c r="F310" s="25">
        <v>5</v>
      </c>
      <c r="G310" s="24" t="s">
        <v>376</v>
      </c>
      <c r="H310" s="24" t="s">
        <v>46</v>
      </c>
      <c r="I310" s="24" t="s">
        <v>1030</v>
      </c>
      <c r="J310" s="24" t="s">
        <v>94</v>
      </c>
      <c r="K310" s="24" t="s">
        <v>64</v>
      </c>
      <c r="L310" s="24" t="s">
        <v>40</v>
      </c>
      <c r="M310" s="24" t="s">
        <v>1035</v>
      </c>
      <c r="N310" s="24" t="s">
        <v>459</v>
      </c>
      <c r="O310" s="24" t="s">
        <v>42</v>
      </c>
      <c r="P310" s="16" t="s">
        <v>43</v>
      </c>
      <c r="Q310" s="32">
        <v>40676018.937333323</v>
      </c>
      <c r="R310" s="32"/>
      <c r="S310" s="32"/>
      <c r="T310" s="32"/>
    </row>
    <row r="311" spans="3:22" x14ac:dyDescent="0.25">
      <c r="C311" s="24" t="s">
        <v>919</v>
      </c>
      <c r="D311" s="24" t="s">
        <v>920</v>
      </c>
      <c r="E311" s="24" t="s">
        <v>920</v>
      </c>
      <c r="F311" s="25">
        <v>5</v>
      </c>
      <c r="G311" s="24" t="s">
        <v>376</v>
      </c>
      <c r="H311" s="24" t="s">
        <v>81</v>
      </c>
      <c r="I311" s="24" t="s">
        <v>1030</v>
      </c>
      <c r="J311" s="24" t="s">
        <v>73</v>
      </c>
      <c r="K311" s="24" t="s">
        <v>315</v>
      </c>
      <c r="L311" s="24" t="s">
        <v>40</v>
      </c>
      <c r="M311" s="24" t="s">
        <v>514</v>
      </c>
      <c r="N311" s="24" t="s">
        <v>919</v>
      </c>
      <c r="O311" s="24" t="s">
        <v>42</v>
      </c>
      <c r="P311" s="16" t="s">
        <v>43</v>
      </c>
      <c r="Q311" s="32">
        <v>28866270.639999997</v>
      </c>
      <c r="R311" s="32"/>
      <c r="S311" s="32"/>
      <c r="T311" s="32"/>
    </row>
    <row r="312" spans="3:22" x14ac:dyDescent="0.25">
      <c r="C312" s="24" t="s">
        <v>610</v>
      </c>
      <c r="D312" s="24" t="s">
        <v>611</v>
      </c>
      <c r="E312" s="24" t="s">
        <v>611</v>
      </c>
      <c r="F312" s="25">
        <v>5</v>
      </c>
      <c r="G312" s="24" t="s">
        <v>376</v>
      </c>
      <c r="H312" s="24" t="s">
        <v>81</v>
      </c>
      <c r="I312" s="24" t="s">
        <v>1030</v>
      </c>
      <c r="J312" s="24" t="s">
        <v>50</v>
      </c>
      <c r="K312" s="24" t="s">
        <v>59</v>
      </c>
      <c r="L312" s="24" t="s">
        <v>40</v>
      </c>
      <c r="M312" s="24" t="s">
        <v>514</v>
      </c>
      <c r="N312" s="24" t="s">
        <v>610</v>
      </c>
      <c r="O312" s="24" t="s">
        <v>42</v>
      </c>
      <c r="P312" s="16" t="s">
        <v>43</v>
      </c>
      <c r="Q312" s="32">
        <v>35172287.336066663</v>
      </c>
      <c r="R312" s="32"/>
      <c r="S312" s="32"/>
      <c r="T312" s="32"/>
    </row>
    <row r="313" spans="3:22" x14ac:dyDescent="0.25">
      <c r="C313" s="24" t="s">
        <v>461</v>
      </c>
      <c r="D313" s="24" t="s">
        <v>462</v>
      </c>
      <c r="E313" s="24" t="s">
        <v>462</v>
      </c>
      <c r="F313" s="25">
        <v>5</v>
      </c>
      <c r="G313" s="24" t="s">
        <v>376</v>
      </c>
      <c r="H313" s="24" t="s">
        <v>46</v>
      </c>
      <c r="I313" s="24" t="s">
        <v>1030</v>
      </c>
      <c r="J313" s="24" t="s">
        <v>94</v>
      </c>
      <c r="K313" s="24" t="s">
        <v>64</v>
      </c>
      <c r="L313" s="24" t="s">
        <v>40</v>
      </c>
      <c r="M313" s="24" t="s">
        <v>1035</v>
      </c>
      <c r="N313" s="24" t="s">
        <v>461</v>
      </c>
      <c r="O313" s="24" t="s">
        <v>42</v>
      </c>
      <c r="P313" s="16" t="s">
        <v>440</v>
      </c>
      <c r="Q313" s="32">
        <v>30620891.643999998</v>
      </c>
      <c r="R313" s="32"/>
      <c r="S313" s="32"/>
      <c r="T313" s="32"/>
    </row>
    <row r="314" spans="3:22" x14ac:dyDescent="0.25">
      <c r="C314" s="24" t="s">
        <v>639</v>
      </c>
      <c r="D314" s="24" t="s">
        <v>640</v>
      </c>
      <c r="E314" s="24" t="s">
        <v>641</v>
      </c>
      <c r="F314" s="25">
        <v>5</v>
      </c>
      <c r="G314" s="24" t="s">
        <v>376</v>
      </c>
      <c r="H314" s="24" t="s">
        <v>81</v>
      </c>
      <c r="I314" s="24" t="s">
        <v>1030</v>
      </c>
      <c r="J314" s="24" t="s">
        <v>50</v>
      </c>
      <c r="K314" s="24" t="s">
        <v>64</v>
      </c>
      <c r="L314" s="24" t="s">
        <v>40</v>
      </c>
      <c r="M314" s="24" t="s">
        <v>514</v>
      </c>
      <c r="N314" s="24" t="s">
        <v>639</v>
      </c>
      <c r="O314" s="24" t="s">
        <v>42</v>
      </c>
      <c r="P314" s="16" t="s">
        <v>43</v>
      </c>
      <c r="Q314" s="32">
        <v>51972336.708000004</v>
      </c>
      <c r="R314" s="32"/>
      <c r="S314" s="32"/>
      <c r="T314" s="32"/>
    </row>
    <row r="315" spans="3:22" x14ac:dyDescent="0.25">
      <c r="C315" s="24" t="s">
        <v>327</v>
      </c>
      <c r="D315" s="24" t="s">
        <v>328</v>
      </c>
      <c r="E315" s="24" t="s">
        <v>328</v>
      </c>
      <c r="F315" s="25" t="s">
        <v>36</v>
      </c>
      <c r="G315" s="24" t="s">
        <v>37</v>
      </c>
      <c r="H315" s="24" t="s">
        <v>81</v>
      </c>
      <c r="I315" s="24" t="s">
        <v>1046</v>
      </c>
      <c r="J315" s="24" t="s">
        <v>63</v>
      </c>
      <c r="K315" s="24" t="s">
        <v>138</v>
      </c>
      <c r="L315" s="24" t="s">
        <v>40</v>
      </c>
      <c r="M315" s="24">
        <v>0</v>
      </c>
      <c r="N315" s="24" t="s">
        <v>327</v>
      </c>
      <c r="O315" s="24" t="s">
        <v>42</v>
      </c>
      <c r="P315" s="16" t="s">
        <v>43</v>
      </c>
      <c r="Q315" s="32">
        <v>0</v>
      </c>
      <c r="R315" s="32"/>
      <c r="S315" s="32"/>
      <c r="T315" s="32"/>
    </row>
    <row r="316" spans="3:22" x14ac:dyDescent="0.25">
      <c r="C316" s="24" t="s">
        <v>329</v>
      </c>
      <c r="D316" s="24" t="s">
        <v>330</v>
      </c>
      <c r="E316" s="24" t="s">
        <v>330</v>
      </c>
      <c r="F316" s="25" t="s">
        <v>36</v>
      </c>
      <c r="G316" s="24" t="s">
        <v>37</v>
      </c>
      <c r="H316" s="24" t="s">
        <v>46</v>
      </c>
      <c r="I316" s="24" t="s">
        <v>1046</v>
      </c>
      <c r="J316" s="24" t="s">
        <v>331</v>
      </c>
      <c r="K316" s="24" t="s">
        <v>138</v>
      </c>
      <c r="L316" s="24" t="s">
        <v>40</v>
      </c>
      <c r="M316" s="24">
        <v>0</v>
      </c>
      <c r="N316" s="24" t="s">
        <v>329</v>
      </c>
      <c r="O316" s="24" t="s">
        <v>42</v>
      </c>
      <c r="P316" s="16" t="s">
        <v>43</v>
      </c>
      <c r="Q316" s="32">
        <v>0</v>
      </c>
      <c r="R316" s="32"/>
      <c r="S316" s="32"/>
      <c r="T316" s="32"/>
    </row>
    <row r="317" spans="3:22" x14ac:dyDescent="0.25">
      <c r="C317" s="24" t="s">
        <v>332</v>
      </c>
      <c r="D317" s="24" t="s">
        <v>333</v>
      </c>
      <c r="E317" s="24" t="s">
        <v>333</v>
      </c>
      <c r="F317" s="25" t="s">
        <v>36</v>
      </c>
      <c r="G317" s="24" t="s">
        <v>37</v>
      </c>
      <c r="H317" s="24" t="s">
        <v>81</v>
      </c>
      <c r="I317" s="24" t="s">
        <v>1046</v>
      </c>
      <c r="J317" s="24">
        <v>0</v>
      </c>
      <c r="K317" s="24" t="s">
        <v>59</v>
      </c>
      <c r="L317" s="24" t="s">
        <v>40</v>
      </c>
      <c r="M317" s="24">
        <v>0</v>
      </c>
      <c r="N317" s="24" t="s">
        <v>332</v>
      </c>
      <c r="O317" s="24" t="s">
        <v>42</v>
      </c>
      <c r="P317" s="16" t="s">
        <v>43</v>
      </c>
      <c r="Q317" s="32">
        <v>0</v>
      </c>
      <c r="R317" s="32"/>
      <c r="S317" s="32"/>
      <c r="T317" s="32"/>
    </row>
    <row r="318" spans="3:22" x14ac:dyDescent="0.25">
      <c r="C318" s="24" t="s">
        <v>334</v>
      </c>
      <c r="D318" s="24" t="s">
        <v>335</v>
      </c>
      <c r="E318" s="24" t="s">
        <v>336</v>
      </c>
      <c r="F318" s="25" t="s">
        <v>36</v>
      </c>
      <c r="G318" s="24" t="s">
        <v>37</v>
      </c>
      <c r="H318" s="24" t="s">
        <v>46</v>
      </c>
      <c r="I318" s="24" t="s">
        <v>1046</v>
      </c>
      <c r="J318" s="24">
        <v>0</v>
      </c>
      <c r="K318" s="24" t="s">
        <v>47</v>
      </c>
      <c r="L318" s="24" t="s">
        <v>40</v>
      </c>
      <c r="M318" s="24">
        <v>0</v>
      </c>
      <c r="N318" s="24" t="s">
        <v>334</v>
      </c>
      <c r="O318" s="24" t="s">
        <v>42</v>
      </c>
      <c r="P318" s="16" t="s">
        <v>43</v>
      </c>
      <c r="Q318" s="32">
        <v>0</v>
      </c>
      <c r="R318" s="32"/>
      <c r="S318" s="32"/>
      <c r="T318" s="32"/>
    </row>
    <row r="319" spans="3:22" x14ac:dyDescent="0.25">
      <c r="C319" s="24" t="s">
        <v>507</v>
      </c>
      <c r="D319" s="24" t="s">
        <v>508</v>
      </c>
      <c r="E319" s="24" t="s">
        <v>508</v>
      </c>
      <c r="F319" s="25">
        <v>5</v>
      </c>
      <c r="G319" s="24" t="s">
        <v>376</v>
      </c>
      <c r="H319" s="24" t="s">
        <v>46</v>
      </c>
      <c r="I319" s="24" t="s">
        <v>1030</v>
      </c>
      <c r="J319" s="24" t="s">
        <v>466</v>
      </c>
      <c r="K319" s="24" t="s">
        <v>51</v>
      </c>
      <c r="L319" s="24" t="s">
        <v>40</v>
      </c>
      <c r="M319" s="24" t="s">
        <v>1035</v>
      </c>
      <c r="N319" s="24" t="s">
        <v>507</v>
      </c>
      <c r="O319" s="24" t="s">
        <v>42</v>
      </c>
      <c r="P319" s="16" t="s">
        <v>43</v>
      </c>
      <c r="Q319" s="32">
        <v>26695054.343083337</v>
      </c>
      <c r="R319" s="32"/>
      <c r="S319" s="32"/>
      <c r="T319" s="32"/>
    </row>
    <row r="320" spans="3:22" x14ac:dyDescent="0.25">
      <c r="C320" s="24" t="s">
        <v>417</v>
      </c>
      <c r="D320" s="24" t="s">
        <v>418</v>
      </c>
      <c r="E320" s="24" t="s">
        <v>418</v>
      </c>
      <c r="F320" s="25">
        <v>5</v>
      </c>
      <c r="G320" s="24" t="s">
        <v>376</v>
      </c>
      <c r="H320" s="24" t="s">
        <v>46</v>
      </c>
      <c r="I320" s="24" t="s">
        <v>1031</v>
      </c>
      <c r="J320" s="24" t="s">
        <v>63</v>
      </c>
      <c r="K320" s="24" t="s">
        <v>138</v>
      </c>
      <c r="L320" s="24" t="s">
        <v>40</v>
      </c>
      <c r="M320" s="24" t="s">
        <v>378</v>
      </c>
      <c r="N320" s="24" t="s">
        <v>417</v>
      </c>
      <c r="O320" s="24" t="s">
        <v>42</v>
      </c>
      <c r="P320" s="16" t="s">
        <v>43</v>
      </c>
      <c r="Q320" s="32">
        <v>31445265.290000003</v>
      </c>
      <c r="R320" s="32"/>
      <c r="S320" s="32"/>
      <c r="T320" s="32"/>
    </row>
    <row r="321" spans="3:20" x14ac:dyDescent="0.25">
      <c r="C321" s="24" t="s">
        <v>337</v>
      </c>
      <c r="D321" s="24" t="s">
        <v>338</v>
      </c>
      <c r="E321" s="24" t="s">
        <v>338</v>
      </c>
      <c r="F321" s="25" t="s">
        <v>36</v>
      </c>
      <c r="G321" s="24" t="s">
        <v>37</v>
      </c>
      <c r="H321" s="24" t="s">
        <v>81</v>
      </c>
      <c r="I321" s="24" t="s">
        <v>1046</v>
      </c>
      <c r="J321" s="24" t="s">
        <v>89</v>
      </c>
      <c r="K321" s="24" t="s">
        <v>109</v>
      </c>
      <c r="L321" s="24" t="s">
        <v>91</v>
      </c>
      <c r="M321" s="24">
        <v>0</v>
      </c>
      <c r="N321" s="24" t="s">
        <v>337</v>
      </c>
      <c r="O321" s="24" t="s">
        <v>42</v>
      </c>
      <c r="P321" s="16" t="s">
        <v>43</v>
      </c>
      <c r="Q321" s="32">
        <v>0</v>
      </c>
      <c r="R321" s="32"/>
      <c r="S321" s="32"/>
      <c r="T321" s="32"/>
    </row>
    <row r="322" spans="3:20" x14ac:dyDescent="0.25">
      <c r="C322" s="24" t="s">
        <v>339</v>
      </c>
      <c r="D322" s="24" t="s">
        <v>340</v>
      </c>
      <c r="E322" s="24" t="s">
        <v>341</v>
      </c>
      <c r="F322" s="25" t="s">
        <v>36</v>
      </c>
      <c r="G322" s="24" t="s">
        <v>37</v>
      </c>
      <c r="H322" s="24" t="s">
        <v>46</v>
      </c>
      <c r="I322" s="24" t="s">
        <v>1046</v>
      </c>
      <c r="J322" s="24">
        <v>0</v>
      </c>
      <c r="K322" s="24" t="s">
        <v>47</v>
      </c>
      <c r="L322" s="24" t="s">
        <v>40</v>
      </c>
      <c r="M322" s="24">
        <v>0</v>
      </c>
      <c r="N322" s="24" t="s">
        <v>339</v>
      </c>
      <c r="O322" s="24" t="s">
        <v>42</v>
      </c>
      <c r="P322" s="16" t="s">
        <v>43</v>
      </c>
      <c r="Q322" s="32">
        <v>0</v>
      </c>
      <c r="R322" s="32"/>
      <c r="S322" s="32"/>
      <c r="T322" s="32"/>
    </row>
    <row r="323" spans="3:20" x14ac:dyDescent="0.25">
      <c r="C323" s="24" t="s">
        <v>825</v>
      </c>
      <c r="D323" s="24" t="s">
        <v>826</v>
      </c>
      <c r="E323" s="24" t="s">
        <v>827</v>
      </c>
      <c r="F323" s="25">
        <v>5</v>
      </c>
      <c r="G323" s="24" t="s">
        <v>376</v>
      </c>
      <c r="H323" s="24" t="s">
        <v>81</v>
      </c>
      <c r="I323" s="24" t="s">
        <v>1030</v>
      </c>
      <c r="J323" s="24" t="s">
        <v>146</v>
      </c>
      <c r="K323" s="24" t="s">
        <v>59</v>
      </c>
      <c r="L323" s="24" t="s">
        <v>40</v>
      </c>
      <c r="M323" s="24" t="s">
        <v>1035</v>
      </c>
      <c r="N323" s="24" t="s">
        <v>825</v>
      </c>
      <c r="O323" s="24" t="s">
        <v>42</v>
      </c>
      <c r="P323" s="16" t="s">
        <v>43</v>
      </c>
      <c r="Q323" s="32">
        <v>47782200.021383338</v>
      </c>
      <c r="R323" s="32"/>
      <c r="S323" s="32"/>
      <c r="T323" s="32"/>
    </row>
    <row r="324" spans="3:20" x14ac:dyDescent="0.25">
      <c r="C324" s="24" t="s">
        <v>828</v>
      </c>
      <c r="D324" s="24" t="s">
        <v>829</v>
      </c>
      <c r="E324" s="24" t="s">
        <v>829</v>
      </c>
      <c r="F324" s="25">
        <v>5.68</v>
      </c>
      <c r="G324" s="24" t="s">
        <v>376</v>
      </c>
      <c r="H324" s="24" t="s">
        <v>46</v>
      </c>
      <c r="I324" s="24" t="s">
        <v>1030</v>
      </c>
      <c r="J324" s="24" t="s">
        <v>146</v>
      </c>
      <c r="K324" s="24" t="s">
        <v>59</v>
      </c>
      <c r="L324" s="24" t="s">
        <v>40</v>
      </c>
      <c r="M324" s="24" t="s">
        <v>1035</v>
      </c>
      <c r="N324" s="24" t="s">
        <v>828</v>
      </c>
      <c r="O324" s="24" t="s">
        <v>42</v>
      </c>
      <c r="P324" s="16" t="s">
        <v>43</v>
      </c>
      <c r="Q324" s="32">
        <v>55420542.55498834</v>
      </c>
      <c r="R324" s="32"/>
      <c r="S324" s="32"/>
      <c r="T324" s="32"/>
    </row>
    <row r="325" spans="3:20" x14ac:dyDescent="0.25">
      <c r="C325" s="24" t="s">
        <v>342</v>
      </c>
      <c r="D325" s="24" t="s">
        <v>343</v>
      </c>
      <c r="E325" s="24" t="s">
        <v>343</v>
      </c>
      <c r="F325" s="25" t="s">
        <v>36</v>
      </c>
      <c r="G325" s="24" t="s">
        <v>37</v>
      </c>
      <c r="H325" s="24" t="s">
        <v>81</v>
      </c>
      <c r="I325" s="24" t="s">
        <v>1046</v>
      </c>
      <c r="J325" s="24" t="s">
        <v>132</v>
      </c>
      <c r="K325" s="24" t="s">
        <v>51</v>
      </c>
      <c r="L325" s="24" t="s">
        <v>40</v>
      </c>
      <c r="M325" s="24">
        <v>0</v>
      </c>
      <c r="N325" s="24" t="s">
        <v>342</v>
      </c>
      <c r="O325" s="24" t="s">
        <v>42</v>
      </c>
      <c r="P325" s="16" t="s">
        <v>43</v>
      </c>
      <c r="Q325" s="32">
        <v>0</v>
      </c>
      <c r="R325" s="32"/>
      <c r="S325" s="32"/>
      <c r="T325" s="32"/>
    </row>
    <row r="326" spans="3:20" x14ac:dyDescent="0.25">
      <c r="C326" s="24" t="s">
        <v>830</v>
      </c>
      <c r="D326" s="24" t="s">
        <v>831</v>
      </c>
      <c r="E326" s="24" t="s">
        <v>832</v>
      </c>
      <c r="F326" s="25">
        <v>5</v>
      </c>
      <c r="G326" s="24" t="s">
        <v>376</v>
      </c>
      <c r="H326" s="24" t="s">
        <v>46</v>
      </c>
      <c r="I326" s="24" t="s">
        <v>1030</v>
      </c>
      <c r="J326" s="24" t="s">
        <v>146</v>
      </c>
      <c r="K326" s="24" t="s">
        <v>59</v>
      </c>
      <c r="L326" s="24" t="s">
        <v>40</v>
      </c>
      <c r="M326" s="24" t="s">
        <v>1035</v>
      </c>
      <c r="N326" s="24" t="s">
        <v>830</v>
      </c>
      <c r="O326" s="24" t="s">
        <v>42</v>
      </c>
      <c r="P326" s="16" t="s">
        <v>43</v>
      </c>
      <c r="Q326" s="32">
        <v>35841130.088666663</v>
      </c>
      <c r="R326" s="32"/>
      <c r="S326" s="32"/>
      <c r="T326" s="32"/>
    </row>
    <row r="327" spans="3:20" x14ac:dyDescent="0.25">
      <c r="C327" s="24" t="s">
        <v>921</v>
      </c>
      <c r="D327" s="24" t="s">
        <v>922</v>
      </c>
      <c r="E327" s="24" t="s">
        <v>911</v>
      </c>
      <c r="F327" s="25">
        <v>5</v>
      </c>
      <c r="G327" s="24" t="s">
        <v>376</v>
      </c>
      <c r="H327" s="24" t="s">
        <v>81</v>
      </c>
      <c r="I327" s="24" t="s">
        <v>1030</v>
      </c>
      <c r="J327" s="24" t="s">
        <v>73</v>
      </c>
      <c r="K327" s="24" t="s">
        <v>911</v>
      </c>
      <c r="L327" s="24" t="s">
        <v>40</v>
      </c>
      <c r="M327" s="24" t="s">
        <v>514</v>
      </c>
      <c r="N327" s="24" t="s">
        <v>921</v>
      </c>
      <c r="O327" s="24" t="s">
        <v>42</v>
      </c>
      <c r="P327" s="16" t="s">
        <v>43</v>
      </c>
      <c r="Q327" s="32">
        <v>30408687.271333337</v>
      </c>
      <c r="R327" s="32"/>
      <c r="S327" s="32"/>
      <c r="T327" s="32"/>
    </row>
    <row r="328" spans="3:20" x14ac:dyDescent="0.25">
      <c r="C328" s="24" t="s">
        <v>970</v>
      </c>
      <c r="D328" s="24" t="s">
        <v>971</v>
      </c>
      <c r="E328" s="24" t="s">
        <v>972</v>
      </c>
      <c r="F328" s="25">
        <v>5</v>
      </c>
      <c r="G328" s="24" t="s">
        <v>376</v>
      </c>
      <c r="H328" s="24" t="s">
        <v>81</v>
      </c>
      <c r="I328" s="24" t="s">
        <v>1030</v>
      </c>
      <c r="J328" s="24" t="s">
        <v>160</v>
      </c>
      <c r="K328" s="24" t="s">
        <v>353</v>
      </c>
      <c r="L328" s="24" t="s">
        <v>40</v>
      </c>
      <c r="M328" s="3" t="s">
        <v>984</v>
      </c>
      <c r="N328" s="24" t="s">
        <v>970</v>
      </c>
      <c r="O328" s="24" t="s">
        <v>42</v>
      </c>
      <c r="P328" s="16" t="s">
        <v>43</v>
      </c>
      <c r="Q328" s="32">
        <v>30880560.359999999</v>
      </c>
      <c r="R328" s="32"/>
      <c r="S328" s="32"/>
      <c r="T328" s="32"/>
    </row>
    <row r="329" spans="3:20" x14ac:dyDescent="0.25">
      <c r="C329" s="24" t="s">
        <v>344</v>
      </c>
      <c r="D329" s="24" t="s">
        <v>345</v>
      </c>
      <c r="E329" s="24" t="s">
        <v>345</v>
      </c>
      <c r="F329" s="25" t="s">
        <v>36</v>
      </c>
      <c r="G329" s="24" t="s">
        <v>37</v>
      </c>
      <c r="H329" s="24" t="s">
        <v>88</v>
      </c>
      <c r="I329" s="24" t="s">
        <v>1046</v>
      </c>
      <c r="J329" s="24">
        <v>0</v>
      </c>
      <c r="K329" s="24" t="s">
        <v>346</v>
      </c>
      <c r="L329" s="24" t="s">
        <v>40</v>
      </c>
      <c r="M329" s="24">
        <v>0</v>
      </c>
      <c r="N329" s="24" t="s">
        <v>344</v>
      </c>
      <c r="O329" s="24" t="s">
        <v>42</v>
      </c>
      <c r="P329" s="16" t="s">
        <v>43</v>
      </c>
      <c r="Q329" s="32">
        <v>0</v>
      </c>
      <c r="R329" s="32"/>
      <c r="S329" s="32"/>
      <c r="T329" s="32"/>
    </row>
    <row r="330" spans="3:20" x14ac:dyDescent="0.25">
      <c r="C330" s="24" t="s">
        <v>879</v>
      </c>
      <c r="D330" s="24" t="s">
        <v>880</v>
      </c>
      <c r="E330" s="24" t="s">
        <v>880</v>
      </c>
      <c r="F330" s="25">
        <v>5</v>
      </c>
      <c r="G330" s="24" t="s">
        <v>376</v>
      </c>
      <c r="H330" s="24" t="s">
        <v>46</v>
      </c>
      <c r="I330" s="24" t="s">
        <v>1030</v>
      </c>
      <c r="J330" s="24" t="s">
        <v>132</v>
      </c>
      <c r="K330" s="24" t="s">
        <v>138</v>
      </c>
      <c r="L330" s="24" t="s">
        <v>40</v>
      </c>
      <c r="M330" s="24" t="s">
        <v>1035</v>
      </c>
      <c r="N330" s="24" t="s">
        <v>879</v>
      </c>
      <c r="O330" s="24" t="s">
        <v>42</v>
      </c>
      <c r="P330" s="16" t="s">
        <v>43</v>
      </c>
      <c r="Q330" s="32">
        <v>40806167.82736665</v>
      </c>
      <c r="R330" s="32"/>
      <c r="S330" s="32"/>
      <c r="T330" s="32"/>
    </row>
    <row r="331" spans="3:20" x14ac:dyDescent="0.25">
      <c r="C331" s="24" t="s">
        <v>553</v>
      </c>
      <c r="D331" s="24" t="s">
        <v>554</v>
      </c>
      <c r="E331" s="24" t="s">
        <v>554</v>
      </c>
      <c r="F331" s="25">
        <v>5</v>
      </c>
      <c r="G331" s="24" t="s">
        <v>376</v>
      </c>
      <c r="H331" s="24" t="s">
        <v>46</v>
      </c>
      <c r="I331" s="24" t="s">
        <v>1030</v>
      </c>
      <c r="J331" s="24" t="s">
        <v>100</v>
      </c>
      <c r="K331" s="24" t="s">
        <v>138</v>
      </c>
      <c r="L331" s="24" t="s">
        <v>40</v>
      </c>
      <c r="M331" s="24" t="s">
        <v>514</v>
      </c>
      <c r="N331" s="24" t="s">
        <v>553</v>
      </c>
      <c r="O331" s="24" t="s">
        <v>42</v>
      </c>
      <c r="P331" s="16" t="s">
        <v>43</v>
      </c>
      <c r="Q331" s="32">
        <v>29452542.874250002</v>
      </c>
      <c r="R331" s="32"/>
      <c r="S331" s="32"/>
      <c r="T331" s="32"/>
    </row>
    <row r="332" spans="3:20" x14ac:dyDescent="0.25">
      <c r="C332" s="24" t="s">
        <v>923</v>
      </c>
      <c r="D332" s="24" t="s">
        <v>924</v>
      </c>
      <c r="E332" s="24" t="s">
        <v>924</v>
      </c>
      <c r="F332" s="25">
        <v>5</v>
      </c>
      <c r="G332" s="24" t="s">
        <v>376</v>
      </c>
      <c r="H332" s="24" t="s">
        <v>46</v>
      </c>
      <c r="I332" s="24" t="s">
        <v>1030</v>
      </c>
      <c r="J332" s="24" t="s">
        <v>73</v>
      </c>
      <c r="K332" s="24" t="s">
        <v>133</v>
      </c>
      <c r="L332" s="24" t="s">
        <v>40</v>
      </c>
      <c r="M332" s="24" t="s">
        <v>514</v>
      </c>
      <c r="N332" s="24" t="s">
        <v>923</v>
      </c>
      <c r="O332" s="24" t="s">
        <v>42</v>
      </c>
      <c r="P332" s="16" t="s">
        <v>43</v>
      </c>
      <c r="Q332" s="32">
        <v>44442499.446666673</v>
      </c>
      <c r="R332" s="32"/>
      <c r="S332" s="32"/>
      <c r="T332" s="32"/>
    </row>
    <row r="333" spans="3:20" x14ac:dyDescent="0.25">
      <c r="C333" s="24" t="s">
        <v>761</v>
      </c>
      <c r="D333" s="24" t="s">
        <v>762</v>
      </c>
      <c r="E333" s="24" t="s">
        <v>762</v>
      </c>
      <c r="F333" s="25">
        <v>5</v>
      </c>
      <c r="G333" s="24" t="s">
        <v>376</v>
      </c>
      <c r="H333" s="24" t="s">
        <v>46</v>
      </c>
      <c r="I333" s="24" t="s">
        <v>1031</v>
      </c>
      <c r="J333" s="24" t="s">
        <v>1048</v>
      </c>
      <c r="K333" s="24" t="s">
        <v>54</v>
      </c>
      <c r="L333" s="24" t="s">
        <v>55</v>
      </c>
      <c r="M333" s="24" t="s">
        <v>378</v>
      </c>
      <c r="N333" s="24" t="s">
        <v>761</v>
      </c>
      <c r="O333" s="24" t="s">
        <v>42</v>
      </c>
      <c r="P333" s="16" t="s">
        <v>440</v>
      </c>
      <c r="Q333" s="32">
        <v>37605867.931333326</v>
      </c>
      <c r="R333" s="32"/>
      <c r="S333" s="32"/>
      <c r="T333" s="32"/>
    </row>
    <row r="334" spans="3:20" x14ac:dyDescent="0.25">
      <c r="C334" s="24" t="s">
        <v>509</v>
      </c>
      <c r="D334" s="24" t="s">
        <v>510</v>
      </c>
      <c r="E334" s="24" t="s">
        <v>510</v>
      </c>
      <c r="F334" s="25">
        <v>5</v>
      </c>
      <c r="G334" s="24" t="s">
        <v>376</v>
      </c>
      <c r="H334" s="24" t="s">
        <v>46</v>
      </c>
      <c r="I334" s="24" t="s">
        <v>1030</v>
      </c>
      <c r="J334" s="24" t="s">
        <v>466</v>
      </c>
      <c r="K334" s="24" t="s">
        <v>51</v>
      </c>
      <c r="L334" s="24" t="s">
        <v>40</v>
      </c>
      <c r="M334" s="24" t="s">
        <v>1035</v>
      </c>
      <c r="N334" s="24" t="s">
        <v>509</v>
      </c>
      <c r="O334" s="24" t="s">
        <v>42</v>
      </c>
      <c r="P334" s="16" t="s">
        <v>43</v>
      </c>
      <c r="Q334" s="32">
        <v>40354891.237333335</v>
      </c>
      <c r="R334" s="32"/>
      <c r="S334" s="32"/>
      <c r="T334" s="32"/>
    </row>
    <row r="335" spans="3:20" x14ac:dyDescent="0.25">
      <c r="C335" s="24" t="s">
        <v>347</v>
      </c>
      <c r="D335" s="24" t="s">
        <v>348</v>
      </c>
      <c r="E335" s="24" t="s">
        <v>348</v>
      </c>
      <c r="F335" s="25" t="s">
        <v>36</v>
      </c>
      <c r="G335" s="24" t="s">
        <v>37</v>
      </c>
      <c r="H335" s="24" t="s">
        <v>81</v>
      </c>
      <c r="I335" s="24" t="s">
        <v>1046</v>
      </c>
      <c r="J335" s="24" t="s">
        <v>58</v>
      </c>
      <c r="K335" s="24" t="s">
        <v>59</v>
      </c>
      <c r="L335" s="24" t="s">
        <v>40</v>
      </c>
      <c r="M335" s="24">
        <v>0</v>
      </c>
      <c r="N335" s="24" t="s">
        <v>347</v>
      </c>
      <c r="O335" s="24" t="s">
        <v>42</v>
      </c>
      <c r="P335" s="16" t="s">
        <v>43</v>
      </c>
      <c r="Q335" s="32">
        <v>0</v>
      </c>
      <c r="R335" s="32"/>
      <c r="S335" s="32"/>
      <c r="T335" s="32"/>
    </row>
    <row r="336" spans="3:20" x14ac:dyDescent="0.25">
      <c r="C336" s="24" t="s">
        <v>973</v>
      </c>
      <c r="D336" s="24" t="s">
        <v>974</v>
      </c>
      <c r="E336" s="24" t="s">
        <v>974</v>
      </c>
      <c r="F336" s="25">
        <v>5</v>
      </c>
      <c r="G336" s="24" t="s">
        <v>376</v>
      </c>
      <c r="H336" s="24" t="s">
        <v>46</v>
      </c>
      <c r="I336" s="24" t="s">
        <v>1030</v>
      </c>
      <c r="J336" s="24" t="s">
        <v>160</v>
      </c>
      <c r="K336" s="24" t="s">
        <v>39</v>
      </c>
      <c r="L336" s="24" t="s">
        <v>40</v>
      </c>
      <c r="M336" s="3" t="s">
        <v>984</v>
      </c>
      <c r="N336" s="24" t="s">
        <v>973</v>
      </c>
      <c r="O336" s="24" t="s">
        <v>42</v>
      </c>
      <c r="P336" s="16" t="s">
        <v>43</v>
      </c>
      <c r="Q336" s="32">
        <v>29234818.783333331</v>
      </c>
      <c r="R336" s="32"/>
      <c r="S336" s="32"/>
      <c r="T336" s="32"/>
    </row>
    <row r="337" spans="3:20" x14ac:dyDescent="0.25">
      <c r="C337" s="24" t="s">
        <v>349</v>
      </c>
      <c r="D337" s="24" t="s">
        <v>350</v>
      </c>
      <c r="E337" s="24" t="s">
        <v>350</v>
      </c>
      <c r="F337" s="25" t="s">
        <v>36</v>
      </c>
      <c r="G337" s="24" t="s">
        <v>37</v>
      </c>
      <c r="H337" s="24" t="s">
        <v>46</v>
      </c>
      <c r="I337" s="24" t="s">
        <v>1046</v>
      </c>
      <c r="J337" s="24">
        <v>0</v>
      </c>
      <c r="K337" s="24" t="s">
        <v>138</v>
      </c>
      <c r="L337" s="24" t="s">
        <v>40</v>
      </c>
      <c r="M337" s="24">
        <v>0</v>
      </c>
      <c r="N337" s="24" t="s">
        <v>349</v>
      </c>
      <c r="O337" s="24" t="s">
        <v>42</v>
      </c>
      <c r="P337" s="16" t="s">
        <v>43</v>
      </c>
      <c r="Q337" s="32">
        <v>0</v>
      </c>
      <c r="R337" s="32"/>
      <c r="S337" s="32"/>
      <c r="T337" s="32"/>
    </row>
    <row r="338" spans="3:20" x14ac:dyDescent="0.25">
      <c r="C338" s="24" t="s">
        <v>351</v>
      </c>
      <c r="D338" s="24" t="s">
        <v>352</v>
      </c>
      <c r="E338" s="24" t="s">
        <v>352</v>
      </c>
      <c r="F338" s="25" t="s">
        <v>36</v>
      </c>
      <c r="G338" s="24" t="s">
        <v>37</v>
      </c>
      <c r="H338" s="24" t="s">
        <v>46</v>
      </c>
      <c r="I338" s="24" t="s">
        <v>1046</v>
      </c>
      <c r="J338" s="24" t="s">
        <v>331</v>
      </c>
      <c r="K338" s="24" t="s">
        <v>353</v>
      </c>
      <c r="L338" s="24" t="s">
        <v>40</v>
      </c>
      <c r="M338" s="24">
        <v>0</v>
      </c>
      <c r="N338" s="24" t="s">
        <v>351</v>
      </c>
      <c r="O338" s="24" t="s">
        <v>42</v>
      </c>
      <c r="P338" s="16" t="s">
        <v>43</v>
      </c>
      <c r="Q338" s="32">
        <v>0</v>
      </c>
      <c r="R338" s="32"/>
      <c r="S338" s="32"/>
      <c r="T338" s="32"/>
    </row>
    <row r="339" spans="3:20" x14ac:dyDescent="0.25">
      <c r="C339" s="24" t="s">
        <v>833</v>
      </c>
      <c r="D339" s="24" t="s">
        <v>834</v>
      </c>
      <c r="E339" s="24" t="s">
        <v>835</v>
      </c>
      <c r="F339" s="25">
        <v>5</v>
      </c>
      <c r="G339" s="24" t="s">
        <v>376</v>
      </c>
      <c r="H339" s="24" t="s">
        <v>46</v>
      </c>
      <c r="I339" s="24" t="s">
        <v>1030</v>
      </c>
      <c r="J339" s="24" t="s">
        <v>146</v>
      </c>
      <c r="K339" s="24" t="s">
        <v>59</v>
      </c>
      <c r="L339" s="24" t="s">
        <v>40</v>
      </c>
      <c r="M339" s="24" t="s">
        <v>1035</v>
      </c>
      <c r="N339" s="24" t="s">
        <v>833</v>
      </c>
      <c r="O339" s="24" t="s">
        <v>42</v>
      </c>
      <c r="P339" s="16" t="s">
        <v>43</v>
      </c>
      <c r="Q339" s="32">
        <v>54506905.668966658</v>
      </c>
      <c r="R339" s="32"/>
      <c r="S339" s="32"/>
      <c r="T339" s="32"/>
    </row>
    <row r="340" spans="3:20" x14ac:dyDescent="0.25">
      <c r="C340" s="24" t="s">
        <v>354</v>
      </c>
      <c r="D340" s="24" t="s">
        <v>355</v>
      </c>
      <c r="E340" s="24" t="s">
        <v>355</v>
      </c>
      <c r="F340" s="25" t="s">
        <v>36</v>
      </c>
      <c r="G340" s="24" t="s">
        <v>37</v>
      </c>
      <c r="H340" s="24" t="s">
        <v>46</v>
      </c>
      <c r="I340" s="24" t="s">
        <v>1046</v>
      </c>
      <c r="J340" s="24" t="s">
        <v>67</v>
      </c>
      <c r="K340" s="24" t="s">
        <v>59</v>
      </c>
      <c r="L340" s="24" t="s">
        <v>40</v>
      </c>
      <c r="M340" s="24">
        <v>0</v>
      </c>
      <c r="N340" s="24" t="s">
        <v>354</v>
      </c>
      <c r="O340" s="24" t="s">
        <v>42</v>
      </c>
      <c r="P340" s="16" t="s">
        <v>43</v>
      </c>
      <c r="Q340" s="32">
        <v>0</v>
      </c>
      <c r="R340" s="32"/>
      <c r="S340" s="32"/>
      <c r="T340" s="32"/>
    </row>
    <row r="341" spans="3:20" x14ac:dyDescent="0.25">
      <c r="C341" s="24" t="s">
        <v>693</v>
      </c>
      <c r="D341" s="24" t="s">
        <v>694</v>
      </c>
      <c r="E341" s="24" t="s">
        <v>694</v>
      </c>
      <c r="F341" s="25">
        <v>5</v>
      </c>
      <c r="G341" s="24" t="s">
        <v>376</v>
      </c>
      <c r="H341" s="24" t="s">
        <v>46</v>
      </c>
      <c r="I341" s="24" t="s">
        <v>1030</v>
      </c>
      <c r="J341" s="24" t="s">
        <v>248</v>
      </c>
      <c r="K341" s="24" t="s">
        <v>51</v>
      </c>
      <c r="L341" s="24" t="s">
        <v>40</v>
      </c>
      <c r="M341" s="3" t="s">
        <v>984</v>
      </c>
      <c r="N341" s="24" t="s">
        <v>693</v>
      </c>
      <c r="O341" s="24" t="s">
        <v>42</v>
      </c>
      <c r="P341" s="16" t="s">
        <v>43</v>
      </c>
      <c r="Q341" s="32">
        <v>29657919.603999998</v>
      </c>
      <c r="R341" s="32"/>
      <c r="S341" s="32"/>
      <c r="T341" s="32"/>
    </row>
    <row r="342" spans="3:20" x14ac:dyDescent="0.25">
      <c r="C342" s="24" t="s">
        <v>356</v>
      </c>
      <c r="D342" s="24" t="s">
        <v>357</v>
      </c>
      <c r="E342" s="24" t="s">
        <v>357</v>
      </c>
      <c r="F342" s="25" t="s">
        <v>36</v>
      </c>
      <c r="G342" s="24" t="s">
        <v>37</v>
      </c>
      <c r="H342" s="24" t="s">
        <v>81</v>
      </c>
      <c r="I342" s="24" t="s">
        <v>1046</v>
      </c>
      <c r="J342" s="24" t="s">
        <v>89</v>
      </c>
      <c r="K342" s="24" t="s">
        <v>109</v>
      </c>
      <c r="L342" s="24" t="s">
        <v>91</v>
      </c>
      <c r="M342" s="24">
        <v>0</v>
      </c>
      <c r="N342" s="24" t="s">
        <v>356</v>
      </c>
      <c r="O342" s="24" t="s">
        <v>42</v>
      </c>
      <c r="P342" s="16" t="s">
        <v>43</v>
      </c>
      <c r="Q342" s="32">
        <v>0</v>
      </c>
      <c r="R342" s="32"/>
      <c r="S342" s="32"/>
      <c r="T342" s="32"/>
    </row>
    <row r="343" spans="3:20" x14ac:dyDescent="0.25">
      <c r="C343" s="24" t="s">
        <v>925</v>
      </c>
      <c r="D343" s="24" t="s">
        <v>926</v>
      </c>
      <c r="E343" s="24" t="s">
        <v>927</v>
      </c>
      <c r="F343" s="25">
        <v>5</v>
      </c>
      <c r="G343" s="24" t="s">
        <v>376</v>
      </c>
      <c r="H343" s="24" t="s">
        <v>81</v>
      </c>
      <c r="I343" s="24" t="s">
        <v>1030</v>
      </c>
      <c r="J343" s="24" t="s">
        <v>73</v>
      </c>
      <c r="K343" s="24" t="s">
        <v>928</v>
      </c>
      <c r="L343" s="24" t="s">
        <v>40</v>
      </c>
      <c r="M343" s="24" t="s">
        <v>514</v>
      </c>
      <c r="N343" s="24" t="s">
        <v>925</v>
      </c>
      <c r="O343" s="24" t="s">
        <v>42</v>
      </c>
      <c r="P343" s="16" t="s">
        <v>43</v>
      </c>
      <c r="Q343" s="32">
        <v>27435279.704666659</v>
      </c>
      <c r="R343" s="32"/>
      <c r="S343" s="32"/>
      <c r="T343" s="32"/>
    </row>
    <row r="344" spans="3:20" x14ac:dyDescent="0.25">
      <c r="C344" s="24" t="s">
        <v>358</v>
      </c>
      <c r="D344" s="24" t="s">
        <v>359</v>
      </c>
      <c r="E344" s="24" t="s">
        <v>359</v>
      </c>
      <c r="F344" s="25" t="s">
        <v>36</v>
      </c>
      <c r="G344" s="24" t="s">
        <v>37</v>
      </c>
      <c r="H344" s="24" t="s">
        <v>81</v>
      </c>
      <c r="I344" s="24" t="s">
        <v>1046</v>
      </c>
      <c r="J344" s="24" t="s">
        <v>248</v>
      </c>
      <c r="K344" s="24" t="s">
        <v>138</v>
      </c>
      <c r="L344" s="24" t="s">
        <v>40</v>
      </c>
      <c r="M344" s="24">
        <v>0</v>
      </c>
      <c r="N344" s="24" t="s">
        <v>358</v>
      </c>
      <c r="O344" s="24" t="s">
        <v>42</v>
      </c>
      <c r="P344" s="16" t="s">
        <v>43</v>
      </c>
      <c r="Q344" s="32">
        <v>0</v>
      </c>
      <c r="R344" s="32"/>
      <c r="S344" s="32"/>
      <c r="T344" s="32"/>
    </row>
    <row r="345" spans="3:20" x14ac:dyDescent="0.25">
      <c r="C345" s="24" t="s">
        <v>695</v>
      </c>
      <c r="D345" s="24" t="s">
        <v>696</v>
      </c>
      <c r="E345" s="24" t="s">
        <v>696</v>
      </c>
      <c r="F345" s="25">
        <v>5</v>
      </c>
      <c r="G345" s="24" t="s">
        <v>376</v>
      </c>
      <c r="H345" s="24" t="s">
        <v>46</v>
      </c>
      <c r="I345" s="24" t="s">
        <v>1030</v>
      </c>
      <c r="J345" s="24" t="s">
        <v>248</v>
      </c>
      <c r="K345" s="24" t="s">
        <v>51</v>
      </c>
      <c r="L345" s="24" t="s">
        <v>40</v>
      </c>
      <c r="M345" s="3" t="s">
        <v>984</v>
      </c>
      <c r="N345" s="24" t="s">
        <v>695</v>
      </c>
      <c r="O345" s="24" t="s">
        <v>42</v>
      </c>
      <c r="P345" s="16" t="s">
        <v>43</v>
      </c>
      <c r="Q345" s="32">
        <v>41665253.609116644</v>
      </c>
      <c r="R345" s="32"/>
      <c r="S345" s="32"/>
      <c r="T345" s="32"/>
    </row>
    <row r="346" spans="3:20" x14ac:dyDescent="0.25">
      <c r="C346" s="24" t="s">
        <v>360</v>
      </c>
      <c r="D346" s="24" t="s">
        <v>361</v>
      </c>
      <c r="E346" s="24" t="s">
        <v>361</v>
      </c>
      <c r="F346" s="25" t="s">
        <v>36</v>
      </c>
      <c r="G346" s="24" t="s">
        <v>37</v>
      </c>
      <c r="H346" s="24" t="s">
        <v>46</v>
      </c>
      <c r="I346" s="24" t="s">
        <v>1046</v>
      </c>
      <c r="J346" s="24" t="s">
        <v>67</v>
      </c>
      <c r="K346" s="24" t="s">
        <v>59</v>
      </c>
      <c r="L346" s="24" t="s">
        <v>40</v>
      </c>
      <c r="M346" s="24">
        <v>0</v>
      </c>
      <c r="N346" s="24" t="s">
        <v>360</v>
      </c>
      <c r="O346" s="24" t="s">
        <v>42</v>
      </c>
      <c r="P346" s="16" t="s">
        <v>43</v>
      </c>
      <c r="Q346" s="32">
        <v>0</v>
      </c>
      <c r="R346" s="32"/>
      <c r="S346" s="32"/>
      <c r="T346" s="32"/>
    </row>
    <row r="347" spans="3:20" x14ac:dyDescent="0.25">
      <c r="C347" s="24" t="s">
        <v>362</v>
      </c>
      <c r="D347" s="24" t="s">
        <v>363</v>
      </c>
      <c r="E347" s="24" t="s">
        <v>363</v>
      </c>
      <c r="F347" s="25" t="s">
        <v>36</v>
      </c>
      <c r="G347" s="24" t="s">
        <v>37</v>
      </c>
      <c r="H347" s="24" t="s">
        <v>81</v>
      </c>
      <c r="I347" s="24" t="s">
        <v>1046</v>
      </c>
      <c r="J347" s="24" t="s">
        <v>73</v>
      </c>
      <c r="K347" s="24" t="s">
        <v>364</v>
      </c>
      <c r="L347" s="24" t="s">
        <v>40</v>
      </c>
      <c r="M347" s="24">
        <v>0</v>
      </c>
      <c r="N347" s="24" t="s">
        <v>362</v>
      </c>
      <c r="O347" s="24" t="s">
        <v>42</v>
      </c>
      <c r="P347" s="16" t="s">
        <v>43</v>
      </c>
      <c r="Q347" s="32">
        <v>0</v>
      </c>
      <c r="R347" s="32"/>
      <c r="S347" s="32"/>
      <c r="T347" s="32"/>
    </row>
    <row r="348" spans="3:20" x14ac:dyDescent="0.25">
      <c r="C348" s="24" t="s">
        <v>592</v>
      </c>
      <c r="D348" s="24" t="s">
        <v>593</v>
      </c>
      <c r="E348" s="24" t="s">
        <v>593</v>
      </c>
      <c r="F348" s="25">
        <v>5</v>
      </c>
      <c r="G348" s="24" t="s">
        <v>376</v>
      </c>
      <c r="H348" s="24" t="s">
        <v>81</v>
      </c>
      <c r="I348" s="24" t="s">
        <v>1030</v>
      </c>
      <c r="J348" s="24" t="s">
        <v>331</v>
      </c>
      <c r="K348" s="24" t="s">
        <v>138</v>
      </c>
      <c r="L348" s="24" t="s">
        <v>40</v>
      </c>
      <c r="M348" s="3" t="s">
        <v>984</v>
      </c>
      <c r="N348" s="24" t="s">
        <v>592</v>
      </c>
      <c r="O348" s="24" t="s">
        <v>42</v>
      </c>
      <c r="P348" s="16" t="s">
        <v>43</v>
      </c>
      <c r="Q348" s="32">
        <v>29380701.299999997</v>
      </c>
      <c r="R348" s="32"/>
      <c r="S348" s="32"/>
      <c r="T348" s="32"/>
    </row>
    <row r="349" spans="3:20" x14ac:dyDescent="0.25">
      <c r="C349" s="24" t="s">
        <v>365</v>
      </c>
      <c r="D349" s="24" t="s">
        <v>366</v>
      </c>
      <c r="E349" s="24" t="s">
        <v>367</v>
      </c>
      <c r="F349" s="25" t="s">
        <v>36</v>
      </c>
      <c r="G349" s="24" t="s">
        <v>37</v>
      </c>
      <c r="H349" s="24" t="s">
        <v>81</v>
      </c>
      <c r="I349" s="24" t="s">
        <v>1046</v>
      </c>
      <c r="J349" s="24" t="s">
        <v>146</v>
      </c>
      <c r="K349" s="24" t="s">
        <v>59</v>
      </c>
      <c r="L349" s="24" t="s">
        <v>40</v>
      </c>
      <c r="M349" s="24">
        <v>0</v>
      </c>
      <c r="N349" s="24" t="s">
        <v>365</v>
      </c>
      <c r="O349" s="24" t="s">
        <v>42</v>
      </c>
      <c r="P349" s="16" t="s">
        <v>43</v>
      </c>
      <c r="Q349" s="32">
        <v>0</v>
      </c>
      <c r="R349" s="32"/>
      <c r="S349" s="32"/>
      <c r="T349" s="32"/>
    </row>
    <row r="350" spans="3:20" x14ac:dyDescent="0.25">
      <c r="C350" s="24" t="s">
        <v>763</v>
      </c>
      <c r="D350" s="24" t="s">
        <v>764</v>
      </c>
      <c r="E350" s="24" t="s">
        <v>765</v>
      </c>
      <c r="F350" s="25">
        <v>5</v>
      </c>
      <c r="G350" s="24" t="s">
        <v>376</v>
      </c>
      <c r="H350" s="24" t="s">
        <v>81</v>
      </c>
      <c r="I350" s="24" t="s">
        <v>1031</v>
      </c>
      <c r="J350" s="24" t="s">
        <v>1048</v>
      </c>
      <c r="K350" s="24" t="s">
        <v>279</v>
      </c>
      <c r="L350" s="24" t="s">
        <v>55</v>
      </c>
      <c r="M350" s="24" t="s">
        <v>378</v>
      </c>
      <c r="N350" s="24" t="s">
        <v>763</v>
      </c>
      <c r="O350" s="24" t="s">
        <v>42</v>
      </c>
      <c r="P350" s="16" t="s">
        <v>43</v>
      </c>
      <c r="Q350" s="32">
        <v>32253681.320999999</v>
      </c>
      <c r="R350" s="32"/>
      <c r="S350" s="32"/>
      <c r="T350" s="32"/>
    </row>
    <row r="351" spans="3:20" x14ac:dyDescent="0.25">
      <c r="C351" s="24" t="s">
        <v>836</v>
      </c>
      <c r="D351" s="24" t="s">
        <v>837</v>
      </c>
      <c r="E351" s="24" t="s">
        <v>838</v>
      </c>
      <c r="F351" s="25">
        <v>5</v>
      </c>
      <c r="G351" s="24" t="s">
        <v>376</v>
      </c>
      <c r="H351" s="24" t="s">
        <v>81</v>
      </c>
      <c r="I351" s="24" t="s">
        <v>1030</v>
      </c>
      <c r="J351" s="24" t="s">
        <v>146</v>
      </c>
      <c r="K351" s="24" t="s">
        <v>59</v>
      </c>
      <c r="L351" s="24" t="s">
        <v>40</v>
      </c>
      <c r="M351" s="24" t="s">
        <v>1035</v>
      </c>
      <c r="N351" s="24" t="s">
        <v>836</v>
      </c>
      <c r="O351" s="24" t="s">
        <v>42</v>
      </c>
      <c r="P351" s="16" t="s">
        <v>43</v>
      </c>
      <c r="Q351" s="32">
        <v>46032611.523183346</v>
      </c>
      <c r="R351" s="32"/>
      <c r="S351" s="32"/>
      <c r="T351" s="32"/>
    </row>
    <row r="352" spans="3:20" x14ac:dyDescent="0.25">
      <c r="C352" s="24" t="s">
        <v>975</v>
      </c>
      <c r="D352" s="24" t="s">
        <v>976</v>
      </c>
      <c r="E352" s="24" t="s">
        <v>976</v>
      </c>
      <c r="F352" s="25">
        <v>2</v>
      </c>
      <c r="G352" s="24" t="s">
        <v>376</v>
      </c>
      <c r="H352" s="24" t="s">
        <v>46</v>
      </c>
      <c r="I352" s="24" t="s">
        <v>1030</v>
      </c>
      <c r="J352" s="24" t="s">
        <v>160</v>
      </c>
      <c r="K352" s="24" t="s">
        <v>39</v>
      </c>
      <c r="L352" s="24" t="s">
        <v>40</v>
      </c>
      <c r="M352" s="3" t="s">
        <v>984</v>
      </c>
      <c r="N352" s="24" t="s">
        <v>975</v>
      </c>
      <c r="O352" s="24" t="s">
        <v>42</v>
      </c>
      <c r="P352" s="16" t="s">
        <v>43</v>
      </c>
      <c r="Q352" s="32">
        <v>15852027.900166664</v>
      </c>
      <c r="R352" s="32"/>
      <c r="S352" s="32"/>
      <c r="T352" s="32"/>
    </row>
    <row r="353" spans="3:20" x14ac:dyDescent="0.25">
      <c r="C353" s="24" t="s">
        <v>766</v>
      </c>
      <c r="D353" s="24" t="s">
        <v>767</v>
      </c>
      <c r="E353" s="24" t="s">
        <v>768</v>
      </c>
      <c r="F353" s="25">
        <v>4.5</v>
      </c>
      <c r="G353" s="24" t="s">
        <v>376</v>
      </c>
      <c r="H353" s="24" t="s">
        <v>81</v>
      </c>
      <c r="I353" s="24" t="s">
        <v>1031</v>
      </c>
      <c r="J353" s="24" t="s">
        <v>1048</v>
      </c>
      <c r="K353" s="24" t="s">
        <v>54</v>
      </c>
      <c r="L353" s="24" t="s">
        <v>55</v>
      </c>
      <c r="M353" s="24" t="s">
        <v>378</v>
      </c>
      <c r="N353" s="24" t="s">
        <v>766</v>
      </c>
      <c r="O353" s="24" t="s">
        <v>42</v>
      </c>
      <c r="P353" s="16" t="s">
        <v>43</v>
      </c>
      <c r="Q353" s="32">
        <v>26981249.049999997</v>
      </c>
      <c r="R353" s="32"/>
      <c r="S353" s="32"/>
      <c r="T353" s="32"/>
    </row>
    <row r="354" spans="3:20" x14ac:dyDescent="0.25">
      <c r="C354" s="24" t="s">
        <v>368</v>
      </c>
      <c r="D354" s="24" t="s">
        <v>369</v>
      </c>
      <c r="E354" s="24" t="s">
        <v>370</v>
      </c>
      <c r="F354" s="25" t="s">
        <v>36</v>
      </c>
      <c r="G354" s="24" t="s">
        <v>37</v>
      </c>
      <c r="H354" s="24" t="s">
        <v>88</v>
      </c>
      <c r="I354" s="24" t="s">
        <v>1046</v>
      </c>
      <c r="J354" s="24" t="s">
        <v>160</v>
      </c>
      <c r="K354" s="24" t="s">
        <v>371</v>
      </c>
      <c r="L354" s="24" t="s">
        <v>40</v>
      </c>
      <c r="M354" s="24">
        <v>0</v>
      </c>
      <c r="N354" s="24" t="s">
        <v>368</v>
      </c>
      <c r="O354" s="24" t="s">
        <v>42</v>
      </c>
      <c r="P354" s="16" t="s">
        <v>43</v>
      </c>
      <c r="Q354" s="32">
        <v>0</v>
      </c>
      <c r="R354" s="32"/>
      <c r="S354" s="32"/>
      <c r="T354" s="32"/>
    </row>
    <row r="355" spans="3:20" x14ac:dyDescent="0.25">
      <c r="C355" s="24" t="s">
        <v>736</v>
      </c>
      <c r="D355" s="24" t="s">
        <v>737</v>
      </c>
      <c r="E355" s="24" t="s">
        <v>738</v>
      </c>
      <c r="F355" s="25">
        <v>6</v>
      </c>
      <c r="G355" s="24" t="s">
        <v>376</v>
      </c>
      <c r="H355" s="24" t="s">
        <v>81</v>
      </c>
      <c r="I355" s="24" t="s">
        <v>1031</v>
      </c>
      <c r="J355" s="24" t="s">
        <v>84</v>
      </c>
      <c r="K355" s="24" t="s">
        <v>722</v>
      </c>
      <c r="L355" s="24" t="s">
        <v>55</v>
      </c>
      <c r="M355" s="24" t="s">
        <v>378</v>
      </c>
      <c r="N355" s="24" t="s">
        <v>736</v>
      </c>
      <c r="O355" s="24">
        <v>0</v>
      </c>
      <c r="P355" s="16" t="s">
        <v>43</v>
      </c>
      <c r="Q355" s="32">
        <v>45227184.070499994</v>
      </c>
      <c r="R355" s="32"/>
      <c r="S355" s="32"/>
      <c r="T355" s="32"/>
    </row>
    <row r="356" spans="3:20" x14ac:dyDescent="0.25">
      <c r="C356" s="24" t="s">
        <v>612</v>
      </c>
      <c r="D356" s="24" t="s">
        <v>613</v>
      </c>
      <c r="E356" s="24" t="s">
        <v>613</v>
      </c>
      <c r="F356" s="25">
        <v>5</v>
      </c>
      <c r="G356" s="24" t="s">
        <v>376</v>
      </c>
      <c r="H356" s="24" t="s">
        <v>81</v>
      </c>
      <c r="I356" s="24" t="s">
        <v>1030</v>
      </c>
      <c r="J356" s="24" t="s">
        <v>50</v>
      </c>
      <c r="K356" s="24" t="s">
        <v>364</v>
      </c>
      <c r="L356" s="24" t="s">
        <v>40</v>
      </c>
      <c r="M356" s="24" t="s">
        <v>514</v>
      </c>
      <c r="N356" s="24" t="s">
        <v>612</v>
      </c>
      <c r="O356" s="24" t="s">
        <v>42</v>
      </c>
      <c r="P356" s="16" t="s">
        <v>43</v>
      </c>
      <c r="Q356" s="32">
        <v>42316621.563333333</v>
      </c>
      <c r="R356" s="32"/>
      <c r="S356" s="32"/>
      <c r="T356" s="32"/>
    </row>
    <row r="357" spans="3:20" x14ac:dyDescent="0.25">
      <c r="C357" s="24" t="s">
        <v>614</v>
      </c>
      <c r="D357" s="24" t="s">
        <v>615</v>
      </c>
      <c r="E357" s="24" t="s">
        <v>615</v>
      </c>
      <c r="F357" s="25">
        <v>5</v>
      </c>
      <c r="G357" s="24" t="s">
        <v>376</v>
      </c>
      <c r="H357" s="24" t="s">
        <v>81</v>
      </c>
      <c r="I357" s="24" t="s">
        <v>1030</v>
      </c>
      <c r="J357" s="24" t="s">
        <v>50</v>
      </c>
      <c r="K357" s="24" t="s">
        <v>64</v>
      </c>
      <c r="L357" s="24" t="s">
        <v>40</v>
      </c>
      <c r="M357" s="24" t="s">
        <v>514</v>
      </c>
      <c r="N357" s="24" t="s">
        <v>614</v>
      </c>
      <c r="O357" s="24" t="s">
        <v>42</v>
      </c>
      <c r="P357" s="16" t="s">
        <v>43</v>
      </c>
      <c r="Q357" s="32">
        <v>34896784.200666673</v>
      </c>
      <c r="R357" s="32"/>
      <c r="S357" s="32"/>
      <c r="T357" s="32"/>
    </row>
    <row r="358" spans="3:20" x14ac:dyDescent="0.25">
      <c r="C358" s="24" t="s">
        <v>372</v>
      </c>
      <c r="D358" s="24" t="s">
        <v>372</v>
      </c>
      <c r="E358" s="24" t="s">
        <v>372</v>
      </c>
      <c r="F358" s="25"/>
      <c r="G358" s="24" t="s">
        <v>372</v>
      </c>
      <c r="H358" s="24" t="s">
        <v>372</v>
      </c>
      <c r="I358" s="24" t="s">
        <v>372</v>
      </c>
      <c r="J358" s="24" t="s">
        <v>372</v>
      </c>
      <c r="K358" s="24" t="s">
        <v>372</v>
      </c>
      <c r="L358" s="24" t="s">
        <v>372</v>
      </c>
      <c r="M358" s="24" t="s">
        <v>372</v>
      </c>
      <c r="N358" s="24" t="s">
        <v>372</v>
      </c>
      <c r="O358" s="24" t="s">
        <v>372</v>
      </c>
      <c r="P358" s="16" t="s">
        <v>372</v>
      </c>
      <c r="Q358" s="32">
        <v>0</v>
      </c>
      <c r="R358" s="32"/>
      <c r="S358" s="32"/>
      <c r="T358" s="32"/>
    </row>
    <row r="359" spans="3:20" x14ac:dyDescent="0.25">
      <c r="C359" s="24" t="s">
        <v>697</v>
      </c>
      <c r="D359" s="24" t="s">
        <v>698</v>
      </c>
      <c r="E359" s="24" t="s">
        <v>698</v>
      </c>
      <c r="F359" s="25">
        <v>5.07</v>
      </c>
      <c r="G359" s="24" t="s">
        <v>376</v>
      </c>
      <c r="H359" s="24" t="s">
        <v>81</v>
      </c>
      <c r="I359" s="24" t="s">
        <v>1030</v>
      </c>
      <c r="J359" s="24" t="s">
        <v>248</v>
      </c>
      <c r="K359" s="24" t="s">
        <v>51</v>
      </c>
      <c r="L359" s="24" t="s">
        <v>40</v>
      </c>
      <c r="M359" s="3" t="s">
        <v>984</v>
      </c>
      <c r="N359" s="24" t="s">
        <v>697</v>
      </c>
      <c r="O359" s="24" t="s">
        <v>42</v>
      </c>
      <c r="P359" s="16" t="s">
        <v>43</v>
      </c>
      <c r="Q359" s="32">
        <v>0</v>
      </c>
      <c r="R359" s="32"/>
      <c r="S359" s="32"/>
      <c r="T359" s="32"/>
    </row>
    <row r="360" spans="3:20" ht="18" x14ac:dyDescent="0.25">
      <c r="F360" s="30">
        <f>SUM(F4:F357)</f>
        <v>1323.8800000000006</v>
      </c>
    </row>
  </sheetData>
  <autoFilter ref="C3:Q360" xr:uid="{788E6208-3C73-4FBB-9337-16282FFAE886}"/>
  <pageMargins left="0.7" right="0.7" top="0.75" bottom="0.75" header="0.3" footer="0.3"/>
  <pageSetup paperSize="9" orientation="portrait" r:id="rId1"/>
  <headerFooter>
    <oddFooter>&amp;C_x000D_&amp;1#&amp;"Calibri"&amp;10&amp;K000000 OXXO | Uso Interno</oddFooter>
  </headerFooter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E6208-3C73-4FBB-9337-16282FFAE886}">
  <sheetPr codeName="Hoja7"/>
  <dimension ref="C1:S359"/>
  <sheetViews>
    <sheetView topLeftCell="I324" zoomScale="70" zoomScaleNormal="70" workbookViewId="0">
      <selection activeCell="L16" sqref="L16"/>
    </sheetView>
  </sheetViews>
  <sheetFormatPr baseColWidth="10" defaultColWidth="10.81640625" defaultRowHeight="12.5" x14ac:dyDescent="0.25"/>
  <cols>
    <col min="1" max="1" width="6.453125" style="16" customWidth="1"/>
    <col min="2" max="2" width="5.26953125" style="16" customWidth="1"/>
    <col min="3" max="3" width="17.26953125" style="16" bestFit="1" customWidth="1"/>
    <col min="4" max="4" width="40.54296875" style="16" bestFit="1" customWidth="1"/>
    <col min="5" max="5" width="33.26953125" style="16" customWidth="1"/>
    <col min="6" max="6" width="16.26953125" style="16" customWidth="1"/>
    <col min="7" max="8" width="23.54296875" style="16" customWidth="1"/>
    <col min="9" max="9" width="30" style="16" customWidth="1"/>
    <col min="10" max="10" width="39.81640625" style="16" bestFit="1" customWidth="1"/>
    <col min="11" max="13" width="31.453125" style="16" customWidth="1"/>
    <col min="14" max="14" width="10.81640625" style="16"/>
    <col min="15" max="15" width="48" style="16" bestFit="1" customWidth="1"/>
    <col min="16" max="16" width="14.54296875" style="16" bestFit="1" customWidth="1"/>
    <col min="17" max="17" width="25.453125" style="16" customWidth="1"/>
    <col min="18" max="18" width="17" style="16" bestFit="1" customWidth="1"/>
    <col min="19" max="19" width="16.54296875" style="16" bestFit="1" customWidth="1"/>
    <col min="20" max="16384" width="10.81640625" style="16"/>
  </cols>
  <sheetData>
    <row r="1" spans="3:19" ht="15.5" x14ac:dyDescent="0.25">
      <c r="F1" s="22"/>
      <c r="R1" s="16" t="s">
        <v>1040</v>
      </c>
      <c r="S1" s="16" t="s">
        <v>1042</v>
      </c>
    </row>
    <row r="2" spans="3:19" x14ac:dyDescent="0.25">
      <c r="C2" s="16">
        <v>1</v>
      </c>
      <c r="D2" s="16">
        <f>C2+1</f>
        <v>2</v>
      </c>
      <c r="E2" s="16">
        <f t="shared" ref="E2:O2" si="0">D2+1</f>
        <v>3</v>
      </c>
      <c r="F2" s="16">
        <f t="shared" si="0"/>
        <v>4</v>
      </c>
      <c r="G2" s="16">
        <f>F2+1</f>
        <v>5</v>
      </c>
      <c r="H2" s="16">
        <f>G2+1</f>
        <v>6</v>
      </c>
      <c r="I2" s="16">
        <f t="shared" si="0"/>
        <v>7</v>
      </c>
      <c r="J2" s="16">
        <f t="shared" si="0"/>
        <v>8</v>
      </c>
      <c r="K2" s="16">
        <f t="shared" si="0"/>
        <v>9</v>
      </c>
      <c r="L2" s="16">
        <f t="shared" si="0"/>
        <v>10</v>
      </c>
      <c r="M2" s="16">
        <f t="shared" si="0"/>
        <v>11</v>
      </c>
      <c r="N2" s="16">
        <f t="shared" si="0"/>
        <v>12</v>
      </c>
      <c r="O2" s="16">
        <f t="shared" si="0"/>
        <v>13</v>
      </c>
      <c r="R2"/>
      <c r="S2"/>
    </row>
    <row r="3" spans="3:19" ht="13" x14ac:dyDescent="0.25">
      <c r="C3" s="23" t="s">
        <v>15</v>
      </c>
      <c r="D3" s="23" t="s">
        <v>16</v>
      </c>
      <c r="E3" s="23" t="s">
        <v>17</v>
      </c>
      <c r="F3" s="23" t="s">
        <v>18</v>
      </c>
      <c r="G3" s="23" t="s">
        <v>1040</v>
      </c>
      <c r="H3" s="23" t="s">
        <v>20</v>
      </c>
      <c r="I3" s="23" t="s">
        <v>21</v>
      </c>
      <c r="J3" s="23" t="s">
        <v>22</v>
      </c>
      <c r="K3" s="23" t="s">
        <v>24</v>
      </c>
      <c r="L3" s="23" t="s">
        <v>25</v>
      </c>
      <c r="M3" s="23" t="s">
        <v>26</v>
      </c>
      <c r="N3" s="23" t="s">
        <v>15</v>
      </c>
      <c r="O3" s="23" t="s">
        <v>27</v>
      </c>
      <c r="P3" s="34" t="s">
        <v>28</v>
      </c>
      <c r="Q3" s="36" t="s">
        <v>29</v>
      </c>
      <c r="R3"/>
      <c r="S3"/>
    </row>
    <row r="4" spans="3:19" x14ac:dyDescent="0.25">
      <c r="C4" s="24" t="s">
        <v>929</v>
      </c>
      <c r="D4" s="24" t="s">
        <v>930</v>
      </c>
      <c r="E4" s="24" t="s">
        <v>930</v>
      </c>
      <c r="F4" s="25">
        <v>11.68</v>
      </c>
      <c r="G4" s="24" t="s">
        <v>376</v>
      </c>
      <c r="H4" s="24" t="s">
        <v>46</v>
      </c>
      <c r="I4" s="24" t="s">
        <v>1046</v>
      </c>
      <c r="J4" s="24" t="s">
        <v>160</v>
      </c>
      <c r="K4" s="24" t="s">
        <v>353</v>
      </c>
      <c r="L4" s="24" t="s">
        <v>40</v>
      </c>
      <c r="M4" s="3" t="s">
        <v>984</v>
      </c>
      <c r="N4" s="24" t="s">
        <v>929</v>
      </c>
      <c r="O4" s="24" t="s">
        <v>379</v>
      </c>
      <c r="P4" s="16" t="s">
        <v>43</v>
      </c>
      <c r="Q4" s="32">
        <v>131804585.85034998</v>
      </c>
      <c r="R4"/>
      <c r="S4"/>
    </row>
    <row r="5" spans="3:19" x14ac:dyDescent="0.25">
      <c r="C5" s="24" t="s">
        <v>651</v>
      </c>
      <c r="D5" s="24" t="s">
        <v>652</v>
      </c>
      <c r="E5" s="24" t="s">
        <v>652</v>
      </c>
      <c r="F5" s="25">
        <v>11.68</v>
      </c>
      <c r="G5" s="24" t="s">
        <v>376</v>
      </c>
      <c r="H5" s="24" t="s">
        <v>46</v>
      </c>
      <c r="I5" s="24" t="s">
        <v>1046</v>
      </c>
      <c r="J5" s="24" t="s">
        <v>248</v>
      </c>
      <c r="K5" s="24" t="s">
        <v>51</v>
      </c>
      <c r="L5" s="24" t="s">
        <v>40</v>
      </c>
      <c r="M5" s="3" t="s">
        <v>984</v>
      </c>
      <c r="N5" s="24" t="s">
        <v>651</v>
      </c>
      <c r="O5" s="24" t="s">
        <v>379</v>
      </c>
      <c r="P5" s="16" t="s">
        <v>43</v>
      </c>
      <c r="Q5" s="32">
        <v>153517658.35664997</v>
      </c>
      <c r="R5"/>
      <c r="S5"/>
    </row>
    <row r="6" spans="3:19" x14ac:dyDescent="0.25">
      <c r="C6" s="24" t="s">
        <v>373</v>
      </c>
      <c r="D6" s="24" t="s">
        <v>374</v>
      </c>
      <c r="E6" s="24" t="s">
        <v>375</v>
      </c>
      <c r="F6" s="25">
        <v>11.68</v>
      </c>
      <c r="G6" s="24" t="s">
        <v>376</v>
      </c>
      <c r="H6" s="24" t="s">
        <v>46</v>
      </c>
      <c r="I6" s="24" t="s">
        <v>1031</v>
      </c>
      <c r="J6" s="24" t="s">
        <v>63</v>
      </c>
      <c r="K6" s="24" t="s">
        <v>138</v>
      </c>
      <c r="L6" s="24" t="s">
        <v>40</v>
      </c>
      <c r="M6" s="3" t="s">
        <v>378</v>
      </c>
      <c r="N6" s="24" t="s">
        <v>373</v>
      </c>
      <c r="O6" s="24" t="s">
        <v>379</v>
      </c>
      <c r="P6" s="16" t="s">
        <v>43</v>
      </c>
      <c r="Q6" s="32">
        <v>132419278.07359999</v>
      </c>
      <c r="R6"/>
      <c r="S6"/>
    </row>
    <row r="7" spans="3:19" x14ac:dyDescent="0.25">
      <c r="C7" s="24" t="s">
        <v>699</v>
      </c>
      <c r="D7" s="24" t="s">
        <v>985</v>
      </c>
      <c r="E7" s="24" t="s">
        <v>701</v>
      </c>
      <c r="F7" s="25">
        <v>10</v>
      </c>
      <c r="G7" s="24" t="s">
        <v>376</v>
      </c>
      <c r="H7" s="24" t="s">
        <v>46</v>
      </c>
      <c r="I7" s="24" t="s">
        <v>1031</v>
      </c>
      <c r="J7" s="24" t="s">
        <v>84</v>
      </c>
      <c r="K7" s="24" t="s">
        <v>54</v>
      </c>
      <c r="L7" s="24" t="s">
        <v>55</v>
      </c>
      <c r="M7" s="3" t="s">
        <v>378</v>
      </c>
      <c r="N7" s="24" t="s">
        <v>699</v>
      </c>
      <c r="O7" s="24" t="s">
        <v>379</v>
      </c>
      <c r="P7" s="16" t="s">
        <v>43</v>
      </c>
      <c r="Q7" s="32">
        <v>108394298.59229998</v>
      </c>
      <c r="R7"/>
      <c r="S7"/>
    </row>
    <row r="8" spans="3:19" x14ac:dyDescent="0.25">
      <c r="C8" s="24" t="s">
        <v>739</v>
      </c>
      <c r="D8" s="24" t="s">
        <v>740</v>
      </c>
      <c r="E8" s="24" t="s">
        <v>740</v>
      </c>
      <c r="F8" s="25">
        <v>9</v>
      </c>
      <c r="G8" s="24" t="s">
        <v>376</v>
      </c>
      <c r="H8" s="24" t="s">
        <v>46</v>
      </c>
      <c r="I8" s="24" t="s">
        <v>1031</v>
      </c>
      <c r="J8" s="24" t="s">
        <v>1048</v>
      </c>
      <c r="K8" s="24" t="s">
        <v>54</v>
      </c>
      <c r="L8" s="24" t="s">
        <v>55</v>
      </c>
      <c r="M8" s="3" t="s">
        <v>378</v>
      </c>
      <c r="N8" s="24" t="s">
        <v>739</v>
      </c>
      <c r="O8" s="24" t="s">
        <v>379</v>
      </c>
      <c r="P8" s="16" t="s">
        <v>43</v>
      </c>
      <c r="Q8" s="32">
        <v>84695425.772</v>
      </c>
      <c r="R8"/>
      <c r="S8"/>
    </row>
    <row r="9" spans="3:19" x14ac:dyDescent="0.25">
      <c r="C9" s="24" t="s">
        <v>381</v>
      </c>
      <c r="D9" s="24" t="s">
        <v>382</v>
      </c>
      <c r="E9" s="24" t="s">
        <v>382</v>
      </c>
      <c r="F9" s="25">
        <v>9.1300000000000008</v>
      </c>
      <c r="G9" s="24" t="s">
        <v>376</v>
      </c>
      <c r="H9" s="24" t="s">
        <v>46</v>
      </c>
      <c r="I9" s="24" t="s">
        <v>1031</v>
      </c>
      <c r="J9" s="24" t="s">
        <v>63</v>
      </c>
      <c r="K9" s="24" t="s">
        <v>138</v>
      </c>
      <c r="L9" s="24" t="s">
        <v>40</v>
      </c>
      <c r="M9" s="3" t="s">
        <v>378</v>
      </c>
      <c r="N9" s="24" t="s">
        <v>381</v>
      </c>
      <c r="O9" s="24" t="s">
        <v>379</v>
      </c>
      <c r="P9" s="16" t="s">
        <v>43</v>
      </c>
      <c r="Q9" s="32">
        <v>74941494.55869998</v>
      </c>
      <c r="R9"/>
      <c r="S9"/>
    </row>
    <row r="10" spans="3:19" x14ac:dyDescent="0.25">
      <c r="C10" s="24" t="s">
        <v>511</v>
      </c>
      <c r="D10" s="24" t="s">
        <v>512</v>
      </c>
      <c r="E10" s="24" t="s">
        <v>513</v>
      </c>
      <c r="F10" s="25">
        <v>10.58</v>
      </c>
      <c r="G10" s="24" t="s">
        <v>376</v>
      </c>
      <c r="H10" s="24" t="s">
        <v>46</v>
      </c>
      <c r="I10" s="24" t="s">
        <v>1046</v>
      </c>
      <c r="J10" s="24" t="s">
        <v>100</v>
      </c>
      <c r="K10" s="24" t="s">
        <v>138</v>
      </c>
      <c r="L10" s="24" t="s">
        <v>40</v>
      </c>
      <c r="M10" s="24" t="s">
        <v>1035</v>
      </c>
      <c r="N10" s="24" t="s">
        <v>511</v>
      </c>
      <c r="O10" s="24" t="s">
        <v>379</v>
      </c>
      <c r="P10" s="16" t="s">
        <v>43</v>
      </c>
      <c r="Q10" s="32">
        <v>108451613.15239999</v>
      </c>
      <c r="R10"/>
      <c r="S10"/>
    </row>
    <row r="11" spans="3:19" x14ac:dyDescent="0.25">
      <c r="C11" s="24" t="s">
        <v>516</v>
      </c>
      <c r="D11" s="24" t="s">
        <v>517</v>
      </c>
      <c r="E11" s="24" t="s">
        <v>518</v>
      </c>
      <c r="F11" s="25">
        <v>10.130000000000001</v>
      </c>
      <c r="G11" s="24" t="s">
        <v>376</v>
      </c>
      <c r="H11" s="24" t="s">
        <v>46</v>
      </c>
      <c r="I11" s="24" t="s">
        <v>1046</v>
      </c>
      <c r="J11" s="24" t="s">
        <v>100</v>
      </c>
      <c r="K11" s="24" t="s">
        <v>205</v>
      </c>
      <c r="L11" s="24" t="s">
        <v>40</v>
      </c>
      <c r="M11" s="24" t="s">
        <v>1035</v>
      </c>
      <c r="N11" s="24" t="s">
        <v>516</v>
      </c>
      <c r="O11" s="24" t="s">
        <v>379</v>
      </c>
      <c r="P11" s="16" t="s">
        <v>43</v>
      </c>
      <c r="Q11" s="32">
        <v>98244097.106399998</v>
      </c>
      <c r="R11"/>
      <c r="S11"/>
    </row>
    <row r="12" spans="3:19" x14ac:dyDescent="0.25">
      <c r="C12" s="24" t="s">
        <v>796</v>
      </c>
      <c r="D12" s="24" t="s">
        <v>797</v>
      </c>
      <c r="E12" s="24" t="s">
        <v>797</v>
      </c>
      <c r="F12" s="25">
        <v>8</v>
      </c>
      <c r="G12" s="24" t="s">
        <v>376</v>
      </c>
      <c r="H12" s="24" t="s">
        <v>81</v>
      </c>
      <c r="I12" s="24" t="s">
        <v>1046</v>
      </c>
      <c r="J12" s="24" t="s">
        <v>146</v>
      </c>
      <c r="K12" s="24" t="s">
        <v>59</v>
      </c>
      <c r="L12" s="24" t="s">
        <v>40</v>
      </c>
      <c r="M12" s="24" t="s">
        <v>1035</v>
      </c>
      <c r="N12" s="24" t="s">
        <v>796</v>
      </c>
      <c r="O12" s="24" t="s">
        <v>379</v>
      </c>
      <c r="P12" s="16" t="s">
        <v>43</v>
      </c>
      <c r="Q12" s="32">
        <v>40949816.455099992</v>
      </c>
      <c r="R12"/>
      <c r="S12"/>
    </row>
    <row r="13" spans="3:19" x14ac:dyDescent="0.25">
      <c r="C13" s="24" t="s">
        <v>463</v>
      </c>
      <c r="D13" s="24" t="s">
        <v>464</v>
      </c>
      <c r="E13" s="24" t="s">
        <v>465</v>
      </c>
      <c r="F13" s="25">
        <v>8.9</v>
      </c>
      <c r="G13" s="24" t="s">
        <v>376</v>
      </c>
      <c r="H13" s="24" t="s">
        <v>46</v>
      </c>
      <c r="I13" s="24" t="s">
        <v>1046</v>
      </c>
      <c r="J13" s="24" t="s">
        <v>466</v>
      </c>
      <c r="K13" s="24" t="s">
        <v>51</v>
      </c>
      <c r="L13" s="24" t="s">
        <v>40</v>
      </c>
      <c r="M13" s="24" t="s">
        <v>1035</v>
      </c>
      <c r="N13" s="24" t="s">
        <v>463</v>
      </c>
      <c r="O13" s="24" t="s">
        <v>1056</v>
      </c>
      <c r="P13" s="16" t="s">
        <v>43</v>
      </c>
      <c r="Q13" s="32">
        <v>78758373.669149995</v>
      </c>
      <c r="R13"/>
      <c r="S13"/>
    </row>
    <row r="14" spans="3:19" x14ac:dyDescent="0.25">
      <c r="C14" s="24" t="s">
        <v>383</v>
      </c>
      <c r="D14" s="24" t="s">
        <v>384</v>
      </c>
      <c r="E14" s="24" t="s">
        <v>384</v>
      </c>
      <c r="F14" s="25">
        <v>8</v>
      </c>
      <c r="G14" s="24" t="s">
        <v>376</v>
      </c>
      <c r="H14" s="24" t="s">
        <v>46</v>
      </c>
      <c r="I14" s="24" t="s">
        <v>1031</v>
      </c>
      <c r="J14" s="24" t="s">
        <v>63</v>
      </c>
      <c r="K14" s="24" t="s">
        <v>138</v>
      </c>
      <c r="L14" s="24" t="s">
        <v>40</v>
      </c>
      <c r="M14" s="3" t="s">
        <v>378</v>
      </c>
      <c r="N14" s="24" t="s">
        <v>383</v>
      </c>
      <c r="O14" s="24" t="s">
        <v>42</v>
      </c>
      <c r="P14" s="16" t="s">
        <v>43</v>
      </c>
      <c r="Q14" s="32">
        <v>100973848.65854998</v>
      </c>
      <c r="R14"/>
      <c r="S14"/>
    </row>
    <row r="15" spans="3:19" x14ac:dyDescent="0.25">
      <c r="C15" s="24" t="s">
        <v>646</v>
      </c>
      <c r="D15" s="24" t="s">
        <v>647</v>
      </c>
      <c r="E15" s="24" t="s">
        <v>647</v>
      </c>
      <c r="F15" s="25">
        <v>7</v>
      </c>
      <c r="G15" s="24" t="s">
        <v>376</v>
      </c>
      <c r="H15" s="24" t="s">
        <v>46</v>
      </c>
      <c r="I15" s="24" t="s">
        <v>1046</v>
      </c>
      <c r="J15" s="24" t="s">
        <v>50</v>
      </c>
      <c r="K15" s="24" t="s">
        <v>59</v>
      </c>
      <c r="L15" s="24" t="s">
        <v>40</v>
      </c>
      <c r="M15" s="3" t="s">
        <v>984</v>
      </c>
      <c r="N15" s="24" t="s">
        <v>646</v>
      </c>
      <c r="O15" s="24" t="s">
        <v>42</v>
      </c>
      <c r="P15" s="16" t="s">
        <v>43</v>
      </c>
      <c r="Q15" s="32">
        <v>76546842.863399997</v>
      </c>
      <c r="R15"/>
      <c r="S15"/>
    </row>
    <row r="16" spans="3:19" x14ac:dyDescent="0.25">
      <c r="C16" s="24" t="s">
        <v>648</v>
      </c>
      <c r="D16" s="24" t="s">
        <v>649</v>
      </c>
      <c r="E16" s="24" t="s">
        <v>650</v>
      </c>
      <c r="F16" s="25">
        <v>7.45</v>
      </c>
      <c r="G16" s="24" t="s">
        <v>376</v>
      </c>
      <c r="H16" s="24" t="s">
        <v>46</v>
      </c>
      <c r="I16" s="24" t="s">
        <v>1046</v>
      </c>
      <c r="J16" s="24" t="s">
        <v>50</v>
      </c>
      <c r="K16" s="24" t="s">
        <v>64</v>
      </c>
      <c r="L16" s="24" t="s">
        <v>40</v>
      </c>
      <c r="M16" s="3" t="s">
        <v>984</v>
      </c>
      <c r="N16" s="24" t="s">
        <v>648</v>
      </c>
      <c r="O16" s="24" t="s">
        <v>42</v>
      </c>
      <c r="P16" s="16" t="s">
        <v>43</v>
      </c>
      <c r="Q16" s="32">
        <v>87069245.852749988</v>
      </c>
      <c r="R16"/>
      <c r="S16"/>
    </row>
    <row r="17" spans="3:19" x14ac:dyDescent="0.25">
      <c r="C17" s="24" t="s">
        <v>642</v>
      </c>
      <c r="D17" s="24" t="s">
        <v>643</v>
      </c>
      <c r="E17" s="24" t="s">
        <v>643</v>
      </c>
      <c r="F17" s="25">
        <v>5.07</v>
      </c>
      <c r="G17" s="24" t="s">
        <v>376</v>
      </c>
      <c r="H17" s="24" t="s">
        <v>46</v>
      </c>
      <c r="I17" s="24" t="s">
        <v>1046</v>
      </c>
      <c r="J17" s="24" t="s">
        <v>50</v>
      </c>
      <c r="K17" s="24" t="s">
        <v>51</v>
      </c>
      <c r="L17" s="24" t="s">
        <v>40</v>
      </c>
      <c r="M17" s="3" t="s">
        <v>984</v>
      </c>
      <c r="N17" s="24" t="s">
        <v>642</v>
      </c>
      <c r="O17" s="24" t="s">
        <v>42</v>
      </c>
      <c r="P17" s="16" t="s">
        <v>43</v>
      </c>
      <c r="Q17" s="32">
        <v>96229406.714349985</v>
      </c>
      <c r="R17"/>
      <c r="S17"/>
    </row>
    <row r="18" spans="3:19" x14ac:dyDescent="0.25">
      <c r="C18" s="24" t="s">
        <v>468</v>
      </c>
      <c r="D18" s="24" t="s">
        <v>469</v>
      </c>
      <c r="E18" s="24" t="s">
        <v>470</v>
      </c>
      <c r="F18" s="25">
        <v>8.4499999999999993</v>
      </c>
      <c r="G18" s="24" t="s">
        <v>376</v>
      </c>
      <c r="H18" s="24" t="s">
        <v>46</v>
      </c>
      <c r="I18" s="24" t="s">
        <v>1046</v>
      </c>
      <c r="J18" s="24" t="s">
        <v>466</v>
      </c>
      <c r="K18" s="24" t="s">
        <v>51</v>
      </c>
      <c r="L18" s="24" t="s">
        <v>40</v>
      </c>
      <c r="M18" s="24" t="s">
        <v>1035</v>
      </c>
      <c r="N18" s="24" t="s">
        <v>468</v>
      </c>
      <c r="O18" s="24" t="s">
        <v>42</v>
      </c>
      <c r="P18" s="16" t="s">
        <v>43</v>
      </c>
      <c r="Q18" s="32">
        <v>53900000</v>
      </c>
      <c r="R18"/>
      <c r="S18"/>
    </row>
    <row r="19" spans="3:19" x14ac:dyDescent="0.25">
      <c r="C19" s="24" t="s">
        <v>932</v>
      </c>
      <c r="D19" s="24" t="s">
        <v>933</v>
      </c>
      <c r="E19" s="24" t="s">
        <v>933</v>
      </c>
      <c r="F19" s="25">
        <v>7</v>
      </c>
      <c r="G19" s="24" t="s">
        <v>376</v>
      </c>
      <c r="H19" s="24" t="s">
        <v>46</v>
      </c>
      <c r="I19" s="24" t="s">
        <v>1046</v>
      </c>
      <c r="J19" s="24" t="s">
        <v>160</v>
      </c>
      <c r="K19" s="24" t="s">
        <v>353</v>
      </c>
      <c r="L19" s="24" t="s">
        <v>40</v>
      </c>
      <c r="M19" s="3" t="s">
        <v>984</v>
      </c>
      <c r="N19" s="24" t="s">
        <v>932</v>
      </c>
      <c r="O19" s="24" t="s">
        <v>42</v>
      </c>
      <c r="P19" s="16" t="s">
        <v>43</v>
      </c>
      <c r="Q19" s="32">
        <v>79479191.11649999</v>
      </c>
      <c r="R19"/>
      <c r="S19"/>
    </row>
    <row r="20" spans="3:19" x14ac:dyDescent="0.25">
      <c r="C20" s="24" t="s">
        <v>390</v>
      </c>
      <c r="D20" s="24" t="s">
        <v>391</v>
      </c>
      <c r="E20" s="24" t="s">
        <v>391</v>
      </c>
      <c r="F20" s="25">
        <v>7</v>
      </c>
      <c r="G20" s="24" t="s">
        <v>376</v>
      </c>
      <c r="H20" s="24" t="s">
        <v>46</v>
      </c>
      <c r="I20" s="24" t="s">
        <v>1031</v>
      </c>
      <c r="J20" s="24" t="s">
        <v>63</v>
      </c>
      <c r="K20" s="24" t="s">
        <v>138</v>
      </c>
      <c r="L20" s="24" t="s">
        <v>40</v>
      </c>
      <c r="M20" s="3" t="s">
        <v>378</v>
      </c>
      <c r="N20" s="24" t="s">
        <v>390</v>
      </c>
      <c r="O20" s="24" t="s">
        <v>42</v>
      </c>
      <c r="P20" s="16" t="s">
        <v>43</v>
      </c>
      <c r="Q20" s="32">
        <v>95453877.969099998</v>
      </c>
      <c r="R20"/>
      <c r="S20"/>
    </row>
    <row r="21" spans="3:19" x14ac:dyDescent="0.25">
      <c r="C21" s="24" t="s">
        <v>883</v>
      </c>
      <c r="D21" s="24" t="s">
        <v>884</v>
      </c>
      <c r="E21" s="24" t="s">
        <v>986</v>
      </c>
      <c r="F21" s="25">
        <v>5.45</v>
      </c>
      <c r="G21" s="24" t="s">
        <v>376</v>
      </c>
      <c r="H21" s="24" t="s">
        <v>46</v>
      </c>
      <c r="I21" s="24" t="s">
        <v>1046</v>
      </c>
      <c r="J21" s="24" t="s">
        <v>73</v>
      </c>
      <c r="K21" s="24" t="s">
        <v>315</v>
      </c>
      <c r="L21" s="24" t="s">
        <v>40</v>
      </c>
      <c r="M21" s="3" t="s">
        <v>378</v>
      </c>
      <c r="N21" s="24" t="s">
        <v>883</v>
      </c>
      <c r="O21" s="24" t="s">
        <v>42</v>
      </c>
      <c r="P21" s="16" t="s">
        <v>440</v>
      </c>
      <c r="Q21" s="32">
        <v>48872656.01434999</v>
      </c>
      <c r="R21"/>
      <c r="S21"/>
    </row>
    <row r="22" spans="3:19" x14ac:dyDescent="0.25">
      <c r="C22" s="24" t="s">
        <v>387</v>
      </c>
      <c r="D22" s="24" t="s">
        <v>388</v>
      </c>
      <c r="E22" s="24" t="s">
        <v>389</v>
      </c>
      <c r="F22" s="25">
        <v>7</v>
      </c>
      <c r="G22" s="24" t="s">
        <v>376</v>
      </c>
      <c r="H22" s="24" t="s">
        <v>46</v>
      </c>
      <c r="I22" s="24" t="s">
        <v>1031</v>
      </c>
      <c r="J22" s="24" t="s">
        <v>63</v>
      </c>
      <c r="K22" s="24" t="s">
        <v>138</v>
      </c>
      <c r="L22" s="24" t="s">
        <v>40</v>
      </c>
      <c r="M22" s="3" t="s">
        <v>378</v>
      </c>
      <c r="N22" s="24" t="s">
        <v>387</v>
      </c>
      <c r="O22" s="24" t="s">
        <v>42</v>
      </c>
      <c r="P22" s="16" t="s">
        <v>43</v>
      </c>
      <c r="Q22" s="32">
        <v>77381231.290649995</v>
      </c>
      <c r="R22"/>
      <c r="S22"/>
    </row>
    <row r="23" spans="3:19" x14ac:dyDescent="0.25">
      <c r="C23" s="24" t="s">
        <v>519</v>
      </c>
      <c r="D23" s="24" t="s">
        <v>520</v>
      </c>
      <c r="E23" s="24" t="s">
        <v>520</v>
      </c>
      <c r="F23" s="25">
        <v>7</v>
      </c>
      <c r="G23" s="24" t="s">
        <v>376</v>
      </c>
      <c r="H23" s="24" t="s">
        <v>46</v>
      </c>
      <c r="I23" s="24" t="s">
        <v>1046</v>
      </c>
      <c r="J23" s="24" t="s">
        <v>100</v>
      </c>
      <c r="K23" s="24" t="s">
        <v>138</v>
      </c>
      <c r="L23" s="24" t="s">
        <v>40</v>
      </c>
      <c r="M23" s="24" t="s">
        <v>1035</v>
      </c>
      <c r="N23" s="24" t="s">
        <v>519</v>
      </c>
      <c r="O23" s="24" t="s">
        <v>42</v>
      </c>
      <c r="P23" s="16" t="s">
        <v>43</v>
      </c>
      <c r="Q23" s="32">
        <v>82341367.489250004</v>
      </c>
      <c r="R23"/>
      <c r="S23"/>
    </row>
    <row r="24" spans="3:19" x14ac:dyDescent="0.25">
      <c r="C24" s="24" t="s">
        <v>887</v>
      </c>
      <c r="D24" s="24" t="s">
        <v>275</v>
      </c>
      <c r="E24" s="24" t="s">
        <v>888</v>
      </c>
      <c r="F24" s="25">
        <v>8.68</v>
      </c>
      <c r="G24" s="24" t="s">
        <v>376</v>
      </c>
      <c r="H24" s="24" t="s">
        <v>46</v>
      </c>
      <c r="I24" s="24" t="s">
        <v>1046</v>
      </c>
      <c r="J24" s="24" t="s">
        <v>73</v>
      </c>
      <c r="K24" s="24" t="s">
        <v>275</v>
      </c>
      <c r="L24" s="24" t="s">
        <v>40</v>
      </c>
      <c r="M24" s="3" t="s">
        <v>378</v>
      </c>
      <c r="N24" s="24" t="s">
        <v>887</v>
      </c>
      <c r="O24" s="24" t="s">
        <v>42</v>
      </c>
      <c r="P24" s="16" t="s">
        <v>43</v>
      </c>
      <c r="Q24" s="32">
        <v>102941145.3343</v>
      </c>
      <c r="R24"/>
      <c r="S24"/>
    </row>
    <row r="25" spans="3:19" ht="13" x14ac:dyDescent="0.25">
      <c r="C25" s="24" t="s">
        <v>654</v>
      </c>
      <c r="D25" s="24" t="s">
        <v>655</v>
      </c>
      <c r="E25" s="24" t="s">
        <v>655</v>
      </c>
      <c r="F25" s="33">
        <v>6</v>
      </c>
      <c r="G25" s="24" t="s">
        <v>376</v>
      </c>
      <c r="H25" s="24" t="s">
        <v>46</v>
      </c>
      <c r="I25" s="24" t="s">
        <v>1046</v>
      </c>
      <c r="J25" s="24" t="s">
        <v>248</v>
      </c>
      <c r="K25" s="24" t="s">
        <v>51</v>
      </c>
      <c r="L25" s="24" t="s">
        <v>40</v>
      </c>
      <c r="M25" s="3" t="s">
        <v>984</v>
      </c>
      <c r="N25" s="24" t="s">
        <v>654</v>
      </c>
      <c r="O25" s="24" t="s">
        <v>42</v>
      </c>
      <c r="P25" s="16" t="s">
        <v>43</v>
      </c>
      <c r="Q25" s="32">
        <v>86929237.035549983</v>
      </c>
      <c r="R25"/>
      <c r="S25"/>
    </row>
    <row r="26" spans="3:19" x14ac:dyDescent="0.25">
      <c r="C26" s="24" t="s">
        <v>800</v>
      </c>
      <c r="D26" s="24" t="s">
        <v>801</v>
      </c>
      <c r="E26" s="24" t="s">
        <v>801</v>
      </c>
      <c r="F26" s="25">
        <v>7</v>
      </c>
      <c r="G26" s="24" t="s">
        <v>376</v>
      </c>
      <c r="H26" s="24" t="s">
        <v>46</v>
      </c>
      <c r="I26" s="24" t="s">
        <v>1046</v>
      </c>
      <c r="J26" s="24" t="s">
        <v>146</v>
      </c>
      <c r="K26" s="24" t="s">
        <v>59</v>
      </c>
      <c r="L26" s="24" t="s">
        <v>40</v>
      </c>
      <c r="M26" s="24" t="s">
        <v>1035</v>
      </c>
      <c r="N26" s="24" t="s">
        <v>800</v>
      </c>
      <c r="O26" s="24" t="s">
        <v>42</v>
      </c>
      <c r="P26" s="16" t="s">
        <v>43</v>
      </c>
      <c r="Q26" s="32">
        <v>59515712.913999997</v>
      </c>
      <c r="R26"/>
      <c r="S26"/>
    </row>
    <row r="27" spans="3:19" x14ac:dyDescent="0.25">
      <c r="C27" s="24" t="s">
        <v>385</v>
      </c>
      <c r="D27" s="24" t="s">
        <v>386</v>
      </c>
      <c r="E27" s="24" t="s">
        <v>386</v>
      </c>
      <c r="F27" s="25">
        <v>7</v>
      </c>
      <c r="G27" s="24" t="s">
        <v>376</v>
      </c>
      <c r="H27" s="24" t="s">
        <v>46</v>
      </c>
      <c r="I27" s="24" t="s">
        <v>1031</v>
      </c>
      <c r="J27" s="24" t="s">
        <v>63</v>
      </c>
      <c r="K27" s="24" t="s">
        <v>138</v>
      </c>
      <c r="L27" s="24" t="s">
        <v>40</v>
      </c>
      <c r="M27" s="3" t="s">
        <v>378</v>
      </c>
      <c r="N27" s="24" t="s">
        <v>385</v>
      </c>
      <c r="O27" s="24" t="s">
        <v>42</v>
      </c>
      <c r="P27" s="16" t="s">
        <v>43</v>
      </c>
      <c r="Q27" s="32">
        <v>90301772.256149992</v>
      </c>
      <c r="R27"/>
      <c r="S27"/>
    </row>
    <row r="28" spans="3:19" x14ac:dyDescent="0.25">
      <c r="C28" s="24" t="s">
        <v>934</v>
      </c>
      <c r="D28" s="24" t="s">
        <v>935</v>
      </c>
      <c r="E28" s="24" t="s">
        <v>935</v>
      </c>
      <c r="F28" s="25">
        <v>7</v>
      </c>
      <c r="G28" s="24" t="s">
        <v>376</v>
      </c>
      <c r="H28" s="24" t="s">
        <v>46</v>
      </c>
      <c r="I28" s="24" t="s">
        <v>1046</v>
      </c>
      <c r="J28" s="24" t="s">
        <v>160</v>
      </c>
      <c r="K28" s="24" t="s">
        <v>353</v>
      </c>
      <c r="L28" s="24" t="s">
        <v>40</v>
      </c>
      <c r="M28" s="3" t="s">
        <v>984</v>
      </c>
      <c r="N28" s="24" t="s">
        <v>934</v>
      </c>
      <c r="O28" s="24" t="s">
        <v>42</v>
      </c>
      <c r="P28" s="16" t="s">
        <v>43</v>
      </c>
      <c r="Q28" s="32">
        <v>69255562.488699988</v>
      </c>
      <c r="R28"/>
      <c r="S28"/>
    </row>
    <row r="29" spans="3:19" x14ac:dyDescent="0.25">
      <c r="C29" s="24" t="s">
        <v>573</v>
      </c>
      <c r="D29" s="24" t="s">
        <v>574</v>
      </c>
      <c r="E29" s="24" t="s">
        <v>575</v>
      </c>
      <c r="F29" s="25">
        <v>7</v>
      </c>
      <c r="G29" s="24" t="s">
        <v>376</v>
      </c>
      <c r="H29" s="24" t="s">
        <v>46</v>
      </c>
      <c r="I29" s="24" t="s">
        <v>1046</v>
      </c>
      <c r="J29" s="24" t="s">
        <v>331</v>
      </c>
      <c r="K29" s="24" t="s">
        <v>138</v>
      </c>
      <c r="L29" s="24" t="s">
        <v>40</v>
      </c>
      <c r="M29" s="3" t="s">
        <v>984</v>
      </c>
      <c r="N29" s="24" t="s">
        <v>573</v>
      </c>
      <c r="O29" s="24" t="s">
        <v>42</v>
      </c>
      <c r="P29" s="16" t="s">
        <v>440</v>
      </c>
      <c r="Q29" s="32">
        <v>78517353.035099983</v>
      </c>
      <c r="R29"/>
      <c r="S29"/>
    </row>
    <row r="30" spans="3:19" x14ac:dyDescent="0.25">
      <c r="C30" s="24" t="s">
        <v>804</v>
      </c>
      <c r="D30" s="24" t="s">
        <v>805</v>
      </c>
      <c r="E30" s="24" t="s">
        <v>806</v>
      </c>
      <c r="F30" s="25">
        <v>6.45</v>
      </c>
      <c r="G30" s="24" t="s">
        <v>376</v>
      </c>
      <c r="H30" s="24" t="s">
        <v>46</v>
      </c>
      <c r="I30" s="24" t="s">
        <v>1046</v>
      </c>
      <c r="J30" s="24" t="s">
        <v>146</v>
      </c>
      <c r="K30" s="24" t="s">
        <v>59</v>
      </c>
      <c r="L30" s="24" t="s">
        <v>40</v>
      </c>
      <c r="M30" s="24" t="s">
        <v>1035</v>
      </c>
      <c r="N30" s="24" t="s">
        <v>804</v>
      </c>
      <c r="O30" s="24" t="s">
        <v>42</v>
      </c>
      <c r="P30" s="16" t="s">
        <v>43</v>
      </c>
      <c r="Q30" s="32">
        <v>63452956.638749994</v>
      </c>
      <c r="R30"/>
      <c r="S30"/>
    </row>
    <row r="31" spans="3:19" x14ac:dyDescent="0.25">
      <c r="C31" s="24" t="s">
        <v>618</v>
      </c>
      <c r="D31" s="24" t="s">
        <v>619</v>
      </c>
      <c r="E31" s="24" t="s">
        <v>619</v>
      </c>
      <c r="F31" s="25">
        <v>6.68</v>
      </c>
      <c r="G31" s="24" t="s">
        <v>376</v>
      </c>
      <c r="H31" s="24" t="s">
        <v>46</v>
      </c>
      <c r="I31" s="24" t="s">
        <v>1046</v>
      </c>
      <c r="J31" s="24" t="s">
        <v>50</v>
      </c>
      <c r="K31" s="24" t="s">
        <v>59</v>
      </c>
      <c r="L31" s="24" t="s">
        <v>40</v>
      </c>
      <c r="M31" s="3" t="s">
        <v>984</v>
      </c>
      <c r="N31" s="24" t="s">
        <v>618</v>
      </c>
      <c r="O31" s="24" t="s">
        <v>42</v>
      </c>
      <c r="P31" s="16" t="s">
        <v>43</v>
      </c>
      <c r="Q31" s="32">
        <v>62056861.018425174</v>
      </c>
      <c r="R31"/>
      <c r="S31"/>
    </row>
    <row r="32" spans="3:19" x14ac:dyDescent="0.25">
      <c r="C32" s="24" t="s">
        <v>419</v>
      </c>
      <c r="D32" s="24" t="s">
        <v>420</v>
      </c>
      <c r="E32" s="24" t="s">
        <v>64</v>
      </c>
      <c r="F32" s="25">
        <v>6</v>
      </c>
      <c r="G32" s="24" t="s">
        <v>376</v>
      </c>
      <c r="H32" s="24" t="s">
        <v>46</v>
      </c>
      <c r="I32" s="24" t="s">
        <v>1046</v>
      </c>
      <c r="J32" s="24" t="s">
        <v>94</v>
      </c>
      <c r="K32" s="24" t="s">
        <v>64</v>
      </c>
      <c r="L32" s="24" t="s">
        <v>40</v>
      </c>
      <c r="M32" s="24" t="s">
        <v>1035</v>
      </c>
      <c r="N32" s="24" t="s">
        <v>419</v>
      </c>
      <c r="O32" s="24" t="s">
        <v>42</v>
      </c>
      <c r="P32" s="16" t="s">
        <v>43</v>
      </c>
      <c r="Q32" s="32">
        <v>70534086.874299988</v>
      </c>
      <c r="R32"/>
      <c r="S32"/>
    </row>
    <row r="33" spans="3:19" x14ac:dyDescent="0.25">
      <c r="C33" s="24" t="s">
        <v>521</v>
      </c>
      <c r="D33" s="24" t="s">
        <v>522</v>
      </c>
      <c r="E33" s="24" t="s">
        <v>522</v>
      </c>
      <c r="F33" s="37">
        <v>6</v>
      </c>
      <c r="G33" s="24" t="s">
        <v>376</v>
      </c>
      <c r="H33" s="24" t="s">
        <v>46</v>
      </c>
      <c r="I33" s="24" t="s">
        <v>1046</v>
      </c>
      <c r="J33" s="24" t="s">
        <v>100</v>
      </c>
      <c r="K33" s="24" t="s">
        <v>138</v>
      </c>
      <c r="L33" s="24" t="s">
        <v>40</v>
      </c>
      <c r="M33" s="24" t="s">
        <v>1035</v>
      </c>
      <c r="N33" s="24" t="s">
        <v>521</v>
      </c>
      <c r="O33" s="24" t="s">
        <v>1057</v>
      </c>
      <c r="P33" s="16" t="s">
        <v>43</v>
      </c>
      <c r="Q33" s="32">
        <v>65775106.299350001</v>
      </c>
      <c r="R33"/>
      <c r="S33"/>
    </row>
    <row r="34" spans="3:19" x14ac:dyDescent="0.25">
      <c r="C34" s="24" t="s">
        <v>844</v>
      </c>
      <c r="D34" s="24" t="s">
        <v>845</v>
      </c>
      <c r="E34" s="24" t="s">
        <v>846</v>
      </c>
      <c r="F34" s="25">
        <v>6</v>
      </c>
      <c r="G34" s="24" t="s">
        <v>376</v>
      </c>
      <c r="H34" s="24" t="s">
        <v>46</v>
      </c>
      <c r="I34" s="24" t="s">
        <v>1046</v>
      </c>
      <c r="J34" s="24" t="s">
        <v>132</v>
      </c>
      <c r="K34" s="24" t="s">
        <v>138</v>
      </c>
      <c r="L34" s="24" t="s">
        <v>40</v>
      </c>
      <c r="M34" s="24" t="s">
        <v>1035</v>
      </c>
      <c r="N34" s="24" t="s">
        <v>844</v>
      </c>
      <c r="O34" s="24" t="s">
        <v>42</v>
      </c>
      <c r="P34" s="16" t="s">
        <v>43</v>
      </c>
      <c r="Q34" s="32">
        <v>64040818.476144992</v>
      </c>
      <c r="R34"/>
      <c r="S34"/>
    </row>
    <row r="35" spans="3:19" x14ac:dyDescent="0.25">
      <c r="C35" s="24" t="s">
        <v>889</v>
      </c>
      <c r="D35" s="24" t="s">
        <v>890</v>
      </c>
      <c r="E35" s="24" t="s">
        <v>890</v>
      </c>
      <c r="F35" s="25">
        <v>6</v>
      </c>
      <c r="G35" s="24" t="s">
        <v>376</v>
      </c>
      <c r="H35" s="24" t="s">
        <v>46</v>
      </c>
      <c r="I35" s="24" t="s">
        <v>1046</v>
      </c>
      <c r="J35" s="24" t="s">
        <v>73</v>
      </c>
      <c r="K35" s="24" t="s">
        <v>97</v>
      </c>
      <c r="L35" s="24" t="s">
        <v>40</v>
      </c>
      <c r="M35" s="3" t="s">
        <v>378</v>
      </c>
      <c r="N35" s="24" t="s">
        <v>889</v>
      </c>
      <c r="O35" s="24" t="s">
        <v>42</v>
      </c>
      <c r="P35" s="16" t="s">
        <v>43</v>
      </c>
      <c r="Q35" s="32">
        <v>58148831.302099995</v>
      </c>
      <c r="R35"/>
      <c r="S35"/>
    </row>
    <row r="36" spans="3:19" x14ac:dyDescent="0.25">
      <c r="C36" s="24" t="s">
        <v>392</v>
      </c>
      <c r="D36" s="24" t="s">
        <v>393</v>
      </c>
      <c r="E36" s="24" t="s">
        <v>393</v>
      </c>
      <c r="F36" s="25">
        <v>5</v>
      </c>
      <c r="G36" s="24" t="s">
        <v>376</v>
      </c>
      <c r="H36" s="24" t="s">
        <v>46</v>
      </c>
      <c r="I36" s="24" t="s">
        <v>1031</v>
      </c>
      <c r="J36" s="24" t="s">
        <v>63</v>
      </c>
      <c r="K36" s="24" t="s">
        <v>138</v>
      </c>
      <c r="L36" s="24" t="s">
        <v>40</v>
      </c>
      <c r="M36" s="3" t="s">
        <v>378</v>
      </c>
      <c r="N36" s="24" t="s">
        <v>392</v>
      </c>
      <c r="O36" s="24" t="s">
        <v>42</v>
      </c>
      <c r="P36" s="16" t="s">
        <v>43</v>
      </c>
      <c r="Q36" s="32">
        <v>55523710.077149995</v>
      </c>
      <c r="R36"/>
      <c r="S36"/>
    </row>
    <row r="37" spans="3:19" x14ac:dyDescent="0.25">
      <c r="C37" s="24" t="s">
        <v>703</v>
      </c>
      <c r="D37" s="24" t="s">
        <v>704</v>
      </c>
      <c r="E37" s="24" t="s">
        <v>705</v>
      </c>
      <c r="F37" s="25">
        <v>5</v>
      </c>
      <c r="G37" s="24" t="s">
        <v>376</v>
      </c>
      <c r="H37" s="24" t="s">
        <v>46</v>
      </c>
      <c r="I37" s="24" t="s">
        <v>1031</v>
      </c>
      <c r="J37" s="24" t="s">
        <v>84</v>
      </c>
      <c r="K37" s="24" t="s">
        <v>706</v>
      </c>
      <c r="L37" s="24" t="s">
        <v>55</v>
      </c>
      <c r="M37" s="3" t="s">
        <v>378</v>
      </c>
      <c r="N37" s="24" t="s">
        <v>703</v>
      </c>
      <c r="O37" s="24" t="s">
        <v>42</v>
      </c>
      <c r="P37" s="16" t="s">
        <v>43</v>
      </c>
      <c r="Q37" s="32">
        <v>55825823.333918743</v>
      </c>
      <c r="R37"/>
      <c r="S37"/>
    </row>
    <row r="38" spans="3:19" x14ac:dyDescent="0.25">
      <c r="C38" s="24" t="s">
        <v>34</v>
      </c>
      <c r="D38" s="24" t="s">
        <v>35</v>
      </c>
      <c r="E38" s="24" t="s">
        <v>35</v>
      </c>
      <c r="F38" s="25" t="s">
        <v>36</v>
      </c>
      <c r="G38" s="24" t="s">
        <v>37</v>
      </c>
      <c r="H38" s="24" t="s">
        <v>38</v>
      </c>
      <c r="I38" s="24" t="s">
        <v>1046</v>
      </c>
      <c r="J38" s="24">
        <v>0</v>
      </c>
      <c r="K38" s="24" t="s">
        <v>39</v>
      </c>
      <c r="L38" s="24" t="s">
        <v>40</v>
      </c>
      <c r="M38" s="24" t="s">
        <v>1053</v>
      </c>
      <c r="N38" s="24" t="s">
        <v>34</v>
      </c>
      <c r="O38" s="24" t="s">
        <v>42</v>
      </c>
      <c r="P38" s="16" t="s">
        <v>43</v>
      </c>
      <c r="Q38" s="32">
        <v>0</v>
      </c>
      <c r="R38"/>
      <c r="S38"/>
    </row>
    <row r="39" spans="3:19" x14ac:dyDescent="0.25">
      <c r="C39" s="24" t="s">
        <v>424</v>
      </c>
      <c r="D39" s="24" t="s">
        <v>425</v>
      </c>
      <c r="E39" s="24" t="s">
        <v>988</v>
      </c>
      <c r="F39" s="25">
        <v>6</v>
      </c>
      <c r="G39" s="24" t="s">
        <v>37</v>
      </c>
      <c r="H39" s="24" t="s">
        <v>46</v>
      </c>
      <c r="I39" s="24" t="s">
        <v>1046</v>
      </c>
      <c r="J39" s="24" t="s">
        <v>94</v>
      </c>
      <c r="K39" s="24" t="s">
        <v>64</v>
      </c>
      <c r="L39" s="24" t="s">
        <v>40</v>
      </c>
      <c r="M39" s="24" t="s">
        <v>1035</v>
      </c>
      <c r="N39" s="24" t="s">
        <v>424</v>
      </c>
      <c r="O39" s="24" t="s">
        <v>42</v>
      </c>
      <c r="P39" s="16" t="s">
        <v>43</v>
      </c>
      <c r="Q39" s="32">
        <v>0</v>
      </c>
      <c r="R39"/>
      <c r="S39"/>
    </row>
    <row r="40" spans="3:19" x14ac:dyDescent="0.25">
      <c r="C40" s="24" t="s">
        <v>471</v>
      </c>
      <c r="D40" s="24" t="s">
        <v>472</v>
      </c>
      <c r="E40" s="24" t="s">
        <v>473</v>
      </c>
      <c r="F40" s="25">
        <v>5</v>
      </c>
      <c r="G40" s="24" t="s">
        <v>376</v>
      </c>
      <c r="H40" s="24" t="s">
        <v>46</v>
      </c>
      <c r="I40" s="24" t="s">
        <v>1046</v>
      </c>
      <c r="J40" s="24" t="s">
        <v>466</v>
      </c>
      <c r="K40" s="24" t="s">
        <v>51</v>
      </c>
      <c r="L40" s="24" t="s">
        <v>40</v>
      </c>
      <c r="M40" s="24" t="s">
        <v>1035</v>
      </c>
      <c r="N40" s="24" t="s">
        <v>471</v>
      </c>
      <c r="O40" s="24" t="s">
        <v>42</v>
      </c>
      <c r="P40" s="16" t="s">
        <v>43</v>
      </c>
      <c r="Q40" s="32">
        <v>51948430.192749999</v>
      </c>
      <c r="R40"/>
      <c r="S40"/>
    </row>
    <row r="41" spans="3:19" x14ac:dyDescent="0.25">
      <c r="C41" s="24" t="s">
        <v>742</v>
      </c>
      <c r="D41" s="24" t="s">
        <v>744</v>
      </c>
      <c r="E41" s="26" t="s">
        <v>989</v>
      </c>
      <c r="F41" s="25">
        <v>6</v>
      </c>
      <c r="G41" s="24" t="s">
        <v>376</v>
      </c>
      <c r="H41" s="24" t="s">
        <v>46</v>
      </c>
      <c r="I41" s="24" t="s">
        <v>1031</v>
      </c>
      <c r="J41" s="24" t="s">
        <v>1048</v>
      </c>
      <c r="K41" s="24" t="s">
        <v>54</v>
      </c>
      <c r="L41" s="24" t="s">
        <v>55</v>
      </c>
      <c r="M41" s="3" t="s">
        <v>378</v>
      </c>
      <c r="N41" s="24" t="s">
        <v>742</v>
      </c>
      <c r="O41" s="24" t="s">
        <v>42</v>
      </c>
      <c r="P41" s="16" t="s">
        <v>440</v>
      </c>
      <c r="Q41" s="32">
        <v>61548694.346999988</v>
      </c>
      <c r="R41"/>
      <c r="S41"/>
    </row>
    <row r="42" spans="3:19" x14ac:dyDescent="0.25">
      <c r="C42" s="24" t="s">
        <v>707</v>
      </c>
      <c r="D42" s="24" t="s">
        <v>706</v>
      </c>
      <c r="E42" s="24" t="s">
        <v>708</v>
      </c>
      <c r="F42" s="25">
        <v>5</v>
      </c>
      <c r="G42" s="24" t="s">
        <v>376</v>
      </c>
      <c r="H42" s="24" t="s">
        <v>46</v>
      </c>
      <c r="I42" s="24" t="s">
        <v>1031</v>
      </c>
      <c r="J42" s="24" t="s">
        <v>84</v>
      </c>
      <c r="K42" s="24" t="s">
        <v>706</v>
      </c>
      <c r="L42" s="24" t="s">
        <v>55</v>
      </c>
      <c r="M42" s="3" t="s">
        <v>378</v>
      </c>
      <c r="N42" s="24" t="s">
        <v>707</v>
      </c>
      <c r="O42" s="24" t="s">
        <v>42</v>
      </c>
      <c r="P42" s="16" t="s">
        <v>440</v>
      </c>
      <c r="Q42" s="32">
        <v>39444937.838599995</v>
      </c>
      <c r="R42"/>
      <c r="S42"/>
    </row>
    <row r="43" spans="3:19" x14ac:dyDescent="0.25">
      <c r="C43" s="24" t="s">
        <v>394</v>
      </c>
      <c r="D43" s="24" t="s">
        <v>395</v>
      </c>
      <c r="E43" s="24" t="s">
        <v>395</v>
      </c>
      <c r="F43" s="25">
        <v>6</v>
      </c>
      <c r="G43" s="24" t="s">
        <v>376</v>
      </c>
      <c r="H43" s="24" t="s">
        <v>46</v>
      </c>
      <c r="I43" s="24" t="s">
        <v>1031</v>
      </c>
      <c r="J43" s="24" t="s">
        <v>63</v>
      </c>
      <c r="K43" s="24" t="s">
        <v>138</v>
      </c>
      <c r="L43" s="24" t="s">
        <v>40</v>
      </c>
      <c r="M43" s="3" t="s">
        <v>378</v>
      </c>
      <c r="N43" s="24" t="s">
        <v>394</v>
      </c>
      <c r="O43" s="24" t="s">
        <v>42</v>
      </c>
      <c r="P43" s="16" t="s">
        <v>43</v>
      </c>
      <c r="Q43" s="32">
        <v>74399965.092950001</v>
      </c>
      <c r="R43"/>
      <c r="S43"/>
    </row>
    <row r="44" spans="3:19" x14ac:dyDescent="0.25">
      <c r="C44" s="24" t="s">
        <v>396</v>
      </c>
      <c r="D44" s="24" t="s">
        <v>397</v>
      </c>
      <c r="E44" s="24" t="s">
        <v>397</v>
      </c>
      <c r="F44" s="25">
        <v>6</v>
      </c>
      <c r="G44" s="24" t="s">
        <v>376</v>
      </c>
      <c r="H44" s="24" t="s">
        <v>46</v>
      </c>
      <c r="I44" s="24" t="s">
        <v>1031</v>
      </c>
      <c r="J44" s="24" t="s">
        <v>63</v>
      </c>
      <c r="K44" s="24" t="s">
        <v>138</v>
      </c>
      <c r="L44" s="24" t="s">
        <v>40</v>
      </c>
      <c r="M44" s="3" t="s">
        <v>378</v>
      </c>
      <c r="N44" s="24" t="s">
        <v>396</v>
      </c>
      <c r="O44" s="24" t="s">
        <v>42</v>
      </c>
      <c r="P44" s="16" t="s">
        <v>43</v>
      </c>
      <c r="Q44" s="32">
        <v>54662724.59934999</v>
      </c>
      <c r="R44"/>
      <c r="S44"/>
    </row>
    <row r="45" spans="3:19" x14ac:dyDescent="0.25">
      <c r="C45" s="24" t="s">
        <v>848</v>
      </c>
      <c r="D45" s="24" t="s">
        <v>849</v>
      </c>
      <c r="E45" s="24" t="s">
        <v>849</v>
      </c>
      <c r="F45" s="25">
        <v>6.68</v>
      </c>
      <c r="G45" s="24" t="s">
        <v>376</v>
      </c>
      <c r="H45" s="24" t="s">
        <v>46</v>
      </c>
      <c r="I45" s="24" t="s">
        <v>1046</v>
      </c>
      <c r="J45" s="24" t="s">
        <v>132</v>
      </c>
      <c r="K45" s="24" t="s">
        <v>138</v>
      </c>
      <c r="L45" s="24" t="s">
        <v>40</v>
      </c>
      <c r="M45" s="24" t="s">
        <v>1035</v>
      </c>
      <c r="N45" s="24" t="s">
        <v>848</v>
      </c>
      <c r="O45" s="24" t="s">
        <v>42</v>
      </c>
      <c r="P45" s="16" t="s">
        <v>43</v>
      </c>
      <c r="Q45" s="32">
        <v>77241619.250949979</v>
      </c>
      <c r="R45"/>
      <c r="S45"/>
    </row>
    <row r="46" spans="3:19" x14ac:dyDescent="0.25">
      <c r="C46" s="24" t="s">
        <v>936</v>
      </c>
      <c r="D46" s="24" t="s">
        <v>937</v>
      </c>
      <c r="E46" s="24" t="s">
        <v>938</v>
      </c>
      <c r="F46" s="25">
        <v>5</v>
      </c>
      <c r="G46" s="24" t="s">
        <v>376</v>
      </c>
      <c r="H46" s="24" t="s">
        <v>46</v>
      </c>
      <c r="I46" s="24" t="s">
        <v>1046</v>
      </c>
      <c r="J46" s="24" t="s">
        <v>160</v>
      </c>
      <c r="K46" s="24" t="s">
        <v>138</v>
      </c>
      <c r="L46" s="24" t="s">
        <v>40</v>
      </c>
      <c r="M46" s="3" t="s">
        <v>984</v>
      </c>
      <c r="N46" s="24" t="s">
        <v>936</v>
      </c>
      <c r="O46" s="24" t="s">
        <v>42</v>
      </c>
      <c r="P46" s="16" t="s">
        <v>43</v>
      </c>
      <c r="Q46" s="32">
        <v>48501318.782699987</v>
      </c>
      <c r="R46"/>
      <c r="S46"/>
    </row>
    <row r="47" spans="3:19" x14ac:dyDescent="0.25">
      <c r="C47" s="24" t="s">
        <v>939</v>
      </c>
      <c r="D47" s="24" t="s">
        <v>39</v>
      </c>
      <c r="E47" s="24" t="s">
        <v>39</v>
      </c>
      <c r="F47" s="25">
        <v>6.45</v>
      </c>
      <c r="G47" s="24" t="s">
        <v>376</v>
      </c>
      <c r="H47" s="24" t="s">
        <v>46</v>
      </c>
      <c r="I47" s="24" t="s">
        <v>1046</v>
      </c>
      <c r="J47" s="24" t="s">
        <v>160</v>
      </c>
      <c r="K47" s="24" t="s">
        <v>39</v>
      </c>
      <c r="L47" s="24" t="s">
        <v>40</v>
      </c>
      <c r="M47" s="3" t="s">
        <v>984</v>
      </c>
      <c r="N47" s="24" t="s">
        <v>939</v>
      </c>
      <c r="O47" s="24" t="s">
        <v>42</v>
      </c>
      <c r="P47" s="16" t="s">
        <v>43</v>
      </c>
      <c r="Q47" s="32">
        <v>82148352.032249987</v>
      </c>
      <c r="R47"/>
      <c r="S47"/>
    </row>
    <row r="48" spans="3:19" x14ac:dyDescent="0.25">
      <c r="C48" s="24" t="s">
        <v>44</v>
      </c>
      <c r="D48" s="24" t="s">
        <v>45</v>
      </c>
      <c r="E48" s="24" t="s">
        <v>45</v>
      </c>
      <c r="F48" s="25" t="s">
        <v>36</v>
      </c>
      <c r="G48" s="24" t="s">
        <v>37</v>
      </c>
      <c r="H48" s="24" t="s">
        <v>46</v>
      </c>
      <c r="I48" s="24" t="s">
        <v>1046</v>
      </c>
      <c r="J48" s="24">
        <v>0</v>
      </c>
      <c r="K48" s="24" t="s">
        <v>47</v>
      </c>
      <c r="L48" s="24" t="s">
        <v>40</v>
      </c>
      <c r="M48" s="24" t="s">
        <v>1053</v>
      </c>
      <c r="N48" s="24" t="s">
        <v>44</v>
      </c>
      <c r="O48" s="24" t="s">
        <v>42</v>
      </c>
      <c r="P48" s="16" t="s">
        <v>43</v>
      </c>
      <c r="Q48" s="32">
        <v>0</v>
      </c>
      <c r="R48"/>
      <c r="S48"/>
    </row>
    <row r="49" spans="3:19" x14ac:dyDescent="0.25">
      <c r="C49" s="24" t="s">
        <v>940</v>
      </c>
      <c r="D49" s="24" t="s">
        <v>941</v>
      </c>
      <c r="E49" s="24" t="s">
        <v>941</v>
      </c>
      <c r="F49" s="25">
        <v>6</v>
      </c>
      <c r="G49" s="24" t="s">
        <v>376</v>
      </c>
      <c r="H49" s="24" t="s">
        <v>46</v>
      </c>
      <c r="I49" s="24" t="s">
        <v>1046</v>
      </c>
      <c r="J49" s="24" t="s">
        <v>160</v>
      </c>
      <c r="K49" s="24" t="s">
        <v>371</v>
      </c>
      <c r="L49" s="24" t="s">
        <v>40</v>
      </c>
      <c r="M49" s="3" t="s">
        <v>984</v>
      </c>
      <c r="N49" s="24" t="s">
        <v>940</v>
      </c>
      <c r="O49" s="24" t="s">
        <v>42</v>
      </c>
      <c r="P49" s="16" t="s">
        <v>43</v>
      </c>
      <c r="Q49" s="32">
        <v>61241003.440749988</v>
      </c>
      <c r="R49"/>
      <c r="S49"/>
    </row>
    <row r="50" spans="3:19" x14ac:dyDescent="0.25">
      <c r="C50" s="24" t="s">
        <v>850</v>
      </c>
      <c r="D50" s="24" t="s">
        <v>851</v>
      </c>
      <c r="E50" s="24" t="s">
        <v>851</v>
      </c>
      <c r="F50" s="25">
        <v>6</v>
      </c>
      <c r="G50" s="24" t="s">
        <v>376</v>
      </c>
      <c r="H50" s="24" t="s">
        <v>46</v>
      </c>
      <c r="I50" s="24" t="s">
        <v>1046</v>
      </c>
      <c r="J50" s="24" t="s">
        <v>132</v>
      </c>
      <c r="K50" s="24" t="s">
        <v>138</v>
      </c>
      <c r="L50" s="24" t="s">
        <v>40</v>
      </c>
      <c r="M50" s="24" t="s">
        <v>1035</v>
      </c>
      <c r="N50" s="24" t="s">
        <v>850</v>
      </c>
      <c r="O50" s="24" t="s">
        <v>42</v>
      </c>
      <c r="P50" s="16" t="s">
        <v>43</v>
      </c>
      <c r="Q50" s="32">
        <v>53516356.352199994</v>
      </c>
      <c r="R50" s="16" t="s">
        <v>1040</v>
      </c>
      <c r="S50" s="16" t="s">
        <v>1042</v>
      </c>
    </row>
    <row r="51" spans="3:19" x14ac:dyDescent="0.25">
      <c r="C51" s="24" t="s">
        <v>474</v>
      </c>
      <c r="D51" s="24" t="s">
        <v>475</v>
      </c>
      <c r="E51" s="24" t="s">
        <v>475</v>
      </c>
      <c r="F51" s="25">
        <v>6</v>
      </c>
      <c r="G51" s="24" t="s">
        <v>376</v>
      </c>
      <c r="H51" s="24" t="s">
        <v>46</v>
      </c>
      <c r="I51" s="24" t="s">
        <v>1046</v>
      </c>
      <c r="J51" s="24" t="s">
        <v>466</v>
      </c>
      <c r="K51" s="24" t="s">
        <v>51</v>
      </c>
      <c r="L51" s="24" t="s">
        <v>40</v>
      </c>
      <c r="M51" s="24" t="s">
        <v>1035</v>
      </c>
      <c r="N51" s="24" t="s">
        <v>474</v>
      </c>
      <c r="O51" s="24" t="s">
        <v>42</v>
      </c>
      <c r="P51" s="16" t="s">
        <v>43</v>
      </c>
      <c r="Q51" s="32">
        <v>76476637.353899986</v>
      </c>
    </row>
    <row r="52" spans="3:19" x14ac:dyDescent="0.25">
      <c r="C52" s="24" t="s">
        <v>555</v>
      </c>
      <c r="D52" s="24" t="s">
        <v>556</v>
      </c>
      <c r="E52" s="24" t="s">
        <v>556</v>
      </c>
      <c r="F52" s="25">
        <v>5</v>
      </c>
      <c r="G52" s="24" t="s">
        <v>376</v>
      </c>
      <c r="H52" s="24" t="s">
        <v>46</v>
      </c>
      <c r="I52" s="24" t="s">
        <v>1046</v>
      </c>
      <c r="J52" s="24" t="s">
        <v>331</v>
      </c>
      <c r="K52" s="24" t="s">
        <v>138</v>
      </c>
      <c r="L52" s="24" t="s">
        <v>40</v>
      </c>
      <c r="M52" s="3" t="s">
        <v>984</v>
      </c>
      <c r="N52" s="24" t="s">
        <v>555</v>
      </c>
      <c r="O52" s="24" t="s">
        <v>42</v>
      </c>
      <c r="P52" s="16" t="s">
        <v>43</v>
      </c>
      <c r="Q52" s="32">
        <v>50914524.057949997</v>
      </c>
      <c r="R52" t="s">
        <v>1049</v>
      </c>
      <c r="S52" t="s">
        <v>1050</v>
      </c>
    </row>
    <row r="53" spans="3:19" x14ac:dyDescent="0.25">
      <c r="C53" s="24" t="s">
        <v>745</v>
      </c>
      <c r="D53" s="24" t="s">
        <v>746</v>
      </c>
      <c r="E53" s="24" t="s">
        <v>746</v>
      </c>
      <c r="F53" s="25">
        <v>9</v>
      </c>
      <c r="G53" s="24" t="s">
        <v>376</v>
      </c>
      <c r="H53" s="24" t="s">
        <v>46</v>
      </c>
      <c r="I53" s="24" t="s">
        <v>1031</v>
      </c>
      <c r="J53" s="24" t="s">
        <v>1048</v>
      </c>
      <c r="K53" s="24" t="s">
        <v>279</v>
      </c>
      <c r="L53" s="24" t="s">
        <v>55</v>
      </c>
      <c r="M53" s="3" t="s">
        <v>378</v>
      </c>
      <c r="N53" s="24" t="s">
        <v>745</v>
      </c>
      <c r="O53" s="24" t="s">
        <v>379</v>
      </c>
      <c r="P53" s="16" t="s">
        <v>43</v>
      </c>
      <c r="Q53" s="32">
        <v>96011397.367199987</v>
      </c>
      <c r="R53" t="s">
        <v>1051</v>
      </c>
      <c r="S53">
        <v>0</v>
      </c>
    </row>
    <row r="54" spans="3:19" x14ac:dyDescent="0.25">
      <c r="C54" s="24" t="s">
        <v>656</v>
      </c>
      <c r="D54" s="24" t="s">
        <v>657</v>
      </c>
      <c r="E54" s="24" t="s">
        <v>658</v>
      </c>
      <c r="F54" s="25">
        <v>5</v>
      </c>
      <c r="G54" s="24" t="s">
        <v>376</v>
      </c>
      <c r="H54" s="24" t="s">
        <v>46</v>
      </c>
      <c r="I54" s="24" t="s">
        <v>1046</v>
      </c>
      <c r="J54" s="24" t="s">
        <v>248</v>
      </c>
      <c r="K54" s="24" t="s">
        <v>51</v>
      </c>
      <c r="L54" s="24" t="s">
        <v>40</v>
      </c>
      <c r="M54" s="3" t="s">
        <v>984</v>
      </c>
      <c r="N54" s="24" t="s">
        <v>656</v>
      </c>
      <c r="O54" s="24" t="s">
        <v>42</v>
      </c>
      <c r="P54" s="16" t="s">
        <v>43</v>
      </c>
      <c r="Q54" s="32">
        <v>42831915.659749992</v>
      </c>
      <c r="R54" t="s">
        <v>1052</v>
      </c>
      <c r="S54">
        <v>0</v>
      </c>
    </row>
    <row r="55" spans="3:19" x14ac:dyDescent="0.25">
      <c r="C55" s="24" t="s">
        <v>523</v>
      </c>
      <c r="D55" s="24" t="s">
        <v>524</v>
      </c>
      <c r="E55" s="24" t="s">
        <v>524</v>
      </c>
      <c r="F55" s="25">
        <v>6</v>
      </c>
      <c r="G55" s="24" t="s">
        <v>376</v>
      </c>
      <c r="H55" s="24" t="s">
        <v>46</v>
      </c>
      <c r="I55" s="24" t="s">
        <v>1046</v>
      </c>
      <c r="J55" s="24" t="s">
        <v>100</v>
      </c>
      <c r="K55" s="24" t="s">
        <v>138</v>
      </c>
      <c r="L55" s="24" t="s">
        <v>40</v>
      </c>
      <c r="M55" s="24" t="s">
        <v>1035</v>
      </c>
      <c r="N55" s="24" t="s">
        <v>523</v>
      </c>
      <c r="O55" s="24" t="s">
        <v>42</v>
      </c>
      <c r="P55" s="16" t="s">
        <v>43</v>
      </c>
      <c r="Q55" s="32">
        <v>67625257.180599988</v>
      </c>
      <c r="R55"/>
      <c r="S55"/>
    </row>
    <row r="56" spans="3:19" x14ac:dyDescent="0.25">
      <c r="C56" s="24" t="s">
        <v>476</v>
      </c>
      <c r="D56" s="24" t="s">
        <v>477</v>
      </c>
      <c r="E56" s="24" t="s">
        <v>477</v>
      </c>
      <c r="F56" s="25">
        <v>5</v>
      </c>
      <c r="G56" s="24" t="s">
        <v>376</v>
      </c>
      <c r="H56" s="24" t="s">
        <v>46</v>
      </c>
      <c r="I56" s="24" t="s">
        <v>1046</v>
      </c>
      <c r="J56" s="24" t="s">
        <v>466</v>
      </c>
      <c r="K56" s="24" t="s">
        <v>51</v>
      </c>
      <c r="L56" s="24" t="s">
        <v>40</v>
      </c>
      <c r="M56" s="24" t="s">
        <v>1035</v>
      </c>
      <c r="N56" s="24" t="s">
        <v>476</v>
      </c>
      <c r="O56" s="24" t="s">
        <v>42</v>
      </c>
      <c r="P56" s="16" t="s">
        <v>43</v>
      </c>
      <c r="Q56" s="32">
        <v>67970935.464249998</v>
      </c>
      <c r="R56"/>
      <c r="S56"/>
    </row>
    <row r="57" spans="3:19" x14ac:dyDescent="0.25">
      <c r="C57" s="24" t="s">
        <v>659</v>
      </c>
      <c r="D57" s="24" t="s">
        <v>660</v>
      </c>
      <c r="E57" s="24" t="s">
        <v>661</v>
      </c>
      <c r="F57" s="25">
        <v>6</v>
      </c>
      <c r="G57" s="24" t="s">
        <v>376</v>
      </c>
      <c r="H57" s="24" t="s">
        <v>46</v>
      </c>
      <c r="I57" s="24" t="s">
        <v>1046</v>
      </c>
      <c r="J57" s="24" t="s">
        <v>248</v>
      </c>
      <c r="K57" s="24" t="s">
        <v>51</v>
      </c>
      <c r="L57" s="24" t="s">
        <v>40</v>
      </c>
      <c r="M57" s="3" t="s">
        <v>984</v>
      </c>
      <c r="N57" s="24" t="s">
        <v>659</v>
      </c>
      <c r="O57" s="24" t="s">
        <v>42</v>
      </c>
      <c r="P57" s="16" t="s">
        <v>43</v>
      </c>
      <c r="Q57" s="32">
        <v>45743489.747899994</v>
      </c>
      <c r="R57"/>
      <c r="S57"/>
    </row>
    <row r="58" spans="3:19" x14ac:dyDescent="0.25">
      <c r="C58" s="24" t="s">
        <v>644</v>
      </c>
      <c r="D58" s="24" t="s">
        <v>645</v>
      </c>
      <c r="E58" s="24" t="s">
        <v>645</v>
      </c>
      <c r="F58" s="25">
        <v>5.07</v>
      </c>
      <c r="G58" s="24" t="s">
        <v>376</v>
      </c>
      <c r="H58" s="24" t="s">
        <v>81</v>
      </c>
      <c r="I58" s="24" t="s">
        <v>1046</v>
      </c>
      <c r="J58" s="24" t="s">
        <v>50</v>
      </c>
      <c r="K58" s="24" t="s">
        <v>51</v>
      </c>
      <c r="L58" s="24" t="s">
        <v>40</v>
      </c>
      <c r="M58" s="3" t="s">
        <v>984</v>
      </c>
      <c r="N58" s="24" t="s">
        <v>644</v>
      </c>
      <c r="O58" s="24" t="s">
        <v>42</v>
      </c>
      <c r="P58" s="16" t="s">
        <v>43</v>
      </c>
      <c r="Q58" s="32">
        <v>77426306.804700002</v>
      </c>
      <c r="R58"/>
      <c r="S58"/>
    </row>
    <row r="59" spans="3:19" x14ac:dyDescent="0.25">
      <c r="C59" s="24" t="s">
        <v>398</v>
      </c>
      <c r="D59" s="24" t="s">
        <v>399</v>
      </c>
      <c r="E59" s="24" t="s">
        <v>399</v>
      </c>
      <c r="F59" s="25">
        <v>5</v>
      </c>
      <c r="G59" s="24" t="s">
        <v>376</v>
      </c>
      <c r="H59" s="24" t="s">
        <v>46</v>
      </c>
      <c r="I59" s="24" t="s">
        <v>1031</v>
      </c>
      <c r="J59" s="24" t="s">
        <v>63</v>
      </c>
      <c r="K59" s="24" t="s">
        <v>138</v>
      </c>
      <c r="L59" s="24" t="s">
        <v>40</v>
      </c>
      <c r="M59" s="3" t="s">
        <v>378</v>
      </c>
      <c r="N59" s="24" t="s">
        <v>398</v>
      </c>
      <c r="O59" s="24" t="s">
        <v>42</v>
      </c>
      <c r="P59" s="16" t="s">
        <v>43</v>
      </c>
      <c r="Q59" s="32">
        <v>59728391.178749993</v>
      </c>
      <c r="R59"/>
      <c r="S59"/>
    </row>
    <row r="60" spans="3:19" x14ac:dyDescent="0.25">
      <c r="C60" s="24" t="s">
        <v>634</v>
      </c>
      <c r="D60" s="24" t="s">
        <v>635</v>
      </c>
      <c r="E60" s="24" t="s">
        <v>635</v>
      </c>
      <c r="F60" s="25">
        <v>6</v>
      </c>
      <c r="G60" s="24" t="s">
        <v>376</v>
      </c>
      <c r="H60" s="24" t="s">
        <v>46</v>
      </c>
      <c r="I60" s="24" t="s">
        <v>1046</v>
      </c>
      <c r="J60" s="24" t="s">
        <v>50</v>
      </c>
      <c r="K60" s="24" t="s">
        <v>59</v>
      </c>
      <c r="L60" s="24" t="s">
        <v>40</v>
      </c>
      <c r="M60" s="3" t="s">
        <v>984</v>
      </c>
      <c r="N60" s="24" t="s">
        <v>634</v>
      </c>
      <c r="O60" s="24" t="s">
        <v>42</v>
      </c>
      <c r="P60" s="16" t="s">
        <v>43</v>
      </c>
      <c r="Q60" s="32">
        <v>67889448.917500004</v>
      </c>
      <c r="R60" s="16" t="s">
        <v>1040</v>
      </c>
      <c r="S60" s="16" t="s">
        <v>1042</v>
      </c>
    </row>
    <row r="61" spans="3:19" x14ac:dyDescent="0.25">
      <c r="C61" s="24" t="s">
        <v>558</v>
      </c>
      <c r="D61" s="24" t="s">
        <v>559</v>
      </c>
      <c r="E61" s="24" t="s">
        <v>560</v>
      </c>
      <c r="F61" s="25">
        <v>6</v>
      </c>
      <c r="G61" s="24" t="s">
        <v>376</v>
      </c>
      <c r="H61" s="24" t="s">
        <v>46</v>
      </c>
      <c r="I61" s="24" t="s">
        <v>1046</v>
      </c>
      <c r="J61" s="24" t="s">
        <v>331</v>
      </c>
      <c r="K61" s="24" t="s">
        <v>138</v>
      </c>
      <c r="L61" s="24" t="s">
        <v>40</v>
      </c>
      <c r="M61" s="3" t="s">
        <v>984</v>
      </c>
      <c r="N61" s="24" t="s">
        <v>558</v>
      </c>
      <c r="O61" s="24" t="s">
        <v>42</v>
      </c>
      <c r="P61" s="16" t="s">
        <v>43</v>
      </c>
      <c r="Q61" s="32">
        <v>70947277.20115</v>
      </c>
      <c r="R61"/>
      <c r="S61"/>
    </row>
    <row r="62" spans="3:19" x14ac:dyDescent="0.25">
      <c r="C62" s="24" t="s">
        <v>561</v>
      </c>
      <c r="D62" s="24" t="s">
        <v>562</v>
      </c>
      <c r="E62" s="24" t="s">
        <v>563</v>
      </c>
      <c r="F62" s="25">
        <v>6</v>
      </c>
      <c r="G62" s="24" t="s">
        <v>376</v>
      </c>
      <c r="H62" s="24" t="s">
        <v>46</v>
      </c>
      <c r="I62" s="24" t="s">
        <v>1046</v>
      </c>
      <c r="J62" s="24" t="s">
        <v>331</v>
      </c>
      <c r="K62" s="24" t="s">
        <v>138</v>
      </c>
      <c r="L62" s="24" t="s">
        <v>40</v>
      </c>
      <c r="M62" s="3" t="s">
        <v>984</v>
      </c>
      <c r="N62" s="24" t="s">
        <v>561</v>
      </c>
      <c r="O62" s="24" t="s">
        <v>42</v>
      </c>
      <c r="P62" s="16" t="s">
        <v>43</v>
      </c>
      <c r="Q62" s="32">
        <v>44794015.052499995</v>
      </c>
      <c r="R62" t="s">
        <v>1049</v>
      </c>
      <c r="S62" t="s">
        <v>1050</v>
      </c>
    </row>
    <row r="63" spans="3:19" x14ac:dyDescent="0.25">
      <c r="C63" s="24" t="s">
        <v>478</v>
      </c>
      <c r="D63" s="24" t="s">
        <v>479</v>
      </c>
      <c r="E63" s="24" t="s">
        <v>479</v>
      </c>
      <c r="F63" s="25">
        <v>5</v>
      </c>
      <c r="G63" s="24" t="s">
        <v>376</v>
      </c>
      <c r="H63" s="24" t="s">
        <v>46</v>
      </c>
      <c r="I63" s="24" t="s">
        <v>1046</v>
      </c>
      <c r="J63" s="24" t="s">
        <v>466</v>
      </c>
      <c r="K63" s="24" t="s">
        <v>51</v>
      </c>
      <c r="L63" s="24" t="s">
        <v>40</v>
      </c>
      <c r="M63" s="24" t="s">
        <v>1035</v>
      </c>
      <c r="N63" s="24" t="s">
        <v>478</v>
      </c>
      <c r="O63" s="24" t="s">
        <v>42</v>
      </c>
      <c r="P63" s="16" t="s">
        <v>43</v>
      </c>
      <c r="Q63" s="32">
        <v>54314087.962749995</v>
      </c>
      <c r="R63" t="s">
        <v>1053</v>
      </c>
      <c r="S63">
        <v>0</v>
      </c>
    </row>
    <row r="64" spans="3:19" x14ac:dyDescent="0.25">
      <c r="C64" s="24" t="s">
        <v>852</v>
      </c>
      <c r="D64" s="24" t="s">
        <v>853</v>
      </c>
      <c r="E64" s="24" t="s">
        <v>853</v>
      </c>
      <c r="F64" s="25">
        <v>5</v>
      </c>
      <c r="G64" s="24" t="s">
        <v>376</v>
      </c>
      <c r="H64" s="24" t="s">
        <v>46</v>
      </c>
      <c r="I64" s="24" t="s">
        <v>1046</v>
      </c>
      <c r="J64" s="24" t="s">
        <v>132</v>
      </c>
      <c r="K64" s="24" t="s">
        <v>138</v>
      </c>
      <c r="L64" s="24" t="s">
        <v>40</v>
      </c>
      <c r="M64" s="24" t="s">
        <v>1035</v>
      </c>
      <c r="N64" s="24" t="s">
        <v>852</v>
      </c>
      <c r="O64" s="24" t="s">
        <v>42</v>
      </c>
      <c r="P64" s="16" t="s">
        <v>43</v>
      </c>
      <c r="Q64" s="32">
        <v>52737510.145249993</v>
      </c>
      <c r="R64" t="s">
        <v>1052</v>
      </c>
      <c r="S64">
        <v>0</v>
      </c>
    </row>
    <row r="65" spans="3:19" x14ac:dyDescent="0.25">
      <c r="C65" s="24" t="s">
        <v>426</v>
      </c>
      <c r="D65" s="24" t="s">
        <v>427</v>
      </c>
      <c r="E65" s="24" t="s">
        <v>428</v>
      </c>
      <c r="F65" s="25">
        <v>5</v>
      </c>
      <c r="G65" s="24" t="s">
        <v>376</v>
      </c>
      <c r="H65" s="24" t="s">
        <v>46</v>
      </c>
      <c r="I65" s="24" t="s">
        <v>1046</v>
      </c>
      <c r="J65" s="24" t="s">
        <v>94</v>
      </c>
      <c r="K65" s="24" t="s">
        <v>64</v>
      </c>
      <c r="L65" s="24" t="s">
        <v>40</v>
      </c>
      <c r="M65" s="24" t="s">
        <v>1035</v>
      </c>
      <c r="N65" s="24" t="s">
        <v>426</v>
      </c>
      <c r="O65" s="24" t="s">
        <v>42</v>
      </c>
      <c r="P65" s="16" t="s">
        <v>43</v>
      </c>
      <c r="Q65" s="32">
        <v>50884867.852874994</v>
      </c>
      <c r="R65"/>
      <c r="S65"/>
    </row>
    <row r="66" spans="3:19" x14ac:dyDescent="0.25">
      <c r="C66" s="24" t="s">
        <v>769</v>
      </c>
      <c r="D66" s="24" t="s">
        <v>771</v>
      </c>
      <c r="E66" s="24" t="s">
        <v>771</v>
      </c>
      <c r="F66" s="25">
        <v>6</v>
      </c>
      <c r="G66" s="24" t="s">
        <v>376</v>
      </c>
      <c r="H66" s="24" t="s">
        <v>46</v>
      </c>
      <c r="I66" s="24" t="s">
        <v>1031</v>
      </c>
      <c r="J66" s="24" t="s">
        <v>89</v>
      </c>
      <c r="K66" s="24" t="s">
        <v>109</v>
      </c>
      <c r="L66" s="24" t="s">
        <v>91</v>
      </c>
      <c r="M66" s="3" t="s">
        <v>378</v>
      </c>
      <c r="N66" s="24" t="s">
        <v>769</v>
      </c>
      <c r="O66" s="24" t="s">
        <v>42</v>
      </c>
      <c r="P66" s="16" t="s">
        <v>440</v>
      </c>
      <c r="Q66" s="32">
        <v>56082105.399249993</v>
      </c>
      <c r="R66"/>
      <c r="S66"/>
    </row>
    <row r="67" spans="3:19" x14ac:dyDescent="0.25">
      <c r="C67" s="24" t="s">
        <v>942</v>
      </c>
      <c r="D67" s="24" t="s">
        <v>944</v>
      </c>
      <c r="E67" s="24" t="s">
        <v>944</v>
      </c>
      <c r="F67" s="25">
        <v>6.9</v>
      </c>
      <c r="G67" s="24" t="s">
        <v>376</v>
      </c>
      <c r="H67" s="24" t="s">
        <v>46</v>
      </c>
      <c r="I67" s="24" t="s">
        <v>1046</v>
      </c>
      <c r="J67" s="24" t="s">
        <v>160</v>
      </c>
      <c r="K67" s="24" t="s">
        <v>371</v>
      </c>
      <c r="L67" s="24" t="s">
        <v>40</v>
      </c>
      <c r="M67" s="3" t="s">
        <v>984</v>
      </c>
      <c r="N67" s="24" t="s">
        <v>942</v>
      </c>
      <c r="O67" s="24" t="s">
        <v>42</v>
      </c>
      <c r="P67" s="16" t="s">
        <v>43</v>
      </c>
      <c r="Q67" s="32">
        <v>78924823.839399993</v>
      </c>
      <c r="R67"/>
      <c r="S67"/>
    </row>
    <row r="68" spans="3:19" x14ac:dyDescent="0.25">
      <c r="C68" s="24" t="s">
        <v>525</v>
      </c>
      <c r="D68" s="24" t="s">
        <v>526</v>
      </c>
      <c r="E68" s="24" t="s">
        <v>527</v>
      </c>
      <c r="F68" s="25">
        <v>5.9</v>
      </c>
      <c r="G68" s="24" t="s">
        <v>376</v>
      </c>
      <c r="H68" s="24" t="s">
        <v>46</v>
      </c>
      <c r="I68" s="24" t="s">
        <v>1046</v>
      </c>
      <c r="J68" s="24" t="s">
        <v>100</v>
      </c>
      <c r="K68" s="24" t="s">
        <v>138</v>
      </c>
      <c r="L68" s="24" t="s">
        <v>40</v>
      </c>
      <c r="M68" s="24" t="s">
        <v>1035</v>
      </c>
      <c r="N68" s="24" t="s">
        <v>525</v>
      </c>
      <c r="O68" s="24" t="s">
        <v>42</v>
      </c>
      <c r="P68" s="16" t="s">
        <v>440</v>
      </c>
      <c r="Q68" s="32">
        <v>66364595.918949991</v>
      </c>
      <c r="R68"/>
      <c r="S68"/>
    </row>
    <row r="69" spans="3:19" x14ac:dyDescent="0.25">
      <c r="C69" s="24" t="s">
        <v>48</v>
      </c>
      <c r="D69" s="24" t="s">
        <v>49</v>
      </c>
      <c r="E69" s="24" t="s">
        <v>49</v>
      </c>
      <c r="F69" s="25" t="s">
        <v>36</v>
      </c>
      <c r="G69" s="24" t="s">
        <v>37</v>
      </c>
      <c r="H69" s="24" t="s">
        <v>38</v>
      </c>
      <c r="I69" s="24" t="s">
        <v>1046</v>
      </c>
      <c r="J69" s="24" t="s">
        <v>50</v>
      </c>
      <c r="K69" s="24" t="s">
        <v>51</v>
      </c>
      <c r="L69" s="24" t="s">
        <v>40</v>
      </c>
      <c r="M69" s="3" t="s">
        <v>984</v>
      </c>
      <c r="N69" s="24" t="s">
        <v>48</v>
      </c>
      <c r="O69" s="24" t="s">
        <v>42</v>
      </c>
      <c r="P69" s="16" t="s">
        <v>43</v>
      </c>
      <c r="Q69" s="32">
        <v>0</v>
      </c>
      <c r="R69"/>
      <c r="S69"/>
    </row>
    <row r="70" spans="3:19" x14ac:dyDescent="0.25">
      <c r="C70" s="24" t="s">
        <v>52</v>
      </c>
      <c r="D70" s="24" t="s">
        <v>53</v>
      </c>
      <c r="E70" s="24" t="s">
        <v>53</v>
      </c>
      <c r="F70" s="25" t="s">
        <v>36</v>
      </c>
      <c r="G70" s="24" t="s">
        <v>987</v>
      </c>
      <c r="H70" s="24" t="s">
        <v>38</v>
      </c>
      <c r="I70" s="24" t="s">
        <v>1046</v>
      </c>
      <c r="J70" s="24">
        <v>0</v>
      </c>
      <c r="K70" s="24" t="s">
        <v>54</v>
      </c>
      <c r="L70" s="24" t="s">
        <v>55</v>
      </c>
      <c r="M70" s="24" t="s">
        <v>1053</v>
      </c>
      <c r="N70" s="24" t="s">
        <v>52</v>
      </c>
      <c r="O70" s="24" t="s">
        <v>42</v>
      </c>
      <c r="P70" s="16" t="s">
        <v>43</v>
      </c>
      <c r="Q70" s="32">
        <v>0</v>
      </c>
      <c r="R70"/>
      <c r="S70"/>
    </row>
    <row r="71" spans="3:19" x14ac:dyDescent="0.25">
      <c r="C71" s="24" t="s">
        <v>528</v>
      </c>
      <c r="D71" s="24" t="s">
        <v>530</v>
      </c>
      <c r="E71" s="24" t="s">
        <v>530</v>
      </c>
      <c r="F71" s="25">
        <v>5.9</v>
      </c>
      <c r="G71" s="24" t="s">
        <v>376</v>
      </c>
      <c r="H71" s="24" t="s">
        <v>46</v>
      </c>
      <c r="I71" s="24" t="s">
        <v>1046</v>
      </c>
      <c r="J71" s="24" t="s">
        <v>100</v>
      </c>
      <c r="K71" s="24" t="s">
        <v>64</v>
      </c>
      <c r="L71" s="24" t="s">
        <v>40</v>
      </c>
      <c r="M71" s="24" t="s">
        <v>1035</v>
      </c>
      <c r="N71" s="24" t="s">
        <v>528</v>
      </c>
      <c r="O71" s="24" t="s">
        <v>42</v>
      </c>
      <c r="P71" s="16" t="s">
        <v>440</v>
      </c>
      <c r="Q71" s="32">
        <v>79074242.410799995</v>
      </c>
      <c r="R71"/>
      <c r="S71"/>
    </row>
    <row r="72" spans="3:19" x14ac:dyDescent="0.25">
      <c r="C72" s="24" t="s">
        <v>854</v>
      </c>
      <c r="D72" s="24" t="s">
        <v>982</v>
      </c>
      <c r="E72" s="24" t="s">
        <v>990</v>
      </c>
      <c r="F72" s="25">
        <v>6.45</v>
      </c>
      <c r="G72" s="24" t="s">
        <v>376</v>
      </c>
      <c r="H72" s="24" t="s">
        <v>46</v>
      </c>
      <c r="I72" s="24" t="s">
        <v>1046</v>
      </c>
      <c r="J72" s="24" t="s">
        <v>132</v>
      </c>
      <c r="K72" s="24" t="s">
        <v>856</v>
      </c>
      <c r="L72" s="24" t="s">
        <v>40</v>
      </c>
      <c r="M72" s="24" t="s">
        <v>1035</v>
      </c>
      <c r="N72" s="24" t="s">
        <v>854</v>
      </c>
      <c r="O72" s="24" t="s">
        <v>42</v>
      </c>
      <c r="P72" s="16" t="s">
        <v>440</v>
      </c>
      <c r="Q72" s="32">
        <v>48955045.672499999</v>
      </c>
      <c r="R72"/>
      <c r="S72"/>
    </row>
    <row r="73" spans="3:19" x14ac:dyDescent="0.25">
      <c r="C73" s="24" t="s">
        <v>531</v>
      </c>
      <c r="D73" s="24" t="s">
        <v>533</v>
      </c>
      <c r="E73" s="24" t="s">
        <v>991</v>
      </c>
      <c r="F73" s="25">
        <v>5.45</v>
      </c>
      <c r="G73" s="24" t="s">
        <v>376</v>
      </c>
      <c r="H73" s="24" t="s">
        <v>46</v>
      </c>
      <c r="I73" s="24" t="s">
        <v>1046</v>
      </c>
      <c r="J73" s="24" t="s">
        <v>100</v>
      </c>
      <c r="K73" s="24" t="s">
        <v>138</v>
      </c>
      <c r="L73" s="24" t="s">
        <v>40</v>
      </c>
      <c r="M73" s="24" t="s">
        <v>1035</v>
      </c>
      <c r="N73" s="24" t="s">
        <v>531</v>
      </c>
      <c r="O73" s="24" t="s">
        <v>42</v>
      </c>
      <c r="P73" s="16" t="s">
        <v>440</v>
      </c>
      <c r="Q73" s="32">
        <v>45852548.81515</v>
      </c>
      <c r="R73"/>
      <c r="S73"/>
    </row>
    <row r="74" spans="3:19" x14ac:dyDescent="0.25">
      <c r="C74" s="24" t="s">
        <v>945</v>
      </c>
      <c r="D74" s="24" t="s">
        <v>946</v>
      </c>
      <c r="E74" s="24" t="s">
        <v>947</v>
      </c>
      <c r="F74" s="25">
        <v>5.9</v>
      </c>
      <c r="G74" s="24" t="s">
        <v>376</v>
      </c>
      <c r="H74" s="24" t="s">
        <v>46</v>
      </c>
      <c r="I74" s="24" t="s">
        <v>1046</v>
      </c>
      <c r="J74" s="24" t="s">
        <v>160</v>
      </c>
      <c r="K74" s="24" t="s">
        <v>371</v>
      </c>
      <c r="L74" s="24" t="s">
        <v>40</v>
      </c>
      <c r="M74" s="3" t="s">
        <v>984</v>
      </c>
      <c r="N74" s="24" t="s">
        <v>945</v>
      </c>
      <c r="O74" s="24" t="s">
        <v>42</v>
      </c>
      <c r="P74" s="16" t="s">
        <v>440</v>
      </c>
      <c r="Q74" s="32">
        <v>48966531.059600003</v>
      </c>
      <c r="R74"/>
      <c r="S74"/>
    </row>
    <row r="75" spans="3:19" x14ac:dyDescent="0.25">
      <c r="C75" s="24" t="s">
        <v>773</v>
      </c>
      <c r="D75" s="24" t="s">
        <v>775</v>
      </c>
      <c r="E75" s="24" t="s">
        <v>775</v>
      </c>
      <c r="F75" s="25">
        <v>6.45</v>
      </c>
      <c r="G75" s="24" t="s">
        <v>376</v>
      </c>
      <c r="H75" s="24" t="s">
        <v>46</v>
      </c>
      <c r="I75" s="24" t="s">
        <v>1031</v>
      </c>
      <c r="J75" s="24" t="s">
        <v>89</v>
      </c>
      <c r="K75" s="24" t="s">
        <v>776</v>
      </c>
      <c r="L75" s="24" t="s">
        <v>91</v>
      </c>
      <c r="M75" s="3" t="s">
        <v>378</v>
      </c>
      <c r="N75" s="24" t="s">
        <v>773</v>
      </c>
      <c r="O75" s="24" t="s">
        <v>42</v>
      </c>
      <c r="P75" s="16" t="s">
        <v>440</v>
      </c>
      <c r="Q75" s="32">
        <v>46838201.080299988</v>
      </c>
      <c r="R75"/>
      <c r="S75"/>
    </row>
    <row r="76" spans="3:19" x14ac:dyDescent="0.25">
      <c r="C76" s="24" t="s">
        <v>662</v>
      </c>
      <c r="D76" s="24" t="s">
        <v>664</v>
      </c>
      <c r="E76" s="24" t="s">
        <v>992</v>
      </c>
      <c r="F76" s="25">
        <v>5.9</v>
      </c>
      <c r="G76" s="24" t="s">
        <v>376</v>
      </c>
      <c r="H76" s="24" t="s">
        <v>46</v>
      </c>
      <c r="I76" s="24" t="s">
        <v>1046</v>
      </c>
      <c r="J76" s="24" t="s">
        <v>248</v>
      </c>
      <c r="K76" s="24" t="s">
        <v>51</v>
      </c>
      <c r="L76" s="24" t="s">
        <v>40</v>
      </c>
      <c r="M76" s="3" t="s">
        <v>984</v>
      </c>
      <c r="N76" s="24" t="s">
        <v>662</v>
      </c>
      <c r="O76" s="24" t="s">
        <v>42</v>
      </c>
      <c r="P76" s="16" t="s">
        <v>43</v>
      </c>
      <c r="Q76" s="32">
        <v>67601367.759799987</v>
      </c>
      <c r="R76"/>
      <c r="S76"/>
    </row>
    <row r="77" spans="3:19" x14ac:dyDescent="0.25">
      <c r="C77" s="24" t="s">
        <v>56</v>
      </c>
      <c r="D77" s="24" t="s">
        <v>57</v>
      </c>
      <c r="E77" s="24" t="s">
        <v>57</v>
      </c>
      <c r="F77" s="25" t="s">
        <v>36</v>
      </c>
      <c r="G77" s="24" t="s">
        <v>37</v>
      </c>
      <c r="H77" s="24" t="s">
        <v>38</v>
      </c>
      <c r="I77" s="24" t="s">
        <v>1046</v>
      </c>
      <c r="J77" s="24" t="s">
        <v>58</v>
      </c>
      <c r="K77" s="24" t="s">
        <v>59</v>
      </c>
      <c r="L77" s="24" t="s">
        <v>40</v>
      </c>
      <c r="M77" s="24" t="s">
        <v>1035</v>
      </c>
      <c r="N77" s="24" t="s">
        <v>56</v>
      </c>
      <c r="O77" s="24" t="s">
        <v>42</v>
      </c>
      <c r="P77" s="16" t="s">
        <v>43</v>
      </c>
      <c r="Q77" s="32">
        <v>0</v>
      </c>
      <c r="R77"/>
      <c r="S77"/>
    </row>
    <row r="78" spans="3:19" x14ac:dyDescent="0.25">
      <c r="C78" s="24" t="s">
        <v>534</v>
      </c>
      <c r="D78" s="24" t="s">
        <v>535</v>
      </c>
      <c r="E78" s="24" t="s">
        <v>536</v>
      </c>
      <c r="F78" s="25">
        <v>5.45</v>
      </c>
      <c r="G78" s="24" t="s">
        <v>376</v>
      </c>
      <c r="H78" s="24" t="s">
        <v>46</v>
      </c>
      <c r="I78" s="24" t="s">
        <v>1046</v>
      </c>
      <c r="J78" s="24" t="s">
        <v>100</v>
      </c>
      <c r="K78" s="24" t="s">
        <v>138</v>
      </c>
      <c r="L78" s="24" t="s">
        <v>40</v>
      </c>
      <c r="M78" s="24" t="s">
        <v>1035</v>
      </c>
      <c r="N78" s="24" t="s">
        <v>534</v>
      </c>
      <c r="O78" s="24" t="s">
        <v>42</v>
      </c>
      <c r="P78" s="16" t="s">
        <v>43</v>
      </c>
      <c r="Q78" s="32">
        <v>50059772.708049998</v>
      </c>
      <c r="R78"/>
      <c r="S78"/>
    </row>
    <row r="79" spans="3:19" x14ac:dyDescent="0.25">
      <c r="C79" s="24" t="s">
        <v>636</v>
      </c>
      <c r="D79" s="24" t="s">
        <v>637</v>
      </c>
      <c r="E79" s="24" t="s">
        <v>638</v>
      </c>
      <c r="F79" s="25">
        <v>5.45</v>
      </c>
      <c r="G79" s="24" t="s">
        <v>376</v>
      </c>
      <c r="H79" s="24" t="s">
        <v>46</v>
      </c>
      <c r="I79" s="24" t="s">
        <v>1046</v>
      </c>
      <c r="J79" s="24" t="s">
        <v>50</v>
      </c>
      <c r="K79" s="24" t="s">
        <v>315</v>
      </c>
      <c r="L79" s="24" t="s">
        <v>40</v>
      </c>
      <c r="M79" s="3" t="s">
        <v>984</v>
      </c>
      <c r="N79" s="24" t="s">
        <v>636</v>
      </c>
      <c r="O79" s="24" t="s">
        <v>42</v>
      </c>
      <c r="P79" s="16" t="s">
        <v>43</v>
      </c>
      <c r="Q79" s="32">
        <v>79565344.871600002</v>
      </c>
      <c r="R79"/>
      <c r="S79"/>
    </row>
    <row r="80" spans="3:19" x14ac:dyDescent="0.25">
      <c r="C80" s="24" t="s">
        <v>857</v>
      </c>
      <c r="D80" s="24" t="s">
        <v>859</v>
      </c>
      <c r="E80" s="24" t="s">
        <v>993</v>
      </c>
      <c r="F80" s="25">
        <v>5.9</v>
      </c>
      <c r="G80" s="24" t="s">
        <v>376</v>
      </c>
      <c r="H80" s="24" t="s">
        <v>46</v>
      </c>
      <c r="I80" s="24" t="s">
        <v>1046</v>
      </c>
      <c r="J80" s="24" t="s">
        <v>132</v>
      </c>
      <c r="K80" s="24" t="s">
        <v>138</v>
      </c>
      <c r="L80" s="24" t="s">
        <v>40</v>
      </c>
      <c r="M80" s="24" t="s">
        <v>1035</v>
      </c>
      <c r="N80" s="24" t="s">
        <v>857</v>
      </c>
      <c r="O80" s="24" t="s">
        <v>42</v>
      </c>
      <c r="P80" s="16" t="s">
        <v>43</v>
      </c>
      <c r="Q80" s="32">
        <v>74138122.278849989</v>
      </c>
      <c r="R80"/>
      <c r="S80"/>
    </row>
    <row r="81" spans="3:19" x14ac:dyDescent="0.25">
      <c r="C81" s="24" t="s">
        <v>747</v>
      </c>
      <c r="D81" s="24" t="s">
        <v>994</v>
      </c>
      <c r="E81" s="24" t="s">
        <v>749</v>
      </c>
      <c r="F81" s="25">
        <v>6.9</v>
      </c>
      <c r="G81" s="24" t="s">
        <v>376</v>
      </c>
      <c r="H81" s="24" t="s">
        <v>46</v>
      </c>
      <c r="I81" s="24" t="s">
        <v>1031</v>
      </c>
      <c r="J81" s="24" t="s">
        <v>1048</v>
      </c>
      <c r="K81" s="24" t="s">
        <v>54</v>
      </c>
      <c r="L81" s="24" t="s">
        <v>55</v>
      </c>
      <c r="M81" s="3" t="s">
        <v>378</v>
      </c>
      <c r="N81" s="24" t="s">
        <v>747</v>
      </c>
      <c r="O81" s="24" t="s">
        <v>42</v>
      </c>
      <c r="P81" s="16" t="s">
        <v>43</v>
      </c>
      <c r="Q81" s="32">
        <v>75509866.373899996</v>
      </c>
      <c r="R81"/>
      <c r="S81"/>
    </row>
    <row r="82" spans="3:19" x14ac:dyDescent="0.25">
      <c r="C82" s="24" t="s">
        <v>564</v>
      </c>
      <c r="D82" s="24" t="s">
        <v>565</v>
      </c>
      <c r="E82" s="24" t="s">
        <v>566</v>
      </c>
      <c r="F82" s="25">
        <v>5.9</v>
      </c>
      <c r="G82" s="24" t="s">
        <v>376</v>
      </c>
      <c r="H82" s="24" t="s">
        <v>46</v>
      </c>
      <c r="I82" s="24" t="s">
        <v>1046</v>
      </c>
      <c r="J82" s="24" t="s">
        <v>331</v>
      </c>
      <c r="K82" s="24" t="s">
        <v>138</v>
      </c>
      <c r="L82" s="24" t="s">
        <v>40</v>
      </c>
      <c r="M82" s="3" t="s">
        <v>984</v>
      </c>
      <c r="N82" s="24" t="s">
        <v>564</v>
      </c>
      <c r="O82" s="24" t="s">
        <v>42</v>
      </c>
      <c r="P82" s="16" t="s">
        <v>440</v>
      </c>
      <c r="Q82" s="32">
        <v>41423165.784699999</v>
      </c>
      <c r="R82"/>
      <c r="S82"/>
    </row>
    <row r="83" spans="3:19" x14ac:dyDescent="0.25">
      <c r="C83" s="24" t="s">
        <v>709</v>
      </c>
      <c r="D83" s="24" t="s">
        <v>710</v>
      </c>
      <c r="E83" s="24" t="s">
        <v>711</v>
      </c>
      <c r="F83" s="25">
        <v>8</v>
      </c>
      <c r="G83" s="24" t="s">
        <v>376</v>
      </c>
      <c r="H83" s="24" t="s">
        <v>46</v>
      </c>
      <c r="I83" s="24" t="s">
        <v>1031</v>
      </c>
      <c r="J83" s="24" t="s">
        <v>84</v>
      </c>
      <c r="K83" s="24" t="s">
        <v>54</v>
      </c>
      <c r="L83" s="24" t="s">
        <v>55</v>
      </c>
      <c r="M83" s="3" t="s">
        <v>378</v>
      </c>
      <c r="N83" s="24" t="s">
        <v>709</v>
      </c>
      <c r="O83" s="24" t="s">
        <v>379</v>
      </c>
      <c r="P83" s="16" t="s">
        <v>440</v>
      </c>
      <c r="Q83" s="32">
        <v>68080785.072999999</v>
      </c>
      <c r="R83"/>
      <c r="S83"/>
    </row>
    <row r="84" spans="3:19" x14ac:dyDescent="0.25">
      <c r="C84" s="24" t="s">
        <v>60</v>
      </c>
      <c r="D84" s="24" t="s">
        <v>61</v>
      </c>
      <c r="E84" s="24" t="s">
        <v>62</v>
      </c>
      <c r="F84" s="25" t="s">
        <v>36</v>
      </c>
      <c r="G84" s="24" t="s">
        <v>37</v>
      </c>
      <c r="H84" s="24" t="s">
        <v>38</v>
      </c>
      <c r="I84" s="24" t="s">
        <v>1046</v>
      </c>
      <c r="J84" s="24" t="s">
        <v>63</v>
      </c>
      <c r="K84" s="24" t="s">
        <v>64</v>
      </c>
      <c r="L84" s="24" t="s">
        <v>40</v>
      </c>
      <c r="M84" s="3" t="s">
        <v>378</v>
      </c>
      <c r="N84" s="24" t="s">
        <v>60</v>
      </c>
      <c r="O84" s="24" t="s">
        <v>42</v>
      </c>
      <c r="P84" s="16" t="s">
        <v>43</v>
      </c>
      <c r="Q84" s="32">
        <v>0</v>
      </c>
      <c r="R84"/>
      <c r="S84"/>
    </row>
    <row r="85" spans="3:19" x14ac:dyDescent="0.25">
      <c r="C85" s="24" t="s">
        <v>861</v>
      </c>
      <c r="D85" s="24" t="s">
        <v>983</v>
      </c>
      <c r="E85" s="24" t="s">
        <v>995</v>
      </c>
      <c r="F85" s="25">
        <v>8.9</v>
      </c>
      <c r="G85" s="24" t="s">
        <v>376</v>
      </c>
      <c r="H85" s="24" t="s">
        <v>46</v>
      </c>
      <c r="I85" s="24" t="s">
        <v>1046</v>
      </c>
      <c r="J85" s="24" t="s">
        <v>132</v>
      </c>
      <c r="K85" s="24" t="s">
        <v>856</v>
      </c>
      <c r="L85" s="24" t="s">
        <v>40</v>
      </c>
      <c r="M85" s="24" t="s">
        <v>1035</v>
      </c>
      <c r="N85" s="24" t="s">
        <v>861</v>
      </c>
      <c r="O85" s="24" t="s">
        <v>379</v>
      </c>
      <c r="P85" s="16" t="s">
        <v>440</v>
      </c>
      <c r="Q85" s="32">
        <v>94486855.261399984</v>
      </c>
      <c r="R85"/>
      <c r="S85"/>
    </row>
    <row r="86" spans="3:19" x14ac:dyDescent="0.25">
      <c r="C86" s="24" t="s">
        <v>616</v>
      </c>
      <c r="D86" s="24" t="s">
        <v>617</v>
      </c>
      <c r="E86" s="24" t="s">
        <v>617</v>
      </c>
      <c r="F86" s="25">
        <v>5.45</v>
      </c>
      <c r="G86" s="24" t="s">
        <v>376</v>
      </c>
      <c r="H86" s="24" t="s">
        <v>46</v>
      </c>
      <c r="I86" s="24" t="s">
        <v>1046</v>
      </c>
      <c r="J86" s="24" t="s">
        <v>50</v>
      </c>
      <c r="K86" s="24" t="s">
        <v>138</v>
      </c>
      <c r="L86" s="24" t="s">
        <v>40</v>
      </c>
      <c r="M86" s="3" t="s">
        <v>984</v>
      </c>
      <c r="N86" s="24" t="s">
        <v>616</v>
      </c>
      <c r="O86" s="24" t="s">
        <v>42</v>
      </c>
      <c r="P86" s="16" t="s">
        <v>440</v>
      </c>
      <c r="Q86" s="32">
        <v>54489990.355000004</v>
      </c>
      <c r="R86"/>
      <c r="S86"/>
    </row>
    <row r="87" spans="3:19" x14ac:dyDescent="0.25">
      <c r="C87" s="24" t="s">
        <v>891</v>
      </c>
      <c r="D87" s="24" t="s">
        <v>892</v>
      </c>
      <c r="E87" s="24" t="s">
        <v>893</v>
      </c>
      <c r="F87" s="25">
        <v>5</v>
      </c>
      <c r="G87" s="24" t="s">
        <v>376</v>
      </c>
      <c r="H87" s="24" t="s">
        <v>46</v>
      </c>
      <c r="I87" s="24" t="s">
        <v>1046</v>
      </c>
      <c r="J87" s="24" t="s">
        <v>73</v>
      </c>
      <c r="K87" s="24" t="s">
        <v>47</v>
      </c>
      <c r="L87" s="24" t="s">
        <v>40</v>
      </c>
      <c r="M87" s="3" t="s">
        <v>378</v>
      </c>
      <c r="N87" s="24" t="s">
        <v>891</v>
      </c>
      <c r="O87" s="24" t="s">
        <v>42</v>
      </c>
      <c r="P87" s="16" t="s">
        <v>43</v>
      </c>
      <c r="Q87" s="32">
        <v>60412802.33169999</v>
      </c>
      <c r="R87"/>
      <c r="S87"/>
    </row>
    <row r="88" spans="3:19" x14ac:dyDescent="0.25">
      <c r="C88" s="24" t="s">
        <v>65</v>
      </c>
      <c r="D88" s="24" t="s">
        <v>66</v>
      </c>
      <c r="E88" s="24" t="s">
        <v>66</v>
      </c>
      <c r="F88" s="25" t="s">
        <v>36</v>
      </c>
      <c r="G88" s="24" t="s">
        <v>37</v>
      </c>
      <c r="H88" s="24" t="s">
        <v>38</v>
      </c>
      <c r="I88" s="24" t="s">
        <v>1046</v>
      </c>
      <c r="J88" s="24" t="s">
        <v>67</v>
      </c>
      <c r="K88" s="24" t="s">
        <v>59</v>
      </c>
      <c r="L88" s="24" t="s">
        <v>40</v>
      </c>
      <c r="M88" s="24" t="s">
        <v>1035</v>
      </c>
      <c r="N88" s="24" t="s">
        <v>65</v>
      </c>
      <c r="O88" s="24" t="s">
        <v>42</v>
      </c>
      <c r="P88" s="16" t="s">
        <v>43</v>
      </c>
      <c r="Q88" s="32">
        <v>0</v>
      </c>
      <c r="R88"/>
      <c r="S88"/>
    </row>
    <row r="89" spans="3:19" x14ac:dyDescent="0.25">
      <c r="C89" s="24" t="s">
        <v>777</v>
      </c>
      <c r="D89" s="24" t="s">
        <v>779</v>
      </c>
      <c r="E89" s="24" t="s">
        <v>779</v>
      </c>
      <c r="F89" s="25">
        <v>6.45</v>
      </c>
      <c r="G89" s="24" t="s">
        <v>376</v>
      </c>
      <c r="H89" s="24" t="s">
        <v>46</v>
      </c>
      <c r="I89" s="24" t="s">
        <v>1031</v>
      </c>
      <c r="J89" s="24" t="s">
        <v>89</v>
      </c>
      <c r="K89" s="24" t="s">
        <v>90</v>
      </c>
      <c r="L89" s="24" t="s">
        <v>91</v>
      </c>
      <c r="M89" s="3" t="s">
        <v>378</v>
      </c>
      <c r="N89" s="24" t="s">
        <v>777</v>
      </c>
      <c r="O89" s="24" t="s">
        <v>42</v>
      </c>
      <c r="P89" s="16" t="s">
        <v>440</v>
      </c>
      <c r="Q89" s="32">
        <v>53045093.569999993</v>
      </c>
      <c r="R89"/>
      <c r="S89"/>
    </row>
    <row r="90" spans="3:19" x14ac:dyDescent="0.25">
      <c r="C90" s="24" t="s">
        <v>480</v>
      </c>
      <c r="D90" s="24" t="s">
        <v>481</v>
      </c>
      <c r="E90" s="24" t="s">
        <v>482</v>
      </c>
      <c r="F90" s="25">
        <v>5</v>
      </c>
      <c r="G90" s="24" t="s">
        <v>376</v>
      </c>
      <c r="H90" s="24" t="s">
        <v>46</v>
      </c>
      <c r="I90" s="24" t="s">
        <v>1046</v>
      </c>
      <c r="J90" s="24" t="s">
        <v>466</v>
      </c>
      <c r="K90" s="24" t="s">
        <v>51</v>
      </c>
      <c r="L90" s="24" t="s">
        <v>40</v>
      </c>
      <c r="M90" s="24" t="s">
        <v>1035</v>
      </c>
      <c r="N90" s="24" t="s">
        <v>480</v>
      </c>
      <c r="O90" s="24" t="s">
        <v>42</v>
      </c>
      <c r="P90" s="16" t="s">
        <v>43</v>
      </c>
      <c r="Q90" s="32">
        <v>47884279.042949997</v>
      </c>
      <c r="R90"/>
      <c r="S90"/>
    </row>
    <row r="91" spans="3:19" x14ac:dyDescent="0.25">
      <c r="C91" s="24" t="s">
        <v>807</v>
      </c>
      <c r="D91" s="24" t="s">
        <v>808</v>
      </c>
      <c r="E91" s="24" t="s">
        <v>809</v>
      </c>
      <c r="F91" s="25">
        <v>5.68</v>
      </c>
      <c r="G91" s="24" t="s">
        <v>376</v>
      </c>
      <c r="H91" s="24" t="s">
        <v>46</v>
      </c>
      <c r="I91" s="24" t="s">
        <v>1046</v>
      </c>
      <c r="J91" s="24" t="s">
        <v>146</v>
      </c>
      <c r="K91" s="24" t="s">
        <v>59</v>
      </c>
      <c r="L91" s="24" t="s">
        <v>40</v>
      </c>
      <c r="M91" s="24" t="s">
        <v>1035</v>
      </c>
      <c r="N91" s="24" t="s">
        <v>807</v>
      </c>
      <c r="O91" s="24" t="s">
        <v>42</v>
      </c>
      <c r="P91" s="16" t="s">
        <v>440</v>
      </c>
      <c r="Q91" s="32">
        <v>71649573.577049971</v>
      </c>
      <c r="R91"/>
      <c r="S91"/>
    </row>
    <row r="92" spans="3:19" x14ac:dyDescent="0.25">
      <c r="C92" s="24" t="s">
        <v>400</v>
      </c>
      <c r="D92" s="24" t="s">
        <v>401</v>
      </c>
      <c r="E92" s="24" t="s">
        <v>401</v>
      </c>
      <c r="F92" s="25">
        <v>5.45</v>
      </c>
      <c r="G92" s="24" t="s">
        <v>376</v>
      </c>
      <c r="H92" s="24" t="s">
        <v>46</v>
      </c>
      <c r="I92" s="24" t="s">
        <v>1031</v>
      </c>
      <c r="J92" s="24" t="s">
        <v>63</v>
      </c>
      <c r="K92" s="24" t="s">
        <v>138</v>
      </c>
      <c r="L92" s="24" t="s">
        <v>40</v>
      </c>
      <c r="M92" s="3" t="s">
        <v>378</v>
      </c>
      <c r="N92" s="24" t="s">
        <v>400</v>
      </c>
      <c r="O92" s="24" t="s">
        <v>42</v>
      </c>
      <c r="P92" s="16" t="s">
        <v>43</v>
      </c>
      <c r="Q92" s="32">
        <v>44905820.824549995</v>
      </c>
      <c r="R92"/>
      <c r="S92"/>
    </row>
    <row r="93" spans="3:19" x14ac:dyDescent="0.25">
      <c r="C93" s="24" t="s">
        <v>402</v>
      </c>
      <c r="D93" s="24" t="s">
        <v>403</v>
      </c>
      <c r="E93" s="24" t="s">
        <v>403</v>
      </c>
      <c r="F93" s="25">
        <v>5.45</v>
      </c>
      <c r="G93" s="24" t="s">
        <v>376</v>
      </c>
      <c r="H93" s="24" t="s">
        <v>46</v>
      </c>
      <c r="I93" s="24" t="s">
        <v>1031</v>
      </c>
      <c r="J93" s="24" t="s">
        <v>63</v>
      </c>
      <c r="K93" s="24" t="s">
        <v>138</v>
      </c>
      <c r="L93" s="24" t="s">
        <v>40</v>
      </c>
      <c r="M93" s="3" t="s">
        <v>378</v>
      </c>
      <c r="N93" s="24" t="s">
        <v>402</v>
      </c>
      <c r="O93" s="24" t="s">
        <v>42</v>
      </c>
      <c r="P93" s="16" t="s">
        <v>43</v>
      </c>
      <c r="Q93" s="32">
        <v>72532747.455349982</v>
      </c>
      <c r="R93"/>
      <c r="S93"/>
    </row>
    <row r="94" spans="3:19" x14ac:dyDescent="0.25">
      <c r="C94" s="24" t="s">
        <v>665</v>
      </c>
      <c r="D94" s="24" t="s">
        <v>666</v>
      </c>
      <c r="E94" s="24" t="s">
        <v>666</v>
      </c>
      <c r="F94" s="25">
        <v>5</v>
      </c>
      <c r="G94" s="24" t="s">
        <v>376</v>
      </c>
      <c r="H94" s="24" t="s">
        <v>46</v>
      </c>
      <c r="I94" s="24" t="s">
        <v>1046</v>
      </c>
      <c r="J94" s="24" t="s">
        <v>248</v>
      </c>
      <c r="K94" s="24" t="s">
        <v>51</v>
      </c>
      <c r="L94" s="24" t="s">
        <v>40</v>
      </c>
      <c r="M94" s="3" t="s">
        <v>984</v>
      </c>
      <c r="N94" s="24" t="s">
        <v>665</v>
      </c>
      <c r="O94" s="24" t="s">
        <v>42</v>
      </c>
      <c r="P94" s="16" t="s">
        <v>43</v>
      </c>
      <c r="Q94" s="32">
        <v>70115999.208149999</v>
      </c>
      <c r="R94"/>
      <c r="S94"/>
    </row>
    <row r="95" spans="3:19" x14ac:dyDescent="0.25">
      <c r="C95" s="24" t="s">
        <v>404</v>
      </c>
      <c r="D95" s="24" t="s">
        <v>405</v>
      </c>
      <c r="E95" s="24" t="s">
        <v>405</v>
      </c>
      <c r="F95" s="25">
        <v>5</v>
      </c>
      <c r="G95" s="24" t="s">
        <v>376</v>
      </c>
      <c r="H95" s="24" t="s">
        <v>46</v>
      </c>
      <c r="I95" s="24" t="s">
        <v>1031</v>
      </c>
      <c r="J95" s="24" t="s">
        <v>63</v>
      </c>
      <c r="K95" s="24" t="s">
        <v>138</v>
      </c>
      <c r="L95" s="24" t="s">
        <v>40</v>
      </c>
      <c r="M95" s="3" t="s">
        <v>378</v>
      </c>
      <c r="N95" s="24" t="s">
        <v>404</v>
      </c>
      <c r="O95" s="24" t="s">
        <v>42</v>
      </c>
      <c r="P95" s="16" t="s">
        <v>43</v>
      </c>
      <c r="Q95" s="32">
        <v>42842533.794429094</v>
      </c>
      <c r="R95"/>
      <c r="S95"/>
    </row>
    <row r="96" spans="3:19" x14ac:dyDescent="0.25">
      <c r="C96" s="24" t="s">
        <v>948</v>
      </c>
      <c r="D96" s="24" t="s">
        <v>949</v>
      </c>
      <c r="E96" s="24" t="s">
        <v>949</v>
      </c>
      <c r="F96" s="25">
        <v>5.45</v>
      </c>
      <c r="G96" s="24" t="s">
        <v>376</v>
      </c>
      <c r="H96" s="24" t="s">
        <v>46</v>
      </c>
      <c r="I96" s="24" t="s">
        <v>1046</v>
      </c>
      <c r="J96" s="24" t="s">
        <v>160</v>
      </c>
      <c r="K96" s="24" t="s">
        <v>353</v>
      </c>
      <c r="L96" s="24" t="s">
        <v>40</v>
      </c>
      <c r="M96" s="3" t="s">
        <v>984</v>
      </c>
      <c r="N96" s="24" t="s">
        <v>948</v>
      </c>
      <c r="O96" s="24" t="s">
        <v>42</v>
      </c>
      <c r="P96" s="16" t="s">
        <v>43</v>
      </c>
      <c r="Q96" s="32">
        <v>51798619.366678186</v>
      </c>
      <c r="R96"/>
      <c r="S96"/>
    </row>
    <row r="97" spans="3:19" x14ac:dyDescent="0.25">
      <c r="C97" s="24" t="s">
        <v>667</v>
      </c>
      <c r="D97" s="24" t="s">
        <v>668</v>
      </c>
      <c r="E97" s="24" t="s">
        <v>668</v>
      </c>
      <c r="F97" s="25">
        <v>6</v>
      </c>
      <c r="G97" s="24" t="s">
        <v>376</v>
      </c>
      <c r="H97" s="24" t="s">
        <v>46</v>
      </c>
      <c r="I97" s="24" t="s">
        <v>1046</v>
      </c>
      <c r="J97" s="24" t="s">
        <v>248</v>
      </c>
      <c r="K97" s="24" t="s">
        <v>51</v>
      </c>
      <c r="L97" s="24" t="s">
        <v>40</v>
      </c>
      <c r="M97" s="3" t="s">
        <v>984</v>
      </c>
      <c r="N97" s="24" t="s">
        <v>667</v>
      </c>
      <c r="O97" s="24" t="s">
        <v>42</v>
      </c>
      <c r="P97" s="16" t="s">
        <v>43</v>
      </c>
      <c r="Q97" s="32">
        <v>62078664.403437495</v>
      </c>
      <c r="R97"/>
      <c r="S97"/>
    </row>
    <row r="98" spans="3:19" x14ac:dyDescent="0.25">
      <c r="C98" s="24" t="s">
        <v>669</v>
      </c>
      <c r="D98" s="24" t="s">
        <v>670</v>
      </c>
      <c r="E98" s="24" t="s">
        <v>670</v>
      </c>
      <c r="F98" s="25">
        <v>5</v>
      </c>
      <c r="G98" s="24" t="s">
        <v>376</v>
      </c>
      <c r="H98" s="24" t="s">
        <v>46</v>
      </c>
      <c r="I98" s="24" t="s">
        <v>1046</v>
      </c>
      <c r="J98" s="24" t="s">
        <v>248</v>
      </c>
      <c r="K98" s="24" t="s">
        <v>51</v>
      </c>
      <c r="L98" s="24" t="s">
        <v>40</v>
      </c>
      <c r="M98" s="3" t="s">
        <v>984</v>
      </c>
      <c r="N98" s="24" t="s">
        <v>669</v>
      </c>
      <c r="O98" s="24" t="s">
        <v>42</v>
      </c>
      <c r="P98" s="16" t="s">
        <v>43</v>
      </c>
      <c r="Q98" s="32">
        <v>64632538.979749992</v>
      </c>
      <c r="R98"/>
      <c r="S98"/>
    </row>
    <row r="99" spans="3:19" x14ac:dyDescent="0.25">
      <c r="C99" s="24" t="s">
        <v>894</v>
      </c>
      <c r="D99" s="24" t="s">
        <v>895</v>
      </c>
      <c r="E99" s="24" t="s">
        <v>895</v>
      </c>
      <c r="F99" s="25">
        <v>5</v>
      </c>
      <c r="G99" s="24" t="s">
        <v>376</v>
      </c>
      <c r="H99" s="24" t="s">
        <v>46</v>
      </c>
      <c r="I99" s="24" t="s">
        <v>1046</v>
      </c>
      <c r="J99" s="24" t="s">
        <v>73</v>
      </c>
      <c r="K99" s="24" t="s">
        <v>609</v>
      </c>
      <c r="L99" s="24" t="s">
        <v>40</v>
      </c>
      <c r="M99" s="3" t="s">
        <v>378</v>
      </c>
      <c r="N99" s="24" t="s">
        <v>894</v>
      </c>
      <c r="O99" s="24" t="s">
        <v>42</v>
      </c>
      <c r="P99" s="16" t="s">
        <v>43</v>
      </c>
      <c r="Q99" s="32">
        <v>50025332.722399995</v>
      </c>
      <c r="R99"/>
      <c r="S99"/>
    </row>
    <row r="100" spans="3:19" x14ac:dyDescent="0.25">
      <c r="C100" s="24" t="s">
        <v>537</v>
      </c>
      <c r="D100" s="24" t="s">
        <v>538</v>
      </c>
      <c r="E100" s="24" t="s">
        <v>538</v>
      </c>
      <c r="F100" s="25">
        <v>6.13</v>
      </c>
      <c r="G100" s="24" t="s">
        <v>376</v>
      </c>
      <c r="H100" s="24" t="s">
        <v>46</v>
      </c>
      <c r="I100" s="24" t="s">
        <v>1046</v>
      </c>
      <c r="J100" s="24" t="s">
        <v>100</v>
      </c>
      <c r="K100" s="24" t="s">
        <v>64</v>
      </c>
      <c r="L100" s="24" t="s">
        <v>40</v>
      </c>
      <c r="M100" s="24" t="s">
        <v>1035</v>
      </c>
      <c r="N100" s="24" t="s">
        <v>537</v>
      </c>
      <c r="O100" s="24" t="s">
        <v>42</v>
      </c>
      <c r="P100" s="16" t="s">
        <v>43</v>
      </c>
      <c r="Q100" s="32">
        <v>65192241.457699984</v>
      </c>
      <c r="R100"/>
      <c r="S100"/>
    </row>
    <row r="101" spans="3:19" x14ac:dyDescent="0.25">
      <c r="C101" s="24" t="s">
        <v>863</v>
      </c>
      <c r="D101" s="24" t="s">
        <v>864</v>
      </c>
      <c r="E101" s="24" t="s">
        <v>864</v>
      </c>
      <c r="F101" s="25">
        <v>5.45</v>
      </c>
      <c r="G101" s="24" t="s">
        <v>376</v>
      </c>
      <c r="H101" s="24" t="s">
        <v>46</v>
      </c>
      <c r="I101" s="24" t="s">
        <v>1046</v>
      </c>
      <c r="J101" s="24" t="s">
        <v>132</v>
      </c>
      <c r="K101" s="24" t="s">
        <v>138</v>
      </c>
      <c r="L101" s="24" t="s">
        <v>40</v>
      </c>
      <c r="M101" s="24" t="s">
        <v>1035</v>
      </c>
      <c r="N101" s="24" t="s">
        <v>863</v>
      </c>
      <c r="O101" s="24" t="s">
        <v>42</v>
      </c>
      <c r="P101" s="16" t="s">
        <v>43</v>
      </c>
      <c r="Q101" s="32">
        <v>52882213.091399997</v>
      </c>
      <c r="R101"/>
      <c r="S101"/>
    </row>
    <row r="102" spans="3:19" x14ac:dyDescent="0.25">
      <c r="C102" s="24" t="s">
        <v>896</v>
      </c>
      <c r="D102" s="24" t="s">
        <v>897</v>
      </c>
      <c r="E102" s="24" t="s">
        <v>897</v>
      </c>
      <c r="F102" s="25">
        <v>5</v>
      </c>
      <c r="G102" s="24" t="s">
        <v>376</v>
      </c>
      <c r="H102" s="24" t="s">
        <v>46</v>
      </c>
      <c r="I102" s="24" t="s">
        <v>1046</v>
      </c>
      <c r="J102" s="24" t="s">
        <v>73</v>
      </c>
      <c r="K102" s="24" t="s">
        <v>133</v>
      </c>
      <c r="L102" s="24" t="s">
        <v>40</v>
      </c>
      <c r="M102" s="3" t="s">
        <v>378</v>
      </c>
      <c r="N102" s="24" t="s">
        <v>896</v>
      </c>
      <c r="O102" s="24" t="s">
        <v>42</v>
      </c>
      <c r="P102" s="16" t="s">
        <v>43</v>
      </c>
      <c r="Q102" s="32">
        <v>45714067.64154999</v>
      </c>
      <c r="R102"/>
      <c r="S102"/>
    </row>
    <row r="103" spans="3:19" x14ac:dyDescent="0.25">
      <c r="C103" s="24" t="s">
        <v>898</v>
      </c>
      <c r="D103" s="24" t="s">
        <v>899</v>
      </c>
      <c r="E103" s="24" t="s">
        <v>899</v>
      </c>
      <c r="F103" s="25">
        <v>5</v>
      </c>
      <c r="G103" s="24" t="s">
        <v>376</v>
      </c>
      <c r="H103" s="24" t="s">
        <v>46</v>
      </c>
      <c r="I103" s="24" t="s">
        <v>1046</v>
      </c>
      <c r="J103" s="24" t="s">
        <v>73</v>
      </c>
      <c r="K103" s="24" t="s">
        <v>315</v>
      </c>
      <c r="L103" s="24" t="s">
        <v>40</v>
      </c>
      <c r="M103" s="3" t="s">
        <v>378</v>
      </c>
      <c r="N103" s="24" t="s">
        <v>898</v>
      </c>
      <c r="O103" s="24" t="s">
        <v>42</v>
      </c>
      <c r="P103" s="16" t="s">
        <v>440</v>
      </c>
      <c r="Q103" s="32">
        <v>56744034.335450001</v>
      </c>
      <c r="R103"/>
      <c r="S103"/>
    </row>
    <row r="104" spans="3:19" x14ac:dyDescent="0.25">
      <c r="C104" s="24" t="s">
        <v>950</v>
      </c>
      <c r="D104" s="24" t="s">
        <v>951</v>
      </c>
      <c r="E104" s="24" t="s">
        <v>951</v>
      </c>
      <c r="F104" s="25">
        <v>5.45</v>
      </c>
      <c r="G104" s="24" t="s">
        <v>376</v>
      </c>
      <c r="H104" s="24" t="s">
        <v>46</v>
      </c>
      <c r="I104" s="24" t="s">
        <v>1046</v>
      </c>
      <c r="J104" s="24" t="s">
        <v>160</v>
      </c>
      <c r="K104" s="24" t="s">
        <v>353</v>
      </c>
      <c r="L104" s="24" t="s">
        <v>40</v>
      </c>
      <c r="M104" s="3" t="s">
        <v>984</v>
      </c>
      <c r="N104" s="24" t="s">
        <v>950</v>
      </c>
      <c r="O104" s="24" t="s">
        <v>42</v>
      </c>
      <c r="P104" s="16" t="s">
        <v>43</v>
      </c>
      <c r="Q104" s="32">
        <v>45906868.332937501</v>
      </c>
      <c r="R104"/>
      <c r="S104"/>
    </row>
    <row r="105" spans="3:19" x14ac:dyDescent="0.25">
      <c r="C105" s="24" t="s">
        <v>406</v>
      </c>
      <c r="D105" s="24" t="s">
        <v>407</v>
      </c>
      <c r="E105" s="24" t="s">
        <v>407</v>
      </c>
      <c r="F105" s="25">
        <v>5.45</v>
      </c>
      <c r="G105" s="24" t="s">
        <v>376</v>
      </c>
      <c r="H105" s="24" t="s">
        <v>46</v>
      </c>
      <c r="I105" s="24" t="s">
        <v>1031</v>
      </c>
      <c r="J105" s="24" t="s">
        <v>63</v>
      </c>
      <c r="K105" s="24" t="s">
        <v>138</v>
      </c>
      <c r="L105" s="24" t="s">
        <v>40</v>
      </c>
      <c r="M105" s="3" t="s">
        <v>378</v>
      </c>
      <c r="N105" s="24" t="s">
        <v>406</v>
      </c>
      <c r="O105" s="24" t="s">
        <v>42</v>
      </c>
      <c r="P105" s="16" t="s">
        <v>43</v>
      </c>
      <c r="Q105" s="32">
        <v>51295968.970399998</v>
      </c>
      <c r="R105"/>
      <c r="S105"/>
    </row>
    <row r="106" spans="3:19" x14ac:dyDescent="0.25">
      <c r="C106" s="24" t="s">
        <v>429</v>
      </c>
      <c r="D106" s="24" t="s">
        <v>430</v>
      </c>
      <c r="E106" s="24" t="s">
        <v>431</v>
      </c>
      <c r="F106" s="25">
        <v>6</v>
      </c>
      <c r="G106" s="24" t="s">
        <v>376</v>
      </c>
      <c r="H106" s="24" t="s">
        <v>46</v>
      </c>
      <c r="I106" s="24" t="s">
        <v>1046</v>
      </c>
      <c r="J106" s="24" t="s">
        <v>94</v>
      </c>
      <c r="K106" s="24" t="s">
        <v>64</v>
      </c>
      <c r="L106" s="24" t="s">
        <v>40</v>
      </c>
      <c r="M106" s="24" t="s">
        <v>1035</v>
      </c>
      <c r="N106" s="24" t="s">
        <v>429</v>
      </c>
      <c r="O106" s="24" t="s">
        <v>42</v>
      </c>
      <c r="P106" s="16" t="s">
        <v>43</v>
      </c>
      <c r="Q106" s="32">
        <v>80519129.876499996</v>
      </c>
      <c r="R106"/>
      <c r="S106"/>
    </row>
    <row r="107" spans="3:19" x14ac:dyDescent="0.25">
      <c r="C107" s="24" t="s">
        <v>483</v>
      </c>
      <c r="D107" s="24" t="s">
        <v>484</v>
      </c>
      <c r="E107" s="24" t="s">
        <v>485</v>
      </c>
      <c r="F107" s="25">
        <v>5</v>
      </c>
      <c r="G107" s="24" t="s">
        <v>376</v>
      </c>
      <c r="H107" s="24" t="s">
        <v>46</v>
      </c>
      <c r="I107" s="24" t="s">
        <v>1046</v>
      </c>
      <c r="J107" s="24" t="s">
        <v>466</v>
      </c>
      <c r="K107" s="24" t="s">
        <v>51</v>
      </c>
      <c r="L107" s="24" t="s">
        <v>40</v>
      </c>
      <c r="M107" s="24" t="s">
        <v>1035</v>
      </c>
      <c r="N107" s="24" t="s">
        <v>483</v>
      </c>
      <c r="O107" s="24" t="s">
        <v>42</v>
      </c>
      <c r="P107" s="16" t="s">
        <v>43</v>
      </c>
      <c r="Q107" s="32">
        <v>74832675.667399973</v>
      </c>
      <c r="R107"/>
      <c r="S107"/>
    </row>
    <row r="108" spans="3:19" x14ac:dyDescent="0.25">
      <c r="C108" s="24" t="s">
        <v>539</v>
      </c>
      <c r="D108" s="24" t="s">
        <v>540</v>
      </c>
      <c r="E108" s="24" t="s">
        <v>541</v>
      </c>
      <c r="F108" s="25">
        <v>6.13</v>
      </c>
      <c r="G108" s="24" t="s">
        <v>376</v>
      </c>
      <c r="H108" s="24" t="s">
        <v>46</v>
      </c>
      <c r="I108" s="24" t="s">
        <v>1046</v>
      </c>
      <c r="J108" s="24" t="s">
        <v>100</v>
      </c>
      <c r="K108" s="24" t="s">
        <v>51</v>
      </c>
      <c r="L108" s="24" t="s">
        <v>40</v>
      </c>
      <c r="M108" s="24" t="s">
        <v>1035</v>
      </c>
      <c r="N108" s="24" t="s">
        <v>539</v>
      </c>
      <c r="O108" s="24" t="s">
        <v>42</v>
      </c>
      <c r="P108" s="16" t="s">
        <v>43</v>
      </c>
      <c r="Q108" s="32">
        <v>65375604.796249993</v>
      </c>
      <c r="R108"/>
      <c r="S108"/>
    </row>
    <row r="109" spans="3:19" x14ac:dyDescent="0.25">
      <c r="C109" s="24" t="s">
        <v>432</v>
      </c>
      <c r="D109" s="24" t="s">
        <v>433</v>
      </c>
      <c r="E109" s="24" t="s">
        <v>434</v>
      </c>
      <c r="F109" s="25">
        <v>5.45</v>
      </c>
      <c r="G109" s="24" t="s">
        <v>376</v>
      </c>
      <c r="H109" s="24" t="s">
        <v>46</v>
      </c>
      <c r="I109" s="24" t="s">
        <v>1046</v>
      </c>
      <c r="J109" s="24" t="s">
        <v>94</v>
      </c>
      <c r="K109" s="24" t="s">
        <v>205</v>
      </c>
      <c r="L109" s="24" t="s">
        <v>40</v>
      </c>
      <c r="M109" s="24" t="s">
        <v>1035</v>
      </c>
      <c r="N109" s="24" t="s">
        <v>432</v>
      </c>
      <c r="O109" s="24" t="s">
        <v>42</v>
      </c>
      <c r="P109" s="16" t="s">
        <v>43</v>
      </c>
      <c r="Q109" s="32">
        <v>60819000.534949996</v>
      </c>
      <c r="R109"/>
      <c r="S109"/>
    </row>
    <row r="110" spans="3:19" x14ac:dyDescent="0.25">
      <c r="C110" s="24" t="s">
        <v>671</v>
      </c>
      <c r="D110" s="24" t="s">
        <v>672</v>
      </c>
      <c r="E110" s="24" t="s">
        <v>672</v>
      </c>
      <c r="F110" s="25">
        <v>5</v>
      </c>
      <c r="G110" s="24" t="s">
        <v>376</v>
      </c>
      <c r="H110" s="24" t="s">
        <v>46</v>
      </c>
      <c r="I110" s="24" t="s">
        <v>1046</v>
      </c>
      <c r="J110" s="24" t="s">
        <v>248</v>
      </c>
      <c r="K110" s="24" t="s">
        <v>51</v>
      </c>
      <c r="L110" s="24" t="s">
        <v>40</v>
      </c>
      <c r="M110" s="3" t="s">
        <v>984</v>
      </c>
      <c r="N110" s="24" t="s">
        <v>671</v>
      </c>
      <c r="O110" s="24" t="s">
        <v>42</v>
      </c>
      <c r="P110" s="16" t="s">
        <v>43</v>
      </c>
      <c r="Q110" s="32">
        <v>57892523.584349997</v>
      </c>
      <c r="R110"/>
      <c r="S110"/>
    </row>
    <row r="111" spans="3:19" x14ac:dyDescent="0.25">
      <c r="C111" s="24" t="s">
        <v>567</v>
      </c>
      <c r="D111" s="24" t="s">
        <v>568</v>
      </c>
      <c r="E111" s="24" t="s">
        <v>568</v>
      </c>
      <c r="F111" s="25">
        <v>5</v>
      </c>
      <c r="G111" s="24" t="s">
        <v>376</v>
      </c>
      <c r="H111" s="24" t="s">
        <v>46</v>
      </c>
      <c r="I111" s="24" t="s">
        <v>1046</v>
      </c>
      <c r="J111" s="24" t="s">
        <v>331</v>
      </c>
      <c r="K111" s="24" t="s">
        <v>138</v>
      </c>
      <c r="L111" s="24" t="s">
        <v>40</v>
      </c>
      <c r="M111" s="3" t="s">
        <v>984</v>
      </c>
      <c r="N111" s="24" t="s">
        <v>567</v>
      </c>
      <c r="O111" s="24" t="s">
        <v>42</v>
      </c>
      <c r="P111" s="16" t="s">
        <v>43</v>
      </c>
      <c r="Q111" s="32">
        <v>49879424.27579999</v>
      </c>
      <c r="R111"/>
      <c r="S111"/>
    </row>
    <row r="112" spans="3:19" x14ac:dyDescent="0.25">
      <c r="C112" s="24" t="s">
        <v>435</v>
      </c>
      <c r="D112" s="24" t="s">
        <v>436</v>
      </c>
      <c r="E112" s="24" t="s">
        <v>436</v>
      </c>
      <c r="F112" s="25">
        <v>5</v>
      </c>
      <c r="G112" s="24" t="s">
        <v>376</v>
      </c>
      <c r="H112" s="24" t="s">
        <v>46</v>
      </c>
      <c r="I112" s="24" t="s">
        <v>1046</v>
      </c>
      <c r="J112" s="24" t="s">
        <v>94</v>
      </c>
      <c r="K112" s="24" t="s">
        <v>64</v>
      </c>
      <c r="L112" s="24" t="s">
        <v>40</v>
      </c>
      <c r="M112" s="24" t="s">
        <v>1035</v>
      </c>
      <c r="N112" s="24" t="s">
        <v>435</v>
      </c>
      <c r="O112" s="24" t="s">
        <v>42</v>
      </c>
      <c r="P112" s="16" t="s">
        <v>43</v>
      </c>
      <c r="Q112" s="32">
        <v>60248841.714249991</v>
      </c>
      <c r="R112"/>
      <c r="S112"/>
    </row>
    <row r="113" spans="3:19" x14ac:dyDescent="0.25">
      <c r="C113" s="24" t="s">
        <v>865</v>
      </c>
      <c r="D113" s="24" t="s">
        <v>866</v>
      </c>
      <c r="E113" s="24" t="s">
        <v>866</v>
      </c>
      <c r="F113" s="25">
        <v>6</v>
      </c>
      <c r="G113" s="24" t="s">
        <v>376</v>
      </c>
      <c r="H113" s="24" t="s">
        <v>46</v>
      </c>
      <c r="I113" s="24" t="s">
        <v>1046</v>
      </c>
      <c r="J113" s="24" t="s">
        <v>132</v>
      </c>
      <c r="K113" s="24" t="s">
        <v>856</v>
      </c>
      <c r="L113" s="24" t="s">
        <v>40</v>
      </c>
      <c r="M113" s="24" t="s">
        <v>1035</v>
      </c>
      <c r="N113" s="24" t="s">
        <v>865</v>
      </c>
      <c r="O113" s="24" t="s">
        <v>42</v>
      </c>
      <c r="P113" s="16" t="s">
        <v>43</v>
      </c>
      <c r="Q113" s="32">
        <v>69541441.079249993</v>
      </c>
      <c r="R113"/>
      <c r="S113"/>
    </row>
    <row r="114" spans="3:19" x14ac:dyDescent="0.25">
      <c r="C114" s="24" t="s">
        <v>486</v>
      </c>
      <c r="D114" s="24" t="s">
        <v>487</v>
      </c>
      <c r="E114" s="24" t="s">
        <v>487</v>
      </c>
      <c r="F114" s="25">
        <v>5</v>
      </c>
      <c r="G114" s="24" t="s">
        <v>376</v>
      </c>
      <c r="H114" s="24" t="s">
        <v>46</v>
      </c>
      <c r="I114" s="24" t="s">
        <v>1046</v>
      </c>
      <c r="J114" s="24" t="s">
        <v>466</v>
      </c>
      <c r="K114" s="24" t="s">
        <v>51</v>
      </c>
      <c r="L114" s="24" t="s">
        <v>40</v>
      </c>
      <c r="M114" s="24" t="s">
        <v>1035</v>
      </c>
      <c r="N114" s="24" t="s">
        <v>486</v>
      </c>
      <c r="O114" s="24" t="s">
        <v>42</v>
      </c>
      <c r="P114" s="16" t="s">
        <v>43</v>
      </c>
      <c r="Q114" s="32">
        <v>49571191.039999992</v>
      </c>
      <c r="R114"/>
      <c r="S114"/>
    </row>
    <row r="115" spans="3:19" x14ac:dyDescent="0.25">
      <c r="C115" s="24" t="s">
        <v>673</v>
      </c>
      <c r="D115" s="24" t="s">
        <v>674</v>
      </c>
      <c r="E115" s="24" t="s">
        <v>674</v>
      </c>
      <c r="F115" s="25">
        <v>5.45</v>
      </c>
      <c r="G115" s="24" t="s">
        <v>376</v>
      </c>
      <c r="H115" s="24" t="s">
        <v>46</v>
      </c>
      <c r="I115" s="24" t="s">
        <v>1046</v>
      </c>
      <c r="J115" s="24" t="s">
        <v>248</v>
      </c>
      <c r="K115" s="24" t="s">
        <v>51</v>
      </c>
      <c r="L115" s="24" t="s">
        <v>40</v>
      </c>
      <c r="M115" s="3" t="s">
        <v>984</v>
      </c>
      <c r="N115" s="24" t="s">
        <v>673</v>
      </c>
      <c r="O115" s="24" t="s">
        <v>42</v>
      </c>
      <c r="P115" s="16" t="s">
        <v>43</v>
      </c>
      <c r="Q115" s="32">
        <v>43915500.939999998</v>
      </c>
      <c r="R115"/>
      <c r="S115"/>
    </row>
    <row r="116" spans="3:19" x14ac:dyDescent="0.25">
      <c r="C116" s="24" t="s">
        <v>569</v>
      </c>
      <c r="D116" s="24" t="s">
        <v>570</v>
      </c>
      <c r="E116" s="24" t="s">
        <v>570</v>
      </c>
      <c r="F116" s="25">
        <v>5.45</v>
      </c>
      <c r="G116" s="24" t="s">
        <v>376</v>
      </c>
      <c r="H116" s="24" t="s">
        <v>46</v>
      </c>
      <c r="I116" s="24" t="s">
        <v>1046</v>
      </c>
      <c r="J116" s="24" t="s">
        <v>331</v>
      </c>
      <c r="K116" s="24" t="s">
        <v>138</v>
      </c>
      <c r="L116" s="24" t="s">
        <v>40</v>
      </c>
      <c r="M116" s="3" t="s">
        <v>984</v>
      </c>
      <c r="N116" s="24" t="s">
        <v>569</v>
      </c>
      <c r="O116" s="24" t="s">
        <v>42</v>
      </c>
      <c r="P116" s="16" t="s">
        <v>43</v>
      </c>
      <c r="Q116" s="32">
        <v>61200981.247699991</v>
      </c>
      <c r="R116"/>
      <c r="S116"/>
    </row>
    <row r="117" spans="3:19" x14ac:dyDescent="0.25">
      <c r="C117" s="24" t="s">
        <v>750</v>
      </c>
      <c r="D117" s="24" t="s">
        <v>751</v>
      </c>
      <c r="E117" s="24" t="s">
        <v>751</v>
      </c>
      <c r="F117" s="25">
        <v>5</v>
      </c>
      <c r="G117" s="24" t="s">
        <v>376</v>
      </c>
      <c r="H117" s="24" t="s">
        <v>46</v>
      </c>
      <c r="I117" s="24" t="s">
        <v>1031</v>
      </c>
      <c r="J117" s="24" t="s">
        <v>1048</v>
      </c>
      <c r="K117" s="24" t="s">
        <v>54</v>
      </c>
      <c r="L117" s="24" t="s">
        <v>55</v>
      </c>
      <c r="M117" s="3" t="s">
        <v>378</v>
      </c>
      <c r="N117" s="24" t="s">
        <v>750</v>
      </c>
      <c r="O117" s="24" t="s">
        <v>42</v>
      </c>
      <c r="P117" s="16" t="s">
        <v>43</v>
      </c>
      <c r="Q117" s="32">
        <v>44025994.040699996</v>
      </c>
      <c r="R117"/>
      <c r="S117"/>
    </row>
    <row r="118" spans="3:19" x14ac:dyDescent="0.25">
      <c r="C118" s="24" t="s">
        <v>488</v>
      </c>
      <c r="D118" s="24" t="s">
        <v>489</v>
      </c>
      <c r="E118" s="24" t="s">
        <v>490</v>
      </c>
      <c r="F118" s="25">
        <v>5</v>
      </c>
      <c r="G118" s="24" t="s">
        <v>376</v>
      </c>
      <c r="H118" s="24" t="s">
        <v>46</v>
      </c>
      <c r="I118" s="24" t="s">
        <v>1046</v>
      </c>
      <c r="J118" s="24" t="s">
        <v>466</v>
      </c>
      <c r="K118" s="24" t="s">
        <v>51</v>
      </c>
      <c r="L118" s="24" t="s">
        <v>40</v>
      </c>
      <c r="M118" s="24" t="s">
        <v>1035</v>
      </c>
      <c r="N118" s="24" t="s">
        <v>488</v>
      </c>
      <c r="O118" s="24" t="s">
        <v>42</v>
      </c>
      <c r="P118" s="16" t="s">
        <v>43</v>
      </c>
      <c r="Q118" s="32">
        <v>46882581.597949997</v>
      </c>
      <c r="R118"/>
      <c r="S118"/>
    </row>
    <row r="119" spans="3:19" x14ac:dyDescent="0.25">
      <c r="C119" s="24" t="s">
        <v>952</v>
      </c>
      <c r="D119" s="24" t="s">
        <v>953</v>
      </c>
      <c r="E119" s="24" t="s">
        <v>953</v>
      </c>
      <c r="F119" s="25">
        <v>5.45</v>
      </c>
      <c r="G119" s="24" t="s">
        <v>376</v>
      </c>
      <c r="H119" s="24" t="s">
        <v>46</v>
      </c>
      <c r="I119" s="24" t="s">
        <v>1046</v>
      </c>
      <c r="J119" s="24" t="s">
        <v>160</v>
      </c>
      <c r="K119" s="24" t="s">
        <v>371</v>
      </c>
      <c r="L119" s="24" t="s">
        <v>40</v>
      </c>
      <c r="M119" s="3" t="s">
        <v>984</v>
      </c>
      <c r="N119" s="24" t="s">
        <v>952</v>
      </c>
      <c r="O119" s="24" t="s">
        <v>42</v>
      </c>
      <c r="P119" s="16" t="s">
        <v>43</v>
      </c>
      <c r="Q119" s="32">
        <v>57454102.748111464</v>
      </c>
      <c r="R119"/>
      <c r="S119"/>
    </row>
    <row r="120" spans="3:19" x14ac:dyDescent="0.25">
      <c r="C120" s="24" t="s">
        <v>675</v>
      </c>
      <c r="D120" s="24" t="s">
        <v>676</v>
      </c>
      <c r="E120" s="24" t="s">
        <v>676</v>
      </c>
      <c r="F120" s="25">
        <v>5</v>
      </c>
      <c r="G120" s="24" t="s">
        <v>376</v>
      </c>
      <c r="H120" s="24" t="s">
        <v>81</v>
      </c>
      <c r="I120" s="24" t="s">
        <v>1046</v>
      </c>
      <c r="J120" s="24" t="s">
        <v>248</v>
      </c>
      <c r="K120" s="24" t="s">
        <v>51</v>
      </c>
      <c r="L120" s="24" t="s">
        <v>40</v>
      </c>
      <c r="M120" s="3" t="s">
        <v>984</v>
      </c>
      <c r="N120" s="24" t="s">
        <v>675</v>
      </c>
      <c r="O120" s="24" t="s">
        <v>42</v>
      </c>
      <c r="P120" s="16" t="s">
        <v>43</v>
      </c>
      <c r="Q120" s="32">
        <v>46671523.591699988</v>
      </c>
      <c r="R120"/>
      <c r="S120"/>
    </row>
    <row r="121" spans="3:19" x14ac:dyDescent="0.25">
      <c r="C121" s="24" t="s">
        <v>780</v>
      </c>
      <c r="D121" s="24" t="s">
        <v>781</v>
      </c>
      <c r="E121" s="24" t="s">
        <v>781</v>
      </c>
      <c r="F121" s="25">
        <v>5.45</v>
      </c>
      <c r="G121" s="24" t="s">
        <v>376</v>
      </c>
      <c r="H121" s="24" t="s">
        <v>46</v>
      </c>
      <c r="I121" s="24" t="s">
        <v>1031</v>
      </c>
      <c r="J121" s="24" t="s">
        <v>89</v>
      </c>
      <c r="K121" s="24" t="s">
        <v>109</v>
      </c>
      <c r="L121" s="24" t="s">
        <v>91</v>
      </c>
      <c r="M121" s="3" t="s">
        <v>378</v>
      </c>
      <c r="N121" s="24" t="s">
        <v>780</v>
      </c>
      <c r="O121" s="24" t="s">
        <v>42</v>
      </c>
      <c r="P121" s="16" t="s">
        <v>43</v>
      </c>
      <c r="Q121" s="32">
        <v>45663200.766049996</v>
      </c>
      <c r="R121"/>
      <c r="S121"/>
    </row>
    <row r="122" spans="3:19" x14ac:dyDescent="0.25">
      <c r="C122" s="24" t="s">
        <v>628</v>
      </c>
      <c r="D122" s="24" t="s">
        <v>996</v>
      </c>
      <c r="E122" s="24" t="s">
        <v>630</v>
      </c>
      <c r="F122" s="25">
        <v>5</v>
      </c>
      <c r="G122" s="24" t="s">
        <v>987</v>
      </c>
      <c r="H122" s="24" t="s">
        <v>46</v>
      </c>
      <c r="I122" s="24" t="s">
        <v>1046</v>
      </c>
      <c r="J122" s="24" t="s">
        <v>50</v>
      </c>
      <c r="K122" s="24" t="s">
        <v>64</v>
      </c>
      <c r="L122" s="24" t="s">
        <v>40</v>
      </c>
      <c r="M122" s="3" t="s">
        <v>984</v>
      </c>
      <c r="N122" s="24" t="s">
        <v>628</v>
      </c>
      <c r="O122" s="24" t="s">
        <v>42</v>
      </c>
      <c r="P122" s="16" t="s">
        <v>43</v>
      </c>
      <c r="Q122" s="32">
        <v>29236982.826099996</v>
      </c>
      <c r="R122"/>
      <c r="S122"/>
    </row>
    <row r="123" spans="3:19" x14ac:dyDescent="0.25">
      <c r="C123" s="24" t="s">
        <v>408</v>
      </c>
      <c r="D123" s="24" t="s">
        <v>409</v>
      </c>
      <c r="E123" s="24" t="s">
        <v>410</v>
      </c>
      <c r="F123" s="25">
        <v>5</v>
      </c>
      <c r="G123" s="24" t="s">
        <v>376</v>
      </c>
      <c r="H123" s="24" t="s">
        <v>46</v>
      </c>
      <c r="I123" s="24" t="s">
        <v>1031</v>
      </c>
      <c r="J123" s="24" t="s">
        <v>63</v>
      </c>
      <c r="K123" s="24" t="s">
        <v>138</v>
      </c>
      <c r="L123" s="24" t="s">
        <v>40</v>
      </c>
      <c r="M123" s="3" t="s">
        <v>378</v>
      </c>
      <c r="N123" s="24" t="s">
        <v>408</v>
      </c>
      <c r="O123" s="24" t="s">
        <v>42</v>
      </c>
      <c r="P123" s="16" t="s">
        <v>43</v>
      </c>
      <c r="Q123" s="32">
        <v>52498178.223704986</v>
      </c>
      <c r="R123"/>
      <c r="S123"/>
    </row>
    <row r="124" spans="3:19" x14ac:dyDescent="0.25">
      <c r="C124" s="24" t="s">
        <v>677</v>
      </c>
      <c r="D124" s="24" t="s">
        <v>678</v>
      </c>
      <c r="E124" s="24" t="s">
        <v>679</v>
      </c>
      <c r="F124" s="25">
        <v>5</v>
      </c>
      <c r="G124" s="24" t="s">
        <v>376</v>
      </c>
      <c r="H124" s="24" t="s">
        <v>46</v>
      </c>
      <c r="I124" s="24" t="s">
        <v>1046</v>
      </c>
      <c r="J124" s="24" t="s">
        <v>248</v>
      </c>
      <c r="K124" s="24" t="s">
        <v>51</v>
      </c>
      <c r="L124" s="24" t="s">
        <v>40</v>
      </c>
      <c r="M124" s="3" t="s">
        <v>984</v>
      </c>
      <c r="N124" s="24" t="s">
        <v>677</v>
      </c>
      <c r="O124" s="24" t="s">
        <v>42</v>
      </c>
      <c r="P124" s="16" t="s">
        <v>43</v>
      </c>
      <c r="Q124" s="32">
        <v>50905327.358199999</v>
      </c>
      <c r="R124"/>
      <c r="S124"/>
    </row>
    <row r="125" spans="3:19" x14ac:dyDescent="0.25">
      <c r="C125" s="24" t="s">
        <v>571</v>
      </c>
      <c r="D125" s="24" t="s">
        <v>572</v>
      </c>
      <c r="E125" s="24" t="s">
        <v>572</v>
      </c>
      <c r="F125" s="25">
        <v>6</v>
      </c>
      <c r="G125" s="24" t="s">
        <v>376</v>
      </c>
      <c r="H125" s="24" t="s">
        <v>46</v>
      </c>
      <c r="I125" s="24" t="s">
        <v>1046</v>
      </c>
      <c r="J125" s="24" t="s">
        <v>331</v>
      </c>
      <c r="K125" s="24" t="s">
        <v>138</v>
      </c>
      <c r="L125" s="24" t="s">
        <v>40</v>
      </c>
      <c r="M125" s="3" t="s">
        <v>984</v>
      </c>
      <c r="N125" s="24" t="s">
        <v>571</v>
      </c>
      <c r="O125" s="24" t="s">
        <v>42</v>
      </c>
      <c r="P125" s="16" t="s">
        <v>43</v>
      </c>
      <c r="Q125" s="32">
        <v>71727358.890788868</v>
      </c>
      <c r="R125"/>
      <c r="S125"/>
    </row>
    <row r="126" spans="3:19" x14ac:dyDescent="0.25">
      <c r="C126" s="24" t="s">
        <v>752</v>
      </c>
      <c r="D126" s="24" t="s">
        <v>753</v>
      </c>
      <c r="E126" s="24" t="s">
        <v>753</v>
      </c>
      <c r="F126" s="25">
        <v>8</v>
      </c>
      <c r="G126" s="24" t="s">
        <v>376</v>
      </c>
      <c r="H126" s="24" t="s">
        <v>46</v>
      </c>
      <c r="I126" s="24" t="s">
        <v>1031</v>
      </c>
      <c r="J126" s="24" t="s">
        <v>1048</v>
      </c>
      <c r="K126" s="24" t="s">
        <v>54</v>
      </c>
      <c r="L126" s="24" t="s">
        <v>55</v>
      </c>
      <c r="M126" s="3" t="s">
        <v>378</v>
      </c>
      <c r="N126" s="24" t="s">
        <v>752</v>
      </c>
      <c r="O126" s="24" t="s">
        <v>379</v>
      </c>
      <c r="P126" s="16" t="s">
        <v>43</v>
      </c>
      <c r="Q126" s="32">
        <v>65935202.404399998</v>
      </c>
      <c r="R126"/>
      <c r="S126"/>
    </row>
    <row r="127" spans="3:19" x14ac:dyDescent="0.25">
      <c r="C127" s="24" t="s">
        <v>680</v>
      </c>
      <c r="D127" s="24" t="s">
        <v>681</v>
      </c>
      <c r="E127" s="24" t="s">
        <v>682</v>
      </c>
      <c r="F127" s="25">
        <v>5</v>
      </c>
      <c r="G127" s="24" t="s">
        <v>376</v>
      </c>
      <c r="H127" s="24" t="s">
        <v>46</v>
      </c>
      <c r="I127" s="24" t="s">
        <v>1046</v>
      </c>
      <c r="J127" s="24" t="s">
        <v>248</v>
      </c>
      <c r="K127" s="24" t="s">
        <v>51</v>
      </c>
      <c r="L127" s="24" t="s">
        <v>40</v>
      </c>
      <c r="M127" s="3" t="s">
        <v>984</v>
      </c>
      <c r="N127" s="24" t="s">
        <v>680</v>
      </c>
      <c r="O127" s="24" t="s">
        <v>42</v>
      </c>
      <c r="P127" s="16" t="s">
        <v>440</v>
      </c>
      <c r="Q127" s="32">
        <v>36025896.980149999</v>
      </c>
      <c r="R127"/>
      <c r="S127"/>
    </row>
    <row r="128" spans="3:19" x14ac:dyDescent="0.25">
      <c r="C128" s="24" t="s">
        <v>954</v>
      </c>
      <c r="D128" s="24" t="s">
        <v>955</v>
      </c>
      <c r="E128" s="24" t="s">
        <v>956</v>
      </c>
      <c r="F128" s="25">
        <v>5</v>
      </c>
      <c r="G128" s="24" t="s">
        <v>376</v>
      </c>
      <c r="H128" s="24" t="s">
        <v>46</v>
      </c>
      <c r="I128" s="24" t="s">
        <v>1046</v>
      </c>
      <c r="J128" s="24" t="s">
        <v>160</v>
      </c>
      <c r="K128" s="24" t="s">
        <v>353</v>
      </c>
      <c r="L128" s="24" t="s">
        <v>40</v>
      </c>
      <c r="M128" s="3" t="s">
        <v>984</v>
      </c>
      <c r="N128" s="24" t="s">
        <v>954</v>
      </c>
      <c r="O128" s="24" t="s">
        <v>42</v>
      </c>
      <c r="P128" s="16" t="s">
        <v>440</v>
      </c>
      <c r="Q128" s="32">
        <v>40179722.858450003</v>
      </c>
      <c r="R128"/>
      <c r="S128"/>
    </row>
    <row r="129" spans="3:19" x14ac:dyDescent="0.25">
      <c r="C129" s="24" t="s">
        <v>68</v>
      </c>
      <c r="D129" s="24" t="s">
        <v>69</v>
      </c>
      <c r="E129" s="24" t="s">
        <v>70</v>
      </c>
      <c r="F129" s="25" t="s">
        <v>36</v>
      </c>
      <c r="G129" s="24" t="s">
        <v>37</v>
      </c>
      <c r="H129" s="24" t="s">
        <v>38</v>
      </c>
      <c r="I129" s="24" t="s">
        <v>1046</v>
      </c>
      <c r="J129" s="24" t="s">
        <v>58</v>
      </c>
      <c r="K129" s="24" t="s">
        <v>64</v>
      </c>
      <c r="L129" s="24" t="s">
        <v>40</v>
      </c>
      <c r="M129" s="24" t="s">
        <v>1035</v>
      </c>
      <c r="N129" s="24" t="s">
        <v>68</v>
      </c>
      <c r="O129" s="24" t="s">
        <v>42</v>
      </c>
      <c r="P129" s="16" t="s">
        <v>43</v>
      </c>
      <c r="Q129" s="32">
        <v>0</v>
      </c>
      <c r="R129"/>
      <c r="S129"/>
    </row>
    <row r="130" spans="3:19" x14ac:dyDescent="0.25">
      <c r="C130" s="24" t="s">
        <v>867</v>
      </c>
      <c r="D130" s="24" t="s">
        <v>997</v>
      </c>
      <c r="E130" s="24" t="s">
        <v>869</v>
      </c>
      <c r="F130" s="25">
        <v>5</v>
      </c>
      <c r="G130" s="24" t="s">
        <v>376</v>
      </c>
      <c r="H130" s="24" t="s">
        <v>46</v>
      </c>
      <c r="I130" s="24" t="s">
        <v>1046</v>
      </c>
      <c r="J130" s="24" t="s">
        <v>132</v>
      </c>
      <c r="K130" s="24" t="s">
        <v>856</v>
      </c>
      <c r="L130" s="24" t="s">
        <v>40</v>
      </c>
      <c r="M130" s="24" t="s">
        <v>1035</v>
      </c>
      <c r="N130" s="24" t="s">
        <v>867</v>
      </c>
      <c r="O130" s="24" t="s">
        <v>42</v>
      </c>
      <c r="P130" s="16" t="s">
        <v>440</v>
      </c>
      <c r="Q130" s="32">
        <v>45633411.314049989</v>
      </c>
      <c r="R130"/>
      <c r="S130"/>
    </row>
    <row r="131" spans="3:19" x14ac:dyDescent="0.25">
      <c r="C131" s="24" t="s">
        <v>71</v>
      </c>
      <c r="D131" s="24" t="s">
        <v>72</v>
      </c>
      <c r="E131" s="24" t="s">
        <v>72</v>
      </c>
      <c r="F131" s="25">
        <v>0</v>
      </c>
      <c r="G131" s="24" t="s">
        <v>37</v>
      </c>
      <c r="H131" s="24" t="s">
        <v>46</v>
      </c>
      <c r="I131" s="24" t="s">
        <v>1046</v>
      </c>
      <c r="J131" s="24" t="s">
        <v>73</v>
      </c>
      <c r="K131" s="24" t="s">
        <v>74</v>
      </c>
      <c r="L131" s="24" t="s">
        <v>40</v>
      </c>
      <c r="M131" s="3" t="s">
        <v>378</v>
      </c>
      <c r="N131" s="24" t="s">
        <v>71</v>
      </c>
      <c r="O131" s="24" t="s">
        <v>42</v>
      </c>
      <c r="P131" s="16" t="s">
        <v>43</v>
      </c>
      <c r="Q131" s="32">
        <v>0</v>
      </c>
      <c r="R131"/>
      <c r="S131"/>
    </row>
    <row r="132" spans="3:19" x14ac:dyDescent="0.25">
      <c r="C132" s="24" t="s">
        <v>802</v>
      </c>
      <c r="D132" s="24" t="s">
        <v>803</v>
      </c>
      <c r="E132" s="24" t="s">
        <v>803</v>
      </c>
      <c r="F132" s="25">
        <v>6</v>
      </c>
      <c r="G132" s="24" t="s">
        <v>376</v>
      </c>
      <c r="H132" s="24" t="s">
        <v>46</v>
      </c>
      <c r="I132" s="24" t="s">
        <v>1046</v>
      </c>
      <c r="J132" s="24" t="s">
        <v>146</v>
      </c>
      <c r="K132" s="24" t="s">
        <v>59</v>
      </c>
      <c r="L132" s="24" t="s">
        <v>40</v>
      </c>
      <c r="M132" s="24" t="s">
        <v>1035</v>
      </c>
      <c r="N132" s="24" t="s">
        <v>802</v>
      </c>
      <c r="O132" s="24" t="s">
        <v>42</v>
      </c>
      <c r="P132" s="16" t="s">
        <v>43</v>
      </c>
      <c r="Q132" s="32">
        <v>61509329.800099999</v>
      </c>
      <c r="R132"/>
      <c r="S132"/>
    </row>
    <row r="133" spans="3:19" x14ac:dyDescent="0.25">
      <c r="C133" s="24" t="s">
        <v>957</v>
      </c>
      <c r="D133" s="24" t="s">
        <v>959</v>
      </c>
      <c r="E133" s="24" t="s">
        <v>998</v>
      </c>
      <c r="F133" s="25">
        <v>5</v>
      </c>
      <c r="G133" s="24" t="s">
        <v>376</v>
      </c>
      <c r="H133" s="24" t="s">
        <v>46</v>
      </c>
      <c r="I133" s="24" t="s">
        <v>1046</v>
      </c>
      <c r="J133" s="24" t="s">
        <v>160</v>
      </c>
      <c r="K133" s="24" t="s">
        <v>39</v>
      </c>
      <c r="L133" s="24" t="s">
        <v>40</v>
      </c>
      <c r="M133" s="3" t="s">
        <v>984</v>
      </c>
      <c r="N133" s="24" t="s">
        <v>957</v>
      </c>
      <c r="O133" s="24" t="s">
        <v>42</v>
      </c>
      <c r="P133" s="16" t="s">
        <v>43</v>
      </c>
      <c r="Q133" s="32">
        <v>68044477.320050001</v>
      </c>
      <c r="R133"/>
      <c r="S133"/>
    </row>
    <row r="134" spans="3:19" x14ac:dyDescent="0.25">
      <c r="C134" s="24" t="s">
        <v>75</v>
      </c>
      <c r="D134" s="24" t="s">
        <v>76</v>
      </c>
      <c r="E134" s="24" t="s">
        <v>77</v>
      </c>
      <c r="F134" s="25" t="s">
        <v>36</v>
      </c>
      <c r="G134" s="24" t="s">
        <v>37</v>
      </c>
      <c r="H134" s="24" t="s">
        <v>38</v>
      </c>
      <c r="I134" s="24" t="s">
        <v>1046</v>
      </c>
      <c r="J134" s="24">
        <v>0</v>
      </c>
      <c r="K134" s="24" t="s">
        <v>78</v>
      </c>
      <c r="L134" s="24" t="s">
        <v>40</v>
      </c>
      <c r="M134" s="24" t="s">
        <v>1053</v>
      </c>
      <c r="N134" s="24" t="s">
        <v>75</v>
      </c>
      <c r="O134" s="24" t="s">
        <v>42</v>
      </c>
      <c r="P134" s="16" t="s">
        <v>43</v>
      </c>
      <c r="Q134" s="32">
        <v>0</v>
      </c>
      <c r="R134"/>
      <c r="S134"/>
    </row>
    <row r="135" spans="3:19" x14ac:dyDescent="0.25">
      <c r="C135" s="24" t="s">
        <v>491</v>
      </c>
      <c r="D135" s="24" t="s">
        <v>493</v>
      </c>
      <c r="E135" s="24" t="s">
        <v>493</v>
      </c>
      <c r="F135" s="25">
        <v>5</v>
      </c>
      <c r="G135" s="24" t="s">
        <v>376</v>
      </c>
      <c r="H135" s="24" t="s">
        <v>46</v>
      </c>
      <c r="I135" s="24" t="s">
        <v>1046</v>
      </c>
      <c r="J135" s="24" t="s">
        <v>466</v>
      </c>
      <c r="K135" s="24" t="s">
        <v>51</v>
      </c>
      <c r="L135" s="24" t="s">
        <v>40</v>
      </c>
      <c r="M135" s="24" t="s">
        <v>1035</v>
      </c>
      <c r="N135" s="24" t="s">
        <v>491</v>
      </c>
      <c r="O135" s="24" t="s">
        <v>42</v>
      </c>
      <c r="P135" s="16" t="s">
        <v>43</v>
      </c>
      <c r="Q135" s="32">
        <v>34373026.383149996</v>
      </c>
      <c r="R135"/>
      <c r="S135"/>
    </row>
    <row r="136" spans="3:19" x14ac:dyDescent="0.25">
      <c r="C136" s="24" t="s">
        <v>494</v>
      </c>
      <c r="D136" s="24" t="s">
        <v>496</v>
      </c>
      <c r="E136" s="24" t="s">
        <v>496</v>
      </c>
      <c r="F136" s="25">
        <v>5</v>
      </c>
      <c r="G136" s="24" t="s">
        <v>376</v>
      </c>
      <c r="H136" s="24" t="s">
        <v>46</v>
      </c>
      <c r="I136" s="24" t="s">
        <v>1046</v>
      </c>
      <c r="J136" s="24" t="s">
        <v>466</v>
      </c>
      <c r="K136" s="24" t="s">
        <v>51</v>
      </c>
      <c r="L136" s="24" t="s">
        <v>40</v>
      </c>
      <c r="M136" s="24" t="s">
        <v>1035</v>
      </c>
      <c r="N136" s="24" t="s">
        <v>494</v>
      </c>
      <c r="O136" s="24" t="s">
        <v>42</v>
      </c>
      <c r="P136" s="16" t="s">
        <v>43</v>
      </c>
      <c r="Q136" s="32">
        <v>36826343.9551</v>
      </c>
      <c r="R136"/>
      <c r="S136"/>
    </row>
    <row r="137" spans="3:19" x14ac:dyDescent="0.25">
      <c r="C137" s="24" t="s">
        <v>542</v>
      </c>
      <c r="D137" s="24" t="s">
        <v>543</v>
      </c>
      <c r="E137" s="24" t="s">
        <v>543</v>
      </c>
      <c r="F137" s="25">
        <v>6</v>
      </c>
      <c r="G137" s="24" t="s">
        <v>376</v>
      </c>
      <c r="H137" s="24" t="s">
        <v>46</v>
      </c>
      <c r="I137" s="24" t="s">
        <v>1046</v>
      </c>
      <c r="J137" s="24" t="s">
        <v>100</v>
      </c>
      <c r="K137" s="24" t="s">
        <v>138</v>
      </c>
      <c r="L137" s="24" t="s">
        <v>40</v>
      </c>
      <c r="M137" s="24" t="s">
        <v>1035</v>
      </c>
      <c r="N137" s="24" t="s">
        <v>542</v>
      </c>
      <c r="O137" s="24" t="s">
        <v>42</v>
      </c>
      <c r="P137" s="16" t="s">
        <v>43</v>
      </c>
      <c r="Q137" s="32">
        <v>71676847.761050001</v>
      </c>
      <c r="R137"/>
      <c r="S137"/>
    </row>
    <row r="138" spans="3:19" x14ac:dyDescent="0.25">
      <c r="C138" s="24" t="s">
        <v>544</v>
      </c>
      <c r="D138" s="24" t="s">
        <v>545</v>
      </c>
      <c r="E138" s="24" t="s">
        <v>545</v>
      </c>
      <c r="F138" s="25">
        <v>5</v>
      </c>
      <c r="G138" s="24" t="s">
        <v>376</v>
      </c>
      <c r="H138" s="24" t="s">
        <v>46</v>
      </c>
      <c r="I138" s="24" t="s">
        <v>1046</v>
      </c>
      <c r="J138" s="24" t="s">
        <v>100</v>
      </c>
      <c r="K138" s="24" t="s">
        <v>138</v>
      </c>
      <c r="L138" s="24" t="s">
        <v>40</v>
      </c>
      <c r="M138" s="24" t="s">
        <v>1035</v>
      </c>
      <c r="N138" s="24" t="s">
        <v>544</v>
      </c>
      <c r="O138" s="24" t="s">
        <v>42</v>
      </c>
      <c r="P138" s="16" t="s">
        <v>43</v>
      </c>
      <c r="Q138" s="32">
        <v>50436133.142849997</v>
      </c>
      <c r="R138"/>
      <c r="S138"/>
    </row>
    <row r="139" spans="3:19" x14ac:dyDescent="0.25">
      <c r="C139" s="24" t="s">
        <v>810</v>
      </c>
      <c r="D139" s="24" t="s">
        <v>811</v>
      </c>
      <c r="E139" s="24" t="s">
        <v>811</v>
      </c>
      <c r="F139" s="25">
        <v>5</v>
      </c>
      <c r="G139" s="24" t="s">
        <v>376</v>
      </c>
      <c r="H139" s="24" t="s">
        <v>46</v>
      </c>
      <c r="I139" s="24" t="s">
        <v>1046</v>
      </c>
      <c r="J139" s="24" t="s">
        <v>146</v>
      </c>
      <c r="K139" s="24" t="s">
        <v>59</v>
      </c>
      <c r="L139" s="24" t="s">
        <v>40</v>
      </c>
      <c r="M139" s="24" t="s">
        <v>1035</v>
      </c>
      <c r="N139" s="24" t="s">
        <v>810</v>
      </c>
      <c r="O139" s="24" t="s">
        <v>42</v>
      </c>
      <c r="P139" s="16" t="s">
        <v>43</v>
      </c>
      <c r="Q139" s="32">
        <v>45525893.75249999</v>
      </c>
      <c r="R139"/>
      <c r="S139"/>
    </row>
    <row r="140" spans="3:19" x14ac:dyDescent="0.25">
      <c r="C140" s="24" t="s">
        <v>79</v>
      </c>
      <c r="D140" s="24" t="s">
        <v>80</v>
      </c>
      <c r="E140" s="24" t="s">
        <v>80</v>
      </c>
      <c r="F140" s="25" t="s">
        <v>36</v>
      </c>
      <c r="G140" s="24" t="s">
        <v>37</v>
      </c>
      <c r="H140" s="24" t="s">
        <v>81</v>
      </c>
      <c r="I140" s="24" t="s">
        <v>1046</v>
      </c>
      <c r="J140" s="24">
        <v>0</v>
      </c>
      <c r="K140" s="24" t="s">
        <v>59</v>
      </c>
      <c r="L140" s="24" t="s">
        <v>40</v>
      </c>
      <c r="M140" s="24" t="s">
        <v>1053</v>
      </c>
      <c r="N140" s="24" t="s">
        <v>79</v>
      </c>
      <c r="O140" s="24" t="s">
        <v>42</v>
      </c>
      <c r="P140" s="16" t="s">
        <v>43</v>
      </c>
      <c r="Q140" s="32">
        <v>0</v>
      </c>
      <c r="R140"/>
      <c r="S140"/>
    </row>
    <row r="141" spans="3:19" x14ac:dyDescent="0.25">
      <c r="C141" s="24" t="s">
        <v>870</v>
      </c>
      <c r="D141" s="24" t="s">
        <v>871</v>
      </c>
      <c r="E141" s="24" t="s">
        <v>871</v>
      </c>
      <c r="F141" s="25">
        <v>5</v>
      </c>
      <c r="G141" s="24" t="s">
        <v>376</v>
      </c>
      <c r="H141" s="24" t="s">
        <v>46</v>
      </c>
      <c r="I141" s="24" t="s">
        <v>1046</v>
      </c>
      <c r="J141" s="24" t="s">
        <v>132</v>
      </c>
      <c r="K141" s="24" t="s">
        <v>856</v>
      </c>
      <c r="L141" s="24" t="s">
        <v>40</v>
      </c>
      <c r="M141" s="24" t="s">
        <v>1035</v>
      </c>
      <c r="N141" s="24" t="s">
        <v>870</v>
      </c>
      <c r="O141" s="24" t="s">
        <v>42</v>
      </c>
      <c r="P141" s="16" t="s">
        <v>43</v>
      </c>
      <c r="Q141" s="32">
        <v>50749725.687499993</v>
      </c>
      <c r="R141"/>
      <c r="S141"/>
    </row>
    <row r="142" spans="3:19" x14ac:dyDescent="0.25">
      <c r="C142" s="24">
        <v>50096</v>
      </c>
      <c r="D142" s="24" t="s">
        <v>683</v>
      </c>
      <c r="E142" s="24" t="s">
        <v>684</v>
      </c>
      <c r="F142" s="25">
        <v>5</v>
      </c>
      <c r="G142" s="24" t="s">
        <v>376</v>
      </c>
      <c r="H142" s="24" t="s">
        <v>81</v>
      </c>
      <c r="I142" s="24" t="s">
        <v>1046</v>
      </c>
      <c r="J142" s="24" t="s">
        <v>248</v>
      </c>
      <c r="K142" s="24" t="s">
        <v>51</v>
      </c>
      <c r="L142" s="24" t="s">
        <v>40</v>
      </c>
      <c r="M142" s="3" t="s">
        <v>984</v>
      </c>
      <c r="N142" s="24">
        <v>50096</v>
      </c>
      <c r="O142" s="24" t="s">
        <v>42</v>
      </c>
      <c r="P142" s="16" t="s">
        <v>43</v>
      </c>
      <c r="Q142" s="32">
        <v>45181320.372300006</v>
      </c>
      <c r="R142"/>
      <c r="S142"/>
    </row>
    <row r="143" spans="3:19" x14ac:dyDescent="0.25">
      <c r="C143" s="24">
        <v>50724</v>
      </c>
      <c r="D143" s="24" t="s">
        <v>900</v>
      </c>
      <c r="E143" s="24" t="s">
        <v>900</v>
      </c>
      <c r="F143" s="25">
        <v>5</v>
      </c>
      <c r="G143" s="24" t="s">
        <v>376</v>
      </c>
      <c r="H143" s="24" t="s">
        <v>46</v>
      </c>
      <c r="I143" s="24" t="s">
        <v>1046</v>
      </c>
      <c r="J143" s="24" t="s">
        <v>73</v>
      </c>
      <c r="K143" s="24" t="s">
        <v>609</v>
      </c>
      <c r="L143" s="24" t="s">
        <v>40</v>
      </c>
      <c r="M143" s="3" t="s">
        <v>378</v>
      </c>
      <c r="N143" s="24">
        <v>50724</v>
      </c>
      <c r="O143" s="24" t="s">
        <v>42</v>
      </c>
      <c r="P143" s="16" t="s">
        <v>43</v>
      </c>
      <c r="Q143" s="32">
        <v>32614944.05435</v>
      </c>
      <c r="R143"/>
      <c r="S143"/>
    </row>
    <row r="144" spans="3:19" x14ac:dyDescent="0.25">
      <c r="C144" s="24">
        <v>50863</v>
      </c>
      <c r="D144" s="24" t="s">
        <v>901</v>
      </c>
      <c r="E144" s="24" t="s">
        <v>902</v>
      </c>
      <c r="F144" s="25">
        <v>5</v>
      </c>
      <c r="G144" s="24" t="s">
        <v>376</v>
      </c>
      <c r="H144" s="24" t="s">
        <v>81</v>
      </c>
      <c r="I144" s="24" t="s">
        <v>1046</v>
      </c>
      <c r="J144" s="24" t="s">
        <v>73</v>
      </c>
      <c r="K144" s="24" t="s">
        <v>364</v>
      </c>
      <c r="L144" s="24" t="s">
        <v>40</v>
      </c>
      <c r="M144" s="3" t="s">
        <v>378</v>
      </c>
      <c r="N144" s="24">
        <v>50863</v>
      </c>
      <c r="O144" s="24" t="s">
        <v>42</v>
      </c>
      <c r="P144" s="16" t="s">
        <v>43</v>
      </c>
      <c r="Q144" s="32">
        <v>52175442.973849989</v>
      </c>
      <c r="R144"/>
      <c r="S144"/>
    </row>
    <row r="145" spans="3:19" x14ac:dyDescent="0.25">
      <c r="C145" s="24" t="s">
        <v>82</v>
      </c>
      <c r="D145" s="24" t="s">
        <v>83</v>
      </c>
      <c r="E145" s="24" t="s">
        <v>83</v>
      </c>
      <c r="F145" s="25" t="s">
        <v>36</v>
      </c>
      <c r="G145" s="24" t="s">
        <v>37</v>
      </c>
      <c r="H145" s="24" t="s">
        <v>81</v>
      </c>
      <c r="I145" s="24" t="s">
        <v>1046</v>
      </c>
      <c r="J145" s="24" t="s">
        <v>1048</v>
      </c>
      <c r="K145" s="24" t="s">
        <v>85</v>
      </c>
      <c r="L145" s="24" t="s">
        <v>55</v>
      </c>
      <c r="M145" s="3" t="s">
        <v>378</v>
      </c>
      <c r="N145" s="24" t="s">
        <v>82</v>
      </c>
      <c r="O145" s="24" t="s">
        <v>42</v>
      </c>
      <c r="P145" s="16" t="s">
        <v>43</v>
      </c>
      <c r="Q145" s="32">
        <v>0</v>
      </c>
      <c r="R145"/>
      <c r="S145"/>
    </row>
    <row r="146" spans="3:19" x14ac:dyDescent="0.25">
      <c r="C146" s="24" t="s">
        <v>86</v>
      </c>
      <c r="D146" s="24" t="s">
        <v>87</v>
      </c>
      <c r="E146" s="24" t="s">
        <v>87</v>
      </c>
      <c r="F146" s="25" t="s">
        <v>36</v>
      </c>
      <c r="G146" s="24" t="s">
        <v>37</v>
      </c>
      <c r="H146" s="24" t="s">
        <v>88</v>
      </c>
      <c r="I146" s="24" t="s">
        <v>1046</v>
      </c>
      <c r="J146" s="24" t="s">
        <v>89</v>
      </c>
      <c r="K146" s="24" t="s">
        <v>90</v>
      </c>
      <c r="L146" s="24" t="s">
        <v>91</v>
      </c>
      <c r="M146" s="3" t="s">
        <v>378</v>
      </c>
      <c r="N146" s="24" t="s">
        <v>86</v>
      </c>
      <c r="O146" s="24" t="s">
        <v>42</v>
      </c>
      <c r="P146" s="16" t="s">
        <v>43</v>
      </c>
      <c r="Q146" s="32">
        <v>0</v>
      </c>
      <c r="R146"/>
      <c r="S146"/>
    </row>
    <row r="147" spans="3:19" x14ac:dyDescent="0.25">
      <c r="C147" s="24" t="s">
        <v>576</v>
      </c>
      <c r="D147" s="24" t="s">
        <v>577</v>
      </c>
      <c r="E147" s="24" t="s">
        <v>577</v>
      </c>
      <c r="F147" s="25">
        <v>5</v>
      </c>
      <c r="G147" s="24" t="s">
        <v>376</v>
      </c>
      <c r="H147" s="24" t="s">
        <v>46</v>
      </c>
      <c r="I147" s="24" t="s">
        <v>1046</v>
      </c>
      <c r="J147" s="24" t="s">
        <v>331</v>
      </c>
      <c r="K147" s="24" t="s">
        <v>138</v>
      </c>
      <c r="L147" s="24" t="s">
        <v>40</v>
      </c>
      <c r="M147" s="3" t="s">
        <v>984</v>
      </c>
      <c r="N147" s="24" t="s">
        <v>576</v>
      </c>
      <c r="O147" s="24" t="s">
        <v>42</v>
      </c>
      <c r="P147" s="16" t="s">
        <v>43</v>
      </c>
      <c r="Q147" s="32">
        <v>51513367.481099993</v>
      </c>
      <c r="R147"/>
      <c r="S147"/>
    </row>
    <row r="148" spans="3:19" x14ac:dyDescent="0.25">
      <c r="C148" s="24" t="s">
        <v>92</v>
      </c>
      <c r="D148" s="24" t="s">
        <v>93</v>
      </c>
      <c r="E148" s="24" t="s">
        <v>93</v>
      </c>
      <c r="F148" s="25" t="s">
        <v>36</v>
      </c>
      <c r="G148" s="24" t="s">
        <v>37</v>
      </c>
      <c r="H148" s="24" t="s">
        <v>81</v>
      </c>
      <c r="I148" s="24" t="s">
        <v>1046</v>
      </c>
      <c r="J148" s="24" t="s">
        <v>94</v>
      </c>
      <c r="K148" s="24" t="s">
        <v>64</v>
      </c>
      <c r="L148" s="24" t="s">
        <v>40</v>
      </c>
      <c r="M148" s="24" t="s">
        <v>1035</v>
      </c>
      <c r="N148" s="24" t="s">
        <v>92</v>
      </c>
      <c r="O148" s="24" t="s">
        <v>42</v>
      </c>
      <c r="P148" s="16" t="s">
        <v>43</v>
      </c>
      <c r="Q148" s="32">
        <v>0</v>
      </c>
      <c r="R148"/>
      <c r="S148"/>
    </row>
    <row r="149" spans="3:19" x14ac:dyDescent="0.25">
      <c r="C149" s="24" t="s">
        <v>782</v>
      </c>
      <c r="D149" s="24" t="s">
        <v>783</v>
      </c>
      <c r="E149" s="24" t="s">
        <v>783</v>
      </c>
      <c r="F149" s="25">
        <v>5</v>
      </c>
      <c r="G149" s="24" t="s">
        <v>376</v>
      </c>
      <c r="H149" s="24" t="s">
        <v>81</v>
      </c>
      <c r="I149" s="24" t="s">
        <v>1031</v>
      </c>
      <c r="J149" s="24" t="s">
        <v>89</v>
      </c>
      <c r="K149" s="24" t="s">
        <v>103</v>
      </c>
      <c r="L149" s="24" t="s">
        <v>104</v>
      </c>
      <c r="M149" s="3" t="s">
        <v>378</v>
      </c>
      <c r="N149" s="24" t="s">
        <v>782</v>
      </c>
      <c r="O149" s="24" t="s">
        <v>42</v>
      </c>
      <c r="P149" s="16" t="s">
        <v>43</v>
      </c>
      <c r="Q149" s="32">
        <v>33174056.640900005</v>
      </c>
      <c r="R149"/>
      <c r="S149"/>
    </row>
    <row r="150" spans="3:19" x14ac:dyDescent="0.25">
      <c r="C150" s="24" t="s">
        <v>95</v>
      </c>
      <c r="D150" s="24" t="s">
        <v>96</v>
      </c>
      <c r="E150" s="24" t="s">
        <v>96</v>
      </c>
      <c r="F150" s="25" t="s">
        <v>36</v>
      </c>
      <c r="G150" s="24" t="s">
        <v>37</v>
      </c>
      <c r="H150" s="24" t="s">
        <v>81</v>
      </c>
      <c r="I150" s="24" t="s">
        <v>1046</v>
      </c>
      <c r="J150" s="24">
        <v>0</v>
      </c>
      <c r="K150" s="24" t="s">
        <v>97</v>
      </c>
      <c r="L150" s="24" t="s">
        <v>40</v>
      </c>
      <c r="M150" s="24" t="s">
        <v>1053</v>
      </c>
      <c r="N150" s="24" t="s">
        <v>95</v>
      </c>
      <c r="O150" s="24" t="s">
        <v>42</v>
      </c>
      <c r="P150" s="16" t="s">
        <v>43</v>
      </c>
      <c r="Q150" s="32">
        <v>0</v>
      </c>
      <c r="R150"/>
      <c r="S150"/>
    </row>
    <row r="151" spans="3:19" x14ac:dyDescent="0.25">
      <c r="C151" s="24" t="s">
        <v>98</v>
      </c>
      <c r="D151" s="24" t="s">
        <v>99</v>
      </c>
      <c r="E151" s="24" t="s">
        <v>99</v>
      </c>
      <c r="F151" s="25" t="s">
        <v>36</v>
      </c>
      <c r="G151" s="24" t="s">
        <v>37</v>
      </c>
      <c r="H151" s="24" t="s">
        <v>81</v>
      </c>
      <c r="I151" s="24" t="s">
        <v>1046</v>
      </c>
      <c r="J151" s="24" t="s">
        <v>100</v>
      </c>
      <c r="K151" s="24" t="s">
        <v>59</v>
      </c>
      <c r="L151" s="24" t="s">
        <v>40</v>
      </c>
      <c r="M151" s="24" t="s">
        <v>1035</v>
      </c>
      <c r="N151" s="24" t="s">
        <v>98</v>
      </c>
      <c r="O151" s="24" t="s">
        <v>42</v>
      </c>
      <c r="P151" s="16" t="s">
        <v>43</v>
      </c>
      <c r="Q151" s="32">
        <v>0</v>
      </c>
      <c r="R151"/>
      <c r="S151"/>
    </row>
    <row r="152" spans="3:19" x14ac:dyDescent="0.25">
      <c r="C152" s="24" t="s">
        <v>712</v>
      </c>
      <c r="D152" s="24" t="s">
        <v>713</v>
      </c>
      <c r="E152" s="24" t="s">
        <v>713</v>
      </c>
      <c r="F152" s="25">
        <v>5</v>
      </c>
      <c r="G152" s="24" t="s">
        <v>376</v>
      </c>
      <c r="H152" s="24" t="s">
        <v>46</v>
      </c>
      <c r="I152" s="24" t="s">
        <v>1031</v>
      </c>
      <c r="J152" s="24" t="s">
        <v>84</v>
      </c>
      <c r="K152" s="24" t="s">
        <v>54</v>
      </c>
      <c r="L152" s="24" t="s">
        <v>55</v>
      </c>
      <c r="M152" s="3" t="s">
        <v>378</v>
      </c>
      <c r="N152" s="24" t="s">
        <v>712</v>
      </c>
      <c r="O152" s="24" t="s">
        <v>42</v>
      </c>
      <c r="P152" s="16" t="s">
        <v>43</v>
      </c>
      <c r="Q152" s="32">
        <v>33414952.665499993</v>
      </c>
      <c r="R152"/>
      <c r="S152"/>
    </row>
    <row r="153" spans="3:19" x14ac:dyDescent="0.25">
      <c r="C153" s="24" t="s">
        <v>101</v>
      </c>
      <c r="D153" s="24" t="s">
        <v>102</v>
      </c>
      <c r="E153" s="24" t="s">
        <v>102</v>
      </c>
      <c r="F153" s="25" t="s">
        <v>36</v>
      </c>
      <c r="G153" s="24" t="s">
        <v>37</v>
      </c>
      <c r="H153" s="24" t="s">
        <v>81</v>
      </c>
      <c r="I153" s="24" t="s">
        <v>1046</v>
      </c>
      <c r="J153" s="24" t="s">
        <v>73</v>
      </c>
      <c r="K153" s="24" t="s">
        <v>103</v>
      </c>
      <c r="L153" s="24" t="s">
        <v>104</v>
      </c>
      <c r="M153" s="3" t="s">
        <v>378</v>
      </c>
      <c r="N153" s="24" t="s">
        <v>101</v>
      </c>
      <c r="O153" s="24" t="s">
        <v>42</v>
      </c>
      <c r="P153" s="16" t="s">
        <v>43</v>
      </c>
      <c r="Q153" s="32">
        <v>0</v>
      </c>
      <c r="R153"/>
      <c r="S153"/>
    </row>
    <row r="154" spans="3:19" x14ac:dyDescent="0.25">
      <c r="C154" s="24" t="s">
        <v>105</v>
      </c>
      <c r="D154" s="24" t="s">
        <v>106</v>
      </c>
      <c r="E154" s="24" t="s">
        <v>106</v>
      </c>
      <c r="F154" s="25" t="s">
        <v>36</v>
      </c>
      <c r="G154" s="24" t="s">
        <v>37</v>
      </c>
      <c r="H154" s="24" t="s">
        <v>81</v>
      </c>
      <c r="I154" s="24" t="s">
        <v>1046</v>
      </c>
      <c r="J154" s="24" t="s">
        <v>100</v>
      </c>
      <c r="K154" s="24" t="s">
        <v>59</v>
      </c>
      <c r="L154" s="24" t="s">
        <v>40</v>
      </c>
      <c r="M154" s="24" t="s">
        <v>1035</v>
      </c>
      <c r="N154" s="24" t="s">
        <v>105</v>
      </c>
      <c r="O154" s="24" t="s">
        <v>42</v>
      </c>
      <c r="P154" s="16" t="s">
        <v>43</v>
      </c>
      <c r="Q154" s="32">
        <v>0</v>
      </c>
      <c r="R154"/>
      <c r="S154"/>
    </row>
    <row r="155" spans="3:19" x14ac:dyDescent="0.25">
      <c r="C155" s="24" t="s">
        <v>903</v>
      </c>
      <c r="D155" s="24" t="s">
        <v>904</v>
      </c>
      <c r="E155" s="24" t="s">
        <v>904</v>
      </c>
      <c r="F155" s="25">
        <v>5</v>
      </c>
      <c r="G155" s="24" t="s">
        <v>376</v>
      </c>
      <c r="H155" s="24" t="s">
        <v>46</v>
      </c>
      <c r="I155" s="24" t="s">
        <v>1046</v>
      </c>
      <c r="J155" s="24" t="s">
        <v>73</v>
      </c>
      <c r="K155" s="24" t="s">
        <v>47</v>
      </c>
      <c r="L155" s="24" t="s">
        <v>40</v>
      </c>
      <c r="M155" s="3" t="s">
        <v>378</v>
      </c>
      <c r="N155" s="24" t="s">
        <v>903</v>
      </c>
      <c r="O155" s="24" t="s">
        <v>42</v>
      </c>
      <c r="P155" s="16" t="s">
        <v>43</v>
      </c>
      <c r="Q155" s="32">
        <v>36681496.461399995</v>
      </c>
      <c r="R155"/>
      <c r="S155"/>
    </row>
    <row r="156" spans="3:19" x14ac:dyDescent="0.25">
      <c r="C156" s="24" t="s">
        <v>107</v>
      </c>
      <c r="D156" s="24" t="s">
        <v>108</v>
      </c>
      <c r="E156" s="24" t="s">
        <v>108</v>
      </c>
      <c r="F156" s="25" t="s">
        <v>36</v>
      </c>
      <c r="G156" s="24" t="s">
        <v>37</v>
      </c>
      <c r="H156" s="24" t="s">
        <v>81</v>
      </c>
      <c r="I156" s="24" t="s">
        <v>1046</v>
      </c>
      <c r="J156" s="24" t="s">
        <v>89</v>
      </c>
      <c r="K156" s="24" t="s">
        <v>109</v>
      </c>
      <c r="L156" s="24" t="s">
        <v>91</v>
      </c>
      <c r="M156" s="3" t="s">
        <v>378</v>
      </c>
      <c r="N156" s="24" t="s">
        <v>107</v>
      </c>
      <c r="O156" s="24" t="s">
        <v>42</v>
      </c>
      <c r="P156" s="16" t="s">
        <v>43</v>
      </c>
      <c r="Q156" s="32">
        <v>0</v>
      </c>
      <c r="R156"/>
      <c r="S156"/>
    </row>
    <row r="157" spans="3:19" x14ac:dyDescent="0.25">
      <c r="C157" s="24" t="s">
        <v>110</v>
      </c>
      <c r="D157" s="24" t="s">
        <v>111</v>
      </c>
      <c r="E157" s="24" t="s">
        <v>111</v>
      </c>
      <c r="F157" s="25" t="s">
        <v>36</v>
      </c>
      <c r="G157" s="24" t="s">
        <v>37</v>
      </c>
      <c r="H157" s="24" t="s">
        <v>81</v>
      </c>
      <c r="I157" s="24" t="s">
        <v>1046</v>
      </c>
      <c r="J157" s="24" t="s">
        <v>58</v>
      </c>
      <c r="K157" s="24" t="s">
        <v>59</v>
      </c>
      <c r="L157" s="24" t="s">
        <v>40</v>
      </c>
      <c r="M157" s="24" t="s">
        <v>1035</v>
      </c>
      <c r="N157" s="24" t="s">
        <v>110</v>
      </c>
      <c r="O157" s="24" t="s">
        <v>42</v>
      </c>
      <c r="P157" s="16" t="s">
        <v>43</v>
      </c>
      <c r="Q157" s="32">
        <v>0</v>
      </c>
      <c r="R157"/>
      <c r="S157"/>
    </row>
    <row r="158" spans="3:19" x14ac:dyDescent="0.25">
      <c r="C158" s="24" t="s">
        <v>112</v>
      </c>
      <c r="D158" s="24" t="s">
        <v>113</v>
      </c>
      <c r="E158" s="24" t="s">
        <v>114</v>
      </c>
      <c r="F158" s="25" t="s">
        <v>36</v>
      </c>
      <c r="G158" s="24" t="s">
        <v>37</v>
      </c>
      <c r="H158" s="24" t="s">
        <v>81</v>
      </c>
      <c r="I158" s="24" t="s">
        <v>1031</v>
      </c>
      <c r="J158" s="24" t="s">
        <v>73</v>
      </c>
      <c r="K158" s="24" t="s">
        <v>115</v>
      </c>
      <c r="L158" s="24" t="s">
        <v>116</v>
      </c>
      <c r="M158" s="3" t="s">
        <v>378</v>
      </c>
      <c r="N158" s="24" t="s">
        <v>112</v>
      </c>
      <c r="O158" s="24" t="s">
        <v>42</v>
      </c>
      <c r="P158" s="16" t="s">
        <v>43</v>
      </c>
      <c r="Q158" s="32">
        <v>0</v>
      </c>
      <c r="R158"/>
      <c r="S158"/>
    </row>
    <row r="159" spans="3:19" x14ac:dyDescent="0.25">
      <c r="C159" s="24" t="s">
        <v>905</v>
      </c>
      <c r="D159" s="24" t="s">
        <v>906</v>
      </c>
      <c r="E159" s="24" t="s">
        <v>906</v>
      </c>
      <c r="F159" s="25">
        <v>5</v>
      </c>
      <c r="G159" s="24" t="s">
        <v>376</v>
      </c>
      <c r="H159" s="24" t="s">
        <v>81</v>
      </c>
      <c r="I159" s="24" t="s">
        <v>1046</v>
      </c>
      <c r="J159" s="24" t="s">
        <v>73</v>
      </c>
      <c r="K159" s="24" t="s">
        <v>907</v>
      </c>
      <c r="L159" s="24" t="s">
        <v>40</v>
      </c>
      <c r="M159" s="3" t="s">
        <v>378</v>
      </c>
      <c r="N159" s="24" t="s">
        <v>905</v>
      </c>
      <c r="O159" s="24" t="s">
        <v>42</v>
      </c>
      <c r="P159" s="16" t="s">
        <v>43</v>
      </c>
      <c r="Q159" s="32">
        <v>40882336.154100001</v>
      </c>
      <c r="R159"/>
      <c r="S159"/>
    </row>
    <row r="160" spans="3:19" x14ac:dyDescent="0.25">
      <c r="C160" s="24" t="s">
        <v>685</v>
      </c>
      <c r="D160" s="24" t="s">
        <v>686</v>
      </c>
      <c r="E160" s="24" t="s">
        <v>686</v>
      </c>
      <c r="F160" s="25">
        <v>5</v>
      </c>
      <c r="G160" s="24" t="s">
        <v>376</v>
      </c>
      <c r="H160" s="24" t="s">
        <v>81</v>
      </c>
      <c r="I160" s="24" t="s">
        <v>1046</v>
      </c>
      <c r="J160" s="24" t="s">
        <v>248</v>
      </c>
      <c r="K160" s="24" t="s">
        <v>51</v>
      </c>
      <c r="L160" s="24" t="s">
        <v>40</v>
      </c>
      <c r="M160" s="3" t="s">
        <v>984</v>
      </c>
      <c r="N160" s="24" t="s">
        <v>685</v>
      </c>
      <c r="O160" s="24" t="s">
        <v>42</v>
      </c>
      <c r="P160" s="16" t="s">
        <v>43</v>
      </c>
      <c r="Q160" s="32">
        <v>26458371.188550003</v>
      </c>
      <c r="R160"/>
      <c r="S160"/>
    </row>
    <row r="161" spans="3:19" x14ac:dyDescent="0.25">
      <c r="C161" s="24" t="s">
        <v>960</v>
      </c>
      <c r="D161" s="24" t="s">
        <v>961</v>
      </c>
      <c r="E161" s="24" t="s">
        <v>961</v>
      </c>
      <c r="F161" s="25">
        <v>5</v>
      </c>
      <c r="G161" s="24" t="s">
        <v>376</v>
      </c>
      <c r="H161" s="24" t="s">
        <v>81</v>
      </c>
      <c r="I161" s="24" t="s">
        <v>1046</v>
      </c>
      <c r="J161" s="24" t="s">
        <v>160</v>
      </c>
      <c r="K161" s="24" t="s">
        <v>353</v>
      </c>
      <c r="L161" s="24" t="s">
        <v>40</v>
      </c>
      <c r="M161" s="3" t="s">
        <v>984</v>
      </c>
      <c r="N161" s="24" t="s">
        <v>960</v>
      </c>
      <c r="O161" s="24" t="s">
        <v>42</v>
      </c>
      <c r="P161" s="16" t="s">
        <v>43</v>
      </c>
      <c r="Q161" s="32">
        <v>46520980.984799996</v>
      </c>
      <c r="R161"/>
      <c r="S161"/>
    </row>
    <row r="162" spans="3:19" x14ac:dyDescent="0.25">
      <c r="C162" s="24" t="s">
        <v>754</v>
      </c>
      <c r="D162" s="24" t="s">
        <v>755</v>
      </c>
      <c r="E162" s="24" t="s">
        <v>755</v>
      </c>
      <c r="F162" s="25">
        <v>5</v>
      </c>
      <c r="G162" s="24" t="s">
        <v>376</v>
      </c>
      <c r="H162" s="24" t="s">
        <v>81</v>
      </c>
      <c r="I162" s="24" t="s">
        <v>1031</v>
      </c>
      <c r="J162" s="24" t="s">
        <v>1048</v>
      </c>
      <c r="K162" s="24" t="s">
        <v>279</v>
      </c>
      <c r="L162" s="24" t="s">
        <v>55</v>
      </c>
      <c r="M162" s="3" t="s">
        <v>378</v>
      </c>
      <c r="N162" s="24" t="s">
        <v>754</v>
      </c>
      <c r="O162" s="24" t="s">
        <v>42</v>
      </c>
      <c r="P162" s="16" t="s">
        <v>43</v>
      </c>
      <c r="Q162" s="32">
        <v>47226139.602599993</v>
      </c>
      <c r="R162"/>
      <c r="S162"/>
    </row>
    <row r="163" spans="3:19" x14ac:dyDescent="0.25">
      <c r="C163" s="24" t="s">
        <v>872</v>
      </c>
      <c r="D163" s="24" t="s">
        <v>873</v>
      </c>
      <c r="E163" s="24" t="s">
        <v>874</v>
      </c>
      <c r="F163" s="25">
        <v>5</v>
      </c>
      <c r="G163" s="24" t="s">
        <v>376</v>
      </c>
      <c r="H163" s="24" t="s">
        <v>81</v>
      </c>
      <c r="I163" s="24" t="s">
        <v>1046</v>
      </c>
      <c r="J163" s="24" t="s">
        <v>132</v>
      </c>
      <c r="K163" s="24" t="s">
        <v>138</v>
      </c>
      <c r="L163" s="24" t="s">
        <v>40</v>
      </c>
      <c r="M163" s="24" t="s">
        <v>1035</v>
      </c>
      <c r="N163" s="24" t="s">
        <v>872</v>
      </c>
      <c r="O163" s="24" t="s">
        <v>42</v>
      </c>
      <c r="P163" s="16" t="s">
        <v>43</v>
      </c>
      <c r="Q163" s="32">
        <v>37620799.489349991</v>
      </c>
      <c r="R163"/>
      <c r="S163"/>
    </row>
    <row r="164" spans="3:19" x14ac:dyDescent="0.25">
      <c r="C164" s="24" t="s">
        <v>117</v>
      </c>
      <c r="D164" s="24" t="s">
        <v>118</v>
      </c>
      <c r="E164" s="24" t="s">
        <v>118</v>
      </c>
      <c r="F164" s="25" t="s">
        <v>36</v>
      </c>
      <c r="G164" s="24" t="s">
        <v>37</v>
      </c>
      <c r="H164" s="24" t="s">
        <v>81</v>
      </c>
      <c r="I164" s="24" t="s">
        <v>1046</v>
      </c>
      <c r="J164" s="24">
        <v>0</v>
      </c>
      <c r="K164" s="24" t="s">
        <v>59</v>
      </c>
      <c r="L164" s="24" t="s">
        <v>40</v>
      </c>
      <c r="M164" s="24" t="s">
        <v>1053</v>
      </c>
      <c r="N164" s="24" t="s">
        <v>117</v>
      </c>
      <c r="O164" s="24" t="s">
        <v>42</v>
      </c>
      <c r="P164" s="16" t="s">
        <v>43</v>
      </c>
      <c r="Q164" s="32">
        <v>0</v>
      </c>
      <c r="R164"/>
      <c r="S164"/>
    </row>
    <row r="165" spans="3:19" x14ac:dyDescent="0.25">
      <c r="C165" s="24" t="s">
        <v>594</v>
      </c>
      <c r="D165" s="24" t="s">
        <v>595</v>
      </c>
      <c r="E165" s="24" t="s">
        <v>595</v>
      </c>
      <c r="F165" s="25">
        <v>5</v>
      </c>
      <c r="G165" s="24" t="s">
        <v>376</v>
      </c>
      <c r="H165" s="24" t="s">
        <v>81</v>
      </c>
      <c r="I165" s="24" t="s">
        <v>1046</v>
      </c>
      <c r="J165" s="24" t="s">
        <v>50</v>
      </c>
      <c r="K165" s="24" t="s">
        <v>596</v>
      </c>
      <c r="L165" s="24" t="s">
        <v>40</v>
      </c>
      <c r="M165" s="3" t="s">
        <v>984</v>
      </c>
      <c r="N165" s="24" t="s">
        <v>594</v>
      </c>
      <c r="O165" s="24" t="s">
        <v>42</v>
      </c>
      <c r="P165" s="16" t="s">
        <v>43</v>
      </c>
      <c r="Q165" s="32">
        <v>32501093.933699999</v>
      </c>
      <c r="R165"/>
      <c r="S165"/>
    </row>
    <row r="166" spans="3:19" x14ac:dyDescent="0.25">
      <c r="C166" s="24" t="s">
        <v>119</v>
      </c>
      <c r="D166" s="24" t="s">
        <v>120</v>
      </c>
      <c r="E166" s="24" t="s">
        <v>120</v>
      </c>
      <c r="F166" s="25" t="s">
        <v>36</v>
      </c>
      <c r="G166" s="24" t="s">
        <v>37</v>
      </c>
      <c r="H166" s="24" t="s">
        <v>81</v>
      </c>
      <c r="I166" s="24" t="s">
        <v>1046</v>
      </c>
      <c r="J166" s="24" t="s">
        <v>63</v>
      </c>
      <c r="K166" s="24" t="s">
        <v>64</v>
      </c>
      <c r="L166" s="24" t="s">
        <v>40</v>
      </c>
      <c r="M166" s="3" t="s">
        <v>378</v>
      </c>
      <c r="N166" s="24" t="s">
        <v>119</v>
      </c>
      <c r="O166" s="24" t="s">
        <v>42</v>
      </c>
      <c r="P166" s="16" t="s">
        <v>43</v>
      </c>
      <c r="Q166" s="32">
        <v>0</v>
      </c>
      <c r="R166"/>
      <c r="S166"/>
    </row>
    <row r="167" spans="3:19" x14ac:dyDescent="0.25">
      <c r="C167" s="24" t="s">
        <v>121</v>
      </c>
      <c r="D167" s="24" t="s">
        <v>122</v>
      </c>
      <c r="E167" s="24" t="s">
        <v>123</v>
      </c>
      <c r="F167" s="25" t="s">
        <v>36</v>
      </c>
      <c r="G167" s="24" t="s">
        <v>37</v>
      </c>
      <c r="H167" s="24" t="s">
        <v>81</v>
      </c>
      <c r="I167" s="24" t="s">
        <v>1046</v>
      </c>
      <c r="J167" s="24" t="s">
        <v>73</v>
      </c>
      <c r="K167" s="24" t="s">
        <v>122</v>
      </c>
      <c r="L167" s="24" t="s">
        <v>104</v>
      </c>
      <c r="M167" s="3" t="s">
        <v>378</v>
      </c>
      <c r="N167" s="24" t="s">
        <v>121</v>
      </c>
      <c r="O167" s="24" t="s">
        <v>42</v>
      </c>
      <c r="P167" s="16" t="s">
        <v>43</v>
      </c>
      <c r="Q167" s="32">
        <v>0</v>
      </c>
      <c r="R167"/>
      <c r="S167"/>
    </row>
    <row r="168" spans="3:19" x14ac:dyDescent="0.25">
      <c r="C168" s="24" t="s">
        <v>124</v>
      </c>
      <c r="D168" s="24" t="s">
        <v>125</v>
      </c>
      <c r="E168" s="24" t="s">
        <v>125</v>
      </c>
      <c r="F168" s="25" t="s">
        <v>36</v>
      </c>
      <c r="G168" s="24" t="s">
        <v>37</v>
      </c>
      <c r="H168" s="24" t="s">
        <v>81</v>
      </c>
      <c r="I168" s="24" t="s">
        <v>1046</v>
      </c>
      <c r="J168" s="24">
        <v>0</v>
      </c>
      <c r="K168" s="24" t="s">
        <v>51</v>
      </c>
      <c r="L168" s="24" t="s">
        <v>40</v>
      </c>
      <c r="M168" s="24" t="s">
        <v>1053</v>
      </c>
      <c r="N168" s="24" t="s">
        <v>124</v>
      </c>
      <c r="O168" s="24" t="s">
        <v>42</v>
      </c>
      <c r="P168" s="16" t="s">
        <v>43</v>
      </c>
      <c r="Q168" s="32">
        <v>0</v>
      </c>
      <c r="R168"/>
      <c r="S168"/>
    </row>
    <row r="169" spans="3:19" x14ac:dyDescent="0.25">
      <c r="C169" s="24" t="s">
        <v>126</v>
      </c>
      <c r="D169" s="24" t="s">
        <v>127</v>
      </c>
      <c r="E169" s="24" t="s">
        <v>128</v>
      </c>
      <c r="F169" s="25" t="s">
        <v>36</v>
      </c>
      <c r="G169" s="24" t="s">
        <v>37</v>
      </c>
      <c r="H169" s="24" t="s">
        <v>81</v>
      </c>
      <c r="I169" s="24" t="s">
        <v>1046</v>
      </c>
      <c r="J169" s="24" t="s">
        <v>73</v>
      </c>
      <c r="K169" s="24" t="s">
        <v>129</v>
      </c>
      <c r="L169" s="24" t="s">
        <v>116</v>
      </c>
      <c r="M169" s="3" t="s">
        <v>378</v>
      </c>
      <c r="N169" s="24" t="s">
        <v>126</v>
      </c>
      <c r="O169" s="24" t="s">
        <v>42</v>
      </c>
      <c r="P169" s="16" t="s">
        <v>43</v>
      </c>
      <c r="Q169" s="32">
        <v>0</v>
      </c>
      <c r="R169"/>
      <c r="S169"/>
    </row>
    <row r="170" spans="3:19" x14ac:dyDescent="0.25">
      <c r="C170" s="24" t="s">
        <v>546</v>
      </c>
      <c r="D170" s="24" t="s">
        <v>547</v>
      </c>
      <c r="E170" s="24" t="s">
        <v>547</v>
      </c>
      <c r="F170" s="25">
        <v>5</v>
      </c>
      <c r="G170" s="24" t="s">
        <v>376</v>
      </c>
      <c r="H170" s="24" t="s">
        <v>46</v>
      </c>
      <c r="I170" s="24" t="s">
        <v>1046</v>
      </c>
      <c r="J170" s="24" t="s">
        <v>100</v>
      </c>
      <c r="K170" s="24" t="s">
        <v>138</v>
      </c>
      <c r="L170" s="24" t="s">
        <v>40</v>
      </c>
      <c r="M170" s="24" t="s">
        <v>1035</v>
      </c>
      <c r="N170" s="24" t="s">
        <v>546</v>
      </c>
      <c r="O170" s="24" t="s">
        <v>42</v>
      </c>
      <c r="P170" s="16" t="s">
        <v>43</v>
      </c>
      <c r="Q170" s="32">
        <v>34127666.309099995</v>
      </c>
      <c r="R170"/>
      <c r="S170"/>
    </row>
    <row r="171" spans="3:19" x14ac:dyDescent="0.25">
      <c r="C171" s="24" t="s">
        <v>130</v>
      </c>
      <c r="D171" s="24" t="s">
        <v>131</v>
      </c>
      <c r="E171" s="24" t="s">
        <v>131</v>
      </c>
      <c r="F171" s="25" t="s">
        <v>36</v>
      </c>
      <c r="G171" s="24" t="s">
        <v>37</v>
      </c>
      <c r="H171" s="24" t="s">
        <v>81</v>
      </c>
      <c r="I171" s="24" t="s">
        <v>1046</v>
      </c>
      <c r="J171" s="24" t="s">
        <v>132</v>
      </c>
      <c r="K171" s="24" t="s">
        <v>133</v>
      </c>
      <c r="L171" s="24" t="s">
        <v>40</v>
      </c>
      <c r="M171" s="24" t="s">
        <v>1035</v>
      </c>
      <c r="N171" s="24" t="s">
        <v>130</v>
      </c>
      <c r="O171" s="24" t="s">
        <v>42</v>
      </c>
      <c r="P171" s="16" t="s">
        <v>43</v>
      </c>
      <c r="Q171" s="32">
        <v>0</v>
      </c>
      <c r="R171"/>
      <c r="S171"/>
    </row>
    <row r="172" spans="3:19" x14ac:dyDescent="0.25">
      <c r="C172" s="24" t="s">
        <v>134</v>
      </c>
      <c r="D172" s="24" t="s">
        <v>135</v>
      </c>
      <c r="E172" s="24" t="s">
        <v>135</v>
      </c>
      <c r="F172" s="25" t="s">
        <v>36</v>
      </c>
      <c r="G172" s="24" t="s">
        <v>37</v>
      </c>
      <c r="H172" s="24" t="s">
        <v>81</v>
      </c>
      <c r="I172" s="24" t="s">
        <v>1046</v>
      </c>
      <c r="J172" s="24" t="s">
        <v>132</v>
      </c>
      <c r="K172" s="24" t="s">
        <v>51</v>
      </c>
      <c r="L172" s="24" t="s">
        <v>40</v>
      </c>
      <c r="M172" s="24" t="s">
        <v>1035</v>
      </c>
      <c r="N172" s="24" t="s">
        <v>134</v>
      </c>
      <c r="O172" s="24" t="s">
        <v>42</v>
      </c>
      <c r="P172" s="16" t="s">
        <v>43</v>
      </c>
      <c r="Q172" s="32">
        <v>0</v>
      </c>
      <c r="R172"/>
      <c r="S172"/>
    </row>
    <row r="173" spans="3:19" x14ac:dyDescent="0.25">
      <c r="C173" s="24" t="s">
        <v>136</v>
      </c>
      <c r="D173" s="24" t="s">
        <v>137</v>
      </c>
      <c r="E173" s="24" t="s">
        <v>137</v>
      </c>
      <c r="F173" s="25" t="s">
        <v>36</v>
      </c>
      <c r="G173" s="24" t="s">
        <v>37</v>
      </c>
      <c r="H173" s="24" t="s">
        <v>88</v>
      </c>
      <c r="I173" s="24" t="s">
        <v>1046</v>
      </c>
      <c r="J173" s="24" t="s">
        <v>58</v>
      </c>
      <c r="K173" s="24" t="s">
        <v>138</v>
      </c>
      <c r="L173" s="24" t="s">
        <v>40</v>
      </c>
      <c r="M173" s="24" t="s">
        <v>1035</v>
      </c>
      <c r="N173" s="24" t="s">
        <v>136</v>
      </c>
      <c r="O173" s="24" t="s">
        <v>42</v>
      </c>
      <c r="P173" s="16" t="s">
        <v>43</v>
      </c>
      <c r="Q173" s="32">
        <v>0</v>
      </c>
      <c r="R173"/>
      <c r="S173"/>
    </row>
    <row r="174" spans="3:19" x14ac:dyDescent="0.25">
      <c r="C174" s="24" t="s">
        <v>139</v>
      </c>
      <c r="D174" s="24" t="s">
        <v>140</v>
      </c>
      <c r="E174" s="24" t="s">
        <v>140</v>
      </c>
      <c r="F174" s="25" t="s">
        <v>36</v>
      </c>
      <c r="G174" s="24" t="s">
        <v>37</v>
      </c>
      <c r="H174" s="24" t="s">
        <v>88</v>
      </c>
      <c r="I174" s="24" t="s">
        <v>1046</v>
      </c>
      <c r="J174" s="24" t="s">
        <v>89</v>
      </c>
      <c r="K174" s="24" t="s">
        <v>109</v>
      </c>
      <c r="L174" s="24" t="s">
        <v>91</v>
      </c>
      <c r="M174" s="3" t="s">
        <v>378</v>
      </c>
      <c r="N174" s="24" t="s">
        <v>139</v>
      </c>
      <c r="O174" s="24" t="s">
        <v>42</v>
      </c>
      <c r="P174" s="16" t="s">
        <v>43</v>
      </c>
      <c r="Q174" s="32">
        <v>0</v>
      </c>
      <c r="R174"/>
      <c r="S174"/>
    </row>
    <row r="175" spans="3:19" x14ac:dyDescent="0.25">
      <c r="C175" s="24" t="s">
        <v>411</v>
      </c>
      <c r="D175" s="24" t="s">
        <v>412</v>
      </c>
      <c r="E175" s="24" t="s">
        <v>412</v>
      </c>
      <c r="F175" s="25">
        <v>5</v>
      </c>
      <c r="G175" s="24" t="s">
        <v>376</v>
      </c>
      <c r="H175" s="24" t="s">
        <v>46</v>
      </c>
      <c r="I175" s="24" t="s">
        <v>1031</v>
      </c>
      <c r="J175" s="24" t="s">
        <v>63</v>
      </c>
      <c r="K175" s="24" t="s">
        <v>138</v>
      </c>
      <c r="L175" s="24" t="s">
        <v>40</v>
      </c>
      <c r="M175" s="3" t="s">
        <v>378</v>
      </c>
      <c r="N175" s="24" t="s">
        <v>411</v>
      </c>
      <c r="O175" s="24" t="s">
        <v>42</v>
      </c>
      <c r="P175" s="16" t="s">
        <v>440</v>
      </c>
      <c r="Q175" s="32">
        <v>41396339.708149992</v>
      </c>
      <c r="R175"/>
      <c r="S175"/>
    </row>
    <row r="176" spans="3:19" x14ac:dyDescent="0.25">
      <c r="C176" s="24" t="s">
        <v>578</v>
      </c>
      <c r="D176" s="24" t="s">
        <v>579</v>
      </c>
      <c r="E176" s="24" t="s">
        <v>579</v>
      </c>
      <c r="F176" s="25">
        <v>5</v>
      </c>
      <c r="G176" s="24" t="s">
        <v>376</v>
      </c>
      <c r="H176" s="24" t="s">
        <v>46</v>
      </c>
      <c r="I176" s="24" t="s">
        <v>1046</v>
      </c>
      <c r="J176" s="24" t="s">
        <v>331</v>
      </c>
      <c r="K176" s="24" t="s">
        <v>138</v>
      </c>
      <c r="L176" s="24" t="s">
        <v>40</v>
      </c>
      <c r="M176" s="3" t="s">
        <v>984</v>
      </c>
      <c r="N176" s="24" t="s">
        <v>578</v>
      </c>
      <c r="O176" s="24" t="s">
        <v>42</v>
      </c>
      <c r="P176" s="16" t="s">
        <v>43</v>
      </c>
      <c r="Q176" s="32">
        <v>34197646.964000002</v>
      </c>
      <c r="R176"/>
      <c r="S176"/>
    </row>
    <row r="177" spans="3:19" x14ac:dyDescent="0.25">
      <c r="C177" s="24" t="s">
        <v>908</v>
      </c>
      <c r="D177" s="24" t="s">
        <v>909</v>
      </c>
      <c r="E177" s="24" t="s">
        <v>910</v>
      </c>
      <c r="F177" s="25">
        <v>5</v>
      </c>
      <c r="G177" s="24" t="s">
        <v>37</v>
      </c>
      <c r="H177" s="24" t="s">
        <v>81</v>
      </c>
      <c r="I177" s="24" t="s">
        <v>1046</v>
      </c>
      <c r="J177" s="24" t="s">
        <v>73</v>
      </c>
      <c r="K177" s="24" t="s">
        <v>911</v>
      </c>
      <c r="L177" s="24" t="s">
        <v>40</v>
      </c>
      <c r="M177" s="3" t="s">
        <v>378</v>
      </c>
      <c r="N177" s="24" t="s">
        <v>908</v>
      </c>
      <c r="O177" s="24" t="s">
        <v>42</v>
      </c>
      <c r="P177" s="16" t="s">
        <v>43</v>
      </c>
      <c r="Q177" s="32">
        <v>0</v>
      </c>
      <c r="R177"/>
      <c r="S177"/>
    </row>
    <row r="178" spans="3:19" x14ac:dyDescent="0.25">
      <c r="C178" s="24" t="s">
        <v>413</v>
      </c>
      <c r="D178" s="24" t="s">
        <v>414</v>
      </c>
      <c r="E178" s="24" t="s">
        <v>414</v>
      </c>
      <c r="F178" s="25">
        <v>5</v>
      </c>
      <c r="G178" s="24" t="s">
        <v>376</v>
      </c>
      <c r="H178" s="24" t="s">
        <v>46</v>
      </c>
      <c r="I178" s="24" t="s">
        <v>1031</v>
      </c>
      <c r="J178" s="24" t="s">
        <v>63</v>
      </c>
      <c r="K178" s="24" t="s">
        <v>138</v>
      </c>
      <c r="L178" s="24" t="s">
        <v>40</v>
      </c>
      <c r="M178" s="3" t="s">
        <v>378</v>
      </c>
      <c r="N178" s="24" t="s">
        <v>413</v>
      </c>
      <c r="O178" s="24" t="s">
        <v>42</v>
      </c>
      <c r="P178" s="16" t="s">
        <v>43</v>
      </c>
      <c r="Q178" s="32">
        <v>40186297.511849992</v>
      </c>
      <c r="R178"/>
      <c r="S178"/>
    </row>
    <row r="179" spans="3:19" x14ac:dyDescent="0.25">
      <c r="C179" s="24" t="s">
        <v>580</v>
      </c>
      <c r="D179" s="24" t="s">
        <v>581</v>
      </c>
      <c r="E179" s="24" t="s">
        <v>581</v>
      </c>
      <c r="F179" s="25">
        <v>5</v>
      </c>
      <c r="G179" s="24" t="s">
        <v>376</v>
      </c>
      <c r="H179" s="24" t="s">
        <v>46</v>
      </c>
      <c r="I179" s="24" t="s">
        <v>1046</v>
      </c>
      <c r="J179" s="24" t="s">
        <v>331</v>
      </c>
      <c r="K179" s="24" t="s">
        <v>138</v>
      </c>
      <c r="L179" s="24" t="s">
        <v>40</v>
      </c>
      <c r="M179" s="3" t="s">
        <v>984</v>
      </c>
      <c r="N179" s="24" t="s">
        <v>580</v>
      </c>
      <c r="O179" s="24" t="s">
        <v>42</v>
      </c>
      <c r="P179" s="16" t="s">
        <v>43</v>
      </c>
      <c r="Q179" s="32">
        <v>40362580.431249999</v>
      </c>
      <c r="R179"/>
      <c r="S179"/>
    </row>
    <row r="180" spans="3:19" x14ac:dyDescent="0.25">
      <c r="C180" s="24" t="s">
        <v>756</v>
      </c>
      <c r="D180" s="24" t="s">
        <v>757</v>
      </c>
      <c r="E180" s="24" t="s">
        <v>757</v>
      </c>
      <c r="F180" s="25">
        <v>5</v>
      </c>
      <c r="G180" s="24" t="s">
        <v>376</v>
      </c>
      <c r="H180" s="24" t="s">
        <v>46</v>
      </c>
      <c r="I180" s="24" t="s">
        <v>1031</v>
      </c>
      <c r="J180" s="24" t="s">
        <v>1048</v>
      </c>
      <c r="K180" s="24" t="s">
        <v>54</v>
      </c>
      <c r="L180" s="24" t="s">
        <v>55</v>
      </c>
      <c r="M180" s="3" t="s">
        <v>378</v>
      </c>
      <c r="N180" s="24" t="s">
        <v>756</v>
      </c>
      <c r="O180" s="24" t="s">
        <v>42</v>
      </c>
      <c r="P180" s="16" t="s">
        <v>43</v>
      </c>
      <c r="Q180" s="32">
        <v>39320006.968199991</v>
      </c>
      <c r="R180"/>
      <c r="S180"/>
    </row>
    <row r="181" spans="3:19" x14ac:dyDescent="0.25">
      <c r="C181" s="24" t="s">
        <v>812</v>
      </c>
      <c r="D181" s="24" t="s">
        <v>813</v>
      </c>
      <c r="E181" s="24" t="s">
        <v>813</v>
      </c>
      <c r="F181" s="25">
        <v>5</v>
      </c>
      <c r="G181" s="24" t="s">
        <v>376</v>
      </c>
      <c r="H181" s="24" t="s">
        <v>46</v>
      </c>
      <c r="I181" s="24" t="s">
        <v>1046</v>
      </c>
      <c r="J181" s="24" t="s">
        <v>146</v>
      </c>
      <c r="K181" s="24" t="s">
        <v>59</v>
      </c>
      <c r="L181" s="24" t="s">
        <v>40</v>
      </c>
      <c r="M181" s="24" t="s">
        <v>1035</v>
      </c>
      <c r="N181" s="24" t="s">
        <v>812</v>
      </c>
      <c r="O181" s="24" t="s">
        <v>42</v>
      </c>
      <c r="P181" s="16" t="s">
        <v>43</v>
      </c>
      <c r="Q181" s="32">
        <v>39383510.548</v>
      </c>
      <c r="R181"/>
      <c r="S181"/>
    </row>
    <row r="182" spans="3:19" x14ac:dyDescent="0.25">
      <c r="C182" s="24" t="s">
        <v>141</v>
      </c>
      <c r="D182" s="24" t="s">
        <v>142</v>
      </c>
      <c r="E182" s="24" t="s">
        <v>142</v>
      </c>
      <c r="F182" s="25" t="s">
        <v>36</v>
      </c>
      <c r="G182" s="24" t="s">
        <v>37</v>
      </c>
      <c r="H182" s="24" t="s">
        <v>81</v>
      </c>
      <c r="I182" s="24" t="s">
        <v>1046</v>
      </c>
      <c r="J182" s="24">
        <v>0</v>
      </c>
      <c r="K182" s="24" t="s">
        <v>143</v>
      </c>
      <c r="L182" s="24" t="s">
        <v>40</v>
      </c>
      <c r="M182" s="24" t="s">
        <v>1053</v>
      </c>
      <c r="N182" s="24" t="s">
        <v>141</v>
      </c>
      <c r="O182" s="24" t="s">
        <v>42</v>
      </c>
      <c r="P182" s="16" t="s">
        <v>43</v>
      </c>
      <c r="Q182" s="32">
        <v>0</v>
      </c>
      <c r="R182"/>
      <c r="S182"/>
    </row>
    <row r="183" spans="3:19" x14ac:dyDescent="0.25">
      <c r="C183" s="24" t="s">
        <v>437</v>
      </c>
      <c r="D183" s="24" t="s">
        <v>438</v>
      </c>
      <c r="E183" s="24" t="s">
        <v>439</v>
      </c>
      <c r="F183" s="25">
        <v>5</v>
      </c>
      <c r="G183" s="24" t="s">
        <v>376</v>
      </c>
      <c r="H183" s="24" t="s">
        <v>81</v>
      </c>
      <c r="I183" s="24" t="s">
        <v>1046</v>
      </c>
      <c r="J183" s="24" t="s">
        <v>94</v>
      </c>
      <c r="K183" s="24" t="s">
        <v>64</v>
      </c>
      <c r="L183" s="24" t="s">
        <v>40</v>
      </c>
      <c r="M183" s="24" t="s">
        <v>1035</v>
      </c>
      <c r="N183" s="24" t="s">
        <v>437</v>
      </c>
      <c r="O183" s="24" t="s">
        <v>42</v>
      </c>
      <c r="P183" s="16" t="s">
        <v>43</v>
      </c>
      <c r="Q183" s="32">
        <v>25718065.951199997</v>
      </c>
      <c r="R183"/>
      <c r="S183"/>
    </row>
    <row r="184" spans="3:19" x14ac:dyDescent="0.25">
      <c r="C184" s="24" t="s">
        <v>497</v>
      </c>
      <c r="D184" s="24" t="s">
        <v>498</v>
      </c>
      <c r="E184" s="24" t="s">
        <v>499</v>
      </c>
      <c r="F184" s="25">
        <v>5</v>
      </c>
      <c r="G184" s="24" t="s">
        <v>376</v>
      </c>
      <c r="H184" s="24" t="s">
        <v>46</v>
      </c>
      <c r="I184" s="24" t="s">
        <v>1046</v>
      </c>
      <c r="J184" s="24" t="s">
        <v>466</v>
      </c>
      <c r="K184" s="24" t="s">
        <v>51</v>
      </c>
      <c r="L184" s="24" t="s">
        <v>40</v>
      </c>
      <c r="M184" s="24" t="s">
        <v>1035</v>
      </c>
      <c r="N184" s="24" t="s">
        <v>497</v>
      </c>
      <c r="O184" s="24" t="s">
        <v>42</v>
      </c>
      <c r="P184" s="16" t="s">
        <v>43</v>
      </c>
      <c r="Q184" s="32">
        <v>35903403.930799991</v>
      </c>
      <c r="R184"/>
      <c r="S184"/>
    </row>
    <row r="185" spans="3:19" x14ac:dyDescent="0.25">
      <c r="C185" s="24" t="s">
        <v>144</v>
      </c>
      <c r="D185" s="24" t="s">
        <v>145</v>
      </c>
      <c r="E185" s="24" t="s">
        <v>145</v>
      </c>
      <c r="F185" s="25" t="s">
        <v>36</v>
      </c>
      <c r="G185" s="24" t="s">
        <v>37</v>
      </c>
      <c r="H185" s="24" t="s">
        <v>46</v>
      </c>
      <c r="I185" s="24" t="s">
        <v>1046</v>
      </c>
      <c r="J185" s="24" t="s">
        <v>146</v>
      </c>
      <c r="K185" s="24" t="s">
        <v>138</v>
      </c>
      <c r="L185" s="24" t="s">
        <v>40</v>
      </c>
      <c r="M185" s="24" t="s">
        <v>1035</v>
      </c>
      <c r="N185" s="24" t="s">
        <v>144</v>
      </c>
      <c r="O185" s="24" t="s">
        <v>42</v>
      </c>
      <c r="P185" s="16" t="s">
        <v>43</v>
      </c>
      <c r="Q185" s="32">
        <v>0</v>
      </c>
      <c r="R185"/>
      <c r="S185"/>
    </row>
    <row r="186" spans="3:19" x14ac:dyDescent="0.25">
      <c r="C186" s="24" t="s">
        <v>784</v>
      </c>
      <c r="D186" s="24" t="s">
        <v>785</v>
      </c>
      <c r="E186" s="24" t="s">
        <v>785</v>
      </c>
      <c r="F186" s="25">
        <v>5.45</v>
      </c>
      <c r="G186" s="24" t="s">
        <v>376</v>
      </c>
      <c r="H186" s="24" t="s">
        <v>46</v>
      </c>
      <c r="I186" s="24" t="s">
        <v>1031</v>
      </c>
      <c r="J186" s="24" t="s">
        <v>89</v>
      </c>
      <c r="K186" s="24" t="s">
        <v>109</v>
      </c>
      <c r="L186" s="24" t="s">
        <v>91</v>
      </c>
      <c r="M186" s="3" t="s">
        <v>378</v>
      </c>
      <c r="N186" s="24" t="s">
        <v>784</v>
      </c>
      <c r="O186" s="24" t="s">
        <v>42</v>
      </c>
      <c r="P186" s="16" t="s">
        <v>43</v>
      </c>
      <c r="Q186" s="32">
        <v>43062071.410920076</v>
      </c>
      <c r="R186"/>
      <c r="S186"/>
    </row>
    <row r="187" spans="3:19" x14ac:dyDescent="0.25">
      <c r="C187" s="24" t="s">
        <v>147</v>
      </c>
      <c r="D187" s="24" t="s">
        <v>148</v>
      </c>
      <c r="E187" s="24" t="s">
        <v>148</v>
      </c>
      <c r="F187" s="25" t="s">
        <v>36</v>
      </c>
      <c r="G187" s="24" t="s">
        <v>37</v>
      </c>
      <c r="H187" s="24" t="s">
        <v>46</v>
      </c>
      <c r="I187" s="24" t="s">
        <v>1046</v>
      </c>
      <c r="J187" s="24" t="s">
        <v>50</v>
      </c>
      <c r="K187" s="24" t="s">
        <v>51</v>
      </c>
      <c r="L187" s="24" t="s">
        <v>40</v>
      </c>
      <c r="M187" s="3" t="s">
        <v>984</v>
      </c>
      <c r="N187" s="24" t="s">
        <v>147</v>
      </c>
      <c r="O187" s="24" t="s">
        <v>42</v>
      </c>
      <c r="P187" s="16" t="s">
        <v>43</v>
      </c>
      <c r="Q187" s="32">
        <v>0</v>
      </c>
      <c r="R187"/>
      <c r="S187"/>
    </row>
    <row r="188" spans="3:19" x14ac:dyDescent="0.25">
      <c r="C188" s="24" t="s">
        <v>149</v>
      </c>
      <c r="D188" s="24" t="s">
        <v>150</v>
      </c>
      <c r="E188" s="24" t="s">
        <v>150</v>
      </c>
      <c r="F188" s="25" t="s">
        <v>36</v>
      </c>
      <c r="G188" s="24" t="s">
        <v>37</v>
      </c>
      <c r="H188" s="24" t="s">
        <v>81</v>
      </c>
      <c r="I188" s="24" t="s">
        <v>1046</v>
      </c>
      <c r="J188" s="24" t="s">
        <v>100</v>
      </c>
      <c r="K188" s="24" t="s">
        <v>59</v>
      </c>
      <c r="L188" s="24" t="s">
        <v>40</v>
      </c>
      <c r="M188" s="24" t="s">
        <v>1035</v>
      </c>
      <c r="N188" s="24" t="s">
        <v>149</v>
      </c>
      <c r="O188" s="24" t="s">
        <v>42</v>
      </c>
      <c r="P188" s="16" t="s">
        <v>43</v>
      </c>
      <c r="Q188" s="32">
        <v>0</v>
      </c>
      <c r="R188"/>
      <c r="S188"/>
    </row>
    <row r="189" spans="3:19" x14ac:dyDescent="0.25">
      <c r="C189" s="24" t="s">
        <v>151</v>
      </c>
      <c r="D189" s="24" t="s">
        <v>152</v>
      </c>
      <c r="E189" s="24" t="s">
        <v>152</v>
      </c>
      <c r="F189" s="25" t="s">
        <v>36</v>
      </c>
      <c r="G189" s="24" t="s">
        <v>37</v>
      </c>
      <c r="H189" s="24" t="s">
        <v>88</v>
      </c>
      <c r="I189" s="24" t="s">
        <v>1046</v>
      </c>
      <c r="J189" s="24" t="s">
        <v>132</v>
      </c>
      <c r="K189" s="24" t="s">
        <v>133</v>
      </c>
      <c r="L189" s="24" t="s">
        <v>40</v>
      </c>
      <c r="M189" s="24" t="s">
        <v>1035</v>
      </c>
      <c r="N189" s="24" t="s">
        <v>151</v>
      </c>
      <c r="O189" s="24" t="s">
        <v>42</v>
      </c>
      <c r="P189" s="16" t="s">
        <v>43</v>
      </c>
      <c r="Q189" s="32">
        <v>0</v>
      </c>
      <c r="R189"/>
      <c r="S189"/>
    </row>
    <row r="190" spans="3:19" x14ac:dyDescent="0.25">
      <c r="C190" s="24" t="s">
        <v>786</v>
      </c>
      <c r="D190" s="24" t="s">
        <v>787</v>
      </c>
      <c r="E190" s="24" t="s">
        <v>787</v>
      </c>
      <c r="F190" s="25">
        <v>5</v>
      </c>
      <c r="G190" s="24" t="s">
        <v>376</v>
      </c>
      <c r="H190" s="24" t="s">
        <v>81</v>
      </c>
      <c r="I190" s="24" t="s">
        <v>1031</v>
      </c>
      <c r="J190" s="24" t="s">
        <v>89</v>
      </c>
      <c r="K190" s="24" t="s">
        <v>109</v>
      </c>
      <c r="L190" s="24" t="s">
        <v>91</v>
      </c>
      <c r="M190" s="3" t="s">
        <v>378</v>
      </c>
      <c r="N190" s="24" t="s">
        <v>786</v>
      </c>
      <c r="O190" s="24" t="s">
        <v>42</v>
      </c>
      <c r="P190" s="16" t="s">
        <v>43</v>
      </c>
      <c r="Q190" s="32">
        <v>36322795.638849996</v>
      </c>
      <c r="R190"/>
      <c r="S190"/>
    </row>
    <row r="191" spans="3:19" x14ac:dyDescent="0.25">
      <c r="C191" s="24" t="s">
        <v>582</v>
      </c>
      <c r="D191" s="24" t="s">
        <v>583</v>
      </c>
      <c r="E191" s="24" t="s">
        <v>583</v>
      </c>
      <c r="F191" s="25">
        <v>5</v>
      </c>
      <c r="G191" s="24" t="s">
        <v>376</v>
      </c>
      <c r="H191" s="24" t="s">
        <v>46</v>
      </c>
      <c r="I191" s="24" t="s">
        <v>1046</v>
      </c>
      <c r="J191" s="24" t="s">
        <v>331</v>
      </c>
      <c r="K191" s="24" t="s">
        <v>138</v>
      </c>
      <c r="L191" s="24" t="s">
        <v>40</v>
      </c>
      <c r="M191" s="3" t="s">
        <v>984</v>
      </c>
      <c r="N191" s="24" t="s">
        <v>582</v>
      </c>
      <c r="O191" s="24" t="s">
        <v>42</v>
      </c>
      <c r="P191" s="16" t="s">
        <v>43</v>
      </c>
      <c r="Q191" s="32">
        <v>64059672.830649994</v>
      </c>
      <c r="R191"/>
      <c r="S191"/>
    </row>
    <row r="192" spans="3:19" x14ac:dyDescent="0.25">
      <c r="C192" s="24" t="s">
        <v>714</v>
      </c>
      <c r="D192" s="24" t="s">
        <v>715</v>
      </c>
      <c r="E192" s="24" t="s">
        <v>715</v>
      </c>
      <c r="F192" s="25">
        <v>5</v>
      </c>
      <c r="G192" s="24" t="s">
        <v>376</v>
      </c>
      <c r="H192" s="24" t="s">
        <v>46</v>
      </c>
      <c r="I192" s="24" t="s">
        <v>1031</v>
      </c>
      <c r="J192" s="24" t="s">
        <v>84</v>
      </c>
      <c r="K192" s="24" t="s">
        <v>54</v>
      </c>
      <c r="L192" s="24" t="s">
        <v>55</v>
      </c>
      <c r="M192" s="3" t="s">
        <v>378</v>
      </c>
      <c r="N192" s="24" t="s">
        <v>714</v>
      </c>
      <c r="O192" s="24" t="s">
        <v>42</v>
      </c>
      <c r="P192" s="16" t="s">
        <v>43</v>
      </c>
      <c r="Q192" s="32">
        <v>40476738.139599994</v>
      </c>
      <c r="R192"/>
      <c r="S192"/>
    </row>
    <row r="193" spans="3:19" x14ac:dyDescent="0.25">
      <c r="C193" s="24" t="s">
        <v>153</v>
      </c>
      <c r="D193" s="24" t="s">
        <v>154</v>
      </c>
      <c r="E193" s="24" t="s">
        <v>155</v>
      </c>
      <c r="F193" s="25" t="s">
        <v>36</v>
      </c>
      <c r="G193" s="24" t="s">
        <v>37</v>
      </c>
      <c r="H193" s="24" t="s">
        <v>81</v>
      </c>
      <c r="I193" s="24" t="s">
        <v>1046</v>
      </c>
      <c r="J193" s="24" t="s">
        <v>84</v>
      </c>
      <c r="K193" s="24" t="s">
        <v>54</v>
      </c>
      <c r="L193" s="24" t="s">
        <v>55</v>
      </c>
      <c r="M193" s="3" t="s">
        <v>378</v>
      </c>
      <c r="N193" s="24" t="s">
        <v>153</v>
      </c>
      <c r="O193" s="24" t="s">
        <v>42</v>
      </c>
      <c r="P193" s="16" t="s">
        <v>43</v>
      </c>
      <c r="Q193" s="32">
        <v>0</v>
      </c>
      <c r="R193"/>
      <c r="S193"/>
    </row>
    <row r="194" spans="3:19" x14ac:dyDescent="0.25">
      <c r="C194" s="24" t="s">
        <v>912</v>
      </c>
      <c r="D194" s="24" t="s">
        <v>913</v>
      </c>
      <c r="E194" s="24" t="s">
        <v>913</v>
      </c>
      <c r="F194" s="25">
        <v>5</v>
      </c>
      <c r="G194" s="24" t="s">
        <v>376</v>
      </c>
      <c r="H194" s="24" t="s">
        <v>81</v>
      </c>
      <c r="I194" s="24" t="s">
        <v>1046</v>
      </c>
      <c r="J194" s="24" t="s">
        <v>73</v>
      </c>
      <c r="K194" s="24" t="s">
        <v>914</v>
      </c>
      <c r="L194" s="24" t="s">
        <v>40</v>
      </c>
      <c r="M194" s="3" t="s">
        <v>378</v>
      </c>
      <c r="N194" s="24" t="s">
        <v>912</v>
      </c>
      <c r="O194" s="24" t="s">
        <v>42</v>
      </c>
      <c r="P194" s="16" t="s">
        <v>43</v>
      </c>
      <c r="Q194" s="32">
        <v>30811243.585500002</v>
      </c>
      <c r="R194"/>
      <c r="S194"/>
    </row>
    <row r="195" spans="3:19" x14ac:dyDescent="0.25">
      <c r="C195" s="24" t="s">
        <v>500</v>
      </c>
      <c r="D195" s="24" t="s">
        <v>501</v>
      </c>
      <c r="E195" s="24" t="s">
        <v>501</v>
      </c>
      <c r="F195" s="25">
        <v>5</v>
      </c>
      <c r="G195" s="24" t="s">
        <v>376</v>
      </c>
      <c r="H195" s="24" t="s">
        <v>46</v>
      </c>
      <c r="I195" s="24" t="s">
        <v>1046</v>
      </c>
      <c r="J195" s="24" t="s">
        <v>466</v>
      </c>
      <c r="K195" s="24" t="s">
        <v>51</v>
      </c>
      <c r="L195" s="24" t="s">
        <v>40</v>
      </c>
      <c r="M195" s="24" t="s">
        <v>1035</v>
      </c>
      <c r="N195" s="24" t="s">
        <v>500</v>
      </c>
      <c r="O195" s="24" t="s">
        <v>42</v>
      </c>
      <c r="P195" s="16" t="s">
        <v>43</v>
      </c>
      <c r="Q195" s="32">
        <v>48964677.386</v>
      </c>
      <c r="R195"/>
      <c r="S195"/>
    </row>
    <row r="196" spans="3:19" x14ac:dyDescent="0.25">
      <c r="C196" s="24" t="s">
        <v>441</v>
      </c>
      <c r="D196" s="24" t="s">
        <v>442</v>
      </c>
      <c r="E196" s="24" t="s">
        <v>442</v>
      </c>
      <c r="F196" s="25">
        <v>5</v>
      </c>
      <c r="G196" s="24" t="s">
        <v>376</v>
      </c>
      <c r="H196" s="24" t="s">
        <v>46</v>
      </c>
      <c r="I196" s="24" t="s">
        <v>1046</v>
      </c>
      <c r="J196" s="24" t="s">
        <v>94</v>
      </c>
      <c r="K196" s="24" t="s">
        <v>64</v>
      </c>
      <c r="L196" s="24" t="s">
        <v>40</v>
      </c>
      <c r="M196" s="24" t="s">
        <v>1035</v>
      </c>
      <c r="N196" s="24" t="s">
        <v>441</v>
      </c>
      <c r="O196" s="24" t="s">
        <v>42</v>
      </c>
      <c r="P196" s="16" t="s">
        <v>440</v>
      </c>
      <c r="Q196" s="32">
        <v>31046503.490449995</v>
      </c>
      <c r="R196"/>
      <c r="S196"/>
    </row>
    <row r="197" spans="3:19" x14ac:dyDescent="0.25">
      <c r="C197" s="24" t="s">
        <v>156</v>
      </c>
      <c r="D197" s="24" t="s">
        <v>157</v>
      </c>
      <c r="E197" s="24" t="s">
        <v>157</v>
      </c>
      <c r="F197" s="25" t="s">
        <v>36</v>
      </c>
      <c r="G197" s="24" t="s">
        <v>37</v>
      </c>
      <c r="H197" s="24" t="s">
        <v>46</v>
      </c>
      <c r="I197" s="24" t="s">
        <v>1046</v>
      </c>
      <c r="J197" s="24">
        <v>0</v>
      </c>
      <c r="K197" s="24" t="s">
        <v>51</v>
      </c>
      <c r="L197" s="24" t="s">
        <v>40</v>
      </c>
      <c r="M197" s="24" t="s">
        <v>1053</v>
      </c>
      <c r="N197" s="24" t="s">
        <v>156</v>
      </c>
      <c r="O197" s="24" t="s">
        <v>42</v>
      </c>
      <c r="P197" s="16" t="s">
        <v>43</v>
      </c>
      <c r="Q197" s="32">
        <v>0</v>
      </c>
      <c r="R197"/>
      <c r="S197"/>
    </row>
    <row r="198" spans="3:19" x14ac:dyDescent="0.25">
      <c r="C198" s="24" t="s">
        <v>875</v>
      </c>
      <c r="D198" s="24" t="s">
        <v>876</v>
      </c>
      <c r="E198" s="24" t="s">
        <v>876</v>
      </c>
      <c r="F198" s="25">
        <v>5</v>
      </c>
      <c r="G198" s="24" t="s">
        <v>1033</v>
      </c>
      <c r="H198" s="24" t="s">
        <v>81</v>
      </c>
      <c r="I198" s="24" t="s">
        <v>1046</v>
      </c>
      <c r="J198" s="24" t="s">
        <v>132</v>
      </c>
      <c r="K198" s="24" t="s">
        <v>856</v>
      </c>
      <c r="L198" s="24" t="s">
        <v>40</v>
      </c>
      <c r="M198" s="24" t="s">
        <v>1035</v>
      </c>
      <c r="N198" s="24" t="s">
        <v>875</v>
      </c>
      <c r="O198" s="24" t="s">
        <v>42</v>
      </c>
      <c r="P198" s="16" t="s">
        <v>43</v>
      </c>
      <c r="Q198" s="32">
        <v>30000659.395</v>
      </c>
      <c r="R198"/>
      <c r="S198"/>
    </row>
    <row r="199" spans="3:19" x14ac:dyDescent="0.25">
      <c r="C199" s="24" t="s">
        <v>158</v>
      </c>
      <c r="D199" s="24" t="s">
        <v>159</v>
      </c>
      <c r="E199" s="24" t="s">
        <v>159</v>
      </c>
      <c r="F199" s="25" t="s">
        <v>36</v>
      </c>
      <c r="G199" s="24" t="s">
        <v>37</v>
      </c>
      <c r="H199" s="24" t="s">
        <v>81</v>
      </c>
      <c r="I199" s="24" t="s">
        <v>1046</v>
      </c>
      <c r="J199" s="24" t="s">
        <v>160</v>
      </c>
      <c r="K199" s="24" t="s">
        <v>161</v>
      </c>
      <c r="L199" s="24" t="s">
        <v>55</v>
      </c>
      <c r="M199" s="3" t="s">
        <v>984</v>
      </c>
      <c r="N199" s="24" t="s">
        <v>158</v>
      </c>
      <c r="O199" s="24" t="s">
        <v>42</v>
      </c>
      <c r="P199" s="16" t="s">
        <v>43</v>
      </c>
      <c r="Q199" s="32">
        <v>0</v>
      </c>
      <c r="R199"/>
      <c r="S199"/>
    </row>
    <row r="200" spans="3:19" x14ac:dyDescent="0.25">
      <c r="C200" s="24" t="s">
        <v>814</v>
      </c>
      <c r="D200" s="24" t="s">
        <v>815</v>
      </c>
      <c r="E200" s="24" t="s">
        <v>816</v>
      </c>
      <c r="F200" s="25">
        <v>5</v>
      </c>
      <c r="G200" s="24" t="s">
        <v>376</v>
      </c>
      <c r="H200" s="24" t="s">
        <v>81</v>
      </c>
      <c r="I200" s="24" t="s">
        <v>1046</v>
      </c>
      <c r="J200" s="24" t="s">
        <v>146</v>
      </c>
      <c r="K200" s="24" t="s">
        <v>59</v>
      </c>
      <c r="L200" s="24" t="s">
        <v>40</v>
      </c>
      <c r="M200" s="24" t="s">
        <v>1035</v>
      </c>
      <c r="N200" s="24" t="s">
        <v>814</v>
      </c>
      <c r="O200" s="24" t="s">
        <v>42</v>
      </c>
      <c r="P200" s="16" t="s">
        <v>43</v>
      </c>
      <c r="Q200" s="32">
        <v>43330973.795292176</v>
      </c>
      <c r="R200"/>
      <c r="S200"/>
    </row>
    <row r="201" spans="3:19" x14ac:dyDescent="0.25">
      <c r="C201" s="24" t="s">
        <v>598</v>
      </c>
      <c r="D201" s="24" t="s">
        <v>599</v>
      </c>
      <c r="E201" s="24" t="s">
        <v>600</v>
      </c>
      <c r="F201" s="25">
        <v>5</v>
      </c>
      <c r="G201" s="24" t="s">
        <v>376</v>
      </c>
      <c r="H201" s="24" t="s">
        <v>81</v>
      </c>
      <c r="I201" s="24" t="s">
        <v>1046</v>
      </c>
      <c r="J201" s="24" t="s">
        <v>50</v>
      </c>
      <c r="K201" s="24" t="s">
        <v>601</v>
      </c>
      <c r="L201" s="24" t="s">
        <v>40</v>
      </c>
      <c r="M201" s="3" t="s">
        <v>984</v>
      </c>
      <c r="N201" s="24" t="s">
        <v>598</v>
      </c>
      <c r="O201" s="24" t="s">
        <v>42</v>
      </c>
      <c r="P201" s="16" t="s">
        <v>43</v>
      </c>
      <c r="Q201" s="32">
        <v>40904051.273400001</v>
      </c>
      <c r="R201"/>
      <c r="S201"/>
    </row>
    <row r="202" spans="3:19" x14ac:dyDescent="0.25">
      <c r="C202" s="24" t="s">
        <v>162</v>
      </c>
      <c r="D202" s="24" t="s">
        <v>163</v>
      </c>
      <c r="E202" s="24" t="s">
        <v>163</v>
      </c>
      <c r="F202" s="25" t="s">
        <v>36</v>
      </c>
      <c r="G202" s="24" t="s">
        <v>37</v>
      </c>
      <c r="H202" s="24" t="s">
        <v>88</v>
      </c>
      <c r="I202" s="24" t="s">
        <v>1046</v>
      </c>
      <c r="J202" s="24" t="s">
        <v>63</v>
      </c>
      <c r="K202" s="24" t="s">
        <v>138</v>
      </c>
      <c r="L202" s="24" t="s">
        <v>40</v>
      </c>
      <c r="M202" s="3" t="s">
        <v>378</v>
      </c>
      <c r="N202" s="24" t="s">
        <v>162</v>
      </c>
      <c r="O202" s="24" t="s">
        <v>42</v>
      </c>
      <c r="P202" s="16" t="s">
        <v>43</v>
      </c>
      <c r="Q202" s="32">
        <v>0</v>
      </c>
      <c r="R202"/>
      <c r="S202"/>
    </row>
    <row r="203" spans="3:19" x14ac:dyDescent="0.25">
      <c r="C203" s="24" t="s">
        <v>716</v>
      </c>
      <c r="D203" s="24" t="s">
        <v>717</v>
      </c>
      <c r="E203" s="24" t="s">
        <v>718</v>
      </c>
      <c r="F203" s="25">
        <v>5</v>
      </c>
      <c r="G203" s="24" t="s">
        <v>376</v>
      </c>
      <c r="H203" s="24" t="s">
        <v>46</v>
      </c>
      <c r="I203" s="24" t="s">
        <v>1031</v>
      </c>
      <c r="J203" s="24" t="s">
        <v>84</v>
      </c>
      <c r="K203" s="24" t="s">
        <v>54</v>
      </c>
      <c r="L203" s="24" t="s">
        <v>55</v>
      </c>
      <c r="M203" s="3" t="s">
        <v>378</v>
      </c>
      <c r="N203" s="24" t="s">
        <v>716</v>
      </c>
      <c r="O203" s="24" t="s">
        <v>42</v>
      </c>
      <c r="P203" s="16" t="s">
        <v>440</v>
      </c>
      <c r="Q203" s="32">
        <v>33814946.373599999</v>
      </c>
      <c r="R203"/>
      <c r="S203"/>
    </row>
    <row r="204" spans="3:19" x14ac:dyDescent="0.25">
      <c r="C204" s="24" t="s">
        <v>788</v>
      </c>
      <c r="D204" s="24" t="s">
        <v>789</v>
      </c>
      <c r="E204" s="24" t="s">
        <v>790</v>
      </c>
      <c r="F204" s="25">
        <v>5</v>
      </c>
      <c r="G204" s="24" t="s">
        <v>376</v>
      </c>
      <c r="H204" s="24" t="s">
        <v>81</v>
      </c>
      <c r="I204" s="24" t="s">
        <v>1031</v>
      </c>
      <c r="J204" s="24" t="s">
        <v>89</v>
      </c>
      <c r="K204" s="24" t="s">
        <v>109</v>
      </c>
      <c r="L204" s="24" t="s">
        <v>91</v>
      </c>
      <c r="M204" s="3" t="s">
        <v>378</v>
      </c>
      <c r="N204" s="24" t="s">
        <v>788</v>
      </c>
      <c r="O204" s="24" t="s">
        <v>42</v>
      </c>
      <c r="P204" s="16" t="s">
        <v>43</v>
      </c>
      <c r="Q204" s="32">
        <v>39118471.822849996</v>
      </c>
      <c r="R204"/>
      <c r="S204"/>
    </row>
    <row r="205" spans="3:19" x14ac:dyDescent="0.25">
      <c r="C205" s="24" t="s">
        <v>443</v>
      </c>
      <c r="D205" s="24" t="s">
        <v>444</v>
      </c>
      <c r="E205" s="24" t="s">
        <v>444</v>
      </c>
      <c r="F205" s="25">
        <v>5</v>
      </c>
      <c r="G205" s="24" t="s">
        <v>376</v>
      </c>
      <c r="H205" s="24" t="s">
        <v>81</v>
      </c>
      <c r="I205" s="24" t="s">
        <v>1046</v>
      </c>
      <c r="J205" s="24" t="s">
        <v>94</v>
      </c>
      <c r="K205" s="24" t="s">
        <v>64</v>
      </c>
      <c r="L205" s="24" t="s">
        <v>40</v>
      </c>
      <c r="M205" s="24" t="s">
        <v>1035</v>
      </c>
      <c r="N205" s="24" t="s">
        <v>443</v>
      </c>
      <c r="O205" s="24" t="s">
        <v>42</v>
      </c>
      <c r="P205" s="16" t="s">
        <v>43</v>
      </c>
      <c r="Q205" s="32">
        <v>28243859.621599998</v>
      </c>
      <c r="R205"/>
      <c r="S205"/>
    </row>
    <row r="206" spans="3:19" x14ac:dyDescent="0.25">
      <c r="C206" s="24" t="s">
        <v>415</v>
      </c>
      <c r="D206" s="24" t="s">
        <v>416</v>
      </c>
      <c r="E206" s="24" t="s">
        <v>416</v>
      </c>
      <c r="F206" s="25">
        <v>5</v>
      </c>
      <c r="G206" s="24" t="s">
        <v>376</v>
      </c>
      <c r="H206" s="24" t="s">
        <v>81</v>
      </c>
      <c r="I206" s="24" t="s">
        <v>1031</v>
      </c>
      <c r="J206" s="24" t="s">
        <v>63</v>
      </c>
      <c r="K206" s="24" t="s">
        <v>138</v>
      </c>
      <c r="L206" s="24" t="s">
        <v>40</v>
      </c>
      <c r="M206" s="3" t="s">
        <v>378</v>
      </c>
      <c r="N206" s="24" t="s">
        <v>415</v>
      </c>
      <c r="O206" s="24" t="s">
        <v>42</v>
      </c>
      <c r="P206" s="16" t="s">
        <v>43</v>
      </c>
      <c r="Q206" s="32">
        <v>31799091.665599998</v>
      </c>
      <c r="R206"/>
      <c r="S206"/>
    </row>
    <row r="207" spans="3:19" x14ac:dyDescent="0.25">
      <c r="C207" s="24" t="s">
        <v>915</v>
      </c>
      <c r="D207" s="24" t="s">
        <v>916</v>
      </c>
      <c r="E207" s="24" t="s">
        <v>916</v>
      </c>
      <c r="F207" s="25">
        <v>5</v>
      </c>
      <c r="G207" s="24" t="s">
        <v>376</v>
      </c>
      <c r="H207" s="24" t="s">
        <v>81</v>
      </c>
      <c r="I207" s="24" t="s">
        <v>1046</v>
      </c>
      <c r="J207" s="24" t="s">
        <v>73</v>
      </c>
      <c r="K207" s="24" t="s">
        <v>133</v>
      </c>
      <c r="L207" s="24" t="s">
        <v>40</v>
      </c>
      <c r="M207" s="3" t="s">
        <v>378</v>
      </c>
      <c r="N207" s="24" t="s">
        <v>915</v>
      </c>
      <c r="O207" s="24" t="s">
        <v>42</v>
      </c>
      <c r="P207" s="16" t="s">
        <v>43</v>
      </c>
      <c r="Q207" s="32">
        <v>26415077.858400002</v>
      </c>
      <c r="R207"/>
      <c r="S207"/>
    </row>
    <row r="208" spans="3:19" x14ac:dyDescent="0.25">
      <c r="C208" s="24" t="s">
        <v>164</v>
      </c>
      <c r="D208" s="24" t="s">
        <v>165</v>
      </c>
      <c r="E208" s="24" t="s">
        <v>165</v>
      </c>
      <c r="F208" s="25" t="s">
        <v>36</v>
      </c>
      <c r="G208" s="24" t="s">
        <v>37</v>
      </c>
      <c r="H208" s="24" t="s">
        <v>46</v>
      </c>
      <c r="I208" s="24" t="s">
        <v>1046</v>
      </c>
      <c r="J208" s="24" t="s">
        <v>58</v>
      </c>
      <c r="K208" s="24" t="s">
        <v>138</v>
      </c>
      <c r="L208" s="24" t="s">
        <v>40</v>
      </c>
      <c r="M208" s="24" t="s">
        <v>1035</v>
      </c>
      <c r="N208" s="24" t="s">
        <v>164</v>
      </c>
      <c r="O208" s="24" t="s">
        <v>42</v>
      </c>
      <c r="P208" s="16" t="s">
        <v>43</v>
      </c>
      <c r="Q208" s="32">
        <v>0</v>
      </c>
      <c r="R208"/>
      <c r="S208"/>
    </row>
    <row r="209" spans="3:19" x14ac:dyDescent="0.25">
      <c r="C209" s="24" t="s">
        <v>166</v>
      </c>
      <c r="D209" s="24" t="s">
        <v>167</v>
      </c>
      <c r="E209" s="24" t="s">
        <v>167</v>
      </c>
      <c r="F209" s="25" t="s">
        <v>36</v>
      </c>
      <c r="G209" s="24" t="s">
        <v>37</v>
      </c>
      <c r="H209" s="24" t="s">
        <v>81</v>
      </c>
      <c r="I209" s="24" t="s">
        <v>1046</v>
      </c>
      <c r="J209" s="24" t="s">
        <v>58</v>
      </c>
      <c r="K209" s="24" t="s">
        <v>59</v>
      </c>
      <c r="L209" s="24" t="s">
        <v>40</v>
      </c>
      <c r="M209" s="24" t="s">
        <v>1035</v>
      </c>
      <c r="N209" s="24" t="s">
        <v>166</v>
      </c>
      <c r="O209" s="24" t="s">
        <v>42</v>
      </c>
      <c r="P209" s="16" t="s">
        <v>43</v>
      </c>
      <c r="Q209" s="32">
        <v>0</v>
      </c>
      <c r="R209"/>
      <c r="S209"/>
    </row>
    <row r="210" spans="3:19" x14ac:dyDescent="0.25">
      <c r="C210" s="24" t="s">
        <v>168</v>
      </c>
      <c r="D210" s="24" t="s">
        <v>169</v>
      </c>
      <c r="E210" s="24" t="s">
        <v>170</v>
      </c>
      <c r="F210" s="25" t="s">
        <v>36</v>
      </c>
      <c r="G210" s="24" t="s">
        <v>37</v>
      </c>
      <c r="H210" s="24" t="s">
        <v>46</v>
      </c>
      <c r="I210" s="24" t="s">
        <v>1046</v>
      </c>
      <c r="J210" s="24" t="s">
        <v>160</v>
      </c>
      <c r="K210" s="24" t="s">
        <v>59</v>
      </c>
      <c r="L210" s="24" t="s">
        <v>40</v>
      </c>
      <c r="M210" s="3" t="s">
        <v>984</v>
      </c>
      <c r="N210" s="24" t="s">
        <v>168</v>
      </c>
      <c r="O210" s="24" t="s">
        <v>42</v>
      </c>
      <c r="P210" s="16" t="s">
        <v>43</v>
      </c>
      <c r="Q210" s="32">
        <v>0</v>
      </c>
      <c r="R210"/>
      <c r="S210"/>
    </row>
    <row r="211" spans="3:19" x14ac:dyDescent="0.25">
      <c r="C211" s="24" t="s">
        <v>171</v>
      </c>
      <c r="D211" s="24" t="s">
        <v>172</v>
      </c>
      <c r="E211" s="24" t="s">
        <v>172</v>
      </c>
      <c r="F211" s="25" t="s">
        <v>36</v>
      </c>
      <c r="G211" s="24" t="s">
        <v>37</v>
      </c>
      <c r="H211" s="24" t="s">
        <v>81</v>
      </c>
      <c r="I211" s="24" t="s">
        <v>1046</v>
      </c>
      <c r="J211" s="24" t="s">
        <v>89</v>
      </c>
      <c r="K211" s="24" t="s">
        <v>109</v>
      </c>
      <c r="L211" s="24" t="s">
        <v>91</v>
      </c>
      <c r="M211" s="3" t="s">
        <v>378</v>
      </c>
      <c r="N211" s="24" t="s">
        <v>171</v>
      </c>
      <c r="O211" s="24" t="s">
        <v>42</v>
      </c>
      <c r="P211" s="16" t="s">
        <v>43</v>
      </c>
      <c r="Q211" s="32">
        <v>0</v>
      </c>
      <c r="R211"/>
      <c r="S211"/>
    </row>
    <row r="212" spans="3:19" x14ac:dyDescent="0.25">
      <c r="C212" s="24" t="s">
        <v>173</v>
      </c>
      <c r="D212" s="24" t="s">
        <v>174</v>
      </c>
      <c r="E212" s="24" t="s">
        <v>174</v>
      </c>
      <c r="F212" s="25" t="s">
        <v>36</v>
      </c>
      <c r="G212" s="24" t="s">
        <v>37</v>
      </c>
      <c r="H212" s="24" t="s">
        <v>46</v>
      </c>
      <c r="I212" s="24" t="s">
        <v>1046</v>
      </c>
      <c r="J212" s="24" t="s">
        <v>73</v>
      </c>
      <c r="K212" s="24" t="s">
        <v>64</v>
      </c>
      <c r="L212" s="24" t="s">
        <v>40</v>
      </c>
      <c r="M212" s="3" t="s">
        <v>378</v>
      </c>
      <c r="N212" s="24" t="s">
        <v>173</v>
      </c>
      <c r="O212" s="24" t="s">
        <v>42</v>
      </c>
      <c r="P212" s="16" t="s">
        <v>43</v>
      </c>
      <c r="Q212" s="32">
        <v>0</v>
      </c>
      <c r="R212"/>
      <c r="S212"/>
    </row>
    <row r="213" spans="3:19" x14ac:dyDescent="0.25">
      <c r="C213" s="24" t="s">
        <v>584</v>
      </c>
      <c r="D213" s="24" t="s">
        <v>585</v>
      </c>
      <c r="E213" s="24" t="s">
        <v>585</v>
      </c>
      <c r="F213" s="25">
        <v>5</v>
      </c>
      <c r="G213" s="24" t="s">
        <v>376</v>
      </c>
      <c r="H213" s="24" t="s">
        <v>46</v>
      </c>
      <c r="I213" s="24" t="s">
        <v>1046</v>
      </c>
      <c r="J213" s="24" t="s">
        <v>331</v>
      </c>
      <c r="K213" s="24" t="s">
        <v>138</v>
      </c>
      <c r="L213" s="24" t="s">
        <v>40</v>
      </c>
      <c r="M213" s="3" t="s">
        <v>984</v>
      </c>
      <c r="N213" s="24" t="s">
        <v>584</v>
      </c>
      <c r="O213" s="24" t="s">
        <v>42</v>
      </c>
      <c r="P213" s="16" t="s">
        <v>43</v>
      </c>
      <c r="Q213" s="32">
        <v>42329977.684241042</v>
      </c>
      <c r="R213"/>
      <c r="S213"/>
    </row>
    <row r="214" spans="3:19" x14ac:dyDescent="0.25">
      <c r="C214" s="24" t="s">
        <v>917</v>
      </c>
      <c r="D214" s="24" t="s">
        <v>918</v>
      </c>
      <c r="E214" s="24" t="s">
        <v>918</v>
      </c>
      <c r="F214" s="25">
        <v>5</v>
      </c>
      <c r="G214" s="24" t="s">
        <v>376</v>
      </c>
      <c r="H214" s="24" t="s">
        <v>46</v>
      </c>
      <c r="I214" s="24" t="s">
        <v>1046</v>
      </c>
      <c r="J214" s="24" t="s">
        <v>73</v>
      </c>
      <c r="K214" s="24" t="s">
        <v>605</v>
      </c>
      <c r="L214" s="24" t="s">
        <v>40</v>
      </c>
      <c r="M214" s="3" t="s">
        <v>378</v>
      </c>
      <c r="N214" s="24" t="s">
        <v>917</v>
      </c>
      <c r="O214" s="24" t="s">
        <v>42</v>
      </c>
      <c r="P214" s="16" t="s">
        <v>43</v>
      </c>
      <c r="Q214" s="32">
        <v>35382426.032799996</v>
      </c>
      <c r="R214"/>
      <c r="S214"/>
    </row>
    <row r="215" spans="3:19" x14ac:dyDescent="0.25">
      <c r="C215" s="24" t="s">
        <v>877</v>
      </c>
      <c r="D215" s="24" t="s">
        <v>878</v>
      </c>
      <c r="E215" s="24" t="s">
        <v>878</v>
      </c>
      <c r="F215" s="25">
        <v>5</v>
      </c>
      <c r="G215" s="24" t="s">
        <v>376</v>
      </c>
      <c r="H215" s="24" t="s">
        <v>81</v>
      </c>
      <c r="I215" s="24" t="s">
        <v>1046</v>
      </c>
      <c r="J215" s="24" t="s">
        <v>132</v>
      </c>
      <c r="K215" s="24" t="s">
        <v>856</v>
      </c>
      <c r="L215" s="24" t="s">
        <v>40</v>
      </c>
      <c r="M215" s="24" t="s">
        <v>1035</v>
      </c>
      <c r="N215" s="24" t="s">
        <v>877</v>
      </c>
      <c r="O215" s="24" t="s">
        <v>42</v>
      </c>
      <c r="P215" s="16" t="s">
        <v>43</v>
      </c>
      <c r="Q215" s="32">
        <v>36310440.820500001</v>
      </c>
      <c r="R215"/>
      <c r="S215"/>
    </row>
    <row r="216" spans="3:19" x14ac:dyDescent="0.25">
      <c r="C216" s="24" t="s">
        <v>586</v>
      </c>
      <c r="D216" s="24" t="s">
        <v>587</v>
      </c>
      <c r="E216" s="24" t="s">
        <v>587</v>
      </c>
      <c r="F216" s="25">
        <v>5</v>
      </c>
      <c r="G216" s="24" t="s">
        <v>376</v>
      </c>
      <c r="H216" s="24" t="s">
        <v>46</v>
      </c>
      <c r="I216" s="24" t="s">
        <v>1046</v>
      </c>
      <c r="J216" s="24" t="s">
        <v>331</v>
      </c>
      <c r="K216" s="24" t="s">
        <v>138</v>
      </c>
      <c r="L216" s="24" t="s">
        <v>40</v>
      </c>
      <c r="M216" s="3" t="s">
        <v>984</v>
      </c>
      <c r="N216" s="24" t="s">
        <v>586</v>
      </c>
      <c r="O216" s="24" t="s">
        <v>42</v>
      </c>
      <c r="P216" s="16" t="s">
        <v>43</v>
      </c>
      <c r="Q216" s="32">
        <v>63429881.867449999</v>
      </c>
      <c r="R216"/>
      <c r="S216"/>
    </row>
    <row r="217" spans="3:19" x14ac:dyDescent="0.25">
      <c r="C217" s="24" t="s">
        <v>175</v>
      </c>
      <c r="D217" s="24" t="s">
        <v>176</v>
      </c>
      <c r="E217" s="24" t="s">
        <v>176</v>
      </c>
      <c r="F217" s="25" t="s">
        <v>36</v>
      </c>
      <c r="G217" s="24" t="s">
        <v>37</v>
      </c>
      <c r="H217" s="24" t="s">
        <v>46</v>
      </c>
      <c r="I217" s="24" t="s">
        <v>1046</v>
      </c>
      <c r="J217" s="24" t="s">
        <v>132</v>
      </c>
      <c r="K217" s="24" t="s">
        <v>64</v>
      </c>
      <c r="L217" s="24" t="s">
        <v>40</v>
      </c>
      <c r="M217" s="24" t="s">
        <v>1035</v>
      </c>
      <c r="N217" s="24" t="s">
        <v>175</v>
      </c>
      <c r="O217" s="24" t="s">
        <v>42</v>
      </c>
      <c r="P217" s="16" t="s">
        <v>43</v>
      </c>
      <c r="Q217" s="32">
        <v>0</v>
      </c>
      <c r="R217"/>
      <c r="S217"/>
    </row>
    <row r="218" spans="3:19" x14ac:dyDescent="0.25">
      <c r="C218" s="24" t="s">
        <v>177</v>
      </c>
      <c r="D218" s="24" t="s">
        <v>178</v>
      </c>
      <c r="E218" s="24" t="s">
        <v>178</v>
      </c>
      <c r="F218" s="25" t="s">
        <v>36</v>
      </c>
      <c r="G218" s="24" t="s">
        <v>37</v>
      </c>
      <c r="H218" s="24" t="s">
        <v>81</v>
      </c>
      <c r="I218" s="24" t="s">
        <v>1046</v>
      </c>
      <c r="J218" s="24" t="s">
        <v>1048</v>
      </c>
      <c r="K218" s="24" t="s">
        <v>179</v>
      </c>
      <c r="L218" s="24" t="s">
        <v>55</v>
      </c>
      <c r="M218" s="3" t="s">
        <v>378</v>
      </c>
      <c r="N218" s="24" t="s">
        <v>177</v>
      </c>
      <c r="O218" s="24" t="s">
        <v>42</v>
      </c>
      <c r="P218" s="16" t="s">
        <v>43</v>
      </c>
      <c r="Q218" s="32">
        <v>0</v>
      </c>
      <c r="R218"/>
      <c r="S218"/>
    </row>
    <row r="219" spans="3:19" x14ac:dyDescent="0.25">
      <c r="C219" s="24" t="s">
        <v>180</v>
      </c>
      <c r="D219" s="24" t="s">
        <v>181</v>
      </c>
      <c r="E219" s="24" t="s">
        <v>181</v>
      </c>
      <c r="F219" s="25" t="s">
        <v>36</v>
      </c>
      <c r="G219" s="24" t="s">
        <v>37</v>
      </c>
      <c r="H219" s="24" t="s">
        <v>81</v>
      </c>
      <c r="I219" s="24" t="s">
        <v>1046</v>
      </c>
      <c r="J219" s="24" t="s">
        <v>1048</v>
      </c>
      <c r="K219" s="24" t="s">
        <v>182</v>
      </c>
      <c r="L219" s="24" t="s">
        <v>55</v>
      </c>
      <c r="M219" s="3" t="s">
        <v>378</v>
      </c>
      <c r="N219" s="24" t="s">
        <v>180</v>
      </c>
      <c r="O219" s="24" t="s">
        <v>42</v>
      </c>
      <c r="P219" s="16" t="s">
        <v>43</v>
      </c>
      <c r="Q219" s="32">
        <v>0</v>
      </c>
      <c r="R219"/>
      <c r="S219"/>
    </row>
    <row r="220" spans="3:19" x14ac:dyDescent="0.25">
      <c r="C220" s="24" t="s">
        <v>588</v>
      </c>
      <c r="D220" s="24" t="s">
        <v>589</v>
      </c>
      <c r="E220" s="24" t="s">
        <v>589</v>
      </c>
      <c r="F220" s="25">
        <v>5</v>
      </c>
      <c r="G220" s="24" t="s">
        <v>376</v>
      </c>
      <c r="H220" s="24" t="s">
        <v>46</v>
      </c>
      <c r="I220" s="24" t="s">
        <v>1046</v>
      </c>
      <c r="J220" s="24" t="s">
        <v>331</v>
      </c>
      <c r="K220" s="24" t="s">
        <v>138</v>
      </c>
      <c r="L220" s="24" t="s">
        <v>40</v>
      </c>
      <c r="M220" s="3" t="s">
        <v>984</v>
      </c>
      <c r="N220" s="24" t="s">
        <v>588</v>
      </c>
      <c r="O220" s="24" t="s">
        <v>42</v>
      </c>
      <c r="P220" s="16" t="s">
        <v>43</v>
      </c>
      <c r="Q220" s="32">
        <v>50922799.932549998</v>
      </c>
      <c r="R220"/>
      <c r="S220"/>
    </row>
    <row r="221" spans="3:19" x14ac:dyDescent="0.25">
      <c r="C221" s="24" t="s">
        <v>183</v>
      </c>
      <c r="D221" s="24" t="s">
        <v>184</v>
      </c>
      <c r="E221" s="24" t="s">
        <v>184</v>
      </c>
      <c r="F221" s="25" t="s">
        <v>36</v>
      </c>
      <c r="G221" s="24" t="s">
        <v>37</v>
      </c>
      <c r="H221" s="24" t="s">
        <v>81</v>
      </c>
      <c r="I221" s="24" t="s">
        <v>1046</v>
      </c>
      <c r="J221" s="24">
        <v>0</v>
      </c>
      <c r="K221" s="24" t="s">
        <v>64</v>
      </c>
      <c r="L221" s="24" t="s">
        <v>40</v>
      </c>
      <c r="M221" s="24" t="s">
        <v>1053</v>
      </c>
      <c r="N221" s="24" t="s">
        <v>183</v>
      </c>
      <c r="O221" s="24" t="s">
        <v>42</v>
      </c>
      <c r="P221" s="16" t="s">
        <v>43</v>
      </c>
      <c r="Q221" s="32">
        <v>0</v>
      </c>
      <c r="R221"/>
      <c r="S221"/>
    </row>
    <row r="222" spans="3:19" x14ac:dyDescent="0.25">
      <c r="C222" s="24" t="s">
        <v>185</v>
      </c>
      <c r="D222" s="24" t="s">
        <v>186</v>
      </c>
      <c r="E222" s="24" t="s">
        <v>186</v>
      </c>
      <c r="F222" s="25" t="s">
        <v>36</v>
      </c>
      <c r="G222" s="24" t="s">
        <v>37</v>
      </c>
      <c r="H222" s="24" t="s">
        <v>46</v>
      </c>
      <c r="I222" s="24" t="s">
        <v>1046</v>
      </c>
      <c r="J222" s="24" t="s">
        <v>94</v>
      </c>
      <c r="K222" s="24" t="s">
        <v>64</v>
      </c>
      <c r="L222" s="24" t="s">
        <v>40</v>
      </c>
      <c r="M222" s="24" t="s">
        <v>1035</v>
      </c>
      <c r="N222" s="24" t="s">
        <v>185</v>
      </c>
      <c r="O222" s="24" t="s">
        <v>42</v>
      </c>
      <c r="P222" s="16" t="s">
        <v>43</v>
      </c>
      <c r="Q222" s="32">
        <v>0</v>
      </c>
      <c r="R222"/>
      <c r="S222"/>
    </row>
    <row r="223" spans="3:19" x14ac:dyDescent="0.25">
      <c r="C223" s="24" t="s">
        <v>445</v>
      </c>
      <c r="D223" s="24" t="s">
        <v>446</v>
      </c>
      <c r="E223" s="24" t="s">
        <v>446</v>
      </c>
      <c r="F223" s="25">
        <v>5</v>
      </c>
      <c r="G223" s="24" t="s">
        <v>376</v>
      </c>
      <c r="H223" s="24" t="s">
        <v>46</v>
      </c>
      <c r="I223" s="24" t="s">
        <v>1046</v>
      </c>
      <c r="J223" s="24" t="s">
        <v>94</v>
      </c>
      <c r="K223" s="24" t="s">
        <v>64</v>
      </c>
      <c r="L223" s="24" t="s">
        <v>40</v>
      </c>
      <c r="M223" s="24" t="s">
        <v>1035</v>
      </c>
      <c r="N223" s="24" t="s">
        <v>445</v>
      </c>
      <c r="O223" s="24" t="s">
        <v>42</v>
      </c>
      <c r="P223" s="16" t="s">
        <v>43</v>
      </c>
      <c r="Q223" s="32">
        <v>32620290.003350001</v>
      </c>
      <c r="R223"/>
      <c r="S223"/>
    </row>
    <row r="224" spans="3:19" x14ac:dyDescent="0.25">
      <c r="C224" s="24" t="s">
        <v>817</v>
      </c>
      <c r="D224" s="24" t="s">
        <v>818</v>
      </c>
      <c r="E224" s="24" t="s">
        <v>818</v>
      </c>
      <c r="F224" s="25">
        <v>5</v>
      </c>
      <c r="G224" s="24" t="s">
        <v>376</v>
      </c>
      <c r="H224" s="24" t="s">
        <v>46</v>
      </c>
      <c r="I224" s="24" t="s">
        <v>1046</v>
      </c>
      <c r="J224" s="24" t="s">
        <v>146</v>
      </c>
      <c r="K224" s="24" t="s">
        <v>59</v>
      </c>
      <c r="L224" s="24" t="s">
        <v>40</v>
      </c>
      <c r="M224" s="24" t="s">
        <v>1035</v>
      </c>
      <c r="N224" s="24" t="s">
        <v>817</v>
      </c>
      <c r="O224" s="24" t="s">
        <v>42</v>
      </c>
      <c r="P224" s="16" t="s">
        <v>43</v>
      </c>
      <c r="Q224" s="32">
        <v>40891129.145299993</v>
      </c>
      <c r="R224"/>
      <c r="S224"/>
    </row>
    <row r="225" spans="3:19" x14ac:dyDescent="0.25">
      <c r="C225" s="24" t="s">
        <v>187</v>
      </c>
      <c r="D225" s="24" t="s">
        <v>188</v>
      </c>
      <c r="E225" s="24" t="s">
        <v>188</v>
      </c>
      <c r="F225" s="25" t="s">
        <v>36</v>
      </c>
      <c r="G225" s="24" t="s">
        <v>37</v>
      </c>
      <c r="H225" s="24" t="s">
        <v>81</v>
      </c>
      <c r="I225" s="24" t="s">
        <v>1046</v>
      </c>
      <c r="J225" s="24" t="s">
        <v>160</v>
      </c>
      <c r="K225" s="24" t="s">
        <v>64</v>
      </c>
      <c r="L225" s="24" t="s">
        <v>40</v>
      </c>
      <c r="M225" s="3" t="s">
        <v>984</v>
      </c>
      <c r="N225" s="24" t="s">
        <v>187</v>
      </c>
      <c r="O225" s="24" t="s">
        <v>42</v>
      </c>
      <c r="P225" s="16" t="s">
        <v>43</v>
      </c>
      <c r="Q225" s="32">
        <v>0</v>
      </c>
      <c r="R225"/>
      <c r="S225"/>
    </row>
    <row r="226" spans="3:19" x14ac:dyDescent="0.25">
      <c r="C226" s="24" t="s">
        <v>189</v>
      </c>
      <c r="D226" s="24" t="s">
        <v>190</v>
      </c>
      <c r="E226" s="24" t="s">
        <v>190</v>
      </c>
      <c r="F226" s="25" t="s">
        <v>36</v>
      </c>
      <c r="G226" s="24" t="s">
        <v>37</v>
      </c>
      <c r="H226" s="24" t="s">
        <v>81</v>
      </c>
      <c r="I226" s="24" t="s">
        <v>1046</v>
      </c>
      <c r="J226" s="24" t="s">
        <v>73</v>
      </c>
      <c r="K226" s="24" t="s">
        <v>64</v>
      </c>
      <c r="L226" s="24" t="s">
        <v>40</v>
      </c>
      <c r="M226" s="3" t="s">
        <v>378</v>
      </c>
      <c r="N226" s="24" t="s">
        <v>189</v>
      </c>
      <c r="O226" s="24" t="s">
        <v>42</v>
      </c>
      <c r="P226" s="16" t="s">
        <v>43</v>
      </c>
      <c r="Q226" s="32">
        <v>0</v>
      </c>
      <c r="R226"/>
      <c r="S226"/>
    </row>
    <row r="227" spans="3:19" x14ac:dyDescent="0.25">
      <c r="C227" s="24" t="s">
        <v>602</v>
      </c>
      <c r="D227" s="24" t="s">
        <v>603</v>
      </c>
      <c r="E227" s="24" t="s">
        <v>604</v>
      </c>
      <c r="F227" s="25">
        <v>5</v>
      </c>
      <c r="G227" s="24" t="s">
        <v>376</v>
      </c>
      <c r="H227" s="24" t="s">
        <v>81</v>
      </c>
      <c r="I227" s="24" t="s">
        <v>1046</v>
      </c>
      <c r="J227" s="24" t="s">
        <v>50</v>
      </c>
      <c r="K227" s="24" t="s">
        <v>605</v>
      </c>
      <c r="L227" s="24" t="s">
        <v>40</v>
      </c>
      <c r="M227" s="3" t="s">
        <v>984</v>
      </c>
      <c r="N227" s="24" t="s">
        <v>602</v>
      </c>
      <c r="O227" s="24" t="s">
        <v>42</v>
      </c>
      <c r="P227" s="16" t="s">
        <v>43</v>
      </c>
      <c r="Q227" s="32">
        <v>53952148.525125489</v>
      </c>
      <c r="R227"/>
      <c r="S227"/>
    </row>
    <row r="228" spans="3:19" x14ac:dyDescent="0.25">
      <c r="C228" s="24" t="s">
        <v>191</v>
      </c>
      <c r="D228" s="24" t="s">
        <v>192</v>
      </c>
      <c r="E228" s="24" t="s">
        <v>193</v>
      </c>
      <c r="F228" s="25" t="s">
        <v>36</v>
      </c>
      <c r="G228" s="24" t="s">
        <v>37</v>
      </c>
      <c r="H228" s="24" t="s">
        <v>81</v>
      </c>
      <c r="I228" s="24" t="s">
        <v>1046</v>
      </c>
      <c r="J228" s="24" t="s">
        <v>94</v>
      </c>
      <c r="K228" s="24" t="s">
        <v>64</v>
      </c>
      <c r="L228" s="24" t="s">
        <v>40</v>
      </c>
      <c r="M228" s="24" t="s">
        <v>1035</v>
      </c>
      <c r="N228" s="24" t="s">
        <v>191</v>
      </c>
      <c r="O228" s="24" t="s">
        <v>42</v>
      </c>
      <c r="P228" s="16" t="s">
        <v>43</v>
      </c>
      <c r="Q228" s="32">
        <v>0</v>
      </c>
      <c r="R228"/>
      <c r="S228"/>
    </row>
    <row r="229" spans="3:19" x14ac:dyDescent="0.25">
      <c r="C229" s="24" t="s">
        <v>194</v>
      </c>
      <c r="D229" s="24" t="s">
        <v>195</v>
      </c>
      <c r="E229" s="24" t="s">
        <v>196</v>
      </c>
      <c r="F229" s="25" t="s">
        <v>36</v>
      </c>
      <c r="G229" s="24" t="s">
        <v>37</v>
      </c>
      <c r="H229" s="24" t="s">
        <v>88</v>
      </c>
      <c r="I229" s="24" t="s">
        <v>1046</v>
      </c>
      <c r="J229" s="24" t="s">
        <v>1048</v>
      </c>
      <c r="K229" s="24" t="s">
        <v>85</v>
      </c>
      <c r="L229" s="24" t="s">
        <v>55</v>
      </c>
      <c r="M229" s="3" t="s">
        <v>378</v>
      </c>
      <c r="N229" s="24" t="s">
        <v>194</v>
      </c>
      <c r="O229" s="24" t="s">
        <v>42</v>
      </c>
      <c r="P229" s="16" t="s">
        <v>43</v>
      </c>
      <c r="Q229" s="32">
        <v>0</v>
      </c>
      <c r="R229"/>
      <c r="S229"/>
    </row>
    <row r="230" spans="3:19" x14ac:dyDescent="0.25">
      <c r="C230" s="24" t="s">
        <v>719</v>
      </c>
      <c r="D230" s="24" t="s">
        <v>720</v>
      </c>
      <c r="E230" s="24" t="s">
        <v>721</v>
      </c>
      <c r="F230" s="25">
        <v>5</v>
      </c>
      <c r="G230" s="24" t="s">
        <v>376</v>
      </c>
      <c r="H230" s="24" t="s">
        <v>81</v>
      </c>
      <c r="I230" s="24" t="s">
        <v>1031</v>
      </c>
      <c r="J230" s="24" t="s">
        <v>84</v>
      </c>
      <c r="K230" s="24" t="s">
        <v>722</v>
      </c>
      <c r="L230" s="24" t="s">
        <v>55</v>
      </c>
      <c r="M230" s="3" t="s">
        <v>378</v>
      </c>
      <c r="N230" s="24" t="s">
        <v>719</v>
      </c>
      <c r="O230" s="24" t="s">
        <v>42</v>
      </c>
      <c r="P230" s="16" t="s">
        <v>43</v>
      </c>
      <c r="Q230" s="32">
        <v>36627862.791099995</v>
      </c>
      <c r="R230"/>
      <c r="S230"/>
    </row>
    <row r="231" spans="3:19" x14ac:dyDescent="0.25">
      <c r="C231" s="24" t="s">
        <v>197</v>
      </c>
      <c r="D231" s="24" t="s">
        <v>198</v>
      </c>
      <c r="E231" s="24" t="s">
        <v>198</v>
      </c>
      <c r="F231" s="25" t="s">
        <v>36</v>
      </c>
      <c r="G231" s="24" t="s">
        <v>37</v>
      </c>
      <c r="H231" s="24" t="s">
        <v>46</v>
      </c>
      <c r="I231" s="24" t="s">
        <v>1046</v>
      </c>
      <c r="J231" s="24" t="s">
        <v>63</v>
      </c>
      <c r="K231" s="24" t="s">
        <v>138</v>
      </c>
      <c r="L231" s="24" t="s">
        <v>40</v>
      </c>
      <c r="M231" s="3" t="s">
        <v>378</v>
      </c>
      <c r="N231" s="24" t="s">
        <v>197</v>
      </c>
      <c r="O231" s="24" t="s">
        <v>42</v>
      </c>
      <c r="P231" s="16" t="s">
        <v>43</v>
      </c>
      <c r="Q231" s="32">
        <v>0</v>
      </c>
      <c r="R231"/>
      <c r="S231"/>
    </row>
    <row r="232" spans="3:19" x14ac:dyDescent="0.25">
      <c r="C232" s="24" t="s">
        <v>199</v>
      </c>
      <c r="D232" s="24" t="s">
        <v>200</v>
      </c>
      <c r="E232" s="24" t="s">
        <v>201</v>
      </c>
      <c r="F232" s="25" t="s">
        <v>36</v>
      </c>
      <c r="G232" s="24" t="s">
        <v>37</v>
      </c>
      <c r="H232" s="24" t="s">
        <v>202</v>
      </c>
      <c r="I232" s="24" t="s">
        <v>1046</v>
      </c>
      <c r="J232" s="24">
        <v>0</v>
      </c>
      <c r="K232" s="24" t="s">
        <v>59</v>
      </c>
      <c r="L232" s="24" t="s">
        <v>40</v>
      </c>
      <c r="M232" s="24" t="s">
        <v>1053</v>
      </c>
      <c r="N232" s="24" t="s">
        <v>199</v>
      </c>
      <c r="O232" s="24" t="s">
        <v>42</v>
      </c>
      <c r="P232" s="16" t="s">
        <v>43</v>
      </c>
      <c r="Q232" s="32">
        <v>0</v>
      </c>
      <c r="R232"/>
      <c r="S232"/>
    </row>
    <row r="233" spans="3:19" x14ac:dyDescent="0.25">
      <c r="C233" s="24" t="s">
        <v>723</v>
      </c>
      <c r="D233" s="24" t="s">
        <v>724</v>
      </c>
      <c r="E233" s="24" t="s">
        <v>725</v>
      </c>
      <c r="F233" s="25">
        <v>5</v>
      </c>
      <c r="G233" s="24" t="s">
        <v>376</v>
      </c>
      <c r="H233" s="24" t="s">
        <v>46</v>
      </c>
      <c r="I233" s="24" t="s">
        <v>1031</v>
      </c>
      <c r="J233" s="24" t="s">
        <v>84</v>
      </c>
      <c r="K233" s="24" t="s">
        <v>54</v>
      </c>
      <c r="L233" s="24" t="s">
        <v>55</v>
      </c>
      <c r="M233" s="3" t="s">
        <v>378</v>
      </c>
      <c r="N233" s="24" t="s">
        <v>723</v>
      </c>
      <c r="O233" s="24" t="s">
        <v>42</v>
      </c>
      <c r="P233" s="16" t="s">
        <v>440</v>
      </c>
      <c r="Q233" s="32">
        <v>37479752.320499994</v>
      </c>
      <c r="R233"/>
      <c r="S233"/>
    </row>
    <row r="234" spans="3:19" x14ac:dyDescent="0.25">
      <c r="C234" s="24" t="s">
        <v>819</v>
      </c>
      <c r="D234" s="24" t="s">
        <v>820</v>
      </c>
      <c r="E234" s="24" t="s">
        <v>820</v>
      </c>
      <c r="F234" s="25">
        <v>6</v>
      </c>
      <c r="G234" s="24" t="s">
        <v>376</v>
      </c>
      <c r="H234" s="24" t="s">
        <v>46</v>
      </c>
      <c r="I234" s="24" t="s">
        <v>1046</v>
      </c>
      <c r="J234" s="24" t="s">
        <v>146</v>
      </c>
      <c r="K234" s="24" t="s">
        <v>59</v>
      </c>
      <c r="L234" s="24" t="s">
        <v>40</v>
      </c>
      <c r="M234" s="24" t="s">
        <v>1035</v>
      </c>
      <c r="N234" s="24" t="s">
        <v>819</v>
      </c>
      <c r="O234" s="24" t="s">
        <v>42</v>
      </c>
      <c r="P234" s="16" t="s">
        <v>43</v>
      </c>
      <c r="Q234" s="32">
        <v>61333146.627549998</v>
      </c>
      <c r="R234"/>
      <c r="S234"/>
    </row>
    <row r="235" spans="3:19" x14ac:dyDescent="0.25">
      <c r="C235" s="24" t="s">
        <v>821</v>
      </c>
      <c r="D235" s="24" t="s">
        <v>822</v>
      </c>
      <c r="E235" s="24" t="s">
        <v>822</v>
      </c>
      <c r="F235" s="25">
        <v>5</v>
      </c>
      <c r="G235" s="24" t="s">
        <v>376</v>
      </c>
      <c r="H235" s="24" t="s">
        <v>46</v>
      </c>
      <c r="I235" s="24" t="s">
        <v>1046</v>
      </c>
      <c r="J235" s="24" t="s">
        <v>146</v>
      </c>
      <c r="K235" s="24" t="s">
        <v>59</v>
      </c>
      <c r="L235" s="24" t="s">
        <v>40</v>
      </c>
      <c r="M235" s="24" t="s">
        <v>1035</v>
      </c>
      <c r="N235" s="24" t="s">
        <v>821</v>
      </c>
      <c r="O235" s="24" t="s">
        <v>42</v>
      </c>
      <c r="P235" s="16" t="s">
        <v>43</v>
      </c>
      <c r="Q235" s="32">
        <v>52064096.961449988</v>
      </c>
      <c r="R235"/>
      <c r="S235"/>
    </row>
    <row r="236" spans="3:19" x14ac:dyDescent="0.25">
      <c r="C236" s="24" t="s">
        <v>203</v>
      </c>
      <c r="D236" s="24" t="s">
        <v>204</v>
      </c>
      <c r="E236" s="24" t="s">
        <v>204</v>
      </c>
      <c r="F236" s="25" t="s">
        <v>36</v>
      </c>
      <c r="G236" s="24" t="s">
        <v>37</v>
      </c>
      <c r="H236" s="24" t="s">
        <v>46</v>
      </c>
      <c r="I236" s="24" t="s">
        <v>1046</v>
      </c>
      <c r="J236" s="24">
        <v>0</v>
      </c>
      <c r="K236" s="24" t="s">
        <v>205</v>
      </c>
      <c r="L236" s="24" t="s">
        <v>40</v>
      </c>
      <c r="M236" s="24" t="s">
        <v>1053</v>
      </c>
      <c r="N236" s="24" t="s">
        <v>203</v>
      </c>
      <c r="O236" s="24" t="s">
        <v>42</v>
      </c>
      <c r="P236" s="16" t="s">
        <v>43</v>
      </c>
      <c r="Q236" s="32">
        <v>0</v>
      </c>
      <c r="R236"/>
      <c r="S236"/>
    </row>
    <row r="237" spans="3:19" x14ac:dyDescent="0.25">
      <c r="C237" s="24" t="s">
        <v>206</v>
      </c>
      <c r="D237" s="24" t="s">
        <v>207</v>
      </c>
      <c r="E237" s="24" t="s">
        <v>207</v>
      </c>
      <c r="F237" s="25" t="s">
        <v>36</v>
      </c>
      <c r="G237" s="24" t="s">
        <v>37</v>
      </c>
      <c r="H237" s="24" t="s">
        <v>46</v>
      </c>
      <c r="I237" s="24" t="s">
        <v>1046</v>
      </c>
      <c r="J237" s="24" t="s">
        <v>58</v>
      </c>
      <c r="K237" s="24" t="s">
        <v>64</v>
      </c>
      <c r="L237" s="24" t="s">
        <v>40</v>
      </c>
      <c r="M237" s="24" t="s">
        <v>1035</v>
      </c>
      <c r="N237" s="24" t="s">
        <v>206</v>
      </c>
      <c r="O237" s="24" t="s">
        <v>42</v>
      </c>
      <c r="P237" s="16" t="s">
        <v>43</v>
      </c>
      <c r="Q237" s="32">
        <v>0</v>
      </c>
      <c r="R237"/>
      <c r="S237"/>
    </row>
    <row r="238" spans="3:19" x14ac:dyDescent="0.25">
      <c r="C238" s="24" t="s">
        <v>758</v>
      </c>
      <c r="D238" s="24" t="s">
        <v>759</v>
      </c>
      <c r="E238" s="24" t="s">
        <v>760</v>
      </c>
      <c r="F238" s="25">
        <v>5</v>
      </c>
      <c r="G238" s="24" t="s">
        <v>376</v>
      </c>
      <c r="H238" s="24" t="s">
        <v>81</v>
      </c>
      <c r="I238" s="24" t="s">
        <v>1031</v>
      </c>
      <c r="J238" s="24" t="s">
        <v>1048</v>
      </c>
      <c r="K238" s="24" t="s">
        <v>54</v>
      </c>
      <c r="L238" s="24" t="s">
        <v>55</v>
      </c>
      <c r="M238" s="3" t="s">
        <v>378</v>
      </c>
      <c r="N238" s="24" t="s">
        <v>758</v>
      </c>
      <c r="O238" s="24" t="s">
        <v>379</v>
      </c>
      <c r="P238" s="16" t="s">
        <v>43</v>
      </c>
      <c r="Q238" s="32">
        <v>57588598.284000002</v>
      </c>
      <c r="R238"/>
      <c r="S238"/>
    </row>
    <row r="239" spans="3:19" x14ac:dyDescent="0.25">
      <c r="C239" s="24" t="s">
        <v>208</v>
      </c>
      <c r="D239" s="24" t="s">
        <v>209</v>
      </c>
      <c r="E239" s="24" t="s">
        <v>209</v>
      </c>
      <c r="F239" s="25" t="s">
        <v>36</v>
      </c>
      <c r="G239" s="24" t="s">
        <v>37</v>
      </c>
      <c r="H239" s="24" t="s">
        <v>81</v>
      </c>
      <c r="I239" s="24" t="s">
        <v>1046</v>
      </c>
      <c r="J239" s="24">
        <v>0</v>
      </c>
      <c r="K239" s="24" t="s">
        <v>78</v>
      </c>
      <c r="L239" s="24" t="s">
        <v>40</v>
      </c>
      <c r="M239" s="24" t="s">
        <v>1053</v>
      </c>
      <c r="N239" s="24" t="s">
        <v>208</v>
      </c>
      <c r="O239" s="24" t="s">
        <v>42</v>
      </c>
      <c r="P239" s="16" t="s">
        <v>43</v>
      </c>
      <c r="Q239" s="32">
        <v>0</v>
      </c>
      <c r="R239"/>
      <c r="S239"/>
    </row>
    <row r="240" spans="3:19" x14ac:dyDescent="0.25">
      <c r="C240" s="24" t="s">
        <v>606</v>
      </c>
      <c r="D240" s="24" t="s">
        <v>607</v>
      </c>
      <c r="E240" s="24" t="s">
        <v>608</v>
      </c>
      <c r="F240" s="25">
        <v>5</v>
      </c>
      <c r="G240" s="24" t="s">
        <v>376</v>
      </c>
      <c r="H240" s="24" t="s">
        <v>46</v>
      </c>
      <c r="I240" s="24" t="s">
        <v>1046</v>
      </c>
      <c r="J240" s="24" t="s">
        <v>50</v>
      </c>
      <c r="K240" s="24" t="s">
        <v>609</v>
      </c>
      <c r="L240" s="24" t="s">
        <v>40</v>
      </c>
      <c r="M240" s="3" t="s">
        <v>984</v>
      </c>
      <c r="N240" s="24" t="s">
        <v>606</v>
      </c>
      <c r="O240" s="24" t="s">
        <v>42</v>
      </c>
      <c r="P240" s="16" t="s">
        <v>43</v>
      </c>
      <c r="Q240" s="32">
        <v>36941080.958599992</v>
      </c>
      <c r="R240"/>
      <c r="S240"/>
    </row>
    <row r="241" spans="3:19" x14ac:dyDescent="0.25">
      <c r="C241" s="24" t="s">
        <v>210</v>
      </c>
      <c r="D241" s="24" t="s">
        <v>211</v>
      </c>
      <c r="E241" s="24" t="s">
        <v>212</v>
      </c>
      <c r="F241" s="25" t="s">
        <v>36</v>
      </c>
      <c r="G241" s="24" t="s">
        <v>37</v>
      </c>
      <c r="H241" s="24" t="s">
        <v>46</v>
      </c>
      <c r="I241" s="24" t="s">
        <v>1046</v>
      </c>
      <c r="J241" s="24">
        <v>0</v>
      </c>
      <c r="K241" s="24" t="s">
        <v>59</v>
      </c>
      <c r="L241" s="24" t="s">
        <v>40</v>
      </c>
      <c r="M241" s="24" t="s">
        <v>1053</v>
      </c>
      <c r="N241" s="24" t="s">
        <v>210</v>
      </c>
      <c r="O241" s="24" t="s">
        <v>42</v>
      </c>
      <c r="P241" s="16" t="s">
        <v>43</v>
      </c>
      <c r="Q241" s="32">
        <v>0</v>
      </c>
      <c r="R241"/>
      <c r="S241"/>
    </row>
    <row r="242" spans="3:19" x14ac:dyDescent="0.25">
      <c r="C242" s="24" t="s">
        <v>213</v>
      </c>
      <c r="D242" s="24" t="s">
        <v>214</v>
      </c>
      <c r="E242" s="24" t="s">
        <v>214</v>
      </c>
      <c r="F242" s="25" t="s">
        <v>36</v>
      </c>
      <c r="G242" s="24" t="s">
        <v>37</v>
      </c>
      <c r="H242" s="24" t="s">
        <v>202</v>
      </c>
      <c r="I242" s="24" t="s">
        <v>1046</v>
      </c>
      <c r="J242" s="24">
        <v>0</v>
      </c>
      <c r="K242" s="24" t="s">
        <v>59</v>
      </c>
      <c r="L242" s="24" t="s">
        <v>40</v>
      </c>
      <c r="M242" s="24" t="s">
        <v>1053</v>
      </c>
      <c r="N242" s="24" t="s">
        <v>213</v>
      </c>
      <c r="O242" s="24" t="s">
        <v>42</v>
      </c>
      <c r="P242" s="16" t="s">
        <v>43</v>
      </c>
      <c r="Q242" s="32">
        <v>0</v>
      </c>
      <c r="R242"/>
      <c r="S242"/>
    </row>
    <row r="243" spans="3:19" x14ac:dyDescent="0.25">
      <c r="C243" s="24" t="s">
        <v>215</v>
      </c>
      <c r="D243" s="24" t="s">
        <v>216</v>
      </c>
      <c r="E243" s="24" t="s">
        <v>216</v>
      </c>
      <c r="F243" s="25" t="s">
        <v>36</v>
      </c>
      <c r="G243" s="24" t="s">
        <v>37</v>
      </c>
      <c r="H243" s="24" t="s">
        <v>81</v>
      </c>
      <c r="I243" s="24" t="s">
        <v>1046</v>
      </c>
      <c r="J243" s="24" t="s">
        <v>67</v>
      </c>
      <c r="K243" s="24" t="s">
        <v>138</v>
      </c>
      <c r="L243" s="24" t="s">
        <v>40</v>
      </c>
      <c r="M243" s="24" t="s">
        <v>1035</v>
      </c>
      <c r="N243" s="24" t="s">
        <v>215</v>
      </c>
      <c r="O243" s="24" t="s">
        <v>42</v>
      </c>
      <c r="P243" s="16" t="s">
        <v>43</v>
      </c>
      <c r="Q243" s="32">
        <v>0</v>
      </c>
      <c r="R243"/>
      <c r="S243"/>
    </row>
    <row r="244" spans="3:19" x14ac:dyDescent="0.25">
      <c r="C244" s="24" t="s">
        <v>548</v>
      </c>
      <c r="D244" s="24" t="s">
        <v>549</v>
      </c>
      <c r="E244" s="24" t="s">
        <v>550</v>
      </c>
      <c r="F244" s="25">
        <v>5</v>
      </c>
      <c r="G244" s="24" t="s">
        <v>376</v>
      </c>
      <c r="H244" s="24" t="s">
        <v>81</v>
      </c>
      <c r="I244" s="24" t="s">
        <v>1046</v>
      </c>
      <c r="J244" s="24" t="s">
        <v>100</v>
      </c>
      <c r="K244" s="24" t="s">
        <v>138</v>
      </c>
      <c r="L244" s="24" t="s">
        <v>40</v>
      </c>
      <c r="M244" s="24" t="s">
        <v>1035</v>
      </c>
      <c r="N244" s="24" t="s">
        <v>548</v>
      </c>
      <c r="O244" s="24" t="s">
        <v>42</v>
      </c>
      <c r="P244" s="16" t="s">
        <v>43</v>
      </c>
      <c r="Q244" s="32">
        <v>29875139.025200002</v>
      </c>
      <c r="R244"/>
      <c r="S244"/>
    </row>
    <row r="245" spans="3:19" x14ac:dyDescent="0.25">
      <c r="C245" s="24" t="s">
        <v>726</v>
      </c>
      <c r="D245" s="24" t="s">
        <v>727</v>
      </c>
      <c r="E245" s="24" t="s">
        <v>727</v>
      </c>
      <c r="F245" s="25">
        <v>5</v>
      </c>
      <c r="G245" s="24" t="s">
        <v>376</v>
      </c>
      <c r="H245" s="24" t="s">
        <v>81</v>
      </c>
      <c r="I245" s="24" t="s">
        <v>1031</v>
      </c>
      <c r="J245" s="24" t="s">
        <v>84</v>
      </c>
      <c r="K245" s="24" t="s">
        <v>54</v>
      </c>
      <c r="L245" s="24" t="s">
        <v>55</v>
      </c>
      <c r="M245" s="3" t="s">
        <v>378</v>
      </c>
      <c r="N245" s="24" t="s">
        <v>726</v>
      </c>
      <c r="O245" s="24" t="s">
        <v>42</v>
      </c>
      <c r="P245" s="16" t="s">
        <v>43</v>
      </c>
      <c r="Q245" s="32">
        <v>29602443.029599998</v>
      </c>
      <c r="R245"/>
      <c r="S245"/>
    </row>
    <row r="246" spans="3:19" x14ac:dyDescent="0.25">
      <c r="C246" s="24" t="s">
        <v>217</v>
      </c>
      <c r="D246" s="24" t="s">
        <v>218</v>
      </c>
      <c r="F246" s="25" t="s">
        <v>36</v>
      </c>
      <c r="G246" s="24" t="s">
        <v>37</v>
      </c>
      <c r="H246" s="24" t="s">
        <v>81</v>
      </c>
      <c r="I246" s="24" t="s">
        <v>1046</v>
      </c>
      <c r="J246" s="24">
        <v>0</v>
      </c>
      <c r="K246" s="24" t="s">
        <v>59</v>
      </c>
      <c r="L246" s="24" t="s">
        <v>40</v>
      </c>
      <c r="M246" s="24" t="s">
        <v>1053</v>
      </c>
      <c r="N246" s="24" t="s">
        <v>217</v>
      </c>
      <c r="O246" s="24" t="s">
        <v>42</v>
      </c>
      <c r="P246" s="16" t="s">
        <v>43</v>
      </c>
      <c r="Q246" s="32">
        <v>0</v>
      </c>
      <c r="R246"/>
      <c r="S246"/>
    </row>
    <row r="247" spans="3:19" x14ac:dyDescent="0.25">
      <c r="C247" s="24" t="s">
        <v>551</v>
      </c>
      <c r="D247" s="24" t="s">
        <v>552</v>
      </c>
      <c r="E247" s="24" t="s">
        <v>999</v>
      </c>
      <c r="F247" s="25">
        <v>5</v>
      </c>
      <c r="G247" s="24" t="s">
        <v>376</v>
      </c>
      <c r="H247" s="24" t="s">
        <v>46</v>
      </c>
      <c r="I247" s="24" t="s">
        <v>1046</v>
      </c>
      <c r="J247" s="24" t="s">
        <v>100</v>
      </c>
      <c r="K247" s="24" t="s">
        <v>138</v>
      </c>
      <c r="L247" s="24" t="s">
        <v>40</v>
      </c>
      <c r="M247" s="24" t="s">
        <v>1035</v>
      </c>
      <c r="N247" s="24" t="s">
        <v>551</v>
      </c>
      <c r="O247" s="24" t="s">
        <v>42</v>
      </c>
      <c r="P247" s="16" t="s">
        <v>440</v>
      </c>
      <c r="Q247" s="32">
        <v>28091243.496399999</v>
      </c>
      <c r="R247"/>
      <c r="S247"/>
    </row>
    <row r="248" spans="3:19" x14ac:dyDescent="0.25">
      <c r="C248" s="24" t="s">
        <v>219</v>
      </c>
      <c r="D248" s="24" t="s">
        <v>220</v>
      </c>
      <c r="E248" s="24" t="s">
        <v>220</v>
      </c>
      <c r="F248" s="25" t="s">
        <v>36</v>
      </c>
      <c r="G248" s="24" t="s">
        <v>37</v>
      </c>
      <c r="H248" s="24" t="s">
        <v>38</v>
      </c>
      <c r="I248" s="24" t="s">
        <v>1046</v>
      </c>
      <c r="J248" s="24" t="s">
        <v>100</v>
      </c>
      <c r="K248" s="24" t="s">
        <v>59</v>
      </c>
      <c r="L248" s="24" t="s">
        <v>40</v>
      </c>
      <c r="M248" s="24" t="s">
        <v>1035</v>
      </c>
      <c r="N248" s="24" t="s">
        <v>219</v>
      </c>
      <c r="O248" s="24" t="s">
        <v>42</v>
      </c>
      <c r="P248" s="16" t="s">
        <v>43</v>
      </c>
      <c r="Q248" s="32">
        <v>0</v>
      </c>
      <c r="R248"/>
      <c r="S248"/>
    </row>
    <row r="249" spans="3:19" x14ac:dyDescent="0.25">
      <c r="C249" s="24" t="s">
        <v>221</v>
      </c>
      <c r="D249" s="24" t="s">
        <v>222</v>
      </c>
      <c r="E249" s="24" t="s">
        <v>223</v>
      </c>
      <c r="F249" s="25" t="s">
        <v>36</v>
      </c>
      <c r="G249" s="24" t="s">
        <v>37</v>
      </c>
      <c r="H249" s="24" t="s">
        <v>38</v>
      </c>
      <c r="I249" s="24" t="s">
        <v>1046</v>
      </c>
      <c r="J249" s="24">
        <v>0</v>
      </c>
      <c r="K249" s="24" t="s">
        <v>47</v>
      </c>
      <c r="L249" s="24" t="s">
        <v>40</v>
      </c>
      <c r="M249" s="24" t="s">
        <v>1053</v>
      </c>
      <c r="N249" s="24" t="s">
        <v>221</v>
      </c>
      <c r="O249" s="24" t="s">
        <v>42</v>
      </c>
      <c r="P249" s="16" t="s">
        <v>43</v>
      </c>
      <c r="Q249" s="32">
        <v>0</v>
      </c>
      <c r="R249"/>
      <c r="S249"/>
    </row>
    <row r="250" spans="3:19" x14ac:dyDescent="0.25">
      <c r="C250" s="24" t="s">
        <v>224</v>
      </c>
      <c r="D250" s="24" t="s">
        <v>225</v>
      </c>
      <c r="E250" s="24" t="s">
        <v>226</v>
      </c>
      <c r="F250" s="25" t="s">
        <v>36</v>
      </c>
      <c r="G250" s="24" t="s">
        <v>37</v>
      </c>
      <c r="H250" s="24" t="s">
        <v>38</v>
      </c>
      <c r="I250" s="24" t="s">
        <v>1046</v>
      </c>
      <c r="J250" s="24">
        <v>0</v>
      </c>
      <c r="K250" s="24" t="s">
        <v>59</v>
      </c>
      <c r="L250" s="24" t="s">
        <v>40</v>
      </c>
      <c r="M250" s="24" t="s">
        <v>1053</v>
      </c>
      <c r="N250" s="24" t="s">
        <v>224</v>
      </c>
      <c r="O250" s="24" t="s">
        <v>42</v>
      </c>
      <c r="P250" s="16" t="s">
        <v>43</v>
      </c>
      <c r="Q250" s="32">
        <v>0</v>
      </c>
      <c r="R250"/>
      <c r="S250"/>
    </row>
    <row r="251" spans="3:19" x14ac:dyDescent="0.25">
      <c r="C251" s="24" t="s">
        <v>502</v>
      </c>
      <c r="D251" s="24" t="s">
        <v>503</v>
      </c>
      <c r="E251" s="24" t="s">
        <v>504</v>
      </c>
      <c r="F251" s="25">
        <v>5</v>
      </c>
      <c r="G251" s="24" t="s">
        <v>376</v>
      </c>
      <c r="H251" s="24" t="s">
        <v>46</v>
      </c>
      <c r="I251" s="24" t="s">
        <v>1046</v>
      </c>
      <c r="J251" s="24" t="s">
        <v>466</v>
      </c>
      <c r="K251" s="24" t="s">
        <v>51</v>
      </c>
      <c r="L251" s="24" t="s">
        <v>40</v>
      </c>
      <c r="M251" s="24" t="s">
        <v>1035</v>
      </c>
      <c r="N251" s="24" t="s">
        <v>502</v>
      </c>
      <c r="O251" s="24" t="s">
        <v>42</v>
      </c>
      <c r="P251" s="16" t="s">
        <v>43</v>
      </c>
      <c r="Q251" s="32">
        <v>31796833.650049996</v>
      </c>
      <c r="R251"/>
      <c r="S251"/>
    </row>
    <row r="252" spans="3:19" x14ac:dyDescent="0.25">
      <c r="C252" s="24" t="s">
        <v>227</v>
      </c>
      <c r="D252" s="24" t="s">
        <v>228</v>
      </c>
      <c r="E252" s="24" t="s">
        <v>229</v>
      </c>
      <c r="F252" s="25" t="s">
        <v>36</v>
      </c>
      <c r="G252" s="24" t="s">
        <v>37</v>
      </c>
      <c r="H252" s="24" t="s">
        <v>38</v>
      </c>
      <c r="I252" s="24" t="s">
        <v>1046</v>
      </c>
      <c r="J252" s="24">
        <v>0</v>
      </c>
      <c r="K252" s="24" t="s">
        <v>54</v>
      </c>
      <c r="L252" s="24" t="s">
        <v>55</v>
      </c>
      <c r="M252" s="24" t="s">
        <v>1053</v>
      </c>
      <c r="N252" s="24" t="s">
        <v>227</v>
      </c>
      <c r="O252" s="24" t="s">
        <v>42</v>
      </c>
      <c r="P252" s="16" t="s">
        <v>43</v>
      </c>
      <c r="Q252" s="32">
        <v>0</v>
      </c>
      <c r="R252"/>
      <c r="S252"/>
    </row>
    <row r="253" spans="3:19" x14ac:dyDescent="0.25">
      <c r="C253" s="24" t="s">
        <v>728</v>
      </c>
      <c r="D253" s="24" t="s">
        <v>729</v>
      </c>
      <c r="E253" s="24" t="s">
        <v>730</v>
      </c>
      <c r="F253" s="25">
        <v>5</v>
      </c>
      <c r="G253" s="24" t="s">
        <v>376</v>
      </c>
      <c r="H253" s="24" t="s">
        <v>46</v>
      </c>
      <c r="I253" s="24" t="s">
        <v>1031</v>
      </c>
      <c r="J253" s="24" t="s">
        <v>84</v>
      </c>
      <c r="K253" s="24" t="s">
        <v>722</v>
      </c>
      <c r="L253" s="24" t="s">
        <v>55</v>
      </c>
      <c r="M253" s="3" t="s">
        <v>378</v>
      </c>
      <c r="N253" s="24" t="s">
        <v>728</v>
      </c>
      <c r="O253" s="24" t="s">
        <v>42</v>
      </c>
      <c r="P253" s="16" t="s">
        <v>440</v>
      </c>
      <c r="Q253" s="32">
        <v>35326031.892000005</v>
      </c>
      <c r="R253"/>
      <c r="S253"/>
    </row>
    <row r="254" spans="3:19" x14ac:dyDescent="0.25">
      <c r="C254" s="24" t="s">
        <v>230</v>
      </c>
      <c r="D254" s="24" t="s">
        <v>231</v>
      </c>
      <c r="E254" s="24" t="s">
        <v>232</v>
      </c>
      <c r="F254" s="25" t="s">
        <v>36</v>
      </c>
      <c r="G254" s="24" t="s">
        <v>37</v>
      </c>
      <c r="H254" s="24" t="s">
        <v>38</v>
      </c>
      <c r="I254" s="24" t="s">
        <v>1046</v>
      </c>
      <c r="J254" s="24" t="s">
        <v>84</v>
      </c>
      <c r="K254" s="24" t="s">
        <v>54</v>
      </c>
      <c r="L254" s="24" t="s">
        <v>55</v>
      </c>
      <c r="M254" s="3" t="s">
        <v>378</v>
      </c>
      <c r="N254" s="24" t="s">
        <v>230</v>
      </c>
      <c r="O254" s="24" t="s">
        <v>42</v>
      </c>
      <c r="P254" s="16" t="s">
        <v>43</v>
      </c>
      <c r="Q254" s="32">
        <v>0</v>
      </c>
      <c r="R254"/>
      <c r="S254"/>
    </row>
    <row r="255" spans="3:19" x14ac:dyDescent="0.25">
      <c r="C255" s="24" t="s">
        <v>233</v>
      </c>
      <c r="D255" s="24" t="s">
        <v>234</v>
      </c>
      <c r="E255" s="24" t="s">
        <v>235</v>
      </c>
      <c r="F255" s="25" t="s">
        <v>36</v>
      </c>
      <c r="G255" s="24" t="s">
        <v>37</v>
      </c>
      <c r="H255" s="24" t="s">
        <v>38</v>
      </c>
      <c r="I255" s="24" t="s">
        <v>1046</v>
      </c>
      <c r="J255" s="24" t="s">
        <v>84</v>
      </c>
      <c r="K255" s="24" t="s">
        <v>54</v>
      </c>
      <c r="L255" s="24" t="s">
        <v>55</v>
      </c>
      <c r="M255" s="3" t="s">
        <v>378</v>
      </c>
      <c r="N255" s="24" t="s">
        <v>233</v>
      </c>
      <c r="O255" s="24" t="s">
        <v>42</v>
      </c>
      <c r="P255" s="16" t="s">
        <v>43</v>
      </c>
      <c r="Q255" s="32">
        <v>0</v>
      </c>
      <c r="R255"/>
      <c r="S255"/>
    </row>
    <row r="256" spans="3:19" x14ac:dyDescent="0.25">
      <c r="C256" s="24" t="s">
        <v>236</v>
      </c>
      <c r="D256" s="24" t="s">
        <v>237</v>
      </c>
      <c r="E256" s="24" t="s">
        <v>237</v>
      </c>
      <c r="F256" s="25" t="s">
        <v>36</v>
      </c>
      <c r="G256" s="24" t="s">
        <v>37</v>
      </c>
      <c r="H256" s="24" t="s">
        <v>38</v>
      </c>
      <c r="I256" s="24" t="s">
        <v>1046</v>
      </c>
      <c r="J256" s="24">
        <v>0</v>
      </c>
      <c r="K256" s="24" t="s">
        <v>59</v>
      </c>
      <c r="L256" s="24" t="s">
        <v>40</v>
      </c>
      <c r="M256" s="24" t="s">
        <v>1053</v>
      </c>
      <c r="N256" s="24" t="s">
        <v>236</v>
      </c>
      <c r="O256" s="24" t="s">
        <v>42</v>
      </c>
      <c r="P256" s="16" t="s">
        <v>43</v>
      </c>
      <c r="Q256" s="32">
        <v>0</v>
      </c>
      <c r="R256"/>
      <c r="S256"/>
    </row>
    <row r="257" spans="3:19" x14ac:dyDescent="0.25">
      <c r="C257" s="24" t="s">
        <v>238</v>
      </c>
      <c r="D257" s="24" t="s">
        <v>239</v>
      </c>
      <c r="E257" s="24" t="s">
        <v>240</v>
      </c>
      <c r="F257" s="25" t="s">
        <v>36</v>
      </c>
      <c r="G257" s="24" t="s">
        <v>37</v>
      </c>
      <c r="H257" s="24" t="s">
        <v>38</v>
      </c>
      <c r="I257" s="24" t="s">
        <v>1046</v>
      </c>
      <c r="J257" s="24" t="s">
        <v>146</v>
      </c>
      <c r="K257" s="24" t="s">
        <v>59</v>
      </c>
      <c r="L257" s="24" t="s">
        <v>40</v>
      </c>
      <c r="M257" s="24" t="s">
        <v>1035</v>
      </c>
      <c r="N257" s="24" t="s">
        <v>238</v>
      </c>
      <c r="O257" s="24" t="s">
        <v>42</v>
      </c>
      <c r="P257" s="16" t="s">
        <v>43</v>
      </c>
      <c r="Q257" s="32">
        <v>0</v>
      </c>
      <c r="R257"/>
      <c r="S257"/>
    </row>
    <row r="258" spans="3:19" x14ac:dyDescent="0.25">
      <c r="C258" s="24" t="s">
        <v>962</v>
      </c>
      <c r="D258" s="24" t="s">
        <v>963</v>
      </c>
      <c r="E258" s="24" t="s">
        <v>964</v>
      </c>
      <c r="F258" s="25">
        <v>5</v>
      </c>
      <c r="G258" s="24" t="s">
        <v>376</v>
      </c>
      <c r="H258" s="24" t="s">
        <v>46</v>
      </c>
      <c r="I258" s="24" t="s">
        <v>1046</v>
      </c>
      <c r="J258" s="24" t="s">
        <v>160</v>
      </c>
      <c r="K258" s="24" t="s">
        <v>371</v>
      </c>
      <c r="L258" s="24" t="s">
        <v>40</v>
      </c>
      <c r="M258" s="3" t="s">
        <v>984</v>
      </c>
      <c r="N258" s="24" t="s">
        <v>962</v>
      </c>
      <c r="O258" s="24" t="s">
        <v>42</v>
      </c>
      <c r="P258" s="16" t="s">
        <v>440</v>
      </c>
      <c r="Q258" s="32">
        <v>37366506.798599996</v>
      </c>
      <c r="R258"/>
      <c r="S258"/>
    </row>
    <row r="259" spans="3:19" x14ac:dyDescent="0.25">
      <c r="C259" s="24" t="s">
        <v>687</v>
      </c>
      <c r="D259" s="24" t="s">
        <v>688</v>
      </c>
      <c r="E259" s="24" t="s">
        <v>689</v>
      </c>
      <c r="F259" s="25">
        <v>5.45</v>
      </c>
      <c r="G259" s="24" t="s">
        <v>376</v>
      </c>
      <c r="H259" s="24" t="s">
        <v>46</v>
      </c>
      <c r="I259" s="24" t="s">
        <v>1046</v>
      </c>
      <c r="J259" s="24" t="s">
        <v>248</v>
      </c>
      <c r="K259" s="24" t="s">
        <v>51</v>
      </c>
      <c r="L259" s="24" t="s">
        <v>40</v>
      </c>
      <c r="M259" s="3" t="s">
        <v>984</v>
      </c>
      <c r="N259" s="24" t="s">
        <v>687</v>
      </c>
      <c r="O259" s="24" t="s">
        <v>42</v>
      </c>
      <c r="P259" s="16" t="s">
        <v>440</v>
      </c>
      <c r="Q259" s="32">
        <v>63574866.374949999</v>
      </c>
      <c r="R259"/>
      <c r="S259"/>
    </row>
    <row r="260" spans="3:19" x14ac:dyDescent="0.25">
      <c r="C260" s="24" t="s">
        <v>241</v>
      </c>
      <c r="D260" s="24" t="s">
        <v>242</v>
      </c>
      <c r="E260" s="24" t="s">
        <v>243</v>
      </c>
      <c r="F260" s="25" t="s">
        <v>36</v>
      </c>
      <c r="G260" s="24" t="s">
        <v>37</v>
      </c>
      <c r="H260" s="24" t="s">
        <v>38</v>
      </c>
      <c r="I260" s="24" t="s">
        <v>1046</v>
      </c>
      <c r="J260" s="24" t="s">
        <v>132</v>
      </c>
      <c r="K260" s="24" t="s">
        <v>64</v>
      </c>
      <c r="L260" s="24" t="s">
        <v>40</v>
      </c>
      <c r="M260" s="24" t="s">
        <v>1035</v>
      </c>
      <c r="N260" s="24" t="s">
        <v>241</v>
      </c>
      <c r="O260" s="24" t="s">
        <v>42</v>
      </c>
      <c r="P260" s="16" t="s">
        <v>43</v>
      </c>
      <c r="Q260" s="32">
        <v>0</v>
      </c>
      <c r="R260"/>
      <c r="S260"/>
    </row>
    <row r="261" spans="3:19" x14ac:dyDescent="0.25">
      <c r="C261" s="24" t="s">
        <v>244</v>
      </c>
      <c r="D261" s="24" t="s">
        <v>245</v>
      </c>
      <c r="E261" s="24" t="s">
        <v>245</v>
      </c>
      <c r="F261" s="25" t="s">
        <v>36</v>
      </c>
      <c r="G261" s="24" t="s">
        <v>37</v>
      </c>
      <c r="H261" s="24" t="s">
        <v>81</v>
      </c>
      <c r="I261" s="24" t="s">
        <v>1046</v>
      </c>
      <c r="J261" s="24">
        <v>0</v>
      </c>
      <c r="K261" s="24" t="s">
        <v>133</v>
      </c>
      <c r="L261" s="24" t="s">
        <v>40</v>
      </c>
      <c r="M261" s="24" t="s">
        <v>1053</v>
      </c>
      <c r="N261" s="24" t="s">
        <v>244</v>
      </c>
      <c r="O261" s="24" t="s">
        <v>42</v>
      </c>
      <c r="P261" s="16" t="s">
        <v>43</v>
      </c>
      <c r="Q261" s="32">
        <v>0</v>
      </c>
      <c r="R261"/>
      <c r="S261"/>
    </row>
    <row r="262" spans="3:19" x14ac:dyDescent="0.25">
      <c r="C262" s="24" t="s">
        <v>246</v>
      </c>
      <c r="D262" s="24" t="s">
        <v>247</v>
      </c>
      <c r="E262" s="24" t="s">
        <v>247</v>
      </c>
      <c r="F262" s="25" t="s">
        <v>36</v>
      </c>
      <c r="G262" s="24" t="s">
        <v>37</v>
      </c>
      <c r="H262" s="24" t="s">
        <v>38</v>
      </c>
      <c r="I262" s="24" t="s">
        <v>1046</v>
      </c>
      <c r="J262" s="24" t="s">
        <v>248</v>
      </c>
      <c r="K262" s="24" t="s">
        <v>138</v>
      </c>
      <c r="L262" s="24" t="s">
        <v>40</v>
      </c>
      <c r="M262" s="3" t="s">
        <v>984</v>
      </c>
      <c r="N262" s="24" t="s">
        <v>246</v>
      </c>
      <c r="O262" s="24" t="s">
        <v>42</v>
      </c>
      <c r="P262" s="16" t="s">
        <v>43</v>
      </c>
      <c r="Q262" s="32">
        <v>0</v>
      </c>
      <c r="R262"/>
      <c r="S262"/>
    </row>
    <row r="263" spans="3:19" x14ac:dyDescent="0.25">
      <c r="C263" s="24" t="s">
        <v>249</v>
      </c>
      <c r="D263" s="24" t="s">
        <v>250</v>
      </c>
      <c r="E263" s="24" t="s">
        <v>250</v>
      </c>
      <c r="F263" s="25" t="s">
        <v>36</v>
      </c>
      <c r="G263" s="24" t="s">
        <v>37</v>
      </c>
      <c r="H263" s="24" t="s">
        <v>38</v>
      </c>
      <c r="I263" s="24" t="s">
        <v>1046</v>
      </c>
      <c r="J263" s="24" t="s">
        <v>94</v>
      </c>
      <c r="K263" s="24" t="s">
        <v>138</v>
      </c>
      <c r="L263" s="24" t="s">
        <v>40</v>
      </c>
      <c r="M263" s="24" t="s">
        <v>1035</v>
      </c>
      <c r="N263" s="24" t="s">
        <v>249</v>
      </c>
      <c r="O263" s="24" t="s">
        <v>42</v>
      </c>
      <c r="P263" s="16" t="s">
        <v>43</v>
      </c>
      <c r="Q263" s="32">
        <v>0</v>
      </c>
      <c r="R263"/>
      <c r="S263"/>
    </row>
    <row r="264" spans="3:19" x14ac:dyDescent="0.25">
      <c r="C264" s="24" t="s">
        <v>251</v>
      </c>
      <c r="D264" s="24" t="s">
        <v>252</v>
      </c>
      <c r="E264" s="24" t="s">
        <v>253</v>
      </c>
      <c r="F264" s="25" t="s">
        <v>36</v>
      </c>
      <c r="G264" s="24" t="s">
        <v>37</v>
      </c>
      <c r="H264" s="24" t="s">
        <v>38</v>
      </c>
      <c r="I264" s="24" t="s">
        <v>1046</v>
      </c>
      <c r="J264" s="24">
        <v>0</v>
      </c>
      <c r="K264" s="24" t="s">
        <v>64</v>
      </c>
      <c r="L264" s="24" t="s">
        <v>40</v>
      </c>
      <c r="M264" s="24" t="s">
        <v>1053</v>
      </c>
      <c r="N264" s="24" t="s">
        <v>251</v>
      </c>
      <c r="O264" s="24" t="s">
        <v>42</v>
      </c>
      <c r="P264" s="16" t="s">
        <v>43</v>
      </c>
      <c r="Q264" s="32">
        <v>0</v>
      </c>
      <c r="R264"/>
      <c r="S264"/>
    </row>
    <row r="265" spans="3:19" x14ac:dyDescent="0.25">
      <c r="C265" s="24" t="s">
        <v>254</v>
      </c>
      <c r="D265" s="24" t="s">
        <v>255</v>
      </c>
      <c r="E265" s="24" t="s">
        <v>255</v>
      </c>
      <c r="F265" s="25" t="s">
        <v>36</v>
      </c>
      <c r="G265" s="24" t="s">
        <v>37</v>
      </c>
      <c r="H265" s="24" t="s">
        <v>38</v>
      </c>
      <c r="I265" s="24" t="s">
        <v>1046</v>
      </c>
      <c r="J265" s="24">
        <v>0</v>
      </c>
      <c r="K265" s="24" t="s">
        <v>51</v>
      </c>
      <c r="L265" s="24" t="s">
        <v>40</v>
      </c>
      <c r="M265" s="24" t="s">
        <v>1053</v>
      </c>
      <c r="N265" s="24" t="s">
        <v>254</v>
      </c>
      <c r="O265" s="24" t="s">
        <v>42</v>
      </c>
      <c r="P265" s="16" t="s">
        <v>43</v>
      </c>
      <c r="Q265" s="32">
        <v>0</v>
      </c>
      <c r="R265"/>
      <c r="S265"/>
    </row>
    <row r="266" spans="3:19" x14ac:dyDescent="0.25">
      <c r="C266" s="24" t="s">
        <v>590</v>
      </c>
      <c r="D266" s="24" t="s">
        <v>591</v>
      </c>
      <c r="E266" s="24" t="s">
        <v>591</v>
      </c>
      <c r="F266" s="25">
        <v>5</v>
      </c>
      <c r="G266" s="24" t="s">
        <v>376</v>
      </c>
      <c r="H266" s="24" t="s">
        <v>46</v>
      </c>
      <c r="I266" s="24" t="s">
        <v>1046</v>
      </c>
      <c r="J266" s="24" t="s">
        <v>331</v>
      </c>
      <c r="K266" s="24" t="s">
        <v>138</v>
      </c>
      <c r="L266" s="24" t="s">
        <v>40</v>
      </c>
      <c r="M266" s="3" t="s">
        <v>984</v>
      </c>
      <c r="N266" s="24" t="s">
        <v>590</v>
      </c>
      <c r="O266" s="24" t="s">
        <v>42</v>
      </c>
      <c r="P266" s="16" t="s">
        <v>43</v>
      </c>
      <c r="Q266" s="32">
        <v>54504725.187149994</v>
      </c>
      <c r="R266"/>
      <c r="S266"/>
    </row>
    <row r="267" spans="3:19" x14ac:dyDescent="0.25">
      <c r="C267" s="24" t="s">
        <v>447</v>
      </c>
      <c r="D267" s="24" t="s">
        <v>448</v>
      </c>
      <c r="E267" s="24" t="s">
        <v>449</v>
      </c>
      <c r="F267" s="25">
        <v>6</v>
      </c>
      <c r="G267" s="24" t="s">
        <v>376</v>
      </c>
      <c r="H267" s="24" t="s">
        <v>46</v>
      </c>
      <c r="I267" s="24" t="s">
        <v>1046</v>
      </c>
      <c r="J267" s="24" t="s">
        <v>94</v>
      </c>
      <c r="K267" s="24" t="s">
        <v>64</v>
      </c>
      <c r="L267" s="24" t="s">
        <v>40</v>
      </c>
      <c r="M267" s="24" t="s">
        <v>1035</v>
      </c>
      <c r="N267" s="24" t="s">
        <v>447</v>
      </c>
      <c r="O267" s="24" t="s">
        <v>42</v>
      </c>
      <c r="P267" s="16" t="s">
        <v>440</v>
      </c>
      <c r="Q267" s="32">
        <v>43444446.399899997</v>
      </c>
      <c r="R267"/>
      <c r="S267"/>
    </row>
    <row r="268" spans="3:19" x14ac:dyDescent="0.25">
      <c r="C268" s="24" t="s">
        <v>256</v>
      </c>
      <c r="D268" s="24" t="s">
        <v>257</v>
      </c>
      <c r="E268" s="24" t="s">
        <v>257</v>
      </c>
      <c r="F268" s="25" t="s">
        <v>36</v>
      </c>
      <c r="G268" s="24" t="s">
        <v>37</v>
      </c>
      <c r="H268" s="24" t="s">
        <v>38</v>
      </c>
      <c r="I268" s="24" t="s">
        <v>1046</v>
      </c>
      <c r="J268" s="24">
        <v>0</v>
      </c>
      <c r="K268" s="24" t="s">
        <v>138</v>
      </c>
      <c r="L268" s="24" t="s">
        <v>40</v>
      </c>
      <c r="M268" s="24" t="s">
        <v>1053</v>
      </c>
      <c r="N268" s="24" t="s">
        <v>256</v>
      </c>
      <c r="O268" s="24" t="s">
        <v>42</v>
      </c>
      <c r="P268" s="16" t="s">
        <v>43</v>
      </c>
      <c r="Q268" s="32">
        <v>0</v>
      </c>
      <c r="R268"/>
      <c r="S268"/>
    </row>
    <row r="269" spans="3:19" x14ac:dyDescent="0.25">
      <c r="C269" s="24" t="s">
        <v>450</v>
      </c>
      <c r="D269" s="24" t="s">
        <v>451</v>
      </c>
      <c r="E269" s="24" t="s">
        <v>452</v>
      </c>
      <c r="F269" s="25">
        <v>5</v>
      </c>
      <c r="G269" s="24" t="s">
        <v>376</v>
      </c>
      <c r="H269" s="24" t="s">
        <v>46</v>
      </c>
      <c r="I269" s="24" t="s">
        <v>1046</v>
      </c>
      <c r="J269" s="24" t="s">
        <v>94</v>
      </c>
      <c r="K269" s="24" t="s">
        <v>64</v>
      </c>
      <c r="L269" s="24" t="s">
        <v>40</v>
      </c>
      <c r="M269" s="24" t="s">
        <v>1035</v>
      </c>
      <c r="N269" s="24" t="s">
        <v>450</v>
      </c>
      <c r="O269" s="24" t="s">
        <v>42</v>
      </c>
      <c r="P269" s="16" t="s">
        <v>43</v>
      </c>
      <c r="Q269" s="32">
        <v>44413679.308949992</v>
      </c>
      <c r="R269"/>
      <c r="S269"/>
    </row>
    <row r="270" spans="3:19" x14ac:dyDescent="0.25">
      <c r="C270" s="24" t="s">
        <v>965</v>
      </c>
      <c r="D270" s="24" t="s">
        <v>966</v>
      </c>
      <c r="E270" s="24" t="s">
        <v>967</v>
      </c>
      <c r="F270" s="25">
        <v>5</v>
      </c>
      <c r="G270" s="24" t="s">
        <v>376</v>
      </c>
      <c r="H270" s="24" t="s">
        <v>46</v>
      </c>
      <c r="I270" s="24" t="s">
        <v>1046</v>
      </c>
      <c r="J270" s="24" t="s">
        <v>160</v>
      </c>
      <c r="K270" s="24" t="s">
        <v>353</v>
      </c>
      <c r="L270" s="24" t="s">
        <v>40</v>
      </c>
      <c r="M270" s="3" t="s">
        <v>984</v>
      </c>
      <c r="N270" s="24" t="s">
        <v>965</v>
      </c>
      <c r="O270" s="24" t="s">
        <v>42</v>
      </c>
      <c r="P270" s="16" t="s">
        <v>43</v>
      </c>
      <c r="Q270" s="32">
        <v>35752442.579223134</v>
      </c>
      <c r="R270"/>
      <c r="S270"/>
    </row>
    <row r="271" spans="3:19" x14ac:dyDescent="0.25">
      <c r="C271" s="24" t="s">
        <v>258</v>
      </c>
      <c r="D271" s="24" t="s">
        <v>259</v>
      </c>
      <c r="E271" s="24" t="s">
        <v>260</v>
      </c>
      <c r="F271" s="25" t="s">
        <v>36</v>
      </c>
      <c r="G271" s="24" t="s">
        <v>37</v>
      </c>
      <c r="H271" s="24" t="s">
        <v>38</v>
      </c>
      <c r="I271" s="24" t="s">
        <v>1046</v>
      </c>
      <c r="J271" s="24" t="s">
        <v>50</v>
      </c>
      <c r="K271" s="24" t="s">
        <v>51</v>
      </c>
      <c r="L271" s="24" t="s">
        <v>40</v>
      </c>
      <c r="M271" s="3" t="s">
        <v>984</v>
      </c>
      <c r="N271" s="24" t="s">
        <v>258</v>
      </c>
      <c r="O271" s="24" t="s">
        <v>42</v>
      </c>
      <c r="P271" s="16" t="s">
        <v>43</v>
      </c>
      <c r="Q271" s="32">
        <v>0</v>
      </c>
      <c r="R271"/>
      <c r="S271"/>
    </row>
    <row r="272" spans="3:19" x14ac:dyDescent="0.25">
      <c r="C272" s="24" t="s">
        <v>261</v>
      </c>
      <c r="D272" s="24" t="s">
        <v>262</v>
      </c>
      <c r="E272" s="24" t="s">
        <v>263</v>
      </c>
      <c r="F272" s="25" t="s">
        <v>36</v>
      </c>
      <c r="G272" s="24" t="s">
        <v>37</v>
      </c>
      <c r="H272" s="24" t="s">
        <v>38</v>
      </c>
      <c r="I272" s="24" t="s">
        <v>1046</v>
      </c>
      <c r="J272" s="24" t="s">
        <v>58</v>
      </c>
      <c r="K272" s="24" t="s">
        <v>138</v>
      </c>
      <c r="L272" s="24" t="s">
        <v>40</v>
      </c>
      <c r="M272" s="24" t="s">
        <v>1035</v>
      </c>
      <c r="N272" s="24" t="s">
        <v>261</v>
      </c>
      <c r="O272" s="24" t="s">
        <v>42</v>
      </c>
      <c r="P272" s="16" t="s">
        <v>43</v>
      </c>
      <c r="Q272" s="32">
        <v>0</v>
      </c>
      <c r="R272"/>
      <c r="S272"/>
    </row>
    <row r="273" spans="3:19" x14ac:dyDescent="0.25">
      <c r="C273" s="24" t="s">
        <v>791</v>
      </c>
      <c r="D273" s="24" t="s">
        <v>793</v>
      </c>
      <c r="E273" s="24" t="s">
        <v>1000</v>
      </c>
      <c r="F273" s="25">
        <v>5</v>
      </c>
      <c r="G273" s="24" t="s">
        <v>376</v>
      </c>
      <c r="H273" s="24" t="s">
        <v>46</v>
      </c>
      <c r="I273" s="24" t="s">
        <v>1031</v>
      </c>
      <c r="J273" s="24" t="s">
        <v>89</v>
      </c>
      <c r="K273" s="24" t="s">
        <v>109</v>
      </c>
      <c r="L273" s="24" t="s">
        <v>91</v>
      </c>
      <c r="M273" s="3" t="s">
        <v>378</v>
      </c>
      <c r="N273" s="24" t="s">
        <v>791</v>
      </c>
      <c r="O273" s="24" t="s">
        <v>42</v>
      </c>
      <c r="P273" s="16" t="s">
        <v>43</v>
      </c>
      <c r="Q273" s="32">
        <v>52133463.813900001</v>
      </c>
      <c r="R273"/>
      <c r="S273"/>
    </row>
    <row r="274" spans="3:19" x14ac:dyDescent="0.25">
      <c r="C274" s="24" t="s">
        <v>264</v>
      </c>
      <c r="D274" s="24" t="s">
        <v>265</v>
      </c>
      <c r="E274" s="24" t="s">
        <v>266</v>
      </c>
      <c r="F274" s="25" t="s">
        <v>36</v>
      </c>
      <c r="G274" s="24" t="s">
        <v>37</v>
      </c>
      <c r="H274" s="24" t="s">
        <v>38</v>
      </c>
      <c r="I274" s="24" t="s">
        <v>1046</v>
      </c>
      <c r="J274" s="24">
        <v>0</v>
      </c>
      <c r="K274" s="24" t="s">
        <v>51</v>
      </c>
      <c r="L274" s="24" t="s">
        <v>40</v>
      </c>
      <c r="M274" s="24" t="s">
        <v>1053</v>
      </c>
      <c r="N274" s="24" t="s">
        <v>264</v>
      </c>
      <c r="O274" s="24" t="s">
        <v>42</v>
      </c>
      <c r="P274" s="16" t="s">
        <v>43</v>
      </c>
      <c r="Q274" s="32">
        <v>0</v>
      </c>
      <c r="R274"/>
      <c r="S274"/>
    </row>
    <row r="275" spans="3:19" x14ac:dyDescent="0.25">
      <c r="C275" s="24" t="s">
        <v>267</v>
      </c>
      <c r="D275" s="24" t="s">
        <v>268</v>
      </c>
      <c r="E275" s="24" t="s">
        <v>269</v>
      </c>
      <c r="F275" s="25" t="s">
        <v>36</v>
      </c>
      <c r="G275" s="24" t="s">
        <v>37</v>
      </c>
      <c r="H275" s="24" t="s">
        <v>38</v>
      </c>
      <c r="I275" s="24" t="s">
        <v>1046</v>
      </c>
      <c r="J275" s="24">
        <v>0</v>
      </c>
      <c r="K275" s="24" t="s">
        <v>51</v>
      </c>
      <c r="L275" s="24" t="s">
        <v>40</v>
      </c>
      <c r="M275" s="24" t="s">
        <v>1053</v>
      </c>
      <c r="N275" s="24" t="s">
        <v>267</v>
      </c>
      <c r="O275" s="24" t="s">
        <v>42</v>
      </c>
      <c r="P275" s="16" t="s">
        <v>43</v>
      </c>
      <c r="Q275" s="32">
        <v>0</v>
      </c>
      <c r="R275"/>
      <c r="S275"/>
    </row>
    <row r="276" spans="3:19" x14ac:dyDescent="0.25">
      <c r="C276" s="24" t="s">
        <v>270</v>
      </c>
      <c r="D276" s="24" t="s">
        <v>271</v>
      </c>
      <c r="E276" s="24" t="s">
        <v>271</v>
      </c>
      <c r="F276" s="25" t="s">
        <v>36</v>
      </c>
      <c r="G276" s="24" t="s">
        <v>37</v>
      </c>
      <c r="H276" s="24" t="s">
        <v>38</v>
      </c>
      <c r="I276" s="24" t="s">
        <v>1046</v>
      </c>
      <c r="J276" s="24" t="s">
        <v>100</v>
      </c>
      <c r="K276" s="24" t="s">
        <v>59</v>
      </c>
      <c r="L276" s="24" t="s">
        <v>40</v>
      </c>
      <c r="M276" s="24" t="s">
        <v>1035</v>
      </c>
      <c r="N276" s="24" t="s">
        <v>270</v>
      </c>
      <c r="O276" s="24" t="s">
        <v>42</v>
      </c>
      <c r="P276" s="16" t="s">
        <v>43</v>
      </c>
      <c r="Q276" s="32">
        <v>0</v>
      </c>
      <c r="R276"/>
      <c r="S276"/>
    </row>
    <row r="277" spans="3:19" x14ac:dyDescent="0.25">
      <c r="C277" s="24" t="s">
        <v>631</v>
      </c>
      <c r="D277" s="24" t="s">
        <v>633</v>
      </c>
      <c r="E277" s="24" t="s">
        <v>1001</v>
      </c>
      <c r="F277" s="25">
        <v>5</v>
      </c>
      <c r="G277" s="24" t="s">
        <v>376</v>
      </c>
      <c r="H277" s="24" t="s">
        <v>46</v>
      </c>
      <c r="I277" s="24" t="s">
        <v>1046</v>
      </c>
      <c r="J277" s="24" t="s">
        <v>50</v>
      </c>
      <c r="K277" s="24" t="s">
        <v>51</v>
      </c>
      <c r="L277" s="24" t="s">
        <v>40</v>
      </c>
      <c r="M277" s="3" t="s">
        <v>984</v>
      </c>
      <c r="N277" s="24" t="s">
        <v>631</v>
      </c>
      <c r="O277" s="24" t="s">
        <v>42</v>
      </c>
      <c r="P277" s="16" t="s">
        <v>43</v>
      </c>
      <c r="Q277" s="32">
        <v>29335090.834349997</v>
      </c>
      <c r="R277"/>
      <c r="S277"/>
    </row>
    <row r="278" spans="3:19" x14ac:dyDescent="0.25">
      <c r="C278" s="24" t="s">
        <v>272</v>
      </c>
      <c r="D278" s="24" t="s">
        <v>273</v>
      </c>
      <c r="E278" s="24" t="s">
        <v>274</v>
      </c>
      <c r="F278" s="25" t="s">
        <v>36</v>
      </c>
      <c r="G278" s="24" t="s">
        <v>37</v>
      </c>
      <c r="H278" s="24" t="s">
        <v>38</v>
      </c>
      <c r="I278" s="24" t="s">
        <v>1046</v>
      </c>
      <c r="J278" s="24" t="s">
        <v>73</v>
      </c>
      <c r="K278" s="24" t="s">
        <v>275</v>
      </c>
      <c r="L278" s="24" t="s">
        <v>40</v>
      </c>
      <c r="M278" s="3" t="s">
        <v>378</v>
      </c>
      <c r="N278" s="24" t="s">
        <v>272</v>
      </c>
      <c r="O278" s="24" t="s">
        <v>42</v>
      </c>
      <c r="P278" s="16" t="s">
        <v>43</v>
      </c>
      <c r="Q278" s="32">
        <v>0</v>
      </c>
      <c r="R278"/>
      <c r="S278"/>
    </row>
    <row r="279" spans="3:19" x14ac:dyDescent="0.25">
      <c r="C279" s="24" t="s">
        <v>690</v>
      </c>
      <c r="D279" s="24" t="s">
        <v>691</v>
      </c>
      <c r="E279" s="24" t="s">
        <v>692</v>
      </c>
      <c r="F279" s="25">
        <v>5</v>
      </c>
      <c r="G279" s="24" t="s">
        <v>376</v>
      </c>
      <c r="H279" s="24" t="s">
        <v>46</v>
      </c>
      <c r="I279" s="24" t="s">
        <v>1046</v>
      </c>
      <c r="J279" s="24" t="s">
        <v>248</v>
      </c>
      <c r="K279" s="24" t="s">
        <v>51</v>
      </c>
      <c r="L279" s="24" t="s">
        <v>40</v>
      </c>
      <c r="M279" s="3" t="s">
        <v>984</v>
      </c>
      <c r="N279" s="24" t="s">
        <v>690</v>
      </c>
      <c r="O279" s="24" t="s">
        <v>42</v>
      </c>
      <c r="P279" s="16" t="s">
        <v>440</v>
      </c>
      <c r="Q279" s="32">
        <v>40268492.055312499</v>
      </c>
      <c r="R279"/>
      <c r="S279"/>
    </row>
    <row r="280" spans="3:19" x14ac:dyDescent="0.25">
      <c r="C280" s="24" t="s">
        <v>276</v>
      </c>
      <c r="D280" s="24" t="s">
        <v>277</v>
      </c>
      <c r="E280" s="24" t="s">
        <v>278</v>
      </c>
      <c r="F280" s="25" t="s">
        <v>36</v>
      </c>
      <c r="G280" s="24" t="s">
        <v>37</v>
      </c>
      <c r="H280" s="24" t="s">
        <v>38</v>
      </c>
      <c r="I280" s="24" t="s">
        <v>1046</v>
      </c>
      <c r="J280" s="24" t="s">
        <v>84</v>
      </c>
      <c r="K280" s="24" t="s">
        <v>279</v>
      </c>
      <c r="L280" s="24" t="s">
        <v>55</v>
      </c>
      <c r="M280" s="3" t="s">
        <v>378</v>
      </c>
      <c r="N280" s="24" t="s">
        <v>276</v>
      </c>
      <c r="O280" s="24" t="s">
        <v>42</v>
      </c>
      <c r="P280" s="16" t="s">
        <v>43</v>
      </c>
      <c r="Q280" s="32">
        <v>0</v>
      </c>
      <c r="R280"/>
      <c r="S280"/>
    </row>
    <row r="281" spans="3:19" x14ac:dyDescent="0.25">
      <c r="C281" s="24" t="s">
        <v>731</v>
      </c>
      <c r="D281" s="24" t="s">
        <v>732</v>
      </c>
      <c r="E281" s="24" t="s">
        <v>54</v>
      </c>
      <c r="F281" s="25">
        <v>5</v>
      </c>
      <c r="G281" s="24" t="s">
        <v>376</v>
      </c>
      <c r="H281" s="24" t="s">
        <v>46</v>
      </c>
      <c r="I281" s="24" t="s">
        <v>1031</v>
      </c>
      <c r="J281" s="24" t="s">
        <v>84</v>
      </c>
      <c r="K281" s="24" t="s">
        <v>54</v>
      </c>
      <c r="L281" s="24" t="s">
        <v>55</v>
      </c>
      <c r="M281" s="3" t="s">
        <v>378</v>
      </c>
      <c r="N281" s="24" t="s">
        <v>731</v>
      </c>
      <c r="O281" s="24" t="s">
        <v>42</v>
      </c>
      <c r="P281" s="16" t="s">
        <v>440</v>
      </c>
      <c r="Q281" s="32">
        <v>30463992.563749999</v>
      </c>
      <c r="R281"/>
      <c r="S281"/>
    </row>
    <row r="282" spans="3:19" x14ac:dyDescent="0.25">
      <c r="C282" s="24" t="s">
        <v>453</v>
      </c>
      <c r="D282" s="24" t="s">
        <v>454</v>
      </c>
      <c r="E282" s="24" t="s">
        <v>454</v>
      </c>
      <c r="F282" s="25">
        <v>5</v>
      </c>
      <c r="G282" s="24" t="s">
        <v>376</v>
      </c>
      <c r="H282" s="24" t="s">
        <v>46</v>
      </c>
      <c r="I282" s="24" t="s">
        <v>1046</v>
      </c>
      <c r="J282" s="24" t="s">
        <v>94</v>
      </c>
      <c r="K282" s="24" t="s">
        <v>64</v>
      </c>
      <c r="L282" s="24" t="s">
        <v>40</v>
      </c>
      <c r="M282" s="24" t="s">
        <v>1035</v>
      </c>
      <c r="N282" s="24" t="s">
        <v>453</v>
      </c>
      <c r="O282" s="24" t="s">
        <v>42</v>
      </c>
      <c r="P282" s="16" t="s">
        <v>440</v>
      </c>
      <c r="Q282" s="32">
        <v>38791625.704300001</v>
      </c>
      <c r="R282"/>
      <c r="S282"/>
    </row>
    <row r="283" spans="3:19" x14ac:dyDescent="0.25">
      <c r="C283" s="24" t="s">
        <v>280</v>
      </c>
      <c r="D283" s="24" t="s">
        <v>281</v>
      </c>
      <c r="E283" s="24" t="s">
        <v>281</v>
      </c>
      <c r="F283" s="25" t="s">
        <v>36</v>
      </c>
      <c r="G283" s="24" t="s">
        <v>37</v>
      </c>
      <c r="H283" s="24" t="s">
        <v>38</v>
      </c>
      <c r="I283" s="24" t="s">
        <v>1046</v>
      </c>
      <c r="J283" s="24" t="s">
        <v>132</v>
      </c>
      <c r="K283" s="24" t="s">
        <v>64</v>
      </c>
      <c r="L283" s="24" t="s">
        <v>40</v>
      </c>
      <c r="M283" s="24" t="s">
        <v>1035</v>
      </c>
      <c r="N283" s="24" t="s">
        <v>280</v>
      </c>
      <c r="O283" s="24" t="s">
        <v>42</v>
      </c>
      <c r="P283" s="16" t="s">
        <v>43</v>
      </c>
      <c r="Q283" s="32">
        <v>0</v>
      </c>
      <c r="R283"/>
      <c r="S283"/>
    </row>
    <row r="284" spans="3:19" x14ac:dyDescent="0.25">
      <c r="C284" s="24" t="s">
        <v>282</v>
      </c>
      <c r="D284" s="24" t="s">
        <v>283</v>
      </c>
      <c r="E284" s="24" t="s">
        <v>284</v>
      </c>
      <c r="F284" s="25" t="s">
        <v>36</v>
      </c>
      <c r="G284" s="24" t="s">
        <v>37</v>
      </c>
      <c r="H284" s="24" t="s">
        <v>38</v>
      </c>
      <c r="I284" s="24" t="s">
        <v>1046</v>
      </c>
      <c r="J284" s="24">
        <v>0</v>
      </c>
      <c r="K284" s="24" t="s">
        <v>279</v>
      </c>
      <c r="L284" s="24" t="s">
        <v>55</v>
      </c>
      <c r="M284" s="24" t="s">
        <v>1053</v>
      </c>
      <c r="N284" s="24" t="s">
        <v>282</v>
      </c>
      <c r="O284" s="24" t="s">
        <v>42</v>
      </c>
      <c r="P284" s="16" t="s">
        <v>43</v>
      </c>
      <c r="Q284" s="32">
        <v>0</v>
      </c>
      <c r="R284"/>
      <c r="S284"/>
    </row>
    <row r="285" spans="3:19" x14ac:dyDescent="0.25">
      <c r="C285" s="24" t="s">
        <v>455</v>
      </c>
      <c r="D285" s="24" t="s">
        <v>456</v>
      </c>
      <c r="E285" s="24" t="s">
        <v>1002</v>
      </c>
      <c r="F285" s="25">
        <v>5</v>
      </c>
      <c r="G285" s="24" t="s">
        <v>376</v>
      </c>
      <c r="H285" s="24" t="s">
        <v>46</v>
      </c>
      <c r="I285" s="24" t="s">
        <v>1046</v>
      </c>
      <c r="J285" s="24" t="s">
        <v>94</v>
      </c>
      <c r="K285" s="24" t="s">
        <v>64</v>
      </c>
      <c r="L285" s="24" t="s">
        <v>40</v>
      </c>
      <c r="M285" s="24" t="s">
        <v>1035</v>
      </c>
      <c r="N285" s="24" t="s">
        <v>455</v>
      </c>
      <c r="O285" s="24" t="s">
        <v>42</v>
      </c>
      <c r="P285" s="16" t="s">
        <v>440</v>
      </c>
      <c r="Q285" s="32">
        <v>48884617.298999995</v>
      </c>
      <c r="R285"/>
      <c r="S285"/>
    </row>
    <row r="286" spans="3:19" x14ac:dyDescent="0.25">
      <c r="C286" s="24" t="s">
        <v>285</v>
      </c>
      <c r="D286" s="24" t="s">
        <v>286</v>
      </c>
      <c r="E286" s="24" t="s">
        <v>287</v>
      </c>
      <c r="F286" s="25" t="s">
        <v>36</v>
      </c>
      <c r="G286" s="24" t="s">
        <v>37</v>
      </c>
      <c r="H286" s="24" t="s">
        <v>38</v>
      </c>
      <c r="I286" s="24" t="s">
        <v>1046</v>
      </c>
      <c r="J286" s="24">
        <v>0</v>
      </c>
      <c r="K286" s="24" t="s">
        <v>51</v>
      </c>
      <c r="L286" s="24" t="s">
        <v>40</v>
      </c>
      <c r="M286" s="24" t="s">
        <v>1053</v>
      </c>
      <c r="N286" s="24" t="s">
        <v>285</v>
      </c>
      <c r="O286" s="24" t="s">
        <v>42</v>
      </c>
      <c r="P286" s="16" t="s">
        <v>43</v>
      </c>
      <c r="Q286" s="32">
        <v>0</v>
      </c>
      <c r="R286"/>
      <c r="S286"/>
    </row>
    <row r="287" spans="3:19" x14ac:dyDescent="0.25">
      <c r="C287" s="24" t="s">
        <v>288</v>
      </c>
      <c r="D287" s="24" t="s">
        <v>289</v>
      </c>
      <c r="E287" s="24" t="s">
        <v>290</v>
      </c>
      <c r="F287" s="25" t="s">
        <v>36</v>
      </c>
      <c r="G287" s="24" t="s">
        <v>37</v>
      </c>
      <c r="H287" s="24" t="s">
        <v>38</v>
      </c>
      <c r="I287" s="24" t="s">
        <v>1046</v>
      </c>
      <c r="J287" s="24">
        <v>0</v>
      </c>
      <c r="K287" s="24" t="s">
        <v>59</v>
      </c>
      <c r="L287" s="24" t="s">
        <v>40</v>
      </c>
      <c r="M287" s="24" t="s">
        <v>1053</v>
      </c>
      <c r="N287" s="24" t="s">
        <v>288</v>
      </c>
      <c r="O287" s="24" t="s">
        <v>42</v>
      </c>
      <c r="P287" s="16" t="s">
        <v>43</v>
      </c>
      <c r="Q287" s="32">
        <v>0</v>
      </c>
      <c r="R287"/>
      <c r="S287"/>
    </row>
    <row r="288" spans="3:19" x14ac:dyDescent="0.25">
      <c r="C288" s="24" t="s">
        <v>291</v>
      </c>
      <c r="D288" s="24" t="s">
        <v>292</v>
      </c>
      <c r="E288" s="24" t="s">
        <v>292</v>
      </c>
      <c r="F288" s="25" t="s">
        <v>36</v>
      </c>
      <c r="G288" s="24" t="s">
        <v>37</v>
      </c>
      <c r="H288" s="24" t="s">
        <v>38</v>
      </c>
      <c r="I288" s="24" t="s">
        <v>1046</v>
      </c>
      <c r="J288" s="24" t="s">
        <v>94</v>
      </c>
      <c r="K288" s="24" t="s">
        <v>51</v>
      </c>
      <c r="L288" s="24" t="s">
        <v>40</v>
      </c>
      <c r="M288" s="24" t="s">
        <v>1035</v>
      </c>
      <c r="N288" s="24" t="s">
        <v>291</v>
      </c>
      <c r="O288" s="24" t="s">
        <v>42</v>
      </c>
      <c r="P288" s="16" t="s">
        <v>43</v>
      </c>
      <c r="Q288" s="32">
        <v>0</v>
      </c>
      <c r="R288"/>
      <c r="S288"/>
    </row>
    <row r="289" spans="3:19" x14ac:dyDescent="0.25">
      <c r="C289" s="24" t="s">
        <v>293</v>
      </c>
      <c r="D289" s="24" t="s">
        <v>294</v>
      </c>
      <c r="E289" s="24" t="s">
        <v>294</v>
      </c>
      <c r="F289" s="25" t="s">
        <v>36</v>
      </c>
      <c r="G289" s="24" t="s">
        <v>37</v>
      </c>
      <c r="H289" s="24" t="s">
        <v>38</v>
      </c>
      <c r="I289" s="24" t="s">
        <v>1046</v>
      </c>
      <c r="J289" s="24" t="s">
        <v>73</v>
      </c>
      <c r="K289" s="24" t="s">
        <v>64</v>
      </c>
      <c r="L289" s="24" t="s">
        <v>40</v>
      </c>
      <c r="M289" s="3" t="s">
        <v>378</v>
      </c>
      <c r="N289" s="24" t="s">
        <v>293</v>
      </c>
      <c r="O289" s="24" t="s">
        <v>42</v>
      </c>
      <c r="P289" s="16" t="s">
        <v>43</v>
      </c>
      <c r="Q289" s="32">
        <v>0</v>
      </c>
      <c r="R289"/>
      <c r="S289"/>
    </row>
    <row r="290" spans="3:19" x14ac:dyDescent="0.25">
      <c r="C290" s="24" t="s">
        <v>295</v>
      </c>
      <c r="D290" s="24" t="s">
        <v>296</v>
      </c>
      <c r="E290" s="24" t="s">
        <v>297</v>
      </c>
      <c r="F290" s="25" t="s">
        <v>36</v>
      </c>
      <c r="G290" s="24" t="s">
        <v>37</v>
      </c>
      <c r="H290" s="24" t="s">
        <v>38</v>
      </c>
      <c r="I290" s="24" t="s">
        <v>1046</v>
      </c>
      <c r="J290" s="24" t="s">
        <v>94</v>
      </c>
      <c r="K290" s="24" t="s">
        <v>64</v>
      </c>
      <c r="L290" s="24" t="s">
        <v>40</v>
      </c>
      <c r="M290" s="24" t="s">
        <v>1035</v>
      </c>
      <c r="N290" s="24" t="s">
        <v>295</v>
      </c>
      <c r="O290" s="24" t="s">
        <v>42</v>
      </c>
      <c r="P290" s="16" t="s">
        <v>43</v>
      </c>
      <c r="Q290" s="32">
        <v>0</v>
      </c>
      <c r="R290"/>
      <c r="S290"/>
    </row>
    <row r="291" spans="3:19" x14ac:dyDescent="0.25">
      <c r="C291" s="24" t="s">
        <v>298</v>
      </c>
      <c r="D291" s="24" t="s">
        <v>299</v>
      </c>
      <c r="E291" s="24" t="s">
        <v>300</v>
      </c>
      <c r="F291" s="25" t="s">
        <v>36</v>
      </c>
      <c r="G291" s="24" t="s">
        <v>37</v>
      </c>
      <c r="H291" s="24" t="s">
        <v>38</v>
      </c>
      <c r="I291" s="24" t="s">
        <v>1046</v>
      </c>
      <c r="J291" s="24" t="s">
        <v>58</v>
      </c>
      <c r="K291" s="24" t="s">
        <v>59</v>
      </c>
      <c r="L291" s="24" t="s">
        <v>40</v>
      </c>
      <c r="M291" s="24" t="s">
        <v>1035</v>
      </c>
      <c r="N291" s="24" t="s">
        <v>298</v>
      </c>
      <c r="O291" s="24" t="s">
        <v>42</v>
      </c>
      <c r="P291" s="16" t="s">
        <v>43</v>
      </c>
      <c r="Q291" s="32">
        <v>0</v>
      </c>
      <c r="R291"/>
      <c r="S291"/>
    </row>
    <row r="292" spans="3:19" x14ac:dyDescent="0.25">
      <c r="C292" s="24" t="s">
        <v>794</v>
      </c>
      <c r="D292" s="24" t="s">
        <v>795</v>
      </c>
      <c r="E292" s="24" t="s">
        <v>795</v>
      </c>
      <c r="F292" s="25">
        <v>0</v>
      </c>
      <c r="G292" s="24" t="s">
        <v>37</v>
      </c>
      <c r="H292" s="24" t="s">
        <v>46</v>
      </c>
      <c r="I292" s="24" t="s">
        <v>1031</v>
      </c>
      <c r="J292" s="24" t="s">
        <v>89</v>
      </c>
      <c r="K292" s="24" t="s">
        <v>109</v>
      </c>
      <c r="L292" s="24" t="s">
        <v>91</v>
      </c>
      <c r="M292" s="3" t="s">
        <v>378</v>
      </c>
      <c r="N292" s="24" t="s">
        <v>794</v>
      </c>
      <c r="O292" s="24" t="s">
        <v>42</v>
      </c>
      <c r="P292" s="16" t="s">
        <v>43</v>
      </c>
      <c r="Q292" s="32">
        <v>0</v>
      </c>
      <c r="R292"/>
      <c r="S292"/>
    </row>
    <row r="293" spans="3:19" x14ac:dyDescent="0.25">
      <c r="C293" s="24" t="s">
        <v>620</v>
      </c>
      <c r="D293" s="24" t="s">
        <v>622</v>
      </c>
      <c r="E293" s="24" t="s">
        <v>622</v>
      </c>
      <c r="F293" s="25">
        <v>5</v>
      </c>
      <c r="G293" s="24" t="s">
        <v>376</v>
      </c>
      <c r="H293" s="24" t="s">
        <v>46</v>
      </c>
      <c r="I293" s="24" t="s">
        <v>1046</v>
      </c>
      <c r="J293" s="24" t="s">
        <v>50</v>
      </c>
      <c r="K293" s="24" t="s">
        <v>59</v>
      </c>
      <c r="L293" s="24" t="s">
        <v>40</v>
      </c>
      <c r="M293" s="3" t="s">
        <v>984</v>
      </c>
      <c r="N293" s="24" t="s">
        <v>620</v>
      </c>
      <c r="O293" s="24" t="s">
        <v>42</v>
      </c>
      <c r="P293" s="16" t="s">
        <v>43</v>
      </c>
      <c r="Q293" s="32">
        <v>44239171.541949995</v>
      </c>
      <c r="R293"/>
      <c r="S293"/>
    </row>
    <row r="294" spans="3:19" x14ac:dyDescent="0.25">
      <c r="C294" s="24" t="s">
        <v>733</v>
      </c>
      <c r="D294" s="24" t="s">
        <v>734</v>
      </c>
      <c r="E294" s="24" t="s">
        <v>735</v>
      </c>
      <c r="F294" s="25">
        <v>6</v>
      </c>
      <c r="G294" s="24" t="s">
        <v>376</v>
      </c>
      <c r="H294" s="24" t="s">
        <v>46</v>
      </c>
      <c r="I294" s="24" t="s">
        <v>1031</v>
      </c>
      <c r="J294" s="24" t="s">
        <v>84</v>
      </c>
      <c r="K294" s="24" t="s">
        <v>54</v>
      </c>
      <c r="L294" s="24" t="s">
        <v>55</v>
      </c>
      <c r="M294" s="3" t="s">
        <v>378</v>
      </c>
      <c r="N294" s="24" t="s">
        <v>733</v>
      </c>
      <c r="O294" s="24" t="s">
        <v>42</v>
      </c>
      <c r="P294" s="16" t="s">
        <v>43</v>
      </c>
      <c r="Q294" s="32">
        <v>68297198.57099998</v>
      </c>
      <c r="R294"/>
      <c r="S294"/>
    </row>
    <row r="295" spans="3:19" x14ac:dyDescent="0.25">
      <c r="C295" s="24" t="s">
        <v>301</v>
      </c>
      <c r="D295" s="24" t="s">
        <v>302</v>
      </c>
      <c r="E295" s="24" t="s">
        <v>303</v>
      </c>
      <c r="F295" s="25" t="s">
        <v>36</v>
      </c>
      <c r="G295" s="24" t="s">
        <v>37</v>
      </c>
      <c r="H295" s="24" t="s">
        <v>38</v>
      </c>
      <c r="I295" s="24" t="s">
        <v>1046</v>
      </c>
      <c r="J295" s="24" t="s">
        <v>132</v>
      </c>
      <c r="K295" s="24" t="s">
        <v>133</v>
      </c>
      <c r="L295" s="24" t="s">
        <v>40</v>
      </c>
      <c r="M295" s="24" t="s">
        <v>1035</v>
      </c>
      <c r="N295" s="24" t="s">
        <v>301</v>
      </c>
      <c r="O295" s="24" t="s">
        <v>42</v>
      </c>
      <c r="P295" s="16" t="s">
        <v>43</v>
      </c>
      <c r="Q295" s="32">
        <v>0</v>
      </c>
      <c r="R295"/>
      <c r="S295"/>
    </row>
    <row r="296" spans="3:19" x14ac:dyDescent="0.25">
      <c r="C296" s="24" t="s">
        <v>505</v>
      </c>
      <c r="D296" s="24" t="s">
        <v>506</v>
      </c>
      <c r="E296" s="24" t="s">
        <v>506</v>
      </c>
      <c r="F296" s="25">
        <v>5</v>
      </c>
      <c r="G296" s="24" t="s">
        <v>376</v>
      </c>
      <c r="H296" s="24" t="s">
        <v>46</v>
      </c>
      <c r="I296" s="24" t="s">
        <v>1046</v>
      </c>
      <c r="J296" s="24" t="s">
        <v>466</v>
      </c>
      <c r="K296" s="24" t="s">
        <v>51</v>
      </c>
      <c r="L296" s="24" t="s">
        <v>40</v>
      </c>
      <c r="M296" s="24" t="s">
        <v>1035</v>
      </c>
      <c r="N296" s="24" t="s">
        <v>505</v>
      </c>
      <c r="O296" s="24" t="s">
        <v>42</v>
      </c>
      <c r="P296" s="16" t="s">
        <v>43</v>
      </c>
      <c r="Q296" s="32">
        <v>33912177.151999995</v>
      </c>
      <c r="R296"/>
      <c r="S296"/>
    </row>
    <row r="297" spans="3:19" x14ac:dyDescent="0.25">
      <c r="C297" s="24" t="s">
        <v>304</v>
      </c>
      <c r="D297" s="24" t="s">
        <v>305</v>
      </c>
      <c r="E297" s="24" t="s">
        <v>305</v>
      </c>
      <c r="F297" s="25" t="s">
        <v>36</v>
      </c>
      <c r="G297" s="24" t="s">
        <v>37</v>
      </c>
      <c r="H297" s="24" t="s">
        <v>81</v>
      </c>
      <c r="I297" s="24" t="s">
        <v>1046</v>
      </c>
      <c r="J297" s="24" t="s">
        <v>132</v>
      </c>
      <c r="K297" s="24" t="s">
        <v>51</v>
      </c>
      <c r="L297" s="24" t="s">
        <v>40</v>
      </c>
      <c r="M297" s="24" t="s">
        <v>1035</v>
      </c>
      <c r="N297" s="24" t="s">
        <v>304</v>
      </c>
      <c r="O297" s="24" t="s">
        <v>42</v>
      </c>
      <c r="P297" s="16" t="s">
        <v>43</v>
      </c>
      <c r="Q297" s="32">
        <v>0</v>
      </c>
      <c r="R297"/>
      <c r="S297"/>
    </row>
    <row r="298" spans="3:19" x14ac:dyDescent="0.25">
      <c r="C298" s="24" t="s">
        <v>306</v>
      </c>
      <c r="D298" s="24" t="s">
        <v>307</v>
      </c>
      <c r="E298" s="24" t="s">
        <v>307</v>
      </c>
      <c r="F298" s="25" t="s">
        <v>36</v>
      </c>
      <c r="G298" s="24" t="s">
        <v>37</v>
      </c>
      <c r="H298" s="24" t="s">
        <v>46</v>
      </c>
      <c r="I298" s="24" t="s">
        <v>1046</v>
      </c>
      <c r="J298" s="24">
        <v>0</v>
      </c>
      <c r="K298" s="24" t="s">
        <v>138</v>
      </c>
      <c r="L298" s="24" t="s">
        <v>40</v>
      </c>
      <c r="M298" s="24" t="s">
        <v>1053</v>
      </c>
      <c r="N298" s="24" t="s">
        <v>306</v>
      </c>
      <c r="O298" s="24" t="s">
        <v>42</v>
      </c>
      <c r="P298" s="16" t="s">
        <v>43</v>
      </c>
      <c r="Q298" s="32">
        <v>0</v>
      </c>
      <c r="R298"/>
      <c r="S298"/>
    </row>
    <row r="299" spans="3:19" x14ac:dyDescent="0.25">
      <c r="C299" s="24" t="s">
        <v>308</v>
      </c>
      <c r="D299" s="24" t="s">
        <v>309</v>
      </c>
      <c r="E299" s="24" t="s">
        <v>309</v>
      </c>
      <c r="F299" s="25" t="s">
        <v>36</v>
      </c>
      <c r="G299" s="24" t="s">
        <v>37</v>
      </c>
      <c r="H299" s="24" t="s">
        <v>46</v>
      </c>
      <c r="I299" s="24" t="s">
        <v>1046</v>
      </c>
      <c r="J299" s="24">
        <v>0</v>
      </c>
      <c r="K299" s="24" t="s">
        <v>279</v>
      </c>
      <c r="L299" s="24" t="s">
        <v>55</v>
      </c>
      <c r="M299" s="24" t="s">
        <v>1053</v>
      </c>
      <c r="N299" s="24" t="s">
        <v>308</v>
      </c>
      <c r="O299" s="24" t="s">
        <v>42</v>
      </c>
      <c r="P299" s="16" t="s">
        <v>43</v>
      </c>
      <c r="Q299" s="32">
        <v>0</v>
      </c>
      <c r="R299"/>
      <c r="S299"/>
    </row>
    <row r="300" spans="3:19" x14ac:dyDescent="0.25">
      <c r="C300" s="24" t="s">
        <v>310</v>
      </c>
      <c r="D300" s="24" t="s">
        <v>311</v>
      </c>
      <c r="E300" s="24" t="s">
        <v>312</v>
      </c>
      <c r="F300" s="25" t="s">
        <v>36</v>
      </c>
      <c r="G300" s="24" t="s">
        <v>37</v>
      </c>
      <c r="H300" s="24" t="s">
        <v>81</v>
      </c>
      <c r="I300" s="24" t="s">
        <v>1046</v>
      </c>
      <c r="J300" s="24" t="s">
        <v>160</v>
      </c>
      <c r="K300" s="24" t="s">
        <v>64</v>
      </c>
      <c r="L300" s="24" t="s">
        <v>40</v>
      </c>
      <c r="M300" s="3" t="s">
        <v>984</v>
      </c>
      <c r="N300" s="24" t="s">
        <v>310</v>
      </c>
      <c r="O300" s="24" t="s">
        <v>42</v>
      </c>
      <c r="P300" s="16" t="s">
        <v>43</v>
      </c>
      <c r="Q300" s="32">
        <v>0</v>
      </c>
      <c r="R300"/>
      <c r="S300"/>
    </row>
    <row r="301" spans="3:19" x14ac:dyDescent="0.25">
      <c r="C301" s="24" t="s">
        <v>968</v>
      </c>
      <c r="D301" s="24" t="s">
        <v>969</v>
      </c>
      <c r="E301" s="24" t="s">
        <v>969</v>
      </c>
      <c r="F301" s="25">
        <v>5</v>
      </c>
      <c r="G301" s="24" t="s">
        <v>376</v>
      </c>
      <c r="H301" s="24" t="s">
        <v>46</v>
      </c>
      <c r="I301" s="24" t="s">
        <v>1046</v>
      </c>
      <c r="J301" s="24" t="s">
        <v>160</v>
      </c>
      <c r="K301" s="24" t="s">
        <v>39</v>
      </c>
      <c r="L301" s="24" t="s">
        <v>40</v>
      </c>
      <c r="M301" s="3" t="s">
        <v>984</v>
      </c>
      <c r="N301" s="24" t="s">
        <v>968</v>
      </c>
      <c r="O301" s="24" t="s">
        <v>42</v>
      </c>
      <c r="P301" s="16" t="s">
        <v>440</v>
      </c>
      <c r="Q301" s="32">
        <v>31809046.863299999</v>
      </c>
      <c r="R301"/>
      <c r="S301"/>
    </row>
    <row r="302" spans="3:19" x14ac:dyDescent="0.25">
      <c r="C302" s="24" t="s">
        <v>313</v>
      </c>
      <c r="D302" s="24" t="s">
        <v>314</v>
      </c>
      <c r="E302" s="24" t="s">
        <v>314</v>
      </c>
      <c r="F302" s="25" t="s">
        <v>36</v>
      </c>
      <c r="G302" s="24" t="s">
        <v>37</v>
      </c>
      <c r="H302" s="24" t="s">
        <v>81</v>
      </c>
      <c r="I302" s="24" t="s">
        <v>1046</v>
      </c>
      <c r="J302" s="24">
        <v>0</v>
      </c>
      <c r="K302" s="24" t="s">
        <v>315</v>
      </c>
      <c r="L302" s="24" t="s">
        <v>40</v>
      </c>
      <c r="M302" s="24" t="s">
        <v>1053</v>
      </c>
      <c r="N302" s="24" t="s">
        <v>313</v>
      </c>
      <c r="O302" s="24" t="s">
        <v>42</v>
      </c>
      <c r="P302" s="16" t="s">
        <v>43</v>
      </c>
      <c r="Q302" s="32">
        <v>0</v>
      </c>
      <c r="R302"/>
      <c r="S302"/>
    </row>
    <row r="303" spans="3:19" x14ac:dyDescent="0.25">
      <c r="C303" s="24" t="s">
        <v>823</v>
      </c>
      <c r="D303" s="24" t="s">
        <v>824</v>
      </c>
      <c r="E303" s="24" t="s">
        <v>824</v>
      </c>
      <c r="F303" s="25">
        <v>5</v>
      </c>
      <c r="G303" s="24" t="s">
        <v>376</v>
      </c>
      <c r="H303" s="24" t="s">
        <v>46</v>
      </c>
      <c r="I303" s="24" t="s">
        <v>1046</v>
      </c>
      <c r="J303" s="24" t="s">
        <v>146</v>
      </c>
      <c r="K303" s="24" t="s">
        <v>59</v>
      </c>
      <c r="L303" s="24" t="s">
        <v>40</v>
      </c>
      <c r="M303" s="24" t="s">
        <v>1035</v>
      </c>
      <c r="N303" s="24" t="s">
        <v>823</v>
      </c>
      <c r="O303" s="24" t="s">
        <v>42</v>
      </c>
      <c r="P303" s="16" t="s">
        <v>43</v>
      </c>
      <c r="Q303" s="32">
        <v>38015735.138149999</v>
      </c>
      <c r="R303"/>
      <c r="S303"/>
    </row>
    <row r="304" spans="3:19" x14ac:dyDescent="0.25">
      <c r="C304" s="24" t="s">
        <v>316</v>
      </c>
      <c r="D304" s="24" t="s">
        <v>317</v>
      </c>
      <c r="E304" s="24" t="s">
        <v>318</v>
      </c>
      <c r="F304" s="25" t="s">
        <v>36</v>
      </c>
      <c r="G304" s="24" t="s">
        <v>37</v>
      </c>
      <c r="H304" s="24" t="s">
        <v>81</v>
      </c>
      <c r="I304" s="24" t="s">
        <v>1046</v>
      </c>
      <c r="J304" s="24" t="s">
        <v>67</v>
      </c>
      <c r="K304" s="24" t="s">
        <v>59</v>
      </c>
      <c r="L304" s="24" t="s">
        <v>40</v>
      </c>
      <c r="M304" s="24" t="s">
        <v>1035</v>
      </c>
      <c r="N304" s="24" t="s">
        <v>316</v>
      </c>
      <c r="O304" s="24" t="s">
        <v>42</v>
      </c>
      <c r="P304" s="16" t="s">
        <v>43</v>
      </c>
      <c r="Q304" s="32">
        <v>0</v>
      </c>
      <c r="R304"/>
      <c r="S304"/>
    </row>
    <row r="305" spans="3:19" x14ac:dyDescent="0.25">
      <c r="C305" s="24" t="s">
        <v>319</v>
      </c>
      <c r="D305" s="24" t="s">
        <v>320</v>
      </c>
      <c r="E305" s="24" t="s">
        <v>320</v>
      </c>
      <c r="F305" s="25" t="s">
        <v>36</v>
      </c>
      <c r="G305" s="24" t="s">
        <v>37</v>
      </c>
      <c r="H305" s="24" t="s">
        <v>46</v>
      </c>
      <c r="I305" s="24" t="s">
        <v>1046</v>
      </c>
      <c r="J305" s="24">
        <v>0</v>
      </c>
      <c r="K305" s="24" t="s">
        <v>97</v>
      </c>
      <c r="L305" s="24" t="s">
        <v>40</v>
      </c>
      <c r="M305" s="24" t="s">
        <v>1053</v>
      </c>
      <c r="N305" s="24" t="s">
        <v>319</v>
      </c>
      <c r="O305" s="24" t="s">
        <v>42</v>
      </c>
      <c r="P305" s="16" t="s">
        <v>43</v>
      </c>
      <c r="Q305" s="32">
        <v>0</v>
      </c>
      <c r="R305"/>
      <c r="S305"/>
    </row>
    <row r="306" spans="3:19" x14ac:dyDescent="0.25">
      <c r="C306" s="24" t="s">
        <v>321</v>
      </c>
      <c r="D306" s="24" t="s">
        <v>322</v>
      </c>
      <c r="E306" s="24" t="s">
        <v>322</v>
      </c>
      <c r="F306" s="25" t="s">
        <v>36</v>
      </c>
      <c r="G306" s="24" t="s">
        <v>37</v>
      </c>
      <c r="H306" s="24" t="s">
        <v>81</v>
      </c>
      <c r="I306" s="24" t="s">
        <v>1046</v>
      </c>
      <c r="J306" s="24" t="s">
        <v>50</v>
      </c>
      <c r="K306" s="24" t="s">
        <v>51</v>
      </c>
      <c r="L306" s="24" t="s">
        <v>40</v>
      </c>
      <c r="M306" s="3" t="s">
        <v>984</v>
      </c>
      <c r="N306" s="24" t="s">
        <v>321</v>
      </c>
      <c r="O306" s="24" t="s">
        <v>42</v>
      </c>
      <c r="P306" s="16" t="s">
        <v>43</v>
      </c>
      <c r="Q306" s="32">
        <v>0</v>
      </c>
      <c r="R306"/>
      <c r="S306"/>
    </row>
    <row r="307" spans="3:19" x14ac:dyDescent="0.25">
      <c r="C307" s="24" t="s">
        <v>457</v>
      </c>
      <c r="D307" s="24" t="s">
        <v>458</v>
      </c>
      <c r="E307" s="24" t="s">
        <v>458</v>
      </c>
      <c r="F307" s="25">
        <v>5</v>
      </c>
      <c r="G307" s="24" t="s">
        <v>376</v>
      </c>
      <c r="H307" s="24" t="s">
        <v>81</v>
      </c>
      <c r="I307" s="24" t="s">
        <v>1046</v>
      </c>
      <c r="J307" s="24" t="s">
        <v>94</v>
      </c>
      <c r="K307" s="24" t="s">
        <v>205</v>
      </c>
      <c r="L307" s="24" t="s">
        <v>40</v>
      </c>
      <c r="M307" s="24" t="s">
        <v>1035</v>
      </c>
      <c r="N307" s="24" t="s">
        <v>457</v>
      </c>
      <c r="O307" s="24" t="s">
        <v>42</v>
      </c>
      <c r="P307" s="16" t="s">
        <v>43</v>
      </c>
      <c r="Q307" s="32">
        <v>52536261.894900002</v>
      </c>
      <c r="R307"/>
      <c r="S307"/>
    </row>
    <row r="308" spans="3:19" x14ac:dyDescent="0.25">
      <c r="C308" s="24" t="s">
        <v>323</v>
      </c>
      <c r="D308" s="24" t="s">
        <v>324</v>
      </c>
      <c r="E308" s="24" t="s">
        <v>324</v>
      </c>
      <c r="F308" s="25" t="s">
        <v>36</v>
      </c>
      <c r="G308" s="24" t="s">
        <v>37</v>
      </c>
      <c r="H308" s="24" t="s">
        <v>46</v>
      </c>
      <c r="I308" s="24" t="s">
        <v>1046</v>
      </c>
      <c r="J308" s="24" t="s">
        <v>58</v>
      </c>
      <c r="K308" s="24" t="s">
        <v>138</v>
      </c>
      <c r="L308" s="24" t="s">
        <v>40</v>
      </c>
      <c r="M308" s="24" t="s">
        <v>1035</v>
      </c>
      <c r="N308" s="24" t="s">
        <v>323</v>
      </c>
      <c r="O308" s="24" t="s">
        <v>42</v>
      </c>
      <c r="P308" s="16" t="s">
        <v>43</v>
      </c>
      <c r="Q308" s="32">
        <v>0</v>
      </c>
      <c r="R308"/>
      <c r="S308"/>
    </row>
    <row r="309" spans="3:19" x14ac:dyDescent="0.25">
      <c r="C309" s="24" t="s">
        <v>325</v>
      </c>
      <c r="D309" s="24" t="s">
        <v>326</v>
      </c>
      <c r="E309" s="24" t="s">
        <v>326</v>
      </c>
      <c r="F309" s="25" t="s">
        <v>36</v>
      </c>
      <c r="G309" s="24" t="s">
        <v>37</v>
      </c>
      <c r="H309" s="24" t="s">
        <v>46</v>
      </c>
      <c r="I309" s="24" t="s">
        <v>1046</v>
      </c>
      <c r="J309" s="24" t="s">
        <v>67</v>
      </c>
      <c r="K309" s="24" t="s">
        <v>59</v>
      </c>
      <c r="L309" s="24" t="s">
        <v>40</v>
      </c>
      <c r="M309" s="24" t="s">
        <v>1035</v>
      </c>
      <c r="N309" s="24" t="s">
        <v>325</v>
      </c>
      <c r="O309" s="24" t="s">
        <v>42</v>
      </c>
      <c r="P309" s="16" t="s">
        <v>43</v>
      </c>
      <c r="Q309" s="32">
        <v>0</v>
      </c>
    </row>
    <row r="310" spans="3:19" x14ac:dyDescent="0.25">
      <c r="C310" s="24" t="s">
        <v>459</v>
      </c>
      <c r="D310" s="24" t="s">
        <v>460</v>
      </c>
      <c r="E310" s="24" t="s">
        <v>460</v>
      </c>
      <c r="F310" s="25">
        <v>5</v>
      </c>
      <c r="G310" s="24" t="s">
        <v>376</v>
      </c>
      <c r="H310" s="24" t="s">
        <v>46</v>
      </c>
      <c r="I310" s="24" t="s">
        <v>1046</v>
      </c>
      <c r="J310" s="24" t="s">
        <v>94</v>
      </c>
      <c r="K310" s="24" t="s">
        <v>64</v>
      </c>
      <c r="L310" s="24" t="s">
        <v>40</v>
      </c>
      <c r="M310" s="24" t="s">
        <v>1035</v>
      </c>
      <c r="N310" s="24" t="s">
        <v>459</v>
      </c>
      <c r="O310" s="24" t="s">
        <v>42</v>
      </c>
      <c r="P310" s="16" t="s">
        <v>43</v>
      </c>
      <c r="Q310" s="32">
        <v>44898594.552000001</v>
      </c>
    </row>
    <row r="311" spans="3:19" x14ac:dyDescent="0.25">
      <c r="C311" s="24" t="s">
        <v>919</v>
      </c>
      <c r="D311" s="24" t="s">
        <v>920</v>
      </c>
      <c r="E311" s="24" t="s">
        <v>920</v>
      </c>
      <c r="F311" s="25">
        <v>5</v>
      </c>
      <c r="G311" s="24" t="s">
        <v>376</v>
      </c>
      <c r="H311" s="24" t="s">
        <v>81</v>
      </c>
      <c r="I311" s="24" t="s">
        <v>1046</v>
      </c>
      <c r="J311" s="24" t="s">
        <v>73</v>
      </c>
      <c r="K311" s="24" t="s">
        <v>315</v>
      </c>
      <c r="L311" s="24" t="s">
        <v>40</v>
      </c>
      <c r="M311" s="3" t="s">
        <v>378</v>
      </c>
      <c r="N311" s="24" t="s">
        <v>919</v>
      </c>
      <c r="O311" s="24" t="s">
        <v>42</v>
      </c>
      <c r="P311" s="16" t="s">
        <v>43</v>
      </c>
      <c r="Q311" s="32">
        <v>38208272.854499996</v>
      </c>
    </row>
    <row r="312" spans="3:19" x14ac:dyDescent="0.25">
      <c r="C312" s="24" t="s">
        <v>610</v>
      </c>
      <c r="D312" s="24" t="s">
        <v>611</v>
      </c>
      <c r="E312" s="24" t="s">
        <v>611</v>
      </c>
      <c r="F312" s="25">
        <v>5</v>
      </c>
      <c r="G312" s="24" t="s">
        <v>376</v>
      </c>
      <c r="H312" s="24" t="s">
        <v>81</v>
      </c>
      <c r="I312" s="24" t="s">
        <v>1046</v>
      </c>
      <c r="J312" s="24" t="s">
        <v>50</v>
      </c>
      <c r="K312" s="24" t="s">
        <v>59</v>
      </c>
      <c r="L312" s="24" t="s">
        <v>40</v>
      </c>
      <c r="M312" s="3" t="s">
        <v>984</v>
      </c>
      <c r="N312" s="24" t="s">
        <v>610</v>
      </c>
      <c r="O312" s="24" t="s">
        <v>42</v>
      </c>
      <c r="P312" s="16" t="s">
        <v>43</v>
      </c>
      <c r="Q312" s="32">
        <v>35063533.585655399</v>
      </c>
    </row>
    <row r="313" spans="3:19" x14ac:dyDescent="0.25">
      <c r="C313" s="24" t="s">
        <v>461</v>
      </c>
      <c r="D313" s="24" t="s">
        <v>462</v>
      </c>
      <c r="E313" s="24" t="s">
        <v>462</v>
      </c>
      <c r="F313" s="25">
        <v>5</v>
      </c>
      <c r="G313" s="24" t="s">
        <v>376</v>
      </c>
      <c r="H313" s="24" t="s">
        <v>46</v>
      </c>
      <c r="I313" s="24" t="s">
        <v>1046</v>
      </c>
      <c r="J313" s="24" t="s">
        <v>94</v>
      </c>
      <c r="K313" s="24" t="s">
        <v>64</v>
      </c>
      <c r="L313" s="24" t="s">
        <v>40</v>
      </c>
      <c r="M313" s="24" t="s">
        <v>1035</v>
      </c>
      <c r="N313" s="24" t="s">
        <v>461</v>
      </c>
      <c r="O313" s="24" t="s">
        <v>42</v>
      </c>
      <c r="P313" s="16" t="s">
        <v>440</v>
      </c>
      <c r="Q313" s="32">
        <v>32067029.48435</v>
      </c>
    </row>
    <row r="314" spans="3:19" x14ac:dyDescent="0.25">
      <c r="C314" s="24" t="s">
        <v>639</v>
      </c>
      <c r="D314" s="24" t="s">
        <v>640</v>
      </c>
      <c r="E314" s="24" t="s">
        <v>641</v>
      </c>
      <c r="F314" s="25">
        <v>5</v>
      </c>
      <c r="G314" s="24" t="s">
        <v>376</v>
      </c>
      <c r="H314" s="24" t="s">
        <v>81</v>
      </c>
      <c r="I314" s="24" t="s">
        <v>1046</v>
      </c>
      <c r="J314" s="24" t="s">
        <v>50</v>
      </c>
      <c r="K314" s="24" t="s">
        <v>64</v>
      </c>
      <c r="L314" s="24" t="s">
        <v>40</v>
      </c>
      <c r="M314" s="3" t="s">
        <v>984</v>
      </c>
      <c r="N314" s="24" t="s">
        <v>639</v>
      </c>
      <c r="O314" s="24" t="s">
        <v>42</v>
      </c>
      <c r="P314" s="16" t="s">
        <v>43</v>
      </c>
      <c r="Q314" s="32">
        <v>53625144.447000004</v>
      </c>
    </row>
    <row r="315" spans="3:19" x14ac:dyDescent="0.25">
      <c r="C315" s="24" t="s">
        <v>327</v>
      </c>
      <c r="D315" s="24" t="s">
        <v>328</v>
      </c>
      <c r="E315" s="24" t="s">
        <v>328</v>
      </c>
      <c r="F315" s="25" t="s">
        <v>36</v>
      </c>
      <c r="G315" s="24" t="s">
        <v>37</v>
      </c>
      <c r="H315" s="24" t="s">
        <v>81</v>
      </c>
      <c r="I315" s="24" t="s">
        <v>1046</v>
      </c>
      <c r="J315" s="24" t="s">
        <v>63</v>
      </c>
      <c r="K315" s="24" t="s">
        <v>138</v>
      </c>
      <c r="L315" s="24" t="s">
        <v>40</v>
      </c>
      <c r="M315" s="3" t="s">
        <v>378</v>
      </c>
      <c r="N315" s="24" t="s">
        <v>327</v>
      </c>
      <c r="O315" s="24" t="s">
        <v>42</v>
      </c>
      <c r="P315" s="16" t="s">
        <v>43</v>
      </c>
      <c r="Q315" s="32">
        <v>0</v>
      </c>
    </row>
    <row r="316" spans="3:19" x14ac:dyDescent="0.25">
      <c r="C316" s="24" t="s">
        <v>329</v>
      </c>
      <c r="D316" s="24" t="s">
        <v>330</v>
      </c>
      <c r="E316" s="24" t="s">
        <v>330</v>
      </c>
      <c r="F316" s="25" t="s">
        <v>36</v>
      </c>
      <c r="G316" s="24" t="s">
        <v>37</v>
      </c>
      <c r="H316" s="24" t="s">
        <v>46</v>
      </c>
      <c r="I316" s="24" t="s">
        <v>1046</v>
      </c>
      <c r="J316" s="24" t="s">
        <v>331</v>
      </c>
      <c r="K316" s="24" t="s">
        <v>138</v>
      </c>
      <c r="L316" s="24" t="s">
        <v>40</v>
      </c>
      <c r="M316" s="3" t="s">
        <v>984</v>
      </c>
      <c r="N316" s="24" t="s">
        <v>329</v>
      </c>
      <c r="O316" s="24" t="s">
        <v>42</v>
      </c>
      <c r="P316" s="16" t="s">
        <v>43</v>
      </c>
      <c r="Q316" s="32">
        <v>0</v>
      </c>
    </row>
    <row r="317" spans="3:19" x14ac:dyDescent="0.25">
      <c r="C317" s="24" t="s">
        <v>332</v>
      </c>
      <c r="D317" s="24" t="s">
        <v>333</v>
      </c>
      <c r="E317" s="24" t="s">
        <v>333</v>
      </c>
      <c r="F317" s="25" t="s">
        <v>36</v>
      </c>
      <c r="G317" s="24" t="s">
        <v>37</v>
      </c>
      <c r="H317" s="24" t="s">
        <v>81</v>
      </c>
      <c r="I317" s="24" t="s">
        <v>1046</v>
      </c>
      <c r="J317" s="24">
        <v>0</v>
      </c>
      <c r="K317" s="24" t="s">
        <v>59</v>
      </c>
      <c r="L317" s="24" t="s">
        <v>40</v>
      </c>
      <c r="M317" s="24" t="s">
        <v>1053</v>
      </c>
      <c r="N317" s="24" t="s">
        <v>332</v>
      </c>
      <c r="O317" s="24" t="s">
        <v>42</v>
      </c>
      <c r="P317" s="16" t="s">
        <v>43</v>
      </c>
      <c r="Q317" s="32">
        <v>0</v>
      </c>
    </row>
    <row r="318" spans="3:19" x14ac:dyDescent="0.25">
      <c r="C318" s="24" t="s">
        <v>334</v>
      </c>
      <c r="D318" s="24" t="s">
        <v>335</v>
      </c>
      <c r="E318" s="24" t="s">
        <v>336</v>
      </c>
      <c r="F318" s="25" t="s">
        <v>36</v>
      </c>
      <c r="G318" s="24" t="s">
        <v>37</v>
      </c>
      <c r="H318" s="24" t="s">
        <v>46</v>
      </c>
      <c r="I318" s="24" t="s">
        <v>1046</v>
      </c>
      <c r="J318" s="24">
        <v>0</v>
      </c>
      <c r="K318" s="24" t="s">
        <v>47</v>
      </c>
      <c r="L318" s="24" t="s">
        <v>40</v>
      </c>
      <c r="M318" s="24" t="s">
        <v>1053</v>
      </c>
      <c r="N318" s="24" t="s">
        <v>334</v>
      </c>
      <c r="O318" s="24" t="s">
        <v>42</v>
      </c>
      <c r="P318" s="16" t="s">
        <v>43</v>
      </c>
      <c r="Q318" s="32">
        <v>0</v>
      </c>
    </row>
    <row r="319" spans="3:19" x14ac:dyDescent="0.25">
      <c r="C319" s="24" t="s">
        <v>507</v>
      </c>
      <c r="D319" s="24" t="s">
        <v>508</v>
      </c>
      <c r="E319" s="24" t="s">
        <v>508</v>
      </c>
      <c r="F319" s="25">
        <v>5</v>
      </c>
      <c r="G319" s="24" t="s">
        <v>376</v>
      </c>
      <c r="H319" s="24" t="s">
        <v>46</v>
      </c>
      <c r="I319" s="24" t="s">
        <v>1046</v>
      </c>
      <c r="J319" s="24" t="s">
        <v>466</v>
      </c>
      <c r="K319" s="24" t="s">
        <v>51</v>
      </c>
      <c r="L319" s="24" t="s">
        <v>40</v>
      </c>
      <c r="M319" s="24" t="s">
        <v>1035</v>
      </c>
      <c r="N319" s="24" t="s">
        <v>507</v>
      </c>
      <c r="O319" s="24" t="s">
        <v>42</v>
      </c>
      <c r="P319" s="16" t="s">
        <v>43</v>
      </c>
      <c r="Q319" s="32">
        <v>28655202.944899995</v>
      </c>
    </row>
    <row r="320" spans="3:19" x14ac:dyDescent="0.25">
      <c r="C320" s="24" t="s">
        <v>417</v>
      </c>
      <c r="D320" s="24" t="s">
        <v>418</v>
      </c>
      <c r="E320" s="24" t="s">
        <v>418</v>
      </c>
      <c r="F320" s="25">
        <v>5</v>
      </c>
      <c r="G320" s="24" t="s">
        <v>376</v>
      </c>
      <c r="H320" s="24" t="s">
        <v>46</v>
      </c>
      <c r="I320" s="24" t="s">
        <v>1031</v>
      </c>
      <c r="J320" s="24" t="s">
        <v>63</v>
      </c>
      <c r="K320" s="24" t="s">
        <v>138</v>
      </c>
      <c r="L320" s="24" t="s">
        <v>40</v>
      </c>
      <c r="M320" s="3" t="s">
        <v>378</v>
      </c>
      <c r="N320" s="24" t="s">
        <v>417</v>
      </c>
      <c r="O320" s="24" t="s">
        <v>42</v>
      </c>
      <c r="P320" s="16" t="s">
        <v>43</v>
      </c>
      <c r="Q320" s="32">
        <v>27420918.346499998</v>
      </c>
    </row>
    <row r="321" spans="3:17" x14ac:dyDescent="0.25">
      <c r="C321" s="24" t="s">
        <v>337</v>
      </c>
      <c r="D321" s="24" t="s">
        <v>338</v>
      </c>
      <c r="E321" s="24" t="s">
        <v>338</v>
      </c>
      <c r="F321" s="25" t="s">
        <v>36</v>
      </c>
      <c r="G321" s="24" t="s">
        <v>37</v>
      </c>
      <c r="H321" s="24" t="s">
        <v>81</v>
      </c>
      <c r="I321" s="24" t="s">
        <v>1046</v>
      </c>
      <c r="J321" s="24" t="s">
        <v>89</v>
      </c>
      <c r="K321" s="24" t="s">
        <v>109</v>
      </c>
      <c r="L321" s="24" t="s">
        <v>91</v>
      </c>
      <c r="M321" s="3" t="s">
        <v>378</v>
      </c>
      <c r="N321" s="24" t="s">
        <v>337</v>
      </c>
      <c r="O321" s="24" t="s">
        <v>42</v>
      </c>
      <c r="P321" s="16" t="s">
        <v>43</v>
      </c>
      <c r="Q321" s="32">
        <v>0</v>
      </c>
    </row>
    <row r="322" spans="3:17" x14ac:dyDescent="0.25">
      <c r="C322" s="24" t="s">
        <v>339</v>
      </c>
      <c r="D322" s="24" t="s">
        <v>340</v>
      </c>
      <c r="E322" s="24" t="s">
        <v>341</v>
      </c>
      <c r="F322" s="25" t="s">
        <v>36</v>
      </c>
      <c r="G322" s="24" t="s">
        <v>37</v>
      </c>
      <c r="H322" s="24" t="s">
        <v>46</v>
      </c>
      <c r="I322" s="24" t="s">
        <v>1046</v>
      </c>
      <c r="J322" s="24">
        <v>0</v>
      </c>
      <c r="K322" s="24" t="s">
        <v>47</v>
      </c>
      <c r="L322" s="24" t="s">
        <v>40</v>
      </c>
      <c r="M322" s="24" t="s">
        <v>1053</v>
      </c>
      <c r="N322" s="24" t="s">
        <v>339</v>
      </c>
      <c r="O322" s="24" t="s">
        <v>42</v>
      </c>
      <c r="P322" s="16" t="s">
        <v>43</v>
      </c>
      <c r="Q322" s="32">
        <v>0</v>
      </c>
    </row>
    <row r="323" spans="3:17" x14ac:dyDescent="0.25">
      <c r="C323" s="24" t="s">
        <v>825</v>
      </c>
      <c r="D323" s="24" t="s">
        <v>826</v>
      </c>
      <c r="E323" s="24" t="s">
        <v>827</v>
      </c>
      <c r="F323" s="25">
        <v>5</v>
      </c>
      <c r="G323" s="24" t="s">
        <v>376</v>
      </c>
      <c r="H323" s="24" t="s">
        <v>81</v>
      </c>
      <c r="I323" s="24" t="s">
        <v>1046</v>
      </c>
      <c r="J323" s="24" t="s">
        <v>146</v>
      </c>
      <c r="K323" s="24" t="s">
        <v>59</v>
      </c>
      <c r="L323" s="24" t="s">
        <v>40</v>
      </c>
      <c r="M323" s="24" t="s">
        <v>1035</v>
      </c>
      <c r="N323" s="24" t="s">
        <v>825</v>
      </c>
      <c r="O323" s="24" t="s">
        <v>42</v>
      </c>
      <c r="P323" s="16" t="s">
        <v>43</v>
      </c>
      <c r="Q323" s="32">
        <v>54875227.566600002</v>
      </c>
    </row>
    <row r="324" spans="3:17" x14ac:dyDescent="0.25">
      <c r="C324" s="24" t="s">
        <v>828</v>
      </c>
      <c r="D324" s="24" t="s">
        <v>829</v>
      </c>
      <c r="E324" s="24" t="s">
        <v>829</v>
      </c>
      <c r="F324" s="25">
        <v>5.68</v>
      </c>
      <c r="G324" s="24" t="s">
        <v>376</v>
      </c>
      <c r="H324" s="24" t="s">
        <v>46</v>
      </c>
      <c r="I324" s="24" t="s">
        <v>1046</v>
      </c>
      <c r="J324" s="24" t="s">
        <v>146</v>
      </c>
      <c r="K324" s="24" t="s">
        <v>59</v>
      </c>
      <c r="L324" s="24" t="s">
        <v>40</v>
      </c>
      <c r="M324" s="24" t="s">
        <v>1035</v>
      </c>
      <c r="N324" s="24" t="s">
        <v>828</v>
      </c>
      <c r="O324" s="24" t="s">
        <v>42</v>
      </c>
      <c r="P324" s="16" t="s">
        <v>43</v>
      </c>
      <c r="Q324" s="32">
        <v>60661730.389749996</v>
      </c>
    </row>
    <row r="325" spans="3:17" x14ac:dyDescent="0.25">
      <c r="C325" s="24" t="s">
        <v>342</v>
      </c>
      <c r="D325" s="24" t="s">
        <v>343</v>
      </c>
      <c r="E325" s="24" t="s">
        <v>343</v>
      </c>
      <c r="F325" s="25" t="s">
        <v>36</v>
      </c>
      <c r="G325" s="24" t="s">
        <v>37</v>
      </c>
      <c r="H325" s="24" t="s">
        <v>81</v>
      </c>
      <c r="I325" s="24" t="s">
        <v>1046</v>
      </c>
      <c r="J325" s="24" t="s">
        <v>132</v>
      </c>
      <c r="K325" s="24" t="s">
        <v>51</v>
      </c>
      <c r="L325" s="24" t="s">
        <v>40</v>
      </c>
      <c r="M325" s="24" t="s">
        <v>1035</v>
      </c>
      <c r="N325" s="24" t="s">
        <v>342</v>
      </c>
      <c r="O325" s="24" t="s">
        <v>42</v>
      </c>
      <c r="P325" s="16" t="s">
        <v>43</v>
      </c>
      <c r="Q325" s="32">
        <v>0</v>
      </c>
    </row>
    <row r="326" spans="3:17" x14ac:dyDescent="0.25">
      <c r="C326" s="24" t="s">
        <v>830</v>
      </c>
      <c r="D326" s="24" t="s">
        <v>831</v>
      </c>
      <c r="E326" s="24" t="s">
        <v>832</v>
      </c>
      <c r="F326" s="25">
        <v>5</v>
      </c>
      <c r="G326" s="24" t="s">
        <v>376</v>
      </c>
      <c r="H326" s="24" t="s">
        <v>46</v>
      </c>
      <c r="I326" s="24" t="s">
        <v>1046</v>
      </c>
      <c r="J326" s="24" t="s">
        <v>146</v>
      </c>
      <c r="K326" s="24" t="s">
        <v>59</v>
      </c>
      <c r="L326" s="24" t="s">
        <v>40</v>
      </c>
      <c r="M326" s="24" t="s">
        <v>1035</v>
      </c>
      <c r="N326" s="24" t="s">
        <v>830</v>
      </c>
      <c r="O326" s="24" t="s">
        <v>42</v>
      </c>
      <c r="P326" s="16" t="s">
        <v>43</v>
      </c>
      <c r="Q326" s="32">
        <v>39692249.354800001</v>
      </c>
    </row>
    <row r="327" spans="3:17" x14ac:dyDescent="0.25">
      <c r="C327" s="24" t="s">
        <v>921</v>
      </c>
      <c r="D327" s="24" t="s">
        <v>922</v>
      </c>
      <c r="E327" s="24" t="s">
        <v>911</v>
      </c>
      <c r="F327" s="25">
        <v>5</v>
      </c>
      <c r="G327" s="24" t="s">
        <v>376</v>
      </c>
      <c r="H327" s="24" t="s">
        <v>81</v>
      </c>
      <c r="I327" s="24" t="s">
        <v>1046</v>
      </c>
      <c r="J327" s="24" t="s">
        <v>73</v>
      </c>
      <c r="K327" s="24" t="s">
        <v>911</v>
      </c>
      <c r="L327" s="24" t="s">
        <v>40</v>
      </c>
      <c r="M327" s="3" t="s">
        <v>378</v>
      </c>
      <c r="N327" s="24" t="s">
        <v>921</v>
      </c>
      <c r="O327" s="24" t="s">
        <v>42</v>
      </c>
      <c r="P327" s="16" t="s">
        <v>43</v>
      </c>
      <c r="Q327" s="32">
        <v>31282292.186249997</v>
      </c>
    </row>
    <row r="328" spans="3:17" x14ac:dyDescent="0.25">
      <c r="C328" s="24" t="s">
        <v>970</v>
      </c>
      <c r="D328" s="24" t="s">
        <v>971</v>
      </c>
      <c r="E328" s="24" t="s">
        <v>972</v>
      </c>
      <c r="F328" s="25">
        <v>5</v>
      </c>
      <c r="G328" s="24" t="s">
        <v>376</v>
      </c>
      <c r="H328" s="24" t="s">
        <v>81</v>
      </c>
      <c r="I328" s="24" t="s">
        <v>1046</v>
      </c>
      <c r="J328" s="24" t="s">
        <v>160</v>
      </c>
      <c r="K328" s="24" t="s">
        <v>353</v>
      </c>
      <c r="L328" s="24" t="s">
        <v>40</v>
      </c>
      <c r="M328" s="3" t="s">
        <v>984</v>
      </c>
      <c r="N328" s="24" t="s">
        <v>970</v>
      </c>
      <c r="O328" s="24" t="s">
        <v>42</v>
      </c>
      <c r="P328" s="16" t="s">
        <v>43</v>
      </c>
      <c r="Q328" s="32">
        <v>36265070.172421932</v>
      </c>
    </row>
    <row r="329" spans="3:17" x14ac:dyDescent="0.25">
      <c r="C329" s="24" t="s">
        <v>344</v>
      </c>
      <c r="D329" s="24" t="s">
        <v>345</v>
      </c>
      <c r="E329" s="24" t="s">
        <v>345</v>
      </c>
      <c r="F329" s="25" t="s">
        <v>36</v>
      </c>
      <c r="G329" s="24" t="s">
        <v>37</v>
      </c>
      <c r="H329" s="24" t="s">
        <v>88</v>
      </c>
      <c r="I329" s="24" t="s">
        <v>1046</v>
      </c>
      <c r="J329" s="24">
        <v>0</v>
      </c>
      <c r="K329" s="24" t="s">
        <v>346</v>
      </c>
      <c r="L329" s="24" t="s">
        <v>40</v>
      </c>
      <c r="M329" s="24" t="s">
        <v>1053</v>
      </c>
      <c r="N329" s="24" t="s">
        <v>344</v>
      </c>
      <c r="O329" s="24" t="s">
        <v>42</v>
      </c>
      <c r="P329" s="16" t="s">
        <v>43</v>
      </c>
      <c r="Q329" s="32">
        <v>0</v>
      </c>
    </row>
    <row r="330" spans="3:17" x14ac:dyDescent="0.25">
      <c r="C330" s="24" t="s">
        <v>879</v>
      </c>
      <c r="D330" s="24" t="s">
        <v>880</v>
      </c>
      <c r="E330" s="24" t="s">
        <v>880</v>
      </c>
      <c r="F330" s="25">
        <v>5</v>
      </c>
      <c r="G330" s="24" t="s">
        <v>376</v>
      </c>
      <c r="H330" s="24" t="s">
        <v>46</v>
      </c>
      <c r="I330" s="24" t="s">
        <v>1046</v>
      </c>
      <c r="J330" s="24" t="s">
        <v>132</v>
      </c>
      <c r="K330" s="24" t="s">
        <v>138</v>
      </c>
      <c r="L330" s="24" t="s">
        <v>40</v>
      </c>
      <c r="M330" s="24" t="s">
        <v>1035</v>
      </c>
      <c r="N330" s="24" t="s">
        <v>879</v>
      </c>
      <c r="O330" s="24" t="s">
        <v>42</v>
      </c>
      <c r="P330" s="16" t="s">
        <v>43</v>
      </c>
      <c r="Q330" s="32">
        <v>44126079.105849996</v>
      </c>
    </row>
    <row r="331" spans="3:17" x14ac:dyDescent="0.25">
      <c r="C331" s="24" t="s">
        <v>553</v>
      </c>
      <c r="D331" s="24" t="s">
        <v>554</v>
      </c>
      <c r="E331" s="24" t="s">
        <v>554</v>
      </c>
      <c r="F331" s="25">
        <v>5</v>
      </c>
      <c r="G331" s="24" t="s">
        <v>376</v>
      </c>
      <c r="H331" s="24" t="s">
        <v>46</v>
      </c>
      <c r="I331" s="24" t="s">
        <v>1046</v>
      </c>
      <c r="J331" s="24" t="s">
        <v>100</v>
      </c>
      <c r="K331" s="24" t="s">
        <v>138</v>
      </c>
      <c r="L331" s="24" t="s">
        <v>40</v>
      </c>
      <c r="M331" s="24" t="s">
        <v>1035</v>
      </c>
      <c r="N331" s="24" t="s">
        <v>553</v>
      </c>
      <c r="O331" s="24" t="s">
        <v>42</v>
      </c>
      <c r="P331" s="16" t="s">
        <v>43</v>
      </c>
      <c r="Q331" s="32">
        <v>29589943.533849996</v>
      </c>
    </row>
    <row r="332" spans="3:17" x14ac:dyDescent="0.25">
      <c r="C332" s="24" t="s">
        <v>923</v>
      </c>
      <c r="D332" s="24" t="s">
        <v>924</v>
      </c>
      <c r="E332" s="24" t="s">
        <v>924</v>
      </c>
      <c r="F332" s="25">
        <v>5</v>
      </c>
      <c r="G332" s="24" t="s">
        <v>376</v>
      </c>
      <c r="H332" s="24" t="s">
        <v>46</v>
      </c>
      <c r="I332" s="24" t="s">
        <v>1046</v>
      </c>
      <c r="J332" s="24" t="s">
        <v>73</v>
      </c>
      <c r="K332" s="24" t="s">
        <v>133</v>
      </c>
      <c r="L332" s="24" t="s">
        <v>40</v>
      </c>
      <c r="M332" s="3" t="s">
        <v>378</v>
      </c>
      <c r="N332" s="24" t="s">
        <v>923</v>
      </c>
      <c r="O332" s="24" t="s">
        <v>42</v>
      </c>
      <c r="P332" s="16" t="s">
        <v>43</v>
      </c>
      <c r="Q332" s="32">
        <v>43460564.059866838</v>
      </c>
    </row>
    <row r="333" spans="3:17" x14ac:dyDescent="0.25">
      <c r="C333" s="24" t="s">
        <v>761</v>
      </c>
      <c r="D333" s="24" t="s">
        <v>762</v>
      </c>
      <c r="E333" s="24" t="s">
        <v>762</v>
      </c>
      <c r="F333" s="25">
        <v>5</v>
      </c>
      <c r="G333" s="24" t="s">
        <v>376</v>
      </c>
      <c r="H333" s="24" t="s">
        <v>46</v>
      </c>
      <c r="I333" s="24" t="s">
        <v>1031</v>
      </c>
      <c r="J333" s="24" t="s">
        <v>1048</v>
      </c>
      <c r="K333" s="24" t="s">
        <v>54</v>
      </c>
      <c r="L333" s="24" t="s">
        <v>55</v>
      </c>
      <c r="M333" s="3" t="s">
        <v>378</v>
      </c>
      <c r="N333" s="24" t="s">
        <v>761</v>
      </c>
      <c r="O333" s="24" t="s">
        <v>42</v>
      </c>
      <c r="P333" s="16" t="s">
        <v>440</v>
      </c>
      <c r="Q333" s="32">
        <v>37685736.89859999</v>
      </c>
    </row>
    <row r="334" spans="3:17" x14ac:dyDescent="0.25">
      <c r="C334" s="24" t="s">
        <v>509</v>
      </c>
      <c r="D334" s="24" t="s">
        <v>510</v>
      </c>
      <c r="E334" s="24" t="s">
        <v>510</v>
      </c>
      <c r="F334" s="25">
        <v>5</v>
      </c>
      <c r="G334" s="24" t="s">
        <v>376</v>
      </c>
      <c r="H334" s="24" t="s">
        <v>46</v>
      </c>
      <c r="I334" s="24" t="s">
        <v>1046</v>
      </c>
      <c r="J334" s="24" t="s">
        <v>466</v>
      </c>
      <c r="K334" s="24" t="s">
        <v>51</v>
      </c>
      <c r="L334" s="24" t="s">
        <v>40</v>
      </c>
      <c r="M334" s="24" t="s">
        <v>1035</v>
      </c>
      <c r="N334" s="24" t="s">
        <v>509</v>
      </c>
      <c r="O334" s="24" t="s">
        <v>42</v>
      </c>
      <c r="P334" s="16" t="s">
        <v>43</v>
      </c>
      <c r="Q334" s="32">
        <v>45902672.059299998</v>
      </c>
    </row>
    <row r="335" spans="3:17" x14ac:dyDescent="0.25">
      <c r="C335" s="24" t="s">
        <v>347</v>
      </c>
      <c r="D335" s="24" t="s">
        <v>348</v>
      </c>
      <c r="E335" s="24" t="s">
        <v>348</v>
      </c>
      <c r="F335" s="25" t="s">
        <v>36</v>
      </c>
      <c r="G335" s="24" t="s">
        <v>37</v>
      </c>
      <c r="H335" s="24" t="s">
        <v>81</v>
      </c>
      <c r="I335" s="24" t="s">
        <v>1046</v>
      </c>
      <c r="J335" s="24" t="s">
        <v>58</v>
      </c>
      <c r="K335" s="24" t="s">
        <v>59</v>
      </c>
      <c r="L335" s="24" t="s">
        <v>40</v>
      </c>
      <c r="M335" s="24" t="s">
        <v>1035</v>
      </c>
      <c r="N335" s="24" t="s">
        <v>347</v>
      </c>
      <c r="O335" s="24" t="s">
        <v>42</v>
      </c>
      <c r="P335" s="16" t="s">
        <v>43</v>
      </c>
      <c r="Q335" s="32">
        <v>0</v>
      </c>
    </row>
    <row r="336" spans="3:17" x14ac:dyDescent="0.25">
      <c r="C336" s="24" t="s">
        <v>973</v>
      </c>
      <c r="D336" s="24" t="s">
        <v>974</v>
      </c>
      <c r="E336" s="24" t="s">
        <v>974</v>
      </c>
      <c r="F336" s="25">
        <v>5</v>
      </c>
      <c r="G336" s="24" t="s">
        <v>376</v>
      </c>
      <c r="H336" s="24" t="s">
        <v>46</v>
      </c>
      <c r="I336" s="24" t="s">
        <v>1046</v>
      </c>
      <c r="J336" s="24" t="s">
        <v>160</v>
      </c>
      <c r="K336" s="24" t="s">
        <v>39</v>
      </c>
      <c r="L336" s="24" t="s">
        <v>40</v>
      </c>
      <c r="M336" s="3" t="s">
        <v>984</v>
      </c>
      <c r="N336" s="24" t="s">
        <v>973</v>
      </c>
      <c r="O336" s="24" t="s">
        <v>42</v>
      </c>
      <c r="P336" s="16" t="s">
        <v>43</v>
      </c>
      <c r="Q336" s="32">
        <v>32778426.42935</v>
      </c>
    </row>
    <row r="337" spans="3:17" x14ac:dyDescent="0.25">
      <c r="C337" s="24" t="s">
        <v>349</v>
      </c>
      <c r="D337" s="24" t="s">
        <v>350</v>
      </c>
      <c r="E337" s="24" t="s">
        <v>350</v>
      </c>
      <c r="F337" s="25" t="s">
        <v>36</v>
      </c>
      <c r="G337" s="24" t="s">
        <v>37</v>
      </c>
      <c r="H337" s="24" t="s">
        <v>46</v>
      </c>
      <c r="I337" s="24" t="s">
        <v>1046</v>
      </c>
      <c r="J337" s="24">
        <v>0</v>
      </c>
      <c r="K337" s="24" t="s">
        <v>138</v>
      </c>
      <c r="L337" s="24" t="s">
        <v>40</v>
      </c>
      <c r="M337" s="24" t="s">
        <v>1053</v>
      </c>
      <c r="N337" s="24" t="s">
        <v>349</v>
      </c>
      <c r="O337" s="24" t="s">
        <v>42</v>
      </c>
      <c r="P337" s="16" t="s">
        <v>43</v>
      </c>
      <c r="Q337" s="32">
        <v>0</v>
      </c>
    </row>
    <row r="338" spans="3:17" x14ac:dyDescent="0.25">
      <c r="C338" s="24" t="s">
        <v>351</v>
      </c>
      <c r="D338" s="24" t="s">
        <v>352</v>
      </c>
      <c r="E338" s="24" t="s">
        <v>352</v>
      </c>
      <c r="F338" s="25" t="s">
        <v>36</v>
      </c>
      <c r="G338" s="24" t="s">
        <v>37</v>
      </c>
      <c r="H338" s="24" t="s">
        <v>46</v>
      </c>
      <c r="I338" s="24" t="s">
        <v>1046</v>
      </c>
      <c r="J338" s="24" t="s">
        <v>331</v>
      </c>
      <c r="K338" s="24" t="s">
        <v>353</v>
      </c>
      <c r="L338" s="24" t="s">
        <v>40</v>
      </c>
      <c r="M338" s="3" t="s">
        <v>984</v>
      </c>
      <c r="N338" s="24" t="s">
        <v>351</v>
      </c>
      <c r="O338" s="24" t="s">
        <v>42</v>
      </c>
      <c r="P338" s="16" t="s">
        <v>43</v>
      </c>
      <c r="Q338" s="32">
        <v>0</v>
      </c>
    </row>
    <row r="339" spans="3:17" x14ac:dyDescent="0.25">
      <c r="C339" s="24" t="s">
        <v>833</v>
      </c>
      <c r="D339" s="24" t="s">
        <v>834</v>
      </c>
      <c r="E339" s="24" t="s">
        <v>835</v>
      </c>
      <c r="F339" s="25">
        <v>5</v>
      </c>
      <c r="G339" s="24" t="s">
        <v>376</v>
      </c>
      <c r="H339" s="24" t="s">
        <v>46</v>
      </c>
      <c r="I339" s="24" t="s">
        <v>1046</v>
      </c>
      <c r="J339" s="24" t="s">
        <v>146</v>
      </c>
      <c r="K339" s="24" t="s">
        <v>59</v>
      </c>
      <c r="L339" s="24" t="s">
        <v>40</v>
      </c>
      <c r="M339" s="24" t="s">
        <v>1035</v>
      </c>
      <c r="N339" s="24" t="s">
        <v>833</v>
      </c>
      <c r="O339" s="24" t="s">
        <v>42</v>
      </c>
      <c r="P339" s="16" t="s">
        <v>43</v>
      </c>
      <c r="Q339" s="32">
        <v>57941817.011049986</v>
      </c>
    </row>
    <row r="340" spans="3:17" x14ac:dyDescent="0.25">
      <c r="C340" s="24" t="s">
        <v>354</v>
      </c>
      <c r="D340" s="24" t="s">
        <v>355</v>
      </c>
      <c r="E340" s="24" t="s">
        <v>355</v>
      </c>
      <c r="F340" s="25" t="s">
        <v>36</v>
      </c>
      <c r="G340" s="24" t="s">
        <v>37</v>
      </c>
      <c r="H340" s="24" t="s">
        <v>46</v>
      </c>
      <c r="I340" s="24" t="s">
        <v>1046</v>
      </c>
      <c r="J340" s="24" t="s">
        <v>67</v>
      </c>
      <c r="K340" s="24" t="s">
        <v>59</v>
      </c>
      <c r="L340" s="24" t="s">
        <v>40</v>
      </c>
      <c r="M340" s="24" t="s">
        <v>1035</v>
      </c>
      <c r="N340" s="24" t="s">
        <v>354</v>
      </c>
      <c r="O340" s="24" t="s">
        <v>42</v>
      </c>
      <c r="P340" s="16" t="s">
        <v>43</v>
      </c>
      <c r="Q340" s="32">
        <v>0</v>
      </c>
    </row>
    <row r="341" spans="3:17" x14ac:dyDescent="0.25">
      <c r="C341" s="24" t="s">
        <v>693</v>
      </c>
      <c r="D341" s="24" t="s">
        <v>694</v>
      </c>
      <c r="E341" s="24" t="s">
        <v>694</v>
      </c>
      <c r="F341" s="25">
        <v>5</v>
      </c>
      <c r="G341" s="24" t="s">
        <v>376</v>
      </c>
      <c r="H341" s="24" t="s">
        <v>46</v>
      </c>
      <c r="I341" s="24" t="s">
        <v>1046</v>
      </c>
      <c r="J341" s="24" t="s">
        <v>248</v>
      </c>
      <c r="K341" s="24" t="s">
        <v>51</v>
      </c>
      <c r="L341" s="24" t="s">
        <v>40</v>
      </c>
      <c r="M341" s="3" t="s">
        <v>984</v>
      </c>
      <c r="N341" s="24" t="s">
        <v>693</v>
      </c>
      <c r="O341" s="24" t="s">
        <v>42</v>
      </c>
      <c r="P341" s="16" t="s">
        <v>43</v>
      </c>
      <c r="Q341" s="32">
        <v>34681377.848599993</v>
      </c>
    </row>
    <row r="342" spans="3:17" x14ac:dyDescent="0.25">
      <c r="C342" s="24" t="s">
        <v>356</v>
      </c>
      <c r="D342" s="24" t="s">
        <v>357</v>
      </c>
      <c r="E342" s="24" t="s">
        <v>357</v>
      </c>
      <c r="F342" s="25" t="s">
        <v>36</v>
      </c>
      <c r="G342" s="24" t="s">
        <v>37</v>
      </c>
      <c r="H342" s="24" t="s">
        <v>81</v>
      </c>
      <c r="I342" s="24" t="s">
        <v>1046</v>
      </c>
      <c r="J342" s="24" t="s">
        <v>89</v>
      </c>
      <c r="K342" s="24" t="s">
        <v>109</v>
      </c>
      <c r="L342" s="24" t="s">
        <v>91</v>
      </c>
      <c r="M342" s="3" t="s">
        <v>378</v>
      </c>
      <c r="N342" s="24" t="s">
        <v>356</v>
      </c>
      <c r="O342" s="24" t="s">
        <v>42</v>
      </c>
      <c r="P342" s="16" t="s">
        <v>43</v>
      </c>
      <c r="Q342" s="32">
        <v>0</v>
      </c>
    </row>
    <row r="343" spans="3:17" x14ac:dyDescent="0.25">
      <c r="C343" s="24" t="s">
        <v>925</v>
      </c>
      <c r="D343" s="24" t="s">
        <v>926</v>
      </c>
      <c r="E343" s="24" t="s">
        <v>927</v>
      </c>
      <c r="F343" s="25">
        <v>5</v>
      </c>
      <c r="G343" s="24" t="s">
        <v>376</v>
      </c>
      <c r="H343" s="24" t="s">
        <v>81</v>
      </c>
      <c r="I343" s="24" t="s">
        <v>1046</v>
      </c>
      <c r="J343" s="24" t="s">
        <v>73</v>
      </c>
      <c r="K343" s="24" t="s">
        <v>928</v>
      </c>
      <c r="L343" s="24" t="s">
        <v>40</v>
      </c>
      <c r="M343" s="3" t="s">
        <v>378</v>
      </c>
      <c r="N343" s="24" t="s">
        <v>925</v>
      </c>
      <c r="O343" s="24" t="s">
        <v>42</v>
      </c>
      <c r="P343" s="16" t="s">
        <v>43</v>
      </c>
      <c r="Q343" s="32">
        <v>33118325.383500002</v>
      </c>
    </row>
    <row r="344" spans="3:17" x14ac:dyDescent="0.25">
      <c r="C344" s="24" t="s">
        <v>358</v>
      </c>
      <c r="D344" s="24" t="s">
        <v>359</v>
      </c>
      <c r="E344" s="24" t="s">
        <v>359</v>
      </c>
      <c r="F344" s="25" t="s">
        <v>36</v>
      </c>
      <c r="G344" s="24" t="s">
        <v>37</v>
      </c>
      <c r="H344" s="24" t="s">
        <v>81</v>
      </c>
      <c r="I344" s="24" t="s">
        <v>1046</v>
      </c>
      <c r="J344" s="24" t="s">
        <v>248</v>
      </c>
      <c r="K344" s="24" t="s">
        <v>138</v>
      </c>
      <c r="L344" s="24" t="s">
        <v>40</v>
      </c>
      <c r="M344" s="3" t="s">
        <v>984</v>
      </c>
      <c r="N344" s="24" t="s">
        <v>358</v>
      </c>
      <c r="O344" s="24" t="s">
        <v>42</v>
      </c>
      <c r="P344" s="16" t="s">
        <v>43</v>
      </c>
      <c r="Q344" s="32">
        <v>0</v>
      </c>
    </row>
    <row r="345" spans="3:17" x14ac:dyDescent="0.25">
      <c r="C345" s="24" t="s">
        <v>695</v>
      </c>
      <c r="D345" s="24" t="s">
        <v>696</v>
      </c>
      <c r="E345" s="24" t="s">
        <v>696</v>
      </c>
      <c r="F345" s="25">
        <v>5</v>
      </c>
      <c r="G345" s="24" t="s">
        <v>376</v>
      </c>
      <c r="H345" s="24" t="s">
        <v>46</v>
      </c>
      <c r="I345" s="24" t="s">
        <v>1046</v>
      </c>
      <c r="J345" s="24" t="s">
        <v>248</v>
      </c>
      <c r="K345" s="24" t="s">
        <v>51</v>
      </c>
      <c r="L345" s="24" t="s">
        <v>40</v>
      </c>
      <c r="M345" s="3" t="s">
        <v>984</v>
      </c>
      <c r="N345" s="24" t="s">
        <v>695</v>
      </c>
      <c r="O345" s="24" t="s">
        <v>42</v>
      </c>
      <c r="P345" s="16" t="s">
        <v>43</v>
      </c>
      <c r="Q345" s="32">
        <v>40661448.713549994</v>
      </c>
    </row>
    <row r="346" spans="3:17" x14ac:dyDescent="0.25">
      <c r="C346" s="24" t="s">
        <v>360</v>
      </c>
      <c r="D346" s="24" t="s">
        <v>361</v>
      </c>
      <c r="E346" s="24" t="s">
        <v>361</v>
      </c>
      <c r="F346" s="25" t="s">
        <v>36</v>
      </c>
      <c r="G346" s="24" t="s">
        <v>37</v>
      </c>
      <c r="H346" s="24" t="s">
        <v>46</v>
      </c>
      <c r="I346" s="24" t="s">
        <v>1046</v>
      </c>
      <c r="J346" s="24" t="s">
        <v>67</v>
      </c>
      <c r="K346" s="24" t="s">
        <v>59</v>
      </c>
      <c r="L346" s="24" t="s">
        <v>40</v>
      </c>
      <c r="M346" s="24" t="s">
        <v>1035</v>
      </c>
      <c r="N346" s="24" t="s">
        <v>360</v>
      </c>
      <c r="O346" s="24" t="s">
        <v>42</v>
      </c>
      <c r="P346" s="16" t="s">
        <v>43</v>
      </c>
      <c r="Q346" s="32">
        <v>0</v>
      </c>
    </row>
    <row r="347" spans="3:17" x14ac:dyDescent="0.25">
      <c r="C347" s="24" t="s">
        <v>362</v>
      </c>
      <c r="D347" s="24" t="s">
        <v>363</v>
      </c>
      <c r="E347" s="24" t="s">
        <v>363</v>
      </c>
      <c r="F347" s="25" t="s">
        <v>36</v>
      </c>
      <c r="G347" s="24" t="s">
        <v>37</v>
      </c>
      <c r="H347" s="24" t="s">
        <v>81</v>
      </c>
      <c r="I347" s="24" t="s">
        <v>1046</v>
      </c>
      <c r="J347" s="24" t="s">
        <v>73</v>
      </c>
      <c r="K347" s="24" t="s">
        <v>364</v>
      </c>
      <c r="L347" s="24" t="s">
        <v>40</v>
      </c>
      <c r="M347" s="3" t="s">
        <v>378</v>
      </c>
      <c r="N347" s="24" t="s">
        <v>362</v>
      </c>
      <c r="O347" s="24" t="s">
        <v>42</v>
      </c>
      <c r="P347" s="16" t="s">
        <v>43</v>
      </c>
      <c r="Q347" s="32">
        <v>0</v>
      </c>
    </row>
    <row r="348" spans="3:17" x14ac:dyDescent="0.25">
      <c r="C348" s="24" t="s">
        <v>592</v>
      </c>
      <c r="D348" s="24" t="s">
        <v>593</v>
      </c>
      <c r="E348" s="24" t="s">
        <v>593</v>
      </c>
      <c r="F348" s="25">
        <v>5</v>
      </c>
      <c r="G348" s="24" t="s">
        <v>376</v>
      </c>
      <c r="H348" s="24" t="s">
        <v>81</v>
      </c>
      <c r="I348" s="24" t="s">
        <v>1046</v>
      </c>
      <c r="J348" s="24" t="s">
        <v>331</v>
      </c>
      <c r="K348" s="24" t="s">
        <v>138</v>
      </c>
      <c r="L348" s="24" t="s">
        <v>40</v>
      </c>
      <c r="M348" s="3" t="s">
        <v>984</v>
      </c>
      <c r="N348" s="24" t="s">
        <v>592</v>
      </c>
      <c r="O348" s="24" t="s">
        <v>42</v>
      </c>
      <c r="P348" s="16" t="s">
        <v>43</v>
      </c>
      <c r="Q348" s="32">
        <v>31752730.876649994</v>
      </c>
    </row>
    <row r="349" spans="3:17" x14ac:dyDescent="0.25">
      <c r="C349" s="24" t="s">
        <v>365</v>
      </c>
      <c r="D349" s="24" t="s">
        <v>366</v>
      </c>
      <c r="E349" s="24" t="s">
        <v>367</v>
      </c>
      <c r="F349" s="25" t="s">
        <v>36</v>
      </c>
      <c r="G349" s="24" t="s">
        <v>37</v>
      </c>
      <c r="H349" s="24" t="s">
        <v>81</v>
      </c>
      <c r="I349" s="24" t="s">
        <v>1046</v>
      </c>
      <c r="J349" s="24" t="s">
        <v>146</v>
      </c>
      <c r="K349" s="24" t="s">
        <v>59</v>
      </c>
      <c r="L349" s="24" t="s">
        <v>40</v>
      </c>
      <c r="M349" s="24" t="s">
        <v>1035</v>
      </c>
      <c r="N349" s="24" t="s">
        <v>365</v>
      </c>
      <c r="O349" s="24" t="s">
        <v>42</v>
      </c>
      <c r="P349" s="16" t="s">
        <v>43</v>
      </c>
      <c r="Q349" s="32">
        <v>0</v>
      </c>
    </row>
    <row r="350" spans="3:17" x14ac:dyDescent="0.25">
      <c r="C350" s="24" t="s">
        <v>763</v>
      </c>
      <c r="D350" s="24" t="s">
        <v>764</v>
      </c>
      <c r="E350" s="24" t="s">
        <v>765</v>
      </c>
      <c r="F350" s="25">
        <v>5</v>
      </c>
      <c r="G350" s="24" t="s">
        <v>376</v>
      </c>
      <c r="H350" s="24" t="s">
        <v>81</v>
      </c>
      <c r="I350" s="24" t="s">
        <v>1031</v>
      </c>
      <c r="J350" s="24" t="s">
        <v>1048</v>
      </c>
      <c r="K350" s="24" t="s">
        <v>279</v>
      </c>
      <c r="L350" s="24" t="s">
        <v>55</v>
      </c>
      <c r="M350" s="3" t="s">
        <v>378</v>
      </c>
      <c r="N350" s="24" t="s">
        <v>763</v>
      </c>
      <c r="O350" s="24" t="s">
        <v>42</v>
      </c>
      <c r="P350" s="16" t="s">
        <v>43</v>
      </c>
      <c r="Q350" s="32">
        <v>30411467.932299994</v>
      </c>
    </row>
    <row r="351" spans="3:17" x14ac:dyDescent="0.25">
      <c r="C351" s="24" t="s">
        <v>836</v>
      </c>
      <c r="D351" s="24" t="s">
        <v>837</v>
      </c>
      <c r="E351" s="24" t="s">
        <v>838</v>
      </c>
      <c r="F351" s="25">
        <v>5</v>
      </c>
      <c r="G351" s="24" t="s">
        <v>376</v>
      </c>
      <c r="H351" s="24" t="s">
        <v>81</v>
      </c>
      <c r="I351" s="24" t="s">
        <v>1046</v>
      </c>
      <c r="J351" s="24" t="s">
        <v>146</v>
      </c>
      <c r="K351" s="24" t="s">
        <v>59</v>
      </c>
      <c r="L351" s="24" t="s">
        <v>40</v>
      </c>
      <c r="M351" s="24" t="s">
        <v>1035</v>
      </c>
      <c r="N351" s="24" t="s">
        <v>836</v>
      </c>
      <c r="O351" s="24" t="s">
        <v>42</v>
      </c>
      <c r="P351" s="16" t="s">
        <v>43</v>
      </c>
      <c r="Q351" s="32">
        <v>49460147.891700007</v>
      </c>
    </row>
    <row r="352" spans="3:17" x14ac:dyDescent="0.25">
      <c r="C352" s="24" t="s">
        <v>975</v>
      </c>
      <c r="D352" s="24" t="s">
        <v>976</v>
      </c>
      <c r="E352" s="24" t="s">
        <v>976</v>
      </c>
      <c r="F352" s="25">
        <v>2</v>
      </c>
      <c r="G352" s="24" t="s">
        <v>376</v>
      </c>
      <c r="H352" s="24" t="s">
        <v>46</v>
      </c>
      <c r="I352" s="24" t="s">
        <v>1046</v>
      </c>
      <c r="J352" s="24" t="s">
        <v>160</v>
      </c>
      <c r="K352" s="24" t="s">
        <v>39</v>
      </c>
      <c r="L352" s="24" t="s">
        <v>40</v>
      </c>
      <c r="M352" s="3" t="s">
        <v>984</v>
      </c>
      <c r="N352" s="24" t="s">
        <v>975</v>
      </c>
      <c r="O352" s="24" t="s">
        <v>42</v>
      </c>
      <c r="P352" s="16" t="s">
        <v>43</v>
      </c>
      <c r="Q352" s="32">
        <v>19682771.47865</v>
      </c>
    </row>
    <row r="353" spans="3:17" x14ac:dyDescent="0.25">
      <c r="C353" s="27" t="s">
        <v>766</v>
      </c>
      <c r="D353" s="24" t="s">
        <v>767</v>
      </c>
      <c r="E353" s="24" t="s">
        <v>768</v>
      </c>
      <c r="F353" s="25">
        <v>4.5</v>
      </c>
      <c r="G353" s="24" t="s">
        <v>376</v>
      </c>
      <c r="H353" s="24" t="s">
        <v>81</v>
      </c>
      <c r="I353" s="24" t="s">
        <v>1031</v>
      </c>
      <c r="J353" s="24" t="s">
        <v>1048</v>
      </c>
      <c r="K353" s="24" t="s">
        <v>54</v>
      </c>
      <c r="L353" s="24" t="s">
        <v>55</v>
      </c>
      <c r="M353" s="3" t="s">
        <v>378</v>
      </c>
      <c r="N353" s="24" t="s">
        <v>766</v>
      </c>
      <c r="O353" s="24" t="s">
        <v>42</v>
      </c>
      <c r="P353" s="16" t="s">
        <v>43</v>
      </c>
      <c r="Q353" s="32">
        <v>27844647.1842</v>
      </c>
    </row>
    <row r="354" spans="3:17" x14ac:dyDescent="0.25">
      <c r="C354" s="27" t="s">
        <v>368</v>
      </c>
      <c r="D354" s="24" t="s">
        <v>369</v>
      </c>
      <c r="E354" s="28" t="s">
        <v>370</v>
      </c>
      <c r="F354" s="25" t="s">
        <v>36</v>
      </c>
      <c r="G354" s="24" t="s">
        <v>37</v>
      </c>
      <c r="H354" s="24" t="s">
        <v>88</v>
      </c>
      <c r="I354" s="24" t="s">
        <v>1046</v>
      </c>
      <c r="J354" s="24" t="s">
        <v>160</v>
      </c>
      <c r="K354" s="24" t="s">
        <v>371</v>
      </c>
      <c r="L354" s="24" t="s">
        <v>40</v>
      </c>
      <c r="M354" s="3" t="s">
        <v>984</v>
      </c>
      <c r="N354" s="24" t="s">
        <v>368</v>
      </c>
      <c r="O354" s="24" t="s">
        <v>42</v>
      </c>
      <c r="P354" s="16" t="s">
        <v>43</v>
      </c>
      <c r="Q354" s="32">
        <v>0</v>
      </c>
    </row>
    <row r="355" spans="3:17" x14ac:dyDescent="0.25">
      <c r="C355" s="29" t="s">
        <v>736</v>
      </c>
      <c r="D355" s="24" t="s">
        <v>737</v>
      </c>
      <c r="E355" s="24" t="s">
        <v>738</v>
      </c>
      <c r="F355" s="25">
        <v>6</v>
      </c>
      <c r="G355" s="24" t="s">
        <v>376</v>
      </c>
      <c r="H355" s="24" t="s">
        <v>81</v>
      </c>
      <c r="I355" s="24" t="s">
        <v>1031</v>
      </c>
      <c r="J355" s="24" t="s">
        <v>84</v>
      </c>
      <c r="K355" s="24" t="s">
        <v>722</v>
      </c>
      <c r="L355" s="24" t="s">
        <v>55</v>
      </c>
      <c r="M355" s="3" t="s">
        <v>378</v>
      </c>
      <c r="N355" s="24" t="s">
        <v>736</v>
      </c>
      <c r="O355" s="24">
        <v>0</v>
      </c>
      <c r="P355" s="16" t="s">
        <v>43</v>
      </c>
      <c r="Q355" s="32">
        <v>52544445.634800002</v>
      </c>
    </row>
    <row r="356" spans="3:17" x14ac:dyDescent="0.25">
      <c r="C356" s="29" t="s">
        <v>612</v>
      </c>
      <c r="D356" s="24" t="s">
        <v>613</v>
      </c>
      <c r="E356" s="16" t="s">
        <v>613</v>
      </c>
      <c r="F356" s="25">
        <v>5</v>
      </c>
      <c r="G356" s="24" t="s">
        <v>376</v>
      </c>
      <c r="H356" s="24" t="s">
        <v>81</v>
      </c>
      <c r="I356" s="24" t="s">
        <v>1046</v>
      </c>
      <c r="J356" s="24" t="s">
        <v>50</v>
      </c>
      <c r="K356" s="24" t="s">
        <v>364</v>
      </c>
      <c r="L356" s="24" t="s">
        <v>40</v>
      </c>
      <c r="M356" s="24" t="s">
        <v>1053</v>
      </c>
      <c r="N356" s="24" t="s">
        <v>612</v>
      </c>
      <c r="O356" s="24">
        <v>0</v>
      </c>
      <c r="P356" s="16" t="s">
        <v>43</v>
      </c>
      <c r="Q356" s="32">
        <v>0</v>
      </c>
    </row>
    <row r="357" spans="3:17" x14ac:dyDescent="0.25">
      <c r="C357" s="29" t="s">
        <v>614</v>
      </c>
      <c r="D357" s="24" t="s">
        <v>615</v>
      </c>
      <c r="E357" s="24" t="s">
        <v>615</v>
      </c>
      <c r="F357" s="25">
        <v>5</v>
      </c>
      <c r="G357" s="24" t="s">
        <v>376</v>
      </c>
      <c r="H357" s="24" t="s">
        <v>81</v>
      </c>
      <c r="I357" s="24" t="s">
        <v>1046</v>
      </c>
      <c r="J357" s="24" t="s">
        <v>50</v>
      </c>
      <c r="K357" s="24" t="s">
        <v>64</v>
      </c>
      <c r="L357" s="24" t="s">
        <v>40</v>
      </c>
      <c r="M357" s="24" t="s">
        <v>1053</v>
      </c>
      <c r="N357" s="24" t="s">
        <v>614</v>
      </c>
      <c r="O357" s="24">
        <v>0</v>
      </c>
      <c r="P357" s="16" t="s">
        <v>43</v>
      </c>
      <c r="Q357" s="32">
        <v>30576000</v>
      </c>
    </row>
    <row r="358" spans="3:17" x14ac:dyDescent="0.25">
      <c r="C358" s="16" t="s">
        <v>372</v>
      </c>
      <c r="D358" s="24" t="s">
        <v>372</v>
      </c>
      <c r="E358" s="16" t="s">
        <v>372</v>
      </c>
      <c r="F358" s="35"/>
      <c r="G358" s="16" t="s">
        <v>372</v>
      </c>
      <c r="H358" s="16" t="s">
        <v>372</v>
      </c>
      <c r="I358" s="16" t="s">
        <v>372</v>
      </c>
      <c r="J358" s="16" t="s">
        <v>372</v>
      </c>
      <c r="K358" s="16" t="s">
        <v>372</v>
      </c>
      <c r="L358" s="16" t="s">
        <v>372</v>
      </c>
      <c r="M358" s="24" t="s">
        <v>372</v>
      </c>
      <c r="N358" s="24" t="s">
        <v>372</v>
      </c>
      <c r="O358" s="16" t="s">
        <v>372</v>
      </c>
      <c r="P358" s="16" t="s">
        <v>372</v>
      </c>
      <c r="Q358" s="32">
        <v>0</v>
      </c>
    </row>
    <row r="359" spans="3:17" ht="18" x14ac:dyDescent="0.25">
      <c r="F359" s="30">
        <f>SUM(F4:F357)</f>
        <v>1311.4300000000003</v>
      </c>
    </row>
  </sheetData>
  <autoFilter ref="C3:Q359" xr:uid="{788E6208-3C73-4FBB-9337-16282FFAE886}"/>
  <conditionalFormatting sqref="C353">
    <cfRule type="duplicateValues" dxfId="28" priority="13"/>
  </conditionalFormatting>
  <conditionalFormatting sqref="C354">
    <cfRule type="duplicateValues" dxfId="27" priority="14"/>
  </conditionalFormatting>
  <conditionalFormatting sqref="C355:C357">
    <cfRule type="duplicateValues" dxfId="26" priority="15"/>
  </conditionalFormatting>
  <conditionalFormatting sqref="E354">
    <cfRule type="duplicateValues" dxfId="25" priority="6"/>
  </conditionalFormatting>
  <pageMargins left="0.7" right="0.7" top="0.75" bottom="0.75" header="0.3" footer="0.3"/>
  <pageSetup paperSize="9" orientation="portrait" r:id="rId1"/>
  <headerFooter>
    <oddFooter>&amp;C_x000D_&amp;1#&amp;"Calibri"&amp;10&amp;K000000 OXXO | Uso Interno</oddFooter>
  </headerFooter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15F99-94B9-40F0-BECF-4BF0BCEF02E5}">
  <sheetPr codeName="Hoja8"/>
  <dimension ref="C1:R413"/>
  <sheetViews>
    <sheetView topLeftCell="C2" zoomScale="70" zoomScaleNormal="70" workbookViewId="0">
      <selection activeCell="D3" sqref="D3"/>
    </sheetView>
  </sheetViews>
  <sheetFormatPr baseColWidth="10" defaultColWidth="10.81640625" defaultRowHeight="12.5" x14ac:dyDescent="0.25"/>
  <cols>
    <col min="1" max="1" width="6.453125" style="16" customWidth="1"/>
    <col min="2" max="2" width="5.26953125" style="16" customWidth="1"/>
    <col min="3" max="3" width="7.453125" style="16" bestFit="1" customWidth="1"/>
    <col min="4" max="4" width="40.54296875" style="16" bestFit="1" customWidth="1"/>
    <col min="5" max="5" width="33.26953125" style="16" customWidth="1"/>
    <col min="6" max="6" width="16.26953125" style="16" customWidth="1"/>
    <col min="7" max="8" width="23.54296875" style="16" customWidth="1"/>
    <col min="9" max="9" width="30" style="16" customWidth="1"/>
    <col min="10" max="10" width="39.81640625" style="16" bestFit="1" customWidth="1"/>
    <col min="11" max="13" width="31.453125" style="16" customWidth="1"/>
    <col min="14" max="14" width="10.81640625" style="16"/>
    <col min="15" max="15" width="48" style="16" bestFit="1" customWidth="1"/>
    <col min="16" max="16" width="14.54296875" style="16" bestFit="1" customWidth="1"/>
    <col min="17" max="17" width="17" style="16" bestFit="1" customWidth="1"/>
    <col min="18" max="18" width="16.54296875" style="16" bestFit="1" customWidth="1"/>
    <col min="19" max="16384" width="10.81640625" style="16"/>
  </cols>
  <sheetData>
    <row r="1" spans="3:18" ht="15.5" x14ac:dyDescent="0.25">
      <c r="F1" s="22"/>
      <c r="Q1" s="21" t="s">
        <v>1040</v>
      </c>
      <c r="R1" s="16" t="s">
        <v>1042</v>
      </c>
    </row>
    <row r="2" spans="3:18" x14ac:dyDescent="0.25">
      <c r="C2" s="16">
        <v>1</v>
      </c>
      <c r="D2" s="16">
        <f>C2+1</f>
        <v>2</v>
      </c>
      <c r="E2" s="16">
        <f t="shared" ref="E2:O2" si="0">D2+1</f>
        <v>3</v>
      </c>
      <c r="F2" s="16">
        <f t="shared" si="0"/>
        <v>4</v>
      </c>
      <c r="G2" s="16">
        <f t="shared" si="0"/>
        <v>5</v>
      </c>
      <c r="H2" s="16">
        <f t="shared" si="0"/>
        <v>6</v>
      </c>
      <c r="I2" s="16">
        <f t="shared" si="0"/>
        <v>7</v>
      </c>
      <c r="J2" s="16">
        <f t="shared" si="0"/>
        <v>8</v>
      </c>
      <c r="K2" s="16">
        <f t="shared" si="0"/>
        <v>9</v>
      </c>
      <c r="L2" s="16">
        <f t="shared" si="0"/>
        <v>10</v>
      </c>
      <c r="M2" s="16">
        <f t="shared" si="0"/>
        <v>11</v>
      </c>
      <c r="N2" s="16">
        <f t="shared" si="0"/>
        <v>12</v>
      </c>
      <c r="O2" s="16">
        <f t="shared" si="0"/>
        <v>13</v>
      </c>
      <c r="Q2"/>
      <c r="R2"/>
    </row>
    <row r="3" spans="3:18" ht="13" x14ac:dyDescent="0.25">
      <c r="C3" s="23" t="s">
        <v>15</v>
      </c>
      <c r="D3" s="23" t="s">
        <v>16</v>
      </c>
      <c r="E3" s="23" t="s">
        <v>17</v>
      </c>
      <c r="F3" s="23" t="s">
        <v>18</v>
      </c>
      <c r="G3" s="23" t="s">
        <v>1040</v>
      </c>
      <c r="H3" s="23" t="s">
        <v>20</v>
      </c>
      <c r="I3" s="23" t="s">
        <v>21</v>
      </c>
      <c r="J3" s="23" t="s">
        <v>22</v>
      </c>
      <c r="K3" s="23" t="s">
        <v>24</v>
      </c>
      <c r="L3" s="23" t="s">
        <v>25</v>
      </c>
      <c r="M3" s="23" t="s">
        <v>26</v>
      </c>
      <c r="N3" s="23" t="s">
        <v>15</v>
      </c>
      <c r="O3" s="23" t="s">
        <v>27</v>
      </c>
      <c r="P3" s="34" t="s">
        <v>28</v>
      </c>
      <c r="Q3"/>
      <c r="R3"/>
    </row>
    <row r="4" spans="3:18" x14ac:dyDescent="0.25">
      <c r="C4" s="24" t="s">
        <v>929</v>
      </c>
      <c r="D4" s="24" t="s">
        <v>930</v>
      </c>
      <c r="E4" s="24" t="s">
        <v>930</v>
      </c>
      <c r="F4" s="25">
        <v>11.68</v>
      </c>
      <c r="G4" s="24" t="s">
        <v>376</v>
      </c>
      <c r="H4" s="24" t="s">
        <v>46</v>
      </c>
      <c r="I4" s="24" t="s">
        <v>1046</v>
      </c>
      <c r="J4" s="24" t="s">
        <v>160</v>
      </c>
      <c r="K4" s="24" t="s">
        <v>1058</v>
      </c>
      <c r="L4" s="24" t="s">
        <v>1051</v>
      </c>
      <c r="M4" s="3" t="s">
        <v>984</v>
      </c>
      <c r="N4" s="24" t="s">
        <v>929</v>
      </c>
      <c r="O4" s="24" t="e">
        <f>VLOOKUP(C4,[3]MAESTRA!$E$5:$AO$395,36,0)</f>
        <v>#N/A</v>
      </c>
      <c r="P4" s="16" t="s">
        <v>43</v>
      </c>
      <c r="Q4"/>
      <c r="R4"/>
    </row>
    <row r="5" spans="3:18" x14ac:dyDescent="0.25">
      <c r="C5" s="24" t="s">
        <v>651</v>
      </c>
      <c r="D5" s="24" t="s">
        <v>652</v>
      </c>
      <c r="E5" s="24" t="s">
        <v>652</v>
      </c>
      <c r="F5" s="25">
        <v>11.68</v>
      </c>
      <c r="G5" s="24" t="s">
        <v>376</v>
      </c>
      <c r="H5" s="24" t="s">
        <v>46</v>
      </c>
      <c r="I5" s="24" t="s">
        <v>1046</v>
      </c>
      <c r="J5" s="24" t="s">
        <v>248</v>
      </c>
      <c r="K5" s="24" t="s">
        <v>1059</v>
      </c>
      <c r="L5" s="24" t="s">
        <v>1051</v>
      </c>
      <c r="M5" s="3" t="s">
        <v>984</v>
      </c>
      <c r="N5" s="24" t="s">
        <v>651</v>
      </c>
      <c r="O5" s="24" t="e">
        <f>VLOOKUP(C5,[3]MAESTRA!$E$5:$AO$395,36,0)</f>
        <v>#N/A</v>
      </c>
      <c r="P5" s="16" t="s">
        <v>43</v>
      </c>
      <c r="Q5"/>
      <c r="R5"/>
    </row>
    <row r="6" spans="3:18" x14ac:dyDescent="0.25">
      <c r="C6" s="24" t="s">
        <v>373</v>
      </c>
      <c r="D6" s="24" t="s">
        <v>374</v>
      </c>
      <c r="E6" s="24" t="s">
        <v>375</v>
      </c>
      <c r="F6" s="25">
        <v>11.68</v>
      </c>
      <c r="G6" s="24" t="s">
        <v>376</v>
      </c>
      <c r="H6" s="24" t="s">
        <v>46</v>
      </c>
      <c r="I6" s="24" t="s">
        <v>1031</v>
      </c>
      <c r="J6" s="24" t="s">
        <v>63</v>
      </c>
      <c r="K6" s="24" t="s">
        <v>1060</v>
      </c>
      <c r="L6" s="24" t="s">
        <v>1051</v>
      </c>
      <c r="M6" s="3" t="s">
        <v>378</v>
      </c>
      <c r="N6" s="24" t="s">
        <v>373</v>
      </c>
      <c r="O6" s="24" t="e">
        <f>VLOOKUP(C6,[3]MAESTRA!$E$5:$AO$395,36,0)</f>
        <v>#N/A</v>
      </c>
      <c r="P6" s="16" t="s">
        <v>43</v>
      </c>
      <c r="Q6"/>
      <c r="R6"/>
    </row>
    <row r="7" spans="3:18" x14ac:dyDescent="0.25">
      <c r="C7" s="24" t="s">
        <v>699</v>
      </c>
      <c r="D7" s="24" t="s">
        <v>985</v>
      </c>
      <c r="E7" s="24" t="s">
        <v>701</v>
      </c>
      <c r="F7" s="25">
        <v>10</v>
      </c>
      <c r="G7" s="24" t="s">
        <v>376</v>
      </c>
      <c r="H7" s="24" t="s">
        <v>46</v>
      </c>
      <c r="I7" s="24" t="s">
        <v>1031</v>
      </c>
      <c r="J7" s="24" t="s">
        <v>84</v>
      </c>
      <c r="K7" s="24" t="s">
        <v>1061</v>
      </c>
      <c r="L7" s="24" t="s">
        <v>1062</v>
      </c>
      <c r="M7" s="3" t="s">
        <v>378</v>
      </c>
      <c r="N7" s="24" t="s">
        <v>699</v>
      </c>
      <c r="O7" s="24" t="e">
        <f>VLOOKUP(C7,[3]MAESTRA!$E$5:$AO$395,36,0)</f>
        <v>#N/A</v>
      </c>
      <c r="P7" s="16" t="s">
        <v>43</v>
      </c>
      <c r="Q7"/>
      <c r="R7"/>
    </row>
    <row r="8" spans="3:18" x14ac:dyDescent="0.25">
      <c r="C8" s="24" t="s">
        <v>739</v>
      </c>
      <c r="D8" s="24" t="s">
        <v>740</v>
      </c>
      <c r="E8" s="24" t="s">
        <v>740</v>
      </c>
      <c r="F8" s="25">
        <v>9</v>
      </c>
      <c r="G8" s="24" t="s">
        <v>376</v>
      </c>
      <c r="H8" s="24" t="s">
        <v>46</v>
      </c>
      <c r="I8" s="24" t="s">
        <v>1031</v>
      </c>
      <c r="J8" s="24" t="s">
        <v>1048</v>
      </c>
      <c r="K8" s="24" t="s">
        <v>1061</v>
      </c>
      <c r="L8" s="24" t="s">
        <v>1062</v>
      </c>
      <c r="M8" s="3" t="s">
        <v>378</v>
      </c>
      <c r="N8" s="24" t="s">
        <v>739</v>
      </c>
      <c r="O8" s="24" t="e">
        <f>VLOOKUP(C8,[3]MAESTRA!$E$5:$AO$395,36,0)</f>
        <v>#N/A</v>
      </c>
      <c r="P8" s="16" t="s">
        <v>43</v>
      </c>
      <c r="Q8"/>
      <c r="R8"/>
    </row>
    <row r="9" spans="3:18" x14ac:dyDescent="0.25">
      <c r="C9" s="24" t="s">
        <v>381</v>
      </c>
      <c r="D9" s="24" t="s">
        <v>382</v>
      </c>
      <c r="E9" s="24" t="s">
        <v>382</v>
      </c>
      <c r="F9" s="25">
        <v>9.1300000000000008</v>
      </c>
      <c r="G9" s="24" t="s">
        <v>376</v>
      </c>
      <c r="H9" s="24" t="s">
        <v>46</v>
      </c>
      <c r="I9" s="24" t="s">
        <v>1031</v>
      </c>
      <c r="J9" s="24" t="s">
        <v>63</v>
      </c>
      <c r="K9" s="24" t="s">
        <v>1060</v>
      </c>
      <c r="L9" s="24" t="s">
        <v>1051</v>
      </c>
      <c r="M9" s="3" t="s">
        <v>378</v>
      </c>
      <c r="N9" s="24" t="s">
        <v>381</v>
      </c>
      <c r="O9" s="24" t="e">
        <f>VLOOKUP(C9,[3]MAESTRA!$E$5:$AO$395,36,0)</f>
        <v>#N/A</v>
      </c>
      <c r="P9" s="16" t="s">
        <v>43</v>
      </c>
      <c r="Q9"/>
      <c r="R9"/>
    </row>
    <row r="10" spans="3:18" x14ac:dyDescent="0.25">
      <c r="C10" s="24" t="s">
        <v>511</v>
      </c>
      <c r="D10" s="24" t="s">
        <v>512</v>
      </c>
      <c r="E10" s="24" t="s">
        <v>513</v>
      </c>
      <c r="F10" s="25">
        <v>10.58</v>
      </c>
      <c r="G10" s="24" t="s">
        <v>376</v>
      </c>
      <c r="H10" s="24" t="s">
        <v>46</v>
      </c>
      <c r="I10" s="24" t="s">
        <v>1046</v>
      </c>
      <c r="J10" s="24" t="s">
        <v>100</v>
      </c>
      <c r="K10" s="24" t="s">
        <v>1060</v>
      </c>
      <c r="L10" s="24" t="s">
        <v>1051</v>
      </c>
      <c r="M10" s="24" t="s">
        <v>1035</v>
      </c>
      <c r="N10" s="24" t="s">
        <v>511</v>
      </c>
      <c r="O10" s="24" t="e">
        <f>VLOOKUP(C10,[3]MAESTRA!$E$5:$AO$395,36,0)</f>
        <v>#N/A</v>
      </c>
      <c r="P10" s="16" t="s">
        <v>43</v>
      </c>
      <c r="Q10"/>
      <c r="R10"/>
    </row>
    <row r="11" spans="3:18" x14ac:dyDescent="0.25">
      <c r="C11" s="24" t="s">
        <v>516</v>
      </c>
      <c r="D11" s="24" t="s">
        <v>517</v>
      </c>
      <c r="E11" s="24" t="s">
        <v>518</v>
      </c>
      <c r="F11" s="25">
        <v>10.130000000000001</v>
      </c>
      <c r="G11" s="24" t="s">
        <v>376</v>
      </c>
      <c r="H11" s="24" t="s">
        <v>46</v>
      </c>
      <c r="I11" s="24" t="s">
        <v>1046</v>
      </c>
      <c r="J11" s="24" t="s">
        <v>100</v>
      </c>
      <c r="K11" s="24" t="s">
        <v>1063</v>
      </c>
      <c r="L11" s="24" t="s">
        <v>1051</v>
      </c>
      <c r="M11" s="24" t="s">
        <v>1035</v>
      </c>
      <c r="N11" s="24" t="s">
        <v>516</v>
      </c>
      <c r="O11" s="24" t="e">
        <f>VLOOKUP(C11,[3]MAESTRA!$E$5:$AO$395,36,0)</f>
        <v>#N/A</v>
      </c>
      <c r="P11" s="16" t="s">
        <v>43</v>
      </c>
      <c r="Q11"/>
      <c r="R11"/>
    </row>
    <row r="12" spans="3:18" x14ac:dyDescent="0.25">
      <c r="C12" s="24" t="s">
        <v>796</v>
      </c>
      <c r="D12" s="24" t="s">
        <v>797</v>
      </c>
      <c r="E12" s="24" t="s">
        <v>797</v>
      </c>
      <c r="F12" s="25">
        <v>8</v>
      </c>
      <c r="G12" s="24" t="s">
        <v>376</v>
      </c>
      <c r="H12" s="24" t="s">
        <v>81</v>
      </c>
      <c r="I12" s="24" t="s">
        <v>1046</v>
      </c>
      <c r="J12" s="24" t="s">
        <v>146</v>
      </c>
      <c r="K12" s="24" t="s">
        <v>1064</v>
      </c>
      <c r="L12" s="24" t="s">
        <v>1051</v>
      </c>
      <c r="M12" s="24" t="s">
        <v>1035</v>
      </c>
      <c r="N12" s="24" t="s">
        <v>796</v>
      </c>
      <c r="O12" s="24" t="e">
        <f>VLOOKUP(C12,[3]MAESTRA!$E$5:$AO$395,36,0)</f>
        <v>#N/A</v>
      </c>
      <c r="P12" s="16" t="s">
        <v>43</v>
      </c>
      <c r="Q12"/>
      <c r="R12"/>
    </row>
    <row r="13" spans="3:18" x14ac:dyDescent="0.25">
      <c r="C13" s="24" t="s">
        <v>463</v>
      </c>
      <c r="D13" s="24" t="s">
        <v>464</v>
      </c>
      <c r="E13" s="24" t="s">
        <v>465</v>
      </c>
      <c r="F13" s="25">
        <v>8.9</v>
      </c>
      <c r="G13" s="24" t="s">
        <v>376</v>
      </c>
      <c r="H13" s="24" t="s">
        <v>46</v>
      </c>
      <c r="I13" s="24" t="s">
        <v>1046</v>
      </c>
      <c r="J13" s="24" t="s">
        <v>58</v>
      </c>
      <c r="K13" s="24" t="s">
        <v>1059</v>
      </c>
      <c r="L13" s="24" t="s">
        <v>1051</v>
      </c>
      <c r="M13" s="24" t="s">
        <v>1035</v>
      </c>
      <c r="N13" s="24" t="s">
        <v>463</v>
      </c>
      <c r="O13" s="24" t="e">
        <f>VLOOKUP(C13,[3]MAESTRA!$E$5:$AO$395,36,0)</f>
        <v>#N/A</v>
      </c>
      <c r="P13" s="16" t="s">
        <v>43</v>
      </c>
      <c r="Q13"/>
      <c r="R13"/>
    </row>
    <row r="14" spans="3:18" x14ac:dyDescent="0.25">
      <c r="C14" s="24" t="s">
        <v>383</v>
      </c>
      <c r="D14" s="24" t="s">
        <v>384</v>
      </c>
      <c r="E14" s="24" t="s">
        <v>384</v>
      </c>
      <c r="F14" s="25">
        <v>8</v>
      </c>
      <c r="G14" s="24" t="s">
        <v>376</v>
      </c>
      <c r="H14" s="24" t="s">
        <v>46</v>
      </c>
      <c r="I14" s="24" t="s">
        <v>1031</v>
      </c>
      <c r="J14" s="24" t="s">
        <v>63</v>
      </c>
      <c r="K14" s="24" t="s">
        <v>1060</v>
      </c>
      <c r="L14" s="24" t="s">
        <v>1051</v>
      </c>
      <c r="M14" s="3" t="s">
        <v>378</v>
      </c>
      <c r="N14" s="24" t="s">
        <v>383</v>
      </c>
      <c r="O14" s="24" t="e">
        <f>VLOOKUP(C14,[3]MAESTRA!$E$5:$AO$395,36,0)</f>
        <v>#N/A</v>
      </c>
      <c r="P14" s="16" t="s">
        <v>43</v>
      </c>
      <c r="Q14"/>
      <c r="R14"/>
    </row>
    <row r="15" spans="3:18" x14ac:dyDescent="0.25">
      <c r="C15" s="24" t="s">
        <v>646</v>
      </c>
      <c r="D15" s="24" t="s">
        <v>647</v>
      </c>
      <c r="E15" s="24" t="s">
        <v>647</v>
      </c>
      <c r="F15" s="25">
        <v>7</v>
      </c>
      <c r="G15" s="24" t="s">
        <v>376</v>
      </c>
      <c r="H15" s="24" t="s">
        <v>46</v>
      </c>
      <c r="I15" s="24" t="s">
        <v>1046</v>
      </c>
      <c r="J15" s="24" t="s">
        <v>50</v>
      </c>
      <c r="K15" s="24" t="s">
        <v>1064</v>
      </c>
      <c r="L15" s="24" t="s">
        <v>1051</v>
      </c>
      <c r="M15" s="3" t="s">
        <v>984</v>
      </c>
      <c r="N15" s="24" t="s">
        <v>646</v>
      </c>
      <c r="O15" s="24" t="e">
        <f>VLOOKUP(C15,[3]MAESTRA!$E$5:$AO$395,36,0)</f>
        <v>#N/A</v>
      </c>
      <c r="P15" s="16" t="s">
        <v>43</v>
      </c>
      <c r="Q15"/>
      <c r="R15"/>
    </row>
    <row r="16" spans="3:18" x14ac:dyDescent="0.25">
      <c r="C16" s="24" t="s">
        <v>648</v>
      </c>
      <c r="D16" s="24" t="s">
        <v>649</v>
      </c>
      <c r="E16" s="24" t="s">
        <v>650</v>
      </c>
      <c r="F16" s="25">
        <v>7.45</v>
      </c>
      <c r="G16" s="24" t="s">
        <v>376</v>
      </c>
      <c r="H16" s="24" t="s">
        <v>46</v>
      </c>
      <c r="I16" s="24" t="s">
        <v>1046</v>
      </c>
      <c r="J16" s="24" t="s">
        <v>50</v>
      </c>
      <c r="K16" s="24" t="s">
        <v>1065</v>
      </c>
      <c r="L16" s="24" t="s">
        <v>1051</v>
      </c>
      <c r="M16" s="3" t="s">
        <v>984</v>
      </c>
      <c r="N16" s="24" t="s">
        <v>648</v>
      </c>
      <c r="O16" s="24" t="e">
        <f>VLOOKUP(C16,[3]MAESTRA!$E$5:$AO$395,36,0)</f>
        <v>#N/A</v>
      </c>
      <c r="P16" s="16" t="s">
        <v>43</v>
      </c>
      <c r="Q16"/>
      <c r="R16"/>
    </row>
    <row r="17" spans="3:18" x14ac:dyDescent="0.25">
      <c r="C17" s="24" t="s">
        <v>642</v>
      </c>
      <c r="D17" s="24" t="s">
        <v>643</v>
      </c>
      <c r="E17" s="24" t="s">
        <v>643</v>
      </c>
      <c r="F17" s="25">
        <v>7.45</v>
      </c>
      <c r="G17" s="24" t="s">
        <v>376</v>
      </c>
      <c r="H17" s="24" t="s">
        <v>46</v>
      </c>
      <c r="I17" s="24" t="s">
        <v>1046</v>
      </c>
      <c r="J17" s="24" t="s">
        <v>50</v>
      </c>
      <c r="K17" s="24" t="s">
        <v>1059</v>
      </c>
      <c r="L17" s="24" t="s">
        <v>1051</v>
      </c>
      <c r="M17" s="3" t="s">
        <v>984</v>
      </c>
      <c r="N17" s="24" t="s">
        <v>642</v>
      </c>
      <c r="O17" s="24" t="e">
        <f>VLOOKUP(C17,[3]MAESTRA!$E$5:$AO$395,36,0)</f>
        <v>#N/A</v>
      </c>
      <c r="P17" s="16" t="s">
        <v>43</v>
      </c>
      <c r="Q17"/>
      <c r="R17"/>
    </row>
    <row r="18" spans="3:18" x14ac:dyDescent="0.25">
      <c r="C18" s="24" t="s">
        <v>468</v>
      </c>
      <c r="D18" s="24" t="s">
        <v>470</v>
      </c>
      <c r="E18" s="24" t="s">
        <v>1066</v>
      </c>
      <c r="F18" s="25">
        <v>8.4499999999999993</v>
      </c>
      <c r="G18" s="24" t="s">
        <v>376</v>
      </c>
      <c r="H18" s="24" t="s">
        <v>46</v>
      </c>
      <c r="I18" s="24" t="s">
        <v>1046</v>
      </c>
      <c r="J18" s="24" t="s">
        <v>58</v>
      </c>
      <c r="K18" s="24" t="s">
        <v>1059</v>
      </c>
      <c r="L18" s="24" t="s">
        <v>1051</v>
      </c>
      <c r="M18" s="24" t="s">
        <v>1035</v>
      </c>
      <c r="N18" s="24" t="s">
        <v>468</v>
      </c>
      <c r="O18" s="24" t="e">
        <f>VLOOKUP(C18,[3]MAESTRA!$E$5:$AO$395,36,0)</f>
        <v>#N/A</v>
      </c>
      <c r="P18" s="16" t="s">
        <v>43</v>
      </c>
      <c r="Q18"/>
      <c r="R18"/>
    </row>
    <row r="19" spans="3:18" x14ac:dyDescent="0.25">
      <c r="C19" s="24" t="s">
        <v>932</v>
      </c>
      <c r="D19" s="24" t="s">
        <v>933</v>
      </c>
      <c r="E19" s="24" t="s">
        <v>933</v>
      </c>
      <c r="F19" s="25">
        <v>7</v>
      </c>
      <c r="G19" s="24" t="s">
        <v>376</v>
      </c>
      <c r="H19" s="24" t="s">
        <v>46</v>
      </c>
      <c r="I19" s="24" t="s">
        <v>1046</v>
      </c>
      <c r="J19" s="24" t="s">
        <v>160</v>
      </c>
      <c r="K19" s="24" t="s">
        <v>1058</v>
      </c>
      <c r="L19" s="24" t="s">
        <v>1051</v>
      </c>
      <c r="M19" s="3" t="s">
        <v>984</v>
      </c>
      <c r="N19" s="24" t="s">
        <v>932</v>
      </c>
      <c r="O19" s="24" t="e">
        <f>VLOOKUP(C19,[3]MAESTRA!$E$5:$AO$395,36,0)</f>
        <v>#N/A</v>
      </c>
      <c r="P19" s="16" t="s">
        <v>43</v>
      </c>
      <c r="Q19"/>
      <c r="R19"/>
    </row>
    <row r="20" spans="3:18" x14ac:dyDescent="0.25">
      <c r="C20" s="24" t="s">
        <v>390</v>
      </c>
      <c r="D20" s="24" t="s">
        <v>391</v>
      </c>
      <c r="E20" s="24" t="s">
        <v>391</v>
      </c>
      <c r="F20" s="25">
        <v>7</v>
      </c>
      <c r="G20" s="24" t="s">
        <v>376</v>
      </c>
      <c r="H20" s="24" t="s">
        <v>46</v>
      </c>
      <c r="I20" s="24" t="s">
        <v>1031</v>
      </c>
      <c r="J20" s="24" t="s">
        <v>63</v>
      </c>
      <c r="K20" s="24" t="s">
        <v>1060</v>
      </c>
      <c r="L20" s="24" t="s">
        <v>1051</v>
      </c>
      <c r="M20" s="3" t="s">
        <v>378</v>
      </c>
      <c r="N20" s="24" t="s">
        <v>390</v>
      </c>
      <c r="O20" s="24" t="e">
        <f>VLOOKUP(C20,[3]MAESTRA!$E$5:$AO$395,36,0)</f>
        <v>#N/A</v>
      </c>
      <c r="P20" s="16" t="s">
        <v>43</v>
      </c>
      <c r="Q20"/>
      <c r="R20"/>
    </row>
    <row r="21" spans="3:18" x14ac:dyDescent="0.25">
      <c r="C21" s="24" t="s">
        <v>883</v>
      </c>
      <c r="D21" s="24" t="s">
        <v>884</v>
      </c>
      <c r="E21" s="24" t="s">
        <v>986</v>
      </c>
      <c r="F21" s="25">
        <v>5.45</v>
      </c>
      <c r="G21" s="24" t="s">
        <v>376</v>
      </c>
      <c r="H21" s="24" t="s">
        <v>46</v>
      </c>
      <c r="I21" s="24" t="s">
        <v>1046</v>
      </c>
      <c r="J21" s="24" t="s">
        <v>73</v>
      </c>
      <c r="K21" s="24" t="s">
        <v>1067</v>
      </c>
      <c r="L21" s="24" t="s">
        <v>1051</v>
      </c>
      <c r="M21" s="3" t="s">
        <v>378</v>
      </c>
      <c r="N21" s="24" t="s">
        <v>883</v>
      </c>
      <c r="O21" s="24" t="e">
        <f>VLOOKUP(C21,[3]MAESTRA!$E$5:$AO$395,36,0)</f>
        <v>#N/A</v>
      </c>
      <c r="P21" s="16" t="s">
        <v>440</v>
      </c>
      <c r="Q21"/>
      <c r="R21"/>
    </row>
    <row r="22" spans="3:18" x14ac:dyDescent="0.25">
      <c r="C22" s="24" t="s">
        <v>387</v>
      </c>
      <c r="D22" s="24" t="s">
        <v>388</v>
      </c>
      <c r="E22" s="24" t="s">
        <v>389</v>
      </c>
      <c r="F22" s="25">
        <v>7</v>
      </c>
      <c r="G22" s="24" t="s">
        <v>376</v>
      </c>
      <c r="H22" s="24" t="s">
        <v>46</v>
      </c>
      <c r="I22" s="24" t="s">
        <v>1031</v>
      </c>
      <c r="J22" s="24" t="s">
        <v>63</v>
      </c>
      <c r="K22" s="24" t="s">
        <v>1060</v>
      </c>
      <c r="L22" s="24" t="s">
        <v>1051</v>
      </c>
      <c r="M22" s="3" t="s">
        <v>378</v>
      </c>
      <c r="N22" s="24" t="s">
        <v>387</v>
      </c>
      <c r="O22" s="24" t="e">
        <f>VLOOKUP(C22,[3]MAESTRA!$E$5:$AO$395,36,0)</f>
        <v>#N/A</v>
      </c>
      <c r="P22" s="16" t="s">
        <v>43</v>
      </c>
      <c r="Q22"/>
      <c r="R22"/>
    </row>
    <row r="23" spans="3:18" x14ac:dyDescent="0.25">
      <c r="C23" s="24" t="s">
        <v>519</v>
      </c>
      <c r="D23" s="24" t="s">
        <v>520</v>
      </c>
      <c r="E23" s="24" t="s">
        <v>520</v>
      </c>
      <c r="F23" s="25">
        <v>7</v>
      </c>
      <c r="G23" s="24" t="s">
        <v>376</v>
      </c>
      <c r="H23" s="24" t="s">
        <v>46</v>
      </c>
      <c r="I23" s="24" t="s">
        <v>1046</v>
      </c>
      <c r="J23" s="24" t="s">
        <v>100</v>
      </c>
      <c r="K23" s="24" t="s">
        <v>1060</v>
      </c>
      <c r="L23" s="24" t="s">
        <v>1051</v>
      </c>
      <c r="M23" s="24" t="s">
        <v>1035</v>
      </c>
      <c r="N23" s="24" t="s">
        <v>519</v>
      </c>
      <c r="O23" s="24" t="e">
        <f>VLOOKUP(C23,[3]MAESTRA!$E$5:$AO$395,36,0)</f>
        <v>#N/A</v>
      </c>
      <c r="P23" s="16" t="s">
        <v>43</v>
      </c>
      <c r="Q23"/>
      <c r="R23"/>
    </row>
    <row r="24" spans="3:18" x14ac:dyDescent="0.25">
      <c r="C24" s="24" t="s">
        <v>887</v>
      </c>
      <c r="D24" s="24" t="s">
        <v>275</v>
      </c>
      <c r="E24" s="24" t="s">
        <v>888</v>
      </c>
      <c r="F24" s="25">
        <v>8.68</v>
      </c>
      <c r="G24" s="24" t="s">
        <v>376</v>
      </c>
      <c r="H24" s="24" t="s">
        <v>46</v>
      </c>
      <c r="I24" s="24" t="s">
        <v>1046</v>
      </c>
      <c r="J24" s="24" t="s">
        <v>73</v>
      </c>
      <c r="K24" s="24" t="s">
        <v>1068</v>
      </c>
      <c r="L24" s="24" t="s">
        <v>1051</v>
      </c>
      <c r="M24" s="3" t="s">
        <v>378</v>
      </c>
      <c r="N24" s="24" t="s">
        <v>887</v>
      </c>
      <c r="O24" s="24" t="e">
        <f>VLOOKUP(C24,[3]MAESTRA!$E$5:$AO$395,36,0)</f>
        <v>#N/A</v>
      </c>
      <c r="P24" s="16" t="s">
        <v>43</v>
      </c>
      <c r="Q24"/>
      <c r="R24"/>
    </row>
    <row r="25" spans="3:18" ht="13" x14ac:dyDescent="0.25">
      <c r="C25" s="24" t="s">
        <v>654</v>
      </c>
      <c r="D25" s="24" t="s">
        <v>655</v>
      </c>
      <c r="E25" s="24" t="s">
        <v>655</v>
      </c>
      <c r="F25" s="33">
        <v>6</v>
      </c>
      <c r="G25" s="24" t="s">
        <v>376</v>
      </c>
      <c r="H25" s="24" t="s">
        <v>46</v>
      </c>
      <c r="I25" s="24" t="s">
        <v>1046</v>
      </c>
      <c r="J25" s="24" t="s">
        <v>248</v>
      </c>
      <c r="K25" s="24" t="s">
        <v>1059</v>
      </c>
      <c r="L25" s="24" t="s">
        <v>1051</v>
      </c>
      <c r="M25" s="3" t="s">
        <v>984</v>
      </c>
      <c r="N25" s="24" t="s">
        <v>654</v>
      </c>
      <c r="O25" s="24" t="e">
        <f>VLOOKUP(C25,[3]MAESTRA!$E$5:$AO$395,36,0)</f>
        <v>#N/A</v>
      </c>
      <c r="P25" s="16" t="s">
        <v>43</v>
      </c>
      <c r="Q25"/>
      <c r="R25"/>
    </row>
    <row r="26" spans="3:18" x14ac:dyDescent="0.25">
      <c r="C26" s="24" t="s">
        <v>800</v>
      </c>
      <c r="D26" s="24" t="s">
        <v>801</v>
      </c>
      <c r="E26" s="24" t="s">
        <v>801</v>
      </c>
      <c r="F26" s="25">
        <v>7</v>
      </c>
      <c r="G26" s="24" t="s">
        <v>376</v>
      </c>
      <c r="H26" s="24" t="s">
        <v>46</v>
      </c>
      <c r="I26" s="24" t="s">
        <v>1046</v>
      </c>
      <c r="J26" s="24" t="s">
        <v>146</v>
      </c>
      <c r="K26" s="24" t="s">
        <v>1064</v>
      </c>
      <c r="L26" s="24" t="s">
        <v>1051</v>
      </c>
      <c r="M26" s="24" t="s">
        <v>1035</v>
      </c>
      <c r="N26" s="24" t="s">
        <v>800</v>
      </c>
      <c r="O26" s="24" t="e">
        <f>VLOOKUP(C26,[3]MAESTRA!$E$5:$AO$395,36,0)</f>
        <v>#N/A</v>
      </c>
      <c r="P26" s="16" t="s">
        <v>43</v>
      </c>
      <c r="Q26"/>
      <c r="R26"/>
    </row>
    <row r="27" spans="3:18" x14ac:dyDescent="0.25">
      <c r="C27" s="24" t="s">
        <v>385</v>
      </c>
      <c r="D27" s="24" t="s">
        <v>386</v>
      </c>
      <c r="E27" s="24" t="s">
        <v>386</v>
      </c>
      <c r="F27" s="25">
        <v>7</v>
      </c>
      <c r="G27" s="24" t="s">
        <v>376</v>
      </c>
      <c r="H27" s="24" t="s">
        <v>46</v>
      </c>
      <c r="I27" s="24" t="s">
        <v>1031</v>
      </c>
      <c r="J27" s="24" t="s">
        <v>63</v>
      </c>
      <c r="K27" s="24" t="s">
        <v>1060</v>
      </c>
      <c r="L27" s="24" t="s">
        <v>1051</v>
      </c>
      <c r="M27" s="3" t="s">
        <v>378</v>
      </c>
      <c r="N27" s="24" t="s">
        <v>385</v>
      </c>
      <c r="O27" s="24" t="e">
        <f>VLOOKUP(C27,[3]MAESTRA!$E$5:$AO$395,36,0)</f>
        <v>#N/A</v>
      </c>
      <c r="P27" s="16" t="s">
        <v>43</v>
      </c>
      <c r="Q27"/>
      <c r="R27"/>
    </row>
    <row r="28" spans="3:18" x14ac:dyDescent="0.25">
      <c r="C28" s="24" t="s">
        <v>934</v>
      </c>
      <c r="D28" s="24" t="s">
        <v>935</v>
      </c>
      <c r="E28" s="24" t="s">
        <v>935</v>
      </c>
      <c r="F28" s="25">
        <v>7</v>
      </c>
      <c r="G28" s="24" t="s">
        <v>376</v>
      </c>
      <c r="H28" s="24" t="s">
        <v>46</v>
      </c>
      <c r="I28" s="24" t="s">
        <v>1046</v>
      </c>
      <c r="J28" s="24" t="s">
        <v>160</v>
      </c>
      <c r="K28" s="24" t="s">
        <v>1058</v>
      </c>
      <c r="L28" s="24" t="s">
        <v>1051</v>
      </c>
      <c r="M28" s="3" t="s">
        <v>984</v>
      </c>
      <c r="N28" s="24" t="s">
        <v>934</v>
      </c>
      <c r="O28" s="24" t="e">
        <f>VLOOKUP(C28,[3]MAESTRA!$E$5:$AO$395,36,0)</f>
        <v>#N/A</v>
      </c>
      <c r="P28" s="16" t="s">
        <v>43</v>
      </c>
      <c r="Q28"/>
      <c r="R28"/>
    </row>
    <row r="29" spans="3:18" x14ac:dyDescent="0.25">
      <c r="C29" s="24" t="s">
        <v>573</v>
      </c>
      <c r="D29" s="24" t="s">
        <v>574</v>
      </c>
      <c r="E29" s="24" t="s">
        <v>575</v>
      </c>
      <c r="F29" s="25">
        <v>7</v>
      </c>
      <c r="G29" s="24" t="s">
        <v>376</v>
      </c>
      <c r="H29" s="24" t="s">
        <v>46</v>
      </c>
      <c r="I29" s="24" t="s">
        <v>1046</v>
      </c>
      <c r="J29" s="24" t="s">
        <v>331</v>
      </c>
      <c r="K29" s="24" t="s">
        <v>1060</v>
      </c>
      <c r="L29" s="24" t="s">
        <v>1051</v>
      </c>
      <c r="M29" s="3" t="s">
        <v>984</v>
      </c>
      <c r="N29" s="24" t="s">
        <v>573</v>
      </c>
      <c r="O29" s="24" t="e">
        <f>VLOOKUP(C29,[3]MAESTRA!$E$5:$AO$395,36,0)</f>
        <v>#N/A</v>
      </c>
      <c r="P29" s="16" t="s">
        <v>440</v>
      </c>
      <c r="Q29"/>
      <c r="R29"/>
    </row>
    <row r="30" spans="3:18" x14ac:dyDescent="0.25">
      <c r="C30" s="24" t="s">
        <v>804</v>
      </c>
      <c r="D30" s="24" t="s">
        <v>805</v>
      </c>
      <c r="E30" s="24" t="s">
        <v>806</v>
      </c>
      <c r="F30" s="25">
        <v>6.45</v>
      </c>
      <c r="G30" s="24" t="s">
        <v>376</v>
      </c>
      <c r="H30" s="24" t="s">
        <v>46</v>
      </c>
      <c r="I30" s="24" t="s">
        <v>1046</v>
      </c>
      <c r="J30" s="24" t="s">
        <v>146</v>
      </c>
      <c r="K30" s="24" t="s">
        <v>1064</v>
      </c>
      <c r="L30" s="24" t="s">
        <v>1051</v>
      </c>
      <c r="M30" s="24" t="s">
        <v>1035</v>
      </c>
      <c r="N30" s="24" t="s">
        <v>804</v>
      </c>
      <c r="O30" s="24" t="e">
        <f>VLOOKUP(C30,[3]MAESTRA!$E$5:$AO$395,36,0)</f>
        <v>#N/A</v>
      </c>
      <c r="P30" s="16" t="s">
        <v>43</v>
      </c>
      <c r="Q30"/>
      <c r="R30"/>
    </row>
    <row r="31" spans="3:18" x14ac:dyDescent="0.25">
      <c r="C31" s="24" t="s">
        <v>618</v>
      </c>
      <c r="D31" s="24" t="s">
        <v>619</v>
      </c>
      <c r="E31" s="24" t="s">
        <v>619</v>
      </c>
      <c r="F31" s="25">
        <v>6.68</v>
      </c>
      <c r="G31" s="24" t="s">
        <v>376</v>
      </c>
      <c r="H31" s="24" t="s">
        <v>46</v>
      </c>
      <c r="I31" s="24" t="s">
        <v>1046</v>
      </c>
      <c r="J31" s="24" t="s">
        <v>50</v>
      </c>
      <c r="K31" s="24" t="s">
        <v>1064</v>
      </c>
      <c r="L31" s="24" t="s">
        <v>1051</v>
      </c>
      <c r="M31" s="3" t="s">
        <v>984</v>
      </c>
      <c r="N31" s="24" t="s">
        <v>618</v>
      </c>
      <c r="O31" s="24" t="e">
        <f>VLOOKUP(C31,[3]MAESTRA!$E$5:$AO$395,36,0)</f>
        <v>#N/A</v>
      </c>
      <c r="P31" s="16" t="s">
        <v>43</v>
      </c>
      <c r="Q31"/>
      <c r="R31"/>
    </row>
    <row r="32" spans="3:18" x14ac:dyDescent="0.25">
      <c r="C32" s="24" t="s">
        <v>419</v>
      </c>
      <c r="D32" s="24" t="s">
        <v>420</v>
      </c>
      <c r="E32" s="24" t="s">
        <v>64</v>
      </c>
      <c r="F32" s="25">
        <v>6</v>
      </c>
      <c r="G32" s="24" t="s">
        <v>376</v>
      </c>
      <c r="H32" s="24" t="s">
        <v>46</v>
      </c>
      <c r="I32" s="24" t="s">
        <v>1046</v>
      </c>
      <c r="J32" s="24" t="s">
        <v>94</v>
      </c>
      <c r="K32" s="24" t="s">
        <v>1065</v>
      </c>
      <c r="L32" s="24" t="s">
        <v>1051</v>
      </c>
      <c r="M32" s="24" t="s">
        <v>1035</v>
      </c>
      <c r="N32" s="24" t="s">
        <v>419</v>
      </c>
      <c r="O32" s="24" t="e">
        <f>VLOOKUP(C32,[3]MAESTRA!$E$5:$AO$395,36,0)</f>
        <v>#N/A</v>
      </c>
      <c r="P32" s="16" t="s">
        <v>43</v>
      </c>
      <c r="Q32"/>
      <c r="R32"/>
    </row>
    <row r="33" spans="3:18" x14ac:dyDescent="0.25">
      <c r="C33" s="24" t="s">
        <v>521</v>
      </c>
      <c r="D33" s="24" t="s">
        <v>522</v>
      </c>
      <c r="E33" s="24" t="s">
        <v>522</v>
      </c>
      <c r="F33" s="25">
        <v>5</v>
      </c>
      <c r="G33" s="24" t="s">
        <v>376</v>
      </c>
      <c r="H33" s="24" t="s">
        <v>46</v>
      </c>
      <c r="I33" s="24" t="s">
        <v>1046</v>
      </c>
      <c r="J33" s="24" t="s">
        <v>100</v>
      </c>
      <c r="K33" s="24" t="s">
        <v>1060</v>
      </c>
      <c r="L33" s="24" t="s">
        <v>1051</v>
      </c>
      <c r="M33" s="24" t="s">
        <v>1035</v>
      </c>
      <c r="N33" s="24" t="s">
        <v>521</v>
      </c>
      <c r="O33" s="24" t="e">
        <f>VLOOKUP(C33,[3]MAESTRA!$E$5:$AO$395,36,0)</f>
        <v>#N/A</v>
      </c>
      <c r="P33" s="16" t="s">
        <v>43</v>
      </c>
      <c r="Q33"/>
      <c r="R33"/>
    </row>
    <row r="34" spans="3:18" x14ac:dyDescent="0.25">
      <c r="C34" s="24" t="s">
        <v>844</v>
      </c>
      <c r="D34" s="24" t="s">
        <v>845</v>
      </c>
      <c r="E34" s="24" t="s">
        <v>846</v>
      </c>
      <c r="F34" s="25">
        <v>6</v>
      </c>
      <c r="G34" s="24" t="s">
        <v>376</v>
      </c>
      <c r="H34" s="24" t="s">
        <v>46</v>
      </c>
      <c r="I34" s="24" t="s">
        <v>1046</v>
      </c>
      <c r="J34" s="24" t="s">
        <v>132</v>
      </c>
      <c r="K34" s="24" t="s">
        <v>1060</v>
      </c>
      <c r="L34" s="24" t="s">
        <v>1051</v>
      </c>
      <c r="M34" s="24" t="s">
        <v>1035</v>
      </c>
      <c r="N34" s="24" t="s">
        <v>844</v>
      </c>
      <c r="O34" s="24" t="e">
        <f>VLOOKUP(C34,[3]MAESTRA!$E$5:$AO$395,36,0)</f>
        <v>#N/A</v>
      </c>
      <c r="P34" s="16" t="s">
        <v>43</v>
      </c>
      <c r="Q34"/>
      <c r="R34"/>
    </row>
    <row r="35" spans="3:18" x14ac:dyDescent="0.25">
      <c r="C35" s="24" t="s">
        <v>889</v>
      </c>
      <c r="D35" s="24" t="s">
        <v>890</v>
      </c>
      <c r="E35" s="24" t="s">
        <v>890</v>
      </c>
      <c r="F35" s="25">
        <v>6</v>
      </c>
      <c r="G35" s="24" t="s">
        <v>376</v>
      </c>
      <c r="H35" s="24" t="s">
        <v>46</v>
      </c>
      <c r="I35" s="24" t="s">
        <v>1046</v>
      </c>
      <c r="J35" s="24" t="s">
        <v>73</v>
      </c>
      <c r="K35" s="24" t="s">
        <v>1069</v>
      </c>
      <c r="L35" s="24" t="s">
        <v>1051</v>
      </c>
      <c r="M35" s="3" t="s">
        <v>378</v>
      </c>
      <c r="N35" s="24" t="s">
        <v>889</v>
      </c>
      <c r="O35" s="24" t="e">
        <f>VLOOKUP(C35,[3]MAESTRA!$E$5:$AO$395,36,0)</f>
        <v>#N/A</v>
      </c>
      <c r="P35" s="16" t="s">
        <v>43</v>
      </c>
      <c r="Q35"/>
      <c r="R35"/>
    </row>
    <row r="36" spans="3:18" x14ac:dyDescent="0.25">
      <c r="C36" s="24" t="s">
        <v>392</v>
      </c>
      <c r="D36" s="24" t="s">
        <v>393</v>
      </c>
      <c r="E36" s="24" t="s">
        <v>393</v>
      </c>
      <c r="F36" s="25">
        <v>5</v>
      </c>
      <c r="G36" s="24" t="s">
        <v>376</v>
      </c>
      <c r="H36" s="24" t="s">
        <v>46</v>
      </c>
      <c r="I36" s="24" t="s">
        <v>1031</v>
      </c>
      <c r="J36" s="24" t="s">
        <v>63</v>
      </c>
      <c r="K36" s="24" t="s">
        <v>1060</v>
      </c>
      <c r="L36" s="24" t="s">
        <v>1051</v>
      </c>
      <c r="M36" s="3" t="s">
        <v>378</v>
      </c>
      <c r="N36" s="24" t="s">
        <v>392</v>
      </c>
      <c r="O36" s="24" t="e">
        <f>VLOOKUP(C36,[3]MAESTRA!$E$5:$AO$395,36,0)</f>
        <v>#N/A</v>
      </c>
      <c r="P36" s="16" t="s">
        <v>43</v>
      </c>
      <c r="Q36"/>
      <c r="R36"/>
    </row>
    <row r="37" spans="3:18" x14ac:dyDescent="0.25">
      <c r="C37" s="24" t="s">
        <v>703</v>
      </c>
      <c r="D37" s="24" t="s">
        <v>704</v>
      </c>
      <c r="E37" s="24" t="s">
        <v>705</v>
      </c>
      <c r="F37" s="25">
        <v>5</v>
      </c>
      <c r="G37" s="24" t="s">
        <v>376</v>
      </c>
      <c r="H37" s="24" t="s">
        <v>46</v>
      </c>
      <c r="I37" s="24" t="s">
        <v>1031</v>
      </c>
      <c r="J37" s="24" t="s">
        <v>84</v>
      </c>
      <c r="K37" s="24" t="s">
        <v>1070</v>
      </c>
      <c r="L37" s="24" t="s">
        <v>1062</v>
      </c>
      <c r="M37" s="3" t="s">
        <v>378</v>
      </c>
      <c r="N37" s="24" t="s">
        <v>703</v>
      </c>
      <c r="O37" s="24" t="e">
        <f>VLOOKUP(C37,[3]MAESTRA!$E$5:$AO$395,36,0)</f>
        <v>#N/A</v>
      </c>
      <c r="P37" s="16" t="s">
        <v>43</v>
      </c>
      <c r="Q37"/>
      <c r="R37"/>
    </row>
    <row r="38" spans="3:18" x14ac:dyDescent="0.25">
      <c r="C38" s="24" t="s">
        <v>34</v>
      </c>
      <c r="D38" s="24" t="s">
        <v>35</v>
      </c>
      <c r="E38" s="24" t="s">
        <v>35</v>
      </c>
      <c r="F38" s="25" t="s">
        <v>36</v>
      </c>
      <c r="G38" s="24" t="s">
        <v>37</v>
      </c>
      <c r="H38" s="24" t="s">
        <v>38</v>
      </c>
      <c r="I38" s="24" t="s">
        <v>1046</v>
      </c>
      <c r="J38" s="24">
        <v>0</v>
      </c>
      <c r="K38" s="24" t="s">
        <v>1071</v>
      </c>
      <c r="L38" s="24" t="s">
        <v>1051</v>
      </c>
      <c r="M38" s="24" t="s">
        <v>1053</v>
      </c>
      <c r="N38" s="24" t="s">
        <v>34</v>
      </c>
      <c r="O38" s="24" t="e">
        <f>VLOOKUP(C38,[3]MAESTRA!$E$5:$AO$395,36,0)</f>
        <v>#N/A</v>
      </c>
      <c r="P38" s="16" t="s">
        <v>43</v>
      </c>
      <c r="Q38"/>
      <c r="R38"/>
    </row>
    <row r="39" spans="3:18" x14ac:dyDescent="0.25">
      <c r="C39" s="24" t="s">
        <v>424</v>
      </c>
      <c r="D39" s="24" t="s">
        <v>425</v>
      </c>
      <c r="E39" s="24" t="s">
        <v>988</v>
      </c>
      <c r="F39" s="25">
        <v>6</v>
      </c>
      <c r="G39" s="24" t="s">
        <v>37</v>
      </c>
      <c r="H39" s="24" t="s">
        <v>46</v>
      </c>
      <c r="I39" s="24" t="s">
        <v>1046</v>
      </c>
      <c r="J39" s="24" t="s">
        <v>94</v>
      </c>
      <c r="K39" s="24" t="s">
        <v>1065</v>
      </c>
      <c r="L39" s="24" t="s">
        <v>1051</v>
      </c>
      <c r="M39" s="24" t="s">
        <v>1035</v>
      </c>
      <c r="N39" s="24" t="s">
        <v>424</v>
      </c>
      <c r="O39" s="24" t="e">
        <f>VLOOKUP(C39,[3]MAESTRA!$E$5:$AO$395,36,0)</f>
        <v>#N/A</v>
      </c>
      <c r="P39" s="16" t="s">
        <v>43</v>
      </c>
      <c r="Q39"/>
      <c r="R39"/>
    </row>
    <row r="40" spans="3:18" x14ac:dyDescent="0.25">
      <c r="C40" s="24" t="s">
        <v>471</v>
      </c>
      <c r="D40" s="24" t="s">
        <v>472</v>
      </c>
      <c r="E40" s="24" t="s">
        <v>473</v>
      </c>
      <c r="F40" s="25">
        <v>5</v>
      </c>
      <c r="G40" s="24" t="s">
        <v>376</v>
      </c>
      <c r="H40" s="24" t="s">
        <v>46</v>
      </c>
      <c r="I40" s="24" t="s">
        <v>1046</v>
      </c>
      <c r="J40" s="24" t="s">
        <v>58</v>
      </c>
      <c r="K40" s="24" t="s">
        <v>1059</v>
      </c>
      <c r="L40" s="24" t="s">
        <v>1051</v>
      </c>
      <c r="M40" s="24" t="s">
        <v>1035</v>
      </c>
      <c r="N40" s="24" t="s">
        <v>471</v>
      </c>
      <c r="O40" s="24" t="e">
        <f>VLOOKUP(C40,[3]MAESTRA!$E$5:$AO$395,36,0)</f>
        <v>#N/A</v>
      </c>
      <c r="P40" s="16" t="s">
        <v>43</v>
      </c>
      <c r="Q40"/>
      <c r="R40"/>
    </row>
    <row r="41" spans="3:18" x14ac:dyDescent="0.25">
      <c r="C41" s="24" t="s">
        <v>742</v>
      </c>
      <c r="D41" s="24" t="s">
        <v>744</v>
      </c>
      <c r="E41" s="26" t="s">
        <v>989</v>
      </c>
      <c r="F41" s="25">
        <v>6</v>
      </c>
      <c r="G41" s="24" t="s">
        <v>376</v>
      </c>
      <c r="H41" s="24" t="s">
        <v>46</v>
      </c>
      <c r="I41" s="24" t="s">
        <v>1031</v>
      </c>
      <c r="J41" s="24" t="s">
        <v>1048</v>
      </c>
      <c r="K41" s="24" t="s">
        <v>1061</v>
      </c>
      <c r="L41" s="24" t="s">
        <v>1062</v>
      </c>
      <c r="M41" s="3" t="s">
        <v>378</v>
      </c>
      <c r="N41" s="24" t="s">
        <v>742</v>
      </c>
      <c r="O41" s="24" t="e">
        <f>VLOOKUP(C41,[3]MAESTRA!$E$5:$AO$395,36,0)</f>
        <v>#N/A</v>
      </c>
      <c r="P41" s="16" t="s">
        <v>440</v>
      </c>
      <c r="Q41"/>
      <c r="R41"/>
    </row>
    <row r="42" spans="3:18" x14ac:dyDescent="0.25">
      <c r="C42" s="24" t="s">
        <v>707</v>
      </c>
      <c r="D42" s="24" t="s">
        <v>706</v>
      </c>
      <c r="E42" s="24" t="s">
        <v>708</v>
      </c>
      <c r="F42" s="25">
        <v>5</v>
      </c>
      <c r="G42" s="24" t="s">
        <v>376</v>
      </c>
      <c r="H42" s="24" t="s">
        <v>46</v>
      </c>
      <c r="I42" s="24" t="s">
        <v>1031</v>
      </c>
      <c r="J42" s="24" t="s">
        <v>84</v>
      </c>
      <c r="K42" s="24" t="s">
        <v>1070</v>
      </c>
      <c r="L42" s="24" t="s">
        <v>1062</v>
      </c>
      <c r="M42" s="3" t="s">
        <v>378</v>
      </c>
      <c r="N42" s="24" t="s">
        <v>707</v>
      </c>
      <c r="O42" s="24" t="e">
        <f>VLOOKUP(C42,[3]MAESTRA!$E$5:$AO$395,36,0)</f>
        <v>#N/A</v>
      </c>
      <c r="P42" s="16" t="s">
        <v>440</v>
      </c>
      <c r="Q42"/>
      <c r="R42"/>
    </row>
    <row r="43" spans="3:18" x14ac:dyDescent="0.25">
      <c r="C43" s="24" t="s">
        <v>394</v>
      </c>
      <c r="D43" s="24" t="s">
        <v>395</v>
      </c>
      <c r="E43" s="24" t="s">
        <v>395</v>
      </c>
      <c r="F43" s="25">
        <v>6</v>
      </c>
      <c r="G43" s="24" t="s">
        <v>376</v>
      </c>
      <c r="H43" s="24" t="s">
        <v>46</v>
      </c>
      <c r="I43" s="24" t="s">
        <v>1031</v>
      </c>
      <c r="J43" s="24" t="s">
        <v>63</v>
      </c>
      <c r="K43" s="24" t="s">
        <v>1060</v>
      </c>
      <c r="L43" s="24" t="s">
        <v>1051</v>
      </c>
      <c r="M43" s="3" t="s">
        <v>378</v>
      </c>
      <c r="N43" s="24" t="s">
        <v>394</v>
      </c>
      <c r="O43" s="24" t="e">
        <f>VLOOKUP(C43,[3]MAESTRA!$E$5:$AO$395,36,0)</f>
        <v>#N/A</v>
      </c>
      <c r="P43" s="16" t="s">
        <v>43</v>
      </c>
      <c r="Q43"/>
      <c r="R43"/>
    </row>
    <row r="44" spans="3:18" x14ac:dyDescent="0.25">
      <c r="C44" s="24" t="s">
        <v>396</v>
      </c>
      <c r="D44" s="24" t="s">
        <v>397</v>
      </c>
      <c r="E44" s="24" t="s">
        <v>397</v>
      </c>
      <c r="F44" s="25">
        <v>6</v>
      </c>
      <c r="G44" s="24" t="s">
        <v>376</v>
      </c>
      <c r="H44" s="24" t="s">
        <v>46</v>
      </c>
      <c r="I44" s="24" t="s">
        <v>1031</v>
      </c>
      <c r="J44" s="24" t="s">
        <v>63</v>
      </c>
      <c r="K44" s="24" t="s">
        <v>1060</v>
      </c>
      <c r="L44" s="24" t="s">
        <v>1051</v>
      </c>
      <c r="M44" s="3" t="s">
        <v>378</v>
      </c>
      <c r="N44" s="24" t="s">
        <v>396</v>
      </c>
      <c r="O44" s="24" t="e">
        <f>VLOOKUP(C44,[3]MAESTRA!$E$5:$AO$395,36,0)</f>
        <v>#N/A</v>
      </c>
      <c r="P44" s="16" t="s">
        <v>43</v>
      </c>
      <c r="Q44"/>
      <c r="R44"/>
    </row>
    <row r="45" spans="3:18" x14ac:dyDescent="0.25">
      <c r="C45" s="24" t="s">
        <v>848</v>
      </c>
      <c r="D45" s="24" t="s">
        <v>849</v>
      </c>
      <c r="E45" s="24" t="s">
        <v>849</v>
      </c>
      <c r="F45" s="25">
        <v>6.68</v>
      </c>
      <c r="G45" s="24" t="s">
        <v>376</v>
      </c>
      <c r="H45" s="24" t="s">
        <v>46</v>
      </c>
      <c r="I45" s="24" t="s">
        <v>1046</v>
      </c>
      <c r="J45" s="24" t="s">
        <v>132</v>
      </c>
      <c r="K45" s="24" t="s">
        <v>1060</v>
      </c>
      <c r="L45" s="24" t="s">
        <v>1051</v>
      </c>
      <c r="M45" s="24" t="s">
        <v>1035</v>
      </c>
      <c r="N45" s="24" t="s">
        <v>848</v>
      </c>
      <c r="O45" s="24" t="e">
        <f>VLOOKUP(C45,[3]MAESTRA!$E$5:$AO$395,36,0)</f>
        <v>#N/A</v>
      </c>
      <c r="P45" s="16" t="s">
        <v>43</v>
      </c>
      <c r="Q45"/>
      <c r="R45"/>
    </row>
    <row r="46" spans="3:18" x14ac:dyDescent="0.25">
      <c r="C46" s="24" t="s">
        <v>936</v>
      </c>
      <c r="D46" s="24" t="s">
        <v>937</v>
      </c>
      <c r="E46" s="24" t="s">
        <v>938</v>
      </c>
      <c r="F46" s="25">
        <v>5</v>
      </c>
      <c r="G46" s="24" t="s">
        <v>376</v>
      </c>
      <c r="H46" s="24" t="s">
        <v>46</v>
      </c>
      <c r="I46" s="24" t="s">
        <v>1046</v>
      </c>
      <c r="J46" s="24" t="s">
        <v>160</v>
      </c>
      <c r="K46" s="24" t="s">
        <v>1060</v>
      </c>
      <c r="L46" s="24" t="s">
        <v>1051</v>
      </c>
      <c r="M46" s="3" t="s">
        <v>984</v>
      </c>
      <c r="N46" s="24" t="s">
        <v>936</v>
      </c>
      <c r="O46" s="24" t="e">
        <f>VLOOKUP(C46,[3]MAESTRA!$E$5:$AO$395,36,0)</f>
        <v>#N/A</v>
      </c>
      <c r="P46" s="16" t="s">
        <v>43</v>
      </c>
      <c r="Q46"/>
      <c r="R46"/>
    </row>
    <row r="47" spans="3:18" x14ac:dyDescent="0.25">
      <c r="C47" s="24" t="s">
        <v>939</v>
      </c>
      <c r="D47" s="24" t="s">
        <v>39</v>
      </c>
      <c r="E47" s="24" t="s">
        <v>39</v>
      </c>
      <c r="F47" s="25">
        <v>6.45</v>
      </c>
      <c r="G47" s="24" t="s">
        <v>376</v>
      </c>
      <c r="H47" s="24" t="s">
        <v>46</v>
      </c>
      <c r="I47" s="24" t="s">
        <v>1046</v>
      </c>
      <c r="J47" s="24" t="s">
        <v>160</v>
      </c>
      <c r="K47" s="24" t="s">
        <v>1071</v>
      </c>
      <c r="L47" s="24" t="s">
        <v>1051</v>
      </c>
      <c r="M47" s="3" t="s">
        <v>984</v>
      </c>
      <c r="N47" s="24" t="s">
        <v>939</v>
      </c>
      <c r="O47" s="24" t="e">
        <f>VLOOKUP(C47,[3]MAESTRA!$E$5:$AO$395,36,0)</f>
        <v>#N/A</v>
      </c>
      <c r="P47" s="16" t="s">
        <v>43</v>
      </c>
      <c r="Q47"/>
      <c r="R47"/>
    </row>
    <row r="48" spans="3:18" x14ac:dyDescent="0.25">
      <c r="C48" s="24" t="s">
        <v>44</v>
      </c>
      <c r="D48" s="24" t="s">
        <v>45</v>
      </c>
      <c r="E48" s="24" t="s">
        <v>45</v>
      </c>
      <c r="F48" s="25" t="s">
        <v>36</v>
      </c>
      <c r="G48" s="24" t="s">
        <v>37</v>
      </c>
      <c r="H48" s="24" t="s">
        <v>46</v>
      </c>
      <c r="I48" s="24" t="s">
        <v>1046</v>
      </c>
      <c r="J48" s="24">
        <v>0</v>
      </c>
      <c r="K48" s="24" t="s">
        <v>1072</v>
      </c>
      <c r="L48" s="24" t="s">
        <v>1051</v>
      </c>
      <c r="M48" s="24" t="s">
        <v>1053</v>
      </c>
      <c r="N48" s="24" t="s">
        <v>44</v>
      </c>
      <c r="O48" s="24" t="e">
        <f>VLOOKUP(C48,[3]MAESTRA!$E$5:$AO$395,36,0)</f>
        <v>#N/A</v>
      </c>
      <c r="P48" s="16" t="s">
        <v>43</v>
      </c>
      <c r="Q48"/>
      <c r="R48"/>
    </row>
    <row r="49" spans="3:18" x14ac:dyDescent="0.25">
      <c r="C49" s="24" t="s">
        <v>940</v>
      </c>
      <c r="D49" s="24" t="s">
        <v>941</v>
      </c>
      <c r="E49" s="24" t="s">
        <v>941</v>
      </c>
      <c r="F49" s="25">
        <v>6</v>
      </c>
      <c r="G49" s="24" t="s">
        <v>376</v>
      </c>
      <c r="H49" s="24" t="s">
        <v>46</v>
      </c>
      <c r="I49" s="24" t="s">
        <v>1046</v>
      </c>
      <c r="J49" s="24" t="s">
        <v>160</v>
      </c>
      <c r="K49" s="24" t="s">
        <v>1073</v>
      </c>
      <c r="L49" s="24" t="s">
        <v>1051</v>
      </c>
      <c r="M49" s="3" t="s">
        <v>984</v>
      </c>
      <c r="N49" s="24" t="s">
        <v>940</v>
      </c>
      <c r="O49" s="24" t="e">
        <f>VLOOKUP(C49,[3]MAESTRA!$E$5:$AO$395,36,0)</f>
        <v>#N/A</v>
      </c>
      <c r="P49" s="16" t="s">
        <v>43</v>
      </c>
      <c r="Q49"/>
      <c r="R49"/>
    </row>
    <row r="50" spans="3:18" x14ac:dyDescent="0.25">
      <c r="C50" s="24" t="s">
        <v>850</v>
      </c>
      <c r="D50" s="24" t="s">
        <v>851</v>
      </c>
      <c r="E50" s="24" t="s">
        <v>851</v>
      </c>
      <c r="F50" s="25">
        <v>6</v>
      </c>
      <c r="G50" s="24" t="s">
        <v>376</v>
      </c>
      <c r="H50" s="24" t="s">
        <v>46</v>
      </c>
      <c r="I50" s="24" t="s">
        <v>1046</v>
      </c>
      <c r="J50" s="24" t="s">
        <v>132</v>
      </c>
      <c r="K50" s="24" t="s">
        <v>1060</v>
      </c>
      <c r="L50" s="24" t="s">
        <v>1051</v>
      </c>
      <c r="M50" s="24" t="s">
        <v>1035</v>
      </c>
      <c r="N50" s="24" t="s">
        <v>850</v>
      </c>
      <c r="O50" s="24" t="e">
        <f>VLOOKUP(C50,[3]MAESTRA!$E$5:$AO$395,36,0)</f>
        <v>#N/A</v>
      </c>
      <c r="P50" s="16" t="s">
        <v>43</v>
      </c>
      <c r="Q50" s="21" t="s">
        <v>1040</v>
      </c>
      <c r="R50" s="16" t="s">
        <v>1042</v>
      </c>
    </row>
    <row r="51" spans="3:18" x14ac:dyDescent="0.25">
      <c r="C51" s="24" t="s">
        <v>474</v>
      </c>
      <c r="D51" s="24" t="s">
        <v>475</v>
      </c>
      <c r="E51" s="24" t="s">
        <v>475</v>
      </c>
      <c r="F51" s="25">
        <v>6</v>
      </c>
      <c r="G51" s="24" t="s">
        <v>376</v>
      </c>
      <c r="H51" s="24" t="s">
        <v>46</v>
      </c>
      <c r="I51" s="24" t="s">
        <v>1046</v>
      </c>
      <c r="J51" s="24" t="s">
        <v>58</v>
      </c>
      <c r="K51" s="24" t="s">
        <v>1059</v>
      </c>
      <c r="L51" s="24" t="s">
        <v>1051</v>
      </c>
      <c r="M51" s="24" t="s">
        <v>1035</v>
      </c>
      <c r="N51" s="24" t="s">
        <v>474</v>
      </c>
      <c r="O51" s="24" t="e">
        <f>VLOOKUP(C51,[3]MAESTRA!$E$5:$AO$395,36,0)</f>
        <v>#N/A</v>
      </c>
      <c r="P51" s="16" t="s">
        <v>43</v>
      </c>
    </row>
    <row r="52" spans="3:18" x14ac:dyDescent="0.25">
      <c r="C52" s="24" t="s">
        <v>555</v>
      </c>
      <c r="D52" s="24" t="s">
        <v>556</v>
      </c>
      <c r="E52" s="24" t="s">
        <v>556</v>
      </c>
      <c r="F52" s="25">
        <v>5</v>
      </c>
      <c r="G52" s="24" t="s">
        <v>376</v>
      </c>
      <c r="H52" s="24" t="s">
        <v>46</v>
      </c>
      <c r="I52" s="24" t="s">
        <v>1046</v>
      </c>
      <c r="J52" s="24" t="s">
        <v>331</v>
      </c>
      <c r="K52" s="24" t="s">
        <v>1060</v>
      </c>
      <c r="L52" s="24" t="s">
        <v>1051</v>
      </c>
      <c r="M52" s="3" t="s">
        <v>984</v>
      </c>
      <c r="N52" s="24" t="s">
        <v>555</v>
      </c>
      <c r="O52" s="24" t="e">
        <f>VLOOKUP(C52,[3]MAESTRA!$E$5:$AO$395,36,0)</f>
        <v>#N/A</v>
      </c>
      <c r="P52" s="16" t="s">
        <v>43</v>
      </c>
      <c r="Q52" t="s">
        <v>1049</v>
      </c>
      <c r="R52" t="s">
        <v>1050</v>
      </c>
    </row>
    <row r="53" spans="3:18" x14ac:dyDescent="0.25">
      <c r="C53" s="24" t="s">
        <v>745</v>
      </c>
      <c r="D53" s="24" t="s">
        <v>746</v>
      </c>
      <c r="E53" s="24" t="s">
        <v>746</v>
      </c>
      <c r="F53" s="25">
        <v>9</v>
      </c>
      <c r="G53" s="24" t="s">
        <v>376</v>
      </c>
      <c r="H53" s="24" t="s">
        <v>46</v>
      </c>
      <c r="I53" s="24" t="s">
        <v>1031</v>
      </c>
      <c r="J53" s="24" t="s">
        <v>1048</v>
      </c>
      <c r="K53" s="24" t="s">
        <v>1074</v>
      </c>
      <c r="L53" s="24" t="s">
        <v>1062</v>
      </c>
      <c r="M53" s="3" t="s">
        <v>378</v>
      </c>
      <c r="N53" s="24" t="s">
        <v>745</v>
      </c>
      <c r="O53" s="24" t="e">
        <f>VLOOKUP(C53,[3]MAESTRA!$E$5:$AO$395,36,0)</f>
        <v>#N/A</v>
      </c>
      <c r="P53" s="16" t="s">
        <v>43</v>
      </c>
      <c r="Q53" t="s">
        <v>1051</v>
      </c>
      <c r="R53">
        <v>0</v>
      </c>
    </row>
    <row r="54" spans="3:18" x14ac:dyDescent="0.25">
      <c r="C54" s="24" t="s">
        <v>656</v>
      </c>
      <c r="D54" s="24" t="s">
        <v>657</v>
      </c>
      <c r="E54" s="24" t="s">
        <v>658</v>
      </c>
      <c r="F54" s="25">
        <v>5</v>
      </c>
      <c r="G54" s="24" t="s">
        <v>376</v>
      </c>
      <c r="H54" s="24" t="s">
        <v>46</v>
      </c>
      <c r="I54" s="24" t="s">
        <v>1046</v>
      </c>
      <c r="J54" s="24" t="s">
        <v>248</v>
      </c>
      <c r="K54" s="24" t="s">
        <v>1059</v>
      </c>
      <c r="L54" s="24" t="s">
        <v>1051</v>
      </c>
      <c r="M54" s="3" t="s">
        <v>984</v>
      </c>
      <c r="N54" s="24" t="s">
        <v>656</v>
      </c>
      <c r="O54" s="24" t="e">
        <f>VLOOKUP(C54,[3]MAESTRA!$E$5:$AO$395,36,0)</f>
        <v>#N/A</v>
      </c>
      <c r="P54" s="16" t="s">
        <v>43</v>
      </c>
      <c r="Q54" t="s">
        <v>1052</v>
      </c>
      <c r="R54">
        <v>0</v>
      </c>
    </row>
    <row r="55" spans="3:18" x14ac:dyDescent="0.25">
      <c r="C55" s="24" t="s">
        <v>523</v>
      </c>
      <c r="D55" s="24" t="s">
        <v>524</v>
      </c>
      <c r="E55" s="24" t="s">
        <v>524</v>
      </c>
      <c r="F55" s="25">
        <v>6</v>
      </c>
      <c r="G55" s="24" t="s">
        <v>376</v>
      </c>
      <c r="H55" s="24" t="s">
        <v>46</v>
      </c>
      <c r="I55" s="24" t="s">
        <v>1046</v>
      </c>
      <c r="J55" s="24" t="s">
        <v>100</v>
      </c>
      <c r="K55" s="24" t="s">
        <v>1060</v>
      </c>
      <c r="L55" s="24" t="s">
        <v>1051</v>
      </c>
      <c r="M55" s="24" t="s">
        <v>1035</v>
      </c>
      <c r="N55" s="24" t="s">
        <v>523</v>
      </c>
      <c r="O55" s="24" t="e">
        <f>VLOOKUP(C55,[3]MAESTRA!$E$5:$AO$395,36,0)</f>
        <v>#N/A</v>
      </c>
      <c r="P55" s="16" t="s">
        <v>43</v>
      </c>
      <c r="Q55"/>
      <c r="R55"/>
    </row>
    <row r="56" spans="3:18" x14ac:dyDescent="0.25">
      <c r="C56" s="24" t="s">
        <v>476</v>
      </c>
      <c r="D56" s="24" t="s">
        <v>477</v>
      </c>
      <c r="E56" s="24" t="s">
        <v>477</v>
      </c>
      <c r="F56" s="25">
        <v>5</v>
      </c>
      <c r="G56" s="24" t="s">
        <v>376</v>
      </c>
      <c r="H56" s="24" t="s">
        <v>46</v>
      </c>
      <c r="I56" s="24" t="s">
        <v>1046</v>
      </c>
      <c r="J56" s="24" t="s">
        <v>58</v>
      </c>
      <c r="K56" s="24" t="s">
        <v>1059</v>
      </c>
      <c r="L56" s="24" t="s">
        <v>1051</v>
      </c>
      <c r="M56" s="24" t="s">
        <v>1035</v>
      </c>
      <c r="N56" s="24" t="s">
        <v>476</v>
      </c>
      <c r="O56" s="24" t="e">
        <f>VLOOKUP(C56,[3]MAESTRA!$E$5:$AO$395,36,0)</f>
        <v>#N/A</v>
      </c>
      <c r="P56" s="16" t="s">
        <v>43</v>
      </c>
      <c r="Q56"/>
      <c r="R56"/>
    </row>
    <row r="57" spans="3:18" x14ac:dyDescent="0.25">
      <c r="C57" s="24" t="s">
        <v>659</v>
      </c>
      <c r="D57" s="24" t="s">
        <v>660</v>
      </c>
      <c r="E57" s="24" t="s">
        <v>661</v>
      </c>
      <c r="F57" s="25">
        <v>6</v>
      </c>
      <c r="G57" s="24" t="s">
        <v>376</v>
      </c>
      <c r="H57" s="24" t="s">
        <v>46</v>
      </c>
      <c r="I57" s="24" t="s">
        <v>1046</v>
      </c>
      <c r="J57" s="24" t="s">
        <v>248</v>
      </c>
      <c r="K57" s="24" t="s">
        <v>1059</v>
      </c>
      <c r="L57" s="24" t="s">
        <v>1051</v>
      </c>
      <c r="M57" s="3" t="s">
        <v>984</v>
      </c>
      <c r="N57" s="24" t="s">
        <v>659</v>
      </c>
      <c r="O57" s="24" t="e">
        <f>VLOOKUP(C57,[3]MAESTRA!$E$5:$AO$395,36,0)</f>
        <v>#N/A</v>
      </c>
      <c r="P57" s="16" t="s">
        <v>43</v>
      </c>
      <c r="Q57"/>
      <c r="R57"/>
    </row>
    <row r="58" spans="3:18" x14ac:dyDescent="0.25">
      <c r="C58" s="24" t="s">
        <v>644</v>
      </c>
      <c r="D58" s="24" t="s">
        <v>645</v>
      </c>
      <c r="E58" s="24" t="s">
        <v>645</v>
      </c>
      <c r="F58" s="25">
        <v>6</v>
      </c>
      <c r="G58" s="24" t="s">
        <v>376</v>
      </c>
      <c r="H58" s="24" t="s">
        <v>81</v>
      </c>
      <c r="I58" s="24" t="s">
        <v>1046</v>
      </c>
      <c r="J58" s="24" t="s">
        <v>50</v>
      </c>
      <c r="K58" s="24" t="s">
        <v>1059</v>
      </c>
      <c r="L58" s="24" t="s">
        <v>1051</v>
      </c>
      <c r="M58" s="3" t="s">
        <v>984</v>
      </c>
      <c r="N58" s="24" t="s">
        <v>644</v>
      </c>
      <c r="O58" s="24" t="e">
        <f>VLOOKUP(C58,[3]MAESTRA!$E$5:$AO$395,36,0)</f>
        <v>#N/A</v>
      </c>
      <c r="P58" s="16" t="s">
        <v>43</v>
      </c>
      <c r="Q58"/>
      <c r="R58"/>
    </row>
    <row r="59" spans="3:18" x14ac:dyDescent="0.25">
      <c r="C59" s="24" t="s">
        <v>398</v>
      </c>
      <c r="D59" s="24" t="s">
        <v>399</v>
      </c>
      <c r="E59" s="24" t="s">
        <v>399</v>
      </c>
      <c r="F59" s="25">
        <v>5</v>
      </c>
      <c r="G59" s="24" t="s">
        <v>376</v>
      </c>
      <c r="H59" s="24" t="s">
        <v>46</v>
      </c>
      <c r="I59" s="24" t="s">
        <v>1031</v>
      </c>
      <c r="J59" s="24" t="s">
        <v>63</v>
      </c>
      <c r="K59" s="24" t="s">
        <v>1060</v>
      </c>
      <c r="L59" s="24" t="s">
        <v>1051</v>
      </c>
      <c r="M59" s="3" t="s">
        <v>378</v>
      </c>
      <c r="N59" s="24" t="s">
        <v>398</v>
      </c>
      <c r="O59" s="24" t="e">
        <f>VLOOKUP(C59,[3]MAESTRA!$E$5:$AO$395,36,0)</f>
        <v>#N/A</v>
      </c>
      <c r="P59" s="16" t="s">
        <v>43</v>
      </c>
      <c r="Q59"/>
      <c r="R59"/>
    </row>
    <row r="60" spans="3:18" x14ac:dyDescent="0.25">
      <c r="C60" s="24" t="s">
        <v>634</v>
      </c>
      <c r="D60" s="24" t="s">
        <v>635</v>
      </c>
      <c r="E60" s="24" t="s">
        <v>635</v>
      </c>
      <c r="F60" s="25">
        <v>6</v>
      </c>
      <c r="G60" s="24" t="s">
        <v>376</v>
      </c>
      <c r="H60" s="24" t="s">
        <v>46</v>
      </c>
      <c r="I60" s="24" t="s">
        <v>1046</v>
      </c>
      <c r="J60" s="24" t="s">
        <v>50</v>
      </c>
      <c r="K60" s="24" t="s">
        <v>1064</v>
      </c>
      <c r="L60" s="24" t="s">
        <v>1051</v>
      </c>
      <c r="M60" s="3" t="s">
        <v>984</v>
      </c>
      <c r="N60" s="24" t="s">
        <v>634</v>
      </c>
      <c r="O60" s="24" t="e">
        <f>VLOOKUP(C60,[3]MAESTRA!$E$5:$AO$395,36,0)</f>
        <v>#N/A</v>
      </c>
      <c r="P60" s="16" t="s">
        <v>43</v>
      </c>
      <c r="Q60" s="21" t="s">
        <v>1040</v>
      </c>
      <c r="R60" s="16" t="s">
        <v>1042</v>
      </c>
    </row>
    <row r="61" spans="3:18" x14ac:dyDescent="0.25">
      <c r="C61" s="24" t="s">
        <v>558</v>
      </c>
      <c r="D61" s="24" t="s">
        <v>559</v>
      </c>
      <c r="E61" s="24" t="s">
        <v>560</v>
      </c>
      <c r="F61" s="25">
        <v>6</v>
      </c>
      <c r="G61" s="24" t="s">
        <v>376</v>
      </c>
      <c r="H61" s="24" t="s">
        <v>46</v>
      </c>
      <c r="I61" s="24" t="s">
        <v>1046</v>
      </c>
      <c r="J61" s="24" t="s">
        <v>331</v>
      </c>
      <c r="K61" s="24" t="s">
        <v>1060</v>
      </c>
      <c r="L61" s="24" t="s">
        <v>1051</v>
      </c>
      <c r="M61" s="3" t="s">
        <v>984</v>
      </c>
      <c r="N61" s="24" t="s">
        <v>558</v>
      </c>
      <c r="O61" s="24" t="e">
        <f>VLOOKUP(C61,[3]MAESTRA!$E$5:$AO$395,36,0)</f>
        <v>#N/A</v>
      </c>
      <c r="P61" s="16" t="s">
        <v>43</v>
      </c>
      <c r="Q61"/>
      <c r="R61"/>
    </row>
    <row r="62" spans="3:18" x14ac:dyDescent="0.25">
      <c r="C62" s="24" t="s">
        <v>561</v>
      </c>
      <c r="D62" s="24" t="s">
        <v>562</v>
      </c>
      <c r="E62" s="24" t="s">
        <v>563</v>
      </c>
      <c r="F62" s="25">
        <v>6</v>
      </c>
      <c r="G62" s="24" t="s">
        <v>376</v>
      </c>
      <c r="H62" s="24" t="s">
        <v>46</v>
      </c>
      <c r="I62" s="24" t="s">
        <v>1046</v>
      </c>
      <c r="J62" s="24" t="s">
        <v>331</v>
      </c>
      <c r="K62" s="24" t="s">
        <v>1060</v>
      </c>
      <c r="L62" s="24" t="s">
        <v>1051</v>
      </c>
      <c r="M62" s="3" t="s">
        <v>984</v>
      </c>
      <c r="N62" s="24" t="s">
        <v>561</v>
      </c>
      <c r="O62" s="24" t="e">
        <f>VLOOKUP(C62,[3]MAESTRA!$E$5:$AO$395,36,0)</f>
        <v>#N/A</v>
      </c>
      <c r="P62" s="16" t="s">
        <v>43</v>
      </c>
      <c r="Q62" t="s">
        <v>1049</v>
      </c>
      <c r="R62" t="s">
        <v>1050</v>
      </c>
    </row>
    <row r="63" spans="3:18" x14ac:dyDescent="0.25">
      <c r="C63" s="24" t="s">
        <v>478</v>
      </c>
      <c r="D63" s="24" t="s">
        <v>479</v>
      </c>
      <c r="E63" s="24" t="s">
        <v>479</v>
      </c>
      <c r="F63" s="25">
        <v>5</v>
      </c>
      <c r="G63" s="24" t="s">
        <v>376</v>
      </c>
      <c r="H63" s="24" t="s">
        <v>46</v>
      </c>
      <c r="I63" s="24" t="s">
        <v>1046</v>
      </c>
      <c r="J63" s="24" t="s">
        <v>58</v>
      </c>
      <c r="K63" s="24" t="s">
        <v>1059</v>
      </c>
      <c r="L63" s="24" t="s">
        <v>1051</v>
      </c>
      <c r="M63" s="24" t="s">
        <v>1035</v>
      </c>
      <c r="N63" s="24" t="s">
        <v>478</v>
      </c>
      <c r="O63" s="24" t="e">
        <f>VLOOKUP(C63,[3]MAESTRA!$E$5:$AO$395,36,0)</f>
        <v>#N/A</v>
      </c>
      <c r="P63" s="16" t="s">
        <v>43</v>
      </c>
      <c r="Q63" t="s">
        <v>1053</v>
      </c>
      <c r="R63">
        <v>0</v>
      </c>
    </row>
    <row r="64" spans="3:18" x14ac:dyDescent="0.25">
      <c r="C64" s="24" t="s">
        <v>852</v>
      </c>
      <c r="D64" s="24" t="s">
        <v>853</v>
      </c>
      <c r="E64" s="24" t="s">
        <v>853</v>
      </c>
      <c r="F64" s="25">
        <v>5</v>
      </c>
      <c r="G64" s="24" t="s">
        <v>376</v>
      </c>
      <c r="H64" s="24" t="s">
        <v>46</v>
      </c>
      <c r="I64" s="24" t="s">
        <v>1046</v>
      </c>
      <c r="J64" s="24" t="s">
        <v>132</v>
      </c>
      <c r="K64" s="24" t="s">
        <v>1060</v>
      </c>
      <c r="L64" s="24" t="s">
        <v>1051</v>
      </c>
      <c r="M64" s="24" t="s">
        <v>1035</v>
      </c>
      <c r="N64" s="24" t="s">
        <v>852</v>
      </c>
      <c r="O64" s="24" t="e">
        <f>VLOOKUP(C64,[3]MAESTRA!$E$5:$AO$395,36,0)</f>
        <v>#N/A</v>
      </c>
      <c r="P64" s="16" t="s">
        <v>43</v>
      </c>
      <c r="Q64" t="s">
        <v>1052</v>
      </c>
      <c r="R64">
        <v>0</v>
      </c>
    </row>
    <row r="65" spans="3:18" x14ac:dyDescent="0.25">
      <c r="C65" s="24" t="s">
        <v>426</v>
      </c>
      <c r="D65" s="24" t="s">
        <v>427</v>
      </c>
      <c r="E65" s="24" t="s">
        <v>428</v>
      </c>
      <c r="F65" s="25">
        <v>5</v>
      </c>
      <c r="G65" s="24" t="s">
        <v>376</v>
      </c>
      <c r="H65" s="24" t="s">
        <v>46</v>
      </c>
      <c r="I65" s="24" t="s">
        <v>1046</v>
      </c>
      <c r="J65" s="24" t="s">
        <v>94</v>
      </c>
      <c r="K65" s="24" t="s">
        <v>1065</v>
      </c>
      <c r="L65" s="24" t="s">
        <v>1051</v>
      </c>
      <c r="M65" s="24" t="s">
        <v>1035</v>
      </c>
      <c r="N65" s="24" t="s">
        <v>426</v>
      </c>
      <c r="O65" s="24" t="e">
        <f>VLOOKUP(C65,[3]MAESTRA!$E$5:$AO$395,36,0)</f>
        <v>#N/A</v>
      </c>
      <c r="P65" s="16" t="s">
        <v>43</v>
      </c>
      <c r="Q65"/>
      <c r="R65"/>
    </row>
    <row r="66" spans="3:18" x14ac:dyDescent="0.25">
      <c r="C66" s="24" t="s">
        <v>769</v>
      </c>
      <c r="D66" s="24" t="s">
        <v>771</v>
      </c>
      <c r="E66" s="24" t="s">
        <v>771</v>
      </c>
      <c r="F66" s="25">
        <v>6</v>
      </c>
      <c r="G66" s="24" t="s">
        <v>376</v>
      </c>
      <c r="H66" s="24" t="s">
        <v>46</v>
      </c>
      <c r="I66" s="24" t="s">
        <v>1031</v>
      </c>
      <c r="J66" s="24" t="s">
        <v>89</v>
      </c>
      <c r="K66" s="24" t="s">
        <v>1075</v>
      </c>
      <c r="L66" s="24" t="s">
        <v>1076</v>
      </c>
      <c r="M66" s="3" t="s">
        <v>378</v>
      </c>
      <c r="N66" s="24" t="s">
        <v>769</v>
      </c>
      <c r="O66" s="24" t="e">
        <f>VLOOKUP(C66,[3]MAESTRA!$E$5:$AO$395,36,0)</f>
        <v>#N/A</v>
      </c>
      <c r="P66" s="16" t="s">
        <v>440</v>
      </c>
      <c r="Q66"/>
      <c r="R66"/>
    </row>
    <row r="67" spans="3:18" x14ac:dyDescent="0.25">
      <c r="C67" s="24" t="s">
        <v>942</v>
      </c>
      <c r="D67" s="24" t="s">
        <v>944</v>
      </c>
      <c r="E67" s="24" t="s">
        <v>944</v>
      </c>
      <c r="F67" s="25">
        <v>6.9</v>
      </c>
      <c r="G67" s="24" t="s">
        <v>376</v>
      </c>
      <c r="H67" s="24" t="s">
        <v>46</v>
      </c>
      <c r="I67" s="24" t="s">
        <v>1046</v>
      </c>
      <c r="J67" s="24" t="s">
        <v>160</v>
      </c>
      <c r="K67" s="24" t="s">
        <v>1073</v>
      </c>
      <c r="L67" s="24" t="s">
        <v>1051</v>
      </c>
      <c r="M67" s="3" t="s">
        <v>984</v>
      </c>
      <c r="N67" s="24" t="s">
        <v>942</v>
      </c>
      <c r="O67" s="24" t="e">
        <f>VLOOKUP(C67,[3]MAESTRA!$E$5:$AO$395,36,0)</f>
        <v>#N/A</v>
      </c>
      <c r="P67" s="16" t="s">
        <v>43</v>
      </c>
      <c r="Q67"/>
      <c r="R67"/>
    </row>
    <row r="68" spans="3:18" x14ac:dyDescent="0.25">
      <c r="C68" s="24" t="s">
        <v>525</v>
      </c>
      <c r="D68" s="24" t="s">
        <v>526</v>
      </c>
      <c r="E68" s="24" t="s">
        <v>527</v>
      </c>
      <c r="F68" s="25">
        <v>5.9</v>
      </c>
      <c r="G68" s="24" t="s">
        <v>376</v>
      </c>
      <c r="H68" s="24" t="s">
        <v>46</v>
      </c>
      <c r="I68" s="24" t="s">
        <v>1046</v>
      </c>
      <c r="J68" s="24" t="s">
        <v>100</v>
      </c>
      <c r="K68" s="24" t="s">
        <v>1060</v>
      </c>
      <c r="L68" s="24" t="s">
        <v>1051</v>
      </c>
      <c r="M68" s="24" t="s">
        <v>1035</v>
      </c>
      <c r="N68" s="24" t="s">
        <v>525</v>
      </c>
      <c r="O68" s="24" t="e">
        <f>VLOOKUP(C68,[3]MAESTRA!$E$5:$AO$395,36,0)</f>
        <v>#N/A</v>
      </c>
      <c r="P68" s="16" t="s">
        <v>440</v>
      </c>
      <c r="Q68"/>
      <c r="R68"/>
    </row>
    <row r="69" spans="3:18" x14ac:dyDescent="0.25">
      <c r="C69" s="24" t="s">
        <v>48</v>
      </c>
      <c r="D69" s="24" t="s">
        <v>49</v>
      </c>
      <c r="E69" s="24" t="s">
        <v>49</v>
      </c>
      <c r="F69" s="25" t="s">
        <v>36</v>
      </c>
      <c r="G69" s="24" t="s">
        <v>37</v>
      </c>
      <c r="H69" s="24" t="s">
        <v>38</v>
      </c>
      <c r="I69" s="24" t="s">
        <v>1046</v>
      </c>
      <c r="J69" s="24" t="s">
        <v>50</v>
      </c>
      <c r="K69" s="24" t="s">
        <v>1059</v>
      </c>
      <c r="L69" s="24" t="s">
        <v>1051</v>
      </c>
      <c r="M69" s="3" t="s">
        <v>984</v>
      </c>
      <c r="N69" s="24" t="s">
        <v>48</v>
      </c>
      <c r="O69" s="24" t="e">
        <f>VLOOKUP(C69,[3]MAESTRA!$E$5:$AO$395,36,0)</f>
        <v>#N/A</v>
      </c>
      <c r="P69" s="16" t="s">
        <v>43</v>
      </c>
      <c r="Q69"/>
      <c r="R69"/>
    </row>
    <row r="70" spans="3:18" x14ac:dyDescent="0.25">
      <c r="C70" s="24" t="s">
        <v>52</v>
      </c>
      <c r="D70" s="24" t="s">
        <v>53</v>
      </c>
      <c r="E70" s="24" t="s">
        <v>53</v>
      </c>
      <c r="F70" s="25" t="s">
        <v>36</v>
      </c>
      <c r="G70" s="24" t="s">
        <v>37</v>
      </c>
      <c r="H70" s="24" t="s">
        <v>38</v>
      </c>
      <c r="I70" s="24" t="s">
        <v>1046</v>
      </c>
      <c r="J70" s="24">
        <v>0</v>
      </c>
      <c r="K70" s="24" t="s">
        <v>1061</v>
      </c>
      <c r="L70" s="24" t="s">
        <v>1062</v>
      </c>
      <c r="M70" s="24" t="s">
        <v>1053</v>
      </c>
      <c r="N70" s="24" t="s">
        <v>52</v>
      </c>
      <c r="O70" s="24" t="e">
        <f>VLOOKUP(C70,[3]MAESTRA!$E$5:$AO$395,36,0)</f>
        <v>#N/A</v>
      </c>
      <c r="P70" s="16" t="s">
        <v>43</v>
      </c>
      <c r="Q70"/>
      <c r="R70"/>
    </row>
    <row r="71" spans="3:18" x14ac:dyDescent="0.25">
      <c r="C71" s="24" t="s">
        <v>528</v>
      </c>
      <c r="D71" s="24" t="s">
        <v>530</v>
      </c>
      <c r="E71" s="24" t="s">
        <v>530</v>
      </c>
      <c r="F71" s="25">
        <v>5.9</v>
      </c>
      <c r="G71" s="24" t="s">
        <v>376</v>
      </c>
      <c r="H71" s="24" t="s">
        <v>46</v>
      </c>
      <c r="I71" s="24" t="s">
        <v>1046</v>
      </c>
      <c r="J71" s="24" t="s">
        <v>100</v>
      </c>
      <c r="K71" s="24" t="s">
        <v>1065</v>
      </c>
      <c r="L71" s="24" t="s">
        <v>1051</v>
      </c>
      <c r="M71" s="24" t="s">
        <v>1035</v>
      </c>
      <c r="N71" s="24" t="s">
        <v>528</v>
      </c>
      <c r="O71" s="24" t="e">
        <f>VLOOKUP(C71,[3]MAESTRA!$E$5:$AO$395,36,0)</f>
        <v>#N/A</v>
      </c>
      <c r="P71" s="16" t="s">
        <v>440</v>
      </c>
      <c r="Q71"/>
      <c r="R71"/>
    </row>
    <row r="72" spans="3:18" x14ac:dyDescent="0.25">
      <c r="C72" s="24" t="s">
        <v>854</v>
      </c>
      <c r="D72" s="24" t="s">
        <v>982</v>
      </c>
      <c r="E72" s="24" t="s">
        <v>990</v>
      </c>
      <c r="F72" s="25">
        <v>6.45</v>
      </c>
      <c r="G72" s="24" t="s">
        <v>376</v>
      </c>
      <c r="H72" s="24" t="s">
        <v>46</v>
      </c>
      <c r="I72" s="24" t="s">
        <v>1046</v>
      </c>
      <c r="J72" s="24" t="s">
        <v>132</v>
      </c>
      <c r="K72" s="24" t="s">
        <v>1077</v>
      </c>
      <c r="L72" s="24" t="s">
        <v>1051</v>
      </c>
      <c r="M72" s="24" t="s">
        <v>1035</v>
      </c>
      <c r="N72" s="24" t="s">
        <v>854</v>
      </c>
      <c r="O72" s="24" t="e">
        <f>VLOOKUP(C72,[3]MAESTRA!$E$5:$AO$395,36,0)</f>
        <v>#N/A</v>
      </c>
      <c r="P72" s="16" t="s">
        <v>440</v>
      </c>
      <c r="Q72"/>
      <c r="R72"/>
    </row>
    <row r="73" spans="3:18" x14ac:dyDescent="0.25">
      <c r="C73" s="24" t="s">
        <v>531</v>
      </c>
      <c r="D73" s="24" t="s">
        <v>533</v>
      </c>
      <c r="E73" s="24" t="s">
        <v>991</v>
      </c>
      <c r="F73" s="25">
        <v>5.45</v>
      </c>
      <c r="G73" s="24" t="s">
        <v>376</v>
      </c>
      <c r="H73" s="24" t="s">
        <v>46</v>
      </c>
      <c r="I73" s="24" t="s">
        <v>1046</v>
      </c>
      <c r="J73" s="24" t="s">
        <v>100</v>
      </c>
      <c r="K73" s="24" t="s">
        <v>1060</v>
      </c>
      <c r="L73" s="24" t="s">
        <v>1051</v>
      </c>
      <c r="M73" s="24" t="s">
        <v>1035</v>
      </c>
      <c r="N73" s="24" t="s">
        <v>531</v>
      </c>
      <c r="O73" s="24" t="e">
        <f>VLOOKUP(C73,[3]MAESTRA!$E$5:$AO$395,36,0)</f>
        <v>#N/A</v>
      </c>
      <c r="P73" s="16" t="s">
        <v>440</v>
      </c>
      <c r="Q73"/>
      <c r="R73"/>
    </row>
    <row r="74" spans="3:18" x14ac:dyDescent="0.25">
      <c r="C74" s="24" t="s">
        <v>945</v>
      </c>
      <c r="D74" s="24" t="s">
        <v>946</v>
      </c>
      <c r="E74" s="24" t="s">
        <v>947</v>
      </c>
      <c r="F74" s="25">
        <v>5.9</v>
      </c>
      <c r="G74" s="24" t="s">
        <v>376</v>
      </c>
      <c r="H74" s="24" t="s">
        <v>46</v>
      </c>
      <c r="I74" s="24" t="s">
        <v>1046</v>
      </c>
      <c r="J74" s="24" t="s">
        <v>160</v>
      </c>
      <c r="K74" s="24" t="s">
        <v>1073</v>
      </c>
      <c r="L74" s="24" t="s">
        <v>1051</v>
      </c>
      <c r="M74" s="3" t="s">
        <v>984</v>
      </c>
      <c r="N74" s="24" t="s">
        <v>945</v>
      </c>
      <c r="O74" s="24" t="e">
        <f>VLOOKUP(C74,[3]MAESTRA!$E$5:$AO$395,36,0)</f>
        <v>#N/A</v>
      </c>
      <c r="P74" s="16" t="s">
        <v>440</v>
      </c>
      <c r="Q74"/>
      <c r="R74"/>
    </row>
    <row r="75" spans="3:18" x14ac:dyDescent="0.25">
      <c r="C75" s="24" t="s">
        <v>773</v>
      </c>
      <c r="D75" s="24" t="s">
        <v>775</v>
      </c>
      <c r="E75" s="24" t="s">
        <v>775</v>
      </c>
      <c r="F75" s="25">
        <v>6.45</v>
      </c>
      <c r="G75" s="24" t="s">
        <v>376</v>
      </c>
      <c r="H75" s="24" t="s">
        <v>46</v>
      </c>
      <c r="I75" s="24" t="s">
        <v>1031</v>
      </c>
      <c r="J75" s="24" t="s">
        <v>89</v>
      </c>
      <c r="K75" s="24" t="s">
        <v>1078</v>
      </c>
      <c r="L75" s="24" t="s">
        <v>1076</v>
      </c>
      <c r="M75" s="3" t="s">
        <v>378</v>
      </c>
      <c r="N75" s="24" t="s">
        <v>773</v>
      </c>
      <c r="O75" s="24" t="e">
        <f>VLOOKUP(C75,[3]MAESTRA!$E$5:$AO$395,36,0)</f>
        <v>#N/A</v>
      </c>
      <c r="P75" s="16" t="s">
        <v>440</v>
      </c>
      <c r="Q75"/>
      <c r="R75"/>
    </row>
    <row r="76" spans="3:18" x14ac:dyDescent="0.25">
      <c r="C76" s="24" t="s">
        <v>662</v>
      </c>
      <c r="D76" s="24" t="s">
        <v>664</v>
      </c>
      <c r="E76" s="24" t="s">
        <v>992</v>
      </c>
      <c r="F76" s="25">
        <v>5.9</v>
      </c>
      <c r="G76" s="24" t="s">
        <v>376</v>
      </c>
      <c r="H76" s="24" t="s">
        <v>46</v>
      </c>
      <c r="I76" s="24" t="s">
        <v>1046</v>
      </c>
      <c r="J76" s="24" t="s">
        <v>248</v>
      </c>
      <c r="K76" s="24" t="s">
        <v>1059</v>
      </c>
      <c r="L76" s="24" t="s">
        <v>1051</v>
      </c>
      <c r="M76" s="3" t="s">
        <v>984</v>
      </c>
      <c r="N76" s="24" t="s">
        <v>662</v>
      </c>
      <c r="O76" s="24" t="e">
        <f>VLOOKUP(C76,[3]MAESTRA!$E$5:$AO$395,36,0)</f>
        <v>#N/A</v>
      </c>
      <c r="P76" s="16" t="s">
        <v>43</v>
      </c>
      <c r="Q76"/>
      <c r="R76"/>
    </row>
    <row r="77" spans="3:18" x14ac:dyDescent="0.25">
      <c r="C77" s="24" t="s">
        <v>56</v>
      </c>
      <c r="D77" s="24" t="s">
        <v>57</v>
      </c>
      <c r="E77" s="24" t="s">
        <v>57</v>
      </c>
      <c r="F77" s="25" t="s">
        <v>36</v>
      </c>
      <c r="G77" s="24" t="s">
        <v>37</v>
      </c>
      <c r="H77" s="24" t="s">
        <v>38</v>
      </c>
      <c r="I77" s="24" t="s">
        <v>1046</v>
      </c>
      <c r="J77" s="24" t="s">
        <v>58</v>
      </c>
      <c r="K77" s="24" t="s">
        <v>1064</v>
      </c>
      <c r="L77" s="24" t="s">
        <v>1051</v>
      </c>
      <c r="M77" s="24" t="s">
        <v>1035</v>
      </c>
      <c r="N77" s="24" t="s">
        <v>56</v>
      </c>
      <c r="O77" s="24" t="e">
        <f>VLOOKUP(C77,[3]MAESTRA!$E$5:$AO$395,36,0)</f>
        <v>#N/A</v>
      </c>
      <c r="P77" s="16" t="s">
        <v>43</v>
      </c>
      <c r="Q77"/>
      <c r="R77"/>
    </row>
    <row r="78" spans="3:18" x14ac:dyDescent="0.25">
      <c r="C78" s="24" t="s">
        <v>534</v>
      </c>
      <c r="D78" s="24" t="s">
        <v>535</v>
      </c>
      <c r="E78" s="24" t="s">
        <v>536</v>
      </c>
      <c r="F78" s="25">
        <v>5.45</v>
      </c>
      <c r="G78" s="24" t="s">
        <v>376</v>
      </c>
      <c r="H78" s="24" t="s">
        <v>46</v>
      </c>
      <c r="I78" s="24" t="s">
        <v>1046</v>
      </c>
      <c r="J78" s="24" t="s">
        <v>100</v>
      </c>
      <c r="K78" s="24" t="s">
        <v>1060</v>
      </c>
      <c r="L78" s="24" t="s">
        <v>1051</v>
      </c>
      <c r="M78" s="24" t="s">
        <v>1035</v>
      </c>
      <c r="N78" s="24" t="s">
        <v>534</v>
      </c>
      <c r="O78" s="24" t="e">
        <f>VLOOKUP(C78,[3]MAESTRA!$E$5:$AO$395,36,0)</f>
        <v>#N/A</v>
      </c>
      <c r="P78" s="16" t="s">
        <v>43</v>
      </c>
      <c r="Q78"/>
      <c r="R78"/>
    </row>
    <row r="79" spans="3:18" x14ac:dyDescent="0.25">
      <c r="C79" s="24" t="s">
        <v>636</v>
      </c>
      <c r="D79" s="24" t="s">
        <v>637</v>
      </c>
      <c r="E79" s="24" t="s">
        <v>638</v>
      </c>
      <c r="F79" s="25">
        <v>5.45</v>
      </c>
      <c r="G79" s="24" t="s">
        <v>376</v>
      </c>
      <c r="H79" s="24" t="s">
        <v>46</v>
      </c>
      <c r="I79" s="24" t="s">
        <v>1046</v>
      </c>
      <c r="J79" s="24" t="s">
        <v>50</v>
      </c>
      <c r="K79" s="24" t="s">
        <v>1067</v>
      </c>
      <c r="L79" s="24" t="s">
        <v>1051</v>
      </c>
      <c r="M79" s="3" t="s">
        <v>984</v>
      </c>
      <c r="N79" s="24" t="s">
        <v>636</v>
      </c>
      <c r="O79" s="24" t="e">
        <f>VLOOKUP(C79,[3]MAESTRA!$E$5:$AO$395,36,0)</f>
        <v>#N/A</v>
      </c>
      <c r="P79" s="16" t="s">
        <v>43</v>
      </c>
      <c r="Q79"/>
      <c r="R79"/>
    </row>
    <row r="80" spans="3:18" x14ac:dyDescent="0.25">
      <c r="C80" s="24" t="s">
        <v>857</v>
      </c>
      <c r="D80" s="24" t="s">
        <v>859</v>
      </c>
      <c r="E80" s="24" t="s">
        <v>993</v>
      </c>
      <c r="F80" s="25">
        <v>5.9</v>
      </c>
      <c r="G80" s="24" t="s">
        <v>376</v>
      </c>
      <c r="H80" s="24" t="s">
        <v>46</v>
      </c>
      <c r="I80" s="24" t="s">
        <v>1046</v>
      </c>
      <c r="J80" s="24" t="s">
        <v>132</v>
      </c>
      <c r="K80" s="24" t="s">
        <v>1060</v>
      </c>
      <c r="L80" s="24" t="s">
        <v>1051</v>
      </c>
      <c r="M80" s="24" t="s">
        <v>1035</v>
      </c>
      <c r="N80" s="24" t="s">
        <v>857</v>
      </c>
      <c r="O80" s="24" t="e">
        <f>VLOOKUP(C80,[3]MAESTRA!$E$5:$AO$395,36,0)</f>
        <v>#N/A</v>
      </c>
      <c r="P80" s="16" t="s">
        <v>43</v>
      </c>
      <c r="Q80"/>
      <c r="R80"/>
    </row>
    <row r="81" spans="3:18" x14ac:dyDescent="0.25">
      <c r="C81" s="24" t="s">
        <v>747</v>
      </c>
      <c r="D81" s="24" t="s">
        <v>994</v>
      </c>
      <c r="E81" s="24" t="s">
        <v>749</v>
      </c>
      <c r="F81" s="25">
        <v>6.9</v>
      </c>
      <c r="G81" s="24" t="s">
        <v>376</v>
      </c>
      <c r="H81" s="24" t="s">
        <v>46</v>
      </c>
      <c r="I81" s="24" t="s">
        <v>1031</v>
      </c>
      <c r="J81" s="24" t="s">
        <v>1048</v>
      </c>
      <c r="K81" s="24" t="s">
        <v>1061</v>
      </c>
      <c r="L81" s="24" t="s">
        <v>1062</v>
      </c>
      <c r="M81" s="3" t="s">
        <v>378</v>
      </c>
      <c r="N81" s="24" t="s">
        <v>747</v>
      </c>
      <c r="O81" s="24" t="e">
        <f>VLOOKUP(C81,[3]MAESTRA!$E$5:$AO$395,36,0)</f>
        <v>#N/A</v>
      </c>
      <c r="P81" s="16" t="s">
        <v>43</v>
      </c>
      <c r="Q81"/>
      <c r="R81"/>
    </row>
    <row r="82" spans="3:18" x14ac:dyDescent="0.25">
      <c r="C82" s="24" t="s">
        <v>564</v>
      </c>
      <c r="D82" s="24" t="s">
        <v>565</v>
      </c>
      <c r="E82" s="24" t="s">
        <v>566</v>
      </c>
      <c r="F82" s="25">
        <v>5.9</v>
      </c>
      <c r="G82" s="24" t="s">
        <v>376</v>
      </c>
      <c r="H82" s="24" t="s">
        <v>46</v>
      </c>
      <c r="I82" s="24" t="s">
        <v>1046</v>
      </c>
      <c r="J82" s="24" t="s">
        <v>331</v>
      </c>
      <c r="K82" s="24" t="s">
        <v>1060</v>
      </c>
      <c r="L82" s="24" t="s">
        <v>1051</v>
      </c>
      <c r="M82" s="3" t="s">
        <v>984</v>
      </c>
      <c r="N82" s="24" t="s">
        <v>564</v>
      </c>
      <c r="O82" s="24" t="e">
        <f>VLOOKUP(C82,[3]MAESTRA!$E$5:$AO$395,36,0)</f>
        <v>#N/A</v>
      </c>
      <c r="P82" s="16" t="s">
        <v>440</v>
      </c>
      <c r="Q82"/>
      <c r="R82"/>
    </row>
    <row r="83" spans="3:18" x14ac:dyDescent="0.25">
      <c r="C83" s="24" t="s">
        <v>709</v>
      </c>
      <c r="D83" s="24" t="s">
        <v>710</v>
      </c>
      <c r="E83" s="24" t="s">
        <v>711</v>
      </c>
      <c r="F83" s="25">
        <v>8</v>
      </c>
      <c r="G83" s="24" t="s">
        <v>376</v>
      </c>
      <c r="H83" s="24" t="s">
        <v>46</v>
      </c>
      <c r="I83" s="24" t="s">
        <v>1031</v>
      </c>
      <c r="J83" s="24" t="s">
        <v>84</v>
      </c>
      <c r="K83" s="24" t="s">
        <v>1079</v>
      </c>
      <c r="L83" s="24" t="s">
        <v>1062</v>
      </c>
      <c r="M83" s="3" t="s">
        <v>378</v>
      </c>
      <c r="N83" s="24" t="s">
        <v>709</v>
      </c>
      <c r="O83" s="24" t="e">
        <f>VLOOKUP(C83,[3]MAESTRA!$E$5:$AO$395,36,0)</f>
        <v>#N/A</v>
      </c>
      <c r="P83" s="16" t="s">
        <v>440</v>
      </c>
      <c r="Q83"/>
      <c r="R83"/>
    </row>
    <row r="84" spans="3:18" x14ac:dyDescent="0.25">
      <c r="C84" s="24" t="s">
        <v>60</v>
      </c>
      <c r="D84" s="24" t="s">
        <v>61</v>
      </c>
      <c r="E84" s="24" t="s">
        <v>62</v>
      </c>
      <c r="F84" s="25" t="s">
        <v>36</v>
      </c>
      <c r="G84" s="24" t="s">
        <v>37</v>
      </c>
      <c r="H84" s="24" t="s">
        <v>38</v>
      </c>
      <c r="I84" s="24" t="s">
        <v>1046</v>
      </c>
      <c r="J84" s="24" t="s">
        <v>63</v>
      </c>
      <c r="K84" s="24" t="s">
        <v>1065</v>
      </c>
      <c r="L84" s="24" t="s">
        <v>1051</v>
      </c>
      <c r="M84" s="3" t="s">
        <v>378</v>
      </c>
      <c r="N84" s="24" t="s">
        <v>60</v>
      </c>
      <c r="O84" s="24" t="e">
        <f>VLOOKUP(C84,[3]MAESTRA!$E$5:$AO$395,36,0)</f>
        <v>#N/A</v>
      </c>
      <c r="P84" s="16" t="s">
        <v>43</v>
      </c>
      <c r="Q84"/>
      <c r="R84"/>
    </row>
    <row r="85" spans="3:18" x14ac:dyDescent="0.25">
      <c r="C85" s="24" t="s">
        <v>861</v>
      </c>
      <c r="D85" s="24" t="s">
        <v>983</v>
      </c>
      <c r="E85" s="24" t="s">
        <v>995</v>
      </c>
      <c r="F85" s="25">
        <v>8.9</v>
      </c>
      <c r="G85" s="24" t="s">
        <v>376</v>
      </c>
      <c r="H85" s="24" t="s">
        <v>46</v>
      </c>
      <c r="I85" s="24" t="s">
        <v>1046</v>
      </c>
      <c r="J85" s="24" t="s">
        <v>132</v>
      </c>
      <c r="K85" s="24" t="s">
        <v>1077</v>
      </c>
      <c r="L85" s="24" t="s">
        <v>1051</v>
      </c>
      <c r="M85" s="24" t="s">
        <v>1035</v>
      </c>
      <c r="N85" s="24" t="s">
        <v>861</v>
      </c>
      <c r="O85" s="24" t="e">
        <f>VLOOKUP(C85,[3]MAESTRA!$E$5:$AO$395,36,0)</f>
        <v>#N/A</v>
      </c>
      <c r="P85" s="16" t="s">
        <v>440</v>
      </c>
      <c r="Q85"/>
      <c r="R85"/>
    </row>
    <row r="86" spans="3:18" x14ac:dyDescent="0.25">
      <c r="C86" s="24" t="s">
        <v>616</v>
      </c>
      <c r="D86" s="24" t="s">
        <v>617</v>
      </c>
      <c r="E86" s="24" t="s">
        <v>617</v>
      </c>
      <c r="F86" s="25">
        <v>5.45</v>
      </c>
      <c r="G86" s="24" t="s">
        <v>376</v>
      </c>
      <c r="H86" s="24" t="s">
        <v>46</v>
      </c>
      <c r="I86" s="24" t="s">
        <v>1046</v>
      </c>
      <c r="J86" s="24" t="s">
        <v>50</v>
      </c>
      <c r="K86" s="24" t="s">
        <v>1060</v>
      </c>
      <c r="L86" s="24" t="s">
        <v>1051</v>
      </c>
      <c r="M86" s="3" t="s">
        <v>984</v>
      </c>
      <c r="N86" s="24" t="s">
        <v>616</v>
      </c>
      <c r="O86" s="24" t="e">
        <f>VLOOKUP(C86,[3]MAESTRA!$E$5:$AO$395,36,0)</f>
        <v>#N/A</v>
      </c>
      <c r="P86" s="16" t="s">
        <v>440</v>
      </c>
      <c r="Q86"/>
      <c r="R86"/>
    </row>
    <row r="87" spans="3:18" x14ac:dyDescent="0.25">
      <c r="C87" s="24" t="s">
        <v>891</v>
      </c>
      <c r="D87" s="24" t="s">
        <v>892</v>
      </c>
      <c r="E87" s="24" t="s">
        <v>893</v>
      </c>
      <c r="F87" s="25">
        <v>5</v>
      </c>
      <c r="G87" s="24" t="s">
        <v>376</v>
      </c>
      <c r="H87" s="24" t="s">
        <v>46</v>
      </c>
      <c r="I87" s="24" t="s">
        <v>1046</v>
      </c>
      <c r="J87" s="24" t="s">
        <v>73</v>
      </c>
      <c r="K87" s="24" t="s">
        <v>1072</v>
      </c>
      <c r="L87" s="24" t="s">
        <v>1051</v>
      </c>
      <c r="M87" s="3" t="s">
        <v>378</v>
      </c>
      <c r="N87" s="24" t="s">
        <v>891</v>
      </c>
      <c r="O87" s="24" t="e">
        <f>VLOOKUP(C87,[3]MAESTRA!$E$5:$AO$395,36,0)</f>
        <v>#N/A</v>
      </c>
      <c r="P87" s="16" t="s">
        <v>43</v>
      </c>
      <c r="Q87"/>
      <c r="R87"/>
    </row>
    <row r="88" spans="3:18" x14ac:dyDescent="0.25">
      <c r="C88" s="24" t="s">
        <v>65</v>
      </c>
      <c r="D88" s="24" t="s">
        <v>66</v>
      </c>
      <c r="E88" s="24" t="s">
        <v>66</v>
      </c>
      <c r="F88" s="25" t="s">
        <v>36</v>
      </c>
      <c r="G88" s="24" t="s">
        <v>37</v>
      </c>
      <c r="H88" s="24" t="s">
        <v>38</v>
      </c>
      <c r="I88" s="24" t="s">
        <v>1046</v>
      </c>
      <c r="J88" s="24"/>
      <c r="K88" s="24" t="s">
        <v>1064</v>
      </c>
      <c r="L88" s="24" t="s">
        <v>1051</v>
      </c>
      <c r="M88" s="24" t="s">
        <v>1035</v>
      </c>
      <c r="N88" s="24" t="s">
        <v>65</v>
      </c>
      <c r="O88" s="24" t="e">
        <f>VLOOKUP(C88,[3]MAESTRA!$E$5:$AO$395,36,0)</f>
        <v>#N/A</v>
      </c>
      <c r="P88" s="16" t="s">
        <v>43</v>
      </c>
      <c r="Q88"/>
      <c r="R88"/>
    </row>
    <row r="89" spans="3:18" x14ac:dyDescent="0.25">
      <c r="C89" s="24" t="s">
        <v>777</v>
      </c>
      <c r="D89" s="24" t="s">
        <v>779</v>
      </c>
      <c r="E89" s="24" t="s">
        <v>779</v>
      </c>
      <c r="F89" s="25">
        <v>6.45</v>
      </c>
      <c r="G89" s="24" t="s">
        <v>376</v>
      </c>
      <c r="H89" s="24" t="s">
        <v>46</v>
      </c>
      <c r="I89" s="24" t="s">
        <v>1031</v>
      </c>
      <c r="J89" s="24" t="s">
        <v>89</v>
      </c>
      <c r="K89" s="24" t="s">
        <v>1080</v>
      </c>
      <c r="L89" s="24" t="s">
        <v>1076</v>
      </c>
      <c r="M89" s="3" t="s">
        <v>378</v>
      </c>
      <c r="N89" s="24" t="s">
        <v>777</v>
      </c>
      <c r="O89" s="24" t="e">
        <f>VLOOKUP(C89,[3]MAESTRA!$E$5:$AO$395,36,0)</f>
        <v>#N/A</v>
      </c>
      <c r="P89" s="16" t="s">
        <v>440</v>
      </c>
      <c r="Q89"/>
      <c r="R89"/>
    </row>
    <row r="90" spans="3:18" x14ac:dyDescent="0.25">
      <c r="C90" s="24" t="s">
        <v>480</v>
      </c>
      <c r="D90" s="24" t="s">
        <v>481</v>
      </c>
      <c r="E90" s="24" t="s">
        <v>482</v>
      </c>
      <c r="F90" s="25">
        <v>5.56</v>
      </c>
      <c r="G90" s="24" t="s">
        <v>376</v>
      </c>
      <c r="H90" s="24" t="s">
        <v>46</v>
      </c>
      <c r="I90" s="24" t="s">
        <v>1046</v>
      </c>
      <c r="J90" s="24" t="s">
        <v>58</v>
      </c>
      <c r="K90" s="24" t="s">
        <v>1059</v>
      </c>
      <c r="L90" s="24" t="s">
        <v>1051</v>
      </c>
      <c r="M90" s="24" t="s">
        <v>1035</v>
      </c>
      <c r="N90" s="24" t="s">
        <v>480</v>
      </c>
      <c r="O90" s="24" t="e">
        <f>VLOOKUP(C90,[3]MAESTRA!$E$5:$AO$395,36,0)</f>
        <v>#N/A</v>
      </c>
      <c r="P90" s="16" t="s">
        <v>43</v>
      </c>
      <c r="Q90"/>
      <c r="R90"/>
    </row>
    <row r="91" spans="3:18" x14ac:dyDescent="0.25">
      <c r="C91" s="24" t="s">
        <v>807</v>
      </c>
      <c r="D91" s="24" t="s">
        <v>808</v>
      </c>
      <c r="E91" s="24" t="s">
        <v>809</v>
      </c>
      <c r="F91" s="25">
        <v>5.68</v>
      </c>
      <c r="G91" s="24" t="s">
        <v>376</v>
      </c>
      <c r="H91" s="24" t="s">
        <v>46</v>
      </c>
      <c r="I91" s="24" t="s">
        <v>1046</v>
      </c>
      <c r="J91" s="24" t="s">
        <v>146</v>
      </c>
      <c r="K91" s="24" t="s">
        <v>1064</v>
      </c>
      <c r="L91" s="24" t="s">
        <v>1051</v>
      </c>
      <c r="M91" s="24" t="s">
        <v>1035</v>
      </c>
      <c r="N91" s="24" t="s">
        <v>807</v>
      </c>
      <c r="O91" s="24" t="e">
        <f>VLOOKUP(C91,[3]MAESTRA!$E$5:$AO$395,36,0)</f>
        <v>#N/A</v>
      </c>
      <c r="P91" s="16" t="s">
        <v>440</v>
      </c>
      <c r="Q91"/>
      <c r="R91"/>
    </row>
    <row r="92" spans="3:18" x14ac:dyDescent="0.25">
      <c r="C92" s="24" t="s">
        <v>400</v>
      </c>
      <c r="D92" s="24" t="s">
        <v>401</v>
      </c>
      <c r="E92" s="24" t="s">
        <v>401</v>
      </c>
      <c r="F92" s="25">
        <v>5.45</v>
      </c>
      <c r="G92" s="24" t="s">
        <v>376</v>
      </c>
      <c r="H92" s="24" t="s">
        <v>46</v>
      </c>
      <c r="I92" s="24" t="s">
        <v>1031</v>
      </c>
      <c r="J92" s="24" t="s">
        <v>63</v>
      </c>
      <c r="K92" s="24" t="s">
        <v>1060</v>
      </c>
      <c r="L92" s="24" t="s">
        <v>1051</v>
      </c>
      <c r="M92" s="3" t="s">
        <v>378</v>
      </c>
      <c r="N92" s="24" t="s">
        <v>400</v>
      </c>
      <c r="O92" s="24" t="e">
        <f>VLOOKUP(C92,[3]MAESTRA!$E$5:$AO$395,36,0)</f>
        <v>#N/A</v>
      </c>
      <c r="P92" s="16" t="s">
        <v>43</v>
      </c>
      <c r="Q92"/>
      <c r="R92"/>
    </row>
    <row r="93" spans="3:18" x14ac:dyDescent="0.25">
      <c r="C93" s="24" t="s">
        <v>402</v>
      </c>
      <c r="D93" s="24" t="s">
        <v>403</v>
      </c>
      <c r="E93" s="24" t="s">
        <v>403</v>
      </c>
      <c r="F93" s="25">
        <v>5.45</v>
      </c>
      <c r="G93" s="24" t="s">
        <v>376</v>
      </c>
      <c r="H93" s="24" t="s">
        <v>46</v>
      </c>
      <c r="I93" s="24" t="s">
        <v>1031</v>
      </c>
      <c r="J93" s="24" t="s">
        <v>63</v>
      </c>
      <c r="K93" s="24" t="s">
        <v>1060</v>
      </c>
      <c r="L93" s="24" t="s">
        <v>1051</v>
      </c>
      <c r="M93" s="3" t="s">
        <v>378</v>
      </c>
      <c r="N93" s="24" t="s">
        <v>402</v>
      </c>
      <c r="O93" s="24" t="e">
        <f>VLOOKUP(C93,[3]MAESTRA!$E$5:$AO$395,36,0)</f>
        <v>#N/A</v>
      </c>
      <c r="P93" s="16" t="s">
        <v>43</v>
      </c>
      <c r="Q93"/>
      <c r="R93"/>
    </row>
    <row r="94" spans="3:18" x14ac:dyDescent="0.25">
      <c r="C94" s="24" t="s">
        <v>665</v>
      </c>
      <c r="D94" s="24" t="s">
        <v>666</v>
      </c>
      <c r="E94" s="24" t="s">
        <v>666</v>
      </c>
      <c r="F94" s="25">
        <v>5</v>
      </c>
      <c r="G94" s="24" t="s">
        <v>376</v>
      </c>
      <c r="H94" s="24" t="s">
        <v>46</v>
      </c>
      <c r="I94" s="24" t="s">
        <v>1046</v>
      </c>
      <c r="J94" s="24" t="s">
        <v>248</v>
      </c>
      <c r="K94" s="24" t="s">
        <v>1059</v>
      </c>
      <c r="L94" s="24" t="s">
        <v>1051</v>
      </c>
      <c r="M94" s="3" t="s">
        <v>984</v>
      </c>
      <c r="N94" s="24" t="s">
        <v>665</v>
      </c>
      <c r="O94" s="24" t="e">
        <f>VLOOKUP(C94,[3]MAESTRA!$E$5:$AO$395,36,0)</f>
        <v>#N/A</v>
      </c>
      <c r="P94" s="16" t="s">
        <v>43</v>
      </c>
      <c r="Q94"/>
      <c r="R94"/>
    </row>
    <row r="95" spans="3:18" x14ac:dyDescent="0.25">
      <c r="C95" s="24" t="s">
        <v>404</v>
      </c>
      <c r="D95" s="24" t="s">
        <v>405</v>
      </c>
      <c r="E95" s="24" t="s">
        <v>405</v>
      </c>
      <c r="F95" s="25">
        <v>5</v>
      </c>
      <c r="G95" s="24" t="s">
        <v>376</v>
      </c>
      <c r="H95" s="24" t="s">
        <v>46</v>
      </c>
      <c r="I95" s="24" t="s">
        <v>1031</v>
      </c>
      <c r="J95" s="24" t="s">
        <v>63</v>
      </c>
      <c r="K95" s="24" t="s">
        <v>1060</v>
      </c>
      <c r="L95" s="24" t="s">
        <v>1051</v>
      </c>
      <c r="M95" s="3" t="s">
        <v>378</v>
      </c>
      <c r="N95" s="24" t="s">
        <v>404</v>
      </c>
      <c r="O95" s="24" t="e">
        <f>VLOOKUP(C95,[3]MAESTRA!$E$5:$AO$395,36,0)</f>
        <v>#N/A</v>
      </c>
      <c r="P95" s="16" t="s">
        <v>43</v>
      </c>
      <c r="Q95"/>
      <c r="R95"/>
    </row>
    <row r="96" spans="3:18" x14ac:dyDescent="0.25">
      <c r="C96" s="24" t="s">
        <v>948</v>
      </c>
      <c r="D96" s="24" t="s">
        <v>949</v>
      </c>
      <c r="E96" s="24" t="s">
        <v>949</v>
      </c>
      <c r="F96" s="25">
        <v>5.45</v>
      </c>
      <c r="G96" s="24" t="s">
        <v>376</v>
      </c>
      <c r="H96" s="24" t="s">
        <v>46</v>
      </c>
      <c r="I96" s="24" t="s">
        <v>1046</v>
      </c>
      <c r="J96" s="24" t="s">
        <v>160</v>
      </c>
      <c r="K96" s="24" t="s">
        <v>1058</v>
      </c>
      <c r="L96" s="24" t="s">
        <v>1051</v>
      </c>
      <c r="M96" s="3" t="s">
        <v>984</v>
      </c>
      <c r="N96" s="24" t="s">
        <v>948</v>
      </c>
      <c r="O96" s="24" t="e">
        <f>VLOOKUP(C96,[3]MAESTRA!$E$5:$AO$395,36,0)</f>
        <v>#N/A</v>
      </c>
      <c r="P96" s="16" t="s">
        <v>43</v>
      </c>
      <c r="Q96"/>
      <c r="R96"/>
    </row>
    <row r="97" spans="3:18" x14ac:dyDescent="0.25">
      <c r="C97" s="24" t="s">
        <v>667</v>
      </c>
      <c r="D97" s="24" t="s">
        <v>668</v>
      </c>
      <c r="E97" s="24" t="s">
        <v>668</v>
      </c>
      <c r="F97" s="25">
        <v>6</v>
      </c>
      <c r="G97" s="24" t="s">
        <v>376</v>
      </c>
      <c r="H97" s="24" t="s">
        <v>46</v>
      </c>
      <c r="I97" s="24" t="s">
        <v>1046</v>
      </c>
      <c r="J97" s="24" t="s">
        <v>248</v>
      </c>
      <c r="K97" s="24" t="s">
        <v>1059</v>
      </c>
      <c r="L97" s="24" t="s">
        <v>1051</v>
      </c>
      <c r="M97" s="3" t="s">
        <v>984</v>
      </c>
      <c r="N97" s="24" t="s">
        <v>667</v>
      </c>
      <c r="O97" s="24" t="e">
        <f>VLOOKUP(C97,[3]MAESTRA!$E$5:$AO$395,36,0)</f>
        <v>#N/A</v>
      </c>
      <c r="P97" s="16" t="s">
        <v>43</v>
      </c>
      <c r="Q97"/>
      <c r="R97"/>
    </row>
    <row r="98" spans="3:18" x14ac:dyDescent="0.25">
      <c r="C98" s="24" t="s">
        <v>669</v>
      </c>
      <c r="D98" s="24" t="s">
        <v>670</v>
      </c>
      <c r="E98" s="24" t="s">
        <v>670</v>
      </c>
      <c r="F98" s="25">
        <v>5</v>
      </c>
      <c r="G98" s="24" t="s">
        <v>376</v>
      </c>
      <c r="H98" s="24" t="s">
        <v>46</v>
      </c>
      <c r="I98" s="24" t="s">
        <v>1046</v>
      </c>
      <c r="J98" s="24" t="s">
        <v>248</v>
      </c>
      <c r="K98" s="24" t="s">
        <v>1059</v>
      </c>
      <c r="L98" s="24" t="s">
        <v>1051</v>
      </c>
      <c r="M98" s="3" t="s">
        <v>984</v>
      </c>
      <c r="N98" s="24" t="s">
        <v>669</v>
      </c>
      <c r="O98" s="24" t="e">
        <f>VLOOKUP(C98,[3]MAESTRA!$E$5:$AO$395,36,0)</f>
        <v>#N/A</v>
      </c>
      <c r="P98" s="16" t="s">
        <v>43</v>
      </c>
      <c r="Q98"/>
      <c r="R98"/>
    </row>
    <row r="99" spans="3:18" x14ac:dyDescent="0.25">
      <c r="C99" s="24" t="s">
        <v>894</v>
      </c>
      <c r="D99" s="24" t="s">
        <v>895</v>
      </c>
      <c r="E99" s="24" t="s">
        <v>895</v>
      </c>
      <c r="F99" s="25">
        <v>5</v>
      </c>
      <c r="G99" s="24" t="s">
        <v>376</v>
      </c>
      <c r="H99" s="24" t="s">
        <v>46</v>
      </c>
      <c r="I99" s="24" t="s">
        <v>1046</v>
      </c>
      <c r="J99" s="24" t="s">
        <v>73</v>
      </c>
      <c r="K99" s="24" t="s">
        <v>1081</v>
      </c>
      <c r="L99" s="24" t="s">
        <v>1051</v>
      </c>
      <c r="M99" s="3" t="s">
        <v>378</v>
      </c>
      <c r="N99" s="24" t="s">
        <v>894</v>
      </c>
      <c r="O99" s="24" t="e">
        <f>VLOOKUP(C99,[3]MAESTRA!$E$5:$AO$395,36,0)</f>
        <v>#N/A</v>
      </c>
      <c r="P99" s="16" t="s">
        <v>43</v>
      </c>
      <c r="Q99"/>
      <c r="R99"/>
    </row>
    <row r="100" spans="3:18" x14ac:dyDescent="0.25">
      <c r="C100" s="24" t="s">
        <v>537</v>
      </c>
      <c r="D100" s="24" t="s">
        <v>538</v>
      </c>
      <c r="E100" s="24" t="s">
        <v>538</v>
      </c>
      <c r="F100" s="25">
        <v>6.13</v>
      </c>
      <c r="G100" s="24" t="s">
        <v>376</v>
      </c>
      <c r="H100" s="24" t="s">
        <v>46</v>
      </c>
      <c r="I100" s="24" t="s">
        <v>1046</v>
      </c>
      <c r="J100" s="24" t="s">
        <v>100</v>
      </c>
      <c r="K100" s="24" t="s">
        <v>1065</v>
      </c>
      <c r="L100" s="24" t="s">
        <v>1051</v>
      </c>
      <c r="M100" s="24" t="s">
        <v>1035</v>
      </c>
      <c r="N100" s="24" t="s">
        <v>537</v>
      </c>
      <c r="O100" s="24" t="e">
        <f>VLOOKUP(C100,[3]MAESTRA!$E$5:$AO$395,36,0)</f>
        <v>#N/A</v>
      </c>
      <c r="P100" s="16" t="s">
        <v>43</v>
      </c>
      <c r="Q100"/>
      <c r="R100"/>
    </row>
    <row r="101" spans="3:18" x14ac:dyDescent="0.25">
      <c r="C101" s="24" t="s">
        <v>863</v>
      </c>
      <c r="D101" s="24" t="s">
        <v>864</v>
      </c>
      <c r="E101" s="24" t="s">
        <v>864</v>
      </c>
      <c r="F101" s="25">
        <v>5.45</v>
      </c>
      <c r="G101" s="24" t="s">
        <v>376</v>
      </c>
      <c r="H101" s="24" t="s">
        <v>46</v>
      </c>
      <c r="I101" s="24" t="s">
        <v>1046</v>
      </c>
      <c r="J101" s="24" t="s">
        <v>132</v>
      </c>
      <c r="K101" s="24" t="s">
        <v>1060</v>
      </c>
      <c r="L101" s="24" t="s">
        <v>1051</v>
      </c>
      <c r="M101" s="24" t="s">
        <v>1035</v>
      </c>
      <c r="N101" s="24" t="s">
        <v>863</v>
      </c>
      <c r="O101" s="24" t="e">
        <f>VLOOKUP(C101,[3]MAESTRA!$E$5:$AO$395,36,0)</f>
        <v>#N/A</v>
      </c>
      <c r="P101" s="16" t="s">
        <v>43</v>
      </c>
      <c r="Q101"/>
      <c r="R101"/>
    </row>
    <row r="102" spans="3:18" x14ac:dyDescent="0.25">
      <c r="C102" s="24" t="s">
        <v>896</v>
      </c>
      <c r="D102" s="24" t="s">
        <v>897</v>
      </c>
      <c r="E102" s="24" t="s">
        <v>897</v>
      </c>
      <c r="F102" s="25">
        <v>5</v>
      </c>
      <c r="G102" s="24" t="s">
        <v>376</v>
      </c>
      <c r="H102" s="24" t="s">
        <v>46</v>
      </c>
      <c r="I102" s="24" t="s">
        <v>1046</v>
      </c>
      <c r="J102" s="24" t="s">
        <v>73</v>
      </c>
      <c r="K102" s="24" t="s">
        <v>1082</v>
      </c>
      <c r="L102" s="24" t="s">
        <v>1051</v>
      </c>
      <c r="M102" s="3" t="s">
        <v>378</v>
      </c>
      <c r="N102" s="24" t="s">
        <v>896</v>
      </c>
      <c r="O102" s="24" t="e">
        <f>VLOOKUP(C102,[3]MAESTRA!$E$5:$AO$395,36,0)</f>
        <v>#N/A</v>
      </c>
      <c r="P102" s="16" t="s">
        <v>43</v>
      </c>
      <c r="Q102"/>
      <c r="R102"/>
    </row>
    <row r="103" spans="3:18" x14ac:dyDescent="0.25">
      <c r="C103" s="24" t="s">
        <v>898</v>
      </c>
      <c r="D103" s="24" t="s">
        <v>899</v>
      </c>
      <c r="E103" s="24" t="s">
        <v>899</v>
      </c>
      <c r="F103" s="25">
        <v>5</v>
      </c>
      <c r="G103" s="24" t="s">
        <v>376</v>
      </c>
      <c r="H103" s="24" t="s">
        <v>46</v>
      </c>
      <c r="I103" s="24" t="s">
        <v>1046</v>
      </c>
      <c r="J103" s="24" t="s">
        <v>73</v>
      </c>
      <c r="K103" s="24" t="s">
        <v>1067</v>
      </c>
      <c r="L103" s="24" t="s">
        <v>1051</v>
      </c>
      <c r="M103" s="3" t="s">
        <v>378</v>
      </c>
      <c r="N103" s="24" t="s">
        <v>898</v>
      </c>
      <c r="O103" s="24" t="e">
        <f>VLOOKUP(C103,[3]MAESTRA!$E$5:$AO$395,36,0)</f>
        <v>#N/A</v>
      </c>
      <c r="P103" s="16" t="s">
        <v>440</v>
      </c>
      <c r="Q103"/>
      <c r="R103"/>
    </row>
    <row r="104" spans="3:18" x14ac:dyDescent="0.25">
      <c r="C104" s="24" t="s">
        <v>950</v>
      </c>
      <c r="D104" s="24" t="s">
        <v>951</v>
      </c>
      <c r="E104" s="24" t="s">
        <v>951</v>
      </c>
      <c r="F104" s="25">
        <v>5.45</v>
      </c>
      <c r="G104" s="24" t="s">
        <v>376</v>
      </c>
      <c r="H104" s="24" t="s">
        <v>46</v>
      </c>
      <c r="I104" s="24" t="s">
        <v>1046</v>
      </c>
      <c r="J104" s="24" t="s">
        <v>160</v>
      </c>
      <c r="K104" s="24" t="s">
        <v>1059</v>
      </c>
      <c r="L104" s="24" t="s">
        <v>1051</v>
      </c>
      <c r="M104" s="3" t="s">
        <v>984</v>
      </c>
      <c r="N104" s="24" t="s">
        <v>950</v>
      </c>
      <c r="O104" s="24" t="e">
        <f>VLOOKUP(C104,[3]MAESTRA!$E$5:$AO$395,36,0)</f>
        <v>#N/A</v>
      </c>
      <c r="P104" s="16" t="s">
        <v>43</v>
      </c>
      <c r="Q104"/>
      <c r="R104"/>
    </row>
    <row r="105" spans="3:18" x14ac:dyDescent="0.25">
      <c r="C105" s="24" t="s">
        <v>406</v>
      </c>
      <c r="D105" s="24" t="s">
        <v>407</v>
      </c>
      <c r="E105" s="24" t="s">
        <v>407</v>
      </c>
      <c r="F105" s="25">
        <v>5.45</v>
      </c>
      <c r="G105" s="24" t="s">
        <v>376</v>
      </c>
      <c r="H105" s="24" t="s">
        <v>46</v>
      </c>
      <c r="I105" s="24" t="s">
        <v>1031</v>
      </c>
      <c r="J105" s="24" t="s">
        <v>63</v>
      </c>
      <c r="K105" s="24" t="s">
        <v>1060</v>
      </c>
      <c r="L105" s="24" t="s">
        <v>1051</v>
      </c>
      <c r="M105" s="3" t="s">
        <v>378</v>
      </c>
      <c r="N105" s="24" t="s">
        <v>406</v>
      </c>
      <c r="O105" s="24" t="e">
        <f>VLOOKUP(C105,[3]MAESTRA!$E$5:$AO$395,36,0)</f>
        <v>#N/A</v>
      </c>
      <c r="P105" s="16" t="s">
        <v>43</v>
      </c>
      <c r="Q105"/>
      <c r="R105"/>
    </row>
    <row r="106" spans="3:18" x14ac:dyDescent="0.25">
      <c r="C106" s="24" t="s">
        <v>429</v>
      </c>
      <c r="D106" s="24" t="s">
        <v>430</v>
      </c>
      <c r="E106" s="24" t="s">
        <v>431</v>
      </c>
      <c r="F106" s="25">
        <v>6</v>
      </c>
      <c r="G106" s="24" t="s">
        <v>376</v>
      </c>
      <c r="H106" s="24" t="s">
        <v>46</v>
      </c>
      <c r="I106" s="24" t="s">
        <v>1046</v>
      </c>
      <c r="J106" s="24" t="s">
        <v>94</v>
      </c>
      <c r="K106" s="24" t="s">
        <v>1065</v>
      </c>
      <c r="L106" s="24" t="s">
        <v>1051</v>
      </c>
      <c r="M106" s="24" t="s">
        <v>1035</v>
      </c>
      <c r="N106" s="24" t="s">
        <v>429</v>
      </c>
      <c r="O106" s="24" t="e">
        <f>VLOOKUP(C106,[3]MAESTRA!$E$5:$AO$395,36,0)</f>
        <v>#N/A</v>
      </c>
      <c r="P106" s="16" t="s">
        <v>43</v>
      </c>
      <c r="Q106"/>
      <c r="R106"/>
    </row>
    <row r="107" spans="3:18" x14ac:dyDescent="0.25">
      <c r="C107" s="24" t="s">
        <v>483</v>
      </c>
      <c r="D107" s="24" t="s">
        <v>484</v>
      </c>
      <c r="E107" s="24" t="s">
        <v>485</v>
      </c>
      <c r="F107" s="25">
        <v>5</v>
      </c>
      <c r="G107" s="24" t="s">
        <v>376</v>
      </c>
      <c r="H107" s="24" t="s">
        <v>46</v>
      </c>
      <c r="I107" s="24" t="s">
        <v>1046</v>
      </c>
      <c r="J107" s="24" t="s">
        <v>58</v>
      </c>
      <c r="K107" s="24" t="s">
        <v>1059</v>
      </c>
      <c r="L107" s="24" t="s">
        <v>1051</v>
      </c>
      <c r="M107" s="24" t="s">
        <v>1035</v>
      </c>
      <c r="N107" s="24" t="s">
        <v>483</v>
      </c>
      <c r="O107" s="24" t="e">
        <f>VLOOKUP(C107,[3]MAESTRA!$E$5:$AO$395,36,0)</f>
        <v>#N/A</v>
      </c>
      <c r="P107" s="16" t="s">
        <v>43</v>
      </c>
      <c r="Q107"/>
      <c r="R107"/>
    </row>
    <row r="108" spans="3:18" x14ac:dyDescent="0.25">
      <c r="C108" s="24" t="s">
        <v>539</v>
      </c>
      <c r="D108" s="24" t="s">
        <v>540</v>
      </c>
      <c r="E108" s="24" t="s">
        <v>541</v>
      </c>
      <c r="F108" s="25">
        <v>6.13</v>
      </c>
      <c r="G108" s="24" t="s">
        <v>376</v>
      </c>
      <c r="H108" s="24" t="s">
        <v>46</v>
      </c>
      <c r="I108" s="24" t="s">
        <v>1046</v>
      </c>
      <c r="J108" s="24" t="s">
        <v>100</v>
      </c>
      <c r="K108" s="24" t="s">
        <v>1059</v>
      </c>
      <c r="L108" s="24" t="s">
        <v>1051</v>
      </c>
      <c r="M108" s="24" t="s">
        <v>1035</v>
      </c>
      <c r="N108" s="24" t="s">
        <v>539</v>
      </c>
      <c r="O108" s="24" t="e">
        <f>VLOOKUP(C108,[3]MAESTRA!$E$5:$AO$395,36,0)</f>
        <v>#N/A</v>
      </c>
      <c r="P108" s="16" t="s">
        <v>43</v>
      </c>
      <c r="Q108"/>
      <c r="R108"/>
    </row>
    <row r="109" spans="3:18" x14ac:dyDescent="0.25">
      <c r="C109" s="24" t="s">
        <v>432</v>
      </c>
      <c r="D109" s="24" t="s">
        <v>433</v>
      </c>
      <c r="E109" s="24" t="s">
        <v>434</v>
      </c>
      <c r="F109" s="25">
        <v>5.45</v>
      </c>
      <c r="G109" s="24" t="s">
        <v>376</v>
      </c>
      <c r="H109" s="24" t="s">
        <v>46</v>
      </c>
      <c r="I109" s="24" t="s">
        <v>1046</v>
      </c>
      <c r="J109" s="24" t="s">
        <v>94</v>
      </c>
      <c r="K109" s="24" t="s">
        <v>1063</v>
      </c>
      <c r="L109" s="24" t="s">
        <v>1051</v>
      </c>
      <c r="M109" s="24" t="s">
        <v>1035</v>
      </c>
      <c r="N109" s="24" t="s">
        <v>432</v>
      </c>
      <c r="O109" s="24" t="e">
        <f>VLOOKUP(C109,[3]MAESTRA!$E$5:$AO$395,36,0)</f>
        <v>#N/A</v>
      </c>
      <c r="P109" s="16" t="s">
        <v>43</v>
      </c>
      <c r="Q109"/>
      <c r="R109"/>
    </row>
    <row r="110" spans="3:18" x14ac:dyDescent="0.25">
      <c r="C110" s="24" t="s">
        <v>671</v>
      </c>
      <c r="D110" s="24" t="s">
        <v>672</v>
      </c>
      <c r="E110" s="24" t="s">
        <v>672</v>
      </c>
      <c r="F110" s="25">
        <v>5</v>
      </c>
      <c r="G110" s="24" t="s">
        <v>376</v>
      </c>
      <c r="H110" s="24" t="s">
        <v>46</v>
      </c>
      <c r="I110" s="24" t="s">
        <v>1046</v>
      </c>
      <c r="J110" s="24" t="s">
        <v>248</v>
      </c>
      <c r="K110" s="24" t="s">
        <v>1059</v>
      </c>
      <c r="L110" s="24" t="s">
        <v>1051</v>
      </c>
      <c r="M110" s="3" t="s">
        <v>984</v>
      </c>
      <c r="N110" s="24" t="s">
        <v>671</v>
      </c>
      <c r="O110" s="24" t="e">
        <f>VLOOKUP(C110,[3]MAESTRA!$E$5:$AO$395,36,0)</f>
        <v>#N/A</v>
      </c>
      <c r="P110" s="16" t="s">
        <v>43</v>
      </c>
      <c r="Q110"/>
      <c r="R110"/>
    </row>
    <row r="111" spans="3:18" x14ac:dyDescent="0.25">
      <c r="C111" s="24" t="s">
        <v>567</v>
      </c>
      <c r="D111" s="24" t="s">
        <v>568</v>
      </c>
      <c r="E111" s="24" t="s">
        <v>568</v>
      </c>
      <c r="F111" s="25">
        <v>5</v>
      </c>
      <c r="G111" s="24" t="s">
        <v>376</v>
      </c>
      <c r="H111" s="24" t="s">
        <v>46</v>
      </c>
      <c r="I111" s="24" t="s">
        <v>1046</v>
      </c>
      <c r="J111" s="24" t="s">
        <v>331</v>
      </c>
      <c r="K111" s="24" t="s">
        <v>1060</v>
      </c>
      <c r="L111" s="24" t="s">
        <v>1051</v>
      </c>
      <c r="M111" s="3" t="s">
        <v>984</v>
      </c>
      <c r="N111" s="24" t="s">
        <v>567</v>
      </c>
      <c r="O111" s="24" t="e">
        <f>VLOOKUP(C111,[3]MAESTRA!$E$5:$AO$395,36,0)</f>
        <v>#N/A</v>
      </c>
      <c r="P111" s="16" t="s">
        <v>43</v>
      </c>
      <c r="Q111"/>
      <c r="R111"/>
    </row>
    <row r="112" spans="3:18" x14ac:dyDescent="0.25">
      <c r="C112" s="24" t="s">
        <v>435</v>
      </c>
      <c r="D112" s="24" t="s">
        <v>436</v>
      </c>
      <c r="E112" s="24" t="s">
        <v>436</v>
      </c>
      <c r="F112" s="25">
        <v>5</v>
      </c>
      <c r="G112" s="24" t="s">
        <v>376</v>
      </c>
      <c r="H112" s="24" t="s">
        <v>46</v>
      </c>
      <c r="I112" s="24" t="s">
        <v>1046</v>
      </c>
      <c r="J112" s="24" t="s">
        <v>94</v>
      </c>
      <c r="K112" s="24" t="s">
        <v>1065</v>
      </c>
      <c r="L112" s="24" t="s">
        <v>1051</v>
      </c>
      <c r="M112" s="24" t="s">
        <v>1035</v>
      </c>
      <c r="N112" s="24" t="s">
        <v>435</v>
      </c>
      <c r="O112" s="24" t="e">
        <f>VLOOKUP(C112,[3]MAESTRA!$E$5:$AO$395,36,0)</f>
        <v>#N/A</v>
      </c>
      <c r="P112" s="16" t="s">
        <v>43</v>
      </c>
      <c r="Q112"/>
      <c r="R112"/>
    </row>
    <row r="113" spans="3:18" x14ac:dyDescent="0.25">
      <c r="C113" s="24" t="s">
        <v>865</v>
      </c>
      <c r="D113" s="24" t="s">
        <v>866</v>
      </c>
      <c r="E113" s="24" t="s">
        <v>866</v>
      </c>
      <c r="F113" s="25">
        <v>6</v>
      </c>
      <c r="G113" s="24" t="s">
        <v>376</v>
      </c>
      <c r="H113" s="24" t="s">
        <v>46</v>
      </c>
      <c r="I113" s="24" t="s">
        <v>1046</v>
      </c>
      <c r="J113" s="24" t="s">
        <v>132</v>
      </c>
      <c r="K113" s="24" t="s">
        <v>1077</v>
      </c>
      <c r="L113" s="24" t="s">
        <v>1051</v>
      </c>
      <c r="M113" s="24" t="s">
        <v>1035</v>
      </c>
      <c r="N113" s="24" t="s">
        <v>865</v>
      </c>
      <c r="O113" s="24" t="e">
        <f>VLOOKUP(C113,[3]MAESTRA!$E$5:$AO$395,36,0)</f>
        <v>#N/A</v>
      </c>
      <c r="P113" s="16" t="s">
        <v>43</v>
      </c>
      <c r="Q113"/>
      <c r="R113"/>
    </row>
    <row r="114" spans="3:18" x14ac:dyDescent="0.25">
      <c r="C114" s="24" t="s">
        <v>486</v>
      </c>
      <c r="D114" s="24" t="s">
        <v>487</v>
      </c>
      <c r="E114" s="24" t="s">
        <v>487</v>
      </c>
      <c r="F114" s="25">
        <v>5</v>
      </c>
      <c r="G114" s="24" t="s">
        <v>376</v>
      </c>
      <c r="H114" s="24" t="s">
        <v>46</v>
      </c>
      <c r="I114" s="24" t="s">
        <v>1046</v>
      </c>
      <c r="J114" s="24" t="s">
        <v>58</v>
      </c>
      <c r="K114" s="24" t="s">
        <v>1059</v>
      </c>
      <c r="L114" s="24" t="s">
        <v>1051</v>
      </c>
      <c r="M114" s="24" t="s">
        <v>1035</v>
      </c>
      <c r="N114" s="24" t="s">
        <v>486</v>
      </c>
      <c r="O114" s="24" t="e">
        <f>VLOOKUP(C114,[3]MAESTRA!$E$5:$AO$395,36,0)</f>
        <v>#N/A</v>
      </c>
      <c r="P114" s="16" t="s">
        <v>43</v>
      </c>
      <c r="Q114"/>
      <c r="R114"/>
    </row>
    <row r="115" spans="3:18" x14ac:dyDescent="0.25">
      <c r="C115" s="24" t="s">
        <v>673</v>
      </c>
      <c r="D115" s="24" t="s">
        <v>674</v>
      </c>
      <c r="E115" s="24" t="s">
        <v>674</v>
      </c>
      <c r="F115" s="25">
        <v>5.45</v>
      </c>
      <c r="G115" s="24" t="s">
        <v>376</v>
      </c>
      <c r="H115" s="24" t="s">
        <v>46</v>
      </c>
      <c r="I115" s="24" t="s">
        <v>1046</v>
      </c>
      <c r="J115" s="24" t="s">
        <v>248</v>
      </c>
      <c r="K115" s="24" t="s">
        <v>1059</v>
      </c>
      <c r="L115" s="24" t="s">
        <v>1051</v>
      </c>
      <c r="M115" s="3" t="s">
        <v>984</v>
      </c>
      <c r="N115" s="24" t="s">
        <v>673</v>
      </c>
      <c r="O115" s="24" t="e">
        <f>VLOOKUP(C115,[3]MAESTRA!$E$5:$AO$395,36,0)</f>
        <v>#N/A</v>
      </c>
      <c r="P115" s="16" t="s">
        <v>43</v>
      </c>
      <c r="Q115"/>
      <c r="R115"/>
    </row>
    <row r="116" spans="3:18" x14ac:dyDescent="0.25">
      <c r="C116" s="24" t="s">
        <v>569</v>
      </c>
      <c r="D116" s="24" t="s">
        <v>570</v>
      </c>
      <c r="E116" s="24" t="s">
        <v>570</v>
      </c>
      <c r="F116" s="25">
        <v>5.45</v>
      </c>
      <c r="G116" s="24" t="s">
        <v>376</v>
      </c>
      <c r="H116" s="24" t="s">
        <v>46</v>
      </c>
      <c r="I116" s="24" t="s">
        <v>1046</v>
      </c>
      <c r="J116" s="24" t="s">
        <v>331</v>
      </c>
      <c r="K116" s="24" t="s">
        <v>1060</v>
      </c>
      <c r="L116" s="24" t="s">
        <v>1051</v>
      </c>
      <c r="M116" s="3" t="s">
        <v>984</v>
      </c>
      <c r="N116" s="24" t="s">
        <v>569</v>
      </c>
      <c r="O116" s="24" t="e">
        <f>VLOOKUP(C116,[3]MAESTRA!$E$5:$AO$395,36,0)</f>
        <v>#N/A</v>
      </c>
      <c r="P116" s="16" t="s">
        <v>43</v>
      </c>
      <c r="Q116"/>
      <c r="R116"/>
    </row>
    <row r="117" spans="3:18" x14ac:dyDescent="0.25">
      <c r="C117" s="24" t="s">
        <v>750</v>
      </c>
      <c r="D117" s="24" t="s">
        <v>751</v>
      </c>
      <c r="E117" s="24" t="s">
        <v>751</v>
      </c>
      <c r="F117" s="25">
        <v>5</v>
      </c>
      <c r="G117" s="24" t="s">
        <v>376</v>
      </c>
      <c r="H117" s="24" t="s">
        <v>46</v>
      </c>
      <c r="I117" s="24" t="s">
        <v>1031</v>
      </c>
      <c r="J117" s="24" t="s">
        <v>1048</v>
      </c>
      <c r="K117" s="24" t="s">
        <v>1061</v>
      </c>
      <c r="L117" s="24" t="s">
        <v>1062</v>
      </c>
      <c r="M117" s="3" t="s">
        <v>378</v>
      </c>
      <c r="N117" s="24" t="s">
        <v>750</v>
      </c>
      <c r="O117" s="24" t="e">
        <f>VLOOKUP(C117,[3]MAESTRA!$E$5:$AO$395,36,0)</f>
        <v>#N/A</v>
      </c>
      <c r="P117" s="16" t="s">
        <v>43</v>
      </c>
      <c r="Q117"/>
      <c r="R117"/>
    </row>
    <row r="118" spans="3:18" x14ac:dyDescent="0.25">
      <c r="C118" s="24" t="s">
        <v>488</v>
      </c>
      <c r="D118" s="24" t="s">
        <v>489</v>
      </c>
      <c r="E118" s="24" t="s">
        <v>490</v>
      </c>
      <c r="F118" s="25">
        <v>5</v>
      </c>
      <c r="G118" s="24" t="s">
        <v>376</v>
      </c>
      <c r="H118" s="24" t="s">
        <v>46</v>
      </c>
      <c r="I118" s="24" t="s">
        <v>1046</v>
      </c>
      <c r="J118" s="24" t="s">
        <v>58</v>
      </c>
      <c r="K118" s="24" t="s">
        <v>1059</v>
      </c>
      <c r="L118" s="24" t="s">
        <v>1051</v>
      </c>
      <c r="M118" s="24" t="s">
        <v>1035</v>
      </c>
      <c r="N118" s="24" t="s">
        <v>488</v>
      </c>
      <c r="O118" s="24" t="e">
        <f>VLOOKUP(C118,[3]MAESTRA!$E$5:$AO$395,36,0)</f>
        <v>#N/A</v>
      </c>
      <c r="P118" s="16" t="s">
        <v>43</v>
      </c>
      <c r="Q118"/>
      <c r="R118"/>
    </row>
    <row r="119" spans="3:18" x14ac:dyDescent="0.25">
      <c r="C119" s="24" t="s">
        <v>952</v>
      </c>
      <c r="D119" s="24" t="s">
        <v>953</v>
      </c>
      <c r="E119" s="24" t="s">
        <v>953</v>
      </c>
      <c r="F119" s="25">
        <v>5.45</v>
      </c>
      <c r="G119" s="24" t="s">
        <v>376</v>
      </c>
      <c r="H119" s="24" t="s">
        <v>46</v>
      </c>
      <c r="I119" s="24" t="s">
        <v>1046</v>
      </c>
      <c r="J119" s="24" t="s">
        <v>160</v>
      </c>
      <c r="K119" s="24" t="s">
        <v>1073</v>
      </c>
      <c r="L119" s="24" t="s">
        <v>1051</v>
      </c>
      <c r="M119" s="3" t="s">
        <v>984</v>
      </c>
      <c r="N119" s="24" t="s">
        <v>952</v>
      </c>
      <c r="O119" s="24" t="e">
        <f>VLOOKUP(C119,[3]MAESTRA!$E$5:$AO$395,36,0)</f>
        <v>#N/A</v>
      </c>
      <c r="P119" s="16" t="s">
        <v>43</v>
      </c>
      <c r="Q119"/>
      <c r="R119"/>
    </row>
    <row r="120" spans="3:18" x14ac:dyDescent="0.25">
      <c r="C120" s="24" t="s">
        <v>675</v>
      </c>
      <c r="D120" s="24" t="s">
        <v>676</v>
      </c>
      <c r="E120" s="24" t="s">
        <v>676</v>
      </c>
      <c r="F120" s="25">
        <v>5</v>
      </c>
      <c r="G120" s="24" t="s">
        <v>376</v>
      </c>
      <c r="H120" s="24" t="s">
        <v>81</v>
      </c>
      <c r="I120" s="24" t="s">
        <v>1046</v>
      </c>
      <c r="J120" s="24" t="s">
        <v>248</v>
      </c>
      <c r="K120" s="24" t="s">
        <v>1059</v>
      </c>
      <c r="L120" s="24" t="s">
        <v>1051</v>
      </c>
      <c r="M120" s="3" t="s">
        <v>984</v>
      </c>
      <c r="N120" s="24" t="s">
        <v>675</v>
      </c>
      <c r="O120" s="24" t="e">
        <f>VLOOKUP(C120,[3]MAESTRA!$E$5:$AO$395,36,0)</f>
        <v>#N/A</v>
      </c>
      <c r="P120" s="16" t="s">
        <v>43</v>
      </c>
      <c r="Q120"/>
      <c r="R120"/>
    </row>
    <row r="121" spans="3:18" x14ac:dyDescent="0.25">
      <c r="C121" s="24" t="s">
        <v>780</v>
      </c>
      <c r="D121" s="24" t="s">
        <v>781</v>
      </c>
      <c r="E121" s="24" t="s">
        <v>781</v>
      </c>
      <c r="F121" s="25">
        <v>5.45</v>
      </c>
      <c r="G121" s="24" t="s">
        <v>376</v>
      </c>
      <c r="H121" s="24" t="s">
        <v>46</v>
      </c>
      <c r="I121" s="24" t="s">
        <v>1031</v>
      </c>
      <c r="J121" s="24" t="s">
        <v>89</v>
      </c>
      <c r="K121" s="24" t="s">
        <v>1075</v>
      </c>
      <c r="L121" s="24" t="s">
        <v>1076</v>
      </c>
      <c r="M121" s="3" t="s">
        <v>378</v>
      </c>
      <c r="N121" s="24" t="s">
        <v>780</v>
      </c>
      <c r="O121" s="24" t="e">
        <f>VLOOKUP(C121,[3]MAESTRA!$E$5:$AO$395,36,0)</f>
        <v>#N/A</v>
      </c>
      <c r="P121" s="16" t="s">
        <v>43</v>
      </c>
      <c r="Q121"/>
      <c r="R121"/>
    </row>
    <row r="122" spans="3:18" x14ac:dyDescent="0.25">
      <c r="C122" s="24" t="s">
        <v>628</v>
      </c>
      <c r="D122" s="24" t="s">
        <v>996</v>
      </c>
      <c r="E122" s="24" t="s">
        <v>630</v>
      </c>
      <c r="F122" s="25">
        <v>5</v>
      </c>
      <c r="G122" s="24" t="s">
        <v>376</v>
      </c>
      <c r="H122" s="24" t="s">
        <v>46</v>
      </c>
      <c r="I122" s="24" t="s">
        <v>1046</v>
      </c>
      <c r="J122" s="24" t="s">
        <v>50</v>
      </c>
      <c r="K122" s="24" t="s">
        <v>1065</v>
      </c>
      <c r="L122" s="24" t="s">
        <v>1051</v>
      </c>
      <c r="M122" s="3" t="s">
        <v>984</v>
      </c>
      <c r="N122" s="24" t="s">
        <v>628</v>
      </c>
      <c r="O122" s="24" t="e">
        <f>VLOOKUP(C122,[3]MAESTRA!$E$5:$AO$395,36,0)</f>
        <v>#N/A</v>
      </c>
      <c r="P122" s="16" t="s">
        <v>43</v>
      </c>
      <c r="Q122"/>
      <c r="R122"/>
    </row>
    <row r="123" spans="3:18" x14ac:dyDescent="0.25">
      <c r="C123" s="24" t="s">
        <v>408</v>
      </c>
      <c r="D123" s="24" t="s">
        <v>409</v>
      </c>
      <c r="E123" s="24" t="s">
        <v>410</v>
      </c>
      <c r="F123" s="25">
        <v>5</v>
      </c>
      <c r="G123" s="24" t="s">
        <v>376</v>
      </c>
      <c r="H123" s="24" t="s">
        <v>46</v>
      </c>
      <c r="I123" s="24" t="s">
        <v>1031</v>
      </c>
      <c r="J123" s="24" t="s">
        <v>63</v>
      </c>
      <c r="K123" s="24" t="s">
        <v>1060</v>
      </c>
      <c r="L123" s="24" t="s">
        <v>1051</v>
      </c>
      <c r="M123" s="3" t="s">
        <v>378</v>
      </c>
      <c r="N123" s="24" t="s">
        <v>408</v>
      </c>
      <c r="O123" s="24" t="e">
        <f>VLOOKUP(C123,[3]MAESTRA!$E$5:$AO$395,36,0)</f>
        <v>#N/A</v>
      </c>
      <c r="P123" s="16" t="s">
        <v>43</v>
      </c>
      <c r="Q123"/>
      <c r="R123"/>
    </row>
    <row r="124" spans="3:18" x14ac:dyDescent="0.25">
      <c r="C124" s="24" t="s">
        <v>677</v>
      </c>
      <c r="D124" s="24" t="s">
        <v>678</v>
      </c>
      <c r="E124" s="24" t="s">
        <v>679</v>
      </c>
      <c r="F124" s="25">
        <v>5</v>
      </c>
      <c r="G124" s="24" t="s">
        <v>376</v>
      </c>
      <c r="H124" s="24" t="s">
        <v>46</v>
      </c>
      <c r="I124" s="24" t="s">
        <v>1046</v>
      </c>
      <c r="J124" s="24" t="s">
        <v>248</v>
      </c>
      <c r="K124" s="24" t="s">
        <v>1059</v>
      </c>
      <c r="L124" s="24" t="s">
        <v>1051</v>
      </c>
      <c r="M124" s="3" t="s">
        <v>984</v>
      </c>
      <c r="N124" s="24" t="s">
        <v>677</v>
      </c>
      <c r="O124" s="24" t="e">
        <f>VLOOKUP(C124,[3]MAESTRA!$E$5:$AO$395,36,0)</f>
        <v>#N/A</v>
      </c>
      <c r="P124" s="16" t="s">
        <v>43</v>
      </c>
      <c r="Q124"/>
      <c r="R124"/>
    </row>
    <row r="125" spans="3:18" x14ac:dyDescent="0.25">
      <c r="C125" s="24" t="s">
        <v>571</v>
      </c>
      <c r="D125" s="24" t="s">
        <v>572</v>
      </c>
      <c r="E125" s="24" t="s">
        <v>572</v>
      </c>
      <c r="F125" s="25">
        <v>6</v>
      </c>
      <c r="G125" s="24" t="s">
        <v>376</v>
      </c>
      <c r="H125" s="24" t="s">
        <v>46</v>
      </c>
      <c r="I125" s="24" t="s">
        <v>1046</v>
      </c>
      <c r="J125" s="24" t="s">
        <v>331</v>
      </c>
      <c r="K125" s="24" t="s">
        <v>1060</v>
      </c>
      <c r="L125" s="24" t="s">
        <v>1051</v>
      </c>
      <c r="M125" s="3" t="s">
        <v>984</v>
      </c>
      <c r="N125" s="24" t="s">
        <v>571</v>
      </c>
      <c r="O125" s="24" t="e">
        <f>VLOOKUP(C125,[3]MAESTRA!$E$5:$AO$395,36,0)</f>
        <v>#N/A</v>
      </c>
      <c r="P125" s="16" t="s">
        <v>43</v>
      </c>
      <c r="Q125"/>
      <c r="R125"/>
    </row>
    <row r="126" spans="3:18" x14ac:dyDescent="0.25">
      <c r="C126" s="24" t="s">
        <v>752</v>
      </c>
      <c r="D126" s="24" t="s">
        <v>753</v>
      </c>
      <c r="E126" s="24" t="s">
        <v>753</v>
      </c>
      <c r="F126" s="25">
        <v>8</v>
      </c>
      <c r="G126" s="24" t="s">
        <v>376</v>
      </c>
      <c r="H126" s="24" t="s">
        <v>46</v>
      </c>
      <c r="I126" s="24" t="s">
        <v>1031</v>
      </c>
      <c r="J126" s="24" t="s">
        <v>1048</v>
      </c>
      <c r="K126" s="24" t="s">
        <v>1061</v>
      </c>
      <c r="L126" s="24" t="s">
        <v>1062</v>
      </c>
      <c r="M126" s="3" t="s">
        <v>378</v>
      </c>
      <c r="N126" s="24" t="s">
        <v>752</v>
      </c>
      <c r="O126" s="24" t="e">
        <f>VLOOKUP(C126,[3]MAESTRA!$E$5:$AO$395,36,0)</f>
        <v>#N/A</v>
      </c>
      <c r="P126" s="16" t="s">
        <v>43</v>
      </c>
      <c r="Q126"/>
      <c r="R126"/>
    </row>
    <row r="127" spans="3:18" x14ac:dyDescent="0.25">
      <c r="C127" s="24" t="s">
        <v>680</v>
      </c>
      <c r="D127" s="24" t="s">
        <v>681</v>
      </c>
      <c r="E127" s="24" t="s">
        <v>682</v>
      </c>
      <c r="F127" s="25">
        <v>5</v>
      </c>
      <c r="G127" s="24" t="s">
        <v>376</v>
      </c>
      <c r="H127" s="24" t="s">
        <v>46</v>
      </c>
      <c r="I127" s="24" t="s">
        <v>1046</v>
      </c>
      <c r="J127" s="24" t="s">
        <v>248</v>
      </c>
      <c r="K127" s="24" t="s">
        <v>1059</v>
      </c>
      <c r="L127" s="24" t="s">
        <v>1051</v>
      </c>
      <c r="M127" s="3" t="s">
        <v>984</v>
      </c>
      <c r="N127" s="24" t="s">
        <v>680</v>
      </c>
      <c r="O127" s="24" t="e">
        <f>VLOOKUP(C127,[3]MAESTRA!$E$5:$AO$395,36,0)</f>
        <v>#N/A</v>
      </c>
      <c r="P127" s="16" t="s">
        <v>440</v>
      </c>
      <c r="Q127"/>
      <c r="R127"/>
    </row>
    <row r="128" spans="3:18" x14ac:dyDescent="0.25">
      <c r="C128" s="24" t="s">
        <v>954</v>
      </c>
      <c r="D128" s="24" t="s">
        <v>955</v>
      </c>
      <c r="E128" s="24" t="s">
        <v>956</v>
      </c>
      <c r="F128" s="25">
        <v>5</v>
      </c>
      <c r="G128" s="24" t="s">
        <v>376</v>
      </c>
      <c r="H128" s="24" t="s">
        <v>46</v>
      </c>
      <c r="I128" s="24" t="s">
        <v>1046</v>
      </c>
      <c r="J128" s="24" t="s">
        <v>160</v>
      </c>
      <c r="K128" s="24" t="s">
        <v>1058</v>
      </c>
      <c r="L128" s="24" t="s">
        <v>1051</v>
      </c>
      <c r="M128" s="3" t="s">
        <v>984</v>
      </c>
      <c r="N128" s="24" t="s">
        <v>954</v>
      </c>
      <c r="O128" s="24" t="e">
        <f>VLOOKUP(C128,[3]MAESTRA!$E$5:$AO$395,36,0)</f>
        <v>#N/A</v>
      </c>
      <c r="P128" s="16" t="s">
        <v>440</v>
      </c>
      <c r="Q128"/>
      <c r="R128"/>
    </row>
    <row r="129" spans="3:18" x14ac:dyDescent="0.25">
      <c r="C129" s="24" t="s">
        <v>68</v>
      </c>
      <c r="D129" s="24" t="s">
        <v>69</v>
      </c>
      <c r="E129" s="24" t="s">
        <v>70</v>
      </c>
      <c r="F129" s="25" t="s">
        <v>36</v>
      </c>
      <c r="G129" s="24" t="s">
        <v>37</v>
      </c>
      <c r="H129" s="24" t="s">
        <v>38</v>
      </c>
      <c r="I129" s="24" t="s">
        <v>1046</v>
      </c>
      <c r="J129" s="24" t="s">
        <v>58</v>
      </c>
      <c r="K129" s="24" t="s">
        <v>1065</v>
      </c>
      <c r="L129" s="24" t="s">
        <v>1051</v>
      </c>
      <c r="M129" s="24" t="s">
        <v>1035</v>
      </c>
      <c r="N129" s="24" t="s">
        <v>68</v>
      </c>
      <c r="O129" s="24" t="e">
        <f>VLOOKUP(C129,[3]MAESTRA!$E$5:$AO$395,36,0)</f>
        <v>#N/A</v>
      </c>
      <c r="P129" s="16" t="s">
        <v>43</v>
      </c>
      <c r="Q129"/>
      <c r="R129"/>
    </row>
    <row r="130" spans="3:18" x14ac:dyDescent="0.25">
      <c r="C130" s="24" t="s">
        <v>867</v>
      </c>
      <c r="D130" s="24" t="s">
        <v>997</v>
      </c>
      <c r="E130" s="24" t="s">
        <v>869</v>
      </c>
      <c r="F130" s="25">
        <v>5</v>
      </c>
      <c r="G130" s="24" t="s">
        <v>376</v>
      </c>
      <c r="H130" s="24" t="s">
        <v>46</v>
      </c>
      <c r="I130" s="24" t="s">
        <v>1046</v>
      </c>
      <c r="J130" s="24" t="s">
        <v>132</v>
      </c>
      <c r="K130" s="24" t="s">
        <v>1077</v>
      </c>
      <c r="L130" s="24" t="s">
        <v>1051</v>
      </c>
      <c r="M130" s="24" t="s">
        <v>1035</v>
      </c>
      <c r="N130" s="24" t="s">
        <v>867</v>
      </c>
      <c r="O130" s="24" t="e">
        <f>VLOOKUP(C130,[3]MAESTRA!$E$5:$AO$395,36,0)</f>
        <v>#N/A</v>
      </c>
      <c r="P130" s="16" t="s">
        <v>440</v>
      </c>
      <c r="Q130"/>
      <c r="R130"/>
    </row>
    <row r="131" spans="3:18" x14ac:dyDescent="0.25">
      <c r="C131" s="24" t="s">
        <v>71</v>
      </c>
      <c r="D131" s="24" t="s">
        <v>72</v>
      </c>
      <c r="E131" s="24" t="s">
        <v>72</v>
      </c>
      <c r="F131" s="25">
        <v>0</v>
      </c>
      <c r="G131" s="24" t="s">
        <v>37</v>
      </c>
      <c r="H131" s="24" t="s">
        <v>46</v>
      </c>
      <c r="I131" s="24" t="s">
        <v>1046</v>
      </c>
      <c r="J131" s="24" t="s">
        <v>73</v>
      </c>
      <c r="K131" s="24" t="s">
        <v>1083</v>
      </c>
      <c r="L131" s="24" t="s">
        <v>1051</v>
      </c>
      <c r="M131" s="3" t="s">
        <v>378</v>
      </c>
      <c r="N131" s="24" t="s">
        <v>71</v>
      </c>
      <c r="O131" s="24" t="e">
        <f>VLOOKUP(C131,[3]MAESTRA!$E$5:$AO$395,36,0)</f>
        <v>#N/A</v>
      </c>
      <c r="P131" s="16" t="s">
        <v>43</v>
      </c>
      <c r="Q131"/>
      <c r="R131"/>
    </row>
    <row r="132" spans="3:18" x14ac:dyDescent="0.25">
      <c r="C132" s="24" t="s">
        <v>802</v>
      </c>
      <c r="D132" s="24" t="s">
        <v>803</v>
      </c>
      <c r="E132" s="24" t="s">
        <v>803</v>
      </c>
      <c r="F132" s="25">
        <v>6</v>
      </c>
      <c r="G132" s="24" t="s">
        <v>376</v>
      </c>
      <c r="H132" s="24" t="s">
        <v>46</v>
      </c>
      <c r="I132" s="24" t="s">
        <v>1046</v>
      </c>
      <c r="J132" s="24" t="s">
        <v>146</v>
      </c>
      <c r="K132" s="24" t="s">
        <v>1064</v>
      </c>
      <c r="L132" s="24" t="s">
        <v>1051</v>
      </c>
      <c r="M132" s="24" t="s">
        <v>1035</v>
      </c>
      <c r="N132" s="24" t="s">
        <v>802</v>
      </c>
      <c r="O132" s="24" t="e">
        <f>VLOOKUP(C132,[3]MAESTRA!$E$5:$AO$395,36,0)</f>
        <v>#N/A</v>
      </c>
      <c r="P132" s="16" t="s">
        <v>43</v>
      </c>
      <c r="Q132"/>
      <c r="R132"/>
    </row>
    <row r="133" spans="3:18" x14ac:dyDescent="0.25">
      <c r="C133" s="24" t="s">
        <v>957</v>
      </c>
      <c r="D133" s="24" t="s">
        <v>959</v>
      </c>
      <c r="E133" s="24" t="s">
        <v>998</v>
      </c>
      <c r="F133" s="25">
        <v>5</v>
      </c>
      <c r="G133" s="24" t="s">
        <v>376</v>
      </c>
      <c r="H133" s="24" t="s">
        <v>46</v>
      </c>
      <c r="I133" s="24" t="s">
        <v>1046</v>
      </c>
      <c r="J133" s="24" t="s">
        <v>160</v>
      </c>
      <c r="K133" s="24" t="s">
        <v>1071</v>
      </c>
      <c r="L133" s="24" t="s">
        <v>1051</v>
      </c>
      <c r="M133" s="3" t="s">
        <v>984</v>
      </c>
      <c r="N133" s="24" t="s">
        <v>957</v>
      </c>
      <c r="O133" s="24" t="e">
        <f>VLOOKUP(C133,[3]MAESTRA!$E$5:$AO$395,36,0)</f>
        <v>#N/A</v>
      </c>
      <c r="P133" s="16" t="s">
        <v>43</v>
      </c>
      <c r="Q133"/>
      <c r="R133"/>
    </row>
    <row r="134" spans="3:18" x14ac:dyDescent="0.25">
      <c r="C134" s="24" t="s">
        <v>75</v>
      </c>
      <c r="D134" s="24" t="s">
        <v>76</v>
      </c>
      <c r="E134" s="24" t="s">
        <v>77</v>
      </c>
      <c r="F134" s="25" t="s">
        <v>36</v>
      </c>
      <c r="G134" s="24" t="s">
        <v>37</v>
      </c>
      <c r="H134" s="24" t="s">
        <v>38</v>
      </c>
      <c r="I134" s="24" t="s">
        <v>1046</v>
      </c>
      <c r="J134" s="24">
        <v>0</v>
      </c>
      <c r="K134" s="24" t="s">
        <v>1084</v>
      </c>
      <c r="L134" s="24" t="s">
        <v>1051</v>
      </c>
      <c r="M134" s="24" t="s">
        <v>1053</v>
      </c>
      <c r="N134" s="24" t="s">
        <v>75</v>
      </c>
      <c r="O134" s="24" t="e">
        <f>VLOOKUP(C134,[3]MAESTRA!$E$5:$AO$395,36,0)</f>
        <v>#N/A</v>
      </c>
      <c r="P134" s="16" t="s">
        <v>43</v>
      </c>
      <c r="Q134"/>
      <c r="R134"/>
    </row>
    <row r="135" spans="3:18" x14ac:dyDescent="0.25">
      <c r="C135" s="24" t="s">
        <v>491</v>
      </c>
      <c r="D135" s="24" t="s">
        <v>493</v>
      </c>
      <c r="E135" s="24" t="s">
        <v>493</v>
      </c>
      <c r="F135" s="25">
        <v>5</v>
      </c>
      <c r="G135" s="24" t="s">
        <v>376</v>
      </c>
      <c r="H135" s="24" t="s">
        <v>46</v>
      </c>
      <c r="I135" s="24" t="s">
        <v>1046</v>
      </c>
      <c r="J135" s="24" t="s">
        <v>58</v>
      </c>
      <c r="K135" s="24" t="s">
        <v>1059</v>
      </c>
      <c r="L135" s="24" t="s">
        <v>1051</v>
      </c>
      <c r="M135" s="24" t="s">
        <v>1035</v>
      </c>
      <c r="N135" s="24" t="s">
        <v>491</v>
      </c>
      <c r="O135" s="24" t="e">
        <f>VLOOKUP(C135,[3]MAESTRA!$E$5:$AO$395,36,0)</f>
        <v>#N/A</v>
      </c>
      <c r="P135" s="16" t="s">
        <v>43</v>
      </c>
      <c r="Q135"/>
      <c r="R135"/>
    </row>
    <row r="136" spans="3:18" x14ac:dyDescent="0.25">
      <c r="C136" s="24" t="s">
        <v>494</v>
      </c>
      <c r="D136" s="24" t="s">
        <v>496</v>
      </c>
      <c r="E136" s="24" t="s">
        <v>496</v>
      </c>
      <c r="F136" s="25">
        <v>5</v>
      </c>
      <c r="G136" s="24" t="s">
        <v>376</v>
      </c>
      <c r="H136" s="24" t="s">
        <v>46</v>
      </c>
      <c r="I136" s="24" t="s">
        <v>1046</v>
      </c>
      <c r="J136" s="24" t="s">
        <v>58</v>
      </c>
      <c r="K136" s="24" t="s">
        <v>1059</v>
      </c>
      <c r="L136" s="24" t="s">
        <v>1051</v>
      </c>
      <c r="M136" s="24" t="s">
        <v>1035</v>
      </c>
      <c r="N136" s="24" t="s">
        <v>494</v>
      </c>
      <c r="O136" s="24" t="e">
        <f>VLOOKUP(C136,[3]MAESTRA!$E$5:$AO$395,36,0)</f>
        <v>#N/A</v>
      </c>
      <c r="P136" s="16" t="s">
        <v>43</v>
      </c>
      <c r="Q136"/>
      <c r="R136"/>
    </row>
    <row r="137" spans="3:18" x14ac:dyDescent="0.25">
      <c r="C137" s="24" t="s">
        <v>542</v>
      </c>
      <c r="D137" s="24" t="s">
        <v>543</v>
      </c>
      <c r="E137" s="24" t="s">
        <v>543</v>
      </c>
      <c r="F137" s="25">
        <v>6</v>
      </c>
      <c r="G137" s="24" t="s">
        <v>376</v>
      </c>
      <c r="H137" s="24" t="s">
        <v>46</v>
      </c>
      <c r="I137" s="24" t="s">
        <v>1046</v>
      </c>
      <c r="J137" s="24" t="s">
        <v>100</v>
      </c>
      <c r="K137" s="24" t="s">
        <v>1060</v>
      </c>
      <c r="L137" s="24" t="s">
        <v>1051</v>
      </c>
      <c r="M137" s="24" t="s">
        <v>1035</v>
      </c>
      <c r="N137" s="24" t="s">
        <v>542</v>
      </c>
      <c r="O137" s="24" t="e">
        <f>VLOOKUP(C137,[3]MAESTRA!$E$5:$AO$395,36,0)</f>
        <v>#N/A</v>
      </c>
      <c r="P137" s="16" t="s">
        <v>43</v>
      </c>
      <c r="Q137"/>
      <c r="R137"/>
    </row>
    <row r="138" spans="3:18" x14ac:dyDescent="0.25">
      <c r="C138" s="24" t="s">
        <v>544</v>
      </c>
      <c r="D138" s="24" t="s">
        <v>545</v>
      </c>
      <c r="E138" s="24" t="s">
        <v>545</v>
      </c>
      <c r="F138" s="25">
        <v>5</v>
      </c>
      <c r="G138" s="24" t="s">
        <v>376</v>
      </c>
      <c r="H138" s="24" t="s">
        <v>46</v>
      </c>
      <c r="I138" s="24" t="s">
        <v>1046</v>
      </c>
      <c r="J138" s="24" t="s">
        <v>100</v>
      </c>
      <c r="K138" s="24" t="s">
        <v>1060</v>
      </c>
      <c r="L138" s="24" t="s">
        <v>1051</v>
      </c>
      <c r="M138" s="24" t="s">
        <v>1035</v>
      </c>
      <c r="N138" s="24" t="s">
        <v>544</v>
      </c>
      <c r="O138" s="24" t="e">
        <f>VLOOKUP(C138,[3]MAESTRA!$E$5:$AO$395,36,0)</f>
        <v>#N/A</v>
      </c>
      <c r="P138" s="16" t="s">
        <v>43</v>
      </c>
      <c r="Q138"/>
      <c r="R138"/>
    </row>
    <row r="139" spans="3:18" x14ac:dyDescent="0.25">
      <c r="C139" s="24" t="s">
        <v>810</v>
      </c>
      <c r="D139" s="24" t="s">
        <v>811</v>
      </c>
      <c r="E139" s="24" t="s">
        <v>811</v>
      </c>
      <c r="F139" s="25">
        <v>5</v>
      </c>
      <c r="G139" s="24" t="s">
        <v>376</v>
      </c>
      <c r="H139" s="24" t="s">
        <v>46</v>
      </c>
      <c r="I139" s="24" t="s">
        <v>1046</v>
      </c>
      <c r="J139" s="24" t="s">
        <v>146</v>
      </c>
      <c r="K139" s="24" t="s">
        <v>1064</v>
      </c>
      <c r="L139" s="24" t="s">
        <v>1051</v>
      </c>
      <c r="M139" s="24" t="s">
        <v>1035</v>
      </c>
      <c r="N139" s="24" t="s">
        <v>810</v>
      </c>
      <c r="O139" s="24" t="e">
        <f>VLOOKUP(C139,[3]MAESTRA!$E$5:$AO$395,36,0)</f>
        <v>#N/A</v>
      </c>
      <c r="P139" s="16" t="s">
        <v>43</v>
      </c>
      <c r="Q139"/>
      <c r="R139"/>
    </row>
    <row r="140" spans="3:18" x14ac:dyDescent="0.25">
      <c r="C140" s="24" t="s">
        <v>79</v>
      </c>
      <c r="D140" s="24" t="s">
        <v>80</v>
      </c>
      <c r="E140" s="24" t="s">
        <v>80</v>
      </c>
      <c r="F140" s="25" t="s">
        <v>36</v>
      </c>
      <c r="G140" s="24" t="s">
        <v>37</v>
      </c>
      <c r="H140" s="24" t="s">
        <v>81</v>
      </c>
      <c r="I140" s="24" t="s">
        <v>1046</v>
      </c>
      <c r="J140" s="24">
        <v>0</v>
      </c>
      <c r="K140" s="24" t="s">
        <v>1064</v>
      </c>
      <c r="L140" s="24" t="s">
        <v>1051</v>
      </c>
      <c r="M140" s="24" t="s">
        <v>1053</v>
      </c>
      <c r="N140" s="24" t="s">
        <v>79</v>
      </c>
      <c r="O140" s="24" t="e">
        <f>VLOOKUP(C140,[3]MAESTRA!$E$5:$AO$395,36,0)</f>
        <v>#N/A</v>
      </c>
      <c r="P140" s="16" t="s">
        <v>43</v>
      </c>
      <c r="Q140"/>
      <c r="R140"/>
    </row>
    <row r="141" spans="3:18" x14ac:dyDescent="0.25">
      <c r="C141" s="24" t="s">
        <v>870</v>
      </c>
      <c r="D141" s="24" t="s">
        <v>871</v>
      </c>
      <c r="E141" s="24" t="s">
        <v>871</v>
      </c>
      <c r="F141" s="25">
        <v>5</v>
      </c>
      <c r="G141" s="24" t="s">
        <v>376</v>
      </c>
      <c r="H141" s="24" t="s">
        <v>46</v>
      </c>
      <c r="I141" s="24" t="s">
        <v>1046</v>
      </c>
      <c r="J141" s="24" t="s">
        <v>132</v>
      </c>
      <c r="K141" s="24" t="s">
        <v>1077</v>
      </c>
      <c r="L141" s="24" t="s">
        <v>1051</v>
      </c>
      <c r="M141" s="24" t="s">
        <v>1035</v>
      </c>
      <c r="N141" s="24" t="s">
        <v>870</v>
      </c>
      <c r="O141" s="24" t="e">
        <f>VLOOKUP(C141,[3]MAESTRA!$E$5:$AO$395,36,0)</f>
        <v>#N/A</v>
      </c>
      <c r="P141" s="16" t="s">
        <v>43</v>
      </c>
      <c r="Q141"/>
      <c r="R141"/>
    </row>
    <row r="142" spans="3:18" x14ac:dyDescent="0.25">
      <c r="C142" s="24">
        <v>50096</v>
      </c>
      <c r="D142" s="24" t="s">
        <v>683</v>
      </c>
      <c r="E142" s="24" t="s">
        <v>684</v>
      </c>
      <c r="F142" s="25">
        <v>5</v>
      </c>
      <c r="G142" s="24" t="s">
        <v>376</v>
      </c>
      <c r="H142" s="24" t="s">
        <v>81</v>
      </c>
      <c r="I142" s="24" t="s">
        <v>1046</v>
      </c>
      <c r="J142" s="24" t="s">
        <v>248</v>
      </c>
      <c r="K142" s="24" t="s">
        <v>1059</v>
      </c>
      <c r="L142" s="24" t="s">
        <v>1051</v>
      </c>
      <c r="M142" s="3" t="s">
        <v>984</v>
      </c>
      <c r="N142" s="24">
        <v>50096</v>
      </c>
      <c r="O142" s="24" t="e">
        <f>VLOOKUP(C142,[3]MAESTRA!$E$5:$AO$395,36,0)</f>
        <v>#N/A</v>
      </c>
      <c r="P142" s="16" t="s">
        <v>43</v>
      </c>
      <c r="Q142"/>
      <c r="R142"/>
    </row>
    <row r="143" spans="3:18" x14ac:dyDescent="0.25">
      <c r="C143" s="24">
        <v>50724</v>
      </c>
      <c r="D143" s="24" t="s">
        <v>900</v>
      </c>
      <c r="E143" s="24" t="s">
        <v>900</v>
      </c>
      <c r="F143" s="25">
        <v>5</v>
      </c>
      <c r="G143" s="24" t="s">
        <v>376</v>
      </c>
      <c r="H143" s="24" t="s">
        <v>46</v>
      </c>
      <c r="I143" s="24" t="s">
        <v>1046</v>
      </c>
      <c r="J143" s="24" t="s">
        <v>73</v>
      </c>
      <c r="K143" s="24" t="s">
        <v>1081</v>
      </c>
      <c r="L143" s="24" t="s">
        <v>1051</v>
      </c>
      <c r="M143" s="3" t="s">
        <v>378</v>
      </c>
      <c r="N143" s="24">
        <v>50724</v>
      </c>
      <c r="O143" s="24" t="e">
        <f>VLOOKUP(C143,[3]MAESTRA!$E$5:$AO$395,36,0)</f>
        <v>#N/A</v>
      </c>
      <c r="P143" s="16" t="s">
        <v>43</v>
      </c>
      <c r="Q143"/>
      <c r="R143"/>
    </row>
    <row r="144" spans="3:18" x14ac:dyDescent="0.25">
      <c r="C144" s="24">
        <v>50863</v>
      </c>
      <c r="D144" s="24" t="s">
        <v>901</v>
      </c>
      <c r="E144" s="24" t="s">
        <v>902</v>
      </c>
      <c r="F144" s="25">
        <v>5</v>
      </c>
      <c r="G144" s="24" t="s">
        <v>376</v>
      </c>
      <c r="H144" s="24" t="s">
        <v>81</v>
      </c>
      <c r="I144" s="24" t="s">
        <v>1046</v>
      </c>
      <c r="J144" s="24" t="s">
        <v>73</v>
      </c>
      <c r="K144" s="24" t="s">
        <v>1085</v>
      </c>
      <c r="L144" s="24" t="s">
        <v>1051</v>
      </c>
      <c r="M144" s="3" t="s">
        <v>378</v>
      </c>
      <c r="N144" s="24">
        <v>50863</v>
      </c>
      <c r="O144" s="24" t="e">
        <f>VLOOKUP(C144,[3]MAESTRA!$E$5:$AO$395,36,0)</f>
        <v>#N/A</v>
      </c>
      <c r="P144" s="16" t="s">
        <v>43</v>
      </c>
      <c r="Q144"/>
      <c r="R144"/>
    </row>
    <row r="145" spans="3:18" x14ac:dyDescent="0.25">
      <c r="C145" s="24" t="s">
        <v>82</v>
      </c>
      <c r="D145" s="24" t="s">
        <v>83</v>
      </c>
      <c r="E145" s="24" t="s">
        <v>83</v>
      </c>
      <c r="F145" s="25" t="s">
        <v>36</v>
      </c>
      <c r="G145" s="24" t="s">
        <v>37</v>
      </c>
      <c r="H145" s="24" t="s">
        <v>81</v>
      </c>
      <c r="I145" s="24" t="s">
        <v>1046</v>
      </c>
      <c r="J145" s="24" t="s">
        <v>1048</v>
      </c>
      <c r="K145" s="24" t="s">
        <v>1086</v>
      </c>
      <c r="L145" s="24" t="s">
        <v>1062</v>
      </c>
      <c r="M145" s="3" t="s">
        <v>378</v>
      </c>
      <c r="N145" s="24" t="s">
        <v>82</v>
      </c>
      <c r="O145" s="24" t="e">
        <f>VLOOKUP(C145,[3]MAESTRA!$E$5:$AO$395,36,0)</f>
        <v>#N/A</v>
      </c>
      <c r="P145" s="16" t="s">
        <v>43</v>
      </c>
      <c r="Q145"/>
      <c r="R145"/>
    </row>
    <row r="146" spans="3:18" x14ac:dyDescent="0.25">
      <c r="C146" s="24" t="s">
        <v>86</v>
      </c>
      <c r="D146" s="24" t="s">
        <v>87</v>
      </c>
      <c r="E146" s="24" t="s">
        <v>87</v>
      </c>
      <c r="F146" s="25" t="s">
        <v>36</v>
      </c>
      <c r="G146" s="24" t="s">
        <v>37</v>
      </c>
      <c r="H146" s="24" t="s">
        <v>88</v>
      </c>
      <c r="I146" s="24" t="s">
        <v>1046</v>
      </c>
      <c r="J146" s="24" t="s">
        <v>89</v>
      </c>
      <c r="K146" s="24" t="s">
        <v>1080</v>
      </c>
      <c r="L146" s="24" t="s">
        <v>1076</v>
      </c>
      <c r="M146" s="3" t="s">
        <v>378</v>
      </c>
      <c r="N146" s="24" t="s">
        <v>86</v>
      </c>
      <c r="O146" s="24" t="e">
        <f>VLOOKUP(C146,[3]MAESTRA!$E$5:$AO$395,36,0)</f>
        <v>#N/A</v>
      </c>
      <c r="P146" s="16" t="s">
        <v>43</v>
      </c>
      <c r="Q146"/>
      <c r="R146"/>
    </row>
    <row r="147" spans="3:18" x14ac:dyDescent="0.25">
      <c r="C147" s="24" t="s">
        <v>576</v>
      </c>
      <c r="D147" s="24" t="s">
        <v>577</v>
      </c>
      <c r="E147" s="24" t="s">
        <v>577</v>
      </c>
      <c r="F147" s="25">
        <v>5</v>
      </c>
      <c r="G147" s="24" t="s">
        <v>376</v>
      </c>
      <c r="H147" s="24" t="s">
        <v>46</v>
      </c>
      <c r="I147" s="24" t="s">
        <v>1046</v>
      </c>
      <c r="J147" s="24" t="s">
        <v>331</v>
      </c>
      <c r="K147" s="24" t="s">
        <v>1060</v>
      </c>
      <c r="L147" s="24" t="s">
        <v>1051</v>
      </c>
      <c r="M147" s="3" t="s">
        <v>984</v>
      </c>
      <c r="N147" s="24" t="s">
        <v>576</v>
      </c>
      <c r="O147" s="24" t="e">
        <f>VLOOKUP(C147,[3]MAESTRA!$E$5:$AO$395,36,0)</f>
        <v>#N/A</v>
      </c>
      <c r="P147" s="16" t="s">
        <v>43</v>
      </c>
      <c r="Q147"/>
      <c r="R147"/>
    </row>
    <row r="148" spans="3:18" x14ac:dyDescent="0.25">
      <c r="C148" s="24" t="s">
        <v>92</v>
      </c>
      <c r="D148" s="24" t="s">
        <v>93</v>
      </c>
      <c r="E148" s="24" t="s">
        <v>93</v>
      </c>
      <c r="F148" s="25" t="s">
        <v>36</v>
      </c>
      <c r="G148" s="24" t="s">
        <v>37</v>
      </c>
      <c r="H148" s="24" t="s">
        <v>81</v>
      </c>
      <c r="I148" s="24" t="s">
        <v>1046</v>
      </c>
      <c r="J148" s="24" t="s">
        <v>94</v>
      </c>
      <c r="K148" s="24" t="s">
        <v>1065</v>
      </c>
      <c r="L148" s="24" t="s">
        <v>1051</v>
      </c>
      <c r="M148" s="24" t="s">
        <v>1035</v>
      </c>
      <c r="N148" s="24" t="s">
        <v>92</v>
      </c>
      <c r="O148" s="24" t="e">
        <f>VLOOKUP(C148,[3]MAESTRA!$E$5:$AO$395,36,0)</f>
        <v>#N/A</v>
      </c>
      <c r="P148" s="16" t="s">
        <v>43</v>
      </c>
      <c r="Q148"/>
      <c r="R148"/>
    </row>
    <row r="149" spans="3:18" x14ac:dyDescent="0.25">
      <c r="C149" s="24" t="s">
        <v>782</v>
      </c>
      <c r="D149" s="24" t="s">
        <v>783</v>
      </c>
      <c r="E149" s="24" t="s">
        <v>783</v>
      </c>
      <c r="F149" s="25">
        <v>5</v>
      </c>
      <c r="G149" s="24" t="s">
        <v>376</v>
      </c>
      <c r="H149" s="24" t="s">
        <v>81</v>
      </c>
      <c r="I149" s="24" t="s">
        <v>1031</v>
      </c>
      <c r="J149" s="24" t="s">
        <v>89</v>
      </c>
      <c r="K149" s="24" t="s">
        <v>1087</v>
      </c>
      <c r="L149" s="24" t="s">
        <v>1088</v>
      </c>
      <c r="M149" s="3" t="s">
        <v>378</v>
      </c>
      <c r="N149" s="24" t="s">
        <v>782</v>
      </c>
      <c r="O149" s="24" t="e">
        <f>VLOOKUP(C149,[3]MAESTRA!$E$5:$AO$395,36,0)</f>
        <v>#N/A</v>
      </c>
      <c r="P149" s="16" t="s">
        <v>43</v>
      </c>
      <c r="Q149"/>
      <c r="R149"/>
    </row>
    <row r="150" spans="3:18" x14ac:dyDescent="0.25">
      <c r="C150" s="24" t="s">
        <v>95</v>
      </c>
      <c r="D150" s="24" t="s">
        <v>96</v>
      </c>
      <c r="E150" s="24" t="s">
        <v>96</v>
      </c>
      <c r="F150" s="25" t="s">
        <v>36</v>
      </c>
      <c r="G150" s="24" t="s">
        <v>37</v>
      </c>
      <c r="H150" s="24" t="s">
        <v>81</v>
      </c>
      <c r="I150" s="24" t="s">
        <v>1046</v>
      </c>
      <c r="J150" s="24">
        <v>0</v>
      </c>
      <c r="K150" s="24" t="s">
        <v>1069</v>
      </c>
      <c r="L150" s="24" t="s">
        <v>1051</v>
      </c>
      <c r="M150" s="24" t="s">
        <v>1053</v>
      </c>
      <c r="N150" s="24" t="s">
        <v>95</v>
      </c>
      <c r="O150" s="24" t="e">
        <f>VLOOKUP(C150,[3]MAESTRA!$E$5:$AO$395,36,0)</f>
        <v>#N/A</v>
      </c>
      <c r="P150" s="16" t="s">
        <v>43</v>
      </c>
      <c r="Q150"/>
      <c r="R150"/>
    </row>
    <row r="151" spans="3:18" x14ac:dyDescent="0.25">
      <c r="C151" s="24" t="s">
        <v>98</v>
      </c>
      <c r="D151" s="24" t="s">
        <v>99</v>
      </c>
      <c r="E151" s="24" t="s">
        <v>99</v>
      </c>
      <c r="F151" s="25" t="s">
        <v>36</v>
      </c>
      <c r="G151" s="24" t="s">
        <v>37</v>
      </c>
      <c r="H151" s="24" t="s">
        <v>81</v>
      </c>
      <c r="I151" s="24" t="s">
        <v>1046</v>
      </c>
      <c r="J151" s="24" t="s">
        <v>100</v>
      </c>
      <c r="K151" s="24" t="s">
        <v>1064</v>
      </c>
      <c r="L151" s="24" t="s">
        <v>1051</v>
      </c>
      <c r="M151" s="24" t="s">
        <v>1035</v>
      </c>
      <c r="N151" s="24" t="s">
        <v>98</v>
      </c>
      <c r="O151" s="24" t="e">
        <f>VLOOKUP(C151,[3]MAESTRA!$E$5:$AO$395,36,0)</f>
        <v>#N/A</v>
      </c>
      <c r="P151" s="16" t="s">
        <v>43</v>
      </c>
      <c r="Q151"/>
      <c r="R151"/>
    </row>
    <row r="152" spans="3:18" x14ac:dyDescent="0.25">
      <c r="C152" s="24" t="s">
        <v>712</v>
      </c>
      <c r="D152" s="24" t="s">
        <v>713</v>
      </c>
      <c r="E152" s="24" t="s">
        <v>713</v>
      </c>
      <c r="F152" s="25">
        <v>5</v>
      </c>
      <c r="G152" s="24" t="s">
        <v>376</v>
      </c>
      <c r="H152" s="24" t="s">
        <v>46</v>
      </c>
      <c r="I152" s="24" t="s">
        <v>1031</v>
      </c>
      <c r="J152" s="24" t="s">
        <v>84</v>
      </c>
      <c r="K152" s="24" t="s">
        <v>1061</v>
      </c>
      <c r="L152" s="24" t="s">
        <v>1062</v>
      </c>
      <c r="M152" s="3" t="s">
        <v>378</v>
      </c>
      <c r="N152" s="24" t="s">
        <v>712</v>
      </c>
      <c r="O152" s="24" t="e">
        <f>VLOOKUP(C152,[3]MAESTRA!$E$5:$AO$395,36,0)</f>
        <v>#N/A</v>
      </c>
      <c r="P152" s="16" t="s">
        <v>43</v>
      </c>
      <c r="Q152"/>
      <c r="R152"/>
    </row>
    <row r="153" spans="3:18" x14ac:dyDescent="0.25">
      <c r="C153" s="24" t="s">
        <v>101</v>
      </c>
      <c r="D153" s="24" t="s">
        <v>102</v>
      </c>
      <c r="E153" s="24" t="s">
        <v>102</v>
      </c>
      <c r="F153" s="25" t="s">
        <v>36</v>
      </c>
      <c r="G153" s="24" t="s">
        <v>37</v>
      </c>
      <c r="H153" s="24" t="s">
        <v>81</v>
      </c>
      <c r="I153" s="24" t="s">
        <v>1046</v>
      </c>
      <c r="J153" s="24" t="s">
        <v>73</v>
      </c>
      <c r="K153" s="24" t="s">
        <v>1087</v>
      </c>
      <c r="L153" s="24" t="s">
        <v>1088</v>
      </c>
      <c r="M153" s="3" t="s">
        <v>378</v>
      </c>
      <c r="N153" s="24" t="s">
        <v>101</v>
      </c>
      <c r="O153" s="24" t="e">
        <f>VLOOKUP(C153,[3]MAESTRA!$E$5:$AO$395,36,0)</f>
        <v>#N/A</v>
      </c>
      <c r="P153" s="16" t="s">
        <v>43</v>
      </c>
      <c r="Q153"/>
      <c r="R153"/>
    </row>
    <row r="154" spans="3:18" x14ac:dyDescent="0.25">
      <c r="C154" s="24" t="s">
        <v>105</v>
      </c>
      <c r="D154" s="24" t="s">
        <v>106</v>
      </c>
      <c r="E154" s="24" t="s">
        <v>106</v>
      </c>
      <c r="F154" s="25" t="s">
        <v>36</v>
      </c>
      <c r="G154" s="24" t="s">
        <v>37</v>
      </c>
      <c r="H154" s="24" t="s">
        <v>81</v>
      </c>
      <c r="I154" s="24" t="s">
        <v>1046</v>
      </c>
      <c r="J154" s="24" t="s">
        <v>100</v>
      </c>
      <c r="K154" s="24" t="s">
        <v>1064</v>
      </c>
      <c r="L154" s="24" t="s">
        <v>1051</v>
      </c>
      <c r="M154" s="24" t="s">
        <v>1035</v>
      </c>
      <c r="N154" s="24" t="s">
        <v>105</v>
      </c>
      <c r="O154" s="24" t="e">
        <f>VLOOKUP(C154,[3]MAESTRA!$E$5:$AO$395,36,0)</f>
        <v>#N/A</v>
      </c>
      <c r="P154" s="16" t="s">
        <v>43</v>
      </c>
      <c r="Q154"/>
      <c r="R154"/>
    </row>
    <row r="155" spans="3:18" x14ac:dyDescent="0.25">
      <c r="C155" s="24" t="s">
        <v>903</v>
      </c>
      <c r="D155" s="24" t="s">
        <v>904</v>
      </c>
      <c r="E155" s="24" t="s">
        <v>904</v>
      </c>
      <c r="F155" s="25">
        <v>5</v>
      </c>
      <c r="G155" s="24" t="s">
        <v>376</v>
      </c>
      <c r="H155" s="24" t="s">
        <v>46</v>
      </c>
      <c r="I155" s="24" t="s">
        <v>1046</v>
      </c>
      <c r="J155" s="24" t="s">
        <v>73</v>
      </c>
      <c r="K155" s="24" t="s">
        <v>1072</v>
      </c>
      <c r="L155" s="24" t="s">
        <v>1051</v>
      </c>
      <c r="M155" s="3" t="s">
        <v>378</v>
      </c>
      <c r="N155" s="24" t="s">
        <v>903</v>
      </c>
      <c r="O155" s="24" t="e">
        <f>VLOOKUP(C155,[3]MAESTRA!$E$5:$AO$395,36,0)</f>
        <v>#N/A</v>
      </c>
      <c r="P155" s="16" t="s">
        <v>43</v>
      </c>
      <c r="Q155"/>
      <c r="R155"/>
    </row>
    <row r="156" spans="3:18" x14ac:dyDescent="0.25">
      <c r="C156" s="24" t="s">
        <v>107</v>
      </c>
      <c r="D156" s="24" t="s">
        <v>108</v>
      </c>
      <c r="E156" s="24" t="s">
        <v>108</v>
      </c>
      <c r="F156" s="25" t="s">
        <v>36</v>
      </c>
      <c r="G156" s="24" t="s">
        <v>37</v>
      </c>
      <c r="H156" s="24" t="s">
        <v>81</v>
      </c>
      <c r="I156" s="24" t="s">
        <v>1046</v>
      </c>
      <c r="J156" s="24" t="s">
        <v>89</v>
      </c>
      <c r="K156" s="24" t="s">
        <v>1075</v>
      </c>
      <c r="L156" s="24" t="s">
        <v>1076</v>
      </c>
      <c r="M156" s="3" t="s">
        <v>378</v>
      </c>
      <c r="N156" s="24" t="s">
        <v>107</v>
      </c>
      <c r="O156" s="24" t="e">
        <f>VLOOKUP(C156,[3]MAESTRA!$E$5:$AO$395,36,0)</f>
        <v>#N/A</v>
      </c>
      <c r="P156" s="16" t="s">
        <v>43</v>
      </c>
      <c r="Q156"/>
      <c r="R156"/>
    </row>
    <row r="157" spans="3:18" x14ac:dyDescent="0.25">
      <c r="C157" s="24" t="s">
        <v>110</v>
      </c>
      <c r="D157" s="24" t="s">
        <v>111</v>
      </c>
      <c r="E157" s="24" t="s">
        <v>111</v>
      </c>
      <c r="F157" s="25" t="s">
        <v>36</v>
      </c>
      <c r="G157" s="24" t="s">
        <v>37</v>
      </c>
      <c r="H157" s="24" t="s">
        <v>81</v>
      </c>
      <c r="I157" s="24" t="s">
        <v>1046</v>
      </c>
      <c r="J157" s="24" t="s">
        <v>58</v>
      </c>
      <c r="K157" s="24" t="s">
        <v>1064</v>
      </c>
      <c r="L157" s="24" t="s">
        <v>1051</v>
      </c>
      <c r="M157" s="24" t="s">
        <v>1035</v>
      </c>
      <c r="N157" s="24" t="s">
        <v>110</v>
      </c>
      <c r="O157" s="24" t="e">
        <f>VLOOKUP(C157,[3]MAESTRA!$E$5:$AO$395,36,0)</f>
        <v>#N/A</v>
      </c>
      <c r="P157" s="16" t="s">
        <v>43</v>
      </c>
      <c r="Q157"/>
      <c r="R157"/>
    </row>
    <row r="158" spans="3:18" x14ac:dyDescent="0.25">
      <c r="C158" s="24" t="s">
        <v>112</v>
      </c>
      <c r="D158" s="24" t="s">
        <v>113</v>
      </c>
      <c r="E158" s="24" t="s">
        <v>114</v>
      </c>
      <c r="F158" s="25" t="s">
        <v>36</v>
      </c>
      <c r="G158" s="24" t="s">
        <v>37</v>
      </c>
      <c r="H158" s="24" t="s">
        <v>81</v>
      </c>
      <c r="I158" s="24" t="s">
        <v>1031</v>
      </c>
      <c r="J158" s="24" t="s">
        <v>73</v>
      </c>
      <c r="K158" s="24" t="s">
        <v>1089</v>
      </c>
      <c r="L158" s="24" t="s">
        <v>1090</v>
      </c>
      <c r="M158" s="3" t="s">
        <v>378</v>
      </c>
      <c r="N158" s="24" t="s">
        <v>112</v>
      </c>
      <c r="O158" s="24" t="e">
        <f>VLOOKUP(C158,[3]MAESTRA!$E$5:$AO$395,36,0)</f>
        <v>#N/A</v>
      </c>
      <c r="P158" s="16" t="s">
        <v>43</v>
      </c>
      <c r="Q158"/>
      <c r="R158"/>
    </row>
    <row r="159" spans="3:18" x14ac:dyDescent="0.25">
      <c r="C159" s="24" t="s">
        <v>905</v>
      </c>
      <c r="D159" s="24" t="s">
        <v>906</v>
      </c>
      <c r="E159" s="24" t="s">
        <v>906</v>
      </c>
      <c r="F159" s="25">
        <v>5</v>
      </c>
      <c r="G159" s="24" t="s">
        <v>376</v>
      </c>
      <c r="H159" s="24" t="s">
        <v>81</v>
      </c>
      <c r="I159" s="24" t="s">
        <v>1046</v>
      </c>
      <c r="J159" s="24" t="s">
        <v>73</v>
      </c>
      <c r="K159" s="24" t="s">
        <v>1091</v>
      </c>
      <c r="L159" s="24" t="s">
        <v>1051</v>
      </c>
      <c r="M159" s="3" t="s">
        <v>378</v>
      </c>
      <c r="N159" s="24" t="s">
        <v>905</v>
      </c>
      <c r="O159" s="24" t="e">
        <f>VLOOKUP(C159,[3]MAESTRA!$E$5:$AO$395,36,0)</f>
        <v>#N/A</v>
      </c>
      <c r="P159" s="16" t="s">
        <v>43</v>
      </c>
      <c r="Q159"/>
      <c r="R159"/>
    </row>
    <row r="160" spans="3:18" x14ac:dyDescent="0.25">
      <c r="C160" s="24" t="s">
        <v>685</v>
      </c>
      <c r="D160" s="24" t="s">
        <v>686</v>
      </c>
      <c r="E160" s="24" t="s">
        <v>686</v>
      </c>
      <c r="F160" s="25">
        <v>5</v>
      </c>
      <c r="G160" s="24" t="s">
        <v>376</v>
      </c>
      <c r="H160" s="24" t="s">
        <v>81</v>
      </c>
      <c r="I160" s="24" t="s">
        <v>1046</v>
      </c>
      <c r="J160" s="24" t="s">
        <v>248</v>
      </c>
      <c r="K160" s="24" t="s">
        <v>1059</v>
      </c>
      <c r="L160" s="24" t="s">
        <v>1051</v>
      </c>
      <c r="M160" s="3" t="s">
        <v>984</v>
      </c>
      <c r="N160" s="24" t="s">
        <v>685</v>
      </c>
      <c r="O160" s="24" t="e">
        <f>VLOOKUP(C160,[3]MAESTRA!$E$5:$AO$395,36,0)</f>
        <v>#N/A</v>
      </c>
      <c r="P160" s="16" t="s">
        <v>43</v>
      </c>
      <c r="Q160"/>
      <c r="R160"/>
    </row>
    <row r="161" spans="3:18" x14ac:dyDescent="0.25">
      <c r="C161" s="24" t="s">
        <v>960</v>
      </c>
      <c r="D161" s="24" t="s">
        <v>961</v>
      </c>
      <c r="E161" s="24" t="s">
        <v>961</v>
      </c>
      <c r="F161" s="25">
        <v>5</v>
      </c>
      <c r="G161" s="24" t="s">
        <v>376</v>
      </c>
      <c r="H161" s="24" t="s">
        <v>81</v>
      </c>
      <c r="I161" s="24" t="s">
        <v>1046</v>
      </c>
      <c r="J161" s="24" t="s">
        <v>160</v>
      </c>
      <c r="K161" s="24" t="s">
        <v>1058</v>
      </c>
      <c r="L161" s="24" t="s">
        <v>1051</v>
      </c>
      <c r="M161" s="3" t="s">
        <v>984</v>
      </c>
      <c r="N161" s="24" t="s">
        <v>960</v>
      </c>
      <c r="O161" s="24" t="e">
        <f>VLOOKUP(C161,[3]MAESTRA!$E$5:$AO$395,36,0)</f>
        <v>#N/A</v>
      </c>
      <c r="P161" s="16" t="s">
        <v>43</v>
      </c>
      <c r="Q161"/>
      <c r="R161"/>
    </row>
    <row r="162" spans="3:18" x14ac:dyDescent="0.25">
      <c r="C162" s="24" t="s">
        <v>754</v>
      </c>
      <c r="D162" s="24" t="s">
        <v>755</v>
      </c>
      <c r="E162" s="24" t="s">
        <v>755</v>
      </c>
      <c r="F162" s="25">
        <v>5</v>
      </c>
      <c r="G162" s="24" t="s">
        <v>376</v>
      </c>
      <c r="H162" s="24" t="s">
        <v>81</v>
      </c>
      <c r="I162" s="24" t="s">
        <v>1031</v>
      </c>
      <c r="J162" s="24" t="s">
        <v>1048</v>
      </c>
      <c r="K162" s="24" t="s">
        <v>1074</v>
      </c>
      <c r="L162" s="24" t="s">
        <v>1062</v>
      </c>
      <c r="M162" s="3" t="s">
        <v>378</v>
      </c>
      <c r="N162" s="24" t="s">
        <v>754</v>
      </c>
      <c r="O162" s="24" t="e">
        <f>VLOOKUP(C162,[3]MAESTRA!$E$5:$AO$395,36,0)</f>
        <v>#N/A</v>
      </c>
      <c r="P162" s="16" t="s">
        <v>43</v>
      </c>
      <c r="Q162"/>
      <c r="R162"/>
    </row>
    <row r="163" spans="3:18" x14ac:dyDescent="0.25">
      <c r="C163" s="24" t="s">
        <v>872</v>
      </c>
      <c r="D163" s="24" t="s">
        <v>873</v>
      </c>
      <c r="E163" s="24" t="s">
        <v>874</v>
      </c>
      <c r="F163" s="25">
        <v>5</v>
      </c>
      <c r="G163" s="24" t="s">
        <v>376</v>
      </c>
      <c r="H163" s="24" t="s">
        <v>81</v>
      </c>
      <c r="I163" s="24" t="s">
        <v>1046</v>
      </c>
      <c r="J163" s="24" t="s">
        <v>132</v>
      </c>
      <c r="K163" s="24" t="s">
        <v>1060</v>
      </c>
      <c r="L163" s="24" t="s">
        <v>1051</v>
      </c>
      <c r="M163" s="24" t="s">
        <v>1035</v>
      </c>
      <c r="N163" s="24" t="s">
        <v>872</v>
      </c>
      <c r="O163" s="24" t="e">
        <f>VLOOKUP(C163,[3]MAESTRA!$E$5:$AO$395,36,0)</f>
        <v>#N/A</v>
      </c>
      <c r="P163" s="16" t="s">
        <v>43</v>
      </c>
      <c r="Q163"/>
      <c r="R163"/>
    </row>
    <row r="164" spans="3:18" x14ac:dyDescent="0.25">
      <c r="C164" s="24" t="s">
        <v>117</v>
      </c>
      <c r="D164" s="24" t="s">
        <v>118</v>
      </c>
      <c r="E164" s="24" t="s">
        <v>118</v>
      </c>
      <c r="F164" s="25" t="s">
        <v>36</v>
      </c>
      <c r="G164" s="24" t="s">
        <v>37</v>
      </c>
      <c r="H164" s="24" t="s">
        <v>81</v>
      </c>
      <c r="I164" s="24" t="s">
        <v>1046</v>
      </c>
      <c r="J164" s="24">
        <v>0</v>
      </c>
      <c r="K164" s="24" t="s">
        <v>1064</v>
      </c>
      <c r="L164" s="24" t="s">
        <v>1051</v>
      </c>
      <c r="M164" s="24" t="s">
        <v>1053</v>
      </c>
      <c r="N164" s="24" t="s">
        <v>117</v>
      </c>
      <c r="O164" s="24" t="e">
        <f>VLOOKUP(C164,[3]MAESTRA!$E$5:$AO$395,36,0)</f>
        <v>#N/A</v>
      </c>
      <c r="P164" s="16" t="s">
        <v>43</v>
      </c>
      <c r="Q164"/>
      <c r="R164"/>
    </row>
    <row r="165" spans="3:18" x14ac:dyDescent="0.25">
      <c r="C165" s="24" t="s">
        <v>594</v>
      </c>
      <c r="D165" s="24" t="s">
        <v>595</v>
      </c>
      <c r="E165" s="24" t="s">
        <v>595</v>
      </c>
      <c r="F165" s="25">
        <v>5</v>
      </c>
      <c r="G165" s="24" t="s">
        <v>376</v>
      </c>
      <c r="H165" s="24" t="s">
        <v>81</v>
      </c>
      <c r="I165" s="24" t="s">
        <v>1046</v>
      </c>
      <c r="J165" s="24" t="s">
        <v>50</v>
      </c>
      <c r="K165" s="24" t="s">
        <v>1092</v>
      </c>
      <c r="L165" s="24" t="s">
        <v>1051</v>
      </c>
      <c r="M165" s="3" t="s">
        <v>984</v>
      </c>
      <c r="N165" s="24" t="s">
        <v>594</v>
      </c>
      <c r="O165" s="24" t="e">
        <f>VLOOKUP(C165,[3]MAESTRA!$E$5:$AO$395,36,0)</f>
        <v>#N/A</v>
      </c>
      <c r="P165" s="16" t="s">
        <v>43</v>
      </c>
      <c r="Q165"/>
      <c r="R165"/>
    </row>
    <row r="166" spans="3:18" x14ac:dyDescent="0.25">
      <c r="C166" s="24" t="s">
        <v>119</v>
      </c>
      <c r="D166" s="24" t="s">
        <v>120</v>
      </c>
      <c r="E166" s="24" t="s">
        <v>120</v>
      </c>
      <c r="F166" s="25" t="s">
        <v>36</v>
      </c>
      <c r="G166" s="24" t="s">
        <v>37</v>
      </c>
      <c r="H166" s="24" t="s">
        <v>81</v>
      </c>
      <c r="I166" s="24" t="s">
        <v>1046</v>
      </c>
      <c r="J166" s="24" t="s">
        <v>63</v>
      </c>
      <c r="K166" s="24" t="s">
        <v>1065</v>
      </c>
      <c r="L166" s="24" t="s">
        <v>1051</v>
      </c>
      <c r="M166" s="3" t="s">
        <v>378</v>
      </c>
      <c r="N166" s="24" t="s">
        <v>119</v>
      </c>
      <c r="O166" s="24" t="e">
        <f>VLOOKUP(C166,[3]MAESTRA!$E$5:$AO$395,36,0)</f>
        <v>#N/A</v>
      </c>
      <c r="P166" s="16" t="s">
        <v>43</v>
      </c>
      <c r="Q166"/>
      <c r="R166"/>
    </row>
    <row r="167" spans="3:18" x14ac:dyDescent="0.25">
      <c r="C167" s="24" t="s">
        <v>121</v>
      </c>
      <c r="D167" s="24" t="s">
        <v>122</v>
      </c>
      <c r="E167" s="24" t="s">
        <v>123</v>
      </c>
      <c r="F167" s="25" t="s">
        <v>36</v>
      </c>
      <c r="G167" s="24" t="s">
        <v>37</v>
      </c>
      <c r="H167" s="24" t="s">
        <v>81</v>
      </c>
      <c r="I167" s="24" t="s">
        <v>1046</v>
      </c>
      <c r="J167" s="24" t="s">
        <v>73</v>
      </c>
      <c r="K167" s="24" t="s">
        <v>1093</v>
      </c>
      <c r="L167" s="24" t="s">
        <v>1088</v>
      </c>
      <c r="M167" s="3" t="s">
        <v>378</v>
      </c>
      <c r="N167" s="24" t="s">
        <v>121</v>
      </c>
      <c r="O167" s="24" t="e">
        <f>VLOOKUP(C167,[3]MAESTRA!$E$5:$AO$395,36,0)</f>
        <v>#N/A</v>
      </c>
      <c r="P167" s="16" t="s">
        <v>43</v>
      </c>
      <c r="Q167"/>
      <c r="R167"/>
    </row>
    <row r="168" spans="3:18" x14ac:dyDescent="0.25">
      <c r="C168" s="24" t="s">
        <v>124</v>
      </c>
      <c r="D168" s="24" t="s">
        <v>125</v>
      </c>
      <c r="E168" s="24" t="s">
        <v>125</v>
      </c>
      <c r="F168" s="25" t="s">
        <v>36</v>
      </c>
      <c r="G168" s="24" t="s">
        <v>37</v>
      </c>
      <c r="H168" s="24" t="s">
        <v>81</v>
      </c>
      <c r="I168" s="24" t="s">
        <v>1046</v>
      </c>
      <c r="J168" s="24">
        <v>0</v>
      </c>
      <c r="K168" s="24" t="s">
        <v>1059</v>
      </c>
      <c r="L168" s="24" t="s">
        <v>1051</v>
      </c>
      <c r="M168" s="24" t="s">
        <v>1053</v>
      </c>
      <c r="N168" s="24" t="s">
        <v>124</v>
      </c>
      <c r="O168" s="24" t="e">
        <f>VLOOKUP(C168,[3]MAESTRA!$E$5:$AO$395,36,0)</f>
        <v>#N/A</v>
      </c>
      <c r="P168" s="16" t="s">
        <v>43</v>
      </c>
      <c r="Q168"/>
      <c r="R168"/>
    </row>
    <row r="169" spans="3:18" x14ac:dyDescent="0.25">
      <c r="C169" s="24" t="s">
        <v>126</v>
      </c>
      <c r="D169" s="24" t="s">
        <v>127</v>
      </c>
      <c r="E169" s="24" t="s">
        <v>128</v>
      </c>
      <c r="F169" s="25" t="s">
        <v>36</v>
      </c>
      <c r="G169" s="24" t="s">
        <v>37</v>
      </c>
      <c r="H169" s="24" t="s">
        <v>81</v>
      </c>
      <c r="I169" s="24" t="s">
        <v>1046</v>
      </c>
      <c r="J169" s="24" t="s">
        <v>73</v>
      </c>
      <c r="K169" s="24" t="s">
        <v>1094</v>
      </c>
      <c r="L169" s="24" t="s">
        <v>1090</v>
      </c>
      <c r="M169" s="3" t="s">
        <v>378</v>
      </c>
      <c r="N169" s="24" t="s">
        <v>126</v>
      </c>
      <c r="O169" s="24" t="e">
        <f>VLOOKUP(C169,[3]MAESTRA!$E$5:$AO$395,36,0)</f>
        <v>#N/A</v>
      </c>
      <c r="P169" s="16" t="s">
        <v>43</v>
      </c>
      <c r="Q169"/>
      <c r="R169"/>
    </row>
    <row r="170" spans="3:18" x14ac:dyDescent="0.25">
      <c r="C170" s="24" t="s">
        <v>546</v>
      </c>
      <c r="D170" s="24" t="s">
        <v>547</v>
      </c>
      <c r="E170" s="24" t="s">
        <v>547</v>
      </c>
      <c r="F170" s="25">
        <v>5</v>
      </c>
      <c r="G170" s="24" t="s">
        <v>376</v>
      </c>
      <c r="H170" s="24" t="s">
        <v>46</v>
      </c>
      <c r="I170" s="24" t="s">
        <v>1046</v>
      </c>
      <c r="J170" s="24" t="s">
        <v>100</v>
      </c>
      <c r="K170" s="24" t="s">
        <v>1060</v>
      </c>
      <c r="L170" s="24" t="s">
        <v>1051</v>
      </c>
      <c r="M170" s="24" t="s">
        <v>1035</v>
      </c>
      <c r="N170" s="24" t="s">
        <v>546</v>
      </c>
      <c r="O170" s="24" t="e">
        <f>VLOOKUP(C170,[3]MAESTRA!$E$5:$AO$395,36,0)</f>
        <v>#N/A</v>
      </c>
      <c r="P170" s="16" t="s">
        <v>43</v>
      </c>
      <c r="Q170"/>
      <c r="R170"/>
    </row>
    <row r="171" spans="3:18" x14ac:dyDescent="0.25">
      <c r="C171" s="24" t="s">
        <v>130</v>
      </c>
      <c r="D171" s="24" t="s">
        <v>131</v>
      </c>
      <c r="E171" s="24" t="s">
        <v>131</v>
      </c>
      <c r="F171" s="25" t="s">
        <v>36</v>
      </c>
      <c r="G171" s="24" t="s">
        <v>37</v>
      </c>
      <c r="H171" s="24" t="s">
        <v>81</v>
      </c>
      <c r="I171" s="24" t="s">
        <v>1046</v>
      </c>
      <c r="J171" s="24" t="s">
        <v>132</v>
      </c>
      <c r="K171" s="24" t="s">
        <v>1082</v>
      </c>
      <c r="L171" s="24" t="s">
        <v>1051</v>
      </c>
      <c r="M171" s="24" t="s">
        <v>1035</v>
      </c>
      <c r="N171" s="24" t="s">
        <v>130</v>
      </c>
      <c r="O171" s="24" t="e">
        <f>VLOOKUP(C171,[3]MAESTRA!$E$5:$AO$395,36,0)</f>
        <v>#N/A</v>
      </c>
      <c r="P171" s="16" t="s">
        <v>43</v>
      </c>
      <c r="Q171"/>
      <c r="R171"/>
    </row>
    <row r="172" spans="3:18" x14ac:dyDescent="0.25">
      <c r="C172" s="24" t="s">
        <v>134</v>
      </c>
      <c r="D172" s="24" t="s">
        <v>135</v>
      </c>
      <c r="E172" s="24" t="s">
        <v>135</v>
      </c>
      <c r="F172" s="25" t="s">
        <v>36</v>
      </c>
      <c r="G172" s="24" t="s">
        <v>37</v>
      </c>
      <c r="H172" s="24" t="s">
        <v>81</v>
      </c>
      <c r="I172" s="24" t="s">
        <v>1046</v>
      </c>
      <c r="J172" s="24" t="s">
        <v>132</v>
      </c>
      <c r="K172" s="24" t="s">
        <v>1059</v>
      </c>
      <c r="L172" s="24" t="s">
        <v>1051</v>
      </c>
      <c r="M172" s="24" t="s">
        <v>1035</v>
      </c>
      <c r="N172" s="24" t="s">
        <v>134</v>
      </c>
      <c r="O172" s="24" t="e">
        <f>VLOOKUP(C172,[3]MAESTRA!$E$5:$AO$395,36,0)</f>
        <v>#N/A</v>
      </c>
      <c r="P172" s="16" t="s">
        <v>43</v>
      </c>
      <c r="Q172"/>
      <c r="R172"/>
    </row>
    <row r="173" spans="3:18" x14ac:dyDescent="0.25">
      <c r="C173" s="24" t="s">
        <v>136</v>
      </c>
      <c r="D173" s="24" t="s">
        <v>137</v>
      </c>
      <c r="E173" s="24" t="s">
        <v>137</v>
      </c>
      <c r="F173" s="25" t="s">
        <v>36</v>
      </c>
      <c r="G173" s="24" t="s">
        <v>37</v>
      </c>
      <c r="H173" s="24" t="s">
        <v>88</v>
      </c>
      <c r="I173" s="24" t="s">
        <v>1046</v>
      </c>
      <c r="J173" s="24" t="s">
        <v>58</v>
      </c>
      <c r="K173" s="24" t="s">
        <v>1060</v>
      </c>
      <c r="L173" s="24" t="s">
        <v>1051</v>
      </c>
      <c r="M173" s="24" t="s">
        <v>1035</v>
      </c>
      <c r="N173" s="24" t="s">
        <v>136</v>
      </c>
      <c r="O173" s="24" t="e">
        <f>VLOOKUP(C173,[3]MAESTRA!$E$5:$AO$395,36,0)</f>
        <v>#N/A</v>
      </c>
      <c r="P173" s="16" t="s">
        <v>43</v>
      </c>
      <c r="Q173"/>
      <c r="R173"/>
    </row>
    <row r="174" spans="3:18" x14ac:dyDescent="0.25">
      <c r="C174" s="24" t="s">
        <v>139</v>
      </c>
      <c r="D174" s="24" t="s">
        <v>140</v>
      </c>
      <c r="E174" s="24" t="s">
        <v>140</v>
      </c>
      <c r="F174" s="25" t="s">
        <v>36</v>
      </c>
      <c r="G174" s="24" t="s">
        <v>37</v>
      </c>
      <c r="H174" s="24" t="s">
        <v>88</v>
      </c>
      <c r="I174" s="24" t="s">
        <v>1046</v>
      </c>
      <c r="J174" s="24" t="s">
        <v>89</v>
      </c>
      <c r="K174" s="24" t="s">
        <v>1075</v>
      </c>
      <c r="L174" s="24" t="s">
        <v>1076</v>
      </c>
      <c r="M174" s="3" t="s">
        <v>378</v>
      </c>
      <c r="N174" s="24" t="s">
        <v>139</v>
      </c>
      <c r="O174" s="24" t="e">
        <f>VLOOKUP(C174,[3]MAESTRA!$E$5:$AO$395,36,0)</f>
        <v>#N/A</v>
      </c>
      <c r="P174" s="16" t="s">
        <v>43</v>
      </c>
      <c r="Q174"/>
      <c r="R174"/>
    </row>
    <row r="175" spans="3:18" x14ac:dyDescent="0.25">
      <c r="C175" s="24" t="s">
        <v>411</v>
      </c>
      <c r="D175" s="24" t="s">
        <v>412</v>
      </c>
      <c r="E175" s="24" t="s">
        <v>412</v>
      </c>
      <c r="F175" s="25">
        <v>5</v>
      </c>
      <c r="G175" s="24" t="s">
        <v>376</v>
      </c>
      <c r="H175" s="24" t="s">
        <v>46</v>
      </c>
      <c r="I175" s="24" t="s">
        <v>1031</v>
      </c>
      <c r="J175" s="24" t="s">
        <v>63</v>
      </c>
      <c r="K175" s="24" t="s">
        <v>1060</v>
      </c>
      <c r="L175" s="24" t="s">
        <v>1051</v>
      </c>
      <c r="M175" s="3" t="s">
        <v>378</v>
      </c>
      <c r="N175" s="24" t="s">
        <v>411</v>
      </c>
      <c r="O175" s="24" t="e">
        <f>VLOOKUP(C175,[3]MAESTRA!$E$5:$AO$395,36,0)</f>
        <v>#N/A</v>
      </c>
      <c r="P175" s="16" t="s">
        <v>440</v>
      </c>
      <c r="Q175"/>
      <c r="R175"/>
    </row>
    <row r="176" spans="3:18" x14ac:dyDescent="0.25">
      <c r="C176" s="24" t="s">
        <v>578</v>
      </c>
      <c r="D176" s="24" t="s">
        <v>579</v>
      </c>
      <c r="E176" s="24" t="s">
        <v>579</v>
      </c>
      <c r="F176" s="25">
        <v>5</v>
      </c>
      <c r="G176" s="24" t="s">
        <v>376</v>
      </c>
      <c r="H176" s="24" t="s">
        <v>46</v>
      </c>
      <c r="I176" s="24" t="s">
        <v>1046</v>
      </c>
      <c r="J176" s="24" t="s">
        <v>331</v>
      </c>
      <c r="K176" s="24" t="s">
        <v>1060</v>
      </c>
      <c r="L176" s="24" t="s">
        <v>1051</v>
      </c>
      <c r="M176" s="3" t="s">
        <v>984</v>
      </c>
      <c r="N176" s="24" t="s">
        <v>578</v>
      </c>
      <c r="O176" s="24" t="e">
        <f>VLOOKUP(C176,[3]MAESTRA!$E$5:$AO$395,36,0)</f>
        <v>#N/A</v>
      </c>
      <c r="P176" s="16" t="s">
        <v>43</v>
      </c>
      <c r="Q176"/>
      <c r="R176"/>
    </row>
    <row r="177" spans="3:18" x14ac:dyDescent="0.25">
      <c r="C177" s="24" t="s">
        <v>908</v>
      </c>
      <c r="D177" s="24" t="s">
        <v>909</v>
      </c>
      <c r="E177" s="24" t="s">
        <v>910</v>
      </c>
      <c r="F177" s="25">
        <v>5</v>
      </c>
      <c r="G177" s="24" t="s">
        <v>37</v>
      </c>
      <c r="H177" s="24" t="s">
        <v>81</v>
      </c>
      <c r="I177" s="24" t="s">
        <v>1046</v>
      </c>
      <c r="J177" s="24" t="s">
        <v>73</v>
      </c>
      <c r="K177" s="24" t="s">
        <v>1095</v>
      </c>
      <c r="L177" s="24" t="s">
        <v>1051</v>
      </c>
      <c r="M177" s="3" t="s">
        <v>378</v>
      </c>
      <c r="N177" s="24" t="s">
        <v>908</v>
      </c>
      <c r="O177" s="24" t="e">
        <f>VLOOKUP(C177,[3]MAESTRA!$E$5:$AO$395,36,0)</f>
        <v>#N/A</v>
      </c>
      <c r="P177" s="16" t="s">
        <v>43</v>
      </c>
      <c r="Q177"/>
      <c r="R177"/>
    </row>
    <row r="178" spans="3:18" x14ac:dyDescent="0.25">
      <c r="C178" s="24" t="s">
        <v>413</v>
      </c>
      <c r="D178" s="24" t="s">
        <v>414</v>
      </c>
      <c r="E178" s="24" t="s">
        <v>414</v>
      </c>
      <c r="F178" s="25">
        <v>5</v>
      </c>
      <c r="G178" s="24" t="s">
        <v>376</v>
      </c>
      <c r="H178" s="24" t="s">
        <v>46</v>
      </c>
      <c r="I178" s="24" t="s">
        <v>1031</v>
      </c>
      <c r="J178" s="24" t="s">
        <v>63</v>
      </c>
      <c r="K178" s="24" t="s">
        <v>1060</v>
      </c>
      <c r="L178" s="24" t="s">
        <v>1051</v>
      </c>
      <c r="M178" s="3" t="s">
        <v>378</v>
      </c>
      <c r="N178" s="24" t="s">
        <v>413</v>
      </c>
      <c r="O178" s="24" t="e">
        <f>VLOOKUP(C178,[3]MAESTRA!$E$5:$AO$395,36,0)</f>
        <v>#N/A</v>
      </c>
      <c r="P178" s="16" t="s">
        <v>43</v>
      </c>
      <c r="Q178"/>
      <c r="R178"/>
    </row>
    <row r="179" spans="3:18" x14ac:dyDescent="0.25">
      <c r="C179" s="24" t="s">
        <v>580</v>
      </c>
      <c r="D179" s="24" t="s">
        <v>581</v>
      </c>
      <c r="E179" s="24" t="s">
        <v>581</v>
      </c>
      <c r="F179" s="25">
        <v>5</v>
      </c>
      <c r="G179" s="24" t="s">
        <v>376</v>
      </c>
      <c r="H179" s="24" t="s">
        <v>46</v>
      </c>
      <c r="I179" s="24" t="s">
        <v>1046</v>
      </c>
      <c r="J179" s="24" t="s">
        <v>331</v>
      </c>
      <c r="K179" s="24" t="s">
        <v>1060</v>
      </c>
      <c r="L179" s="24" t="s">
        <v>1051</v>
      </c>
      <c r="M179" s="3" t="s">
        <v>984</v>
      </c>
      <c r="N179" s="24" t="s">
        <v>580</v>
      </c>
      <c r="O179" s="24" t="e">
        <f>VLOOKUP(C179,[3]MAESTRA!$E$5:$AO$395,36,0)</f>
        <v>#N/A</v>
      </c>
      <c r="P179" s="16" t="s">
        <v>43</v>
      </c>
      <c r="Q179"/>
      <c r="R179"/>
    </row>
    <row r="180" spans="3:18" x14ac:dyDescent="0.25">
      <c r="C180" s="24" t="s">
        <v>756</v>
      </c>
      <c r="D180" s="24" t="s">
        <v>757</v>
      </c>
      <c r="E180" s="24" t="s">
        <v>757</v>
      </c>
      <c r="F180" s="25">
        <v>5</v>
      </c>
      <c r="G180" s="24" t="s">
        <v>376</v>
      </c>
      <c r="H180" s="24" t="s">
        <v>46</v>
      </c>
      <c r="I180" s="24" t="s">
        <v>1031</v>
      </c>
      <c r="J180" s="24" t="s">
        <v>1048</v>
      </c>
      <c r="K180" s="24" t="s">
        <v>1061</v>
      </c>
      <c r="L180" s="24" t="s">
        <v>1062</v>
      </c>
      <c r="M180" s="3" t="s">
        <v>378</v>
      </c>
      <c r="N180" s="24" t="s">
        <v>756</v>
      </c>
      <c r="O180" s="24" t="e">
        <f>VLOOKUP(C180,[3]MAESTRA!$E$5:$AO$395,36,0)</f>
        <v>#N/A</v>
      </c>
      <c r="P180" s="16" t="s">
        <v>43</v>
      </c>
      <c r="Q180"/>
      <c r="R180"/>
    </row>
    <row r="181" spans="3:18" x14ac:dyDescent="0.25">
      <c r="C181" s="24" t="s">
        <v>812</v>
      </c>
      <c r="D181" s="24" t="s">
        <v>813</v>
      </c>
      <c r="E181" s="24" t="s">
        <v>813</v>
      </c>
      <c r="F181" s="25">
        <v>5</v>
      </c>
      <c r="G181" s="24" t="s">
        <v>376</v>
      </c>
      <c r="H181" s="24" t="s">
        <v>46</v>
      </c>
      <c r="I181" s="24" t="s">
        <v>1046</v>
      </c>
      <c r="J181" s="24" t="s">
        <v>146</v>
      </c>
      <c r="K181" s="24" t="s">
        <v>1064</v>
      </c>
      <c r="L181" s="24" t="s">
        <v>1051</v>
      </c>
      <c r="M181" s="24" t="s">
        <v>1035</v>
      </c>
      <c r="N181" s="24" t="s">
        <v>812</v>
      </c>
      <c r="O181" s="24" t="e">
        <f>VLOOKUP(C181,[3]MAESTRA!$E$5:$AO$395,36,0)</f>
        <v>#N/A</v>
      </c>
      <c r="P181" s="16" t="s">
        <v>43</v>
      </c>
      <c r="Q181"/>
      <c r="R181"/>
    </row>
    <row r="182" spans="3:18" x14ac:dyDescent="0.25">
      <c r="C182" s="24" t="s">
        <v>141</v>
      </c>
      <c r="D182" s="24" t="s">
        <v>142</v>
      </c>
      <c r="E182" s="24" t="s">
        <v>142</v>
      </c>
      <c r="F182" s="25" t="s">
        <v>36</v>
      </c>
      <c r="G182" s="24" t="s">
        <v>37</v>
      </c>
      <c r="H182" s="24" t="s">
        <v>81</v>
      </c>
      <c r="I182" s="24" t="s">
        <v>1046</v>
      </c>
      <c r="J182" s="24">
        <v>0</v>
      </c>
      <c r="K182" s="24" t="s">
        <v>1096</v>
      </c>
      <c r="L182" s="24" t="s">
        <v>1051</v>
      </c>
      <c r="M182" s="24" t="s">
        <v>1053</v>
      </c>
      <c r="N182" s="24" t="s">
        <v>141</v>
      </c>
      <c r="O182" s="24" t="e">
        <f>VLOOKUP(C182,[3]MAESTRA!$E$5:$AO$395,36,0)</f>
        <v>#N/A</v>
      </c>
      <c r="P182" s="16" t="s">
        <v>43</v>
      </c>
      <c r="Q182"/>
      <c r="R182"/>
    </row>
    <row r="183" spans="3:18" x14ac:dyDescent="0.25">
      <c r="C183" s="24" t="s">
        <v>437</v>
      </c>
      <c r="D183" s="24" t="s">
        <v>438</v>
      </c>
      <c r="E183" s="24" t="s">
        <v>439</v>
      </c>
      <c r="F183" s="25">
        <v>5</v>
      </c>
      <c r="G183" s="24" t="s">
        <v>376</v>
      </c>
      <c r="H183" s="24" t="s">
        <v>81</v>
      </c>
      <c r="I183" s="24" t="s">
        <v>1046</v>
      </c>
      <c r="J183" s="24" t="s">
        <v>94</v>
      </c>
      <c r="K183" s="24" t="s">
        <v>1065</v>
      </c>
      <c r="L183" s="24" t="s">
        <v>1051</v>
      </c>
      <c r="M183" s="24" t="s">
        <v>1035</v>
      </c>
      <c r="N183" s="24" t="s">
        <v>437</v>
      </c>
      <c r="O183" s="24" t="e">
        <f>VLOOKUP(C183,[3]MAESTRA!$E$5:$AO$395,36,0)</f>
        <v>#N/A</v>
      </c>
      <c r="P183" s="16" t="s">
        <v>43</v>
      </c>
      <c r="Q183"/>
      <c r="R183"/>
    </row>
    <row r="184" spans="3:18" x14ac:dyDescent="0.25">
      <c r="C184" s="24" t="s">
        <v>497</v>
      </c>
      <c r="D184" s="24" t="s">
        <v>498</v>
      </c>
      <c r="E184" s="24" t="s">
        <v>499</v>
      </c>
      <c r="F184" s="25">
        <v>5</v>
      </c>
      <c r="G184" s="24" t="s">
        <v>376</v>
      </c>
      <c r="H184" s="24" t="s">
        <v>46</v>
      </c>
      <c r="I184" s="24" t="s">
        <v>1046</v>
      </c>
      <c r="J184" s="24" t="s">
        <v>58</v>
      </c>
      <c r="K184" s="24" t="s">
        <v>1059</v>
      </c>
      <c r="L184" s="24" t="s">
        <v>1051</v>
      </c>
      <c r="M184" s="24" t="s">
        <v>1035</v>
      </c>
      <c r="N184" s="24" t="s">
        <v>497</v>
      </c>
      <c r="O184" s="24" t="e">
        <f>VLOOKUP(C184,[3]MAESTRA!$E$5:$AO$395,36,0)</f>
        <v>#N/A</v>
      </c>
      <c r="P184" s="16" t="s">
        <v>43</v>
      </c>
      <c r="Q184"/>
      <c r="R184"/>
    </row>
    <row r="185" spans="3:18" x14ac:dyDescent="0.25">
      <c r="C185" s="24" t="s">
        <v>144</v>
      </c>
      <c r="D185" s="24" t="s">
        <v>145</v>
      </c>
      <c r="E185" s="24" t="s">
        <v>145</v>
      </c>
      <c r="F185" s="25" t="s">
        <v>36</v>
      </c>
      <c r="G185" s="24" t="s">
        <v>37</v>
      </c>
      <c r="H185" s="24" t="s">
        <v>46</v>
      </c>
      <c r="I185" s="24" t="s">
        <v>1046</v>
      </c>
      <c r="J185" s="24" t="s">
        <v>146</v>
      </c>
      <c r="K185" s="24" t="s">
        <v>1060</v>
      </c>
      <c r="L185" s="24" t="s">
        <v>1051</v>
      </c>
      <c r="M185" s="24" t="s">
        <v>1035</v>
      </c>
      <c r="N185" s="24" t="s">
        <v>144</v>
      </c>
      <c r="O185" s="24" t="e">
        <f>VLOOKUP(C185,[3]MAESTRA!$E$5:$AO$395,36,0)</f>
        <v>#N/A</v>
      </c>
      <c r="P185" s="16" t="s">
        <v>43</v>
      </c>
      <c r="Q185"/>
      <c r="R185"/>
    </row>
    <row r="186" spans="3:18" x14ac:dyDescent="0.25">
      <c r="C186" s="24" t="s">
        <v>784</v>
      </c>
      <c r="D186" s="24" t="s">
        <v>785</v>
      </c>
      <c r="E186" s="24" t="s">
        <v>785</v>
      </c>
      <c r="F186" s="25">
        <v>5.45</v>
      </c>
      <c r="G186" s="24" t="s">
        <v>376</v>
      </c>
      <c r="H186" s="24" t="s">
        <v>46</v>
      </c>
      <c r="I186" s="24" t="s">
        <v>1031</v>
      </c>
      <c r="J186" s="24" t="s">
        <v>89</v>
      </c>
      <c r="K186" s="24" t="s">
        <v>1075</v>
      </c>
      <c r="L186" s="24" t="s">
        <v>1076</v>
      </c>
      <c r="M186" s="3" t="s">
        <v>378</v>
      </c>
      <c r="N186" s="24" t="s">
        <v>784</v>
      </c>
      <c r="O186" s="24" t="e">
        <f>VLOOKUP(C186,[3]MAESTRA!$E$5:$AO$395,36,0)</f>
        <v>#N/A</v>
      </c>
      <c r="P186" s="16" t="s">
        <v>43</v>
      </c>
      <c r="Q186"/>
      <c r="R186"/>
    </row>
    <row r="187" spans="3:18" x14ac:dyDescent="0.25">
      <c r="C187" s="24" t="s">
        <v>147</v>
      </c>
      <c r="D187" s="24" t="s">
        <v>148</v>
      </c>
      <c r="E187" s="24" t="s">
        <v>148</v>
      </c>
      <c r="F187" s="25" t="s">
        <v>36</v>
      </c>
      <c r="G187" s="24" t="s">
        <v>37</v>
      </c>
      <c r="H187" s="24" t="s">
        <v>46</v>
      </c>
      <c r="I187" s="24" t="s">
        <v>1046</v>
      </c>
      <c r="J187" s="24" t="s">
        <v>50</v>
      </c>
      <c r="K187" s="24" t="s">
        <v>1059</v>
      </c>
      <c r="L187" s="24" t="s">
        <v>1051</v>
      </c>
      <c r="M187" s="3" t="s">
        <v>984</v>
      </c>
      <c r="N187" s="24" t="s">
        <v>147</v>
      </c>
      <c r="O187" s="24" t="e">
        <f>VLOOKUP(C187,[3]MAESTRA!$E$5:$AO$395,36,0)</f>
        <v>#N/A</v>
      </c>
      <c r="P187" s="16" t="s">
        <v>43</v>
      </c>
      <c r="Q187"/>
      <c r="R187"/>
    </row>
    <row r="188" spans="3:18" x14ac:dyDescent="0.25">
      <c r="C188" s="24" t="s">
        <v>149</v>
      </c>
      <c r="D188" s="24" t="s">
        <v>150</v>
      </c>
      <c r="E188" s="24" t="s">
        <v>150</v>
      </c>
      <c r="F188" s="25" t="s">
        <v>36</v>
      </c>
      <c r="G188" s="24" t="s">
        <v>37</v>
      </c>
      <c r="H188" s="24" t="s">
        <v>81</v>
      </c>
      <c r="I188" s="24" t="s">
        <v>1046</v>
      </c>
      <c r="J188" s="24" t="s">
        <v>100</v>
      </c>
      <c r="K188" s="24" t="s">
        <v>1064</v>
      </c>
      <c r="L188" s="24" t="s">
        <v>1051</v>
      </c>
      <c r="M188" s="24" t="s">
        <v>1035</v>
      </c>
      <c r="N188" s="24" t="s">
        <v>149</v>
      </c>
      <c r="O188" s="24" t="e">
        <f>VLOOKUP(C188,[3]MAESTRA!$E$5:$AO$395,36,0)</f>
        <v>#N/A</v>
      </c>
      <c r="P188" s="16" t="s">
        <v>43</v>
      </c>
      <c r="Q188"/>
      <c r="R188"/>
    </row>
    <row r="189" spans="3:18" x14ac:dyDescent="0.25">
      <c r="C189" s="24" t="s">
        <v>151</v>
      </c>
      <c r="D189" s="24" t="s">
        <v>152</v>
      </c>
      <c r="E189" s="24" t="s">
        <v>152</v>
      </c>
      <c r="F189" s="25" t="s">
        <v>36</v>
      </c>
      <c r="G189" s="24" t="s">
        <v>37</v>
      </c>
      <c r="H189" s="24" t="s">
        <v>88</v>
      </c>
      <c r="I189" s="24" t="s">
        <v>1046</v>
      </c>
      <c r="J189" s="24" t="s">
        <v>132</v>
      </c>
      <c r="K189" s="24" t="s">
        <v>1082</v>
      </c>
      <c r="L189" s="24" t="s">
        <v>1051</v>
      </c>
      <c r="M189" s="24" t="s">
        <v>1035</v>
      </c>
      <c r="N189" s="24" t="s">
        <v>151</v>
      </c>
      <c r="O189" s="24" t="e">
        <f>VLOOKUP(C189,[3]MAESTRA!$E$5:$AO$395,36,0)</f>
        <v>#N/A</v>
      </c>
      <c r="P189" s="16" t="s">
        <v>43</v>
      </c>
      <c r="Q189"/>
      <c r="R189"/>
    </row>
    <row r="190" spans="3:18" x14ac:dyDescent="0.25">
      <c r="C190" s="24" t="s">
        <v>786</v>
      </c>
      <c r="D190" s="24" t="s">
        <v>787</v>
      </c>
      <c r="E190" s="24" t="s">
        <v>787</v>
      </c>
      <c r="F190" s="25">
        <v>5</v>
      </c>
      <c r="G190" s="24" t="s">
        <v>376</v>
      </c>
      <c r="H190" s="24" t="s">
        <v>81</v>
      </c>
      <c r="I190" s="24" t="s">
        <v>1031</v>
      </c>
      <c r="J190" s="24" t="s">
        <v>89</v>
      </c>
      <c r="K190" s="24" t="s">
        <v>1075</v>
      </c>
      <c r="L190" s="24" t="s">
        <v>1076</v>
      </c>
      <c r="M190" s="3" t="s">
        <v>378</v>
      </c>
      <c r="N190" s="24" t="s">
        <v>786</v>
      </c>
      <c r="O190" s="24" t="e">
        <f>VLOOKUP(C190,[3]MAESTRA!$E$5:$AO$395,36,0)</f>
        <v>#N/A</v>
      </c>
      <c r="P190" s="16" t="s">
        <v>43</v>
      </c>
      <c r="Q190"/>
      <c r="R190"/>
    </row>
    <row r="191" spans="3:18" x14ac:dyDescent="0.25">
      <c r="C191" s="24" t="s">
        <v>582</v>
      </c>
      <c r="D191" s="24" t="s">
        <v>583</v>
      </c>
      <c r="E191" s="24" t="s">
        <v>583</v>
      </c>
      <c r="F191" s="25">
        <v>5</v>
      </c>
      <c r="G191" s="24" t="s">
        <v>376</v>
      </c>
      <c r="H191" s="24" t="s">
        <v>46</v>
      </c>
      <c r="I191" s="24" t="s">
        <v>1046</v>
      </c>
      <c r="J191" s="24" t="s">
        <v>331</v>
      </c>
      <c r="K191" s="24" t="s">
        <v>1060</v>
      </c>
      <c r="L191" s="24" t="s">
        <v>1051</v>
      </c>
      <c r="M191" s="3" t="s">
        <v>984</v>
      </c>
      <c r="N191" s="24" t="s">
        <v>582</v>
      </c>
      <c r="O191" s="24" t="e">
        <f>VLOOKUP(C191,[3]MAESTRA!$E$5:$AO$395,36,0)</f>
        <v>#N/A</v>
      </c>
      <c r="P191" s="16" t="s">
        <v>43</v>
      </c>
      <c r="Q191"/>
      <c r="R191"/>
    </row>
    <row r="192" spans="3:18" x14ac:dyDescent="0.25">
      <c r="C192" s="24" t="s">
        <v>714</v>
      </c>
      <c r="D192" s="24" t="s">
        <v>715</v>
      </c>
      <c r="E192" s="24" t="s">
        <v>715</v>
      </c>
      <c r="F192" s="25">
        <v>5</v>
      </c>
      <c r="G192" s="24" t="s">
        <v>376</v>
      </c>
      <c r="H192" s="24" t="s">
        <v>46</v>
      </c>
      <c r="I192" s="24" t="s">
        <v>1031</v>
      </c>
      <c r="J192" s="24" t="s">
        <v>84</v>
      </c>
      <c r="K192" s="24" t="s">
        <v>1061</v>
      </c>
      <c r="L192" s="24" t="s">
        <v>1062</v>
      </c>
      <c r="M192" s="3" t="s">
        <v>378</v>
      </c>
      <c r="N192" s="24" t="s">
        <v>714</v>
      </c>
      <c r="O192" s="24" t="e">
        <f>VLOOKUP(C192,[3]MAESTRA!$E$5:$AO$395,36,0)</f>
        <v>#N/A</v>
      </c>
      <c r="P192" s="16" t="s">
        <v>43</v>
      </c>
      <c r="Q192"/>
      <c r="R192"/>
    </row>
    <row r="193" spans="3:18" x14ac:dyDescent="0.25">
      <c r="C193" s="24" t="s">
        <v>153</v>
      </c>
      <c r="D193" s="24" t="s">
        <v>154</v>
      </c>
      <c r="E193" s="24" t="s">
        <v>155</v>
      </c>
      <c r="F193" s="25" t="s">
        <v>36</v>
      </c>
      <c r="G193" s="24" t="s">
        <v>37</v>
      </c>
      <c r="H193" s="24" t="s">
        <v>81</v>
      </c>
      <c r="I193" s="24" t="s">
        <v>1046</v>
      </c>
      <c r="J193" s="24" t="s">
        <v>84</v>
      </c>
      <c r="K193" s="24" t="s">
        <v>1061</v>
      </c>
      <c r="L193" s="24" t="s">
        <v>1062</v>
      </c>
      <c r="M193" s="3" t="s">
        <v>378</v>
      </c>
      <c r="N193" s="24" t="s">
        <v>153</v>
      </c>
      <c r="O193" s="24" t="e">
        <f>VLOOKUP(C193,[3]MAESTRA!$E$5:$AO$395,36,0)</f>
        <v>#N/A</v>
      </c>
      <c r="P193" s="16" t="s">
        <v>43</v>
      </c>
      <c r="Q193"/>
      <c r="R193"/>
    </row>
    <row r="194" spans="3:18" x14ac:dyDescent="0.25">
      <c r="C194" s="24" t="s">
        <v>912</v>
      </c>
      <c r="D194" s="24" t="s">
        <v>913</v>
      </c>
      <c r="E194" s="24" t="s">
        <v>913</v>
      </c>
      <c r="F194" s="25">
        <v>5</v>
      </c>
      <c r="G194" s="24" t="s">
        <v>376</v>
      </c>
      <c r="H194" s="24" t="s">
        <v>81</v>
      </c>
      <c r="I194" s="24" t="s">
        <v>1046</v>
      </c>
      <c r="J194" s="24" t="s">
        <v>73</v>
      </c>
      <c r="K194" s="24" t="s">
        <v>1097</v>
      </c>
      <c r="L194" s="24" t="s">
        <v>1051</v>
      </c>
      <c r="M194" s="3" t="s">
        <v>378</v>
      </c>
      <c r="N194" s="24" t="s">
        <v>912</v>
      </c>
      <c r="O194" s="24" t="e">
        <f>VLOOKUP(C194,[3]MAESTRA!$E$5:$AO$395,36,0)</f>
        <v>#N/A</v>
      </c>
      <c r="P194" s="16" t="s">
        <v>43</v>
      </c>
      <c r="Q194"/>
      <c r="R194"/>
    </row>
    <row r="195" spans="3:18" x14ac:dyDescent="0.25">
      <c r="C195" s="24" t="s">
        <v>500</v>
      </c>
      <c r="D195" s="24" t="s">
        <v>501</v>
      </c>
      <c r="E195" s="24" t="s">
        <v>501</v>
      </c>
      <c r="F195" s="25">
        <v>5</v>
      </c>
      <c r="G195" s="24" t="s">
        <v>376</v>
      </c>
      <c r="H195" s="24" t="s">
        <v>46</v>
      </c>
      <c r="I195" s="24" t="s">
        <v>1046</v>
      </c>
      <c r="J195" s="24" t="s">
        <v>58</v>
      </c>
      <c r="K195" s="24" t="s">
        <v>1059</v>
      </c>
      <c r="L195" s="24" t="s">
        <v>1051</v>
      </c>
      <c r="M195" s="24" t="s">
        <v>1035</v>
      </c>
      <c r="N195" s="24" t="s">
        <v>500</v>
      </c>
      <c r="O195" s="24" t="e">
        <f>VLOOKUP(C195,[3]MAESTRA!$E$5:$AO$395,36,0)</f>
        <v>#N/A</v>
      </c>
      <c r="P195" s="16" t="s">
        <v>43</v>
      </c>
      <c r="Q195"/>
      <c r="R195"/>
    </row>
    <row r="196" spans="3:18" x14ac:dyDescent="0.25">
      <c r="C196" s="24" t="s">
        <v>441</v>
      </c>
      <c r="D196" s="24" t="s">
        <v>442</v>
      </c>
      <c r="E196" s="24" t="s">
        <v>442</v>
      </c>
      <c r="F196" s="25">
        <v>5</v>
      </c>
      <c r="G196" s="24" t="s">
        <v>376</v>
      </c>
      <c r="H196" s="24" t="s">
        <v>46</v>
      </c>
      <c r="I196" s="24" t="s">
        <v>1046</v>
      </c>
      <c r="J196" s="24" t="s">
        <v>94</v>
      </c>
      <c r="K196" s="24" t="s">
        <v>1065</v>
      </c>
      <c r="L196" s="24" t="s">
        <v>1051</v>
      </c>
      <c r="M196" s="24" t="s">
        <v>1035</v>
      </c>
      <c r="N196" s="24" t="s">
        <v>441</v>
      </c>
      <c r="O196" s="24" t="e">
        <f>VLOOKUP(C196,[3]MAESTRA!$E$5:$AO$395,36,0)</f>
        <v>#N/A</v>
      </c>
      <c r="P196" s="16" t="s">
        <v>440</v>
      </c>
      <c r="Q196"/>
      <c r="R196"/>
    </row>
    <row r="197" spans="3:18" x14ac:dyDescent="0.25">
      <c r="C197" s="24" t="s">
        <v>156</v>
      </c>
      <c r="D197" s="24" t="s">
        <v>157</v>
      </c>
      <c r="E197" s="24" t="s">
        <v>157</v>
      </c>
      <c r="F197" s="25" t="s">
        <v>36</v>
      </c>
      <c r="G197" s="24" t="s">
        <v>37</v>
      </c>
      <c r="H197" s="24" t="s">
        <v>46</v>
      </c>
      <c r="I197" s="24" t="s">
        <v>1046</v>
      </c>
      <c r="J197" s="24">
        <v>0</v>
      </c>
      <c r="K197" s="24" t="s">
        <v>1059</v>
      </c>
      <c r="L197" s="24" t="s">
        <v>1051</v>
      </c>
      <c r="M197" s="24" t="s">
        <v>1053</v>
      </c>
      <c r="N197" s="24" t="s">
        <v>156</v>
      </c>
      <c r="O197" s="24" t="e">
        <f>VLOOKUP(C197,[3]MAESTRA!$E$5:$AO$395,36,0)</f>
        <v>#N/A</v>
      </c>
      <c r="P197" s="16" t="s">
        <v>43</v>
      </c>
      <c r="Q197"/>
      <c r="R197"/>
    </row>
    <row r="198" spans="3:18" x14ac:dyDescent="0.25">
      <c r="C198" s="24" t="s">
        <v>875</v>
      </c>
      <c r="D198" s="24" t="s">
        <v>876</v>
      </c>
      <c r="E198" s="24" t="s">
        <v>876</v>
      </c>
      <c r="F198" s="25">
        <v>5</v>
      </c>
      <c r="G198" s="24" t="s">
        <v>987</v>
      </c>
      <c r="H198" s="24" t="s">
        <v>81</v>
      </c>
      <c r="I198" s="24" t="s">
        <v>1046</v>
      </c>
      <c r="J198" s="24" t="s">
        <v>132</v>
      </c>
      <c r="K198" s="24" t="s">
        <v>1077</v>
      </c>
      <c r="L198" s="24" t="s">
        <v>1051</v>
      </c>
      <c r="M198" s="24" t="s">
        <v>1035</v>
      </c>
      <c r="N198" s="24" t="s">
        <v>875</v>
      </c>
      <c r="O198" s="24" t="e">
        <f>VLOOKUP(C198,[3]MAESTRA!$E$5:$AO$395,36,0)</f>
        <v>#N/A</v>
      </c>
      <c r="P198" s="16" t="s">
        <v>43</v>
      </c>
      <c r="Q198"/>
      <c r="R198"/>
    </row>
    <row r="199" spans="3:18" x14ac:dyDescent="0.25">
      <c r="C199" s="24" t="s">
        <v>158</v>
      </c>
      <c r="D199" s="24" t="s">
        <v>159</v>
      </c>
      <c r="E199" s="24" t="s">
        <v>159</v>
      </c>
      <c r="F199" s="25" t="s">
        <v>36</v>
      </c>
      <c r="G199" s="24" t="s">
        <v>37</v>
      </c>
      <c r="H199" s="24" t="s">
        <v>81</v>
      </c>
      <c r="I199" s="24" t="s">
        <v>1046</v>
      </c>
      <c r="J199" s="24" t="s">
        <v>160</v>
      </c>
      <c r="K199" s="24" t="s">
        <v>1098</v>
      </c>
      <c r="L199" s="24" t="s">
        <v>1062</v>
      </c>
      <c r="M199" s="3" t="s">
        <v>984</v>
      </c>
      <c r="N199" s="24" t="s">
        <v>158</v>
      </c>
      <c r="O199" s="24" t="e">
        <f>VLOOKUP(C199,[3]MAESTRA!$E$5:$AO$395,36,0)</f>
        <v>#N/A</v>
      </c>
      <c r="P199" s="16" t="s">
        <v>43</v>
      </c>
      <c r="Q199"/>
      <c r="R199"/>
    </row>
    <row r="200" spans="3:18" x14ac:dyDescent="0.25">
      <c r="C200" s="24" t="s">
        <v>814</v>
      </c>
      <c r="D200" s="24" t="s">
        <v>815</v>
      </c>
      <c r="E200" s="24" t="s">
        <v>816</v>
      </c>
      <c r="F200" s="25">
        <v>5</v>
      </c>
      <c r="G200" s="24" t="s">
        <v>376</v>
      </c>
      <c r="H200" s="24" t="s">
        <v>81</v>
      </c>
      <c r="I200" s="24" t="s">
        <v>1046</v>
      </c>
      <c r="J200" s="24" t="s">
        <v>146</v>
      </c>
      <c r="K200" s="24" t="s">
        <v>1064</v>
      </c>
      <c r="L200" s="24" t="s">
        <v>1051</v>
      </c>
      <c r="M200" s="24" t="s">
        <v>1035</v>
      </c>
      <c r="N200" s="24" t="s">
        <v>814</v>
      </c>
      <c r="O200" s="24" t="e">
        <f>VLOOKUP(C200,[3]MAESTRA!$E$5:$AO$395,36,0)</f>
        <v>#N/A</v>
      </c>
      <c r="P200" s="16" t="s">
        <v>43</v>
      </c>
      <c r="Q200"/>
      <c r="R200"/>
    </row>
    <row r="201" spans="3:18" x14ac:dyDescent="0.25">
      <c r="C201" s="24" t="s">
        <v>598</v>
      </c>
      <c r="D201" s="24" t="s">
        <v>599</v>
      </c>
      <c r="E201" s="24" t="s">
        <v>600</v>
      </c>
      <c r="F201" s="25">
        <v>5</v>
      </c>
      <c r="G201" s="24" t="s">
        <v>376</v>
      </c>
      <c r="H201" s="24" t="s">
        <v>81</v>
      </c>
      <c r="I201" s="24" t="s">
        <v>1046</v>
      </c>
      <c r="J201" s="24" t="s">
        <v>50</v>
      </c>
      <c r="K201" s="24" t="s">
        <v>1099</v>
      </c>
      <c r="L201" s="24" t="s">
        <v>1051</v>
      </c>
      <c r="M201" s="3" t="s">
        <v>984</v>
      </c>
      <c r="N201" s="24" t="s">
        <v>598</v>
      </c>
      <c r="O201" s="24" t="e">
        <f>VLOOKUP(C201,[3]MAESTRA!$E$5:$AO$395,36,0)</f>
        <v>#N/A</v>
      </c>
      <c r="P201" s="16" t="s">
        <v>43</v>
      </c>
      <c r="Q201"/>
      <c r="R201"/>
    </row>
    <row r="202" spans="3:18" x14ac:dyDescent="0.25">
      <c r="C202" s="24" t="s">
        <v>162</v>
      </c>
      <c r="D202" s="24" t="s">
        <v>163</v>
      </c>
      <c r="E202" s="24" t="s">
        <v>163</v>
      </c>
      <c r="F202" s="25" t="s">
        <v>36</v>
      </c>
      <c r="G202" s="24" t="s">
        <v>37</v>
      </c>
      <c r="H202" s="24" t="s">
        <v>88</v>
      </c>
      <c r="I202" s="24" t="s">
        <v>1046</v>
      </c>
      <c r="J202" s="24" t="s">
        <v>63</v>
      </c>
      <c r="K202" s="24" t="s">
        <v>1060</v>
      </c>
      <c r="L202" s="24" t="s">
        <v>1051</v>
      </c>
      <c r="M202" s="3" t="s">
        <v>378</v>
      </c>
      <c r="N202" s="24" t="s">
        <v>162</v>
      </c>
      <c r="O202" s="24" t="e">
        <f>VLOOKUP(C202,[3]MAESTRA!$E$5:$AO$395,36,0)</f>
        <v>#N/A</v>
      </c>
      <c r="P202" s="16" t="s">
        <v>43</v>
      </c>
      <c r="Q202"/>
      <c r="R202"/>
    </row>
    <row r="203" spans="3:18" x14ac:dyDescent="0.25">
      <c r="C203" s="24" t="s">
        <v>716</v>
      </c>
      <c r="D203" s="24" t="s">
        <v>717</v>
      </c>
      <c r="E203" s="24" t="s">
        <v>718</v>
      </c>
      <c r="F203" s="25">
        <v>5</v>
      </c>
      <c r="G203" s="24" t="s">
        <v>376</v>
      </c>
      <c r="H203" s="24" t="s">
        <v>46</v>
      </c>
      <c r="I203" s="24" t="s">
        <v>1031</v>
      </c>
      <c r="J203" s="24" t="s">
        <v>84</v>
      </c>
      <c r="K203" s="24" t="s">
        <v>1061</v>
      </c>
      <c r="L203" s="24" t="s">
        <v>1062</v>
      </c>
      <c r="M203" s="3" t="s">
        <v>378</v>
      </c>
      <c r="N203" s="24" t="s">
        <v>716</v>
      </c>
      <c r="O203" s="24" t="e">
        <f>VLOOKUP(C203,[3]MAESTRA!$E$5:$AO$395,36,0)</f>
        <v>#N/A</v>
      </c>
      <c r="P203" s="16" t="s">
        <v>440</v>
      </c>
      <c r="Q203"/>
      <c r="R203"/>
    </row>
    <row r="204" spans="3:18" x14ac:dyDescent="0.25">
      <c r="C204" s="24" t="s">
        <v>788</v>
      </c>
      <c r="D204" s="24" t="s">
        <v>789</v>
      </c>
      <c r="E204" s="24" t="s">
        <v>790</v>
      </c>
      <c r="F204" s="25">
        <v>5</v>
      </c>
      <c r="G204" s="24" t="s">
        <v>376</v>
      </c>
      <c r="H204" s="24" t="s">
        <v>81</v>
      </c>
      <c r="I204" s="24" t="s">
        <v>1031</v>
      </c>
      <c r="J204" s="24" t="s">
        <v>89</v>
      </c>
      <c r="K204" s="24" t="s">
        <v>1075</v>
      </c>
      <c r="L204" s="24" t="s">
        <v>1076</v>
      </c>
      <c r="M204" s="3" t="s">
        <v>378</v>
      </c>
      <c r="N204" s="24" t="s">
        <v>788</v>
      </c>
      <c r="O204" s="24" t="e">
        <f>VLOOKUP(C204,[3]MAESTRA!$E$5:$AO$395,36,0)</f>
        <v>#N/A</v>
      </c>
      <c r="P204" s="16" t="s">
        <v>43</v>
      </c>
      <c r="Q204"/>
      <c r="R204"/>
    </row>
    <row r="205" spans="3:18" x14ac:dyDescent="0.25">
      <c r="C205" s="24" t="s">
        <v>443</v>
      </c>
      <c r="D205" s="24" t="s">
        <v>444</v>
      </c>
      <c r="E205" s="24" t="s">
        <v>444</v>
      </c>
      <c r="F205" s="25">
        <v>5</v>
      </c>
      <c r="G205" s="24" t="s">
        <v>376</v>
      </c>
      <c r="H205" s="24" t="s">
        <v>81</v>
      </c>
      <c r="I205" s="24" t="s">
        <v>1046</v>
      </c>
      <c r="J205" s="24" t="s">
        <v>94</v>
      </c>
      <c r="K205" s="24" t="s">
        <v>1065</v>
      </c>
      <c r="L205" s="24" t="s">
        <v>1051</v>
      </c>
      <c r="M205" s="24" t="s">
        <v>1035</v>
      </c>
      <c r="N205" s="24" t="s">
        <v>443</v>
      </c>
      <c r="O205" s="24" t="e">
        <f>VLOOKUP(C205,[3]MAESTRA!$E$5:$AO$395,36,0)</f>
        <v>#N/A</v>
      </c>
      <c r="P205" s="16" t="s">
        <v>43</v>
      </c>
      <c r="Q205"/>
      <c r="R205"/>
    </row>
    <row r="206" spans="3:18" x14ac:dyDescent="0.25">
      <c r="C206" s="24" t="s">
        <v>415</v>
      </c>
      <c r="D206" s="24" t="s">
        <v>416</v>
      </c>
      <c r="E206" s="24" t="s">
        <v>416</v>
      </c>
      <c r="F206" s="25">
        <v>5</v>
      </c>
      <c r="G206" s="24" t="s">
        <v>376</v>
      </c>
      <c r="H206" s="24" t="s">
        <v>81</v>
      </c>
      <c r="I206" s="24" t="s">
        <v>1031</v>
      </c>
      <c r="J206" s="24" t="s">
        <v>63</v>
      </c>
      <c r="K206" s="24" t="s">
        <v>1060</v>
      </c>
      <c r="L206" s="24" t="s">
        <v>1051</v>
      </c>
      <c r="M206" s="3" t="s">
        <v>378</v>
      </c>
      <c r="N206" s="24" t="s">
        <v>415</v>
      </c>
      <c r="O206" s="24" t="e">
        <f>VLOOKUP(C206,[3]MAESTRA!$E$5:$AO$395,36,0)</f>
        <v>#N/A</v>
      </c>
      <c r="P206" s="16" t="s">
        <v>43</v>
      </c>
      <c r="Q206"/>
      <c r="R206"/>
    </row>
    <row r="207" spans="3:18" x14ac:dyDescent="0.25">
      <c r="C207" s="24" t="s">
        <v>915</v>
      </c>
      <c r="D207" s="24" t="s">
        <v>916</v>
      </c>
      <c r="E207" s="24" t="s">
        <v>916</v>
      </c>
      <c r="F207" s="25">
        <v>5</v>
      </c>
      <c r="G207" s="24" t="s">
        <v>376</v>
      </c>
      <c r="H207" s="24" t="s">
        <v>81</v>
      </c>
      <c r="I207" s="24" t="s">
        <v>1046</v>
      </c>
      <c r="J207" s="24" t="s">
        <v>73</v>
      </c>
      <c r="K207" s="24" t="s">
        <v>1082</v>
      </c>
      <c r="L207" s="24" t="s">
        <v>1051</v>
      </c>
      <c r="M207" s="3" t="s">
        <v>378</v>
      </c>
      <c r="N207" s="24" t="s">
        <v>915</v>
      </c>
      <c r="O207" s="24" t="e">
        <f>VLOOKUP(C207,[3]MAESTRA!$E$5:$AO$395,36,0)</f>
        <v>#N/A</v>
      </c>
      <c r="P207" s="16" t="s">
        <v>43</v>
      </c>
      <c r="Q207"/>
      <c r="R207"/>
    </row>
    <row r="208" spans="3:18" x14ac:dyDescent="0.25">
      <c r="C208" s="24" t="s">
        <v>164</v>
      </c>
      <c r="D208" s="24" t="s">
        <v>165</v>
      </c>
      <c r="E208" s="24" t="s">
        <v>165</v>
      </c>
      <c r="F208" s="25" t="s">
        <v>36</v>
      </c>
      <c r="G208" s="24" t="s">
        <v>37</v>
      </c>
      <c r="H208" s="24" t="s">
        <v>46</v>
      </c>
      <c r="I208" s="24" t="s">
        <v>1046</v>
      </c>
      <c r="J208" s="24" t="s">
        <v>58</v>
      </c>
      <c r="K208" s="24" t="s">
        <v>1060</v>
      </c>
      <c r="L208" s="24" t="s">
        <v>1051</v>
      </c>
      <c r="M208" s="24" t="s">
        <v>1035</v>
      </c>
      <c r="N208" s="24" t="s">
        <v>164</v>
      </c>
      <c r="O208" s="24" t="e">
        <f>VLOOKUP(C208,[3]MAESTRA!$E$5:$AO$395,36,0)</f>
        <v>#N/A</v>
      </c>
      <c r="P208" s="16" t="s">
        <v>43</v>
      </c>
      <c r="Q208"/>
      <c r="R208"/>
    </row>
    <row r="209" spans="3:18" x14ac:dyDescent="0.25">
      <c r="C209" s="24" t="s">
        <v>166</v>
      </c>
      <c r="D209" s="24" t="s">
        <v>167</v>
      </c>
      <c r="E209" s="24" t="s">
        <v>167</v>
      </c>
      <c r="F209" s="25" t="s">
        <v>36</v>
      </c>
      <c r="G209" s="24" t="s">
        <v>37</v>
      </c>
      <c r="H209" s="24" t="s">
        <v>81</v>
      </c>
      <c r="I209" s="24" t="s">
        <v>1046</v>
      </c>
      <c r="J209" s="24" t="s">
        <v>58</v>
      </c>
      <c r="K209" s="24" t="s">
        <v>1064</v>
      </c>
      <c r="L209" s="24" t="s">
        <v>1051</v>
      </c>
      <c r="M209" s="24" t="s">
        <v>1035</v>
      </c>
      <c r="N209" s="24" t="s">
        <v>166</v>
      </c>
      <c r="O209" s="24" t="e">
        <f>VLOOKUP(C209,[3]MAESTRA!$E$5:$AO$395,36,0)</f>
        <v>#N/A</v>
      </c>
      <c r="P209" s="16" t="s">
        <v>43</v>
      </c>
      <c r="Q209"/>
      <c r="R209"/>
    </row>
    <row r="210" spans="3:18" x14ac:dyDescent="0.25">
      <c r="C210" s="24" t="s">
        <v>168</v>
      </c>
      <c r="D210" s="24" t="s">
        <v>169</v>
      </c>
      <c r="E210" s="24" t="s">
        <v>170</v>
      </c>
      <c r="F210" s="25" t="s">
        <v>36</v>
      </c>
      <c r="G210" s="24" t="s">
        <v>37</v>
      </c>
      <c r="H210" s="24" t="s">
        <v>46</v>
      </c>
      <c r="I210" s="24" t="s">
        <v>1046</v>
      </c>
      <c r="J210" s="24" t="s">
        <v>160</v>
      </c>
      <c r="K210" s="24" t="s">
        <v>1064</v>
      </c>
      <c r="L210" s="24" t="s">
        <v>1051</v>
      </c>
      <c r="M210" s="3" t="s">
        <v>984</v>
      </c>
      <c r="N210" s="24" t="s">
        <v>168</v>
      </c>
      <c r="O210" s="24" t="e">
        <f>VLOOKUP(C210,[3]MAESTRA!$E$5:$AO$395,36,0)</f>
        <v>#N/A</v>
      </c>
      <c r="P210" s="16" t="s">
        <v>43</v>
      </c>
      <c r="Q210"/>
      <c r="R210"/>
    </row>
    <row r="211" spans="3:18" x14ac:dyDescent="0.25">
      <c r="C211" s="24" t="s">
        <v>171</v>
      </c>
      <c r="D211" s="24" t="s">
        <v>172</v>
      </c>
      <c r="E211" s="24" t="s">
        <v>172</v>
      </c>
      <c r="F211" s="25" t="s">
        <v>36</v>
      </c>
      <c r="G211" s="24" t="s">
        <v>37</v>
      </c>
      <c r="H211" s="24" t="s">
        <v>81</v>
      </c>
      <c r="I211" s="24" t="s">
        <v>1046</v>
      </c>
      <c r="J211" s="24" t="s">
        <v>89</v>
      </c>
      <c r="K211" s="24" t="s">
        <v>1075</v>
      </c>
      <c r="L211" s="24" t="s">
        <v>1076</v>
      </c>
      <c r="M211" s="3" t="s">
        <v>378</v>
      </c>
      <c r="N211" s="24" t="s">
        <v>171</v>
      </c>
      <c r="O211" s="24" t="e">
        <f>VLOOKUP(C211,[3]MAESTRA!$E$5:$AO$395,36,0)</f>
        <v>#N/A</v>
      </c>
      <c r="P211" s="16" t="s">
        <v>43</v>
      </c>
      <c r="Q211"/>
      <c r="R211"/>
    </row>
    <row r="212" spans="3:18" x14ac:dyDescent="0.25">
      <c r="C212" s="24" t="s">
        <v>173</v>
      </c>
      <c r="D212" s="24" t="s">
        <v>174</v>
      </c>
      <c r="E212" s="24" t="s">
        <v>174</v>
      </c>
      <c r="F212" s="25" t="s">
        <v>36</v>
      </c>
      <c r="G212" s="24" t="s">
        <v>37</v>
      </c>
      <c r="H212" s="24" t="s">
        <v>46</v>
      </c>
      <c r="I212" s="24" t="s">
        <v>1046</v>
      </c>
      <c r="J212" s="24" t="s">
        <v>73</v>
      </c>
      <c r="K212" s="24" t="s">
        <v>1065</v>
      </c>
      <c r="L212" s="24" t="s">
        <v>1051</v>
      </c>
      <c r="M212" s="3" t="s">
        <v>378</v>
      </c>
      <c r="N212" s="24" t="s">
        <v>173</v>
      </c>
      <c r="O212" s="24" t="e">
        <f>VLOOKUP(C212,[3]MAESTRA!$E$5:$AO$395,36,0)</f>
        <v>#N/A</v>
      </c>
      <c r="P212" s="16" t="s">
        <v>43</v>
      </c>
      <c r="Q212"/>
      <c r="R212"/>
    </row>
    <row r="213" spans="3:18" x14ac:dyDescent="0.25">
      <c r="C213" s="24" t="s">
        <v>584</v>
      </c>
      <c r="D213" s="24" t="s">
        <v>585</v>
      </c>
      <c r="E213" s="24" t="s">
        <v>585</v>
      </c>
      <c r="F213" s="25">
        <v>5</v>
      </c>
      <c r="G213" s="24" t="s">
        <v>376</v>
      </c>
      <c r="H213" s="24" t="s">
        <v>46</v>
      </c>
      <c r="I213" s="24" t="s">
        <v>1046</v>
      </c>
      <c r="J213" s="24" t="s">
        <v>331</v>
      </c>
      <c r="K213" s="24" t="s">
        <v>1060</v>
      </c>
      <c r="L213" s="24" t="s">
        <v>1051</v>
      </c>
      <c r="M213" s="3" t="s">
        <v>984</v>
      </c>
      <c r="N213" s="24" t="s">
        <v>584</v>
      </c>
      <c r="O213" s="24" t="e">
        <f>VLOOKUP(C213,[3]MAESTRA!$E$5:$AO$395,36,0)</f>
        <v>#N/A</v>
      </c>
      <c r="P213" s="16" t="s">
        <v>43</v>
      </c>
      <c r="Q213"/>
      <c r="R213"/>
    </row>
    <row r="214" spans="3:18" x14ac:dyDescent="0.25">
      <c r="C214" s="24" t="s">
        <v>917</v>
      </c>
      <c r="D214" s="24" t="s">
        <v>918</v>
      </c>
      <c r="E214" s="24" t="s">
        <v>918</v>
      </c>
      <c r="F214" s="25">
        <v>5</v>
      </c>
      <c r="G214" s="24" t="s">
        <v>376</v>
      </c>
      <c r="H214" s="24" t="s">
        <v>46</v>
      </c>
      <c r="I214" s="24" t="s">
        <v>1046</v>
      </c>
      <c r="J214" s="24" t="s">
        <v>73</v>
      </c>
      <c r="K214" s="24" t="s">
        <v>1100</v>
      </c>
      <c r="L214" s="24" t="s">
        <v>1051</v>
      </c>
      <c r="M214" s="3" t="s">
        <v>378</v>
      </c>
      <c r="N214" s="24" t="s">
        <v>917</v>
      </c>
      <c r="O214" s="24" t="e">
        <f>VLOOKUP(C214,[3]MAESTRA!$E$5:$AO$395,36,0)</f>
        <v>#N/A</v>
      </c>
      <c r="P214" s="16" t="s">
        <v>43</v>
      </c>
      <c r="Q214"/>
      <c r="R214"/>
    </row>
    <row r="215" spans="3:18" x14ac:dyDescent="0.25">
      <c r="C215" s="24" t="s">
        <v>877</v>
      </c>
      <c r="D215" s="24" t="s">
        <v>878</v>
      </c>
      <c r="E215" s="24" t="s">
        <v>878</v>
      </c>
      <c r="F215" s="25">
        <v>5</v>
      </c>
      <c r="G215" s="24" t="s">
        <v>376</v>
      </c>
      <c r="H215" s="24" t="s">
        <v>81</v>
      </c>
      <c r="I215" s="24" t="s">
        <v>1046</v>
      </c>
      <c r="J215" s="24" t="s">
        <v>132</v>
      </c>
      <c r="K215" s="24" t="s">
        <v>1077</v>
      </c>
      <c r="L215" s="24" t="s">
        <v>1051</v>
      </c>
      <c r="M215" s="24" t="s">
        <v>1035</v>
      </c>
      <c r="N215" s="24" t="s">
        <v>877</v>
      </c>
      <c r="O215" s="24" t="e">
        <f>VLOOKUP(C215,[3]MAESTRA!$E$5:$AO$395,36,0)</f>
        <v>#N/A</v>
      </c>
      <c r="P215" s="16" t="s">
        <v>43</v>
      </c>
      <c r="Q215"/>
      <c r="R215"/>
    </row>
    <row r="216" spans="3:18" x14ac:dyDescent="0.25">
      <c r="C216" s="24" t="s">
        <v>586</v>
      </c>
      <c r="D216" s="24" t="s">
        <v>587</v>
      </c>
      <c r="E216" s="24" t="s">
        <v>587</v>
      </c>
      <c r="F216" s="25">
        <v>5</v>
      </c>
      <c r="G216" s="24" t="s">
        <v>376</v>
      </c>
      <c r="H216" s="24" t="s">
        <v>46</v>
      </c>
      <c r="I216" s="24" t="s">
        <v>1046</v>
      </c>
      <c r="J216" s="24" t="s">
        <v>331</v>
      </c>
      <c r="K216" s="24" t="s">
        <v>1060</v>
      </c>
      <c r="L216" s="24" t="s">
        <v>1051</v>
      </c>
      <c r="M216" s="3" t="s">
        <v>984</v>
      </c>
      <c r="N216" s="24" t="s">
        <v>586</v>
      </c>
      <c r="O216" s="24" t="e">
        <f>VLOOKUP(C216,[3]MAESTRA!$E$5:$AO$395,36,0)</f>
        <v>#N/A</v>
      </c>
      <c r="P216" s="16" t="s">
        <v>43</v>
      </c>
      <c r="Q216"/>
      <c r="R216"/>
    </row>
    <row r="217" spans="3:18" x14ac:dyDescent="0.25">
      <c r="C217" s="24" t="s">
        <v>175</v>
      </c>
      <c r="D217" s="24" t="s">
        <v>176</v>
      </c>
      <c r="E217" s="24" t="s">
        <v>176</v>
      </c>
      <c r="F217" s="25" t="s">
        <v>36</v>
      </c>
      <c r="G217" s="24" t="s">
        <v>37</v>
      </c>
      <c r="H217" s="24" t="s">
        <v>46</v>
      </c>
      <c r="I217" s="24" t="s">
        <v>1046</v>
      </c>
      <c r="J217" s="24" t="s">
        <v>132</v>
      </c>
      <c r="K217" s="24" t="s">
        <v>1065</v>
      </c>
      <c r="L217" s="24" t="s">
        <v>1051</v>
      </c>
      <c r="M217" s="24" t="s">
        <v>1035</v>
      </c>
      <c r="N217" s="24" t="s">
        <v>175</v>
      </c>
      <c r="O217" s="24" t="e">
        <f>VLOOKUP(C217,[3]MAESTRA!$E$5:$AO$395,36,0)</f>
        <v>#N/A</v>
      </c>
      <c r="P217" s="16" t="s">
        <v>43</v>
      </c>
      <c r="Q217"/>
      <c r="R217"/>
    </row>
    <row r="218" spans="3:18" x14ac:dyDescent="0.25">
      <c r="C218" s="24" t="s">
        <v>177</v>
      </c>
      <c r="D218" s="24" t="s">
        <v>178</v>
      </c>
      <c r="E218" s="24" t="s">
        <v>178</v>
      </c>
      <c r="F218" s="25" t="s">
        <v>36</v>
      </c>
      <c r="G218" s="24" t="s">
        <v>37</v>
      </c>
      <c r="H218" s="24" t="s">
        <v>81</v>
      </c>
      <c r="I218" s="24" t="s">
        <v>1046</v>
      </c>
      <c r="J218" s="24" t="s">
        <v>1048</v>
      </c>
      <c r="K218" s="24" t="s">
        <v>1101</v>
      </c>
      <c r="L218" s="24" t="s">
        <v>1062</v>
      </c>
      <c r="M218" s="3" t="s">
        <v>378</v>
      </c>
      <c r="N218" s="24" t="s">
        <v>177</v>
      </c>
      <c r="O218" s="24" t="e">
        <f>VLOOKUP(C218,[3]MAESTRA!$E$5:$AO$395,36,0)</f>
        <v>#N/A</v>
      </c>
      <c r="P218" s="16" t="s">
        <v>43</v>
      </c>
      <c r="Q218"/>
      <c r="R218"/>
    </row>
    <row r="219" spans="3:18" x14ac:dyDescent="0.25">
      <c r="C219" s="24" t="s">
        <v>180</v>
      </c>
      <c r="D219" s="24" t="s">
        <v>181</v>
      </c>
      <c r="E219" s="24" t="s">
        <v>181</v>
      </c>
      <c r="F219" s="25" t="s">
        <v>36</v>
      </c>
      <c r="G219" s="24" t="s">
        <v>37</v>
      </c>
      <c r="H219" s="24" t="s">
        <v>81</v>
      </c>
      <c r="I219" s="24" t="s">
        <v>1046</v>
      </c>
      <c r="J219" s="24" t="s">
        <v>1048</v>
      </c>
      <c r="K219" s="24" t="s">
        <v>1102</v>
      </c>
      <c r="L219" s="24" t="s">
        <v>1062</v>
      </c>
      <c r="M219" s="3" t="s">
        <v>378</v>
      </c>
      <c r="N219" s="24" t="s">
        <v>180</v>
      </c>
      <c r="O219" s="24" t="e">
        <f>VLOOKUP(C219,[3]MAESTRA!$E$5:$AO$395,36,0)</f>
        <v>#N/A</v>
      </c>
      <c r="P219" s="16" t="s">
        <v>43</v>
      </c>
      <c r="Q219"/>
      <c r="R219"/>
    </row>
    <row r="220" spans="3:18" x14ac:dyDescent="0.25">
      <c r="C220" s="24" t="s">
        <v>588</v>
      </c>
      <c r="D220" s="24" t="s">
        <v>589</v>
      </c>
      <c r="E220" s="24" t="s">
        <v>589</v>
      </c>
      <c r="F220" s="25">
        <v>5</v>
      </c>
      <c r="G220" s="24" t="s">
        <v>376</v>
      </c>
      <c r="H220" s="24" t="s">
        <v>46</v>
      </c>
      <c r="I220" s="24" t="s">
        <v>1046</v>
      </c>
      <c r="J220" s="24" t="s">
        <v>331</v>
      </c>
      <c r="K220" s="24" t="s">
        <v>1060</v>
      </c>
      <c r="L220" s="24" t="s">
        <v>1051</v>
      </c>
      <c r="M220" s="3" t="s">
        <v>984</v>
      </c>
      <c r="N220" s="24" t="s">
        <v>588</v>
      </c>
      <c r="O220" s="24" t="e">
        <f>VLOOKUP(C220,[3]MAESTRA!$E$5:$AO$395,36,0)</f>
        <v>#N/A</v>
      </c>
      <c r="P220" s="16" t="s">
        <v>43</v>
      </c>
      <c r="Q220"/>
      <c r="R220"/>
    </row>
    <row r="221" spans="3:18" x14ac:dyDescent="0.25">
      <c r="C221" s="24" t="s">
        <v>183</v>
      </c>
      <c r="D221" s="24" t="s">
        <v>184</v>
      </c>
      <c r="E221" s="24" t="s">
        <v>184</v>
      </c>
      <c r="F221" s="25" t="s">
        <v>36</v>
      </c>
      <c r="G221" s="24" t="s">
        <v>37</v>
      </c>
      <c r="H221" s="24" t="s">
        <v>81</v>
      </c>
      <c r="I221" s="24" t="s">
        <v>1046</v>
      </c>
      <c r="J221" s="24">
        <v>0</v>
      </c>
      <c r="K221" s="24" t="s">
        <v>1065</v>
      </c>
      <c r="L221" s="24" t="s">
        <v>1051</v>
      </c>
      <c r="M221" s="24" t="s">
        <v>1053</v>
      </c>
      <c r="N221" s="24" t="s">
        <v>183</v>
      </c>
      <c r="O221" s="24" t="e">
        <f>VLOOKUP(C221,[3]MAESTRA!$E$5:$AO$395,36,0)</f>
        <v>#N/A</v>
      </c>
      <c r="P221" s="16" t="s">
        <v>43</v>
      </c>
      <c r="Q221"/>
      <c r="R221"/>
    </row>
    <row r="222" spans="3:18" x14ac:dyDescent="0.25">
      <c r="C222" s="24" t="s">
        <v>185</v>
      </c>
      <c r="D222" s="24" t="s">
        <v>186</v>
      </c>
      <c r="E222" s="24" t="s">
        <v>186</v>
      </c>
      <c r="F222" s="25" t="s">
        <v>36</v>
      </c>
      <c r="G222" s="24" t="s">
        <v>37</v>
      </c>
      <c r="H222" s="24" t="s">
        <v>46</v>
      </c>
      <c r="I222" s="24" t="s">
        <v>1046</v>
      </c>
      <c r="J222" s="24" t="s">
        <v>94</v>
      </c>
      <c r="K222" s="24" t="s">
        <v>1065</v>
      </c>
      <c r="L222" s="24" t="s">
        <v>1051</v>
      </c>
      <c r="M222" s="24" t="s">
        <v>1035</v>
      </c>
      <c r="N222" s="24" t="s">
        <v>185</v>
      </c>
      <c r="O222" s="24" t="e">
        <f>VLOOKUP(C222,[3]MAESTRA!$E$5:$AO$395,36,0)</f>
        <v>#N/A</v>
      </c>
      <c r="P222" s="16" t="s">
        <v>43</v>
      </c>
      <c r="Q222"/>
      <c r="R222"/>
    </row>
    <row r="223" spans="3:18" x14ac:dyDescent="0.25">
      <c r="C223" s="24" t="s">
        <v>445</v>
      </c>
      <c r="D223" s="24" t="s">
        <v>446</v>
      </c>
      <c r="E223" s="24" t="s">
        <v>446</v>
      </c>
      <c r="F223" s="25">
        <v>5</v>
      </c>
      <c r="G223" s="24" t="s">
        <v>376</v>
      </c>
      <c r="H223" s="24" t="s">
        <v>46</v>
      </c>
      <c r="I223" s="24" t="s">
        <v>1046</v>
      </c>
      <c r="J223" s="24" t="s">
        <v>94</v>
      </c>
      <c r="K223" s="24" t="s">
        <v>1065</v>
      </c>
      <c r="L223" s="24" t="s">
        <v>1051</v>
      </c>
      <c r="M223" s="24" t="s">
        <v>1035</v>
      </c>
      <c r="N223" s="24" t="s">
        <v>445</v>
      </c>
      <c r="O223" s="24" t="e">
        <f>VLOOKUP(C223,[3]MAESTRA!$E$5:$AO$395,36,0)</f>
        <v>#N/A</v>
      </c>
      <c r="P223" s="16" t="s">
        <v>43</v>
      </c>
      <c r="Q223"/>
      <c r="R223"/>
    </row>
    <row r="224" spans="3:18" x14ac:dyDescent="0.25">
      <c r="C224" s="24" t="s">
        <v>817</v>
      </c>
      <c r="D224" s="24" t="s">
        <v>818</v>
      </c>
      <c r="E224" s="24" t="s">
        <v>818</v>
      </c>
      <c r="F224" s="25">
        <v>5</v>
      </c>
      <c r="G224" s="24" t="s">
        <v>376</v>
      </c>
      <c r="H224" s="24" t="s">
        <v>46</v>
      </c>
      <c r="I224" s="24" t="s">
        <v>1046</v>
      </c>
      <c r="J224" s="24" t="s">
        <v>146</v>
      </c>
      <c r="K224" s="24" t="s">
        <v>1064</v>
      </c>
      <c r="L224" s="24" t="s">
        <v>1051</v>
      </c>
      <c r="M224" s="24" t="s">
        <v>1035</v>
      </c>
      <c r="N224" s="24" t="s">
        <v>817</v>
      </c>
      <c r="O224" s="24" t="e">
        <f>VLOOKUP(C224,[3]MAESTRA!$E$5:$AO$395,36,0)</f>
        <v>#N/A</v>
      </c>
      <c r="P224" s="16" t="s">
        <v>43</v>
      </c>
      <c r="Q224"/>
      <c r="R224"/>
    </row>
    <row r="225" spans="3:18" x14ac:dyDescent="0.25">
      <c r="C225" s="24" t="s">
        <v>187</v>
      </c>
      <c r="D225" s="24" t="s">
        <v>188</v>
      </c>
      <c r="E225" s="24" t="s">
        <v>188</v>
      </c>
      <c r="F225" s="25" t="s">
        <v>36</v>
      </c>
      <c r="G225" s="24" t="s">
        <v>37</v>
      </c>
      <c r="H225" s="24" t="s">
        <v>81</v>
      </c>
      <c r="I225" s="24" t="s">
        <v>1046</v>
      </c>
      <c r="J225" s="24" t="s">
        <v>160</v>
      </c>
      <c r="K225" s="24" t="s">
        <v>1065</v>
      </c>
      <c r="L225" s="24" t="s">
        <v>1051</v>
      </c>
      <c r="M225" s="3" t="s">
        <v>984</v>
      </c>
      <c r="N225" s="24" t="s">
        <v>187</v>
      </c>
      <c r="O225" s="24" t="e">
        <f>VLOOKUP(C225,[3]MAESTRA!$E$5:$AO$395,36,0)</f>
        <v>#N/A</v>
      </c>
      <c r="P225" s="16" t="s">
        <v>43</v>
      </c>
      <c r="Q225"/>
      <c r="R225"/>
    </row>
    <row r="226" spans="3:18" x14ac:dyDescent="0.25">
      <c r="C226" s="24" t="s">
        <v>189</v>
      </c>
      <c r="D226" s="24" t="s">
        <v>190</v>
      </c>
      <c r="E226" s="24" t="s">
        <v>190</v>
      </c>
      <c r="F226" s="25" t="s">
        <v>36</v>
      </c>
      <c r="G226" s="24" t="s">
        <v>37</v>
      </c>
      <c r="H226" s="24" t="s">
        <v>81</v>
      </c>
      <c r="I226" s="24" t="s">
        <v>1046</v>
      </c>
      <c r="J226" s="24" t="s">
        <v>73</v>
      </c>
      <c r="K226" s="24" t="s">
        <v>1065</v>
      </c>
      <c r="L226" s="24" t="s">
        <v>1051</v>
      </c>
      <c r="M226" s="3" t="s">
        <v>378</v>
      </c>
      <c r="N226" s="24" t="s">
        <v>189</v>
      </c>
      <c r="O226" s="24" t="e">
        <f>VLOOKUP(C226,[3]MAESTRA!$E$5:$AO$395,36,0)</f>
        <v>#N/A</v>
      </c>
      <c r="P226" s="16" t="s">
        <v>43</v>
      </c>
      <c r="Q226"/>
      <c r="R226"/>
    </row>
    <row r="227" spans="3:18" x14ac:dyDescent="0.25">
      <c r="C227" s="24" t="s">
        <v>602</v>
      </c>
      <c r="D227" s="24" t="s">
        <v>603</v>
      </c>
      <c r="E227" s="24" t="s">
        <v>604</v>
      </c>
      <c r="F227" s="25">
        <v>5</v>
      </c>
      <c r="G227" s="24" t="s">
        <v>376</v>
      </c>
      <c r="H227" s="24" t="s">
        <v>81</v>
      </c>
      <c r="I227" s="24" t="s">
        <v>1046</v>
      </c>
      <c r="J227" s="24" t="s">
        <v>50</v>
      </c>
      <c r="K227" s="24" t="s">
        <v>1100</v>
      </c>
      <c r="L227" s="24" t="s">
        <v>1051</v>
      </c>
      <c r="M227" s="3" t="s">
        <v>984</v>
      </c>
      <c r="N227" s="24" t="s">
        <v>602</v>
      </c>
      <c r="O227" s="24" t="e">
        <f>VLOOKUP(C227,[3]MAESTRA!$E$5:$AO$395,36,0)</f>
        <v>#N/A</v>
      </c>
      <c r="P227" s="16" t="s">
        <v>43</v>
      </c>
      <c r="Q227"/>
      <c r="R227"/>
    </row>
    <row r="228" spans="3:18" x14ac:dyDescent="0.25">
      <c r="C228" s="24" t="s">
        <v>191</v>
      </c>
      <c r="D228" s="24" t="s">
        <v>192</v>
      </c>
      <c r="E228" s="24" t="s">
        <v>193</v>
      </c>
      <c r="F228" s="25" t="s">
        <v>36</v>
      </c>
      <c r="G228" s="24" t="s">
        <v>37</v>
      </c>
      <c r="H228" s="24" t="s">
        <v>81</v>
      </c>
      <c r="I228" s="24" t="s">
        <v>1046</v>
      </c>
      <c r="J228" s="24" t="s">
        <v>94</v>
      </c>
      <c r="K228" s="24" t="s">
        <v>1065</v>
      </c>
      <c r="L228" s="24" t="s">
        <v>1051</v>
      </c>
      <c r="M228" s="24" t="s">
        <v>1035</v>
      </c>
      <c r="N228" s="24" t="s">
        <v>191</v>
      </c>
      <c r="O228" s="24" t="e">
        <f>VLOOKUP(C228,[3]MAESTRA!$E$5:$AO$395,36,0)</f>
        <v>#N/A</v>
      </c>
      <c r="P228" s="16" t="s">
        <v>43</v>
      </c>
      <c r="Q228"/>
      <c r="R228"/>
    </row>
    <row r="229" spans="3:18" x14ac:dyDescent="0.25">
      <c r="C229" s="24" t="s">
        <v>194</v>
      </c>
      <c r="D229" s="24" t="s">
        <v>195</v>
      </c>
      <c r="E229" s="24" t="s">
        <v>196</v>
      </c>
      <c r="F229" s="25" t="s">
        <v>36</v>
      </c>
      <c r="G229" s="24" t="s">
        <v>37</v>
      </c>
      <c r="H229" s="24" t="s">
        <v>88</v>
      </c>
      <c r="I229" s="24" t="s">
        <v>1046</v>
      </c>
      <c r="J229" s="24" t="s">
        <v>1048</v>
      </c>
      <c r="K229" s="24" t="s">
        <v>1103</v>
      </c>
      <c r="L229" s="24" t="s">
        <v>1062</v>
      </c>
      <c r="M229" s="3" t="s">
        <v>378</v>
      </c>
      <c r="N229" s="24" t="s">
        <v>194</v>
      </c>
      <c r="O229" s="24" t="e">
        <f>VLOOKUP(C229,[3]MAESTRA!$E$5:$AO$395,36,0)</f>
        <v>#N/A</v>
      </c>
      <c r="P229" s="16" t="s">
        <v>43</v>
      </c>
      <c r="Q229"/>
      <c r="R229"/>
    </row>
    <row r="230" spans="3:18" x14ac:dyDescent="0.25">
      <c r="C230" s="24" t="s">
        <v>719</v>
      </c>
      <c r="D230" s="24" t="s">
        <v>720</v>
      </c>
      <c r="E230" s="24" t="s">
        <v>721</v>
      </c>
      <c r="F230" s="25">
        <v>5</v>
      </c>
      <c r="G230" s="24" t="s">
        <v>376</v>
      </c>
      <c r="H230" s="24" t="s">
        <v>81</v>
      </c>
      <c r="I230" s="24" t="s">
        <v>1031</v>
      </c>
      <c r="J230" s="24" t="s">
        <v>84</v>
      </c>
      <c r="K230" s="24" t="s">
        <v>1104</v>
      </c>
      <c r="L230" s="24" t="s">
        <v>1062</v>
      </c>
      <c r="M230" s="3" t="s">
        <v>378</v>
      </c>
      <c r="N230" s="24" t="s">
        <v>719</v>
      </c>
      <c r="O230" s="24" t="e">
        <f>VLOOKUP(C230,[3]MAESTRA!$E$5:$AO$395,36,0)</f>
        <v>#N/A</v>
      </c>
      <c r="P230" s="16" t="s">
        <v>43</v>
      </c>
      <c r="Q230"/>
      <c r="R230"/>
    </row>
    <row r="231" spans="3:18" x14ac:dyDescent="0.25">
      <c r="C231" s="24" t="s">
        <v>197</v>
      </c>
      <c r="D231" s="24" t="s">
        <v>198</v>
      </c>
      <c r="E231" s="24" t="s">
        <v>198</v>
      </c>
      <c r="F231" s="25" t="s">
        <v>36</v>
      </c>
      <c r="G231" s="24" t="s">
        <v>37</v>
      </c>
      <c r="H231" s="24" t="s">
        <v>46</v>
      </c>
      <c r="I231" s="24" t="s">
        <v>1046</v>
      </c>
      <c r="J231" s="24" t="s">
        <v>63</v>
      </c>
      <c r="K231" s="24" t="s">
        <v>1060</v>
      </c>
      <c r="L231" s="24" t="s">
        <v>1051</v>
      </c>
      <c r="M231" s="3" t="s">
        <v>378</v>
      </c>
      <c r="N231" s="24" t="s">
        <v>197</v>
      </c>
      <c r="O231" s="24" t="e">
        <f>VLOOKUP(C231,[3]MAESTRA!$E$5:$AO$395,36,0)</f>
        <v>#N/A</v>
      </c>
      <c r="P231" s="16" t="s">
        <v>43</v>
      </c>
      <c r="Q231"/>
      <c r="R231"/>
    </row>
    <row r="232" spans="3:18" x14ac:dyDescent="0.25">
      <c r="C232" s="24" t="s">
        <v>199</v>
      </c>
      <c r="D232" s="24" t="s">
        <v>200</v>
      </c>
      <c r="E232" s="24" t="s">
        <v>201</v>
      </c>
      <c r="F232" s="25" t="s">
        <v>36</v>
      </c>
      <c r="G232" s="24" t="s">
        <v>37</v>
      </c>
      <c r="H232" s="24" t="s">
        <v>202</v>
      </c>
      <c r="I232" s="24" t="s">
        <v>1046</v>
      </c>
      <c r="J232" s="24">
        <v>0</v>
      </c>
      <c r="K232" s="24" t="s">
        <v>1064</v>
      </c>
      <c r="L232" s="24" t="s">
        <v>1051</v>
      </c>
      <c r="M232" s="24" t="s">
        <v>1053</v>
      </c>
      <c r="N232" s="24" t="s">
        <v>199</v>
      </c>
      <c r="O232" s="24" t="e">
        <f>VLOOKUP(C232,[3]MAESTRA!$E$5:$AO$395,36,0)</f>
        <v>#N/A</v>
      </c>
      <c r="P232" s="16" t="s">
        <v>43</v>
      </c>
      <c r="Q232"/>
      <c r="R232"/>
    </row>
    <row r="233" spans="3:18" x14ac:dyDescent="0.25">
      <c r="C233" s="24" t="s">
        <v>723</v>
      </c>
      <c r="D233" s="24" t="s">
        <v>724</v>
      </c>
      <c r="E233" s="24" t="s">
        <v>725</v>
      </c>
      <c r="F233" s="25">
        <v>5</v>
      </c>
      <c r="G233" s="24" t="s">
        <v>376</v>
      </c>
      <c r="H233" s="24" t="s">
        <v>46</v>
      </c>
      <c r="I233" s="24" t="s">
        <v>1031</v>
      </c>
      <c r="J233" s="24" t="s">
        <v>84</v>
      </c>
      <c r="K233" s="24" t="s">
        <v>1061</v>
      </c>
      <c r="L233" s="24" t="s">
        <v>1062</v>
      </c>
      <c r="M233" s="3" t="s">
        <v>378</v>
      </c>
      <c r="N233" s="24" t="s">
        <v>723</v>
      </c>
      <c r="O233" s="24" t="e">
        <f>VLOOKUP(C233,[3]MAESTRA!$E$5:$AO$395,36,0)</f>
        <v>#N/A</v>
      </c>
      <c r="P233" s="16" t="s">
        <v>440</v>
      </c>
      <c r="Q233"/>
      <c r="R233"/>
    </row>
    <row r="234" spans="3:18" x14ac:dyDescent="0.25">
      <c r="C234" s="24" t="s">
        <v>819</v>
      </c>
      <c r="D234" s="24" t="s">
        <v>820</v>
      </c>
      <c r="E234" s="24" t="s">
        <v>820</v>
      </c>
      <c r="F234" s="25">
        <v>6</v>
      </c>
      <c r="G234" s="24" t="s">
        <v>376</v>
      </c>
      <c r="H234" s="24" t="s">
        <v>46</v>
      </c>
      <c r="I234" s="24" t="s">
        <v>1046</v>
      </c>
      <c r="J234" s="24" t="s">
        <v>146</v>
      </c>
      <c r="K234" s="24" t="s">
        <v>1064</v>
      </c>
      <c r="L234" s="24" t="s">
        <v>1051</v>
      </c>
      <c r="M234" s="24" t="s">
        <v>1035</v>
      </c>
      <c r="N234" s="24" t="s">
        <v>819</v>
      </c>
      <c r="O234" s="24" t="e">
        <f>VLOOKUP(C234,[3]MAESTRA!$E$5:$AO$395,36,0)</f>
        <v>#N/A</v>
      </c>
      <c r="P234" s="16" t="s">
        <v>43</v>
      </c>
      <c r="Q234"/>
      <c r="R234"/>
    </row>
    <row r="235" spans="3:18" x14ac:dyDescent="0.25">
      <c r="C235" s="24" t="s">
        <v>821</v>
      </c>
      <c r="D235" s="24" t="s">
        <v>822</v>
      </c>
      <c r="E235" s="24" t="s">
        <v>822</v>
      </c>
      <c r="F235" s="25">
        <v>5</v>
      </c>
      <c r="G235" s="24" t="s">
        <v>376</v>
      </c>
      <c r="H235" s="24" t="s">
        <v>46</v>
      </c>
      <c r="I235" s="24" t="s">
        <v>1046</v>
      </c>
      <c r="J235" s="24" t="s">
        <v>146</v>
      </c>
      <c r="K235" s="24" t="s">
        <v>1064</v>
      </c>
      <c r="L235" s="24" t="s">
        <v>1051</v>
      </c>
      <c r="M235" s="24" t="s">
        <v>1035</v>
      </c>
      <c r="N235" s="24" t="s">
        <v>821</v>
      </c>
      <c r="O235" s="24" t="e">
        <f>VLOOKUP(C235,[3]MAESTRA!$E$5:$AO$395,36,0)</f>
        <v>#N/A</v>
      </c>
      <c r="P235" s="16" t="s">
        <v>43</v>
      </c>
      <c r="Q235"/>
      <c r="R235"/>
    </row>
    <row r="236" spans="3:18" x14ac:dyDescent="0.25">
      <c r="C236" s="24" t="s">
        <v>203</v>
      </c>
      <c r="D236" s="24" t="s">
        <v>204</v>
      </c>
      <c r="E236" s="24" t="s">
        <v>204</v>
      </c>
      <c r="F236" s="25" t="s">
        <v>36</v>
      </c>
      <c r="G236" s="24" t="s">
        <v>37</v>
      </c>
      <c r="H236" s="24" t="s">
        <v>46</v>
      </c>
      <c r="I236" s="24" t="s">
        <v>1046</v>
      </c>
      <c r="J236" s="24">
        <v>0</v>
      </c>
      <c r="K236" s="24" t="s">
        <v>1063</v>
      </c>
      <c r="L236" s="24" t="s">
        <v>1051</v>
      </c>
      <c r="M236" s="24" t="s">
        <v>1053</v>
      </c>
      <c r="N236" s="24" t="s">
        <v>203</v>
      </c>
      <c r="O236" s="24" t="e">
        <f>VLOOKUP(C236,[3]MAESTRA!$E$5:$AO$395,36,0)</f>
        <v>#N/A</v>
      </c>
      <c r="P236" s="16" t="s">
        <v>43</v>
      </c>
      <c r="Q236"/>
      <c r="R236"/>
    </row>
    <row r="237" spans="3:18" x14ac:dyDescent="0.25">
      <c r="C237" s="24" t="s">
        <v>206</v>
      </c>
      <c r="D237" s="24" t="s">
        <v>207</v>
      </c>
      <c r="E237" s="24" t="s">
        <v>207</v>
      </c>
      <c r="F237" s="25" t="s">
        <v>36</v>
      </c>
      <c r="G237" s="24" t="s">
        <v>37</v>
      </c>
      <c r="H237" s="24" t="s">
        <v>46</v>
      </c>
      <c r="I237" s="24" t="s">
        <v>1046</v>
      </c>
      <c r="J237" s="24" t="s">
        <v>58</v>
      </c>
      <c r="K237" s="24" t="s">
        <v>1065</v>
      </c>
      <c r="L237" s="24" t="s">
        <v>1051</v>
      </c>
      <c r="M237" s="24" t="s">
        <v>1035</v>
      </c>
      <c r="N237" s="24" t="s">
        <v>206</v>
      </c>
      <c r="O237" s="24" t="e">
        <f>VLOOKUP(C237,[3]MAESTRA!$E$5:$AO$395,36,0)</f>
        <v>#N/A</v>
      </c>
      <c r="P237" s="16" t="s">
        <v>43</v>
      </c>
      <c r="Q237"/>
      <c r="R237"/>
    </row>
    <row r="238" spans="3:18" x14ac:dyDescent="0.25">
      <c r="C238" s="24" t="s">
        <v>758</v>
      </c>
      <c r="D238" s="24" t="s">
        <v>759</v>
      </c>
      <c r="E238" s="24" t="s">
        <v>760</v>
      </c>
      <c r="F238" s="25">
        <v>8</v>
      </c>
      <c r="G238" s="24" t="s">
        <v>376</v>
      </c>
      <c r="H238" s="24" t="s">
        <v>81</v>
      </c>
      <c r="I238" s="24" t="s">
        <v>1031</v>
      </c>
      <c r="J238" s="24" t="s">
        <v>1048</v>
      </c>
      <c r="K238" s="24" t="s">
        <v>1061</v>
      </c>
      <c r="L238" s="24" t="s">
        <v>1062</v>
      </c>
      <c r="M238" s="3" t="s">
        <v>378</v>
      </c>
      <c r="N238" s="24" t="s">
        <v>758</v>
      </c>
      <c r="O238" s="24" t="e">
        <f>VLOOKUP(C238,[3]MAESTRA!$E$5:$AO$395,36,0)</f>
        <v>#N/A</v>
      </c>
      <c r="P238" s="16" t="s">
        <v>43</v>
      </c>
      <c r="Q238"/>
      <c r="R238"/>
    </row>
    <row r="239" spans="3:18" x14ac:dyDescent="0.25">
      <c r="C239" s="24" t="s">
        <v>208</v>
      </c>
      <c r="D239" s="24" t="s">
        <v>209</v>
      </c>
      <c r="E239" s="24" t="s">
        <v>209</v>
      </c>
      <c r="F239" s="25" t="s">
        <v>36</v>
      </c>
      <c r="G239" s="24" t="s">
        <v>37</v>
      </c>
      <c r="H239" s="24" t="s">
        <v>81</v>
      </c>
      <c r="I239" s="24" t="s">
        <v>1046</v>
      </c>
      <c r="J239" s="24">
        <v>0</v>
      </c>
      <c r="K239" s="24" t="s">
        <v>1084</v>
      </c>
      <c r="L239" s="24" t="s">
        <v>1051</v>
      </c>
      <c r="M239" s="24" t="s">
        <v>1053</v>
      </c>
      <c r="N239" s="24" t="s">
        <v>208</v>
      </c>
      <c r="O239" s="24" t="e">
        <f>VLOOKUP(C239,[3]MAESTRA!$E$5:$AO$395,36,0)</f>
        <v>#N/A</v>
      </c>
      <c r="P239" s="16" t="s">
        <v>43</v>
      </c>
      <c r="Q239"/>
      <c r="R239"/>
    </row>
    <row r="240" spans="3:18" x14ac:dyDescent="0.25">
      <c r="C240" s="24" t="s">
        <v>606</v>
      </c>
      <c r="D240" s="24" t="s">
        <v>607</v>
      </c>
      <c r="E240" s="24" t="s">
        <v>608</v>
      </c>
      <c r="F240" s="25">
        <v>5</v>
      </c>
      <c r="G240" s="24" t="s">
        <v>376</v>
      </c>
      <c r="H240" s="24" t="s">
        <v>46</v>
      </c>
      <c r="I240" s="24" t="s">
        <v>1046</v>
      </c>
      <c r="J240" s="24" t="s">
        <v>50</v>
      </c>
      <c r="K240" s="24" t="s">
        <v>1081</v>
      </c>
      <c r="L240" s="24" t="s">
        <v>1051</v>
      </c>
      <c r="M240" s="3" t="s">
        <v>984</v>
      </c>
      <c r="N240" s="24" t="s">
        <v>606</v>
      </c>
      <c r="O240" s="24" t="e">
        <f>VLOOKUP(C240,[3]MAESTRA!$E$5:$AO$395,36,0)</f>
        <v>#N/A</v>
      </c>
      <c r="P240" s="16" t="s">
        <v>43</v>
      </c>
      <c r="Q240"/>
      <c r="R240"/>
    </row>
    <row r="241" spans="3:18" x14ac:dyDescent="0.25">
      <c r="C241" s="24" t="s">
        <v>210</v>
      </c>
      <c r="D241" s="24" t="s">
        <v>211</v>
      </c>
      <c r="E241" s="24" t="s">
        <v>212</v>
      </c>
      <c r="F241" s="25" t="s">
        <v>36</v>
      </c>
      <c r="G241" s="24" t="s">
        <v>37</v>
      </c>
      <c r="H241" s="24" t="s">
        <v>46</v>
      </c>
      <c r="I241" s="24" t="s">
        <v>1046</v>
      </c>
      <c r="J241" s="24">
        <v>0</v>
      </c>
      <c r="K241" s="24" t="s">
        <v>1064</v>
      </c>
      <c r="L241" s="24" t="s">
        <v>1051</v>
      </c>
      <c r="M241" s="24" t="s">
        <v>1053</v>
      </c>
      <c r="N241" s="24" t="s">
        <v>210</v>
      </c>
      <c r="O241" s="24" t="e">
        <f>VLOOKUP(C241,[3]MAESTRA!$E$5:$AO$395,36,0)</f>
        <v>#N/A</v>
      </c>
      <c r="P241" s="16" t="s">
        <v>43</v>
      </c>
      <c r="Q241"/>
      <c r="R241"/>
    </row>
    <row r="242" spans="3:18" x14ac:dyDescent="0.25">
      <c r="C242" s="24" t="s">
        <v>213</v>
      </c>
      <c r="D242" s="24" t="s">
        <v>214</v>
      </c>
      <c r="E242" s="24" t="s">
        <v>214</v>
      </c>
      <c r="F242" s="25" t="s">
        <v>36</v>
      </c>
      <c r="G242" s="24" t="s">
        <v>37</v>
      </c>
      <c r="H242" s="24" t="s">
        <v>202</v>
      </c>
      <c r="I242" s="24" t="s">
        <v>1046</v>
      </c>
      <c r="J242" s="24">
        <v>0</v>
      </c>
      <c r="K242" s="24" t="s">
        <v>1064</v>
      </c>
      <c r="L242" s="24" t="s">
        <v>1051</v>
      </c>
      <c r="M242" s="24" t="s">
        <v>1053</v>
      </c>
      <c r="N242" s="24" t="s">
        <v>213</v>
      </c>
      <c r="O242" s="24" t="e">
        <f>VLOOKUP(C242,[3]MAESTRA!$E$5:$AO$395,36,0)</f>
        <v>#N/A</v>
      </c>
      <c r="P242" s="16" t="s">
        <v>43</v>
      </c>
      <c r="Q242"/>
      <c r="R242"/>
    </row>
    <row r="243" spans="3:18" x14ac:dyDescent="0.25">
      <c r="C243" s="24" t="s">
        <v>215</v>
      </c>
      <c r="D243" s="24" t="s">
        <v>216</v>
      </c>
      <c r="E243" s="24" t="s">
        <v>216</v>
      </c>
      <c r="F243" s="25" t="s">
        <v>36</v>
      </c>
      <c r="G243" s="24" t="s">
        <v>37</v>
      </c>
      <c r="H243" s="24" t="s">
        <v>81</v>
      </c>
      <c r="I243" s="24" t="s">
        <v>1046</v>
      </c>
      <c r="J243" s="24"/>
      <c r="K243" s="24" t="s">
        <v>1060</v>
      </c>
      <c r="L243" s="24" t="s">
        <v>1051</v>
      </c>
      <c r="M243" s="24" t="s">
        <v>1035</v>
      </c>
      <c r="N243" s="24" t="s">
        <v>215</v>
      </c>
      <c r="O243" s="24" t="e">
        <f>VLOOKUP(C243,[3]MAESTRA!$E$5:$AO$395,36,0)</f>
        <v>#N/A</v>
      </c>
      <c r="P243" s="16" t="s">
        <v>43</v>
      </c>
      <c r="Q243"/>
      <c r="R243"/>
    </row>
    <row r="244" spans="3:18" x14ac:dyDescent="0.25">
      <c r="C244" s="24" t="s">
        <v>548</v>
      </c>
      <c r="D244" s="24" t="s">
        <v>549</v>
      </c>
      <c r="E244" s="24" t="s">
        <v>550</v>
      </c>
      <c r="F244" s="25">
        <v>5</v>
      </c>
      <c r="G244" s="24" t="s">
        <v>376</v>
      </c>
      <c r="H244" s="24" t="s">
        <v>81</v>
      </c>
      <c r="I244" s="24" t="s">
        <v>1046</v>
      </c>
      <c r="J244" s="24" t="s">
        <v>100</v>
      </c>
      <c r="K244" s="24" t="s">
        <v>1060</v>
      </c>
      <c r="L244" s="24" t="s">
        <v>1051</v>
      </c>
      <c r="M244" s="24" t="s">
        <v>1035</v>
      </c>
      <c r="N244" s="24" t="s">
        <v>548</v>
      </c>
      <c r="O244" s="24" t="e">
        <f>VLOOKUP(C244,[3]MAESTRA!$E$5:$AO$395,36,0)</f>
        <v>#N/A</v>
      </c>
      <c r="P244" s="16" t="s">
        <v>43</v>
      </c>
      <c r="Q244"/>
      <c r="R244"/>
    </row>
    <row r="245" spans="3:18" x14ac:dyDescent="0.25">
      <c r="C245" s="24" t="s">
        <v>726</v>
      </c>
      <c r="D245" s="24" t="s">
        <v>727</v>
      </c>
      <c r="E245" s="24" t="s">
        <v>727</v>
      </c>
      <c r="F245" s="25">
        <v>5</v>
      </c>
      <c r="G245" s="24" t="s">
        <v>376</v>
      </c>
      <c r="H245" s="24" t="s">
        <v>81</v>
      </c>
      <c r="I245" s="24" t="s">
        <v>1031</v>
      </c>
      <c r="J245" s="24" t="s">
        <v>84</v>
      </c>
      <c r="K245" s="24" t="s">
        <v>1061</v>
      </c>
      <c r="L245" s="24" t="s">
        <v>1062</v>
      </c>
      <c r="M245" s="3" t="s">
        <v>378</v>
      </c>
      <c r="N245" s="24" t="s">
        <v>726</v>
      </c>
      <c r="O245" s="24" t="e">
        <f>VLOOKUP(C245,[3]MAESTRA!$E$5:$AO$395,36,0)</f>
        <v>#N/A</v>
      </c>
      <c r="P245" s="16" t="s">
        <v>43</v>
      </c>
      <c r="Q245"/>
      <c r="R245"/>
    </row>
    <row r="246" spans="3:18" x14ac:dyDescent="0.25">
      <c r="C246" s="24" t="s">
        <v>217</v>
      </c>
      <c r="D246" s="24" t="s">
        <v>218</v>
      </c>
      <c r="F246" s="25" t="s">
        <v>36</v>
      </c>
      <c r="G246" s="24" t="s">
        <v>37</v>
      </c>
      <c r="H246" s="24" t="s">
        <v>81</v>
      </c>
      <c r="I246" s="24" t="s">
        <v>1046</v>
      </c>
      <c r="J246" s="24">
        <v>0</v>
      </c>
      <c r="K246" s="24" t="s">
        <v>1064</v>
      </c>
      <c r="L246" s="24" t="s">
        <v>1051</v>
      </c>
      <c r="M246" s="24" t="s">
        <v>1053</v>
      </c>
      <c r="N246" s="24" t="s">
        <v>217</v>
      </c>
      <c r="O246" s="24" t="e">
        <f>VLOOKUP(C246,[3]MAESTRA!$E$5:$AO$395,36,0)</f>
        <v>#N/A</v>
      </c>
      <c r="P246" s="16" t="s">
        <v>43</v>
      </c>
      <c r="Q246"/>
      <c r="R246"/>
    </row>
    <row r="247" spans="3:18" x14ac:dyDescent="0.25">
      <c r="C247" s="24" t="s">
        <v>551</v>
      </c>
      <c r="D247" s="24" t="s">
        <v>552</v>
      </c>
      <c r="E247" s="24" t="s">
        <v>999</v>
      </c>
      <c r="F247" s="25">
        <v>5</v>
      </c>
      <c r="G247" s="24" t="s">
        <v>376</v>
      </c>
      <c r="H247" s="24" t="s">
        <v>46</v>
      </c>
      <c r="I247" s="24" t="s">
        <v>1046</v>
      </c>
      <c r="J247" s="24" t="s">
        <v>100</v>
      </c>
      <c r="K247" s="24" t="s">
        <v>1060</v>
      </c>
      <c r="L247" s="24" t="s">
        <v>1051</v>
      </c>
      <c r="M247" s="24" t="s">
        <v>1035</v>
      </c>
      <c r="N247" s="24" t="s">
        <v>551</v>
      </c>
      <c r="O247" s="24" t="e">
        <f>VLOOKUP(C247,[3]MAESTRA!$E$5:$AO$395,36,0)</f>
        <v>#N/A</v>
      </c>
      <c r="P247" s="16" t="s">
        <v>440</v>
      </c>
      <c r="Q247"/>
      <c r="R247"/>
    </row>
    <row r="248" spans="3:18" x14ac:dyDescent="0.25">
      <c r="C248" s="24" t="s">
        <v>219</v>
      </c>
      <c r="D248" s="24" t="s">
        <v>220</v>
      </c>
      <c r="E248" s="24" t="s">
        <v>220</v>
      </c>
      <c r="F248" s="25" t="s">
        <v>36</v>
      </c>
      <c r="G248" s="24" t="s">
        <v>37</v>
      </c>
      <c r="H248" s="24" t="s">
        <v>38</v>
      </c>
      <c r="I248" s="24" t="s">
        <v>1046</v>
      </c>
      <c r="J248" s="24" t="s">
        <v>100</v>
      </c>
      <c r="K248" s="24" t="s">
        <v>1064</v>
      </c>
      <c r="L248" s="24" t="s">
        <v>1051</v>
      </c>
      <c r="M248" s="24" t="s">
        <v>1035</v>
      </c>
      <c r="N248" s="24" t="s">
        <v>219</v>
      </c>
      <c r="O248" s="24" t="e">
        <f>VLOOKUP(C248,[3]MAESTRA!$E$5:$AO$395,36,0)</f>
        <v>#N/A</v>
      </c>
      <c r="P248" s="16" t="s">
        <v>43</v>
      </c>
      <c r="Q248"/>
      <c r="R248"/>
    </row>
    <row r="249" spans="3:18" x14ac:dyDescent="0.25">
      <c r="C249" s="24" t="s">
        <v>221</v>
      </c>
      <c r="D249" s="24" t="s">
        <v>222</v>
      </c>
      <c r="E249" s="24" t="s">
        <v>223</v>
      </c>
      <c r="F249" s="25" t="s">
        <v>36</v>
      </c>
      <c r="G249" s="24" t="s">
        <v>37</v>
      </c>
      <c r="H249" s="24" t="s">
        <v>38</v>
      </c>
      <c r="I249" s="24" t="s">
        <v>1046</v>
      </c>
      <c r="J249" s="24">
        <v>0</v>
      </c>
      <c r="K249" s="24" t="s">
        <v>1072</v>
      </c>
      <c r="L249" s="24" t="s">
        <v>1051</v>
      </c>
      <c r="M249" s="24" t="s">
        <v>1053</v>
      </c>
      <c r="N249" s="24" t="s">
        <v>221</v>
      </c>
      <c r="O249" s="24" t="e">
        <f>VLOOKUP(C249,[3]MAESTRA!$E$5:$AO$395,36,0)</f>
        <v>#N/A</v>
      </c>
      <c r="P249" s="16" t="s">
        <v>43</v>
      </c>
      <c r="Q249"/>
      <c r="R249"/>
    </row>
    <row r="250" spans="3:18" x14ac:dyDescent="0.25">
      <c r="C250" s="24" t="s">
        <v>224</v>
      </c>
      <c r="D250" s="24" t="s">
        <v>225</v>
      </c>
      <c r="E250" s="24" t="s">
        <v>226</v>
      </c>
      <c r="F250" s="25" t="s">
        <v>36</v>
      </c>
      <c r="G250" s="24" t="s">
        <v>37</v>
      </c>
      <c r="H250" s="24" t="s">
        <v>38</v>
      </c>
      <c r="I250" s="24" t="s">
        <v>1046</v>
      </c>
      <c r="J250" s="24">
        <v>0</v>
      </c>
      <c r="K250" s="24" t="s">
        <v>1064</v>
      </c>
      <c r="L250" s="24" t="s">
        <v>1051</v>
      </c>
      <c r="M250" s="24" t="s">
        <v>1053</v>
      </c>
      <c r="N250" s="24" t="s">
        <v>224</v>
      </c>
      <c r="O250" s="24" t="e">
        <f>VLOOKUP(C250,[3]MAESTRA!$E$5:$AO$395,36,0)</f>
        <v>#N/A</v>
      </c>
      <c r="P250" s="16" t="s">
        <v>43</v>
      </c>
      <c r="Q250"/>
      <c r="R250"/>
    </row>
    <row r="251" spans="3:18" x14ac:dyDescent="0.25">
      <c r="C251" s="24" t="s">
        <v>502</v>
      </c>
      <c r="D251" s="24" t="s">
        <v>503</v>
      </c>
      <c r="E251" s="24" t="s">
        <v>504</v>
      </c>
      <c r="F251" s="25">
        <v>5</v>
      </c>
      <c r="G251" s="24" t="s">
        <v>376</v>
      </c>
      <c r="H251" s="24" t="s">
        <v>46</v>
      </c>
      <c r="I251" s="24" t="s">
        <v>1046</v>
      </c>
      <c r="J251" s="24" t="s">
        <v>58</v>
      </c>
      <c r="K251" s="24" t="s">
        <v>1059</v>
      </c>
      <c r="L251" s="24" t="s">
        <v>1051</v>
      </c>
      <c r="M251" s="24" t="s">
        <v>1035</v>
      </c>
      <c r="N251" s="24" t="s">
        <v>502</v>
      </c>
      <c r="O251" s="24" t="e">
        <f>VLOOKUP(C251,[3]MAESTRA!$E$5:$AO$395,36,0)</f>
        <v>#N/A</v>
      </c>
      <c r="P251" s="16" t="s">
        <v>43</v>
      </c>
      <c r="Q251"/>
      <c r="R251"/>
    </row>
    <row r="252" spans="3:18" x14ac:dyDescent="0.25">
      <c r="C252" s="24" t="s">
        <v>227</v>
      </c>
      <c r="D252" s="24" t="s">
        <v>228</v>
      </c>
      <c r="E252" s="24" t="s">
        <v>229</v>
      </c>
      <c r="F252" s="25" t="s">
        <v>36</v>
      </c>
      <c r="G252" s="24" t="s">
        <v>37</v>
      </c>
      <c r="H252" s="24" t="s">
        <v>38</v>
      </c>
      <c r="I252" s="24" t="s">
        <v>1046</v>
      </c>
      <c r="J252" s="24">
        <v>0</v>
      </c>
      <c r="K252" s="24" t="s">
        <v>1061</v>
      </c>
      <c r="L252" s="24" t="s">
        <v>1062</v>
      </c>
      <c r="M252" s="24" t="s">
        <v>1053</v>
      </c>
      <c r="N252" s="24" t="s">
        <v>227</v>
      </c>
      <c r="O252" s="24" t="e">
        <f>VLOOKUP(C252,[3]MAESTRA!$E$5:$AO$395,36,0)</f>
        <v>#N/A</v>
      </c>
      <c r="P252" s="16" t="s">
        <v>43</v>
      </c>
      <c r="Q252"/>
      <c r="R252"/>
    </row>
    <row r="253" spans="3:18" x14ac:dyDescent="0.25">
      <c r="C253" s="24" t="s">
        <v>728</v>
      </c>
      <c r="D253" s="24" t="s">
        <v>729</v>
      </c>
      <c r="E253" s="24" t="s">
        <v>730</v>
      </c>
      <c r="F253" s="25">
        <v>5</v>
      </c>
      <c r="G253" s="24" t="s">
        <v>376</v>
      </c>
      <c r="H253" s="24" t="s">
        <v>46</v>
      </c>
      <c r="I253" s="24" t="s">
        <v>1031</v>
      </c>
      <c r="J253" s="24" t="s">
        <v>84</v>
      </c>
      <c r="K253" s="24" t="s">
        <v>1104</v>
      </c>
      <c r="L253" s="24" t="s">
        <v>1062</v>
      </c>
      <c r="M253" s="3" t="s">
        <v>378</v>
      </c>
      <c r="N253" s="24" t="s">
        <v>728</v>
      </c>
      <c r="O253" s="24" t="e">
        <f>VLOOKUP(C253,[3]MAESTRA!$E$5:$AO$395,36,0)</f>
        <v>#N/A</v>
      </c>
      <c r="P253" s="16" t="s">
        <v>440</v>
      </c>
      <c r="Q253"/>
      <c r="R253"/>
    </row>
    <row r="254" spans="3:18" x14ac:dyDescent="0.25">
      <c r="C254" s="24" t="s">
        <v>230</v>
      </c>
      <c r="D254" s="24" t="s">
        <v>231</v>
      </c>
      <c r="E254" s="24" t="s">
        <v>232</v>
      </c>
      <c r="F254" s="25" t="s">
        <v>36</v>
      </c>
      <c r="G254" s="24" t="s">
        <v>37</v>
      </c>
      <c r="H254" s="24" t="s">
        <v>38</v>
      </c>
      <c r="I254" s="24" t="s">
        <v>1046</v>
      </c>
      <c r="J254" s="24" t="s">
        <v>84</v>
      </c>
      <c r="K254" s="24" t="s">
        <v>1061</v>
      </c>
      <c r="L254" s="24" t="s">
        <v>1062</v>
      </c>
      <c r="M254" s="3" t="s">
        <v>378</v>
      </c>
      <c r="N254" s="24" t="s">
        <v>230</v>
      </c>
      <c r="O254" s="24" t="e">
        <f>VLOOKUP(C254,[3]MAESTRA!$E$5:$AO$395,36,0)</f>
        <v>#N/A</v>
      </c>
      <c r="P254" s="16" t="s">
        <v>43</v>
      </c>
      <c r="Q254"/>
      <c r="R254"/>
    </row>
    <row r="255" spans="3:18" x14ac:dyDescent="0.25">
      <c r="C255" s="24" t="s">
        <v>233</v>
      </c>
      <c r="D255" s="24" t="s">
        <v>234</v>
      </c>
      <c r="E255" s="24" t="s">
        <v>235</v>
      </c>
      <c r="F255" s="25" t="s">
        <v>36</v>
      </c>
      <c r="G255" s="24" t="s">
        <v>37</v>
      </c>
      <c r="H255" s="24" t="s">
        <v>38</v>
      </c>
      <c r="I255" s="24" t="s">
        <v>1046</v>
      </c>
      <c r="J255" s="24" t="s">
        <v>84</v>
      </c>
      <c r="K255" s="24" t="s">
        <v>1061</v>
      </c>
      <c r="L255" s="24" t="s">
        <v>1062</v>
      </c>
      <c r="M255" s="3" t="s">
        <v>378</v>
      </c>
      <c r="N255" s="24" t="s">
        <v>233</v>
      </c>
      <c r="O255" s="24" t="e">
        <f>VLOOKUP(C255,[3]MAESTRA!$E$5:$AO$395,36,0)</f>
        <v>#N/A</v>
      </c>
      <c r="P255" s="16" t="s">
        <v>43</v>
      </c>
      <c r="Q255"/>
      <c r="R255"/>
    </row>
    <row r="256" spans="3:18" x14ac:dyDescent="0.25">
      <c r="C256" s="24" t="s">
        <v>236</v>
      </c>
      <c r="D256" s="24" t="s">
        <v>237</v>
      </c>
      <c r="E256" s="24" t="s">
        <v>237</v>
      </c>
      <c r="F256" s="25" t="s">
        <v>36</v>
      </c>
      <c r="G256" s="24" t="s">
        <v>37</v>
      </c>
      <c r="H256" s="24" t="s">
        <v>38</v>
      </c>
      <c r="I256" s="24" t="s">
        <v>1046</v>
      </c>
      <c r="J256" s="24">
        <v>0</v>
      </c>
      <c r="K256" s="24" t="s">
        <v>1064</v>
      </c>
      <c r="L256" s="24" t="s">
        <v>1051</v>
      </c>
      <c r="M256" s="24" t="s">
        <v>1053</v>
      </c>
      <c r="N256" s="24" t="s">
        <v>236</v>
      </c>
      <c r="O256" s="24" t="e">
        <f>VLOOKUP(C256,[3]MAESTRA!$E$5:$AO$395,36,0)</f>
        <v>#N/A</v>
      </c>
      <c r="P256" s="16" t="s">
        <v>43</v>
      </c>
      <c r="Q256"/>
      <c r="R256"/>
    </row>
    <row r="257" spans="3:18" x14ac:dyDescent="0.25">
      <c r="C257" s="24" t="s">
        <v>238</v>
      </c>
      <c r="D257" s="24" t="s">
        <v>239</v>
      </c>
      <c r="E257" s="24" t="s">
        <v>240</v>
      </c>
      <c r="F257" s="25" t="s">
        <v>36</v>
      </c>
      <c r="G257" s="24" t="s">
        <v>37</v>
      </c>
      <c r="H257" s="24" t="s">
        <v>38</v>
      </c>
      <c r="I257" s="24" t="s">
        <v>1046</v>
      </c>
      <c r="J257" s="24" t="s">
        <v>146</v>
      </c>
      <c r="K257" s="24" t="s">
        <v>1064</v>
      </c>
      <c r="L257" s="24" t="s">
        <v>1051</v>
      </c>
      <c r="M257" s="24" t="s">
        <v>1035</v>
      </c>
      <c r="N257" s="24" t="s">
        <v>238</v>
      </c>
      <c r="O257" s="24" t="e">
        <f>VLOOKUP(C257,[3]MAESTRA!$E$5:$AO$395,36,0)</f>
        <v>#N/A</v>
      </c>
      <c r="P257" s="16" t="s">
        <v>43</v>
      </c>
      <c r="Q257"/>
      <c r="R257"/>
    </row>
    <row r="258" spans="3:18" x14ac:dyDescent="0.25">
      <c r="C258" s="24" t="s">
        <v>962</v>
      </c>
      <c r="D258" s="24" t="s">
        <v>963</v>
      </c>
      <c r="E258" s="24" t="s">
        <v>964</v>
      </c>
      <c r="F258" s="25">
        <v>5</v>
      </c>
      <c r="G258" s="24" t="s">
        <v>376</v>
      </c>
      <c r="H258" s="24" t="s">
        <v>46</v>
      </c>
      <c r="I258" s="24" t="s">
        <v>1046</v>
      </c>
      <c r="J258" s="24" t="s">
        <v>160</v>
      </c>
      <c r="K258" s="24" t="s">
        <v>1073</v>
      </c>
      <c r="L258" s="24" t="s">
        <v>1051</v>
      </c>
      <c r="M258" s="3" t="s">
        <v>984</v>
      </c>
      <c r="N258" s="24" t="s">
        <v>962</v>
      </c>
      <c r="O258" s="24" t="e">
        <f>VLOOKUP(C258,[3]MAESTRA!$E$5:$AO$395,36,0)</f>
        <v>#N/A</v>
      </c>
      <c r="P258" s="16" t="s">
        <v>440</v>
      </c>
      <c r="Q258"/>
      <c r="R258"/>
    </row>
    <row r="259" spans="3:18" x14ac:dyDescent="0.25">
      <c r="C259" s="24" t="s">
        <v>687</v>
      </c>
      <c r="D259" s="24" t="s">
        <v>688</v>
      </c>
      <c r="E259" s="24" t="s">
        <v>689</v>
      </c>
      <c r="F259" s="25">
        <v>5.45</v>
      </c>
      <c r="G259" s="24" t="s">
        <v>376</v>
      </c>
      <c r="H259" s="24" t="s">
        <v>46</v>
      </c>
      <c r="I259" s="24" t="s">
        <v>1046</v>
      </c>
      <c r="J259" s="24" t="s">
        <v>248</v>
      </c>
      <c r="K259" s="24" t="s">
        <v>1059</v>
      </c>
      <c r="L259" s="24" t="s">
        <v>1051</v>
      </c>
      <c r="M259" s="3" t="s">
        <v>984</v>
      </c>
      <c r="N259" s="24" t="s">
        <v>687</v>
      </c>
      <c r="O259" s="24" t="e">
        <f>VLOOKUP(C259,[3]MAESTRA!$E$5:$AO$395,36,0)</f>
        <v>#N/A</v>
      </c>
      <c r="P259" s="16" t="s">
        <v>440</v>
      </c>
      <c r="Q259"/>
      <c r="R259"/>
    </row>
    <row r="260" spans="3:18" x14ac:dyDescent="0.25">
      <c r="C260" s="24" t="s">
        <v>241</v>
      </c>
      <c r="D260" s="24" t="s">
        <v>242</v>
      </c>
      <c r="E260" s="24" t="s">
        <v>243</v>
      </c>
      <c r="F260" s="25" t="s">
        <v>36</v>
      </c>
      <c r="G260" s="24" t="s">
        <v>37</v>
      </c>
      <c r="H260" s="24" t="s">
        <v>38</v>
      </c>
      <c r="I260" s="24" t="s">
        <v>1046</v>
      </c>
      <c r="J260" s="24" t="s">
        <v>132</v>
      </c>
      <c r="K260" s="24" t="s">
        <v>1065</v>
      </c>
      <c r="L260" s="24" t="s">
        <v>1051</v>
      </c>
      <c r="M260" s="24" t="s">
        <v>1035</v>
      </c>
      <c r="N260" s="24" t="s">
        <v>241</v>
      </c>
      <c r="O260" s="24" t="e">
        <f>VLOOKUP(C260,[3]MAESTRA!$E$5:$AO$395,36,0)</f>
        <v>#N/A</v>
      </c>
      <c r="P260" s="16" t="s">
        <v>43</v>
      </c>
      <c r="Q260"/>
      <c r="R260"/>
    </row>
    <row r="261" spans="3:18" x14ac:dyDescent="0.25">
      <c r="C261" s="24" t="s">
        <v>244</v>
      </c>
      <c r="D261" s="24" t="s">
        <v>245</v>
      </c>
      <c r="E261" s="24" t="s">
        <v>245</v>
      </c>
      <c r="F261" s="25" t="s">
        <v>36</v>
      </c>
      <c r="G261" s="24" t="s">
        <v>37</v>
      </c>
      <c r="H261" s="24" t="s">
        <v>81</v>
      </c>
      <c r="I261" s="24" t="s">
        <v>1046</v>
      </c>
      <c r="J261" s="24">
        <v>0</v>
      </c>
      <c r="K261" s="24" t="s">
        <v>1105</v>
      </c>
      <c r="L261" s="24" t="s">
        <v>1051</v>
      </c>
      <c r="M261" s="24" t="s">
        <v>1053</v>
      </c>
      <c r="N261" s="24" t="s">
        <v>244</v>
      </c>
      <c r="O261" s="24" t="e">
        <f>VLOOKUP(C261,[3]MAESTRA!$E$5:$AO$395,36,0)</f>
        <v>#N/A</v>
      </c>
      <c r="P261" s="16" t="s">
        <v>43</v>
      </c>
      <c r="Q261"/>
      <c r="R261"/>
    </row>
    <row r="262" spans="3:18" x14ac:dyDescent="0.25">
      <c r="C262" s="24" t="s">
        <v>246</v>
      </c>
      <c r="D262" s="24" t="s">
        <v>247</v>
      </c>
      <c r="E262" s="24" t="s">
        <v>247</v>
      </c>
      <c r="F262" s="25" t="s">
        <v>36</v>
      </c>
      <c r="G262" s="24" t="s">
        <v>37</v>
      </c>
      <c r="H262" s="24" t="s">
        <v>38</v>
      </c>
      <c r="I262" s="24" t="s">
        <v>1046</v>
      </c>
      <c r="J262" s="24" t="s">
        <v>248</v>
      </c>
      <c r="K262" s="24" t="s">
        <v>1060</v>
      </c>
      <c r="L262" s="24" t="s">
        <v>1051</v>
      </c>
      <c r="M262" s="3" t="s">
        <v>984</v>
      </c>
      <c r="N262" s="24" t="s">
        <v>246</v>
      </c>
      <c r="O262" s="24" t="e">
        <f>VLOOKUP(C262,[3]MAESTRA!$E$5:$AO$395,36,0)</f>
        <v>#N/A</v>
      </c>
      <c r="P262" s="16" t="s">
        <v>43</v>
      </c>
      <c r="Q262"/>
      <c r="R262"/>
    </row>
    <row r="263" spans="3:18" x14ac:dyDescent="0.25">
      <c r="C263" s="24" t="s">
        <v>249</v>
      </c>
      <c r="D263" s="24" t="s">
        <v>250</v>
      </c>
      <c r="E263" s="24" t="s">
        <v>250</v>
      </c>
      <c r="F263" s="25" t="s">
        <v>36</v>
      </c>
      <c r="G263" s="24" t="s">
        <v>37</v>
      </c>
      <c r="H263" s="24" t="s">
        <v>38</v>
      </c>
      <c r="I263" s="24" t="s">
        <v>1046</v>
      </c>
      <c r="J263" s="24" t="s">
        <v>94</v>
      </c>
      <c r="K263" s="24" t="s">
        <v>1060</v>
      </c>
      <c r="L263" s="24" t="s">
        <v>1051</v>
      </c>
      <c r="M263" s="24" t="s">
        <v>1035</v>
      </c>
      <c r="N263" s="24" t="s">
        <v>249</v>
      </c>
      <c r="O263" s="24" t="e">
        <f>VLOOKUP(C263,[3]MAESTRA!$E$5:$AO$395,36,0)</f>
        <v>#N/A</v>
      </c>
      <c r="P263" s="16" t="s">
        <v>43</v>
      </c>
      <c r="Q263"/>
      <c r="R263"/>
    </row>
    <row r="264" spans="3:18" x14ac:dyDescent="0.25">
      <c r="C264" s="24" t="s">
        <v>251</v>
      </c>
      <c r="D264" s="24" t="s">
        <v>252</v>
      </c>
      <c r="E264" s="24" t="s">
        <v>253</v>
      </c>
      <c r="F264" s="25" t="s">
        <v>36</v>
      </c>
      <c r="G264" s="24" t="s">
        <v>37</v>
      </c>
      <c r="H264" s="24" t="s">
        <v>38</v>
      </c>
      <c r="I264" s="24" t="s">
        <v>1046</v>
      </c>
      <c r="J264" s="24">
        <v>0</v>
      </c>
      <c r="K264" s="24" t="s">
        <v>1065</v>
      </c>
      <c r="L264" s="24" t="s">
        <v>1051</v>
      </c>
      <c r="M264" s="24" t="s">
        <v>1053</v>
      </c>
      <c r="N264" s="24" t="s">
        <v>251</v>
      </c>
      <c r="O264" s="24" t="e">
        <f>VLOOKUP(C264,[3]MAESTRA!$E$5:$AO$395,36,0)</f>
        <v>#N/A</v>
      </c>
      <c r="P264" s="16" t="s">
        <v>43</v>
      </c>
      <c r="Q264"/>
      <c r="R264"/>
    </row>
    <row r="265" spans="3:18" x14ac:dyDescent="0.25">
      <c r="C265" s="24" t="s">
        <v>254</v>
      </c>
      <c r="D265" s="24" t="s">
        <v>255</v>
      </c>
      <c r="E265" s="24" t="s">
        <v>255</v>
      </c>
      <c r="F265" s="25" t="s">
        <v>36</v>
      </c>
      <c r="G265" s="24" t="s">
        <v>37</v>
      </c>
      <c r="H265" s="24" t="s">
        <v>38</v>
      </c>
      <c r="I265" s="24" t="s">
        <v>1046</v>
      </c>
      <c r="J265" s="24">
        <v>0</v>
      </c>
      <c r="K265" s="24" t="s">
        <v>1059</v>
      </c>
      <c r="L265" s="24" t="s">
        <v>1051</v>
      </c>
      <c r="M265" s="24" t="s">
        <v>1053</v>
      </c>
      <c r="N265" s="24" t="s">
        <v>254</v>
      </c>
      <c r="O265" s="24" t="e">
        <f>VLOOKUP(C265,[3]MAESTRA!$E$5:$AO$395,36,0)</f>
        <v>#N/A</v>
      </c>
      <c r="P265" s="16" t="s">
        <v>43</v>
      </c>
      <c r="Q265"/>
      <c r="R265"/>
    </row>
    <row r="266" spans="3:18" x14ac:dyDescent="0.25">
      <c r="C266" s="24" t="s">
        <v>590</v>
      </c>
      <c r="D266" s="24" t="s">
        <v>591</v>
      </c>
      <c r="E266" s="24" t="s">
        <v>591</v>
      </c>
      <c r="F266" s="25">
        <v>5</v>
      </c>
      <c r="G266" s="24" t="s">
        <v>376</v>
      </c>
      <c r="H266" s="24" t="s">
        <v>46</v>
      </c>
      <c r="I266" s="24" t="s">
        <v>1046</v>
      </c>
      <c r="J266" s="24" t="s">
        <v>331</v>
      </c>
      <c r="K266" s="24" t="s">
        <v>1060</v>
      </c>
      <c r="L266" s="24" t="s">
        <v>1051</v>
      </c>
      <c r="M266" s="3" t="s">
        <v>984</v>
      </c>
      <c r="N266" s="24" t="s">
        <v>590</v>
      </c>
      <c r="O266" s="24" t="e">
        <f>VLOOKUP(C266,[3]MAESTRA!$E$5:$AO$395,36,0)</f>
        <v>#N/A</v>
      </c>
      <c r="P266" s="16" t="s">
        <v>43</v>
      </c>
      <c r="Q266"/>
      <c r="R266"/>
    </row>
    <row r="267" spans="3:18" x14ac:dyDescent="0.25">
      <c r="C267" s="24" t="s">
        <v>447</v>
      </c>
      <c r="D267" s="24" t="s">
        <v>448</v>
      </c>
      <c r="E267" s="24" t="s">
        <v>449</v>
      </c>
      <c r="F267" s="25">
        <v>6</v>
      </c>
      <c r="G267" s="24" t="s">
        <v>376</v>
      </c>
      <c r="H267" s="24" t="s">
        <v>46</v>
      </c>
      <c r="I267" s="24" t="s">
        <v>1046</v>
      </c>
      <c r="J267" s="24" t="s">
        <v>94</v>
      </c>
      <c r="K267" s="24" t="s">
        <v>1065</v>
      </c>
      <c r="L267" s="24" t="s">
        <v>1051</v>
      </c>
      <c r="M267" s="24" t="s">
        <v>1035</v>
      </c>
      <c r="N267" s="24" t="s">
        <v>447</v>
      </c>
      <c r="O267" s="24" t="e">
        <f>VLOOKUP(C267,[3]MAESTRA!$E$5:$AO$395,36,0)</f>
        <v>#N/A</v>
      </c>
      <c r="P267" s="16" t="s">
        <v>440</v>
      </c>
      <c r="Q267"/>
      <c r="R267"/>
    </row>
    <row r="268" spans="3:18" x14ac:dyDescent="0.25">
      <c r="C268" s="24" t="s">
        <v>256</v>
      </c>
      <c r="D268" s="24" t="s">
        <v>257</v>
      </c>
      <c r="E268" s="24" t="s">
        <v>257</v>
      </c>
      <c r="F268" s="25" t="s">
        <v>36</v>
      </c>
      <c r="G268" s="24" t="s">
        <v>37</v>
      </c>
      <c r="H268" s="24" t="s">
        <v>38</v>
      </c>
      <c r="I268" s="24" t="s">
        <v>1046</v>
      </c>
      <c r="J268" s="24">
        <v>0</v>
      </c>
      <c r="K268" s="24" t="s">
        <v>1060</v>
      </c>
      <c r="L268" s="24" t="s">
        <v>1051</v>
      </c>
      <c r="M268" s="24" t="s">
        <v>1053</v>
      </c>
      <c r="N268" s="24" t="s">
        <v>256</v>
      </c>
      <c r="O268" s="24" t="e">
        <f>VLOOKUP(C268,[3]MAESTRA!$E$5:$AO$395,36,0)</f>
        <v>#N/A</v>
      </c>
      <c r="P268" s="16" t="s">
        <v>43</v>
      </c>
      <c r="Q268"/>
      <c r="R268"/>
    </row>
    <row r="269" spans="3:18" x14ac:dyDescent="0.25">
      <c r="C269" s="24" t="s">
        <v>450</v>
      </c>
      <c r="D269" s="24" t="s">
        <v>451</v>
      </c>
      <c r="E269" s="24" t="s">
        <v>452</v>
      </c>
      <c r="F269" s="25">
        <v>5</v>
      </c>
      <c r="G269" s="24" t="s">
        <v>376</v>
      </c>
      <c r="H269" s="24" t="s">
        <v>46</v>
      </c>
      <c r="I269" s="24" t="s">
        <v>1046</v>
      </c>
      <c r="J269" s="24" t="s">
        <v>94</v>
      </c>
      <c r="K269" s="24" t="s">
        <v>1065</v>
      </c>
      <c r="L269" s="24" t="s">
        <v>1051</v>
      </c>
      <c r="M269" s="24" t="s">
        <v>1035</v>
      </c>
      <c r="N269" s="24" t="s">
        <v>450</v>
      </c>
      <c r="O269" s="24" t="e">
        <f>VLOOKUP(C269,[3]MAESTRA!$E$5:$AO$395,36,0)</f>
        <v>#N/A</v>
      </c>
      <c r="P269" s="16" t="s">
        <v>43</v>
      </c>
      <c r="Q269"/>
      <c r="R269"/>
    </row>
    <row r="270" spans="3:18" x14ac:dyDescent="0.25">
      <c r="C270" s="24" t="s">
        <v>965</v>
      </c>
      <c r="D270" s="24" t="s">
        <v>966</v>
      </c>
      <c r="E270" s="24" t="s">
        <v>967</v>
      </c>
      <c r="F270" s="25">
        <v>5</v>
      </c>
      <c r="G270" s="24" t="s">
        <v>376</v>
      </c>
      <c r="H270" s="24" t="s">
        <v>46</v>
      </c>
      <c r="I270" s="24" t="s">
        <v>1046</v>
      </c>
      <c r="J270" s="24" t="s">
        <v>160</v>
      </c>
      <c r="K270" s="24" t="s">
        <v>1058</v>
      </c>
      <c r="L270" s="24" t="s">
        <v>1051</v>
      </c>
      <c r="M270" s="3" t="s">
        <v>984</v>
      </c>
      <c r="N270" s="24" t="s">
        <v>965</v>
      </c>
      <c r="O270" s="24" t="e">
        <f>VLOOKUP(C270,[3]MAESTRA!$E$5:$AO$395,36,0)</f>
        <v>#N/A</v>
      </c>
      <c r="P270" s="16" t="s">
        <v>43</v>
      </c>
      <c r="Q270"/>
      <c r="R270"/>
    </row>
    <row r="271" spans="3:18" x14ac:dyDescent="0.25">
      <c r="C271" s="24" t="s">
        <v>258</v>
      </c>
      <c r="D271" s="24" t="s">
        <v>259</v>
      </c>
      <c r="E271" s="24" t="s">
        <v>260</v>
      </c>
      <c r="F271" s="25" t="s">
        <v>36</v>
      </c>
      <c r="G271" s="24" t="s">
        <v>37</v>
      </c>
      <c r="H271" s="24" t="s">
        <v>38</v>
      </c>
      <c r="I271" s="24" t="s">
        <v>1046</v>
      </c>
      <c r="J271" s="24" t="s">
        <v>50</v>
      </c>
      <c r="K271" s="24" t="s">
        <v>1059</v>
      </c>
      <c r="L271" s="24" t="s">
        <v>1051</v>
      </c>
      <c r="M271" s="3" t="s">
        <v>984</v>
      </c>
      <c r="N271" s="24" t="s">
        <v>258</v>
      </c>
      <c r="O271" s="24" t="e">
        <f>VLOOKUP(C271,[3]MAESTRA!$E$5:$AO$395,36,0)</f>
        <v>#N/A</v>
      </c>
      <c r="P271" s="16" t="s">
        <v>43</v>
      </c>
      <c r="Q271"/>
      <c r="R271"/>
    </row>
    <row r="272" spans="3:18" x14ac:dyDescent="0.25">
      <c r="C272" s="24" t="s">
        <v>261</v>
      </c>
      <c r="D272" s="24" t="s">
        <v>262</v>
      </c>
      <c r="E272" s="24" t="s">
        <v>263</v>
      </c>
      <c r="F272" s="25" t="s">
        <v>36</v>
      </c>
      <c r="G272" s="24" t="s">
        <v>37</v>
      </c>
      <c r="H272" s="24" t="s">
        <v>38</v>
      </c>
      <c r="I272" s="24" t="s">
        <v>1046</v>
      </c>
      <c r="J272" s="24" t="s">
        <v>58</v>
      </c>
      <c r="K272" s="24" t="s">
        <v>1060</v>
      </c>
      <c r="L272" s="24" t="s">
        <v>1051</v>
      </c>
      <c r="M272" s="24" t="s">
        <v>1035</v>
      </c>
      <c r="N272" s="24" t="s">
        <v>261</v>
      </c>
      <c r="O272" s="24" t="e">
        <f>VLOOKUP(C272,[3]MAESTRA!$E$5:$AO$395,36,0)</f>
        <v>#N/A</v>
      </c>
      <c r="P272" s="16" t="s">
        <v>43</v>
      </c>
      <c r="Q272"/>
      <c r="R272"/>
    </row>
    <row r="273" spans="3:18" x14ac:dyDescent="0.25">
      <c r="C273" s="24" t="s">
        <v>791</v>
      </c>
      <c r="D273" s="24" t="s">
        <v>793</v>
      </c>
      <c r="E273" s="24" t="s">
        <v>1000</v>
      </c>
      <c r="F273" s="25">
        <v>5</v>
      </c>
      <c r="G273" s="24" t="s">
        <v>376</v>
      </c>
      <c r="H273" s="24" t="s">
        <v>46</v>
      </c>
      <c r="I273" s="24" t="s">
        <v>1031</v>
      </c>
      <c r="J273" s="24" t="s">
        <v>89</v>
      </c>
      <c r="K273" s="24" t="s">
        <v>1075</v>
      </c>
      <c r="L273" s="24" t="s">
        <v>1076</v>
      </c>
      <c r="M273" s="3" t="s">
        <v>378</v>
      </c>
      <c r="N273" s="24" t="s">
        <v>791</v>
      </c>
      <c r="O273" s="24" t="e">
        <f>VLOOKUP(C273,[3]MAESTRA!$E$5:$AO$395,36,0)</f>
        <v>#N/A</v>
      </c>
      <c r="P273" s="16" t="s">
        <v>43</v>
      </c>
      <c r="Q273"/>
      <c r="R273"/>
    </row>
    <row r="274" spans="3:18" x14ac:dyDescent="0.25">
      <c r="C274" s="24" t="s">
        <v>264</v>
      </c>
      <c r="D274" s="24" t="s">
        <v>265</v>
      </c>
      <c r="E274" s="24" t="s">
        <v>266</v>
      </c>
      <c r="F274" s="25" t="s">
        <v>36</v>
      </c>
      <c r="G274" s="24" t="s">
        <v>37</v>
      </c>
      <c r="H274" s="24" t="s">
        <v>38</v>
      </c>
      <c r="I274" s="24" t="s">
        <v>1046</v>
      </c>
      <c r="J274" s="24">
        <v>0</v>
      </c>
      <c r="K274" s="24" t="s">
        <v>1059</v>
      </c>
      <c r="L274" s="24" t="s">
        <v>1051</v>
      </c>
      <c r="M274" s="24" t="s">
        <v>1053</v>
      </c>
      <c r="N274" s="24" t="s">
        <v>264</v>
      </c>
      <c r="O274" s="24" t="e">
        <f>VLOOKUP(C274,[3]MAESTRA!$E$5:$AO$395,36,0)</f>
        <v>#N/A</v>
      </c>
      <c r="P274" s="16" t="s">
        <v>43</v>
      </c>
      <c r="Q274"/>
      <c r="R274"/>
    </row>
    <row r="275" spans="3:18" x14ac:dyDescent="0.25">
      <c r="C275" s="24" t="s">
        <v>267</v>
      </c>
      <c r="D275" s="24" t="s">
        <v>268</v>
      </c>
      <c r="E275" s="24" t="s">
        <v>269</v>
      </c>
      <c r="F275" s="25" t="s">
        <v>36</v>
      </c>
      <c r="G275" s="24" t="s">
        <v>37</v>
      </c>
      <c r="H275" s="24" t="s">
        <v>38</v>
      </c>
      <c r="I275" s="24" t="s">
        <v>1046</v>
      </c>
      <c r="J275" s="24">
        <v>0</v>
      </c>
      <c r="K275" s="24" t="s">
        <v>1059</v>
      </c>
      <c r="L275" s="24" t="s">
        <v>1051</v>
      </c>
      <c r="M275" s="24" t="s">
        <v>1053</v>
      </c>
      <c r="N275" s="24" t="s">
        <v>267</v>
      </c>
      <c r="O275" s="24" t="e">
        <f>VLOOKUP(C275,[3]MAESTRA!$E$5:$AO$395,36,0)</f>
        <v>#N/A</v>
      </c>
      <c r="P275" s="16" t="s">
        <v>43</v>
      </c>
      <c r="Q275"/>
      <c r="R275"/>
    </row>
    <row r="276" spans="3:18" x14ac:dyDescent="0.25">
      <c r="C276" s="24" t="s">
        <v>270</v>
      </c>
      <c r="D276" s="24" t="s">
        <v>271</v>
      </c>
      <c r="E276" s="24" t="s">
        <v>271</v>
      </c>
      <c r="F276" s="25" t="s">
        <v>36</v>
      </c>
      <c r="G276" s="24" t="s">
        <v>37</v>
      </c>
      <c r="H276" s="24" t="s">
        <v>38</v>
      </c>
      <c r="I276" s="24" t="s">
        <v>1046</v>
      </c>
      <c r="J276" s="24" t="s">
        <v>100</v>
      </c>
      <c r="K276" s="24" t="s">
        <v>1064</v>
      </c>
      <c r="L276" s="24" t="s">
        <v>1051</v>
      </c>
      <c r="M276" s="24" t="s">
        <v>1035</v>
      </c>
      <c r="N276" s="24" t="s">
        <v>270</v>
      </c>
      <c r="O276" s="24" t="e">
        <f>VLOOKUP(C276,[3]MAESTRA!$E$5:$AO$395,36,0)</f>
        <v>#N/A</v>
      </c>
      <c r="P276" s="16" t="s">
        <v>43</v>
      </c>
      <c r="Q276"/>
      <c r="R276"/>
    </row>
    <row r="277" spans="3:18" x14ac:dyDescent="0.25">
      <c r="C277" s="24" t="s">
        <v>631</v>
      </c>
      <c r="D277" s="24" t="s">
        <v>633</v>
      </c>
      <c r="E277" s="24" t="s">
        <v>1001</v>
      </c>
      <c r="F277" s="25">
        <v>5</v>
      </c>
      <c r="G277" s="24" t="s">
        <v>376</v>
      </c>
      <c r="H277" s="24" t="s">
        <v>46</v>
      </c>
      <c r="I277" s="24" t="s">
        <v>1046</v>
      </c>
      <c r="J277" s="24" t="s">
        <v>50</v>
      </c>
      <c r="K277" s="24" t="s">
        <v>1059</v>
      </c>
      <c r="L277" s="24" t="s">
        <v>1051</v>
      </c>
      <c r="M277" s="3" t="s">
        <v>984</v>
      </c>
      <c r="N277" s="24" t="s">
        <v>631</v>
      </c>
      <c r="O277" s="24" t="e">
        <f>VLOOKUP(C277,[3]MAESTRA!$E$5:$AO$395,36,0)</f>
        <v>#N/A</v>
      </c>
      <c r="P277" s="16" t="s">
        <v>43</v>
      </c>
      <c r="Q277"/>
      <c r="R277"/>
    </row>
    <row r="278" spans="3:18" x14ac:dyDescent="0.25">
      <c r="C278" s="24" t="s">
        <v>272</v>
      </c>
      <c r="D278" s="24" t="s">
        <v>273</v>
      </c>
      <c r="E278" s="24" t="s">
        <v>274</v>
      </c>
      <c r="F278" s="25" t="s">
        <v>36</v>
      </c>
      <c r="G278" s="24" t="s">
        <v>37</v>
      </c>
      <c r="H278" s="24" t="s">
        <v>38</v>
      </c>
      <c r="I278" s="24" t="s">
        <v>1046</v>
      </c>
      <c r="J278" s="24" t="s">
        <v>73</v>
      </c>
      <c r="K278" s="24" t="s">
        <v>1068</v>
      </c>
      <c r="L278" s="24" t="s">
        <v>1051</v>
      </c>
      <c r="M278" s="3" t="s">
        <v>378</v>
      </c>
      <c r="N278" s="24" t="s">
        <v>272</v>
      </c>
      <c r="O278" s="24" t="e">
        <f>VLOOKUP(C278,[3]MAESTRA!$E$5:$AO$395,36,0)</f>
        <v>#N/A</v>
      </c>
      <c r="P278" s="16" t="s">
        <v>43</v>
      </c>
      <c r="Q278"/>
      <c r="R278"/>
    </row>
    <row r="279" spans="3:18" x14ac:dyDescent="0.25">
      <c r="C279" s="24" t="s">
        <v>690</v>
      </c>
      <c r="D279" s="24" t="s">
        <v>691</v>
      </c>
      <c r="E279" s="24" t="s">
        <v>692</v>
      </c>
      <c r="F279" s="25">
        <v>5</v>
      </c>
      <c r="G279" s="24" t="s">
        <v>376</v>
      </c>
      <c r="H279" s="24" t="s">
        <v>46</v>
      </c>
      <c r="I279" s="24" t="s">
        <v>1046</v>
      </c>
      <c r="J279" s="24" t="s">
        <v>248</v>
      </c>
      <c r="K279" s="24" t="s">
        <v>1059</v>
      </c>
      <c r="L279" s="24" t="s">
        <v>1051</v>
      </c>
      <c r="M279" s="3" t="s">
        <v>984</v>
      </c>
      <c r="N279" s="24" t="s">
        <v>690</v>
      </c>
      <c r="O279" s="24" t="e">
        <f>VLOOKUP(C279,[3]MAESTRA!$E$5:$AO$395,36,0)</f>
        <v>#N/A</v>
      </c>
      <c r="P279" s="16" t="s">
        <v>440</v>
      </c>
      <c r="Q279"/>
      <c r="R279"/>
    </row>
    <row r="280" spans="3:18" x14ac:dyDescent="0.25">
      <c r="C280" s="24" t="s">
        <v>276</v>
      </c>
      <c r="D280" s="24" t="s">
        <v>277</v>
      </c>
      <c r="E280" s="24" t="s">
        <v>278</v>
      </c>
      <c r="F280" s="25" t="s">
        <v>36</v>
      </c>
      <c r="G280" s="24" t="s">
        <v>37</v>
      </c>
      <c r="H280" s="24" t="s">
        <v>38</v>
      </c>
      <c r="I280" s="24" t="s">
        <v>1046</v>
      </c>
      <c r="J280" s="24" t="s">
        <v>84</v>
      </c>
      <c r="K280" s="24" t="s">
        <v>1074</v>
      </c>
      <c r="L280" s="24" t="s">
        <v>1062</v>
      </c>
      <c r="M280" s="3" t="s">
        <v>378</v>
      </c>
      <c r="N280" s="24" t="s">
        <v>276</v>
      </c>
      <c r="O280" s="24" t="e">
        <f>VLOOKUP(C280,[3]MAESTRA!$E$5:$AO$395,36,0)</f>
        <v>#N/A</v>
      </c>
      <c r="P280" s="16" t="s">
        <v>43</v>
      </c>
      <c r="Q280"/>
      <c r="R280"/>
    </row>
    <row r="281" spans="3:18" x14ac:dyDescent="0.25">
      <c r="C281" s="24" t="s">
        <v>731</v>
      </c>
      <c r="D281" s="24" t="s">
        <v>732</v>
      </c>
      <c r="E281" s="24" t="s">
        <v>54</v>
      </c>
      <c r="F281" s="25">
        <v>5</v>
      </c>
      <c r="G281" s="24" t="s">
        <v>376</v>
      </c>
      <c r="H281" s="24" t="s">
        <v>46</v>
      </c>
      <c r="I281" s="24" t="s">
        <v>1031</v>
      </c>
      <c r="J281" s="24" t="s">
        <v>84</v>
      </c>
      <c r="K281" s="24" t="s">
        <v>1061</v>
      </c>
      <c r="L281" s="24" t="s">
        <v>1062</v>
      </c>
      <c r="M281" s="3" t="s">
        <v>378</v>
      </c>
      <c r="N281" s="24" t="s">
        <v>731</v>
      </c>
      <c r="O281" s="24" t="e">
        <f>VLOOKUP(C281,[3]MAESTRA!$E$5:$AO$395,36,0)</f>
        <v>#N/A</v>
      </c>
      <c r="P281" s="16" t="s">
        <v>440</v>
      </c>
      <c r="Q281"/>
      <c r="R281"/>
    </row>
    <row r="282" spans="3:18" x14ac:dyDescent="0.25">
      <c r="C282" s="24" t="s">
        <v>453</v>
      </c>
      <c r="D282" s="24" t="s">
        <v>454</v>
      </c>
      <c r="E282" s="24" t="s">
        <v>454</v>
      </c>
      <c r="F282" s="25">
        <v>5</v>
      </c>
      <c r="G282" s="24" t="s">
        <v>376</v>
      </c>
      <c r="H282" s="24" t="s">
        <v>46</v>
      </c>
      <c r="I282" s="24" t="s">
        <v>1046</v>
      </c>
      <c r="J282" s="24" t="s">
        <v>94</v>
      </c>
      <c r="K282" s="24" t="s">
        <v>1065</v>
      </c>
      <c r="L282" s="24" t="s">
        <v>1051</v>
      </c>
      <c r="M282" s="24" t="s">
        <v>1035</v>
      </c>
      <c r="N282" s="24" t="s">
        <v>453</v>
      </c>
      <c r="O282" s="24" t="e">
        <f>VLOOKUP(C282,[3]MAESTRA!$E$5:$AO$395,36,0)</f>
        <v>#N/A</v>
      </c>
      <c r="P282" s="16" t="s">
        <v>440</v>
      </c>
      <c r="Q282"/>
      <c r="R282"/>
    </row>
    <row r="283" spans="3:18" x14ac:dyDescent="0.25">
      <c r="C283" s="24" t="s">
        <v>280</v>
      </c>
      <c r="D283" s="24" t="s">
        <v>281</v>
      </c>
      <c r="E283" s="24" t="s">
        <v>281</v>
      </c>
      <c r="F283" s="25" t="s">
        <v>36</v>
      </c>
      <c r="G283" s="24" t="s">
        <v>37</v>
      </c>
      <c r="H283" s="24" t="s">
        <v>38</v>
      </c>
      <c r="I283" s="24" t="s">
        <v>1046</v>
      </c>
      <c r="J283" s="24" t="s">
        <v>132</v>
      </c>
      <c r="K283" s="24" t="s">
        <v>1065</v>
      </c>
      <c r="L283" s="24" t="s">
        <v>1051</v>
      </c>
      <c r="M283" s="24" t="s">
        <v>1035</v>
      </c>
      <c r="N283" s="24" t="s">
        <v>280</v>
      </c>
      <c r="O283" s="24" t="e">
        <f>VLOOKUP(C283,[3]MAESTRA!$E$5:$AO$395,36,0)</f>
        <v>#N/A</v>
      </c>
      <c r="P283" s="16" t="s">
        <v>43</v>
      </c>
      <c r="Q283"/>
      <c r="R283"/>
    </row>
    <row r="284" spans="3:18" x14ac:dyDescent="0.25">
      <c r="C284" s="24" t="s">
        <v>282</v>
      </c>
      <c r="D284" s="24" t="s">
        <v>283</v>
      </c>
      <c r="E284" s="24" t="s">
        <v>284</v>
      </c>
      <c r="F284" s="25" t="s">
        <v>36</v>
      </c>
      <c r="G284" s="24" t="s">
        <v>37</v>
      </c>
      <c r="H284" s="24" t="s">
        <v>38</v>
      </c>
      <c r="I284" s="24" t="s">
        <v>1046</v>
      </c>
      <c r="J284" s="24">
        <v>0</v>
      </c>
      <c r="K284" s="24" t="s">
        <v>1074</v>
      </c>
      <c r="L284" s="24" t="s">
        <v>1062</v>
      </c>
      <c r="M284" s="24" t="s">
        <v>1053</v>
      </c>
      <c r="N284" s="24" t="s">
        <v>282</v>
      </c>
      <c r="O284" s="24" t="e">
        <f>VLOOKUP(C284,[3]MAESTRA!$E$5:$AO$395,36,0)</f>
        <v>#N/A</v>
      </c>
      <c r="P284" s="16" t="s">
        <v>43</v>
      </c>
      <c r="Q284"/>
      <c r="R284"/>
    </row>
    <row r="285" spans="3:18" x14ac:dyDescent="0.25">
      <c r="C285" s="24" t="s">
        <v>455</v>
      </c>
      <c r="D285" s="24" t="s">
        <v>456</v>
      </c>
      <c r="E285" s="24" t="s">
        <v>1002</v>
      </c>
      <c r="F285" s="25">
        <v>5</v>
      </c>
      <c r="G285" s="24" t="s">
        <v>376</v>
      </c>
      <c r="H285" s="24" t="s">
        <v>46</v>
      </c>
      <c r="I285" s="24" t="s">
        <v>1046</v>
      </c>
      <c r="J285" s="24" t="s">
        <v>94</v>
      </c>
      <c r="K285" s="24" t="s">
        <v>1065</v>
      </c>
      <c r="L285" s="24" t="s">
        <v>1051</v>
      </c>
      <c r="M285" s="24" t="s">
        <v>1035</v>
      </c>
      <c r="N285" s="24" t="s">
        <v>455</v>
      </c>
      <c r="O285" s="24" t="e">
        <f>VLOOKUP(C285,[3]MAESTRA!$E$5:$AO$395,36,0)</f>
        <v>#N/A</v>
      </c>
      <c r="P285" s="16" t="s">
        <v>440</v>
      </c>
      <c r="Q285"/>
      <c r="R285"/>
    </row>
    <row r="286" spans="3:18" x14ac:dyDescent="0.25">
      <c r="C286" s="24" t="s">
        <v>285</v>
      </c>
      <c r="D286" s="24" t="s">
        <v>286</v>
      </c>
      <c r="E286" s="24" t="s">
        <v>287</v>
      </c>
      <c r="F286" s="25" t="s">
        <v>36</v>
      </c>
      <c r="G286" s="24" t="s">
        <v>37</v>
      </c>
      <c r="H286" s="24" t="s">
        <v>38</v>
      </c>
      <c r="I286" s="24" t="s">
        <v>1046</v>
      </c>
      <c r="J286" s="24">
        <v>0</v>
      </c>
      <c r="K286" s="24" t="s">
        <v>1059</v>
      </c>
      <c r="L286" s="24" t="s">
        <v>1051</v>
      </c>
      <c r="M286" s="24" t="s">
        <v>1053</v>
      </c>
      <c r="N286" s="24" t="s">
        <v>285</v>
      </c>
      <c r="O286" s="24" t="e">
        <f>VLOOKUP(C286,[3]MAESTRA!$E$5:$AO$395,36,0)</f>
        <v>#N/A</v>
      </c>
      <c r="P286" s="16" t="s">
        <v>43</v>
      </c>
      <c r="Q286"/>
      <c r="R286"/>
    </row>
    <row r="287" spans="3:18" x14ac:dyDescent="0.25">
      <c r="C287" s="24" t="s">
        <v>288</v>
      </c>
      <c r="D287" s="24" t="s">
        <v>289</v>
      </c>
      <c r="E287" s="24" t="s">
        <v>290</v>
      </c>
      <c r="F287" s="25" t="s">
        <v>36</v>
      </c>
      <c r="G287" s="24" t="s">
        <v>37</v>
      </c>
      <c r="H287" s="24" t="s">
        <v>38</v>
      </c>
      <c r="I287" s="24" t="s">
        <v>1046</v>
      </c>
      <c r="J287" s="24">
        <v>0</v>
      </c>
      <c r="K287" s="24" t="s">
        <v>1064</v>
      </c>
      <c r="L287" s="24" t="s">
        <v>1051</v>
      </c>
      <c r="M287" s="24" t="s">
        <v>1053</v>
      </c>
      <c r="N287" s="24" t="s">
        <v>288</v>
      </c>
      <c r="O287" s="24" t="e">
        <f>VLOOKUP(C287,[3]MAESTRA!$E$5:$AO$395,36,0)</f>
        <v>#N/A</v>
      </c>
      <c r="P287" s="16" t="s">
        <v>43</v>
      </c>
      <c r="Q287"/>
      <c r="R287"/>
    </row>
    <row r="288" spans="3:18" x14ac:dyDescent="0.25">
      <c r="C288" s="24" t="s">
        <v>291</v>
      </c>
      <c r="D288" s="24" t="s">
        <v>292</v>
      </c>
      <c r="E288" s="24" t="s">
        <v>292</v>
      </c>
      <c r="F288" s="25" t="s">
        <v>36</v>
      </c>
      <c r="G288" s="24" t="s">
        <v>37</v>
      </c>
      <c r="H288" s="24" t="s">
        <v>38</v>
      </c>
      <c r="I288" s="24" t="s">
        <v>1046</v>
      </c>
      <c r="J288" s="24" t="s">
        <v>94</v>
      </c>
      <c r="K288" s="24" t="s">
        <v>1059</v>
      </c>
      <c r="L288" s="24" t="s">
        <v>1051</v>
      </c>
      <c r="M288" s="24" t="s">
        <v>1035</v>
      </c>
      <c r="N288" s="24" t="s">
        <v>291</v>
      </c>
      <c r="O288" s="24" t="e">
        <f>VLOOKUP(C288,[3]MAESTRA!$E$5:$AO$395,36,0)</f>
        <v>#N/A</v>
      </c>
      <c r="P288" s="16" t="s">
        <v>43</v>
      </c>
      <c r="Q288"/>
      <c r="R288"/>
    </row>
    <row r="289" spans="3:18" x14ac:dyDescent="0.25">
      <c r="C289" s="24" t="s">
        <v>293</v>
      </c>
      <c r="D289" s="24" t="s">
        <v>294</v>
      </c>
      <c r="E289" s="24" t="s">
        <v>294</v>
      </c>
      <c r="F289" s="25" t="s">
        <v>36</v>
      </c>
      <c r="G289" s="24" t="s">
        <v>37</v>
      </c>
      <c r="H289" s="24" t="s">
        <v>38</v>
      </c>
      <c r="I289" s="24" t="s">
        <v>1046</v>
      </c>
      <c r="J289" s="24" t="s">
        <v>73</v>
      </c>
      <c r="K289" s="24" t="s">
        <v>1065</v>
      </c>
      <c r="L289" s="24" t="s">
        <v>1051</v>
      </c>
      <c r="M289" s="3" t="s">
        <v>378</v>
      </c>
      <c r="N289" s="24" t="s">
        <v>293</v>
      </c>
      <c r="O289" s="24" t="e">
        <f>VLOOKUP(C289,[3]MAESTRA!$E$5:$AO$395,36,0)</f>
        <v>#N/A</v>
      </c>
      <c r="P289" s="16" t="s">
        <v>43</v>
      </c>
      <c r="Q289"/>
      <c r="R289"/>
    </row>
    <row r="290" spans="3:18" x14ac:dyDescent="0.25">
      <c r="C290" s="24" t="s">
        <v>295</v>
      </c>
      <c r="D290" s="24" t="s">
        <v>296</v>
      </c>
      <c r="E290" s="24" t="s">
        <v>297</v>
      </c>
      <c r="F290" s="25" t="s">
        <v>36</v>
      </c>
      <c r="G290" s="24" t="s">
        <v>37</v>
      </c>
      <c r="H290" s="24" t="s">
        <v>38</v>
      </c>
      <c r="I290" s="24" t="s">
        <v>1046</v>
      </c>
      <c r="J290" s="24" t="s">
        <v>94</v>
      </c>
      <c r="K290" s="24" t="s">
        <v>1065</v>
      </c>
      <c r="L290" s="24" t="s">
        <v>1051</v>
      </c>
      <c r="M290" s="24" t="s">
        <v>1035</v>
      </c>
      <c r="N290" s="24" t="s">
        <v>295</v>
      </c>
      <c r="O290" s="24" t="e">
        <f>VLOOKUP(C290,[3]MAESTRA!$E$5:$AO$395,36,0)</f>
        <v>#N/A</v>
      </c>
      <c r="P290" s="16" t="s">
        <v>43</v>
      </c>
      <c r="Q290"/>
      <c r="R290"/>
    </row>
    <row r="291" spans="3:18" x14ac:dyDescent="0.25">
      <c r="C291" s="24" t="s">
        <v>298</v>
      </c>
      <c r="D291" s="24" t="s">
        <v>299</v>
      </c>
      <c r="E291" s="24" t="s">
        <v>300</v>
      </c>
      <c r="F291" s="25" t="s">
        <v>36</v>
      </c>
      <c r="G291" s="24" t="s">
        <v>37</v>
      </c>
      <c r="H291" s="24" t="s">
        <v>38</v>
      </c>
      <c r="I291" s="24" t="s">
        <v>1046</v>
      </c>
      <c r="J291" s="24" t="s">
        <v>58</v>
      </c>
      <c r="K291" s="24" t="s">
        <v>1064</v>
      </c>
      <c r="L291" s="24" t="s">
        <v>1051</v>
      </c>
      <c r="M291" s="24" t="s">
        <v>1035</v>
      </c>
      <c r="N291" s="24" t="s">
        <v>298</v>
      </c>
      <c r="O291" s="24" t="e">
        <f>VLOOKUP(C291,[3]MAESTRA!$E$5:$AO$395,36,0)</f>
        <v>#N/A</v>
      </c>
      <c r="P291" s="16" t="s">
        <v>43</v>
      </c>
      <c r="Q291"/>
      <c r="R291"/>
    </row>
    <row r="292" spans="3:18" x14ac:dyDescent="0.25">
      <c r="C292" s="24" t="s">
        <v>794</v>
      </c>
      <c r="D292" s="24" t="s">
        <v>795</v>
      </c>
      <c r="E292" s="24" t="s">
        <v>795</v>
      </c>
      <c r="F292" s="25">
        <v>0</v>
      </c>
      <c r="G292" s="24" t="s">
        <v>37</v>
      </c>
      <c r="H292" s="24" t="s">
        <v>46</v>
      </c>
      <c r="I292" s="24" t="s">
        <v>1031</v>
      </c>
      <c r="J292" s="24" t="s">
        <v>89</v>
      </c>
      <c r="K292" s="24" t="s">
        <v>1075</v>
      </c>
      <c r="L292" s="24" t="s">
        <v>1076</v>
      </c>
      <c r="M292" s="3" t="s">
        <v>378</v>
      </c>
      <c r="N292" s="24" t="s">
        <v>794</v>
      </c>
      <c r="O292" s="24" t="e">
        <f>VLOOKUP(C292,[3]MAESTRA!$E$5:$AO$395,36,0)</f>
        <v>#N/A</v>
      </c>
      <c r="P292" s="16" t="s">
        <v>43</v>
      </c>
      <c r="Q292"/>
      <c r="R292"/>
    </row>
    <row r="293" spans="3:18" x14ac:dyDescent="0.25">
      <c r="C293" s="24" t="s">
        <v>620</v>
      </c>
      <c r="D293" s="24" t="s">
        <v>622</v>
      </c>
      <c r="E293" s="24" t="s">
        <v>622</v>
      </c>
      <c r="F293" s="25">
        <v>5</v>
      </c>
      <c r="G293" s="24" t="s">
        <v>376</v>
      </c>
      <c r="H293" s="24" t="s">
        <v>46</v>
      </c>
      <c r="I293" s="24" t="s">
        <v>1046</v>
      </c>
      <c r="J293" s="24" t="s">
        <v>50</v>
      </c>
      <c r="K293" s="24" t="s">
        <v>1064</v>
      </c>
      <c r="L293" s="24" t="s">
        <v>1051</v>
      </c>
      <c r="M293" s="3" t="s">
        <v>984</v>
      </c>
      <c r="N293" s="24" t="s">
        <v>620</v>
      </c>
      <c r="O293" s="24" t="e">
        <f>VLOOKUP(C293,[3]MAESTRA!$E$5:$AO$395,36,0)</f>
        <v>#N/A</v>
      </c>
      <c r="P293" s="16" t="s">
        <v>43</v>
      </c>
      <c r="Q293"/>
      <c r="R293"/>
    </row>
    <row r="294" spans="3:18" x14ac:dyDescent="0.25">
      <c r="C294" s="24" t="s">
        <v>733</v>
      </c>
      <c r="D294" s="24" t="s">
        <v>734</v>
      </c>
      <c r="E294" s="24" t="s">
        <v>735</v>
      </c>
      <c r="F294" s="25">
        <v>6</v>
      </c>
      <c r="G294" s="24" t="s">
        <v>376</v>
      </c>
      <c r="H294" s="24" t="s">
        <v>46</v>
      </c>
      <c r="I294" s="24" t="s">
        <v>1031</v>
      </c>
      <c r="J294" s="24" t="s">
        <v>84</v>
      </c>
      <c r="K294" s="24" t="s">
        <v>1061</v>
      </c>
      <c r="L294" s="24" t="s">
        <v>1062</v>
      </c>
      <c r="M294" s="3" t="s">
        <v>378</v>
      </c>
      <c r="N294" s="24" t="s">
        <v>733</v>
      </c>
      <c r="O294" s="24" t="e">
        <f>VLOOKUP(C294,[3]MAESTRA!$E$5:$AO$395,36,0)</f>
        <v>#N/A</v>
      </c>
      <c r="P294" s="16" t="s">
        <v>43</v>
      </c>
      <c r="Q294"/>
      <c r="R294"/>
    </row>
    <row r="295" spans="3:18" x14ac:dyDescent="0.25">
      <c r="C295" s="24" t="s">
        <v>301</v>
      </c>
      <c r="D295" s="24" t="s">
        <v>302</v>
      </c>
      <c r="E295" s="24" t="s">
        <v>303</v>
      </c>
      <c r="F295" s="25" t="s">
        <v>36</v>
      </c>
      <c r="G295" s="24" t="s">
        <v>37</v>
      </c>
      <c r="H295" s="24" t="s">
        <v>38</v>
      </c>
      <c r="I295" s="24" t="s">
        <v>1046</v>
      </c>
      <c r="J295" s="24" t="s">
        <v>132</v>
      </c>
      <c r="K295" s="24" t="s">
        <v>1082</v>
      </c>
      <c r="L295" s="24" t="s">
        <v>1051</v>
      </c>
      <c r="M295" s="24" t="s">
        <v>1035</v>
      </c>
      <c r="N295" s="24" t="s">
        <v>301</v>
      </c>
      <c r="O295" s="24" t="e">
        <f>VLOOKUP(C295,[3]MAESTRA!$E$5:$AO$395,36,0)</f>
        <v>#N/A</v>
      </c>
      <c r="P295" s="16" t="s">
        <v>43</v>
      </c>
      <c r="Q295"/>
      <c r="R295"/>
    </row>
    <row r="296" spans="3:18" x14ac:dyDescent="0.25">
      <c r="C296" s="24" t="s">
        <v>505</v>
      </c>
      <c r="D296" s="24" t="s">
        <v>506</v>
      </c>
      <c r="E296" s="24" t="s">
        <v>506</v>
      </c>
      <c r="F296" s="25">
        <v>5</v>
      </c>
      <c r="G296" s="24" t="s">
        <v>376</v>
      </c>
      <c r="H296" s="24" t="s">
        <v>46</v>
      </c>
      <c r="I296" s="24" t="s">
        <v>1046</v>
      </c>
      <c r="J296" s="24" t="s">
        <v>58</v>
      </c>
      <c r="K296" s="24" t="s">
        <v>1059</v>
      </c>
      <c r="L296" s="24" t="s">
        <v>1051</v>
      </c>
      <c r="M296" s="24" t="s">
        <v>1035</v>
      </c>
      <c r="N296" s="24" t="s">
        <v>505</v>
      </c>
      <c r="O296" s="24" t="e">
        <f>VLOOKUP(C296,[3]MAESTRA!$E$5:$AO$395,36,0)</f>
        <v>#N/A</v>
      </c>
      <c r="P296" s="16" t="s">
        <v>43</v>
      </c>
      <c r="Q296"/>
      <c r="R296"/>
    </row>
    <row r="297" spans="3:18" x14ac:dyDescent="0.25">
      <c r="C297" s="24" t="s">
        <v>304</v>
      </c>
      <c r="D297" s="24" t="s">
        <v>305</v>
      </c>
      <c r="E297" s="24" t="s">
        <v>305</v>
      </c>
      <c r="F297" s="25" t="s">
        <v>36</v>
      </c>
      <c r="G297" s="24" t="s">
        <v>37</v>
      </c>
      <c r="H297" s="24" t="s">
        <v>81</v>
      </c>
      <c r="I297" s="24" t="s">
        <v>1046</v>
      </c>
      <c r="J297" s="24" t="s">
        <v>132</v>
      </c>
      <c r="K297" s="24" t="s">
        <v>1059</v>
      </c>
      <c r="L297" s="24" t="s">
        <v>1051</v>
      </c>
      <c r="M297" s="24" t="s">
        <v>1035</v>
      </c>
      <c r="N297" s="24" t="s">
        <v>304</v>
      </c>
      <c r="O297" s="24" t="e">
        <f>VLOOKUP(C297,[3]MAESTRA!$E$5:$AO$395,36,0)</f>
        <v>#N/A</v>
      </c>
      <c r="P297" s="16" t="s">
        <v>43</v>
      </c>
      <c r="Q297"/>
      <c r="R297"/>
    </row>
    <row r="298" spans="3:18" x14ac:dyDescent="0.25">
      <c r="C298" s="24" t="s">
        <v>306</v>
      </c>
      <c r="D298" s="24" t="s">
        <v>307</v>
      </c>
      <c r="E298" s="24" t="s">
        <v>307</v>
      </c>
      <c r="F298" s="25" t="s">
        <v>36</v>
      </c>
      <c r="G298" s="24" t="s">
        <v>37</v>
      </c>
      <c r="H298" s="24" t="s">
        <v>46</v>
      </c>
      <c r="I298" s="24" t="s">
        <v>1046</v>
      </c>
      <c r="J298" s="24">
        <v>0</v>
      </c>
      <c r="K298" s="24" t="s">
        <v>1060</v>
      </c>
      <c r="L298" s="24" t="s">
        <v>1051</v>
      </c>
      <c r="M298" s="24" t="s">
        <v>1053</v>
      </c>
      <c r="N298" s="24" t="s">
        <v>306</v>
      </c>
      <c r="O298" s="24" t="e">
        <f>VLOOKUP(C298,[3]MAESTRA!$E$5:$AO$395,36,0)</f>
        <v>#N/A</v>
      </c>
      <c r="P298" s="16" t="s">
        <v>43</v>
      </c>
      <c r="Q298"/>
      <c r="R298"/>
    </row>
    <row r="299" spans="3:18" x14ac:dyDescent="0.25">
      <c r="C299" s="24" t="s">
        <v>308</v>
      </c>
      <c r="D299" s="24" t="s">
        <v>309</v>
      </c>
      <c r="E299" s="24" t="s">
        <v>309</v>
      </c>
      <c r="F299" s="25" t="s">
        <v>36</v>
      </c>
      <c r="G299" s="24" t="s">
        <v>37</v>
      </c>
      <c r="H299" s="24" t="s">
        <v>46</v>
      </c>
      <c r="I299" s="24" t="s">
        <v>1046</v>
      </c>
      <c r="J299" s="24">
        <v>0</v>
      </c>
      <c r="K299" s="24" t="s">
        <v>1074</v>
      </c>
      <c r="L299" s="24" t="s">
        <v>1062</v>
      </c>
      <c r="M299" s="24" t="s">
        <v>1053</v>
      </c>
      <c r="N299" s="24" t="s">
        <v>308</v>
      </c>
      <c r="O299" s="24" t="e">
        <f>VLOOKUP(C299,[3]MAESTRA!$E$5:$AO$395,36,0)</f>
        <v>#N/A</v>
      </c>
      <c r="P299" s="16" t="s">
        <v>43</v>
      </c>
      <c r="Q299"/>
      <c r="R299"/>
    </row>
    <row r="300" spans="3:18" x14ac:dyDescent="0.25">
      <c r="C300" s="24" t="s">
        <v>310</v>
      </c>
      <c r="D300" s="24" t="s">
        <v>311</v>
      </c>
      <c r="E300" s="24" t="s">
        <v>312</v>
      </c>
      <c r="F300" s="25" t="s">
        <v>36</v>
      </c>
      <c r="G300" s="24" t="s">
        <v>37</v>
      </c>
      <c r="H300" s="24" t="s">
        <v>81</v>
      </c>
      <c r="I300" s="24" t="s">
        <v>1046</v>
      </c>
      <c r="J300" s="24" t="s">
        <v>160</v>
      </c>
      <c r="K300" s="24" t="s">
        <v>1065</v>
      </c>
      <c r="L300" s="24" t="s">
        <v>1051</v>
      </c>
      <c r="M300" s="3" t="s">
        <v>984</v>
      </c>
      <c r="N300" s="24" t="s">
        <v>310</v>
      </c>
      <c r="O300" s="24" t="e">
        <f>VLOOKUP(C300,[3]MAESTRA!$E$5:$AO$395,36,0)</f>
        <v>#N/A</v>
      </c>
      <c r="P300" s="16" t="s">
        <v>43</v>
      </c>
      <c r="Q300"/>
      <c r="R300"/>
    </row>
    <row r="301" spans="3:18" x14ac:dyDescent="0.25">
      <c r="C301" s="24" t="s">
        <v>968</v>
      </c>
      <c r="D301" s="24" t="s">
        <v>969</v>
      </c>
      <c r="E301" s="24" t="s">
        <v>969</v>
      </c>
      <c r="F301" s="25">
        <v>5</v>
      </c>
      <c r="G301" s="24" t="s">
        <v>376</v>
      </c>
      <c r="H301" s="24" t="s">
        <v>46</v>
      </c>
      <c r="I301" s="24" t="s">
        <v>1046</v>
      </c>
      <c r="J301" s="24" t="s">
        <v>160</v>
      </c>
      <c r="K301" s="24" t="s">
        <v>1071</v>
      </c>
      <c r="L301" s="24" t="s">
        <v>1051</v>
      </c>
      <c r="M301" s="3" t="s">
        <v>984</v>
      </c>
      <c r="N301" s="24" t="s">
        <v>968</v>
      </c>
      <c r="O301" s="24" t="e">
        <f>VLOOKUP(C301,[3]MAESTRA!$E$5:$AO$395,36,0)</f>
        <v>#N/A</v>
      </c>
      <c r="P301" s="16" t="s">
        <v>440</v>
      </c>
      <c r="Q301"/>
      <c r="R301"/>
    </row>
    <row r="302" spans="3:18" x14ac:dyDescent="0.25">
      <c r="C302" s="24" t="s">
        <v>313</v>
      </c>
      <c r="D302" s="24" t="s">
        <v>314</v>
      </c>
      <c r="E302" s="24" t="s">
        <v>314</v>
      </c>
      <c r="F302" s="25" t="s">
        <v>36</v>
      </c>
      <c r="G302" s="24" t="s">
        <v>37</v>
      </c>
      <c r="H302" s="24" t="s">
        <v>81</v>
      </c>
      <c r="I302" s="24" t="s">
        <v>1046</v>
      </c>
      <c r="J302" s="24">
        <v>0</v>
      </c>
      <c r="K302" s="24" t="s">
        <v>1067</v>
      </c>
      <c r="L302" s="24" t="s">
        <v>1051</v>
      </c>
      <c r="M302" s="24" t="s">
        <v>1053</v>
      </c>
      <c r="N302" s="24" t="s">
        <v>313</v>
      </c>
      <c r="O302" s="24" t="e">
        <f>VLOOKUP(C302,[3]MAESTRA!$E$5:$AO$395,36,0)</f>
        <v>#N/A</v>
      </c>
      <c r="P302" s="16" t="s">
        <v>43</v>
      </c>
      <c r="Q302"/>
      <c r="R302"/>
    </row>
    <row r="303" spans="3:18" x14ac:dyDescent="0.25">
      <c r="C303" s="24" t="s">
        <v>823</v>
      </c>
      <c r="D303" s="24" t="s">
        <v>824</v>
      </c>
      <c r="E303" s="24" t="s">
        <v>824</v>
      </c>
      <c r="F303" s="25">
        <v>5</v>
      </c>
      <c r="G303" s="24" t="s">
        <v>376</v>
      </c>
      <c r="H303" s="24" t="s">
        <v>46</v>
      </c>
      <c r="I303" s="24" t="s">
        <v>1046</v>
      </c>
      <c r="J303" s="24" t="s">
        <v>146</v>
      </c>
      <c r="K303" s="24" t="s">
        <v>1064</v>
      </c>
      <c r="L303" s="24" t="s">
        <v>1051</v>
      </c>
      <c r="M303" s="24" t="s">
        <v>1035</v>
      </c>
      <c r="N303" s="24" t="s">
        <v>823</v>
      </c>
      <c r="O303" s="24" t="e">
        <f>VLOOKUP(C303,[3]MAESTRA!$E$5:$AO$395,36,0)</f>
        <v>#N/A</v>
      </c>
      <c r="P303" s="16" t="s">
        <v>43</v>
      </c>
      <c r="Q303"/>
      <c r="R303"/>
    </row>
    <row r="304" spans="3:18" x14ac:dyDescent="0.25">
      <c r="C304" s="24" t="s">
        <v>316</v>
      </c>
      <c r="D304" s="24" t="s">
        <v>317</v>
      </c>
      <c r="E304" s="24" t="s">
        <v>318</v>
      </c>
      <c r="F304" s="25" t="s">
        <v>36</v>
      </c>
      <c r="G304" s="24" t="s">
        <v>37</v>
      </c>
      <c r="H304" s="24" t="s">
        <v>81</v>
      </c>
      <c r="I304" s="24" t="s">
        <v>1046</v>
      </c>
      <c r="J304" s="24"/>
      <c r="K304" s="24" t="s">
        <v>1064</v>
      </c>
      <c r="L304" s="24" t="s">
        <v>1051</v>
      </c>
      <c r="M304" s="24" t="s">
        <v>1035</v>
      </c>
      <c r="N304" s="24" t="s">
        <v>316</v>
      </c>
      <c r="O304" s="24" t="e">
        <f>VLOOKUP(C304,[3]MAESTRA!$E$5:$AO$395,36,0)</f>
        <v>#N/A</v>
      </c>
      <c r="P304" s="16" t="s">
        <v>43</v>
      </c>
      <c r="Q304"/>
      <c r="R304"/>
    </row>
    <row r="305" spans="3:18" x14ac:dyDescent="0.25">
      <c r="C305" s="24" t="s">
        <v>319</v>
      </c>
      <c r="D305" s="24" t="s">
        <v>320</v>
      </c>
      <c r="E305" s="24" t="s">
        <v>320</v>
      </c>
      <c r="F305" s="25" t="s">
        <v>36</v>
      </c>
      <c r="G305" s="24" t="s">
        <v>37</v>
      </c>
      <c r="H305" s="24" t="s">
        <v>46</v>
      </c>
      <c r="I305" s="24" t="s">
        <v>1046</v>
      </c>
      <c r="J305" s="24">
        <v>0</v>
      </c>
      <c r="K305" s="24" t="s">
        <v>1069</v>
      </c>
      <c r="L305" s="24" t="s">
        <v>1051</v>
      </c>
      <c r="M305" s="24" t="s">
        <v>1053</v>
      </c>
      <c r="N305" s="24" t="s">
        <v>319</v>
      </c>
      <c r="O305" s="24" t="e">
        <f>VLOOKUP(C305,[3]MAESTRA!$E$5:$AO$395,36,0)</f>
        <v>#N/A</v>
      </c>
      <c r="P305" s="16" t="s">
        <v>43</v>
      </c>
      <c r="Q305"/>
      <c r="R305"/>
    </row>
    <row r="306" spans="3:18" x14ac:dyDescent="0.25">
      <c r="C306" s="24" t="s">
        <v>321</v>
      </c>
      <c r="D306" s="24" t="s">
        <v>322</v>
      </c>
      <c r="E306" s="24" t="s">
        <v>322</v>
      </c>
      <c r="F306" s="25" t="s">
        <v>36</v>
      </c>
      <c r="G306" s="24" t="s">
        <v>37</v>
      </c>
      <c r="H306" s="24" t="s">
        <v>81</v>
      </c>
      <c r="I306" s="24" t="s">
        <v>1046</v>
      </c>
      <c r="J306" s="24" t="s">
        <v>50</v>
      </c>
      <c r="K306" s="24" t="s">
        <v>1059</v>
      </c>
      <c r="L306" s="24" t="s">
        <v>1051</v>
      </c>
      <c r="M306" s="3" t="s">
        <v>984</v>
      </c>
      <c r="N306" s="24" t="s">
        <v>321</v>
      </c>
      <c r="O306" s="24" t="e">
        <f>VLOOKUP(C306,[3]MAESTRA!$E$5:$AO$395,36,0)</f>
        <v>#N/A</v>
      </c>
      <c r="P306" s="16" t="s">
        <v>43</v>
      </c>
      <c r="Q306"/>
      <c r="R306"/>
    </row>
    <row r="307" spans="3:18" x14ac:dyDescent="0.25">
      <c r="C307" s="24" t="s">
        <v>457</v>
      </c>
      <c r="D307" s="24" t="s">
        <v>458</v>
      </c>
      <c r="E307" s="24" t="s">
        <v>458</v>
      </c>
      <c r="F307" s="25">
        <v>5</v>
      </c>
      <c r="G307" s="24" t="s">
        <v>376</v>
      </c>
      <c r="H307" s="24" t="s">
        <v>81</v>
      </c>
      <c r="I307" s="24" t="s">
        <v>1046</v>
      </c>
      <c r="J307" s="24" t="s">
        <v>94</v>
      </c>
      <c r="K307" s="24" t="s">
        <v>1063</v>
      </c>
      <c r="L307" s="24" t="s">
        <v>1051</v>
      </c>
      <c r="M307" s="24" t="s">
        <v>1035</v>
      </c>
      <c r="N307" s="24" t="s">
        <v>457</v>
      </c>
      <c r="O307" s="24" t="e">
        <f>VLOOKUP(C307,[3]MAESTRA!$E$5:$AO$395,36,0)</f>
        <v>#N/A</v>
      </c>
      <c r="P307" s="16" t="s">
        <v>43</v>
      </c>
      <c r="Q307"/>
      <c r="R307"/>
    </row>
    <row r="308" spans="3:18" x14ac:dyDescent="0.25">
      <c r="C308" s="24" t="s">
        <v>323</v>
      </c>
      <c r="D308" s="24" t="s">
        <v>324</v>
      </c>
      <c r="E308" s="24" t="s">
        <v>324</v>
      </c>
      <c r="F308" s="25" t="s">
        <v>36</v>
      </c>
      <c r="G308" s="24" t="s">
        <v>37</v>
      </c>
      <c r="H308" s="24" t="s">
        <v>46</v>
      </c>
      <c r="I308" s="24" t="s">
        <v>1046</v>
      </c>
      <c r="J308" s="24" t="s">
        <v>58</v>
      </c>
      <c r="K308" s="24" t="s">
        <v>1060</v>
      </c>
      <c r="L308" s="24" t="s">
        <v>1051</v>
      </c>
      <c r="M308" s="24" t="s">
        <v>1035</v>
      </c>
      <c r="N308" s="24" t="s">
        <v>323</v>
      </c>
      <c r="O308" s="24" t="e">
        <f>VLOOKUP(C308,[3]MAESTRA!$E$5:$AO$395,36,0)</f>
        <v>#N/A</v>
      </c>
      <c r="P308" s="16" t="s">
        <v>43</v>
      </c>
      <c r="Q308"/>
      <c r="R308"/>
    </row>
    <row r="309" spans="3:18" x14ac:dyDescent="0.25">
      <c r="C309" s="24" t="s">
        <v>325</v>
      </c>
      <c r="D309" s="24" t="s">
        <v>326</v>
      </c>
      <c r="E309" s="24" t="s">
        <v>326</v>
      </c>
      <c r="F309" s="25" t="s">
        <v>36</v>
      </c>
      <c r="G309" s="24" t="s">
        <v>37</v>
      </c>
      <c r="H309" s="24" t="s">
        <v>46</v>
      </c>
      <c r="I309" s="24" t="s">
        <v>1046</v>
      </c>
      <c r="J309" s="24"/>
      <c r="K309" s="24" t="s">
        <v>1064</v>
      </c>
      <c r="L309" s="24" t="s">
        <v>1051</v>
      </c>
      <c r="M309" s="24" t="s">
        <v>1035</v>
      </c>
      <c r="N309" s="24" t="s">
        <v>325</v>
      </c>
      <c r="O309" s="24" t="e">
        <f>VLOOKUP(C309,[3]MAESTRA!$E$5:$AO$395,36,0)</f>
        <v>#N/A</v>
      </c>
      <c r="P309" s="16" t="s">
        <v>43</v>
      </c>
    </row>
    <row r="310" spans="3:18" x14ac:dyDescent="0.25">
      <c r="C310" s="24" t="s">
        <v>459</v>
      </c>
      <c r="D310" s="24" t="s">
        <v>460</v>
      </c>
      <c r="E310" s="24" t="s">
        <v>460</v>
      </c>
      <c r="F310" s="25">
        <v>5</v>
      </c>
      <c r="G310" s="24" t="s">
        <v>376</v>
      </c>
      <c r="H310" s="24" t="s">
        <v>46</v>
      </c>
      <c r="I310" s="24" t="s">
        <v>1046</v>
      </c>
      <c r="J310" s="24" t="s">
        <v>94</v>
      </c>
      <c r="K310" s="24" t="s">
        <v>1065</v>
      </c>
      <c r="L310" s="24" t="s">
        <v>1051</v>
      </c>
      <c r="M310" s="24" t="s">
        <v>1035</v>
      </c>
      <c r="N310" s="24" t="s">
        <v>459</v>
      </c>
      <c r="O310" s="24" t="e">
        <f>VLOOKUP(C310,[3]MAESTRA!$E$5:$AO$395,36,0)</f>
        <v>#N/A</v>
      </c>
      <c r="P310" s="16" t="s">
        <v>43</v>
      </c>
    </row>
    <row r="311" spans="3:18" x14ac:dyDescent="0.25">
      <c r="C311" s="24" t="s">
        <v>919</v>
      </c>
      <c r="D311" s="24" t="s">
        <v>920</v>
      </c>
      <c r="E311" s="24" t="s">
        <v>920</v>
      </c>
      <c r="F311" s="25">
        <v>5</v>
      </c>
      <c r="G311" s="24" t="s">
        <v>376</v>
      </c>
      <c r="H311" s="24" t="s">
        <v>81</v>
      </c>
      <c r="I311" s="24" t="s">
        <v>1046</v>
      </c>
      <c r="J311" s="24" t="s">
        <v>73</v>
      </c>
      <c r="K311" s="24" t="s">
        <v>1067</v>
      </c>
      <c r="L311" s="24" t="s">
        <v>1051</v>
      </c>
      <c r="M311" s="3" t="s">
        <v>378</v>
      </c>
      <c r="N311" s="24" t="s">
        <v>919</v>
      </c>
      <c r="O311" s="24" t="e">
        <f>VLOOKUP(C311,[3]MAESTRA!$E$5:$AO$395,36,0)</f>
        <v>#N/A</v>
      </c>
      <c r="P311" s="16" t="s">
        <v>43</v>
      </c>
    </row>
    <row r="312" spans="3:18" x14ac:dyDescent="0.25">
      <c r="C312" s="24" t="s">
        <v>610</v>
      </c>
      <c r="D312" s="24" t="s">
        <v>611</v>
      </c>
      <c r="E312" s="24" t="s">
        <v>611</v>
      </c>
      <c r="F312" s="25">
        <v>5</v>
      </c>
      <c r="G312" s="24" t="s">
        <v>376</v>
      </c>
      <c r="H312" s="24" t="s">
        <v>81</v>
      </c>
      <c r="I312" s="24" t="s">
        <v>1046</v>
      </c>
      <c r="J312" s="24" t="s">
        <v>50</v>
      </c>
      <c r="K312" s="24" t="s">
        <v>1064</v>
      </c>
      <c r="L312" s="24" t="s">
        <v>1051</v>
      </c>
      <c r="M312" s="3" t="s">
        <v>984</v>
      </c>
      <c r="N312" s="24" t="s">
        <v>610</v>
      </c>
      <c r="O312" s="24" t="e">
        <f>VLOOKUP(C312,[3]MAESTRA!$E$5:$AO$395,36,0)</f>
        <v>#N/A</v>
      </c>
      <c r="P312" s="16" t="s">
        <v>43</v>
      </c>
    </row>
    <row r="313" spans="3:18" x14ac:dyDescent="0.25">
      <c r="C313" s="24" t="s">
        <v>461</v>
      </c>
      <c r="D313" s="24" t="s">
        <v>462</v>
      </c>
      <c r="E313" s="24" t="s">
        <v>462</v>
      </c>
      <c r="F313" s="25">
        <v>5</v>
      </c>
      <c r="G313" s="24" t="s">
        <v>376</v>
      </c>
      <c r="H313" s="24" t="s">
        <v>46</v>
      </c>
      <c r="I313" s="24" t="s">
        <v>1046</v>
      </c>
      <c r="J313" s="24" t="s">
        <v>94</v>
      </c>
      <c r="K313" s="24" t="s">
        <v>1065</v>
      </c>
      <c r="L313" s="24" t="s">
        <v>1051</v>
      </c>
      <c r="M313" s="24" t="s">
        <v>1035</v>
      </c>
      <c r="N313" s="24" t="s">
        <v>461</v>
      </c>
      <c r="O313" s="24" t="e">
        <f>VLOOKUP(C313,[3]MAESTRA!$E$5:$AO$395,36,0)</f>
        <v>#N/A</v>
      </c>
      <c r="P313" s="16" t="s">
        <v>440</v>
      </c>
    </row>
    <row r="314" spans="3:18" x14ac:dyDescent="0.25">
      <c r="C314" s="24" t="s">
        <v>639</v>
      </c>
      <c r="D314" s="24" t="s">
        <v>640</v>
      </c>
      <c r="E314" s="24" t="s">
        <v>641</v>
      </c>
      <c r="F314" s="25">
        <v>5</v>
      </c>
      <c r="G314" s="24" t="s">
        <v>376</v>
      </c>
      <c r="H314" s="24" t="s">
        <v>81</v>
      </c>
      <c r="I314" s="24" t="s">
        <v>1046</v>
      </c>
      <c r="J314" s="24" t="s">
        <v>50</v>
      </c>
      <c r="K314" s="24" t="s">
        <v>1065</v>
      </c>
      <c r="L314" s="24" t="s">
        <v>1051</v>
      </c>
      <c r="M314" s="3" t="s">
        <v>984</v>
      </c>
      <c r="N314" s="24" t="s">
        <v>639</v>
      </c>
      <c r="O314" s="24" t="e">
        <f>VLOOKUP(C314,[3]MAESTRA!$E$5:$AO$395,36,0)</f>
        <v>#N/A</v>
      </c>
      <c r="P314" s="16" t="s">
        <v>43</v>
      </c>
    </row>
    <row r="315" spans="3:18" x14ac:dyDescent="0.25">
      <c r="C315" s="24" t="s">
        <v>327</v>
      </c>
      <c r="D315" s="24" t="s">
        <v>328</v>
      </c>
      <c r="E315" s="24" t="s">
        <v>328</v>
      </c>
      <c r="F315" s="25" t="s">
        <v>36</v>
      </c>
      <c r="G315" s="24" t="s">
        <v>37</v>
      </c>
      <c r="H315" s="24" t="s">
        <v>81</v>
      </c>
      <c r="I315" s="24" t="s">
        <v>1046</v>
      </c>
      <c r="J315" s="24" t="s">
        <v>63</v>
      </c>
      <c r="K315" s="24" t="s">
        <v>1060</v>
      </c>
      <c r="L315" s="24" t="s">
        <v>1051</v>
      </c>
      <c r="M315" s="3" t="s">
        <v>378</v>
      </c>
      <c r="N315" s="24" t="s">
        <v>327</v>
      </c>
      <c r="O315" s="24" t="e">
        <f>VLOOKUP(C315,[3]MAESTRA!$E$5:$AO$395,36,0)</f>
        <v>#N/A</v>
      </c>
      <c r="P315" s="16" t="s">
        <v>43</v>
      </c>
    </row>
    <row r="316" spans="3:18" x14ac:dyDescent="0.25">
      <c r="C316" s="24" t="s">
        <v>329</v>
      </c>
      <c r="D316" s="24" t="s">
        <v>330</v>
      </c>
      <c r="E316" s="24" t="s">
        <v>330</v>
      </c>
      <c r="F316" s="25" t="s">
        <v>36</v>
      </c>
      <c r="G316" s="24" t="s">
        <v>37</v>
      </c>
      <c r="H316" s="24" t="s">
        <v>46</v>
      </c>
      <c r="I316" s="24" t="s">
        <v>1046</v>
      </c>
      <c r="J316" s="24" t="s">
        <v>331</v>
      </c>
      <c r="K316" s="24" t="s">
        <v>1060</v>
      </c>
      <c r="L316" s="24" t="s">
        <v>1051</v>
      </c>
      <c r="M316" s="3" t="s">
        <v>984</v>
      </c>
      <c r="N316" s="24" t="s">
        <v>329</v>
      </c>
      <c r="O316" s="24" t="e">
        <f>VLOOKUP(C316,[3]MAESTRA!$E$5:$AO$395,36,0)</f>
        <v>#N/A</v>
      </c>
      <c r="P316" s="16" t="s">
        <v>43</v>
      </c>
    </row>
    <row r="317" spans="3:18" x14ac:dyDescent="0.25">
      <c r="C317" s="24" t="s">
        <v>332</v>
      </c>
      <c r="D317" s="24" t="s">
        <v>333</v>
      </c>
      <c r="E317" s="24" t="s">
        <v>333</v>
      </c>
      <c r="F317" s="25" t="s">
        <v>36</v>
      </c>
      <c r="G317" s="24" t="s">
        <v>37</v>
      </c>
      <c r="H317" s="24" t="s">
        <v>81</v>
      </c>
      <c r="I317" s="24" t="s">
        <v>1046</v>
      </c>
      <c r="J317" s="24">
        <v>0</v>
      </c>
      <c r="K317" s="24" t="s">
        <v>1064</v>
      </c>
      <c r="L317" s="24" t="s">
        <v>1051</v>
      </c>
      <c r="M317" s="24" t="s">
        <v>1053</v>
      </c>
      <c r="N317" s="24" t="s">
        <v>332</v>
      </c>
      <c r="O317" s="24" t="e">
        <f>VLOOKUP(C317,[3]MAESTRA!$E$5:$AO$395,36,0)</f>
        <v>#N/A</v>
      </c>
      <c r="P317" s="16" t="s">
        <v>43</v>
      </c>
    </row>
    <row r="318" spans="3:18" x14ac:dyDescent="0.25">
      <c r="C318" s="24" t="s">
        <v>334</v>
      </c>
      <c r="D318" s="24" t="s">
        <v>335</v>
      </c>
      <c r="E318" s="24" t="s">
        <v>336</v>
      </c>
      <c r="F318" s="25" t="s">
        <v>36</v>
      </c>
      <c r="G318" s="24" t="s">
        <v>37</v>
      </c>
      <c r="H318" s="24" t="s">
        <v>46</v>
      </c>
      <c r="I318" s="24" t="s">
        <v>1046</v>
      </c>
      <c r="J318" s="24">
        <v>0</v>
      </c>
      <c r="K318" s="24" t="s">
        <v>1072</v>
      </c>
      <c r="L318" s="24" t="s">
        <v>1051</v>
      </c>
      <c r="M318" s="24" t="s">
        <v>1053</v>
      </c>
      <c r="N318" s="24" t="s">
        <v>334</v>
      </c>
      <c r="O318" s="24" t="e">
        <f>VLOOKUP(C318,[3]MAESTRA!$E$5:$AO$395,36,0)</f>
        <v>#N/A</v>
      </c>
      <c r="P318" s="16" t="s">
        <v>43</v>
      </c>
    </row>
    <row r="319" spans="3:18" x14ac:dyDescent="0.25">
      <c r="C319" s="24" t="s">
        <v>507</v>
      </c>
      <c r="D319" s="24" t="s">
        <v>508</v>
      </c>
      <c r="E319" s="24" t="s">
        <v>508</v>
      </c>
      <c r="F319" s="25">
        <v>5</v>
      </c>
      <c r="G319" s="24" t="s">
        <v>376</v>
      </c>
      <c r="H319" s="24" t="s">
        <v>46</v>
      </c>
      <c r="I319" s="24" t="s">
        <v>1046</v>
      </c>
      <c r="J319" s="24" t="s">
        <v>58</v>
      </c>
      <c r="K319" s="24" t="s">
        <v>1059</v>
      </c>
      <c r="L319" s="24" t="s">
        <v>1051</v>
      </c>
      <c r="M319" s="24" t="s">
        <v>1035</v>
      </c>
      <c r="N319" s="24" t="s">
        <v>507</v>
      </c>
      <c r="O319" s="24" t="e">
        <f>VLOOKUP(C319,[3]MAESTRA!$E$5:$AO$395,36,0)</f>
        <v>#N/A</v>
      </c>
      <c r="P319" s="16" t="s">
        <v>43</v>
      </c>
    </row>
    <row r="320" spans="3:18" x14ac:dyDescent="0.25">
      <c r="C320" s="24" t="s">
        <v>417</v>
      </c>
      <c r="D320" s="24" t="s">
        <v>418</v>
      </c>
      <c r="E320" s="24" t="s">
        <v>418</v>
      </c>
      <c r="F320" s="25">
        <v>5</v>
      </c>
      <c r="G320" s="24" t="s">
        <v>376</v>
      </c>
      <c r="H320" s="24" t="s">
        <v>46</v>
      </c>
      <c r="I320" s="24" t="s">
        <v>1031</v>
      </c>
      <c r="J320" s="24" t="s">
        <v>63</v>
      </c>
      <c r="K320" s="24" t="s">
        <v>1060</v>
      </c>
      <c r="L320" s="24" t="s">
        <v>1051</v>
      </c>
      <c r="M320" s="3" t="s">
        <v>378</v>
      </c>
      <c r="N320" s="24" t="s">
        <v>417</v>
      </c>
      <c r="O320" s="24" t="e">
        <f>VLOOKUP(C320,[3]MAESTRA!$E$5:$AO$395,36,0)</f>
        <v>#N/A</v>
      </c>
      <c r="P320" s="16" t="s">
        <v>43</v>
      </c>
    </row>
    <row r="321" spans="3:16" x14ac:dyDescent="0.25">
      <c r="C321" s="24" t="s">
        <v>337</v>
      </c>
      <c r="D321" s="24" t="s">
        <v>338</v>
      </c>
      <c r="E321" s="24" t="s">
        <v>338</v>
      </c>
      <c r="F321" s="25" t="s">
        <v>36</v>
      </c>
      <c r="G321" s="24" t="s">
        <v>37</v>
      </c>
      <c r="H321" s="24" t="s">
        <v>81</v>
      </c>
      <c r="I321" s="24" t="s">
        <v>1046</v>
      </c>
      <c r="J321" s="24" t="s">
        <v>89</v>
      </c>
      <c r="K321" s="24" t="s">
        <v>1075</v>
      </c>
      <c r="L321" s="24" t="s">
        <v>1076</v>
      </c>
      <c r="M321" s="3" t="s">
        <v>378</v>
      </c>
      <c r="N321" s="24" t="s">
        <v>337</v>
      </c>
      <c r="O321" s="24" t="e">
        <f>VLOOKUP(C321,[3]MAESTRA!$E$5:$AO$395,36,0)</f>
        <v>#N/A</v>
      </c>
      <c r="P321" s="16" t="s">
        <v>43</v>
      </c>
    </row>
    <row r="322" spans="3:16" x14ac:dyDescent="0.25">
      <c r="C322" s="24" t="s">
        <v>339</v>
      </c>
      <c r="D322" s="24" t="s">
        <v>340</v>
      </c>
      <c r="E322" s="24" t="s">
        <v>341</v>
      </c>
      <c r="F322" s="25" t="s">
        <v>36</v>
      </c>
      <c r="G322" s="24" t="s">
        <v>37</v>
      </c>
      <c r="H322" s="24" t="s">
        <v>46</v>
      </c>
      <c r="I322" s="24" t="s">
        <v>1046</v>
      </c>
      <c r="J322" s="24">
        <v>0</v>
      </c>
      <c r="K322" s="24" t="s">
        <v>1072</v>
      </c>
      <c r="L322" s="24" t="s">
        <v>1051</v>
      </c>
      <c r="M322" s="24" t="s">
        <v>1053</v>
      </c>
      <c r="N322" s="24" t="s">
        <v>339</v>
      </c>
      <c r="O322" s="24" t="e">
        <f>VLOOKUP(C322,[3]MAESTRA!$E$5:$AO$395,36,0)</f>
        <v>#N/A</v>
      </c>
      <c r="P322" s="16" t="s">
        <v>43</v>
      </c>
    </row>
    <row r="323" spans="3:16" x14ac:dyDescent="0.25">
      <c r="C323" s="24" t="s">
        <v>825</v>
      </c>
      <c r="D323" s="24" t="s">
        <v>826</v>
      </c>
      <c r="E323" s="24" t="s">
        <v>827</v>
      </c>
      <c r="F323" s="25">
        <v>5</v>
      </c>
      <c r="G323" s="24" t="s">
        <v>376</v>
      </c>
      <c r="H323" s="24" t="s">
        <v>81</v>
      </c>
      <c r="I323" s="24" t="s">
        <v>1046</v>
      </c>
      <c r="J323" s="24" t="s">
        <v>146</v>
      </c>
      <c r="K323" s="24" t="s">
        <v>1064</v>
      </c>
      <c r="L323" s="24" t="s">
        <v>1051</v>
      </c>
      <c r="M323" s="24" t="s">
        <v>1035</v>
      </c>
      <c r="N323" s="24" t="s">
        <v>825</v>
      </c>
      <c r="O323" s="24" t="e">
        <f>VLOOKUP(C323,[3]MAESTRA!$E$5:$AO$395,36,0)</f>
        <v>#N/A</v>
      </c>
      <c r="P323" s="16" t="s">
        <v>43</v>
      </c>
    </row>
    <row r="324" spans="3:16" x14ac:dyDescent="0.25">
      <c r="C324" s="24" t="s">
        <v>828</v>
      </c>
      <c r="D324" s="24" t="s">
        <v>829</v>
      </c>
      <c r="E324" s="24" t="s">
        <v>829</v>
      </c>
      <c r="F324" s="25">
        <v>5.68</v>
      </c>
      <c r="G324" s="24" t="s">
        <v>376</v>
      </c>
      <c r="H324" s="24" t="s">
        <v>46</v>
      </c>
      <c r="I324" s="24" t="s">
        <v>1046</v>
      </c>
      <c r="J324" s="24" t="s">
        <v>146</v>
      </c>
      <c r="K324" s="24" t="s">
        <v>1064</v>
      </c>
      <c r="L324" s="24" t="s">
        <v>1051</v>
      </c>
      <c r="M324" s="24" t="s">
        <v>1035</v>
      </c>
      <c r="N324" s="24" t="s">
        <v>828</v>
      </c>
      <c r="O324" s="24" t="e">
        <f>VLOOKUP(C324,[3]MAESTRA!$E$5:$AO$395,36,0)</f>
        <v>#N/A</v>
      </c>
      <c r="P324" s="16" t="s">
        <v>43</v>
      </c>
    </row>
    <row r="325" spans="3:16" x14ac:dyDescent="0.25">
      <c r="C325" s="24" t="s">
        <v>342</v>
      </c>
      <c r="D325" s="24" t="s">
        <v>343</v>
      </c>
      <c r="E325" s="24" t="s">
        <v>343</v>
      </c>
      <c r="F325" s="25" t="s">
        <v>36</v>
      </c>
      <c r="G325" s="24" t="s">
        <v>37</v>
      </c>
      <c r="H325" s="24" t="s">
        <v>81</v>
      </c>
      <c r="I325" s="24" t="s">
        <v>1046</v>
      </c>
      <c r="J325" s="24" t="s">
        <v>132</v>
      </c>
      <c r="K325" s="24" t="s">
        <v>1059</v>
      </c>
      <c r="L325" s="24" t="s">
        <v>1051</v>
      </c>
      <c r="M325" s="24" t="s">
        <v>1035</v>
      </c>
      <c r="N325" s="24" t="s">
        <v>342</v>
      </c>
      <c r="O325" s="24" t="e">
        <f>VLOOKUP(C325,[3]MAESTRA!$E$5:$AO$395,36,0)</f>
        <v>#N/A</v>
      </c>
      <c r="P325" s="16" t="s">
        <v>43</v>
      </c>
    </row>
    <row r="326" spans="3:16" x14ac:dyDescent="0.25">
      <c r="C326" s="24" t="s">
        <v>830</v>
      </c>
      <c r="D326" s="24" t="s">
        <v>831</v>
      </c>
      <c r="E326" s="24" t="s">
        <v>832</v>
      </c>
      <c r="F326" s="25">
        <v>5</v>
      </c>
      <c r="G326" s="24" t="s">
        <v>376</v>
      </c>
      <c r="H326" s="24" t="s">
        <v>46</v>
      </c>
      <c r="I326" s="24" t="s">
        <v>1046</v>
      </c>
      <c r="J326" s="24" t="s">
        <v>146</v>
      </c>
      <c r="K326" s="24" t="s">
        <v>1064</v>
      </c>
      <c r="L326" s="24" t="s">
        <v>1051</v>
      </c>
      <c r="M326" s="24" t="s">
        <v>1035</v>
      </c>
      <c r="N326" s="24" t="s">
        <v>830</v>
      </c>
      <c r="O326" s="24" t="e">
        <f>VLOOKUP(C326,[3]MAESTRA!$E$5:$AO$395,36,0)</f>
        <v>#N/A</v>
      </c>
      <c r="P326" s="16" t="s">
        <v>43</v>
      </c>
    </row>
    <row r="327" spans="3:16" x14ac:dyDescent="0.25">
      <c r="C327" s="24" t="s">
        <v>921</v>
      </c>
      <c r="D327" s="24" t="s">
        <v>922</v>
      </c>
      <c r="E327" s="24" t="s">
        <v>911</v>
      </c>
      <c r="F327" s="25">
        <v>5</v>
      </c>
      <c r="G327" s="24" t="s">
        <v>376</v>
      </c>
      <c r="H327" s="24" t="s">
        <v>81</v>
      </c>
      <c r="I327" s="24" t="s">
        <v>1046</v>
      </c>
      <c r="J327" s="24" t="s">
        <v>73</v>
      </c>
      <c r="K327" s="24" t="s">
        <v>1095</v>
      </c>
      <c r="L327" s="24" t="s">
        <v>1051</v>
      </c>
      <c r="M327" s="3" t="s">
        <v>378</v>
      </c>
      <c r="N327" s="24" t="s">
        <v>921</v>
      </c>
      <c r="O327" s="24" t="e">
        <f>VLOOKUP(C327,[3]MAESTRA!$E$5:$AO$395,36,0)</f>
        <v>#N/A</v>
      </c>
      <c r="P327" s="16" t="s">
        <v>43</v>
      </c>
    </row>
    <row r="328" spans="3:16" x14ac:dyDescent="0.25">
      <c r="C328" s="24" t="s">
        <v>970</v>
      </c>
      <c r="D328" s="24" t="s">
        <v>971</v>
      </c>
      <c r="E328" s="24" t="s">
        <v>972</v>
      </c>
      <c r="F328" s="25">
        <v>5</v>
      </c>
      <c r="G328" s="24" t="s">
        <v>376</v>
      </c>
      <c r="H328" s="24" t="s">
        <v>81</v>
      </c>
      <c r="I328" s="24" t="s">
        <v>1046</v>
      </c>
      <c r="J328" s="24" t="s">
        <v>160</v>
      </c>
      <c r="K328" s="24" t="s">
        <v>1058</v>
      </c>
      <c r="L328" s="24" t="s">
        <v>1051</v>
      </c>
      <c r="M328" s="3" t="s">
        <v>984</v>
      </c>
      <c r="N328" s="24" t="s">
        <v>970</v>
      </c>
      <c r="O328" s="24" t="e">
        <f>VLOOKUP(C328,[3]MAESTRA!$E$5:$AO$395,36,0)</f>
        <v>#N/A</v>
      </c>
      <c r="P328" s="16" t="s">
        <v>43</v>
      </c>
    </row>
    <row r="329" spans="3:16" x14ac:dyDescent="0.25">
      <c r="C329" s="24" t="s">
        <v>344</v>
      </c>
      <c r="D329" s="24" t="s">
        <v>345</v>
      </c>
      <c r="E329" s="24" t="s">
        <v>345</v>
      </c>
      <c r="F329" s="25" t="s">
        <v>36</v>
      </c>
      <c r="G329" s="24" t="s">
        <v>37</v>
      </c>
      <c r="H329" s="24" t="s">
        <v>88</v>
      </c>
      <c r="I329" s="24" t="s">
        <v>1046</v>
      </c>
      <c r="J329" s="24">
        <v>0</v>
      </c>
      <c r="K329" s="24" t="s">
        <v>1106</v>
      </c>
      <c r="L329" s="24" t="s">
        <v>1051</v>
      </c>
      <c r="M329" s="24" t="s">
        <v>1053</v>
      </c>
      <c r="N329" s="24" t="s">
        <v>344</v>
      </c>
      <c r="O329" s="24" t="e">
        <f>VLOOKUP(C329,[3]MAESTRA!$E$5:$AO$395,36,0)</f>
        <v>#N/A</v>
      </c>
      <c r="P329" s="16" t="s">
        <v>43</v>
      </c>
    </row>
    <row r="330" spans="3:16" x14ac:dyDescent="0.25">
      <c r="C330" s="24" t="s">
        <v>879</v>
      </c>
      <c r="D330" s="24" t="s">
        <v>880</v>
      </c>
      <c r="E330" s="24" t="s">
        <v>880</v>
      </c>
      <c r="F330" s="25">
        <v>5</v>
      </c>
      <c r="G330" s="24" t="s">
        <v>376</v>
      </c>
      <c r="H330" s="24" t="s">
        <v>46</v>
      </c>
      <c r="I330" s="24" t="s">
        <v>1046</v>
      </c>
      <c r="J330" s="24" t="s">
        <v>132</v>
      </c>
      <c r="K330" s="24" t="s">
        <v>1060</v>
      </c>
      <c r="L330" s="24" t="s">
        <v>1051</v>
      </c>
      <c r="M330" s="24" t="s">
        <v>1035</v>
      </c>
      <c r="N330" s="24" t="s">
        <v>879</v>
      </c>
      <c r="O330" s="24" t="e">
        <f>VLOOKUP(C330,[3]MAESTRA!$E$5:$AO$395,36,0)</f>
        <v>#N/A</v>
      </c>
      <c r="P330" s="16" t="s">
        <v>43</v>
      </c>
    </row>
    <row r="331" spans="3:16" x14ac:dyDescent="0.25">
      <c r="C331" s="24" t="s">
        <v>553</v>
      </c>
      <c r="D331" s="24" t="s">
        <v>554</v>
      </c>
      <c r="E331" s="24" t="s">
        <v>554</v>
      </c>
      <c r="F331" s="25">
        <v>5</v>
      </c>
      <c r="G331" s="24" t="s">
        <v>376</v>
      </c>
      <c r="H331" s="24" t="s">
        <v>46</v>
      </c>
      <c r="I331" s="24" t="s">
        <v>1046</v>
      </c>
      <c r="J331" s="24" t="s">
        <v>100</v>
      </c>
      <c r="K331" s="24" t="s">
        <v>1060</v>
      </c>
      <c r="L331" s="24" t="s">
        <v>1051</v>
      </c>
      <c r="M331" s="24" t="s">
        <v>1035</v>
      </c>
      <c r="N331" s="24" t="s">
        <v>553</v>
      </c>
      <c r="O331" s="24" t="e">
        <f>VLOOKUP(C331,[3]MAESTRA!$E$5:$AO$395,36,0)</f>
        <v>#N/A</v>
      </c>
      <c r="P331" s="16" t="s">
        <v>43</v>
      </c>
    </row>
    <row r="332" spans="3:16" x14ac:dyDescent="0.25">
      <c r="C332" s="24" t="s">
        <v>923</v>
      </c>
      <c r="D332" s="24" t="s">
        <v>924</v>
      </c>
      <c r="E332" s="24" t="s">
        <v>924</v>
      </c>
      <c r="F332" s="25">
        <v>5</v>
      </c>
      <c r="G332" s="24" t="s">
        <v>376</v>
      </c>
      <c r="H332" s="24" t="s">
        <v>46</v>
      </c>
      <c r="I332" s="24" t="s">
        <v>1046</v>
      </c>
      <c r="J332" s="24" t="s">
        <v>73</v>
      </c>
      <c r="K332" s="24" t="s">
        <v>1082</v>
      </c>
      <c r="L332" s="24" t="s">
        <v>1051</v>
      </c>
      <c r="M332" s="3" t="s">
        <v>378</v>
      </c>
      <c r="N332" s="24" t="s">
        <v>923</v>
      </c>
      <c r="O332" s="24" t="e">
        <f>VLOOKUP(C332,[3]MAESTRA!$E$5:$AO$395,36,0)</f>
        <v>#N/A</v>
      </c>
      <c r="P332" s="16" t="s">
        <v>43</v>
      </c>
    </row>
    <row r="333" spans="3:16" x14ac:dyDescent="0.25">
      <c r="C333" s="24" t="s">
        <v>761</v>
      </c>
      <c r="D333" s="24" t="s">
        <v>762</v>
      </c>
      <c r="E333" s="24" t="s">
        <v>762</v>
      </c>
      <c r="F333" s="25">
        <v>5</v>
      </c>
      <c r="G333" s="24" t="s">
        <v>376</v>
      </c>
      <c r="H333" s="24" t="s">
        <v>46</v>
      </c>
      <c r="I333" s="24" t="s">
        <v>1031</v>
      </c>
      <c r="J333" s="24" t="s">
        <v>1048</v>
      </c>
      <c r="K333" s="24" t="s">
        <v>1061</v>
      </c>
      <c r="L333" s="24" t="s">
        <v>1062</v>
      </c>
      <c r="M333" s="3" t="s">
        <v>378</v>
      </c>
      <c r="N333" s="24" t="s">
        <v>761</v>
      </c>
      <c r="O333" s="24" t="e">
        <f>VLOOKUP(C333,[3]MAESTRA!$E$5:$AO$395,36,0)</f>
        <v>#N/A</v>
      </c>
      <c r="P333" s="16" t="s">
        <v>440</v>
      </c>
    </row>
    <row r="334" spans="3:16" x14ac:dyDescent="0.25">
      <c r="C334" s="24" t="s">
        <v>509</v>
      </c>
      <c r="D334" s="24" t="s">
        <v>510</v>
      </c>
      <c r="E334" s="24" t="s">
        <v>510</v>
      </c>
      <c r="F334" s="25">
        <v>5</v>
      </c>
      <c r="G334" s="24" t="s">
        <v>376</v>
      </c>
      <c r="H334" s="24" t="s">
        <v>46</v>
      </c>
      <c r="I334" s="24" t="s">
        <v>1046</v>
      </c>
      <c r="J334" s="24" t="s">
        <v>58</v>
      </c>
      <c r="K334" s="24" t="s">
        <v>1059</v>
      </c>
      <c r="L334" s="24" t="s">
        <v>1051</v>
      </c>
      <c r="M334" s="24" t="s">
        <v>1035</v>
      </c>
      <c r="N334" s="24" t="s">
        <v>509</v>
      </c>
      <c r="O334" s="24" t="e">
        <f>VLOOKUP(C334,[3]MAESTRA!$E$5:$AO$395,36,0)</f>
        <v>#N/A</v>
      </c>
      <c r="P334" s="16" t="s">
        <v>43</v>
      </c>
    </row>
    <row r="335" spans="3:16" x14ac:dyDescent="0.25">
      <c r="C335" s="24" t="s">
        <v>347</v>
      </c>
      <c r="D335" s="24" t="s">
        <v>348</v>
      </c>
      <c r="E335" s="24" t="s">
        <v>348</v>
      </c>
      <c r="F335" s="25" t="s">
        <v>36</v>
      </c>
      <c r="G335" s="24" t="s">
        <v>37</v>
      </c>
      <c r="H335" s="24" t="s">
        <v>81</v>
      </c>
      <c r="I335" s="24" t="s">
        <v>1046</v>
      </c>
      <c r="J335" s="24" t="s">
        <v>58</v>
      </c>
      <c r="K335" s="24" t="s">
        <v>1064</v>
      </c>
      <c r="L335" s="24" t="s">
        <v>1051</v>
      </c>
      <c r="M335" s="24" t="s">
        <v>1035</v>
      </c>
      <c r="N335" s="24" t="s">
        <v>347</v>
      </c>
      <c r="O335" s="24" t="e">
        <f>VLOOKUP(C335,[3]MAESTRA!$E$5:$AO$395,36,0)</f>
        <v>#N/A</v>
      </c>
      <c r="P335" s="16" t="s">
        <v>43</v>
      </c>
    </row>
    <row r="336" spans="3:16" x14ac:dyDescent="0.25">
      <c r="C336" s="24" t="s">
        <v>973</v>
      </c>
      <c r="D336" s="24" t="s">
        <v>974</v>
      </c>
      <c r="E336" s="24" t="s">
        <v>974</v>
      </c>
      <c r="F336" s="25">
        <v>5</v>
      </c>
      <c r="G336" s="24" t="s">
        <v>376</v>
      </c>
      <c r="H336" s="24" t="s">
        <v>46</v>
      </c>
      <c r="I336" s="24" t="s">
        <v>1046</v>
      </c>
      <c r="J336" s="24" t="s">
        <v>160</v>
      </c>
      <c r="K336" s="24" t="s">
        <v>1071</v>
      </c>
      <c r="L336" s="24" t="s">
        <v>1051</v>
      </c>
      <c r="M336" s="3" t="s">
        <v>984</v>
      </c>
      <c r="N336" s="24" t="s">
        <v>973</v>
      </c>
      <c r="O336" s="24" t="e">
        <f>VLOOKUP(C336,[3]MAESTRA!$E$5:$AO$395,36,0)</f>
        <v>#N/A</v>
      </c>
      <c r="P336" s="16" t="s">
        <v>43</v>
      </c>
    </row>
    <row r="337" spans="3:16" x14ac:dyDescent="0.25">
      <c r="C337" s="24" t="s">
        <v>349</v>
      </c>
      <c r="D337" s="24" t="s">
        <v>350</v>
      </c>
      <c r="E337" s="24" t="s">
        <v>350</v>
      </c>
      <c r="F337" s="25" t="s">
        <v>36</v>
      </c>
      <c r="G337" s="24" t="s">
        <v>37</v>
      </c>
      <c r="H337" s="24" t="s">
        <v>46</v>
      </c>
      <c r="I337" s="24" t="s">
        <v>1046</v>
      </c>
      <c r="J337" s="24">
        <v>0</v>
      </c>
      <c r="K337" s="24" t="s">
        <v>1060</v>
      </c>
      <c r="L337" s="24" t="s">
        <v>1051</v>
      </c>
      <c r="M337" s="24" t="s">
        <v>1053</v>
      </c>
      <c r="N337" s="24" t="s">
        <v>349</v>
      </c>
      <c r="O337" s="24" t="e">
        <f>VLOOKUP(C337,[3]MAESTRA!$E$5:$AO$395,36,0)</f>
        <v>#N/A</v>
      </c>
      <c r="P337" s="16" t="s">
        <v>43</v>
      </c>
    </row>
    <row r="338" spans="3:16" x14ac:dyDescent="0.25">
      <c r="C338" s="24" t="s">
        <v>351</v>
      </c>
      <c r="D338" s="24" t="s">
        <v>352</v>
      </c>
      <c r="E338" s="24" t="s">
        <v>352</v>
      </c>
      <c r="F338" s="25" t="s">
        <v>36</v>
      </c>
      <c r="G338" s="24" t="s">
        <v>37</v>
      </c>
      <c r="H338" s="24" t="s">
        <v>46</v>
      </c>
      <c r="I338" s="24" t="s">
        <v>1046</v>
      </c>
      <c r="J338" s="24" t="s">
        <v>331</v>
      </c>
      <c r="K338" s="24" t="s">
        <v>1058</v>
      </c>
      <c r="L338" s="24" t="s">
        <v>1051</v>
      </c>
      <c r="M338" s="3" t="s">
        <v>984</v>
      </c>
      <c r="N338" s="24" t="s">
        <v>351</v>
      </c>
      <c r="O338" s="24" t="e">
        <f>VLOOKUP(C338,[3]MAESTRA!$E$5:$AO$395,36,0)</f>
        <v>#N/A</v>
      </c>
      <c r="P338" s="16" t="s">
        <v>43</v>
      </c>
    </row>
    <row r="339" spans="3:16" x14ac:dyDescent="0.25">
      <c r="C339" s="24" t="s">
        <v>833</v>
      </c>
      <c r="D339" s="24" t="s">
        <v>834</v>
      </c>
      <c r="E339" s="24" t="s">
        <v>835</v>
      </c>
      <c r="F339" s="25">
        <v>5.56</v>
      </c>
      <c r="G339" s="24" t="s">
        <v>376</v>
      </c>
      <c r="H339" s="24" t="s">
        <v>46</v>
      </c>
      <c r="I339" s="24" t="s">
        <v>1046</v>
      </c>
      <c r="J339" s="24" t="s">
        <v>146</v>
      </c>
      <c r="K339" s="24" t="s">
        <v>1064</v>
      </c>
      <c r="L339" s="24" t="s">
        <v>1051</v>
      </c>
      <c r="M339" s="24" t="s">
        <v>1035</v>
      </c>
      <c r="N339" s="24" t="s">
        <v>833</v>
      </c>
      <c r="O339" s="24" t="e">
        <f>VLOOKUP(C339,[3]MAESTRA!$E$5:$AO$395,36,0)</f>
        <v>#N/A</v>
      </c>
      <c r="P339" s="16" t="s">
        <v>43</v>
      </c>
    </row>
    <row r="340" spans="3:16" x14ac:dyDescent="0.25">
      <c r="C340" s="24" t="s">
        <v>354</v>
      </c>
      <c r="D340" s="24" t="s">
        <v>355</v>
      </c>
      <c r="E340" s="24" t="s">
        <v>355</v>
      </c>
      <c r="F340" s="25" t="s">
        <v>36</v>
      </c>
      <c r="G340" s="24" t="s">
        <v>37</v>
      </c>
      <c r="H340" s="24" t="s">
        <v>46</v>
      </c>
      <c r="I340" s="24" t="s">
        <v>1046</v>
      </c>
      <c r="J340" s="24"/>
      <c r="K340" s="24" t="s">
        <v>1064</v>
      </c>
      <c r="L340" s="24" t="s">
        <v>1051</v>
      </c>
      <c r="M340" s="24" t="s">
        <v>1035</v>
      </c>
      <c r="N340" s="24" t="s">
        <v>354</v>
      </c>
      <c r="O340" s="24" t="e">
        <f>VLOOKUP(C340,[3]MAESTRA!$E$5:$AO$395,36,0)</f>
        <v>#N/A</v>
      </c>
      <c r="P340" s="16" t="s">
        <v>43</v>
      </c>
    </row>
    <row r="341" spans="3:16" x14ac:dyDescent="0.25">
      <c r="C341" s="24" t="s">
        <v>693</v>
      </c>
      <c r="D341" s="24" t="s">
        <v>694</v>
      </c>
      <c r="E341" s="24" t="s">
        <v>694</v>
      </c>
      <c r="F341" s="25">
        <v>5</v>
      </c>
      <c r="G341" s="24" t="s">
        <v>376</v>
      </c>
      <c r="H341" s="24" t="s">
        <v>46</v>
      </c>
      <c r="I341" s="24" t="s">
        <v>1046</v>
      </c>
      <c r="J341" s="24" t="s">
        <v>248</v>
      </c>
      <c r="K341" s="24" t="s">
        <v>1059</v>
      </c>
      <c r="L341" s="24" t="s">
        <v>1051</v>
      </c>
      <c r="M341" s="3" t="s">
        <v>984</v>
      </c>
      <c r="N341" s="24" t="s">
        <v>693</v>
      </c>
      <c r="O341" s="24" t="e">
        <f>VLOOKUP(C341,[3]MAESTRA!$E$5:$AO$395,36,0)</f>
        <v>#N/A</v>
      </c>
      <c r="P341" s="16" t="s">
        <v>43</v>
      </c>
    </row>
    <row r="342" spans="3:16" x14ac:dyDescent="0.25">
      <c r="C342" s="24" t="s">
        <v>356</v>
      </c>
      <c r="D342" s="24" t="s">
        <v>357</v>
      </c>
      <c r="E342" s="24" t="s">
        <v>357</v>
      </c>
      <c r="F342" s="25" t="s">
        <v>36</v>
      </c>
      <c r="G342" s="24" t="s">
        <v>37</v>
      </c>
      <c r="H342" s="24" t="s">
        <v>81</v>
      </c>
      <c r="I342" s="24" t="s">
        <v>1046</v>
      </c>
      <c r="J342" s="24" t="s">
        <v>89</v>
      </c>
      <c r="K342" s="24" t="s">
        <v>1075</v>
      </c>
      <c r="L342" s="24" t="s">
        <v>1076</v>
      </c>
      <c r="M342" s="3" t="s">
        <v>378</v>
      </c>
      <c r="N342" s="24" t="s">
        <v>356</v>
      </c>
      <c r="O342" s="24" t="e">
        <f>VLOOKUP(C342,[3]MAESTRA!$E$5:$AO$395,36,0)</f>
        <v>#N/A</v>
      </c>
      <c r="P342" s="16" t="s">
        <v>43</v>
      </c>
    </row>
    <row r="343" spans="3:16" x14ac:dyDescent="0.25">
      <c r="C343" s="24" t="s">
        <v>925</v>
      </c>
      <c r="D343" s="24" t="s">
        <v>926</v>
      </c>
      <c r="E343" s="24" t="s">
        <v>927</v>
      </c>
      <c r="F343" s="25">
        <v>5</v>
      </c>
      <c r="G343" s="24" t="s">
        <v>376</v>
      </c>
      <c r="H343" s="24" t="s">
        <v>81</v>
      </c>
      <c r="I343" s="24" t="s">
        <v>1046</v>
      </c>
      <c r="J343" s="24" t="s">
        <v>73</v>
      </c>
      <c r="K343" s="24" t="s">
        <v>1107</v>
      </c>
      <c r="L343" s="24" t="s">
        <v>1051</v>
      </c>
      <c r="M343" s="3" t="s">
        <v>378</v>
      </c>
      <c r="N343" s="24" t="s">
        <v>925</v>
      </c>
      <c r="O343" s="24" t="e">
        <f>VLOOKUP(C343,[3]MAESTRA!$E$5:$AO$395,36,0)</f>
        <v>#N/A</v>
      </c>
      <c r="P343" s="16" t="s">
        <v>43</v>
      </c>
    </row>
    <row r="344" spans="3:16" x14ac:dyDescent="0.25">
      <c r="C344" s="24" t="s">
        <v>358</v>
      </c>
      <c r="D344" s="24" t="s">
        <v>359</v>
      </c>
      <c r="E344" s="24" t="s">
        <v>359</v>
      </c>
      <c r="F344" s="25" t="s">
        <v>36</v>
      </c>
      <c r="G344" s="24" t="s">
        <v>37</v>
      </c>
      <c r="H344" s="24" t="s">
        <v>81</v>
      </c>
      <c r="I344" s="24" t="s">
        <v>1046</v>
      </c>
      <c r="J344" s="24" t="s">
        <v>248</v>
      </c>
      <c r="K344" s="24" t="s">
        <v>1060</v>
      </c>
      <c r="L344" s="24" t="s">
        <v>1051</v>
      </c>
      <c r="M344" s="3" t="s">
        <v>984</v>
      </c>
      <c r="N344" s="24" t="s">
        <v>358</v>
      </c>
      <c r="O344" s="24" t="e">
        <f>VLOOKUP(C344,[3]MAESTRA!$E$5:$AO$395,36,0)</f>
        <v>#N/A</v>
      </c>
      <c r="P344" s="16" t="s">
        <v>43</v>
      </c>
    </row>
    <row r="345" spans="3:16" x14ac:dyDescent="0.25">
      <c r="C345" s="24" t="s">
        <v>695</v>
      </c>
      <c r="D345" s="24" t="s">
        <v>696</v>
      </c>
      <c r="E345" s="24" t="s">
        <v>696</v>
      </c>
      <c r="F345" s="25">
        <v>5</v>
      </c>
      <c r="G345" s="24" t="s">
        <v>376</v>
      </c>
      <c r="H345" s="24" t="s">
        <v>46</v>
      </c>
      <c r="I345" s="24" t="s">
        <v>1046</v>
      </c>
      <c r="J345" s="24" t="s">
        <v>248</v>
      </c>
      <c r="K345" s="24" t="s">
        <v>1059</v>
      </c>
      <c r="L345" s="24" t="s">
        <v>1051</v>
      </c>
      <c r="M345" s="3" t="s">
        <v>984</v>
      </c>
      <c r="N345" s="24" t="s">
        <v>695</v>
      </c>
      <c r="O345" s="24" t="e">
        <f>VLOOKUP(C345,[3]MAESTRA!$E$5:$AO$395,36,0)</f>
        <v>#N/A</v>
      </c>
      <c r="P345" s="16" t="s">
        <v>43</v>
      </c>
    </row>
    <row r="346" spans="3:16" x14ac:dyDescent="0.25">
      <c r="C346" s="24" t="s">
        <v>360</v>
      </c>
      <c r="D346" s="24" t="s">
        <v>361</v>
      </c>
      <c r="E346" s="24" t="s">
        <v>361</v>
      </c>
      <c r="F346" s="25" t="s">
        <v>36</v>
      </c>
      <c r="G346" s="24" t="s">
        <v>37</v>
      </c>
      <c r="H346" s="24" t="s">
        <v>46</v>
      </c>
      <c r="I346" s="24" t="s">
        <v>1046</v>
      </c>
      <c r="J346" s="24"/>
      <c r="K346" s="24" t="s">
        <v>1064</v>
      </c>
      <c r="L346" s="24" t="s">
        <v>1051</v>
      </c>
      <c r="M346" s="24" t="s">
        <v>1035</v>
      </c>
      <c r="N346" s="24" t="s">
        <v>360</v>
      </c>
      <c r="O346" s="24" t="e">
        <f>VLOOKUP(C346,[3]MAESTRA!$E$5:$AO$395,36,0)</f>
        <v>#N/A</v>
      </c>
      <c r="P346" s="16" t="s">
        <v>43</v>
      </c>
    </row>
    <row r="347" spans="3:16" x14ac:dyDescent="0.25">
      <c r="C347" s="24" t="s">
        <v>362</v>
      </c>
      <c r="D347" s="24" t="s">
        <v>363</v>
      </c>
      <c r="E347" s="24" t="s">
        <v>363</v>
      </c>
      <c r="F347" s="25" t="s">
        <v>36</v>
      </c>
      <c r="G347" s="24" t="s">
        <v>37</v>
      </c>
      <c r="H347" s="24" t="s">
        <v>81</v>
      </c>
      <c r="I347" s="24" t="s">
        <v>1046</v>
      </c>
      <c r="J347" s="24" t="s">
        <v>73</v>
      </c>
      <c r="K347" s="24" t="s">
        <v>1085</v>
      </c>
      <c r="L347" s="24" t="s">
        <v>1051</v>
      </c>
      <c r="M347" s="3" t="s">
        <v>378</v>
      </c>
      <c r="N347" s="24" t="s">
        <v>362</v>
      </c>
      <c r="O347" s="24" t="e">
        <f>VLOOKUP(C347,[3]MAESTRA!$E$5:$AO$395,36,0)</f>
        <v>#N/A</v>
      </c>
      <c r="P347" s="16" t="s">
        <v>43</v>
      </c>
    </row>
    <row r="348" spans="3:16" x14ac:dyDescent="0.25">
      <c r="C348" s="24" t="s">
        <v>592</v>
      </c>
      <c r="D348" s="24" t="s">
        <v>593</v>
      </c>
      <c r="E348" s="24" t="s">
        <v>593</v>
      </c>
      <c r="F348" s="25">
        <v>5</v>
      </c>
      <c r="G348" s="24" t="s">
        <v>376</v>
      </c>
      <c r="H348" s="24" t="s">
        <v>81</v>
      </c>
      <c r="I348" s="24" t="s">
        <v>1046</v>
      </c>
      <c r="J348" s="24" t="s">
        <v>331</v>
      </c>
      <c r="K348" s="24" t="s">
        <v>1060</v>
      </c>
      <c r="L348" s="24" t="s">
        <v>1051</v>
      </c>
      <c r="M348" s="3" t="s">
        <v>984</v>
      </c>
      <c r="N348" s="24" t="s">
        <v>592</v>
      </c>
      <c r="O348" s="24" t="e">
        <f>VLOOKUP(C348,[3]MAESTRA!$E$5:$AO$395,36,0)</f>
        <v>#N/A</v>
      </c>
      <c r="P348" s="16" t="s">
        <v>43</v>
      </c>
    </row>
    <row r="349" spans="3:16" x14ac:dyDescent="0.25">
      <c r="C349" s="24" t="s">
        <v>365</v>
      </c>
      <c r="D349" s="24" t="s">
        <v>366</v>
      </c>
      <c r="E349" s="24" t="s">
        <v>367</v>
      </c>
      <c r="F349" s="25" t="s">
        <v>36</v>
      </c>
      <c r="G349" s="24" t="s">
        <v>37</v>
      </c>
      <c r="H349" s="24" t="s">
        <v>81</v>
      </c>
      <c r="I349" s="24" t="s">
        <v>1046</v>
      </c>
      <c r="J349" s="24" t="s">
        <v>146</v>
      </c>
      <c r="K349" s="24" t="s">
        <v>1064</v>
      </c>
      <c r="L349" s="24" t="s">
        <v>1051</v>
      </c>
      <c r="M349" s="24" t="s">
        <v>1035</v>
      </c>
      <c r="N349" s="24" t="s">
        <v>365</v>
      </c>
      <c r="O349" s="24" t="e">
        <f>VLOOKUP(C349,[3]MAESTRA!$E$5:$AO$395,36,0)</f>
        <v>#N/A</v>
      </c>
      <c r="P349" s="16" t="s">
        <v>43</v>
      </c>
    </row>
    <row r="350" spans="3:16" x14ac:dyDescent="0.25">
      <c r="C350" s="24" t="s">
        <v>763</v>
      </c>
      <c r="D350" s="24" t="s">
        <v>764</v>
      </c>
      <c r="E350" s="24" t="s">
        <v>765</v>
      </c>
      <c r="F350" s="25">
        <v>5</v>
      </c>
      <c r="G350" s="24" t="s">
        <v>376</v>
      </c>
      <c r="H350" s="24" t="s">
        <v>81</v>
      </c>
      <c r="I350" s="24" t="s">
        <v>1031</v>
      </c>
      <c r="J350" s="24" t="s">
        <v>1048</v>
      </c>
      <c r="K350" s="24" t="s">
        <v>1074</v>
      </c>
      <c r="L350" s="24" t="s">
        <v>1062</v>
      </c>
      <c r="M350" s="3" t="s">
        <v>378</v>
      </c>
      <c r="N350" s="24" t="s">
        <v>763</v>
      </c>
      <c r="O350" s="24" t="e">
        <f>VLOOKUP(C350,[3]MAESTRA!$E$5:$AO$395,36,0)</f>
        <v>#N/A</v>
      </c>
      <c r="P350" s="16" t="s">
        <v>43</v>
      </c>
    </row>
    <row r="351" spans="3:16" x14ac:dyDescent="0.25">
      <c r="C351" s="24" t="s">
        <v>836</v>
      </c>
      <c r="D351" s="24" t="s">
        <v>837</v>
      </c>
      <c r="E351" s="24" t="s">
        <v>838</v>
      </c>
      <c r="F351" s="25">
        <v>5</v>
      </c>
      <c r="G351" s="24" t="s">
        <v>376</v>
      </c>
      <c r="H351" s="24" t="s">
        <v>81</v>
      </c>
      <c r="I351" s="24" t="s">
        <v>1046</v>
      </c>
      <c r="J351" s="24" t="s">
        <v>146</v>
      </c>
      <c r="K351" s="24" t="s">
        <v>1064</v>
      </c>
      <c r="L351" s="24" t="s">
        <v>1051</v>
      </c>
      <c r="M351" s="24" t="s">
        <v>1035</v>
      </c>
      <c r="N351" s="24" t="s">
        <v>836</v>
      </c>
      <c r="O351" s="24" t="e">
        <f>VLOOKUP(C351,[3]MAESTRA!$E$5:$AO$395,36,0)</f>
        <v>#N/A</v>
      </c>
      <c r="P351" s="16" t="s">
        <v>43</v>
      </c>
    </row>
    <row r="352" spans="3:16" x14ac:dyDescent="0.25">
      <c r="C352" s="24" t="s">
        <v>975</v>
      </c>
      <c r="D352" s="24" t="s">
        <v>976</v>
      </c>
      <c r="E352" s="24" t="s">
        <v>976</v>
      </c>
      <c r="F352" s="25">
        <v>2</v>
      </c>
      <c r="G352" s="24" t="s">
        <v>376</v>
      </c>
      <c r="H352" s="24" t="s">
        <v>46</v>
      </c>
      <c r="I352" s="24" t="s">
        <v>1046</v>
      </c>
      <c r="J352" s="24" t="s">
        <v>160</v>
      </c>
      <c r="K352" s="24" t="s">
        <v>1071</v>
      </c>
      <c r="L352" s="24" t="s">
        <v>1051</v>
      </c>
      <c r="M352" s="3" t="s">
        <v>984</v>
      </c>
      <c r="N352" s="24" t="s">
        <v>975</v>
      </c>
      <c r="O352" s="24" t="e">
        <f>VLOOKUP(C352,[3]MAESTRA!$E$5:$AO$395,36,0)</f>
        <v>#N/A</v>
      </c>
      <c r="P352" s="16" t="s">
        <v>43</v>
      </c>
    </row>
    <row r="353" spans="3:16" x14ac:dyDescent="0.25">
      <c r="C353" s="27" t="s">
        <v>766</v>
      </c>
      <c r="D353" s="24" t="s">
        <v>767</v>
      </c>
      <c r="E353" s="24" t="s">
        <v>768</v>
      </c>
      <c r="F353" s="25">
        <v>5</v>
      </c>
      <c r="G353" s="24" t="s">
        <v>376</v>
      </c>
      <c r="H353" s="24" t="s">
        <v>81</v>
      </c>
      <c r="I353" s="24" t="s">
        <v>1031</v>
      </c>
      <c r="J353" s="24" t="s">
        <v>1048</v>
      </c>
      <c r="K353" s="24" t="s">
        <v>1061</v>
      </c>
      <c r="L353" s="24" t="s">
        <v>1062</v>
      </c>
      <c r="M353" s="3" t="s">
        <v>378</v>
      </c>
      <c r="N353" s="27" t="s">
        <v>766</v>
      </c>
      <c r="O353" s="24" t="e">
        <f>VLOOKUP(C353,[3]MAESTRA!$E$5:$AO$395,36,0)</f>
        <v>#N/A</v>
      </c>
      <c r="P353" s="16" t="s">
        <v>43</v>
      </c>
    </row>
    <row r="354" spans="3:16" x14ac:dyDescent="0.25">
      <c r="C354" s="27" t="s">
        <v>368</v>
      </c>
      <c r="D354" s="24" t="s">
        <v>369</v>
      </c>
      <c r="E354" s="28" t="s">
        <v>370</v>
      </c>
      <c r="F354" s="25" t="s">
        <v>36</v>
      </c>
      <c r="G354" s="24" t="s">
        <v>37</v>
      </c>
      <c r="H354" s="24" t="s">
        <v>88</v>
      </c>
      <c r="I354" s="24" t="s">
        <v>1046</v>
      </c>
      <c r="J354" s="24" t="s">
        <v>160</v>
      </c>
      <c r="K354" s="24" t="s">
        <v>1073</v>
      </c>
      <c r="L354" s="24" t="s">
        <v>1051</v>
      </c>
      <c r="M354" s="3" t="s">
        <v>984</v>
      </c>
      <c r="N354" s="27" t="s">
        <v>368</v>
      </c>
      <c r="O354" s="24" t="e">
        <f>VLOOKUP(C354,[3]MAESTRA!$E$5:$AO$395,36,0)</f>
        <v>#N/A</v>
      </c>
      <c r="P354" s="16" t="s">
        <v>43</v>
      </c>
    </row>
    <row r="355" spans="3:16" x14ac:dyDescent="0.25">
      <c r="C355" s="29" t="s">
        <v>736</v>
      </c>
      <c r="D355" s="24" t="s">
        <v>737</v>
      </c>
      <c r="E355" s="24" t="s">
        <v>738</v>
      </c>
      <c r="F355" s="25">
        <v>6</v>
      </c>
      <c r="G355" s="24" t="s">
        <v>376</v>
      </c>
      <c r="H355" s="24" t="s">
        <v>81</v>
      </c>
      <c r="I355" s="24" t="s">
        <v>1031</v>
      </c>
      <c r="J355" s="24" t="s">
        <v>84</v>
      </c>
      <c r="K355" s="24" t="s">
        <v>1104</v>
      </c>
      <c r="L355" s="24" t="s">
        <v>1062</v>
      </c>
      <c r="M355" s="3" t="s">
        <v>378</v>
      </c>
      <c r="N355" s="29" t="s">
        <v>736</v>
      </c>
      <c r="O355" s="24" t="s">
        <v>1053</v>
      </c>
      <c r="P355" s="16" t="s">
        <v>43</v>
      </c>
    </row>
    <row r="356" spans="3:16" x14ac:dyDescent="0.25">
      <c r="C356" s="29" t="s">
        <v>612</v>
      </c>
      <c r="D356" s="24" t="s">
        <v>613</v>
      </c>
      <c r="E356" s="16" t="s">
        <v>613</v>
      </c>
      <c r="F356" s="25" t="s">
        <v>36</v>
      </c>
      <c r="G356" s="24" t="s">
        <v>1042</v>
      </c>
      <c r="H356" s="24" t="s">
        <v>81</v>
      </c>
      <c r="I356" s="16" t="s">
        <v>1053</v>
      </c>
      <c r="J356" s="16" t="s">
        <v>1053</v>
      </c>
      <c r="K356" s="24" t="s">
        <v>1085</v>
      </c>
      <c r="L356" s="24" t="s">
        <v>1051</v>
      </c>
      <c r="M356" s="24" t="s">
        <v>1053</v>
      </c>
      <c r="N356" s="29" t="s">
        <v>612</v>
      </c>
      <c r="O356" s="24" t="s">
        <v>1053</v>
      </c>
      <c r="P356" s="16" t="s">
        <v>43</v>
      </c>
    </row>
    <row r="357" spans="3:16" x14ac:dyDescent="0.25">
      <c r="C357" s="29" t="s">
        <v>614</v>
      </c>
      <c r="D357" s="24" t="s">
        <v>615</v>
      </c>
      <c r="E357" s="24" t="s">
        <v>615</v>
      </c>
      <c r="F357" s="25">
        <v>5</v>
      </c>
      <c r="G357" s="24" t="s">
        <v>376</v>
      </c>
      <c r="H357" s="24" t="s">
        <v>81</v>
      </c>
      <c r="I357" s="16" t="s">
        <v>1053</v>
      </c>
      <c r="J357" s="16" t="s">
        <v>1053</v>
      </c>
      <c r="K357" s="24" t="s">
        <v>1065</v>
      </c>
      <c r="L357" s="24" t="s">
        <v>1051</v>
      </c>
      <c r="M357" s="24" t="s">
        <v>1053</v>
      </c>
      <c r="N357" s="29" t="s">
        <v>614</v>
      </c>
      <c r="O357" s="24" t="s">
        <v>1053</v>
      </c>
      <c r="P357" s="16" t="s">
        <v>43</v>
      </c>
    </row>
    <row r="358" spans="3:16" x14ac:dyDescent="0.25">
      <c r="C358" s="16" t="s">
        <v>372</v>
      </c>
      <c r="D358" s="16" t="s">
        <v>372</v>
      </c>
      <c r="E358" s="16" t="s">
        <v>372</v>
      </c>
      <c r="F358" s="35"/>
      <c r="G358" s="16" t="s">
        <v>372</v>
      </c>
      <c r="H358" s="16" t="s">
        <v>372</v>
      </c>
      <c r="I358" s="16" t="s">
        <v>372</v>
      </c>
      <c r="J358" s="16" t="s">
        <v>372</v>
      </c>
      <c r="K358" s="16" t="s">
        <v>372</v>
      </c>
      <c r="L358" s="16" t="s">
        <v>372</v>
      </c>
      <c r="M358" s="16" t="s">
        <v>372</v>
      </c>
      <c r="N358" s="16" t="s">
        <v>372</v>
      </c>
      <c r="O358" s="16" t="s">
        <v>372</v>
      </c>
      <c r="P358" s="16" t="s">
        <v>372</v>
      </c>
    </row>
    <row r="359" spans="3:16" ht="18" x14ac:dyDescent="0.25">
      <c r="F359" s="30">
        <f>SUM(F4:F357)</f>
        <v>1313.3600000000004</v>
      </c>
    </row>
    <row r="360" spans="3:16" x14ac:dyDescent="0.25">
      <c r="D360" s="16" t="s">
        <v>1060</v>
      </c>
      <c r="F360" s="16">
        <v>331.77</v>
      </c>
    </row>
    <row r="361" spans="3:16" x14ac:dyDescent="0.25">
      <c r="D361" s="16" t="s">
        <v>1059</v>
      </c>
      <c r="F361" s="16">
        <v>233.74999999999997</v>
      </c>
    </row>
    <row r="362" spans="3:16" x14ac:dyDescent="0.25">
      <c r="D362" s="16" t="s">
        <v>1064</v>
      </c>
      <c r="F362" s="16">
        <v>125.6</v>
      </c>
    </row>
    <row r="363" spans="3:16" x14ac:dyDescent="0.25">
      <c r="D363" s="16" t="s">
        <v>1061</v>
      </c>
      <c r="F363" s="16">
        <v>118.35000000000004</v>
      </c>
    </row>
    <row r="364" spans="3:16" x14ac:dyDescent="0.25">
      <c r="D364" s="16" t="s">
        <v>1065</v>
      </c>
      <c r="F364" s="16">
        <v>104.80000000000001</v>
      </c>
    </row>
    <row r="365" spans="3:16" x14ac:dyDescent="0.25">
      <c r="D365" s="16" t="s">
        <v>1058</v>
      </c>
      <c r="F365" s="16">
        <v>49.129999999999995</v>
      </c>
    </row>
    <row r="366" spans="3:16" x14ac:dyDescent="0.25">
      <c r="D366" s="16" t="s">
        <v>1077</v>
      </c>
      <c r="F366" s="16">
        <v>38.9</v>
      </c>
    </row>
    <row r="367" spans="3:16" x14ac:dyDescent="0.25">
      <c r="D367" s="16" t="s">
        <v>1075</v>
      </c>
      <c r="F367" s="16">
        <v>36.450000000000003</v>
      </c>
    </row>
    <row r="368" spans="3:16" x14ac:dyDescent="0.25">
      <c r="D368" s="16" t="s">
        <v>1073</v>
      </c>
      <c r="F368" s="16">
        <v>27.349999999999998</v>
      </c>
    </row>
    <row r="369" spans="4:6" x14ac:dyDescent="0.25">
      <c r="D369" s="16" t="s">
        <v>1071</v>
      </c>
      <c r="F369" s="16">
        <v>23</v>
      </c>
    </row>
    <row r="370" spans="4:6" x14ac:dyDescent="0.25">
      <c r="D370" s="16" t="s">
        <v>1067</v>
      </c>
      <c r="F370" s="16">
        <v>22.45</v>
      </c>
    </row>
    <row r="371" spans="4:6" x14ac:dyDescent="0.25">
      <c r="D371" s="16" t="s">
        <v>1074</v>
      </c>
      <c r="F371" s="16">
        <v>20.8</v>
      </c>
    </row>
    <row r="372" spans="4:6" x14ac:dyDescent="0.25">
      <c r="D372" s="16" t="s">
        <v>1063</v>
      </c>
      <c r="F372" s="16">
        <v>19.45</v>
      </c>
    </row>
    <row r="373" spans="4:6" x14ac:dyDescent="0.25">
      <c r="D373" s="16" t="s">
        <v>1104</v>
      </c>
      <c r="F373" s="16">
        <v>18.700000000000003</v>
      </c>
    </row>
    <row r="374" spans="4:6" x14ac:dyDescent="0.25">
      <c r="D374" s="16" t="s">
        <v>1081</v>
      </c>
      <c r="F374" s="16">
        <v>15</v>
      </c>
    </row>
    <row r="375" spans="4:6" x14ac:dyDescent="0.25">
      <c r="D375" s="16" t="s">
        <v>1082</v>
      </c>
      <c r="F375" s="16">
        <v>15</v>
      </c>
    </row>
    <row r="376" spans="4:6" x14ac:dyDescent="0.25">
      <c r="D376" s="16" t="s">
        <v>1070</v>
      </c>
      <c r="F376" s="16">
        <v>13.8</v>
      </c>
    </row>
    <row r="377" spans="4:6" x14ac:dyDescent="0.25">
      <c r="D377" s="16" t="s">
        <v>1072</v>
      </c>
      <c r="F377" s="16">
        <v>10</v>
      </c>
    </row>
    <row r="378" spans="4:6" x14ac:dyDescent="0.25">
      <c r="D378" s="16" t="s">
        <v>1100</v>
      </c>
      <c r="F378" s="16">
        <v>10</v>
      </c>
    </row>
    <row r="379" spans="4:6" x14ac:dyDescent="0.25">
      <c r="D379" s="16" t="s">
        <v>1079</v>
      </c>
      <c r="F379" s="16">
        <v>9.9</v>
      </c>
    </row>
    <row r="380" spans="4:6" x14ac:dyDescent="0.25">
      <c r="D380" s="16" t="s">
        <v>1068</v>
      </c>
      <c r="F380" s="16">
        <v>8.68</v>
      </c>
    </row>
    <row r="381" spans="4:6" x14ac:dyDescent="0.25">
      <c r="D381" s="16" t="s">
        <v>1078</v>
      </c>
      <c r="F381" s="16">
        <v>6.45</v>
      </c>
    </row>
    <row r="382" spans="4:6" x14ac:dyDescent="0.25">
      <c r="D382" s="16" t="s">
        <v>1069</v>
      </c>
      <c r="F382" s="16">
        <v>6</v>
      </c>
    </row>
    <row r="383" spans="4:6" x14ac:dyDescent="0.25">
      <c r="D383" s="16" t="s">
        <v>1080</v>
      </c>
      <c r="F383" s="16">
        <v>6</v>
      </c>
    </row>
    <row r="384" spans="4:6" x14ac:dyDescent="0.25">
      <c r="D384" s="16" t="s">
        <v>1107</v>
      </c>
      <c r="F384" s="16">
        <v>5.68</v>
      </c>
    </row>
    <row r="385" spans="4:6" x14ac:dyDescent="0.25">
      <c r="D385" s="16" t="s">
        <v>1092</v>
      </c>
      <c r="F385" s="16">
        <v>5</v>
      </c>
    </row>
    <row r="386" spans="4:6" x14ac:dyDescent="0.25">
      <c r="D386" s="16" t="s">
        <v>1087</v>
      </c>
      <c r="F386" s="16">
        <v>5</v>
      </c>
    </row>
    <row r="387" spans="4:6" x14ac:dyDescent="0.25">
      <c r="D387" s="16" t="s">
        <v>1097</v>
      </c>
      <c r="F387" s="16">
        <v>5</v>
      </c>
    </row>
    <row r="388" spans="4:6" x14ac:dyDescent="0.25">
      <c r="D388" s="16" t="s">
        <v>1091</v>
      </c>
      <c r="F388" s="16">
        <v>5</v>
      </c>
    </row>
    <row r="389" spans="4:6" x14ac:dyDescent="0.25">
      <c r="D389" s="16" t="s">
        <v>1099</v>
      </c>
      <c r="F389" s="16">
        <v>5</v>
      </c>
    </row>
    <row r="390" spans="4:6" x14ac:dyDescent="0.25">
      <c r="D390" s="16" t="s">
        <v>1095</v>
      </c>
      <c r="F390" s="16">
        <v>5</v>
      </c>
    </row>
    <row r="391" spans="4:6" x14ac:dyDescent="0.25">
      <c r="D391" s="16" t="s">
        <v>1085</v>
      </c>
      <c r="F391" s="16">
        <v>5</v>
      </c>
    </row>
    <row r="392" spans="4:6" ht="18" x14ac:dyDescent="0.25">
      <c r="F392" s="30">
        <v>1312.0100000000002</v>
      </c>
    </row>
    <row r="393" spans="4:6" x14ac:dyDescent="0.25">
      <c r="D393" s="16" t="s">
        <v>1051</v>
      </c>
      <c r="F393" s="16">
        <v>1076.56</v>
      </c>
    </row>
    <row r="394" spans="4:6" x14ac:dyDescent="0.25">
      <c r="D394" s="16" t="s">
        <v>1062</v>
      </c>
      <c r="F394" s="16">
        <v>181.5500000000001</v>
      </c>
    </row>
    <row r="395" spans="4:6" x14ac:dyDescent="0.25">
      <c r="D395" s="16" t="s">
        <v>1076</v>
      </c>
      <c r="F395" s="16">
        <v>48.9</v>
      </c>
    </row>
    <row r="396" spans="4:6" x14ac:dyDescent="0.25">
      <c r="D396" s="16" t="s">
        <v>1088</v>
      </c>
      <c r="F396" s="16">
        <v>5</v>
      </c>
    </row>
    <row r="398" spans="4:6" ht="18" x14ac:dyDescent="0.25">
      <c r="F398" s="30">
        <f>SUBTOTAL(9,F3:F397)</f>
        <v>6562.7499999999991</v>
      </c>
    </row>
    <row r="399" spans="4:6" x14ac:dyDescent="0.25">
      <c r="D399" s="16" t="s">
        <v>63</v>
      </c>
      <c r="F399" s="16">
        <v>115.71000000000001</v>
      </c>
    </row>
    <row r="400" spans="4:6" x14ac:dyDescent="0.25">
      <c r="D400" s="16" t="s">
        <v>160</v>
      </c>
      <c r="F400" s="16">
        <v>109.93</v>
      </c>
    </row>
    <row r="401" spans="4:6" x14ac:dyDescent="0.25">
      <c r="D401" s="16" t="s">
        <v>248</v>
      </c>
      <c r="F401" s="16">
        <v>106.48</v>
      </c>
    </row>
    <row r="402" spans="4:6" x14ac:dyDescent="0.25">
      <c r="D402" s="16" t="s">
        <v>58</v>
      </c>
      <c r="F402" s="16">
        <v>97.92</v>
      </c>
    </row>
    <row r="403" spans="4:6" x14ac:dyDescent="0.25">
      <c r="D403" s="16" t="s">
        <v>73</v>
      </c>
      <c r="F403" s="16">
        <v>97.36</v>
      </c>
    </row>
    <row r="404" spans="4:6" x14ac:dyDescent="0.25">
      <c r="D404" s="16" t="s">
        <v>50</v>
      </c>
      <c r="F404" s="16">
        <v>96.48</v>
      </c>
    </row>
    <row r="405" spans="4:6" x14ac:dyDescent="0.25">
      <c r="D405" s="16" t="s">
        <v>146</v>
      </c>
      <c r="F405" s="16">
        <v>95.92</v>
      </c>
    </row>
    <row r="406" spans="4:6" x14ac:dyDescent="0.25">
      <c r="D406" s="16" t="s">
        <v>100</v>
      </c>
      <c r="F406" s="16">
        <v>95.600000000000009</v>
      </c>
    </row>
    <row r="407" spans="4:6" x14ac:dyDescent="0.25">
      <c r="D407" s="16" t="s">
        <v>84</v>
      </c>
      <c r="F407" s="16">
        <v>94.250000000000028</v>
      </c>
    </row>
    <row r="408" spans="4:6" x14ac:dyDescent="0.25">
      <c r="D408" s="16" t="s">
        <v>331</v>
      </c>
      <c r="F408" s="16">
        <v>90.9</v>
      </c>
    </row>
    <row r="409" spans="4:6" x14ac:dyDescent="0.25">
      <c r="D409" s="16" t="s">
        <v>1048</v>
      </c>
      <c r="F409" s="16">
        <v>87.300000000000011</v>
      </c>
    </row>
    <row r="410" spans="4:6" x14ac:dyDescent="0.25">
      <c r="D410" s="16" t="s">
        <v>94</v>
      </c>
      <c r="F410" s="16">
        <v>86</v>
      </c>
    </row>
    <row r="411" spans="4:6" x14ac:dyDescent="0.25">
      <c r="D411" s="16" t="s">
        <v>132</v>
      </c>
      <c r="F411" s="16">
        <v>84.259999999999991</v>
      </c>
    </row>
    <row r="412" spans="4:6" x14ac:dyDescent="0.25">
      <c r="D412" s="16" t="s">
        <v>89</v>
      </c>
      <c r="F412" s="16">
        <v>53.9</v>
      </c>
    </row>
    <row r="413" spans="4:6" ht="18" x14ac:dyDescent="0.25">
      <c r="F413" s="30">
        <v>1331.2700000000004</v>
      </c>
    </row>
  </sheetData>
  <autoFilter ref="C3:P396" xr:uid="{1CF15F99-94B9-40F0-BECF-4BF0BCEF02E5}"/>
  <conditionalFormatting sqref="C353">
    <cfRule type="duplicateValues" dxfId="24" priority="12"/>
  </conditionalFormatting>
  <conditionalFormatting sqref="C354">
    <cfRule type="duplicateValues" dxfId="23" priority="10"/>
  </conditionalFormatting>
  <conditionalFormatting sqref="C355:C357">
    <cfRule type="duplicateValues" dxfId="22" priority="8"/>
  </conditionalFormatting>
  <conditionalFormatting sqref="E354">
    <cfRule type="duplicateValues" dxfId="21" priority="9"/>
  </conditionalFormatting>
  <conditionalFormatting sqref="N353">
    <cfRule type="duplicateValues" dxfId="20" priority="5"/>
  </conditionalFormatting>
  <conditionalFormatting sqref="N354">
    <cfRule type="duplicateValues" dxfId="19" priority="4"/>
  </conditionalFormatting>
  <conditionalFormatting sqref="N355:N356">
    <cfRule type="duplicateValues" dxfId="18" priority="3"/>
  </conditionalFormatting>
  <conditionalFormatting sqref="N357">
    <cfRule type="duplicateValues" dxfId="17" priority="2"/>
  </conditionalFormatting>
  <pageMargins left="0.7" right="0.7" top="0.75" bottom="0.75" header="0.3" footer="0.3"/>
  <pageSetup paperSize="9" orientation="portrait" r:id="rId1"/>
  <headerFooter>
    <oddFooter>&amp;C_x000D_&amp;1#&amp;"Calibri"&amp;10&amp;K000000 OXXO | Uso Interno</oddFooter>
  </headerFooter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9C786-CA90-453D-B5DA-E8947920FECF}">
  <sheetPr codeName="Hoja9"/>
  <dimension ref="C1:P431"/>
  <sheetViews>
    <sheetView topLeftCell="E1" zoomScale="70" zoomScaleNormal="70" workbookViewId="0">
      <selection activeCell="G4" sqref="G4"/>
    </sheetView>
  </sheetViews>
  <sheetFormatPr baseColWidth="10" defaultColWidth="10.81640625" defaultRowHeight="12.5" x14ac:dyDescent="0.25"/>
  <cols>
    <col min="1" max="1" width="6.453125" style="16" customWidth="1"/>
    <col min="2" max="2" width="5.26953125" style="16" customWidth="1"/>
    <col min="3" max="3" width="7.453125" style="16" bestFit="1" customWidth="1"/>
    <col min="4" max="4" width="40.54296875" style="16" bestFit="1" customWidth="1"/>
    <col min="5" max="5" width="42.54296875" style="16" bestFit="1" customWidth="1"/>
    <col min="6" max="6" width="16.26953125" style="16" customWidth="1"/>
    <col min="7" max="7" width="39.81640625" style="16" bestFit="1" customWidth="1"/>
    <col min="8" max="8" width="16.7265625" style="16" bestFit="1" customWidth="1"/>
    <col min="9" max="9" width="30" style="16" customWidth="1"/>
    <col min="10" max="10" width="22.453125" style="16" bestFit="1" customWidth="1"/>
    <col min="11" max="11" width="20.54296875" style="16" bestFit="1" customWidth="1"/>
    <col min="12" max="12" width="16.81640625" style="16" customWidth="1"/>
    <col min="13" max="13" width="21.7265625" style="16" customWidth="1"/>
    <col min="14" max="14" width="40.1796875" style="16" customWidth="1"/>
    <col min="15" max="16" width="31.453125" style="16" customWidth="1"/>
    <col min="17" max="16384" width="10.81640625" style="16"/>
  </cols>
  <sheetData>
    <row r="1" spans="3:16" ht="15.5" x14ac:dyDescent="0.25">
      <c r="F1" s="22"/>
    </row>
    <row r="2" spans="3:16" x14ac:dyDescent="0.25">
      <c r="C2" s="16">
        <v>1</v>
      </c>
      <c r="D2" s="16">
        <v>2</v>
      </c>
      <c r="E2" s="16">
        <f t="shared" ref="E2:N2" si="0">D2+1</f>
        <v>3</v>
      </c>
      <c r="F2" s="16">
        <f t="shared" si="0"/>
        <v>4</v>
      </c>
      <c r="G2" s="16">
        <f t="shared" si="0"/>
        <v>5</v>
      </c>
      <c r="H2" s="16">
        <f t="shared" si="0"/>
        <v>6</v>
      </c>
      <c r="I2" s="16">
        <f t="shared" si="0"/>
        <v>7</v>
      </c>
      <c r="J2" s="16">
        <f t="shared" si="0"/>
        <v>8</v>
      </c>
      <c r="K2" s="16">
        <f t="shared" si="0"/>
        <v>9</v>
      </c>
      <c r="L2" s="16">
        <f t="shared" si="0"/>
        <v>10</v>
      </c>
      <c r="M2" s="16">
        <f t="shared" si="0"/>
        <v>11</v>
      </c>
      <c r="N2" s="16">
        <f t="shared" si="0"/>
        <v>12</v>
      </c>
    </row>
    <row r="3" spans="3:16" ht="13" x14ac:dyDescent="0.25">
      <c r="C3" s="23" t="s">
        <v>15</v>
      </c>
      <c r="D3" s="23" t="s">
        <v>16</v>
      </c>
      <c r="E3" s="23" t="s">
        <v>17</v>
      </c>
      <c r="F3" s="23" t="s">
        <v>18</v>
      </c>
      <c r="G3" s="23" t="s">
        <v>1040</v>
      </c>
      <c r="H3" s="23" t="s">
        <v>20</v>
      </c>
      <c r="I3" s="23" t="s">
        <v>1108</v>
      </c>
      <c r="J3" s="23" t="s">
        <v>21</v>
      </c>
      <c r="K3" s="23" t="s">
        <v>22</v>
      </c>
      <c r="L3" s="23" t="s">
        <v>24</v>
      </c>
      <c r="M3" s="23" t="s">
        <v>25</v>
      </c>
      <c r="N3" s="23" t="s">
        <v>1109</v>
      </c>
      <c r="O3" s="23" t="str">
        <f>C3</f>
        <v>CECO</v>
      </c>
      <c r="P3" s="23" t="s">
        <v>28</v>
      </c>
    </row>
    <row r="4" spans="3:16" x14ac:dyDescent="0.25">
      <c r="C4" s="24" t="s">
        <v>929</v>
      </c>
      <c r="D4" s="24" t="s">
        <v>930</v>
      </c>
      <c r="E4" s="24" t="s">
        <v>930</v>
      </c>
      <c r="F4" s="25">
        <v>11.68</v>
      </c>
      <c r="G4" s="24" t="s">
        <v>376</v>
      </c>
      <c r="H4" s="24" t="s">
        <v>46</v>
      </c>
      <c r="I4" s="24" t="s">
        <v>1110</v>
      </c>
      <c r="J4" s="24" t="s">
        <v>1046</v>
      </c>
      <c r="K4" s="24" t="s">
        <v>160</v>
      </c>
      <c r="L4" s="24" t="s">
        <v>1058</v>
      </c>
      <c r="M4" s="24" t="s">
        <v>1051</v>
      </c>
      <c r="N4" s="3" t="s">
        <v>984</v>
      </c>
      <c r="O4" s="24" t="str">
        <f t="shared" ref="O4:O67" si="1">C4</f>
        <v>50GBU</v>
      </c>
      <c r="P4" s="24" t="s">
        <v>43</v>
      </c>
    </row>
    <row r="5" spans="3:16" x14ac:dyDescent="0.25">
      <c r="C5" s="24" t="s">
        <v>651</v>
      </c>
      <c r="D5" s="24" t="s">
        <v>652</v>
      </c>
      <c r="E5" s="24" t="s">
        <v>652</v>
      </c>
      <c r="F5" s="25">
        <v>11.68</v>
      </c>
      <c r="G5" s="24" t="s">
        <v>376</v>
      </c>
      <c r="H5" s="24" t="s">
        <v>46</v>
      </c>
      <c r="I5" s="24" t="s">
        <v>1111</v>
      </c>
      <c r="J5" s="24" t="s">
        <v>1046</v>
      </c>
      <c r="K5" s="24" t="s">
        <v>248</v>
      </c>
      <c r="L5" s="24" t="s">
        <v>1059</v>
      </c>
      <c r="M5" s="24" t="s">
        <v>1051</v>
      </c>
      <c r="N5" s="24" t="s">
        <v>1112</v>
      </c>
      <c r="O5" s="24" t="str">
        <f t="shared" si="1"/>
        <v>50JMU</v>
      </c>
      <c r="P5" s="24" t="s">
        <v>43</v>
      </c>
    </row>
    <row r="6" spans="3:16" x14ac:dyDescent="0.25">
      <c r="C6" s="24" t="s">
        <v>373</v>
      </c>
      <c r="D6" s="24" t="s">
        <v>374</v>
      </c>
      <c r="E6" s="24" t="s">
        <v>375</v>
      </c>
      <c r="F6" s="25">
        <v>11.68</v>
      </c>
      <c r="G6" s="24" t="s">
        <v>376</v>
      </c>
      <c r="H6" s="24" t="s">
        <v>38</v>
      </c>
      <c r="I6" s="24" t="s">
        <v>1111</v>
      </c>
      <c r="J6" s="24" t="s">
        <v>1031</v>
      </c>
      <c r="K6" s="24" t="s">
        <v>63</v>
      </c>
      <c r="L6" s="24" t="s">
        <v>1060</v>
      </c>
      <c r="M6" s="24" t="s">
        <v>1051</v>
      </c>
      <c r="N6" s="24" t="s">
        <v>1112</v>
      </c>
      <c r="O6" s="24" t="str">
        <f t="shared" si="1"/>
        <v>50OSP</v>
      </c>
      <c r="P6" s="24" t="s">
        <v>43</v>
      </c>
    </row>
    <row r="7" spans="3:16" x14ac:dyDescent="0.25">
      <c r="C7" s="24" t="s">
        <v>699</v>
      </c>
      <c r="D7" s="24" t="s">
        <v>985</v>
      </c>
      <c r="E7" s="24" t="s">
        <v>1113</v>
      </c>
      <c r="F7" s="25">
        <v>10</v>
      </c>
      <c r="G7" s="24" t="s">
        <v>376</v>
      </c>
      <c r="H7" s="24" t="s">
        <v>38</v>
      </c>
      <c r="I7" s="24" t="s">
        <v>1110</v>
      </c>
      <c r="J7" s="24" t="s">
        <v>1031</v>
      </c>
      <c r="K7" s="24" t="s">
        <v>84</v>
      </c>
      <c r="L7" s="24" t="s">
        <v>1061</v>
      </c>
      <c r="M7" s="24" t="s">
        <v>1074</v>
      </c>
      <c r="N7" s="3" t="s">
        <v>378</v>
      </c>
      <c r="O7" s="24" t="str">
        <f t="shared" si="1"/>
        <v>50OLI</v>
      </c>
      <c r="P7" s="24" t="s">
        <v>43</v>
      </c>
    </row>
    <row r="8" spans="3:16" x14ac:dyDescent="0.25">
      <c r="C8" s="24" t="s">
        <v>739</v>
      </c>
      <c r="D8" s="24" t="s">
        <v>740</v>
      </c>
      <c r="E8" s="24" t="s">
        <v>740</v>
      </c>
      <c r="F8" s="25">
        <v>10</v>
      </c>
      <c r="G8" s="24" t="s">
        <v>376</v>
      </c>
      <c r="H8" s="24" t="s">
        <v>46</v>
      </c>
      <c r="I8" s="24" t="s">
        <v>1110</v>
      </c>
      <c r="J8" s="24" t="s">
        <v>1031</v>
      </c>
      <c r="K8" s="24" t="s">
        <v>1048</v>
      </c>
      <c r="L8" s="24" t="s">
        <v>1061</v>
      </c>
      <c r="M8" s="24" t="s">
        <v>1074</v>
      </c>
      <c r="N8" s="3" t="s">
        <v>378</v>
      </c>
      <c r="O8" s="24" t="str">
        <f t="shared" si="1"/>
        <v>50RBP</v>
      </c>
      <c r="P8" s="24" t="s">
        <v>43</v>
      </c>
    </row>
    <row r="9" spans="3:16" x14ac:dyDescent="0.25">
      <c r="C9" s="24" t="s">
        <v>381</v>
      </c>
      <c r="D9" s="24" t="s">
        <v>382</v>
      </c>
      <c r="E9" s="24" t="s">
        <v>382</v>
      </c>
      <c r="F9" s="25">
        <v>9.1300000000000008</v>
      </c>
      <c r="G9" s="24" t="s">
        <v>376</v>
      </c>
      <c r="H9" s="24" t="s">
        <v>46</v>
      </c>
      <c r="I9" s="24" t="s">
        <v>1114</v>
      </c>
      <c r="J9" s="24" t="s">
        <v>1031</v>
      </c>
      <c r="K9" s="24" t="s">
        <v>63</v>
      </c>
      <c r="L9" s="24" t="s">
        <v>1060</v>
      </c>
      <c r="M9" s="24" t="s">
        <v>1051</v>
      </c>
      <c r="N9" s="24" t="s">
        <v>1112</v>
      </c>
      <c r="O9" s="24" t="str">
        <f t="shared" si="1"/>
        <v>50JIO</v>
      </c>
      <c r="P9" s="24" t="s">
        <v>43</v>
      </c>
    </row>
    <row r="10" spans="3:16" x14ac:dyDescent="0.25">
      <c r="C10" s="24" t="s">
        <v>511</v>
      </c>
      <c r="D10" s="24" t="s">
        <v>512</v>
      </c>
      <c r="E10" s="24" t="s">
        <v>513</v>
      </c>
      <c r="F10" s="25">
        <v>8.9</v>
      </c>
      <c r="G10" s="24" t="s">
        <v>376</v>
      </c>
      <c r="H10" s="24" t="s">
        <v>38</v>
      </c>
      <c r="I10" s="24" t="s">
        <v>1111</v>
      </c>
      <c r="J10" s="24" t="s">
        <v>1046</v>
      </c>
      <c r="K10" s="24" t="s">
        <v>100</v>
      </c>
      <c r="L10" s="24" t="s">
        <v>1060</v>
      </c>
      <c r="M10" s="24" t="s">
        <v>1051</v>
      </c>
      <c r="N10" s="24" t="s">
        <v>1035</v>
      </c>
      <c r="O10" s="24" t="str">
        <f t="shared" si="1"/>
        <v>50OMQ</v>
      </c>
      <c r="P10" s="24" t="s">
        <v>43</v>
      </c>
    </row>
    <row r="11" spans="3:16" x14ac:dyDescent="0.25">
      <c r="C11" s="24" t="s">
        <v>516</v>
      </c>
      <c r="D11" s="24" t="s">
        <v>517</v>
      </c>
      <c r="E11" s="24" t="s">
        <v>1115</v>
      </c>
      <c r="F11" s="25">
        <v>9.4499999999999993</v>
      </c>
      <c r="G11" s="24" t="s">
        <v>376</v>
      </c>
      <c r="H11" s="24" t="s">
        <v>38</v>
      </c>
      <c r="I11" s="24" t="s">
        <v>1111</v>
      </c>
      <c r="J11" s="24" t="s">
        <v>1046</v>
      </c>
      <c r="K11" s="24" t="s">
        <v>100</v>
      </c>
      <c r="L11" s="24" t="s">
        <v>1063</v>
      </c>
      <c r="M11" s="24" t="s">
        <v>1051</v>
      </c>
      <c r="N11" s="24" t="s">
        <v>1035</v>
      </c>
      <c r="O11" s="24" t="str">
        <f t="shared" si="1"/>
        <v>50OMS</v>
      </c>
      <c r="P11" s="24" t="s">
        <v>43</v>
      </c>
    </row>
    <row r="12" spans="3:16" x14ac:dyDescent="0.25">
      <c r="C12" s="24" t="s">
        <v>796</v>
      </c>
      <c r="D12" s="24" t="s">
        <v>797</v>
      </c>
      <c r="E12" s="24" t="s">
        <v>797</v>
      </c>
      <c r="F12" s="25">
        <v>8</v>
      </c>
      <c r="G12" s="24" t="s">
        <v>376</v>
      </c>
      <c r="H12" s="24" t="s">
        <v>88</v>
      </c>
      <c r="I12" s="24" t="s">
        <v>1114</v>
      </c>
      <c r="J12" s="24" t="s">
        <v>1046</v>
      </c>
      <c r="K12" s="24" t="s">
        <v>146</v>
      </c>
      <c r="L12" s="24" t="s">
        <v>1064</v>
      </c>
      <c r="M12" s="24" t="s">
        <v>1051</v>
      </c>
      <c r="N12" s="24" t="s">
        <v>1035</v>
      </c>
      <c r="O12" s="24" t="str">
        <f t="shared" si="1"/>
        <v>506J4</v>
      </c>
      <c r="P12" s="24" t="s">
        <v>43</v>
      </c>
    </row>
    <row r="13" spans="3:16" x14ac:dyDescent="0.25">
      <c r="C13" s="24" t="s">
        <v>463</v>
      </c>
      <c r="D13" s="24" t="s">
        <v>464</v>
      </c>
      <c r="E13" s="24" t="s">
        <v>465</v>
      </c>
      <c r="F13" s="25">
        <v>8.9</v>
      </c>
      <c r="G13" s="24" t="s">
        <v>376</v>
      </c>
      <c r="H13" s="24" t="s">
        <v>38</v>
      </c>
      <c r="I13" s="24" t="s">
        <v>1110</v>
      </c>
      <c r="J13" s="24" t="s">
        <v>1046</v>
      </c>
      <c r="K13" s="24" t="s">
        <v>58</v>
      </c>
      <c r="L13" s="24" t="s">
        <v>1059</v>
      </c>
      <c r="M13" s="24" t="s">
        <v>1051</v>
      </c>
      <c r="N13" s="24" t="s">
        <v>1112</v>
      </c>
      <c r="O13" s="24" t="str">
        <f t="shared" si="1"/>
        <v>50OEY</v>
      </c>
      <c r="P13" s="24" t="s">
        <v>43</v>
      </c>
    </row>
    <row r="14" spans="3:16" x14ac:dyDescent="0.25">
      <c r="C14" s="24" t="s">
        <v>383</v>
      </c>
      <c r="D14" s="24" t="s">
        <v>384</v>
      </c>
      <c r="E14" s="24" t="s">
        <v>384</v>
      </c>
      <c r="F14" s="25">
        <v>8</v>
      </c>
      <c r="G14" s="24" t="s">
        <v>376</v>
      </c>
      <c r="H14" s="24" t="s">
        <v>46</v>
      </c>
      <c r="I14" s="24" t="s">
        <v>1114</v>
      </c>
      <c r="J14" s="24" t="s">
        <v>1031</v>
      </c>
      <c r="K14" s="24" t="s">
        <v>63</v>
      </c>
      <c r="L14" s="24" t="s">
        <v>1060</v>
      </c>
      <c r="M14" s="24" t="s">
        <v>1051</v>
      </c>
      <c r="N14" s="24" t="s">
        <v>1112</v>
      </c>
      <c r="O14" s="24" t="str">
        <f t="shared" si="1"/>
        <v>50RNT</v>
      </c>
      <c r="P14" s="24" t="s">
        <v>43</v>
      </c>
    </row>
    <row r="15" spans="3:16" x14ac:dyDescent="0.25">
      <c r="C15" s="24" t="s">
        <v>646</v>
      </c>
      <c r="D15" s="24" t="s">
        <v>647</v>
      </c>
      <c r="E15" s="24" t="s">
        <v>647</v>
      </c>
      <c r="F15" s="25">
        <v>7.45</v>
      </c>
      <c r="G15" s="24" t="s">
        <v>376</v>
      </c>
      <c r="H15" s="24" t="s">
        <v>46</v>
      </c>
      <c r="I15" s="24" t="s">
        <v>1114</v>
      </c>
      <c r="J15" s="24" t="s">
        <v>1046</v>
      </c>
      <c r="K15" s="24" t="s">
        <v>50</v>
      </c>
      <c r="L15" s="24" t="s">
        <v>1064</v>
      </c>
      <c r="M15" s="24" t="s">
        <v>1051</v>
      </c>
      <c r="N15" s="3" t="s">
        <v>984</v>
      </c>
      <c r="O15" s="24" t="str">
        <f t="shared" si="1"/>
        <v>50DKO</v>
      </c>
      <c r="P15" s="24" t="s">
        <v>43</v>
      </c>
    </row>
    <row r="16" spans="3:16" x14ac:dyDescent="0.25">
      <c r="C16" s="24" t="s">
        <v>648</v>
      </c>
      <c r="D16" s="24" t="s">
        <v>649</v>
      </c>
      <c r="E16" s="24" t="s">
        <v>650</v>
      </c>
      <c r="F16" s="25">
        <v>7.45</v>
      </c>
      <c r="G16" s="24" t="s">
        <v>376</v>
      </c>
      <c r="H16" s="24" t="s">
        <v>46</v>
      </c>
      <c r="I16" s="24" t="s">
        <v>1114</v>
      </c>
      <c r="J16" s="24" t="s">
        <v>1046</v>
      </c>
      <c r="K16" s="24" t="s">
        <v>50</v>
      </c>
      <c r="L16" s="24" t="s">
        <v>1065</v>
      </c>
      <c r="M16" s="24" t="s">
        <v>1051</v>
      </c>
      <c r="N16" s="3" t="s">
        <v>984</v>
      </c>
      <c r="O16" s="24" t="str">
        <f t="shared" si="1"/>
        <v>50DSH</v>
      </c>
      <c r="P16" s="24" t="s">
        <v>43</v>
      </c>
    </row>
    <row r="17" spans="3:16" x14ac:dyDescent="0.25">
      <c r="C17" s="24" t="s">
        <v>642</v>
      </c>
      <c r="D17" s="24" t="s">
        <v>643</v>
      </c>
      <c r="E17" s="24" t="s">
        <v>643</v>
      </c>
      <c r="F17" s="25">
        <v>7.45</v>
      </c>
      <c r="G17" s="24" t="s">
        <v>376</v>
      </c>
      <c r="H17" s="24" t="s">
        <v>46</v>
      </c>
      <c r="I17" s="24" t="s">
        <v>1114</v>
      </c>
      <c r="J17" s="24" t="s">
        <v>1046</v>
      </c>
      <c r="K17" s="24" t="s">
        <v>50</v>
      </c>
      <c r="L17" s="24" t="s">
        <v>1059</v>
      </c>
      <c r="M17" s="24" t="s">
        <v>1051</v>
      </c>
      <c r="N17" s="3" t="s">
        <v>984</v>
      </c>
      <c r="O17" s="24" t="str">
        <f t="shared" si="1"/>
        <v>50GJS</v>
      </c>
      <c r="P17" s="24" t="s">
        <v>43</v>
      </c>
    </row>
    <row r="18" spans="3:16" x14ac:dyDescent="0.25">
      <c r="C18" s="24" t="s">
        <v>468</v>
      </c>
      <c r="D18" s="24" t="s">
        <v>470</v>
      </c>
      <c r="E18" s="24" t="s">
        <v>1066</v>
      </c>
      <c r="F18" s="25">
        <v>9</v>
      </c>
      <c r="G18" s="24" t="s">
        <v>376</v>
      </c>
      <c r="H18" s="24" t="s">
        <v>38</v>
      </c>
      <c r="I18" s="24" t="s">
        <v>1114</v>
      </c>
      <c r="J18" s="24" t="s">
        <v>1046</v>
      </c>
      <c r="K18" s="24" t="s">
        <v>58</v>
      </c>
      <c r="L18" s="24" t="s">
        <v>1059</v>
      </c>
      <c r="M18" s="24" t="s">
        <v>1051</v>
      </c>
      <c r="N18" s="24" t="s">
        <v>1112</v>
      </c>
      <c r="O18" s="24" t="str">
        <f t="shared" si="1"/>
        <v>50OPI</v>
      </c>
      <c r="P18" s="24" t="s">
        <v>43</v>
      </c>
    </row>
    <row r="19" spans="3:16" x14ac:dyDescent="0.25">
      <c r="C19" s="24" t="s">
        <v>932</v>
      </c>
      <c r="D19" s="24" t="s">
        <v>933</v>
      </c>
      <c r="E19" s="24" t="s">
        <v>933</v>
      </c>
      <c r="F19" s="25">
        <v>7</v>
      </c>
      <c r="G19" s="24" t="s">
        <v>376</v>
      </c>
      <c r="H19" s="24" t="s">
        <v>46</v>
      </c>
      <c r="I19" s="24" t="s">
        <v>1110</v>
      </c>
      <c r="J19" s="24" t="s">
        <v>1046</v>
      </c>
      <c r="K19" s="24" t="s">
        <v>160</v>
      </c>
      <c r="L19" s="24" t="s">
        <v>1058</v>
      </c>
      <c r="M19" s="24" t="s">
        <v>1051</v>
      </c>
      <c r="N19" s="3" t="s">
        <v>984</v>
      </c>
      <c r="O19" s="24" t="str">
        <f t="shared" si="1"/>
        <v>50KOA</v>
      </c>
      <c r="P19" s="24" t="s">
        <v>43</v>
      </c>
    </row>
    <row r="20" spans="3:16" x14ac:dyDescent="0.25">
      <c r="C20" s="24" t="s">
        <v>390</v>
      </c>
      <c r="D20" s="24" t="s">
        <v>391</v>
      </c>
      <c r="E20" s="24" t="s">
        <v>391</v>
      </c>
      <c r="F20" s="25">
        <v>7</v>
      </c>
      <c r="G20" s="24" t="s">
        <v>376</v>
      </c>
      <c r="H20" s="24" t="s">
        <v>46</v>
      </c>
      <c r="I20" s="24" t="s">
        <v>1110</v>
      </c>
      <c r="J20" s="24" t="s">
        <v>1031</v>
      </c>
      <c r="K20" s="24" t="s">
        <v>63</v>
      </c>
      <c r="L20" s="24" t="s">
        <v>1060</v>
      </c>
      <c r="M20" s="24" t="s">
        <v>1051</v>
      </c>
      <c r="N20" s="24" t="s">
        <v>1112</v>
      </c>
      <c r="O20" s="24" t="str">
        <f t="shared" si="1"/>
        <v>50NRA</v>
      </c>
      <c r="P20" s="24" t="s">
        <v>43</v>
      </c>
    </row>
    <row r="21" spans="3:16" x14ac:dyDescent="0.25">
      <c r="C21" s="24" t="s">
        <v>883</v>
      </c>
      <c r="D21" s="24" t="s">
        <v>884</v>
      </c>
      <c r="E21" s="24" t="s">
        <v>986</v>
      </c>
      <c r="F21" s="25">
        <v>7</v>
      </c>
      <c r="G21" s="24" t="s">
        <v>376</v>
      </c>
      <c r="H21" s="24" t="s">
        <v>38</v>
      </c>
      <c r="I21" s="24" t="s">
        <v>1114</v>
      </c>
      <c r="J21" s="24" t="s">
        <v>1046</v>
      </c>
      <c r="K21" s="24" t="s">
        <v>73</v>
      </c>
      <c r="L21" s="24" t="s">
        <v>1067</v>
      </c>
      <c r="M21" s="24" t="s">
        <v>1051</v>
      </c>
      <c r="N21" s="3" t="s">
        <v>378</v>
      </c>
      <c r="O21" s="24" t="str">
        <f t="shared" si="1"/>
        <v>50OAM</v>
      </c>
      <c r="P21" s="24" t="s">
        <v>440</v>
      </c>
    </row>
    <row r="22" spans="3:16" x14ac:dyDescent="0.25">
      <c r="C22" s="24" t="s">
        <v>387</v>
      </c>
      <c r="D22" s="24" t="s">
        <v>388</v>
      </c>
      <c r="E22" s="24" t="s">
        <v>389</v>
      </c>
      <c r="F22" s="25">
        <v>7</v>
      </c>
      <c r="G22" s="24" t="s">
        <v>376</v>
      </c>
      <c r="H22" s="24" t="s">
        <v>81</v>
      </c>
      <c r="I22" s="24" t="s">
        <v>1114</v>
      </c>
      <c r="J22" s="24" t="s">
        <v>1031</v>
      </c>
      <c r="K22" s="24" t="s">
        <v>63</v>
      </c>
      <c r="L22" s="24" t="s">
        <v>1060</v>
      </c>
      <c r="M22" s="24" t="s">
        <v>1051</v>
      </c>
      <c r="N22" s="24" t="s">
        <v>1112</v>
      </c>
      <c r="O22" s="24" t="str">
        <f t="shared" si="1"/>
        <v>50OJJ</v>
      </c>
      <c r="P22" s="24" t="s">
        <v>43</v>
      </c>
    </row>
    <row r="23" spans="3:16" x14ac:dyDescent="0.25">
      <c r="C23" s="24" t="s">
        <v>519</v>
      </c>
      <c r="D23" s="24" t="s">
        <v>520</v>
      </c>
      <c r="E23" s="24" t="s">
        <v>520</v>
      </c>
      <c r="F23" s="25">
        <v>7</v>
      </c>
      <c r="G23" s="24" t="s">
        <v>376</v>
      </c>
      <c r="H23" s="24" t="s">
        <v>46</v>
      </c>
      <c r="I23" s="24" t="s">
        <v>1110</v>
      </c>
      <c r="J23" s="24" t="s">
        <v>1046</v>
      </c>
      <c r="K23" s="24" t="s">
        <v>100</v>
      </c>
      <c r="L23" s="24" t="s">
        <v>1060</v>
      </c>
      <c r="M23" s="24" t="s">
        <v>1051</v>
      </c>
      <c r="N23" s="24" t="s">
        <v>1035</v>
      </c>
      <c r="O23" s="24" t="str">
        <f t="shared" si="1"/>
        <v>50VKK</v>
      </c>
      <c r="P23" s="24" t="s">
        <v>43</v>
      </c>
    </row>
    <row r="24" spans="3:16" x14ac:dyDescent="0.25">
      <c r="C24" s="24" t="s">
        <v>887</v>
      </c>
      <c r="D24" s="24" t="s">
        <v>275</v>
      </c>
      <c r="E24" s="24" t="s">
        <v>888</v>
      </c>
      <c r="F24" s="25">
        <v>8.68</v>
      </c>
      <c r="G24" s="24" t="s">
        <v>376</v>
      </c>
      <c r="H24" s="24" t="s">
        <v>38</v>
      </c>
      <c r="I24" s="24" t="s">
        <v>1110</v>
      </c>
      <c r="J24" s="24" t="s">
        <v>1046</v>
      </c>
      <c r="K24" s="24" t="s">
        <v>73</v>
      </c>
      <c r="L24" s="24" t="s">
        <v>1068</v>
      </c>
      <c r="M24" s="24" t="s">
        <v>1051</v>
      </c>
      <c r="N24" s="3" t="s">
        <v>378</v>
      </c>
      <c r="O24" s="24" t="str">
        <f t="shared" si="1"/>
        <v>50OMC</v>
      </c>
      <c r="P24" s="24" t="s">
        <v>43</v>
      </c>
    </row>
    <row r="25" spans="3:16" x14ac:dyDescent="0.25">
      <c r="C25" s="24" t="s">
        <v>654</v>
      </c>
      <c r="D25" s="24" t="s">
        <v>655</v>
      </c>
      <c r="E25" s="24" t="s">
        <v>655</v>
      </c>
      <c r="F25" s="25">
        <v>7</v>
      </c>
      <c r="G25" s="24" t="s">
        <v>376</v>
      </c>
      <c r="H25" s="24" t="s">
        <v>46</v>
      </c>
      <c r="I25" s="24" t="s">
        <v>1110</v>
      </c>
      <c r="J25" s="24" t="s">
        <v>1046</v>
      </c>
      <c r="K25" s="24" t="s">
        <v>248</v>
      </c>
      <c r="L25" s="24" t="s">
        <v>1059</v>
      </c>
      <c r="M25" s="24" t="s">
        <v>1051</v>
      </c>
      <c r="N25" s="24" t="s">
        <v>1112</v>
      </c>
      <c r="O25" s="24" t="str">
        <f t="shared" si="1"/>
        <v>50UMT</v>
      </c>
      <c r="P25" s="24" t="s">
        <v>43</v>
      </c>
    </row>
    <row r="26" spans="3:16" x14ac:dyDescent="0.25">
      <c r="C26" s="24" t="s">
        <v>800</v>
      </c>
      <c r="D26" s="24" t="s">
        <v>801</v>
      </c>
      <c r="E26" s="24" t="s">
        <v>801</v>
      </c>
      <c r="F26" s="25">
        <v>7</v>
      </c>
      <c r="G26" s="24" t="s">
        <v>376</v>
      </c>
      <c r="H26" s="24" t="s">
        <v>46</v>
      </c>
      <c r="I26" s="24" t="s">
        <v>1114</v>
      </c>
      <c r="J26" s="24" t="s">
        <v>1046</v>
      </c>
      <c r="K26" s="24" t="s">
        <v>146</v>
      </c>
      <c r="L26" s="24" t="s">
        <v>1064</v>
      </c>
      <c r="M26" s="24" t="s">
        <v>1051</v>
      </c>
      <c r="N26" s="24" t="s">
        <v>1035</v>
      </c>
      <c r="O26" s="24" t="str">
        <f t="shared" si="1"/>
        <v>50EDF</v>
      </c>
      <c r="P26" s="24" t="s">
        <v>43</v>
      </c>
    </row>
    <row r="27" spans="3:16" x14ac:dyDescent="0.25">
      <c r="C27" s="24" t="s">
        <v>385</v>
      </c>
      <c r="D27" s="24" t="s">
        <v>386</v>
      </c>
      <c r="E27" s="24" t="s">
        <v>386</v>
      </c>
      <c r="F27" s="25">
        <v>7</v>
      </c>
      <c r="G27" s="24" t="s">
        <v>376</v>
      </c>
      <c r="H27" s="24" t="s">
        <v>46</v>
      </c>
      <c r="I27" s="24" t="s">
        <v>1114</v>
      </c>
      <c r="J27" s="24" t="s">
        <v>1031</v>
      </c>
      <c r="K27" s="24" t="s">
        <v>63</v>
      </c>
      <c r="L27" s="24" t="s">
        <v>1060</v>
      </c>
      <c r="M27" s="24" t="s">
        <v>1051</v>
      </c>
      <c r="N27" s="24" t="s">
        <v>1112</v>
      </c>
      <c r="O27" s="24" t="str">
        <f t="shared" si="1"/>
        <v>50HCL</v>
      </c>
      <c r="P27" s="24" t="s">
        <v>43</v>
      </c>
    </row>
    <row r="28" spans="3:16" x14ac:dyDescent="0.25">
      <c r="C28" s="24" t="s">
        <v>934</v>
      </c>
      <c r="D28" s="24" t="s">
        <v>935</v>
      </c>
      <c r="E28" s="24" t="s">
        <v>935</v>
      </c>
      <c r="F28" s="25">
        <v>7</v>
      </c>
      <c r="G28" s="24" t="s">
        <v>376</v>
      </c>
      <c r="H28" s="24" t="s">
        <v>38</v>
      </c>
      <c r="I28" s="24" t="s">
        <v>1110</v>
      </c>
      <c r="J28" s="24" t="s">
        <v>1046</v>
      </c>
      <c r="K28" s="24" t="s">
        <v>160</v>
      </c>
      <c r="L28" s="24" t="s">
        <v>1058</v>
      </c>
      <c r="M28" s="24" t="s">
        <v>1051</v>
      </c>
      <c r="N28" s="3" t="s">
        <v>984</v>
      </c>
      <c r="O28" s="24" t="str">
        <f t="shared" si="1"/>
        <v>50OLS</v>
      </c>
      <c r="P28" s="24" t="s">
        <v>43</v>
      </c>
    </row>
    <row r="29" spans="3:16" x14ac:dyDescent="0.25">
      <c r="C29" s="24" t="s">
        <v>573</v>
      </c>
      <c r="D29" s="24" t="s">
        <v>574</v>
      </c>
      <c r="E29" s="24" t="s">
        <v>575</v>
      </c>
      <c r="F29" s="25">
        <v>7</v>
      </c>
      <c r="G29" s="24" t="s">
        <v>376</v>
      </c>
      <c r="H29" s="24" t="s">
        <v>38</v>
      </c>
      <c r="I29" s="24" t="s">
        <v>1114</v>
      </c>
      <c r="J29" s="24" t="s">
        <v>1046</v>
      </c>
      <c r="K29" s="24" t="s">
        <v>331</v>
      </c>
      <c r="L29" s="24" t="s">
        <v>1060</v>
      </c>
      <c r="M29" s="24" t="s">
        <v>1051</v>
      </c>
      <c r="N29" s="3" t="s">
        <v>984</v>
      </c>
      <c r="O29" s="24" t="str">
        <f t="shared" si="1"/>
        <v>50OTP</v>
      </c>
      <c r="P29" s="24" t="s">
        <v>440</v>
      </c>
    </row>
    <row r="30" spans="3:16" x14ac:dyDescent="0.25">
      <c r="C30" s="24" t="s">
        <v>804</v>
      </c>
      <c r="D30" s="24" t="s">
        <v>805</v>
      </c>
      <c r="E30" s="24" t="s">
        <v>806</v>
      </c>
      <c r="F30" s="25">
        <v>6.68</v>
      </c>
      <c r="G30" s="24" t="s">
        <v>376</v>
      </c>
      <c r="H30" s="24" t="s">
        <v>38</v>
      </c>
      <c r="I30" s="24" t="s">
        <v>1114</v>
      </c>
      <c r="J30" s="24" t="s">
        <v>1046</v>
      </c>
      <c r="K30" s="24" t="s">
        <v>146</v>
      </c>
      <c r="L30" s="24" t="s">
        <v>1064</v>
      </c>
      <c r="M30" s="24" t="s">
        <v>1051</v>
      </c>
      <c r="N30" s="24" t="s">
        <v>1035</v>
      </c>
      <c r="O30" s="24" t="str">
        <f t="shared" si="1"/>
        <v>50OAL</v>
      </c>
      <c r="P30" s="24" t="s">
        <v>43</v>
      </c>
    </row>
    <row r="31" spans="3:16" x14ac:dyDescent="0.25">
      <c r="C31" s="24" t="s">
        <v>618</v>
      </c>
      <c r="D31" s="24" t="s">
        <v>619</v>
      </c>
      <c r="E31" s="24" t="s">
        <v>619</v>
      </c>
      <c r="F31" s="25">
        <v>6.68</v>
      </c>
      <c r="G31" s="24" t="s">
        <v>376</v>
      </c>
      <c r="H31" s="24" t="s">
        <v>46</v>
      </c>
      <c r="I31" s="24" t="s">
        <v>1114</v>
      </c>
      <c r="J31" s="24" t="s">
        <v>1046</v>
      </c>
      <c r="K31" s="24" t="s">
        <v>50</v>
      </c>
      <c r="L31" s="24" t="s">
        <v>1064</v>
      </c>
      <c r="M31" s="24" t="s">
        <v>1051</v>
      </c>
      <c r="N31" s="3" t="s">
        <v>984</v>
      </c>
      <c r="O31" s="24" t="str">
        <f t="shared" si="1"/>
        <v>50UCH</v>
      </c>
      <c r="P31" s="24" t="s">
        <v>43</v>
      </c>
    </row>
    <row r="32" spans="3:16" x14ac:dyDescent="0.25">
      <c r="C32" s="24" t="s">
        <v>419</v>
      </c>
      <c r="D32" s="24" t="s">
        <v>420</v>
      </c>
      <c r="E32" s="24" t="s">
        <v>64</v>
      </c>
      <c r="F32" s="25">
        <v>6</v>
      </c>
      <c r="G32" s="24" t="s">
        <v>376</v>
      </c>
      <c r="H32" s="24" t="s">
        <v>46</v>
      </c>
      <c r="I32" s="24" t="s">
        <v>1114</v>
      </c>
      <c r="J32" s="24" t="s">
        <v>1046</v>
      </c>
      <c r="K32" s="24" t="s">
        <v>94</v>
      </c>
      <c r="L32" s="24" t="s">
        <v>1065</v>
      </c>
      <c r="M32" s="24" t="s">
        <v>1051</v>
      </c>
      <c r="N32" s="24" t="s">
        <v>1035</v>
      </c>
      <c r="O32" s="24" t="str">
        <f t="shared" si="1"/>
        <v>50ARD</v>
      </c>
      <c r="P32" s="24" t="s">
        <v>43</v>
      </c>
    </row>
    <row r="33" spans="3:16" x14ac:dyDescent="0.25">
      <c r="C33" s="24" t="s">
        <v>521</v>
      </c>
      <c r="D33" s="24" t="s">
        <v>522</v>
      </c>
      <c r="E33" s="24" t="s">
        <v>522</v>
      </c>
      <c r="F33" s="25">
        <v>6</v>
      </c>
      <c r="G33" s="24" t="s">
        <v>376</v>
      </c>
      <c r="H33" s="24" t="s">
        <v>46</v>
      </c>
      <c r="I33" s="24" t="s">
        <v>1111</v>
      </c>
      <c r="J33" s="24" t="s">
        <v>1046</v>
      </c>
      <c r="K33" s="24" t="s">
        <v>100</v>
      </c>
      <c r="L33" s="24" t="s">
        <v>1060</v>
      </c>
      <c r="M33" s="24" t="s">
        <v>1051</v>
      </c>
      <c r="N33" s="24" t="s">
        <v>1035</v>
      </c>
      <c r="O33" s="24" t="str">
        <f t="shared" si="1"/>
        <v>50ARE</v>
      </c>
      <c r="P33" s="24" t="s">
        <v>43</v>
      </c>
    </row>
    <row r="34" spans="3:16" x14ac:dyDescent="0.25">
      <c r="C34" s="24" t="s">
        <v>844</v>
      </c>
      <c r="D34" s="24" t="s">
        <v>845</v>
      </c>
      <c r="E34" s="24" t="s">
        <v>846</v>
      </c>
      <c r="F34" s="25">
        <v>6</v>
      </c>
      <c r="G34" s="24" t="s">
        <v>376</v>
      </c>
      <c r="H34" s="24" t="s">
        <v>46</v>
      </c>
      <c r="I34" s="24" t="s">
        <v>1110</v>
      </c>
      <c r="J34" s="24" t="s">
        <v>1046</v>
      </c>
      <c r="K34" s="24" t="s">
        <v>132</v>
      </c>
      <c r="L34" s="24" t="s">
        <v>1060</v>
      </c>
      <c r="M34" s="24" t="s">
        <v>1051</v>
      </c>
      <c r="N34" s="24" t="s">
        <v>1035</v>
      </c>
      <c r="O34" s="24" t="str">
        <f t="shared" si="1"/>
        <v>50CPN</v>
      </c>
      <c r="P34" s="24" t="s">
        <v>43</v>
      </c>
    </row>
    <row r="35" spans="3:16" x14ac:dyDescent="0.25">
      <c r="C35" s="24" t="s">
        <v>889</v>
      </c>
      <c r="D35" s="24" t="s">
        <v>890</v>
      </c>
      <c r="E35" s="24" t="s">
        <v>890</v>
      </c>
      <c r="F35" s="25">
        <v>6</v>
      </c>
      <c r="G35" s="24" t="s">
        <v>376</v>
      </c>
      <c r="H35" s="24" t="s">
        <v>46</v>
      </c>
      <c r="I35" s="24" t="s">
        <v>1114</v>
      </c>
      <c r="J35" s="24" t="s">
        <v>1046</v>
      </c>
      <c r="K35" s="24" t="s">
        <v>73</v>
      </c>
      <c r="L35" s="24" t="s">
        <v>1069</v>
      </c>
      <c r="M35" s="24" t="s">
        <v>1051</v>
      </c>
      <c r="N35" s="3" t="s">
        <v>378</v>
      </c>
      <c r="O35" s="24" t="str">
        <f t="shared" si="1"/>
        <v>50HSP</v>
      </c>
      <c r="P35" s="24" t="s">
        <v>43</v>
      </c>
    </row>
    <row r="36" spans="3:16" x14ac:dyDescent="0.25">
      <c r="C36" s="24" t="s">
        <v>392</v>
      </c>
      <c r="D36" s="24" t="s">
        <v>393</v>
      </c>
      <c r="E36" s="24" t="s">
        <v>393</v>
      </c>
      <c r="F36" s="25">
        <v>6</v>
      </c>
      <c r="G36" s="24" t="s">
        <v>376</v>
      </c>
      <c r="H36" s="24" t="s">
        <v>46</v>
      </c>
      <c r="I36" s="24" t="s">
        <v>1110</v>
      </c>
      <c r="J36" s="24" t="s">
        <v>1031</v>
      </c>
      <c r="K36" s="24" t="s">
        <v>63</v>
      </c>
      <c r="L36" s="24" t="s">
        <v>1060</v>
      </c>
      <c r="M36" s="24" t="s">
        <v>1051</v>
      </c>
      <c r="N36" s="24" t="s">
        <v>1112</v>
      </c>
      <c r="O36" s="24" t="str">
        <f t="shared" si="1"/>
        <v>50NMT</v>
      </c>
      <c r="P36" s="24" t="s">
        <v>43</v>
      </c>
    </row>
    <row r="37" spans="3:16" x14ac:dyDescent="0.25">
      <c r="C37" s="24" t="s">
        <v>703</v>
      </c>
      <c r="D37" s="24" t="s">
        <v>704</v>
      </c>
      <c r="E37" s="24" t="s">
        <v>1116</v>
      </c>
      <c r="F37" s="25">
        <v>8</v>
      </c>
      <c r="G37" s="24" t="s">
        <v>376</v>
      </c>
      <c r="H37" s="24" t="s">
        <v>38</v>
      </c>
      <c r="I37" s="24" t="s">
        <v>1111</v>
      </c>
      <c r="J37" s="24" t="s">
        <v>1031</v>
      </c>
      <c r="K37" s="24" t="s">
        <v>84</v>
      </c>
      <c r="L37" s="24" t="s">
        <v>1117</v>
      </c>
      <c r="M37" s="24" t="s">
        <v>1074</v>
      </c>
      <c r="N37" s="3" t="s">
        <v>378</v>
      </c>
      <c r="O37" s="24" t="str">
        <f t="shared" si="1"/>
        <v>50OCH</v>
      </c>
      <c r="P37" s="24" t="s">
        <v>43</v>
      </c>
    </row>
    <row r="38" spans="3:16" x14ac:dyDescent="0.25">
      <c r="C38" s="24" t="s">
        <v>34</v>
      </c>
      <c r="D38" s="24" t="s">
        <v>35</v>
      </c>
      <c r="E38" s="24" t="s">
        <v>35</v>
      </c>
      <c r="F38" s="25">
        <v>6</v>
      </c>
      <c r="G38" s="24" t="s">
        <v>37</v>
      </c>
      <c r="H38" s="24" t="s">
        <v>38</v>
      </c>
      <c r="I38" s="24" t="s">
        <v>1114</v>
      </c>
      <c r="J38" s="24" t="s">
        <v>1046</v>
      </c>
      <c r="K38" s="24">
        <v>0</v>
      </c>
      <c r="L38" s="24" t="s">
        <v>1118</v>
      </c>
      <c r="M38" s="24" t="s">
        <v>1051</v>
      </c>
      <c r="N38" s="24" t="s">
        <v>1053</v>
      </c>
      <c r="O38" s="24" t="str">
        <f t="shared" si="1"/>
        <v>50OEM</v>
      </c>
      <c r="P38" s="24" t="s">
        <v>43</v>
      </c>
    </row>
    <row r="39" spans="3:16" x14ac:dyDescent="0.25">
      <c r="C39" s="24" t="s">
        <v>424</v>
      </c>
      <c r="D39" s="24" t="s">
        <v>425</v>
      </c>
      <c r="E39" s="24" t="s">
        <v>988</v>
      </c>
      <c r="F39" s="25">
        <v>8</v>
      </c>
      <c r="G39" s="24" t="s">
        <v>376</v>
      </c>
      <c r="H39" s="24" t="s">
        <v>38</v>
      </c>
      <c r="I39" s="24" t="s">
        <v>1110</v>
      </c>
      <c r="J39" s="24" t="s">
        <v>1046</v>
      </c>
      <c r="K39" s="24" t="s">
        <v>94</v>
      </c>
      <c r="L39" s="24" t="s">
        <v>1065</v>
      </c>
      <c r="M39" s="24" t="s">
        <v>1051</v>
      </c>
      <c r="N39" s="24" t="s">
        <v>1035</v>
      </c>
      <c r="O39" s="24" t="str">
        <f t="shared" si="1"/>
        <v>50OIR</v>
      </c>
      <c r="P39" s="24" t="s">
        <v>43</v>
      </c>
    </row>
    <row r="40" spans="3:16" x14ac:dyDescent="0.25">
      <c r="C40" s="24" t="s">
        <v>471</v>
      </c>
      <c r="D40" s="24" t="s">
        <v>472</v>
      </c>
      <c r="E40" s="24" t="s">
        <v>473</v>
      </c>
      <c r="F40" s="25">
        <v>6</v>
      </c>
      <c r="G40" s="24" t="s">
        <v>376</v>
      </c>
      <c r="H40" s="24" t="s">
        <v>38</v>
      </c>
      <c r="I40" s="24" t="s">
        <v>1110</v>
      </c>
      <c r="J40" s="24" t="s">
        <v>1046</v>
      </c>
      <c r="K40" s="24" t="s">
        <v>58</v>
      </c>
      <c r="L40" s="24" t="s">
        <v>1059</v>
      </c>
      <c r="M40" s="24" t="s">
        <v>1051</v>
      </c>
      <c r="N40" s="24" t="s">
        <v>1053</v>
      </c>
      <c r="O40" s="24" t="str">
        <f t="shared" si="1"/>
        <v>50OPD</v>
      </c>
      <c r="P40" s="24" t="s">
        <v>43</v>
      </c>
    </row>
    <row r="41" spans="3:16" x14ac:dyDescent="0.25">
      <c r="C41" s="24" t="s">
        <v>742</v>
      </c>
      <c r="D41" s="24" t="s">
        <v>744</v>
      </c>
      <c r="E41" s="26" t="s">
        <v>989</v>
      </c>
      <c r="F41" s="25">
        <v>7</v>
      </c>
      <c r="G41" s="24" t="s">
        <v>376</v>
      </c>
      <c r="H41" s="24" t="s">
        <v>38</v>
      </c>
      <c r="I41" s="24" t="s">
        <v>1114</v>
      </c>
      <c r="J41" s="24" t="s">
        <v>1031</v>
      </c>
      <c r="K41" s="24" t="s">
        <v>1048</v>
      </c>
      <c r="L41" s="24" t="s">
        <v>1061</v>
      </c>
      <c r="M41" s="24" t="s">
        <v>1074</v>
      </c>
      <c r="N41" s="3" t="s">
        <v>378</v>
      </c>
      <c r="O41" s="24" t="str">
        <f t="shared" si="1"/>
        <v>50OQU</v>
      </c>
      <c r="P41" s="24" t="s">
        <v>440</v>
      </c>
    </row>
    <row r="42" spans="3:16" x14ac:dyDescent="0.25">
      <c r="C42" s="24" t="s">
        <v>707</v>
      </c>
      <c r="D42" s="24" t="s">
        <v>706</v>
      </c>
      <c r="E42" s="24" t="s">
        <v>1119</v>
      </c>
      <c r="F42" s="25">
        <v>7</v>
      </c>
      <c r="G42" s="24" t="s">
        <v>376</v>
      </c>
      <c r="H42" s="24" t="s">
        <v>38</v>
      </c>
      <c r="I42" s="24" t="s">
        <v>1111</v>
      </c>
      <c r="J42" s="24" t="s">
        <v>1031</v>
      </c>
      <c r="K42" s="24" t="s">
        <v>84</v>
      </c>
      <c r="L42" s="24" t="s">
        <v>1117</v>
      </c>
      <c r="M42" s="24" t="s">
        <v>1074</v>
      </c>
      <c r="N42" s="3" t="s">
        <v>378</v>
      </c>
      <c r="O42" s="24" t="str">
        <f t="shared" si="1"/>
        <v>50OZA</v>
      </c>
      <c r="P42" s="24" t="s">
        <v>440</v>
      </c>
    </row>
    <row r="43" spans="3:16" x14ac:dyDescent="0.25">
      <c r="C43" s="24" t="s">
        <v>394</v>
      </c>
      <c r="D43" s="24" t="s">
        <v>395</v>
      </c>
      <c r="E43" s="24" t="s">
        <v>395</v>
      </c>
      <c r="F43" s="25">
        <v>6</v>
      </c>
      <c r="G43" s="24" t="s">
        <v>376</v>
      </c>
      <c r="H43" s="24" t="s">
        <v>46</v>
      </c>
      <c r="I43" s="24" t="s">
        <v>1110</v>
      </c>
      <c r="J43" s="24" t="s">
        <v>1031</v>
      </c>
      <c r="K43" s="24" t="s">
        <v>63</v>
      </c>
      <c r="L43" s="24" t="s">
        <v>1060</v>
      </c>
      <c r="M43" s="24" t="s">
        <v>1051</v>
      </c>
      <c r="N43" s="24" t="s">
        <v>1112</v>
      </c>
      <c r="O43" s="24" t="str">
        <f t="shared" si="1"/>
        <v>50SLM</v>
      </c>
      <c r="P43" s="24" t="s">
        <v>43</v>
      </c>
    </row>
    <row r="44" spans="3:16" x14ac:dyDescent="0.25">
      <c r="C44" s="24" t="s">
        <v>396</v>
      </c>
      <c r="D44" s="24" t="s">
        <v>397</v>
      </c>
      <c r="E44" s="24" t="s">
        <v>397</v>
      </c>
      <c r="F44" s="25">
        <v>6</v>
      </c>
      <c r="G44" s="24" t="s">
        <v>376</v>
      </c>
      <c r="H44" s="24" t="s">
        <v>46</v>
      </c>
      <c r="I44" s="24" t="s">
        <v>1110</v>
      </c>
      <c r="J44" s="24" t="s">
        <v>1031</v>
      </c>
      <c r="K44" s="24" t="s">
        <v>63</v>
      </c>
      <c r="L44" s="24" t="s">
        <v>1060</v>
      </c>
      <c r="M44" s="24" t="s">
        <v>1051</v>
      </c>
      <c r="N44" s="24" t="s">
        <v>1112</v>
      </c>
      <c r="O44" s="24" t="str">
        <f t="shared" si="1"/>
        <v>50VLX</v>
      </c>
      <c r="P44" s="24" t="s">
        <v>43</v>
      </c>
    </row>
    <row r="45" spans="3:16" x14ac:dyDescent="0.25">
      <c r="C45" s="24" t="s">
        <v>848</v>
      </c>
      <c r="D45" s="24" t="s">
        <v>849</v>
      </c>
      <c r="E45" s="24" t="s">
        <v>849</v>
      </c>
      <c r="F45" s="25">
        <v>6.68</v>
      </c>
      <c r="G45" s="24" t="s">
        <v>376</v>
      </c>
      <c r="H45" s="24" t="s">
        <v>46</v>
      </c>
      <c r="I45" s="24" t="s">
        <v>1110</v>
      </c>
      <c r="J45" s="24" t="s">
        <v>1046</v>
      </c>
      <c r="K45" s="24" t="s">
        <v>132</v>
      </c>
      <c r="L45" s="24" t="s">
        <v>1060</v>
      </c>
      <c r="M45" s="24" t="s">
        <v>1051</v>
      </c>
      <c r="N45" s="24" t="s">
        <v>1035</v>
      </c>
      <c r="O45" s="24" t="str">
        <f t="shared" si="1"/>
        <v>50VOP</v>
      </c>
      <c r="P45" s="24" t="s">
        <v>43</v>
      </c>
    </row>
    <row r="46" spans="3:16" x14ac:dyDescent="0.25">
      <c r="C46" s="24" t="s">
        <v>936</v>
      </c>
      <c r="D46" s="24" t="s">
        <v>937</v>
      </c>
      <c r="E46" s="24" t="s">
        <v>938</v>
      </c>
      <c r="F46" s="25">
        <v>6</v>
      </c>
      <c r="G46" s="24" t="s">
        <v>376</v>
      </c>
      <c r="H46" s="24" t="s">
        <v>81</v>
      </c>
      <c r="I46" s="24" t="s">
        <v>1110</v>
      </c>
      <c r="J46" s="24" t="s">
        <v>1046</v>
      </c>
      <c r="K46" s="24" t="s">
        <v>160</v>
      </c>
      <c r="L46" s="24" t="s">
        <v>1060</v>
      </c>
      <c r="M46" s="24" t="s">
        <v>1051</v>
      </c>
      <c r="N46" s="3" t="s">
        <v>984</v>
      </c>
      <c r="O46" s="24" t="str">
        <f t="shared" si="1"/>
        <v>5033F</v>
      </c>
      <c r="P46" s="24" t="s">
        <v>43</v>
      </c>
    </row>
    <row r="47" spans="3:16" x14ac:dyDescent="0.25">
      <c r="C47" s="24" t="s">
        <v>939</v>
      </c>
      <c r="D47" s="24" t="s">
        <v>39</v>
      </c>
      <c r="E47" s="24" t="s">
        <v>39</v>
      </c>
      <c r="F47" s="25">
        <v>6.68</v>
      </c>
      <c r="G47" s="24" t="s">
        <v>376</v>
      </c>
      <c r="H47" s="24" t="s">
        <v>46</v>
      </c>
      <c r="I47" s="24" t="s">
        <v>1111</v>
      </c>
      <c r="J47" s="24" t="s">
        <v>1046</v>
      </c>
      <c r="K47" s="24" t="s">
        <v>160</v>
      </c>
      <c r="L47" s="24" t="s">
        <v>1118</v>
      </c>
      <c r="M47" s="24" t="s">
        <v>1051</v>
      </c>
      <c r="N47" s="3" t="s">
        <v>984</v>
      </c>
      <c r="O47" s="24" t="str">
        <f t="shared" si="1"/>
        <v>50BJT</v>
      </c>
      <c r="P47" s="24" t="s">
        <v>43</v>
      </c>
    </row>
    <row r="48" spans="3:16" x14ac:dyDescent="0.25">
      <c r="C48" s="24" t="s">
        <v>44</v>
      </c>
      <c r="D48" s="24" t="s">
        <v>45</v>
      </c>
      <c r="E48" s="24" t="s">
        <v>45</v>
      </c>
      <c r="F48" s="25">
        <v>5</v>
      </c>
      <c r="G48" s="24" t="s">
        <v>37</v>
      </c>
      <c r="H48" s="24" t="s">
        <v>46</v>
      </c>
      <c r="I48" s="24" t="s">
        <v>1120</v>
      </c>
      <c r="J48" s="24" t="s">
        <v>1046</v>
      </c>
      <c r="K48" s="24">
        <v>0</v>
      </c>
      <c r="L48" s="24" t="s">
        <v>1072</v>
      </c>
      <c r="M48" s="24" t="s">
        <v>1051</v>
      </c>
      <c r="N48" s="24" t="s">
        <v>1053</v>
      </c>
      <c r="O48" s="24" t="str">
        <f t="shared" si="1"/>
        <v>50BPT</v>
      </c>
      <c r="P48" s="24" t="s">
        <v>43</v>
      </c>
    </row>
    <row r="49" spans="3:16" x14ac:dyDescent="0.25">
      <c r="C49" s="24" t="s">
        <v>940</v>
      </c>
      <c r="D49" s="24" t="s">
        <v>941</v>
      </c>
      <c r="E49" s="24" t="s">
        <v>941</v>
      </c>
      <c r="F49" s="25">
        <v>6</v>
      </c>
      <c r="G49" s="24" t="s">
        <v>376</v>
      </c>
      <c r="H49" s="24" t="s">
        <v>81</v>
      </c>
      <c r="I49" s="24" t="s">
        <v>1111</v>
      </c>
      <c r="J49" s="24" t="s">
        <v>1046</v>
      </c>
      <c r="K49" s="24" t="s">
        <v>160</v>
      </c>
      <c r="L49" s="24" t="s">
        <v>1073</v>
      </c>
      <c r="M49" s="24" t="s">
        <v>1051</v>
      </c>
      <c r="N49" s="3" t="s">
        <v>984</v>
      </c>
      <c r="O49" s="24" t="str">
        <f t="shared" si="1"/>
        <v>50BRI</v>
      </c>
      <c r="P49" s="24" t="s">
        <v>43</v>
      </c>
    </row>
    <row r="50" spans="3:16" x14ac:dyDescent="0.25">
      <c r="C50" s="24" t="s">
        <v>850</v>
      </c>
      <c r="D50" s="24" t="s">
        <v>851</v>
      </c>
      <c r="E50" s="24" t="s">
        <v>851</v>
      </c>
      <c r="F50" s="25">
        <v>6</v>
      </c>
      <c r="G50" s="24" t="s">
        <v>376</v>
      </c>
      <c r="H50" s="24" t="s">
        <v>46</v>
      </c>
      <c r="I50" s="24" t="s">
        <v>1114</v>
      </c>
      <c r="J50" s="24" t="s">
        <v>1046</v>
      </c>
      <c r="K50" s="24" t="s">
        <v>132</v>
      </c>
      <c r="L50" s="24" t="s">
        <v>1060</v>
      </c>
      <c r="M50" s="24" t="s">
        <v>1051</v>
      </c>
      <c r="N50" s="24" t="s">
        <v>1035</v>
      </c>
      <c r="O50" s="24" t="str">
        <f t="shared" si="1"/>
        <v>50CLC</v>
      </c>
      <c r="P50" s="24" t="s">
        <v>43</v>
      </c>
    </row>
    <row r="51" spans="3:16" x14ac:dyDescent="0.25">
      <c r="C51" s="24" t="s">
        <v>474</v>
      </c>
      <c r="D51" s="24" t="s">
        <v>475</v>
      </c>
      <c r="E51" s="24" t="s">
        <v>475</v>
      </c>
      <c r="F51" s="25">
        <v>6</v>
      </c>
      <c r="G51" s="24" t="s">
        <v>376</v>
      </c>
      <c r="H51" s="24" t="s">
        <v>46</v>
      </c>
      <c r="I51" s="24" t="s">
        <v>1114</v>
      </c>
      <c r="J51" s="24" t="s">
        <v>1046</v>
      </c>
      <c r="K51" s="24" t="s">
        <v>58</v>
      </c>
      <c r="L51" s="24" t="s">
        <v>1059</v>
      </c>
      <c r="M51" s="24" t="s">
        <v>1051</v>
      </c>
      <c r="N51" s="24" t="s">
        <v>1112</v>
      </c>
      <c r="O51" s="24" t="str">
        <f t="shared" si="1"/>
        <v>50CQD</v>
      </c>
      <c r="P51" s="24" t="s">
        <v>43</v>
      </c>
    </row>
    <row r="52" spans="3:16" x14ac:dyDescent="0.25">
      <c r="C52" s="24" t="s">
        <v>555</v>
      </c>
      <c r="D52" s="24" t="s">
        <v>556</v>
      </c>
      <c r="E52" s="24" t="s">
        <v>556</v>
      </c>
      <c r="F52" s="25">
        <v>6</v>
      </c>
      <c r="G52" s="24" t="s">
        <v>376</v>
      </c>
      <c r="H52" s="24" t="s">
        <v>46</v>
      </c>
      <c r="I52" s="24" t="s">
        <v>1110</v>
      </c>
      <c r="J52" s="24" t="s">
        <v>1046</v>
      </c>
      <c r="K52" s="24" t="s">
        <v>331</v>
      </c>
      <c r="L52" s="24" t="s">
        <v>1060</v>
      </c>
      <c r="M52" s="24" t="s">
        <v>1051</v>
      </c>
      <c r="N52" s="3" t="s">
        <v>984</v>
      </c>
      <c r="O52" s="24" t="str">
        <f t="shared" si="1"/>
        <v>50HEN</v>
      </c>
      <c r="P52" s="24" t="s">
        <v>43</v>
      </c>
    </row>
    <row r="53" spans="3:16" x14ac:dyDescent="0.25">
      <c r="C53" s="24" t="s">
        <v>745</v>
      </c>
      <c r="D53" s="24" t="s">
        <v>746</v>
      </c>
      <c r="E53" s="24" t="s">
        <v>746</v>
      </c>
      <c r="F53" s="25">
        <v>10</v>
      </c>
      <c r="G53" s="24" t="s">
        <v>376</v>
      </c>
      <c r="H53" s="24" t="s">
        <v>46</v>
      </c>
      <c r="I53" s="24" t="s">
        <v>1114</v>
      </c>
      <c r="J53" s="24" t="s">
        <v>1031</v>
      </c>
      <c r="K53" s="24" t="s">
        <v>1048</v>
      </c>
      <c r="L53" s="24" t="s">
        <v>1074</v>
      </c>
      <c r="M53" s="24" t="s">
        <v>1074</v>
      </c>
      <c r="N53" s="3" t="s">
        <v>378</v>
      </c>
      <c r="O53" s="24" t="str">
        <f t="shared" si="1"/>
        <v>50HIS</v>
      </c>
      <c r="P53" s="24" t="s">
        <v>43</v>
      </c>
    </row>
    <row r="54" spans="3:16" x14ac:dyDescent="0.25">
      <c r="C54" s="24" t="s">
        <v>656</v>
      </c>
      <c r="D54" s="24" t="s">
        <v>657</v>
      </c>
      <c r="E54" s="24" t="s">
        <v>657</v>
      </c>
      <c r="F54" s="25">
        <v>6</v>
      </c>
      <c r="G54" s="24" t="s">
        <v>376</v>
      </c>
      <c r="H54" s="24" t="s">
        <v>46</v>
      </c>
      <c r="I54" s="24" t="s">
        <v>1110</v>
      </c>
      <c r="J54" s="24" t="s">
        <v>1046</v>
      </c>
      <c r="K54" s="24" t="s">
        <v>248</v>
      </c>
      <c r="L54" s="24" t="s">
        <v>1059</v>
      </c>
      <c r="M54" s="24" t="s">
        <v>1051</v>
      </c>
      <c r="N54" s="24" t="s">
        <v>1112</v>
      </c>
      <c r="O54" s="24" t="str">
        <f t="shared" si="1"/>
        <v>50NBN</v>
      </c>
      <c r="P54" s="24" t="s">
        <v>43</v>
      </c>
    </row>
    <row r="55" spans="3:16" x14ac:dyDescent="0.25">
      <c r="C55" s="24" t="s">
        <v>523</v>
      </c>
      <c r="D55" s="24" t="s">
        <v>524</v>
      </c>
      <c r="E55" s="24" t="s">
        <v>524</v>
      </c>
      <c r="F55" s="25">
        <v>6</v>
      </c>
      <c r="G55" s="24" t="s">
        <v>376</v>
      </c>
      <c r="H55" s="24" t="s">
        <v>46</v>
      </c>
      <c r="I55" s="24" t="s">
        <v>1111</v>
      </c>
      <c r="J55" s="24" t="s">
        <v>1046</v>
      </c>
      <c r="K55" s="24" t="s">
        <v>100</v>
      </c>
      <c r="L55" s="24" t="s">
        <v>1060</v>
      </c>
      <c r="M55" s="24" t="s">
        <v>1051</v>
      </c>
      <c r="N55" s="3" t="s">
        <v>984</v>
      </c>
      <c r="O55" s="24" t="str">
        <f t="shared" si="1"/>
        <v>50OCT</v>
      </c>
      <c r="P55" s="24" t="s">
        <v>43</v>
      </c>
    </row>
    <row r="56" spans="3:16" x14ac:dyDescent="0.25">
      <c r="C56" s="24" t="s">
        <v>476</v>
      </c>
      <c r="D56" s="24" t="s">
        <v>477</v>
      </c>
      <c r="E56" s="24" t="s">
        <v>477</v>
      </c>
      <c r="F56" s="25">
        <v>6</v>
      </c>
      <c r="G56" s="24" t="s">
        <v>376</v>
      </c>
      <c r="H56" s="24" t="s">
        <v>46</v>
      </c>
      <c r="I56" s="24" t="s">
        <v>1110</v>
      </c>
      <c r="J56" s="24" t="s">
        <v>1046</v>
      </c>
      <c r="K56" s="24" t="s">
        <v>58</v>
      </c>
      <c r="L56" s="24" t="s">
        <v>1059</v>
      </c>
      <c r="M56" s="24" t="s">
        <v>1051</v>
      </c>
      <c r="N56" s="24" t="s">
        <v>1112</v>
      </c>
      <c r="O56" s="24" t="str">
        <f t="shared" si="1"/>
        <v>50OPH</v>
      </c>
      <c r="P56" s="24" t="s">
        <v>43</v>
      </c>
    </row>
    <row r="57" spans="3:16" x14ac:dyDescent="0.25">
      <c r="C57" s="24" t="s">
        <v>659</v>
      </c>
      <c r="D57" s="24" t="s">
        <v>660</v>
      </c>
      <c r="E57" s="24" t="s">
        <v>661</v>
      </c>
      <c r="F57" s="25">
        <v>6</v>
      </c>
      <c r="G57" s="24" t="s">
        <v>376</v>
      </c>
      <c r="H57" s="24" t="s">
        <v>81</v>
      </c>
      <c r="I57" s="24" t="s">
        <v>1110</v>
      </c>
      <c r="J57" s="24" t="s">
        <v>1046</v>
      </c>
      <c r="K57" s="24" t="s">
        <v>248</v>
      </c>
      <c r="L57" s="24" t="s">
        <v>1059</v>
      </c>
      <c r="M57" s="24" t="s">
        <v>1051</v>
      </c>
      <c r="N57" s="24" t="s">
        <v>1112</v>
      </c>
      <c r="O57" s="24" t="str">
        <f t="shared" si="1"/>
        <v>50XUH</v>
      </c>
      <c r="P57" s="24" t="s">
        <v>43</v>
      </c>
    </row>
    <row r="58" spans="3:16" x14ac:dyDescent="0.25">
      <c r="C58" s="24" t="s">
        <v>644</v>
      </c>
      <c r="D58" s="24" t="s">
        <v>645</v>
      </c>
      <c r="E58" s="24" t="s">
        <v>645</v>
      </c>
      <c r="F58" s="25">
        <v>6</v>
      </c>
      <c r="G58" s="24" t="s">
        <v>376</v>
      </c>
      <c r="H58" s="24" t="s">
        <v>81</v>
      </c>
      <c r="I58" s="24" t="s">
        <v>1114</v>
      </c>
      <c r="J58" s="24" t="s">
        <v>1046</v>
      </c>
      <c r="K58" s="24" t="s">
        <v>50</v>
      </c>
      <c r="L58" s="24" t="s">
        <v>1059</v>
      </c>
      <c r="M58" s="24" t="s">
        <v>1051</v>
      </c>
      <c r="N58" s="3" t="s">
        <v>984</v>
      </c>
      <c r="O58" s="24" t="str">
        <f t="shared" si="1"/>
        <v>508R8</v>
      </c>
      <c r="P58" s="24" t="s">
        <v>43</v>
      </c>
    </row>
    <row r="59" spans="3:16" x14ac:dyDescent="0.25">
      <c r="C59" s="24" t="s">
        <v>398</v>
      </c>
      <c r="D59" s="24" t="s">
        <v>399</v>
      </c>
      <c r="E59" s="24" t="s">
        <v>399</v>
      </c>
      <c r="F59" s="25">
        <v>6</v>
      </c>
      <c r="G59" s="24" t="s">
        <v>376</v>
      </c>
      <c r="H59" s="24" t="s">
        <v>46</v>
      </c>
      <c r="I59" s="24" t="s">
        <v>1110</v>
      </c>
      <c r="J59" s="24" t="s">
        <v>1031</v>
      </c>
      <c r="K59" s="24" t="s">
        <v>63</v>
      </c>
      <c r="L59" s="24" t="s">
        <v>1060</v>
      </c>
      <c r="M59" s="24" t="s">
        <v>1051</v>
      </c>
      <c r="N59" s="24" t="s">
        <v>1112</v>
      </c>
      <c r="O59" s="24" t="str">
        <f t="shared" si="1"/>
        <v>50EFO</v>
      </c>
      <c r="P59" s="24" t="s">
        <v>43</v>
      </c>
    </row>
    <row r="60" spans="3:16" x14ac:dyDescent="0.25">
      <c r="C60" s="24" t="s">
        <v>634</v>
      </c>
      <c r="D60" s="24" t="s">
        <v>635</v>
      </c>
      <c r="E60" s="24" t="s">
        <v>635</v>
      </c>
      <c r="F60" s="25">
        <v>6</v>
      </c>
      <c r="G60" s="24" t="s">
        <v>376</v>
      </c>
      <c r="H60" s="24" t="s">
        <v>46</v>
      </c>
      <c r="I60" s="24" t="s">
        <v>1114</v>
      </c>
      <c r="J60" s="24" t="s">
        <v>1046</v>
      </c>
      <c r="K60" s="24" t="s">
        <v>50</v>
      </c>
      <c r="L60" s="24" t="s">
        <v>1064</v>
      </c>
      <c r="M60" s="24" t="s">
        <v>1051</v>
      </c>
      <c r="N60" s="3" t="s">
        <v>984</v>
      </c>
      <c r="O60" s="24" t="str">
        <f t="shared" si="1"/>
        <v>50MPC</v>
      </c>
      <c r="P60" s="24" t="s">
        <v>43</v>
      </c>
    </row>
    <row r="61" spans="3:16" x14ac:dyDescent="0.25">
      <c r="C61" s="24" t="s">
        <v>558</v>
      </c>
      <c r="D61" s="24" t="s">
        <v>559</v>
      </c>
      <c r="E61" s="24" t="s">
        <v>560</v>
      </c>
      <c r="F61" s="25">
        <v>6</v>
      </c>
      <c r="G61" s="24" t="s">
        <v>376</v>
      </c>
      <c r="H61" s="24" t="s">
        <v>38</v>
      </c>
      <c r="I61" s="24" t="s">
        <v>1114</v>
      </c>
      <c r="J61" s="24" t="s">
        <v>1046</v>
      </c>
      <c r="K61" s="24" t="s">
        <v>331</v>
      </c>
      <c r="L61" s="24" t="s">
        <v>1060</v>
      </c>
      <c r="M61" s="24" t="s">
        <v>1051</v>
      </c>
      <c r="N61" s="3" t="s">
        <v>984</v>
      </c>
      <c r="O61" s="24" t="str">
        <f t="shared" si="1"/>
        <v>50ONL</v>
      </c>
      <c r="P61" s="24" t="s">
        <v>43</v>
      </c>
    </row>
    <row r="62" spans="3:16" x14ac:dyDescent="0.25">
      <c r="C62" s="24" t="s">
        <v>561</v>
      </c>
      <c r="D62" s="24" t="s">
        <v>562</v>
      </c>
      <c r="E62" s="24" t="s">
        <v>563</v>
      </c>
      <c r="F62" s="25">
        <v>6</v>
      </c>
      <c r="G62" s="24" t="s">
        <v>376</v>
      </c>
      <c r="H62" s="24" t="s">
        <v>38</v>
      </c>
      <c r="I62" s="24" t="s">
        <v>1114</v>
      </c>
      <c r="J62" s="24" t="s">
        <v>1046</v>
      </c>
      <c r="K62" s="24" t="s">
        <v>331</v>
      </c>
      <c r="L62" s="24" t="s">
        <v>1060</v>
      </c>
      <c r="M62" s="24" t="s">
        <v>1051</v>
      </c>
      <c r="N62" s="3" t="s">
        <v>984</v>
      </c>
      <c r="O62" s="24" t="str">
        <f t="shared" si="1"/>
        <v>50ORN</v>
      </c>
      <c r="P62" s="24" t="s">
        <v>43</v>
      </c>
    </row>
    <row r="63" spans="3:16" x14ac:dyDescent="0.25">
      <c r="C63" s="24" t="s">
        <v>478</v>
      </c>
      <c r="D63" s="24" t="s">
        <v>479</v>
      </c>
      <c r="E63" s="24" t="s">
        <v>479</v>
      </c>
      <c r="F63" s="25">
        <v>6</v>
      </c>
      <c r="G63" s="24" t="s">
        <v>376</v>
      </c>
      <c r="H63" s="24" t="s">
        <v>81</v>
      </c>
      <c r="I63" s="24" t="s">
        <v>1114</v>
      </c>
      <c r="J63" s="24" t="s">
        <v>1046</v>
      </c>
      <c r="K63" s="24" t="s">
        <v>58</v>
      </c>
      <c r="L63" s="24" t="s">
        <v>1059</v>
      </c>
      <c r="M63" s="24" t="s">
        <v>1051</v>
      </c>
      <c r="N63" s="24" t="s">
        <v>1112</v>
      </c>
      <c r="O63" s="24" t="str">
        <f t="shared" si="1"/>
        <v>50Q3X</v>
      </c>
      <c r="P63" s="24" t="s">
        <v>43</v>
      </c>
    </row>
    <row r="64" spans="3:16" x14ac:dyDescent="0.25">
      <c r="C64" s="24" t="s">
        <v>852</v>
      </c>
      <c r="D64" s="24" t="s">
        <v>853</v>
      </c>
      <c r="E64" s="24" t="s">
        <v>853</v>
      </c>
      <c r="F64" s="25">
        <v>6</v>
      </c>
      <c r="G64" s="24" t="s">
        <v>376</v>
      </c>
      <c r="H64" s="24" t="s">
        <v>46</v>
      </c>
      <c r="I64" s="24" t="s">
        <v>1110</v>
      </c>
      <c r="J64" s="24" t="s">
        <v>1046</v>
      </c>
      <c r="K64" s="24" t="s">
        <v>132</v>
      </c>
      <c r="L64" s="24" t="s">
        <v>1060</v>
      </c>
      <c r="M64" s="24" t="s">
        <v>1051</v>
      </c>
      <c r="N64" s="24" t="s">
        <v>1035</v>
      </c>
      <c r="O64" s="24" t="str">
        <f t="shared" si="1"/>
        <v>50UXA</v>
      </c>
      <c r="P64" s="24" t="s">
        <v>43</v>
      </c>
    </row>
    <row r="65" spans="3:16" x14ac:dyDescent="0.25">
      <c r="C65" s="24" t="s">
        <v>426</v>
      </c>
      <c r="D65" s="24" t="s">
        <v>427</v>
      </c>
      <c r="E65" s="24" t="s">
        <v>428</v>
      </c>
      <c r="F65" s="25">
        <v>5.45</v>
      </c>
      <c r="G65" s="24" t="s">
        <v>376</v>
      </c>
      <c r="H65" s="24" t="s">
        <v>38</v>
      </c>
      <c r="I65" s="24" t="s">
        <v>1110</v>
      </c>
      <c r="J65" s="24" t="s">
        <v>1046</v>
      </c>
      <c r="K65" s="24" t="s">
        <v>94</v>
      </c>
      <c r="L65" s="24" t="s">
        <v>1065</v>
      </c>
      <c r="M65" s="24" t="s">
        <v>1051</v>
      </c>
      <c r="N65" s="24" t="s">
        <v>1035</v>
      </c>
      <c r="O65" s="24" t="str">
        <f t="shared" si="1"/>
        <v>50OBN</v>
      </c>
      <c r="P65" s="24" t="s">
        <v>43</v>
      </c>
    </row>
    <row r="66" spans="3:16" x14ac:dyDescent="0.25">
      <c r="C66" s="24" t="s">
        <v>769</v>
      </c>
      <c r="D66" s="24" t="s">
        <v>771</v>
      </c>
      <c r="E66" s="24" t="s">
        <v>771</v>
      </c>
      <c r="F66" s="25">
        <v>5.9</v>
      </c>
      <c r="G66" s="24" t="s">
        <v>376</v>
      </c>
      <c r="H66" s="24" t="s">
        <v>38</v>
      </c>
      <c r="I66" s="24" t="s">
        <v>1114</v>
      </c>
      <c r="J66" s="24" t="s">
        <v>1031</v>
      </c>
      <c r="K66" s="24" t="s">
        <v>89</v>
      </c>
      <c r="L66" s="24" t="s">
        <v>1075</v>
      </c>
      <c r="M66" s="24" t="s">
        <v>1076</v>
      </c>
      <c r="N66" s="3" t="s">
        <v>378</v>
      </c>
      <c r="O66" s="24" t="str">
        <f t="shared" si="1"/>
        <v>50OCA</v>
      </c>
      <c r="P66" s="24" t="s">
        <v>440</v>
      </c>
    </row>
    <row r="67" spans="3:16" x14ac:dyDescent="0.25">
      <c r="C67" s="24" t="s">
        <v>942</v>
      </c>
      <c r="D67" s="24" t="s">
        <v>944</v>
      </c>
      <c r="E67" s="24" t="s">
        <v>1121</v>
      </c>
      <c r="F67" s="25">
        <v>6.9</v>
      </c>
      <c r="G67" s="24" t="s">
        <v>376</v>
      </c>
      <c r="H67" s="24" t="s">
        <v>38</v>
      </c>
      <c r="I67" s="24" t="s">
        <v>1111</v>
      </c>
      <c r="J67" s="24" t="s">
        <v>1046</v>
      </c>
      <c r="K67" s="24" t="s">
        <v>160</v>
      </c>
      <c r="L67" s="24" t="s">
        <v>1073</v>
      </c>
      <c r="M67" s="24" t="s">
        <v>1051</v>
      </c>
      <c r="N67" s="3" t="s">
        <v>984</v>
      </c>
      <c r="O67" s="24" t="str">
        <f t="shared" si="1"/>
        <v>50OCO</v>
      </c>
      <c r="P67" s="24" t="s">
        <v>43</v>
      </c>
    </row>
    <row r="68" spans="3:16" x14ac:dyDescent="0.25">
      <c r="C68" s="24" t="s">
        <v>525</v>
      </c>
      <c r="D68" s="24" t="s">
        <v>526</v>
      </c>
      <c r="E68" s="24" t="s">
        <v>1122</v>
      </c>
      <c r="F68" s="25">
        <v>5.9</v>
      </c>
      <c r="G68" s="24" t="s">
        <v>376</v>
      </c>
      <c r="H68" s="24" t="s">
        <v>38</v>
      </c>
      <c r="I68" s="24" t="s">
        <v>1111</v>
      </c>
      <c r="J68" s="24" t="s">
        <v>1046</v>
      </c>
      <c r="K68" s="24" t="s">
        <v>100</v>
      </c>
      <c r="L68" s="24" t="s">
        <v>1060</v>
      </c>
      <c r="M68" s="24" t="s">
        <v>1051</v>
      </c>
      <c r="N68" s="24" t="s">
        <v>1035</v>
      </c>
      <c r="O68" s="24" t="str">
        <f t="shared" ref="O68:O131" si="2">C68</f>
        <v>50OCR</v>
      </c>
      <c r="P68" s="24" t="s">
        <v>440</v>
      </c>
    </row>
    <row r="69" spans="3:16" x14ac:dyDescent="0.25">
      <c r="C69" s="24" t="s">
        <v>48</v>
      </c>
      <c r="D69" s="24" t="s">
        <v>49</v>
      </c>
      <c r="E69" s="24" t="s">
        <v>49</v>
      </c>
      <c r="F69" s="25">
        <v>5.9</v>
      </c>
      <c r="G69" s="24" t="s">
        <v>37</v>
      </c>
      <c r="H69" s="24" t="s">
        <v>38</v>
      </c>
      <c r="I69" s="24" t="s">
        <v>1111</v>
      </c>
      <c r="J69" s="24" t="s">
        <v>1046</v>
      </c>
      <c r="K69" s="24" t="s">
        <v>50</v>
      </c>
      <c r="L69" s="24" t="s">
        <v>1059</v>
      </c>
      <c r="M69" s="24" t="s">
        <v>1051</v>
      </c>
      <c r="N69" s="3" t="s">
        <v>984</v>
      </c>
      <c r="O69" s="24" t="str">
        <f t="shared" si="2"/>
        <v>50ODA</v>
      </c>
      <c r="P69" s="24" t="s">
        <v>43</v>
      </c>
    </row>
    <row r="70" spans="3:16" x14ac:dyDescent="0.25">
      <c r="C70" s="24" t="s">
        <v>52</v>
      </c>
      <c r="D70" s="24" t="s">
        <v>53</v>
      </c>
      <c r="E70" s="24" t="s">
        <v>53</v>
      </c>
      <c r="F70" s="25">
        <v>5.9</v>
      </c>
      <c r="G70" s="24" t="s">
        <v>987</v>
      </c>
      <c r="H70" s="24" t="s">
        <v>38</v>
      </c>
      <c r="I70" s="24" t="s">
        <v>1111</v>
      </c>
      <c r="J70" s="24" t="s">
        <v>1046</v>
      </c>
      <c r="K70" s="24">
        <v>0</v>
      </c>
      <c r="L70" s="24" t="s">
        <v>1061</v>
      </c>
      <c r="M70" s="24" t="s">
        <v>1074</v>
      </c>
      <c r="N70" s="24" t="s">
        <v>1053</v>
      </c>
      <c r="O70" s="24" t="str">
        <f t="shared" si="2"/>
        <v>50ODP</v>
      </c>
      <c r="P70" s="24" t="s">
        <v>43</v>
      </c>
    </row>
    <row r="71" spans="3:16" x14ac:dyDescent="0.25">
      <c r="C71" s="24" t="s">
        <v>528</v>
      </c>
      <c r="D71" s="24" t="s">
        <v>530</v>
      </c>
      <c r="E71" s="24" t="s">
        <v>530</v>
      </c>
      <c r="F71" s="25">
        <v>5.9</v>
      </c>
      <c r="G71" s="24" t="s">
        <v>376</v>
      </c>
      <c r="H71" s="24" t="s">
        <v>38</v>
      </c>
      <c r="I71" s="24" t="s">
        <v>1111</v>
      </c>
      <c r="J71" s="24" t="s">
        <v>1046</v>
      </c>
      <c r="K71" s="24" t="s">
        <v>100</v>
      </c>
      <c r="L71" s="24" t="s">
        <v>1065</v>
      </c>
      <c r="M71" s="24" t="s">
        <v>1051</v>
      </c>
      <c r="N71" s="24" t="s">
        <v>1035</v>
      </c>
      <c r="O71" s="24" t="str">
        <f t="shared" si="2"/>
        <v>50OEP</v>
      </c>
      <c r="P71" s="24" t="s">
        <v>440</v>
      </c>
    </row>
    <row r="72" spans="3:16" x14ac:dyDescent="0.25">
      <c r="C72" s="24" t="s">
        <v>854</v>
      </c>
      <c r="D72" s="24" t="s">
        <v>982</v>
      </c>
      <c r="E72" s="24" t="s">
        <v>990</v>
      </c>
      <c r="F72" s="25">
        <v>6.45</v>
      </c>
      <c r="G72" s="24" t="s">
        <v>376</v>
      </c>
      <c r="H72" s="24" t="s">
        <v>38</v>
      </c>
      <c r="I72" s="24" t="s">
        <v>1111</v>
      </c>
      <c r="J72" s="24" t="s">
        <v>1046</v>
      </c>
      <c r="K72" s="24" t="s">
        <v>132</v>
      </c>
      <c r="L72" s="24" t="s">
        <v>1077</v>
      </c>
      <c r="M72" s="24" t="s">
        <v>1051</v>
      </c>
      <c r="N72" s="24" t="s">
        <v>1035</v>
      </c>
      <c r="O72" s="24" t="str">
        <f t="shared" si="2"/>
        <v>50OER</v>
      </c>
      <c r="P72" s="24" t="s">
        <v>440</v>
      </c>
    </row>
    <row r="73" spans="3:16" x14ac:dyDescent="0.25">
      <c r="C73" s="24" t="s">
        <v>531</v>
      </c>
      <c r="D73" s="24" t="s">
        <v>533</v>
      </c>
      <c r="E73" s="24" t="s">
        <v>991</v>
      </c>
      <c r="F73" s="25">
        <v>5.9</v>
      </c>
      <c r="G73" s="24" t="s">
        <v>376</v>
      </c>
      <c r="H73" s="24" t="s">
        <v>38</v>
      </c>
      <c r="I73" s="24" t="s">
        <v>1110</v>
      </c>
      <c r="J73" s="24" t="s">
        <v>1046</v>
      </c>
      <c r="K73" s="24" t="s">
        <v>100</v>
      </c>
      <c r="L73" s="24" t="s">
        <v>1060</v>
      </c>
      <c r="M73" s="24" t="s">
        <v>1051</v>
      </c>
      <c r="N73" s="24" t="s">
        <v>1035</v>
      </c>
      <c r="O73" s="24" t="str">
        <f t="shared" si="2"/>
        <v>50OHM</v>
      </c>
      <c r="P73" s="24" t="s">
        <v>440</v>
      </c>
    </row>
    <row r="74" spans="3:16" x14ac:dyDescent="0.25">
      <c r="C74" s="24" t="s">
        <v>945</v>
      </c>
      <c r="D74" s="24" t="s">
        <v>946</v>
      </c>
      <c r="E74" s="24" t="s">
        <v>1123</v>
      </c>
      <c r="F74" s="25">
        <v>5.9</v>
      </c>
      <c r="G74" s="24" t="s">
        <v>376</v>
      </c>
      <c r="H74" s="24" t="s">
        <v>38</v>
      </c>
      <c r="I74" s="24" t="s">
        <v>1110</v>
      </c>
      <c r="J74" s="24" t="s">
        <v>1046</v>
      </c>
      <c r="K74" s="24" t="s">
        <v>160</v>
      </c>
      <c r="L74" s="24" t="s">
        <v>1073</v>
      </c>
      <c r="M74" s="24" t="s">
        <v>1051</v>
      </c>
      <c r="N74" s="3" t="s">
        <v>984</v>
      </c>
      <c r="O74" s="24" t="str">
        <f t="shared" si="2"/>
        <v>50OIN</v>
      </c>
      <c r="P74" s="24" t="s">
        <v>440</v>
      </c>
    </row>
    <row r="75" spans="3:16" x14ac:dyDescent="0.25">
      <c r="C75" s="24" t="s">
        <v>773</v>
      </c>
      <c r="D75" s="24" t="s">
        <v>775</v>
      </c>
      <c r="E75" s="24" t="s">
        <v>775</v>
      </c>
      <c r="F75" s="25">
        <v>5.68</v>
      </c>
      <c r="G75" s="24" t="s">
        <v>376</v>
      </c>
      <c r="H75" s="24" t="s">
        <v>38</v>
      </c>
      <c r="I75" s="24" t="s">
        <v>1111</v>
      </c>
      <c r="J75" s="24" t="s">
        <v>1031</v>
      </c>
      <c r="K75" s="24" t="s">
        <v>89</v>
      </c>
      <c r="L75" s="24" t="s">
        <v>1078</v>
      </c>
      <c r="M75" s="24" t="s">
        <v>1076</v>
      </c>
      <c r="N75" s="3" t="s">
        <v>378</v>
      </c>
      <c r="O75" s="24" t="str">
        <f t="shared" si="2"/>
        <v>50OKA</v>
      </c>
      <c r="P75" s="24" t="s">
        <v>440</v>
      </c>
    </row>
    <row r="76" spans="3:16" x14ac:dyDescent="0.25">
      <c r="C76" s="24" t="s">
        <v>662</v>
      </c>
      <c r="D76" s="24" t="s">
        <v>664</v>
      </c>
      <c r="E76" s="24" t="s">
        <v>992</v>
      </c>
      <c r="F76" s="25">
        <v>6.13</v>
      </c>
      <c r="G76" s="24" t="s">
        <v>376</v>
      </c>
      <c r="H76" s="24" t="s">
        <v>38</v>
      </c>
      <c r="I76" s="24" t="s">
        <v>1111</v>
      </c>
      <c r="J76" s="24" t="s">
        <v>1046</v>
      </c>
      <c r="K76" s="24" t="s">
        <v>248</v>
      </c>
      <c r="L76" s="24" t="s">
        <v>1059</v>
      </c>
      <c r="M76" s="24" t="s">
        <v>1051</v>
      </c>
      <c r="N76" s="24" t="s">
        <v>1112</v>
      </c>
      <c r="O76" s="24" t="str">
        <f t="shared" si="2"/>
        <v>50OLT</v>
      </c>
      <c r="P76" s="24" t="s">
        <v>43</v>
      </c>
    </row>
    <row r="77" spans="3:16" x14ac:dyDescent="0.25">
      <c r="C77" s="24" t="s">
        <v>56</v>
      </c>
      <c r="D77" s="24" t="s">
        <v>57</v>
      </c>
      <c r="E77" s="24" t="s">
        <v>57</v>
      </c>
      <c r="F77" s="25">
        <v>5.9</v>
      </c>
      <c r="G77" s="24" t="s">
        <v>37</v>
      </c>
      <c r="H77" s="24" t="s">
        <v>38</v>
      </c>
      <c r="I77" s="24" t="s">
        <v>1114</v>
      </c>
      <c r="J77" s="24" t="s">
        <v>1046</v>
      </c>
      <c r="K77" s="24" t="s">
        <v>58</v>
      </c>
      <c r="L77" s="24" t="s">
        <v>1064</v>
      </c>
      <c r="M77" s="24" t="s">
        <v>1051</v>
      </c>
      <c r="N77" s="24" t="s">
        <v>1112</v>
      </c>
      <c r="O77" s="24" t="str">
        <f t="shared" si="2"/>
        <v>50OMN</v>
      </c>
      <c r="P77" s="24" t="s">
        <v>43</v>
      </c>
    </row>
    <row r="78" spans="3:16" x14ac:dyDescent="0.25">
      <c r="C78" s="24" t="s">
        <v>534</v>
      </c>
      <c r="D78" s="24" t="s">
        <v>535</v>
      </c>
      <c r="E78" s="24" t="s">
        <v>536</v>
      </c>
      <c r="F78" s="25">
        <v>5.9</v>
      </c>
      <c r="G78" s="24" t="s">
        <v>376</v>
      </c>
      <c r="H78" s="24" t="s">
        <v>38</v>
      </c>
      <c r="I78" s="24" t="s">
        <v>1111</v>
      </c>
      <c r="J78" s="24" t="s">
        <v>1046</v>
      </c>
      <c r="K78" s="24" t="s">
        <v>100</v>
      </c>
      <c r="L78" s="24" t="s">
        <v>1060</v>
      </c>
      <c r="M78" s="24" t="s">
        <v>1051</v>
      </c>
      <c r="N78" s="24" t="s">
        <v>1035</v>
      </c>
      <c r="O78" s="24" t="str">
        <f t="shared" si="2"/>
        <v>50OMZ</v>
      </c>
      <c r="P78" s="24" t="s">
        <v>43</v>
      </c>
    </row>
    <row r="79" spans="3:16" x14ac:dyDescent="0.25">
      <c r="C79" s="24" t="s">
        <v>636</v>
      </c>
      <c r="D79" s="24" t="s">
        <v>637</v>
      </c>
      <c r="E79" s="24" t="s">
        <v>638</v>
      </c>
      <c r="F79" s="25">
        <v>5.9</v>
      </c>
      <c r="G79" s="24" t="s">
        <v>376</v>
      </c>
      <c r="H79" s="24" t="s">
        <v>38</v>
      </c>
      <c r="I79" s="24" t="s">
        <v>1114</v>
      </c>
      <c r="J79" s="24" t="s">
        <v>1046</v>
      </c>
      <c r="K79" s="24" t="s">
        <v>50</v>
      </c>
      <c r="L79" s="24" t="s">
        <v>1067</v>
      </c>
      <c r="M79" s="24" t="s">
        <v>1051</v>
      </c>
      <c r="N79" s="3" t="s">
        <v>984</v>
      </c>
      <c r="O79" s="24" t="str">
        <f t="shared" si="2"/>
        <v>50OPM</v>
      </c>
      <c r="P79" s="24" t="s">
        <v>43</v>
      </c>
    </row>
    <row r="80" spans="3:16" x14ac:dyDescent="0.25">
      <c r="C80" s="24" t="s">
        <v>857</v>
      </c>
      <c r="D80" s="24" t="s">
        <v>859</v>
      </c>
      <c r="E80" s="24" t="s">
        <v>993</v>
      </c>
      <c r="F80" s="25">
        <v>5.9</v>
      </c>
      <c r="G80" s="24" t="s">
        <v>376</v>
      </c>
      <c r="H80" s="24" t="s">
        <v>38</v>
      </c>
      <c r="I80" s="24" t="s">
        <v>1111</v>
      </c>
      <c r="J80" s="24" t="s">
        <v>1046</v>
      </c>
      <c r="K80" s="24" t="s">
        <v>132</v>
      </c>
      <c r="L80" s="24" t="s">
        <v>1060</v>
      </c>
      <c r="M80" s="24" t="s">
        <v>1051</v>
      </c>
      <c r="N80" s="24" t="s">
        <v>1035</v>
      </c>
      <c r="O80" s="24" t="str">
        <f t="shared" si="2"/>
        <v>50OQH</v>
      </c>
      <c r="P80" s="24" t="s">
        <v>43</v>
      </c>
    </row>
    <row r="81" spans="3:16" x14ac:dyDescent="0.25">
      <c r="C81" s="24" t="s">
        <v>747</v>
      </c>
      <c r="D81" s="24" t="s">
        <v>994</v>
      </c>
      <c r="E81" s="24" t="s">
        <v>1124</v>
      </c>
      <c r="F81" s="25">
        <v>7.9</v>
      </c>
      <c r="G81" s="24" t="s">
        <v>376</v>
      </c>
      <c r="H81" s="24" t="s">
        <v>38</v>
      </c>
      <c r="I81" s="24" t="s">
        <v>1111</v>
      </c>
      <c r="J81" s="24" t="s">
        <v>1031</v>
      </c>
      <c r="K81" s="24" t="s">
        <v>1048</v>
      </c>
      <c r="L81" s="24" t="s">
        <v>1061</v>
      </c>
      <c r="M81" s="24" t="s">
        <v>1074</v>
      </c>
      <c r="N81" s="3" t="s">
        <v>378</v>
      </c>
      <c r="O81" s="24" t="str">
        <f t="shared" si="2"/>
        <v>50ORC</v>
      </c>
      <c r="P81" s="24" t="s">
        <v>43</v>
      </c>
    </row>
    <row r="82" spans="3:16" x14ac:dyDescent="0.25">
      <c r="C82" s="24" t="s">
        <v>564</v>
      </c>
      <c r="D82" s="24" t="s">
        <v>565</v>
      </c>
      <c r="E82" s="24" t="s">
        <v>566</v>
      </c>
      <c r="F82" s="25">
        <v>5.9</v>
      </c>
      <c r="G82" s="24" t="s">
        <v>376</v>
      </c>
      <c r="H82" s="24" t="s">
        <v>38</v>
      </c>
      <c r="I82" s="24" t="s">
        <v>1111</v>
      </c>
      <c r="J82" s="24" t="s">
        <v>1046</v>
      </c>
      <c r="K82" s="24" t="s">
        <v>331</v>
      </c>
      <c r="L82" s="24" t="s">
        <v>1060</v>
      </c>
      <c r="M82" s="24" t="s">
        <v>1051</v>
      </c>
      <c r="N82" s="24" t="s">
        <v>1035</v>
      </c>
      <c r="O82" s="24" t="str">
        <f t="shared" si="2"/>
        <v>50ORI</v>
      </c>
      <c r="P82" s="24" t="s">
        <v>440</v>
      </c>
    </row>
    <row r="83" spans="3:16" x14ac:dyDescent="0.25">
      <c r="C83" s="24" t="s">
        <v>709</v>
      </c>
      <c r="D83" s="24" t="s">
        <v>710</v>
      </c>
      <c r="E83" s="24" t="s">
        <v>711</v>
      </c>
      <c r="F83" s="25">
        <v>9.9</v>
      </c>
      <c r="G83" s="24" t="s">
        <v>376</v>
      </c>
      <c r="H83" s="24" t="s">
        <v>38</v>
      </c>
      <c r="I83" s="24" t="s">
        <v>1110</v>
      </c>
      <c r="J83" s="24" t="s">
        <v>1031</v>
      </c>
      <c r="K83" s="24" t="s">
        <v>84</v>
      </c>
      <c r="L83" s="24" t="s">
        <v>1079</v>
      </c>
      <c r="M83" s="24" t="s">
        <v>1074</v>
      </c>
      <c r="N83" s="3" t="s">
        <v>378</v>
      </c>
      <c r="O83" s="24" t="str">
        <f t="shared" si="2"/>
        <v>50ORM</v>
      </c>
      <c r="P83" s="24" t="s">
        <v>440</v>
      </c>
    </row>
    <row r="84" spans="3:16" x14ac:dyDescent="0.25">
      <c r="C84" s="24" t="s">
        <v>60</v>
      </c>
      <c r="D84" s="24" t="s">
        <v>61</v>
      </c>
      <c r="E84" s="24" t="s">
        <v>62</v>
      </c>
      <c r="F84" s="25">
        <v>5.9</v>
      </c>
      <c r="G84" s="24" t="s">
        <v>37</v>
      </c>
      <c r="H84" s="24" t="s">
        <v>38</v>
      </c>
      <c r="I84" s="24" t="s">
        <v>1120</v>
      </c>
      <c r="J84" s="24" t="s">
        <v>1046</v>
      </c>
      <c r="K84" s="24" t="s">
        <v>63</v>
      </c>
      <c r="L84" s="24" t="s">
        <v>1065</v>
      </c>
      <c r="M84" s="24" t="s">
        <v>1051</v>
      </c>
      <c r="N84" s="24" t="s">
        <v>1112</v>
      </c>
      <c r="O84" s="24" t="str">
        <f t="shared" si="2"/>
        <v>50OSB</v>
      </c>
      <c r="P84" s="24" t="s">
        <v>43</v>
      </c>
    </row>
    <row r="85" spans="3:16" x14ac:dyDescent="0.25">
      <c r="C85" s="24" t="s">
        <v>861</v>
      </c>
      <c r="D85" s="24" t="s">
        <v>983</v>
      </c>
      <c r="E85" s="24" t="s">
        <v>995</v>
      </c>
      <c r="F85" s="25">
        <v>8.9</v>
      </c>
      <c r="G85" s="24" t="s">
        <v>376</v>
      </c>
      <c r="H85" s="24" t="s">
        <v>38</v>
      </c>
      <c r="I85" s="24" t="s">
        <v>1111</v>
      </c>
      <c r="J85" s="24" t="s">
        <v>1046</v>
      </c>
      <c r="K85" s="24" t="s">
        <v>132</v>
      </c>
      <c r="L85" s="24" t="s">
        <v>1077</v>
      </c>
      <c r="M85" s="24" t="s">
        <v>1051</v>
      </c>
      <c r="N85" s="24" t="s">
        <v>1035</v>
      </c>
      <c r="O85" s="24" t="str">
        <f t="shared" si="2"/>
        <v>50OSC</v>
      </c>
      <c r="P85" s="24" t="s">
        <v>440</v>
      </c>
    </row>
    <row r="86" spans="3:16" x14ac:dyDescent="0.25">
      <c r="C86" s="24" t="s">
        <v>616</v>
      </c>
      <c r="D86" s="24" t="s">
        <v>617</v>
      </c>
      <c r="E86" s="24" t="s">
        <v>617</v>
      </c>
      <c r="F86" s="25">
        <v>5.9</v>
      </c>
      <c r="G86" s="24" t="s">
        <v>376</v>
      </c>
      <c r="H86" s="24" t="s">
        <v>38</v>
      </c>
      <c r="I86" s="24" t="s">
        <v>1110</v>
      </c>
      <c r="J86" s="24" t="s">
        <v>1046</v>
      </c>
      <c r="K86" s="24" t="s">
        <v>50</v>
      </c>
      <c r="L86" s="24" t="s">
        <v>1060</v>
      </c>
      <c r="M86" s="24" t="s">
        <v>1051</v>
      </c>
      <c r="N86" s="3" t="s">
        <v>984</v>
      </c>
      <c r="O86" s="24" t="str">
        <f t="shared" si="2"/>
        <v>50OST</v>
      </c>
      <c r="P86" s="24" t="s">
        <v>440</v>
      </c>
    </row>
    <row r="87" spans="3:16" x14ac:dyDescent="0.25">
      <c r="C87" s="24" t="s">
        <v>891</v>
      </c>
      <c r="D87" s="24" t="s">
        <v>892</v>
      </c>
      <c r="E87" s="24" t="s">
        <v>893</v>
      </c>
      <c r="F87" s="25">
        <v>5.9</v>
      </c>
      <c r="G87" s="24" t="s">
        <v>376</v>
      </c>
      <c r="H87" s="24" t="s">
        <v>38</v>
      </c>
      <c r="I87" s="24" t="s">
        <v>1114</v>
      </c>
      <c r="J87" s="24" t="s">
        <v>1046</v>
      </c>
      <c r="K87" s="24" t="s">
        <v>73</v>
      </c>
      <c r="L87" s="24" t="s">
        <v>1072</v>
      </c>
      <c r="M87" s="24" t="s">
        <v>1051</v>
      </c>
      <c r="N87" s="3" t="s">
        <v>378</v>
      </c>
      <c r="O87" s="24" t="str">
        <f t="shared" si="2"/>
        <v>50OTA</v>
      </c>
      <c r="P87" s="24" t="s">
        <v>43</v>
      </c>
    </row>
    <row r="88" spans="3:16" x14ac:dyDescent="0.25">
      <c r="C88" s="24" t="s">
        <v>65</v>
      </c>
      <c r="D88" s="24" t="s">
        <v>66</v>
      </c>
      <c r="E88" s="24" t="s">
        <v>66</v>
      </c>
      <c r="F88" s="25">
        <v>5.9</v>
      </c>
      <c r="G88" s="24" t="s">
        <v>37</v>
      </c>
      <c r="H88" s="24" t="s">
        <v>38</v>
      </c>
      <c r="I88" s="24" t="s">
        <v>1114</v>
      </c>
      <c r="J88" s="24" t="s">
        <v>1046</v>
      </c>
      <c r="K88" s="24" t="s">
        <v>67</v>
      </c>
      <c r="L88" s="24" t="s">
        <v>1064</v>
      </c>
      <c r="M88" s="24" t="s">
        <v>1051</v>
      </c>
      <c r="N88" s="24" t="s">
        <v>1035</v>
      </c>
      <c r="O88" s="24" t="str">
        <f t="shared" si="2"/>
        <v>50OTO</v>
      </c>
      <c r="P88" s="24" t="s">
        <v>43</v>
      </c>
    </row>
    <row r="89" spans="3:16" x14ac:dyDescent="0.25">
      <c r="C89" s="24" t="s">
        <v>777</v>
      </c>
      <c r="D89" s="24" t="s">
        <v>779</v>
      </c>
      <c r="E89" s="24" t="s">
        <v>779</v>
      </c>
      <c r="F89" s="25">
        <v>5.9</v>
      </c>
      <c r="G89" s="24" t="s">
        <v>376</v>
      </c>
      <c r="H89" s="24" t="s">
        <v>38</v>
      </c>
      <c r="I89" s="24" t="s">
        <v>1111</v>
      </c>
      <c r="J89" s="24" t="s">
        <v>1031</v>
      </c>
      <c r="K89" s="24" t="s">
        <v>89</v>
      </c>
      <c r="L89" s="24" t="s">
        <v>1080</v>
      </c>
      <c r="M89" s="24" t="s">
        <v>1076</v>
      </c>
      <c r="N89" s="3" t="s">
        <v>378</v>
      </c>
      <c r="O89" s="24" t="str">
        <f t="shared" si="2"/>
        <v>50OVL</v>
      </c>
      <c r="P89" s="24" t="s">
        <v>440</v>
      </c>
    </row>
    <row r="90" spans="3:16" x14ac:dyDescent="0.25">
      <c r="C90" s="24" t="s">
        <v>480</v>
      </c>
      <c r="D90" s="24" t="s">
        <v>481</v>
      </c>
      <c r="E90" s="24" t="s">
        <v>482</v>
      </c>
      <c r="F90" s="25">
        <v>5.68</v>
      </c>
      <c r="G90" s="24" t="s">
        <v>376</v>
      </c>
      <c r="H90" s="24" t="s">
        <v>81</v>
      </c>
      <c r="I90" s="24" t="s">
        <v>1114</v>
      </c>
      <c r="J90" s="24" t="s">
        <v>1046</v>
      </c>
      <c r="K90" s="24" t="s">
        <v>58</v>
      </c>
      <c r="L90" s="24" t="s">
        <v>1059</v>
      </c>
      <c r="M90" s="24" t="s">
        <v>1051</v>
      </c>
      <c r="N90" s="24" t="s">
        <v>1112</v>
      </c>
      <c r="O90" s="24" t="str">
        <f t="shared" si="2"/>
        <v>50BM6</v>
      </c>
      <c r="P90" s="24" t="s">
        <v>43</v>
      </c>
    </row>
    <row r="91" spans="3:16" x14ac:dyDescent="0.25">
      <c r="C91" s="24" t="s">
        <v>807</v>
      </c>
      <c r="D91" s="24" t="s">
        <v>808</v>
      </c>
      <c r="E91" s="24" t="s">
        <v>809</v>
      </c>
      <c r="F91" s="25">
        <v>5.68</v>
      </c>
      <c r="G91" s="24" t="s">
        <v>376</v>
      </c>
      <c r="H91" s="24" t="s">
        <v>38</v>
      </c>
      <c r="I91" s="24" t="s">
        <v>1114</v>
      </c>
      <c r="J91" s="24" t="s">
        <v>1046</v>
      </c>
      <c r="K91" s="24" t="s">
        <v>146</v>
      </c>
      <c r="L91" s="24" t="s">
        <v>1064</v>
      </c>
      <c r="M91" s="24" t="s">
        <v>1051</v>
      </c>
      <c r="N91" s="24" t="s">
        <v>1035</v>
      </c>
      <c r="O91" s="24" t="str">
        <f t="shared" si="2"/>
        <v>50ORP</v>
      </c>
      <c r="P91" s="24" t="s">
        <v>440</v>
      </c>
    </row>
    <row r="92" spans="3:16" x14ac:dyDescent="0.25">
      <c r="C92" s="24" t="s">
        <v>400</v>
      </c>
      <c r="D92" s="24" t="s">
        <v>401</v>
      </c>
      <c r="E92" s="24" t="s">
        <v>401</v>
      </c>
      <c r="F92" s="25">
        <v>5.45</v>
      </c>
      <c r="G92" s="24" t="s">
        <v>376</v>
      </c>
      <c r="H92" s="24" t="s">
        <v>46</v>
      </c>
      <c r="I92" s="24" t="s">
        <v>1110</v>
      </c>
      <c r="J92" s="24" t="s">
        <v>1031</v>
      </c>
      <c r="K92" s="24" t="s">
        <v>63</v>
      </c>
      <c r="L92" s="24" t="s">
        <v>1060</v>
      </c>
      <c r="M92" s="24" t="s">
        <v>1051</v>
      </c>
      <c r="N92" s="24" t="s">
        <v>1112</v>
      </c>
      <c r="O92" s="24" t="str">
        <f t="shared" si="2"/>
        <v>50ASM</v>
      </c>
      <c r="P92" s="24" t="s">
        <v>43</v>
      </c>
    </row>
    <row r="93" spans="3:16" x14ac:dyDescent="0.25">
      <c r="C93" s="24" t="s">
        <v>402</v>
      </c>
      <c r="D93" s="24" t="s">
        <v>403</v>
      </c>
      <c r="E93" s="24" t="s">
        <v>403</v>
      </c>
      <c r="F93" s="25">
        <v>5.45</v>
      </c>
      <c r="G93" s="24" t="s">
        <v>376</v>
      </c>
      <c r="H93" s="24" t="s">
        <v>46</v>
      </c>
      <c r="I93" s="24" t="s">
        <v>1110</v>
      </c>
      <c r="J93" s="24" t="s">
        <v>1031</v>
      </c>
      <c r="K93" s="24" t="s">
        <v>63</v>
      </c>
      <c r="L93" s="24" t="s">
        <v>1060</v>
      </c>
      <c r="M93" s="24" t="s">
        <v>1051</v>
      </c>
      <c r="N93" s="24" t="s">
        <v>1112</v>
      </c>
      <c r="O93" s="24" t="str">
        <f t="shared" si="2"/>
        <v>50CRX</v>
      </c>
      <c r="P93" s="24" t="s">
        <v>43</v>
      </c>
    </row>
    <row r="94" spans="3:16" x14ac:dyDescent="0.25">
      <c r="C94" s="24" t="s">
        <v>665</v>
      </c>
      <c r="D94" s="24" t="s">
        <v>666</v>
      </c>
      <c r="E94" s="24" t="s">
        <v>666</v>
      </c>
      <c r="F94" s="25">
        <v>5.45</v>
      </c>
      <c r="G94" s="24" t="s">
        <v>376</v>
      </c>
      <c r="H94" s="24" t="s">
        <v>46</v>
      </c>
      <c r="I94" s="24" t="s">
        <v>1110</v>
      </c>
      <c r="J94" s="24" t="s">
        <v>1046</v>
      </c>
      <c r="K94" s="24" t="s">
        <v>248</v>
      </c>
      <c r="L94" s="24" t="s">
        <v>1059</v>
      </c>
      <c r="M94" s="24" t="s">
        <v>1051</v>
      </c>
      <c r="N94" s="24" t="s">
        <v>1112</v>
      </c>
      <c r="O94" s="24" t="str">
        <f t="shared" si="2"/>
        <v>50DGG</v>
      </c>
      <c r="P94" s="24" t="s">
        <v>43</v>
      </c>
    </row>
    <row r="95" spans="3:16" x14ac:dyDescent="0.25">
      <c r="C95" s="24" t="s">
        <v>404</v>
      </c>
      <c r="D95" s="24" t="s">
        <v>405</v>
      </c>
      <c r="E95" s="24" t="s">
        <v>405</v>
      </c>
      <c r="F95" s="25">
        <v>5.45</v>
      </c>
      <c r="G95" s="24" t="s">
        <v>376</v>
      </c>
      <c r="H95" s="24" t="s">
        <v>81</v>
      </c>
      <c r="I95" s="24" t="s">
        <v>1110</v>
      </c>
      <c r="J95" s="24" t="s">
        <v>1031</v>
      </c>
      <c r="K95" s="24" t="s">
        <v>63</v>
      </c>
      <c r="L95" s="24" t="s">
        <v>1060</v>
      </c>
      <c r="M95" s="24" t="s">
        <v>1051</v>
      </c>
      <c r="N95" s="24" t="s">
        <v>1112</v>
      </c>
      <c r="O95" s="24" t="str">
        <f t="shared" si="2"/>
        <v>50EER</v>
      </c>
      <c r="P95" s="24" t="s">
        <v>43</v>
      </c>
    </row>
    <row r="96" spans="3:16" x14ac:dyDescent="0.25">
      <c r="C96" s="24" t="s">
        <v>948</v>
      </c>
      <c r="D96" s="24" t="s">
        <v>949</v>
      </c>
      <c r="E96" s="24" t="s">
        <v>949</v>
      </c>
      <c r="F96" s="25">
        <v>5.45</v>
      </c>
      <c r="G96" s="24" t="s">
        <v>376</v>
      </c>
      <c r="H96" s="24" t="s">
        <v>81</v>
      </c>
      <c r="I96" s="24" t="s">
        <v>1114</v>
      </c>
      <c r="J96" s="24" t="s">
        <v>1046</v>
      </c>
      <c r="K96" s="24" t="s">
        <v>160</v>
      </c>
      <c r="L96" s="24" t="s">
        <v>1058</v>
      </c>
      <c r="M96" s="24" t="s">
        <v>1051</v>
      </c>
      <c r="N96" s="3" t="s">
        <v>984</v>
      </c>
      <c r="O96" s="24" t="str">
        <f t="shared" si="2"/>
        <v>50GDL</v>
      </c>
      <c r="P96" s="24" t="s">
        <v>43</v>
      </c>
    </row>
    <row r="97" spans="3:16" x14ac:dyDescent="0.25">
      <c r="C97" s="24" t="s">
        <v>667</v>
      </c>
      <c r="D97" s="24" t="s">
        <v>668</v>
      </c>
      <c r="E97" s="24" t="s">
        <v>668</v>
      </c>
      <c r="F97" s="25">
        <v>6</v>
      </c>
      <c r="G97" s="24" t="s">
        <v>376</v>
      </c>
      <c r="H97" s="24" t="s">
        <v>46</v>
      </c>
      <c r="I97" s="24" t="s">
        <v>1110</v>
      </c>
      <c r="J97" s="24" t="s">
        <v>1046</v>
      </c>
      <c r="K97" s="24" t="s">
        <v>248</v>
      </c>
      <c r="L97" s="24" t="s">
        <v>1059</v>
      </c>
      <c r="M97" s="24" t="s">
        <v>1051</v>
      </c>
      <c r="N97" s="24" t="s">
        <v>1112</v>
      </c>
      <c r="O97" s="24" t="str">
        <f t="shared" si="2"/>
        <v>50GKR</v>
      </c>
      <c r="P97" s="24" t="s">
        <v>43</v>
      </c>
    </row>
    <row r="98" spans="3:16" x14ac:dyDescent="0.25">
      <c r="C98" s="24" t="s">
        <v>669</v>
      </c>
      <c r="D98" s="24" t="s">
        <v>670</v>
      </c>
      <c r="E98" s="24" t="s">
        <v>670</v>
      </c>
      <c r="F98" s="25">
        <v>5.45</v>
      </c>
      <c r="G98" s="24" t="s">
        <v>376</v>
      </c>
      <c r="H98" s="24" t="s">
        <v>46</v>
      </c>
      <c r="I98" s="24" t="s">
        <v>1110</v>
      </c>
      <c r="J98" s="24" t="s">
        <v>1046</v>
      </c>
      <c r="K98" s="24" t="s">
        <v>248</v>
      </c>
      <c r="L98" s="24" t="s">
        <v>1059</v>
      </c>
      <c r="M98" s="24" t="s">
        <v>1051</v>
      </c>
      <c r="N98" s="24" t="s">
        <v>1112</v>
      </c>
      <c r="O98" s="24" t="str">
        <f t="shared" si="2"/>
        <v>50HPU</v>
      </c>
      <c r="P98" s="24" t="s">
        <v>43</v>
      </c>
    </row>
    <row r="99" spans="3:16" x14ac:dyDescent="0.25">
      <c r="C99" s="24" t="s">
        <v>894</v>
      </c>
      <c r="D99" s="24" t="s">
        <v>895</v>
      </c>
      <c r="E99" s="24" t="s">
        <v>895</v>
      </c>
      <c r="F99" s="25">
        <v>5</v>
      </c>
      <c r="G99" s="24" t="s">
        <v>376</v>
      </c>
      <c r="H99" s="24" t="s">
        <v>81</v>
      </c>
      <c r="I99" s="24" t="s">
        <v>1110</v>
      </c>
      <c r="J99" s="24" t="s">
        <v>1046</v>
      </c>
      <c r="K99" s="24" t="s">
        <v>73</v>
      </c>
      <c r="L99" s="24" t="s">
        <v>1081</v>
      </c>
      <c r="M99" s="24" t="s">
        <v>1051</v>
      </c>
      <c r="N99" s="3" t="s">
        <v>378</v>
      </c>
      <c r="O99" s="24" t="str">
        <f t="shared" si="2"/>
        <v>50HZO</v>
      </c>
      <c r="P99" s="24" t="s">
        <v>43</v>
      </c>
    </row>
    <row r="100" spans="3:16" x14ac:dyDescent="0.25">
      <c r="C100" s="24" t="s">
        <v>537</v>
      </c>
      <c r="D100" s="24" t="s">
        <v>538</v>
      </c>
      <c r="E100" s="24" t="s">
        <v>538</v>
      </c>
      <c r="F100" s="25">
        <v>5.45</v>
      </c>
      <c r="G100" s="24" t="s">
        <v>376</v>
      </c>
      <c r="H100" s="24" t="s">
        <v>46</v>
      </c>
      <c r="I100" s="24" t="s">
        <v>1111</v>
      </c>
      <c r="J100" s="24" t="s">
        <v>1046</v>
      </c>
      <c r="K100" s="24" t="s">
        <v>100</v>
      </c>
      <c r="L100" s="24" t="s">
        <v>1065</v>
      </c>
      <c r="M100" s="24" t="s">
        <v>1051</v>
      </c>
      <c r="N100" s="24" t="s">
        <v>1035</v>
      </c>
      <c r="O100" s="24" t="str">
        <f t="shared" si="2"/>
        <v>50KJI</v>
      </c>
      <c r="P100" s="24" t="s">
        <v>43</v>
      </c>
    </row>
    <row r="101" spans="3:16" x14ac:dyDescent="0.25">
      <c r="C101" s="24" t="s">
        <v>863</v>
      </c>
      <c r="D101" s="24" t="s">
        <v>864</v>
      </c>
      <c r="E101" s="24" t="s">
        <v>864</v>
      </c>
      <c r="F101" s="25">
        <v>5.45</v>
      </c>
      <c r="G101" s="24" t="s">
        <v>376</v>
      </c>
      <c r="H101" s="24" t="s">
        <v>46</v>
      </c>
      <c r="I101" s="24" t="s">
        <v>1111</v>
      </c>
      <c r="J101" s="24" t="s">
        <v>1046</v>
      </c>
      <c r="K101" s="24" t="s">
        <v>132</v>
      </c>
      <c r="L101" s="24" t="s">
        <v>1060</v>
      </c>
      <c r="M101" s="24" t="s">
        <v>1051</v>
      </c>
      <c r="N101" s="24" t="s">
        <v>1035</v>
      </c>
      <c r="O101" s="24" t="str">
        <f t="shared" si="2"/>
        <v>50KUF</v>
      </c>
      <c r="P101" s="24" t="s">
        <v>43</v>
      </c>
    </row>
    <row r="102" spans="3:16" x14ac:dyDescent="0.25">
      <c r="C102" s="24" t="s">
        <v>896</v>
      </c>
      <c r="D102" s="24" t="s">
        <v>897</v>
      </c>
      <c r="E102" s="24" t="s">
        <v>897</v>
      </c>
      <c r="F102" s="25">
        <v>5.45</v>
      </c>
      <c r="G102" s="24" t="s">
        <v>376</v>
      </c>
      <c r="H102" s="24" t="s">
        <v>46</v>
      </c>
      <c r="I102" s="24" t="s">
        <v>1114</v>
      </c>
      <c r="J102" s="24" t="s">
        <v>1046</v>
      </c>
      <c r="K102" s="24" t="s">
        <v>73</v>
      </c>
      <c r="L102" s="24" t="s">
        <v>1082</v>
      </c>
      <c r="M102" s="24" t="s">
        <v>1051</v>
      </c>
      <c r="N102" s="3" t="s">
        <v>378</v>
      </c>
      <c r="O102" s="24" t="str">
        <f t="shared" si="2"/>
        <v>50LAF</v>
      </c>
      <c r="P102" s="24" t="s">
        <v>43</v>
      </c>
    </row>
    <row r="103" spans="3:16" x14ac:dyDescent="0.25">
      <c r="C103" s="24" t="s">
        <v>898</v>
      </c>
      <c r="D103" s="24" t="s">
        <v>899</v>
      </c>
      <c r="E103" s="24" t="s">
        <v>899</v>
      </c>
      <c r="F103" s="25">
        <v>5.45</v>
      </c>
      <c r="G103" s="24" t="s">
        <v>376</v>
      </c>
      <c r="H103" s="24" t="s">
        <v>46</v>
      </c>
      <c r="I103" s="24" t="s">
        <v>1114</v>
      </c>
      <c r="J103" s="24" t="s">
        <v>1046</v>
      </c>
      <c r="K103" s="24" t="s">
        <v>73</v>
      </c>
      <c r="L103" s="24" t="s">
        <v>1067</v>
      </c>
      <c r="M103" s="24" t="s">
        <v>1051</v>
      </c>
      <c r="N103" s="3" t="s">
        <v>378</v>
      </c>
      <c r="O103" s="24" t="str">
        <f t="shared" si="2"/>
        <v>50MAI</v>
      </c>
      <c r="P103" s="24" t="s">
        <v>440</v>
      </c>
    </row>
    <row r="104" spans="3:16" x14ac:dyDescent="0.25">
      <c r="C104" s="24" t="s">
        <v>950</v>
      </c>
      <c r="D104" s="24" t="s">
        <v>951</v>
      </c>
      <c r="E104" s="24" t="s">
        <v>951</v>
      </c>
      <c r="F104" s="25">
        <v>5.45</v>
      </c>
      <c r="G104" s="24" t="s">
        <v>376</v>
      </c>
      <c r="H104" s="24" t="s">
        <v>46</v>
      </c>
      <c r="I104" s="24" t="s">
        <v>1114</v>
      </c>
      <c r="J104" s="24" t="s">
        <v>1046</v>
      </c>
      <c r="K104" s="24" t="s">
        <v>160</v>
      </c>
      <c r="L104" s="24" t="s">
        <v>1059</v>
      </c>
      <c r="M104" s="24" t="s">
        <v>1051</v>
      </c>
      <c r="N104" s="3" t="s">
        <v>984</v>
      </c>
      <c r="O104" s="24" t="str">
        <f t="shared" si="2"/>
        <v>50MLM</v>
      </c>
      <c r="P104" s="24" t="s">
        <v>43</v>
      </c>
    </row>
    <row r="105" spans="3:16" x14ac:dyDescent="0.25">
      <c r="C105" s="24" t="s">
        <v>406</v>
      </c>
      <c r="D105" s="24" t="s">
        <v>407</v>
      </c>
      <c r="E105" s="24" t="s">
        <v>407</v>
      </c>
      <c r="F105" s="25">
        <v>5.45</v>
      </c>
      <c r="G105" s="24" t="s">
        <v>376</v>
      </c>
      <c r="H105" s="24" t="s">
        <v>81</v>
      </c>
      <c r="I105" s="24" t="s">
        <v>1114</v>
      </c>
      <c r="J105" s="24" t="s">
        <v>1031</v>
      </c>
      <c r="K105" s="24" t="s">
        <v>63</v>
      </c>
      <c r="L105" s="24" t="s">
        <v>1060</v>
      </c>
      <c r="M105" s="24" t="s">
        <v>1051</v>
      </c>
      <c r="N105" s="24" t="s">
        <v>1112</v>
      </c>
      <c r="O105" s="24" t="str">
        <f t="shared" si="2"/>
        <v>50NC0</v>
      </c>
      <c r="P105" s="24" t="s">
        <v>43</v>
      </c>
    </row>
    <row r="106" spans="3:16" x14ac:dyDescent="0.25">
      <c r="C106" s="24" t="s">
        <v>429</v>
      </c>
      <c r="D106" s="24" t="s">
        <v>430</v>
      </c>
      <c r="E106" s="24" t="s">
        <v>431</v>
      </c>
      <c r="F106" s="25">
        <v>5.45</v>
      </c>
      <c r="G106" s="24" t="s">
        <v>376</v>
      </c>
      <c r="H106" s="24" t="s">
        <v>38</v>
      </c>
      <c r="I106" s="24" t="s">
        <v>1110</v>
      </c>
      <c r="J106" s="24" t="s">
        <v>1046</v>
      </c>
      <c r="K106" s="24" t="s">
        <v>94</v>
      </c>
      <c r="L106" s="24" t="s">
        <v>1065</v>
      </c>
      <c r="M106" s="24" t="s">
        <v>1051</v>
      </c>
      <c r="N106" s="24" t="s">
        <v>1035</v>
      </c>
      <c r="O106" s="24" t="str">
        <f t="shared" si="2"/>
        <v>50OAV</v>
      </c>
      <c r="P106" s="24" t="s">
        <v>43</v>
      </c>
    </row>
    <row r="107" spans="3:16" x14ac:dyDescent="0.25">
      <c r="C107" s="24" t="s">
        <v>483</v>
      </c>
      <c r="D107" s="24" t="s">
        <v>484</v>
      </c>
      <c r="E107" s="24" t="s">
        <v>485</v>
      </c>
      <c r="F107" s="25">
        <v>5.45</v>
      </c>
      <c r="G107" s="24" t="s">
        <v>376</v>
      </c>
      <c r="H107" s="24" t="s">
        <v>38</v>
      </c>
      <c r="I107" s="24" t="s">
        <v>1114</v>
      </c>
      <c r="J107" s="24" t="s">
        <v>1046</v>
      </c>
      <c r="K107" s="24" t="s">
        <v>58</v>
      </c>
      <c r="L107" s="24" t="s">
        <v>1059</v>
      </c>
      <c r="M107" s="24" t="s">
        <v>1051</v>
      </c>
      <c r="N107" s="24" t="s">
        <v>1112</v>
      </c>
      <c r="O107" s="24" t="str">
        <f t="shared" si="2"/>
        <v>50OGD</v>
      </c>
      <c r="P107" s="24" t="s">
        <v>43</v>
      </c>
    </row>
    <row r="108" spans="3:16" x14ac:dyDescent="0.25">
      <c r="C108" s="24" t="s">
        <v>539</v>
      </c>
      <c r="D108" s="24" t="s">
        <v>540</v>
      </c>
      <c r="E108" s="24" t="s">
        <v>541</v>
      </c>
      <c r="F108" s="25">
        <v>5.45</v>
      </c>
      <c r="G108" s="24" t="s">
        <v>376</v>
      </c>
      <c r="H108" s="24" t="s">
        <v>38</v>
      </c>
      <c r="I108" s="24" t="s">
        <v>1110</v>
      </c>
      <c r="J108" s="24" t="s">
        <v>1046</v>
      </c>
      <c r="K108" s="24" t="s">
        <v>100</v>
      </c>
      <c r="L108" s="24" t="s">
        <v>1059</v>
      </c>
      <c r="M108" s="24" t="s">
        <v>1051</v>
      </c>
      <c r="N108" s="24" t="s">
        <v>1035</v>
      </c>
      <c r="O108" s="24" t="str">
        <f t="shared" si="2"/>
        <v>50OJM</v>
      </c>
      <c r="P108" s="24" t="s">
        <v>43</v>
      </c>
    </row>
    <row r="109" spans="3:16" x14ac:dyDescent="0.25">
      <c r="C109" s="24" t="s">
        <v>432</v>
      </c>
      <c r="D109" s="24" t="s">
        <v>433</v>
      </c>
      <c r="E109" s="24" t="s">
        <v>434</v>
      </c>
      <c r="F109" s="25">
        <v>5.45</v>
      </c>
      <c r="G109" s="24" t="s">
        <v>376</v>
      </c>
      <c r="H109" s="24" t="s">
        <v>38</v>
      </c>
      <c r="I109" s="24" t="s">
        <v>1110</v>
      </c>
      <c r="J109" s="24" t="s">
        <v>1046</v>
      </c>
      <c r="K109" s="24" t="s">
        <v>94</v>
      </c>
      <c r="L109" s="24" t="s">
        <v>1063</v>
      </c>
      <c r="M109" s="24" t="s">
        <v>1051</v>
      </c>
      <c r="N109" s="24" t="s">
        <v>1035</v>
      </c>
      <c r="O109" s="24" t="str">
        <f t="shared" si="2"/>
        <v>50OSL</v>
      </c>
      <c r="P109" s="24" t="s">
        <v>43</v>
      </c>
    </row>
    <row r="110" spans="3:16" x14ac:dyDescent="0.25">
      <c r="C110" s="24" t="s">
        <v>671</v>
      </c>
      <c r="D110" s="24" t="s">
        <v>672</v>
      </c>
      <c r="E110" s="24" t="s">
        <v>672</v>
      </c>
      <c r="F110" s="25">
        <v>5</v>
      </c>
      <c r="G110" s="24" t="s">
        <v>376</v>
      </c>
      <c r="H110" s="24" t="s">
        <v>46</v>
      </c>
      <c r="I110" s="24" t="s">
        <v>1110</v>
      </c>
      <c r="J110" s="24" t="s">
        <v>1046</v>
      </c>
      <c r="K110" s="24" t="s">
        <v>248</v>
      </c>
      <c r="L110" s="24" t="s">
        <v>1059</v>
      </c>
      <c r="M110" s="24" t="s">
        <v>1051</v>
      </c>
      <c r="N110" s="24" t="s">
        <v>1112</v>
      </c>
      <c r="O110" s="24" t="str">
        <f t="shared" si="2"/>
        <v>50QKJ</v>
      </c>
      <c r="P110" s="24" t="s">
        <v>43</v>
      </c>
    </row>
    <row r="111" spans="3:16" x14ac:dyDescent="0.25">
      <c r="C111" s="24" t="s">
        <v>567</v>
      </c>
      <c r="D111" s="24" t="s">
        <v>568</v>
      </c>
      <c r="E111" s="24" t="s">
        <v>568</v>
      </c>
      <c r="F111" s="25">
        <v>5.45</v>
      </c>
      <c r="G111" s="24" t="s">
        <v>376</v>
      </c>
      <c r="H111" s="24" t="s">
        <v>46</v>
      </c>
      <c r="I111" s="24" t="s">
        <v>1110</v>
      </c>
      <c r="J111" s="24" t="s">
        <v>1046</v>
      </c>
      <c r="K111" s="24" t="s">
        <v>331</v>
      </c>
      <c r="L111" s="24" t="s">
        <v>1060</v>
      </c>
      <c r="M111" s="24" t="s">
        <v>1051</v>
      </c>
      <c r="N111" s="3" t="s">
        <v>984</v>
      </c>
      <c r="O111" s="24" t="str">
        <f t="shared" si="2"/>
        <v>50SKV</v>
      </c>
      <c r="P111" s="24" t="s">
        <v>43</v>
      </c>
    </row>
    <row r="112" spans="3:16" x14ac:dyDescent="0.25">
      <c r="C112" s="24" t="s">
        <v>435</v>
      </c>
      <c r="D112" s="24" t="s">
        <v>436</v>
      </c>
      <c r="E112" s="24" t="s">
        <v>436</v>
      </c>
      <c r="F112" s="25">
        <v>5.45</v>
      </c>
      <c r="G112" s="24" t="s">
        <v>376</v>
      </c>
      <c r="H112" s="24" t="s">
        <v>46</v>
      </c>
      <c r="I112" s="24" t="s">
        <v>1111</v>
      </c>
      <c r="J112" s="24" t="s">
        <v>1046</v>
      </c>
      <c r="K112" s="24" t="s">
        <v>94</v>
      </c>
      <c r="L112" s="24" t="s">
        <v>1065</v>
      </c>
      <c r="M112" s="24" t="s">
        <v>1051</v>
      </c>
      <c r="N112" s="24" t="s">
        <v>1035</v>
      </c>
      <c r="O112" s="24" t="str">
        <f t="shared" si="2"/>
        <v>50SWS</v>
      </c>
      <c r="P112" s="24" t="s">
        <v>43</v>
      </c>
    </row>
    <row r="113" spans="3:16" x14ac:dyDescent="0.25">
      <c r="C113" s="24" t="s">
        <v>865</v>
      </c>
      <c r="D113" s="24" t="s">
        <v>866</v>
      </c>
      <c r="E113" s="24" t="s">
        <v>866</v>
      </c>
      <c r="F113" s="25">
        <v>6.13</v>
      </c>
      <c r="G113" s="24" t="s">
        <v>376</v>
      </c>
      <c r="H113" s="24" t="s">
        <v>46</v>
      </c>
      <c r="I113" s="24" t="s">
        <v>1114</v>
      </c>
      <c r="J113" s="24" t="s">
        <v>1046</v>
      </c>
      <c r="K113" s="24" t="s">
        <v>132</v>
      </c>
      <c r="L113" s="24" t="s">
        <v>1077</v>
      </c>
      <c r="M113" s="24" t="s">
        <v>1051</v>
      </c>
      <c r="N113" s="24" t="s">
        <v>1035</v>
      </c>
      <c r="O113" s="24" t="str">
        <f t="shared" si="2"/>
        <v>50TKS</v>
      </c>
      <c r="P113" s="24" t="s">
        <v>43</v>
      </c>
    </row>
    <row r="114" spans="3:16" x14ac:dyDescent="0.25">
      <c r="C114" s="24" t="s">
        <v>486</v>
      </c>
      <c r="D114" s="24" t="s">
        <v>487</v>
      </c>
      <c r="E114" s="24" t="s">
        <v>487</v>
      </c>
      <c r="F114" s="25">
        <v>5.45</v>
      </c>
      <c r="G114" s="24" t="s">
        <v>376</v>
      </c>
      <c r="H114" s="24" t="s">
        <v>46</v>
      </c>
      <c r="I114" s="24" t="s">
        <v>1114</v>
      </c>
      <c r="J114" s="24" t="s">
        <v>1046</v>
      </c>
      <c r="K114" s="24" t="s">
        <v>58</v>
      </c>
      <c r="L114" s="24" t="s">
        <v>1059</v>
      </c>
      <c r="M114" s="24" t="s">
        <v>1051</v>
      </c>
      <c r="N114" s="24" t="s">
        <v>1112</v>
      </c>
      <c r="O114" s="24" t="str">
        <f t="shared" si="2"/>
        <v>50VHN</v>
      </c>
      <c r="P114" s="24" t="s">
        <v>43</v>
      </c>
    </row>
    <row r="115" spans="3:16" x14ac:dyDescent="0.25">
      <c r="C115" s="24" t="s">
        <v>673</v>
      </c>
      <c r="D115" s="24" t="s">
        <v>674</v>
      </c>
      <c r="E115" s="24" t="s">
        <v>674</v>
      </c>
      <c r="F115" s="25">
        <v>5.45</v>
      </c>
      <c r="G115" s="24" t="s">
        <v>376</v>
      </c>
      <c r="H115" s="24" t="s">
        <v>46</v>
      </c>
      <c r="I115" s="24" t="s">
        <v>1114</v>
      </c>
      <c r="J115" s="24" t="s">
        <v>1046</v>
      </c>
      <c r="K115" s="24" t="s">
        <v>248</v>
      </c>
      <c r="L115" s="24" t="s">
        <v>1059</v>
      </c>
      <c r="M115" s="24" t="s">
        <v>1051</v>
      </c>
      <c r="N115" s="24" t="s">
        <v>1112</v>
      </c>
      <c r="O115" s="24" t="str">
        <f t="shared" si="2"/>
        <v>50XLL</v>
      </c>
      <c r="P115" s="24" t="s">
        <v>43</v>
      </c>
    </row>
    <row r="116" spans="3:16" x14ac:dyDescent="0.25">
      <c r="C116" s="24" t="s">
        <v>569</v>
      </c>
      <c r="D116" s="24" t="s">
        <v>570</v>
      </c>
      <c r="E116" s="24" t="s">
        <v>570</v>
      </c>
      <c r="F116" s="25">
        <v>5.45</v>
      </c>
      <c r="G116" s="24" t="s">
        <v>376</v>
      </c>
      <c r="H116" s="24" t="s">
        <v>46</v>
      </c>
      <c r="I116" s="24" t="s">
        <v>1110</v>
      </c>
      <c r="J116" s="24" t="s">
        <v>1046</v>
      </c>
      <c r="K116" s="24" t="s">
        <v>331</v>
      </c>
      <c r="L116" s="24" t="s">
        <v>1060</v>
      </c>
      <c r="M116" s="24" t="s">
        <v>1051</v>
      </c>
      <c r="N116" s="3" t="s">
        <v>984</v>
      </c>
      <c r="O116" s="24" t="str">
        <f t="shared" si="2"/>
        <v>50XRJ</v>
      </c>
      <c r="P116" s="24" t="s">
        <v>43</v>
      </c>
    </row>
    <row r="117" spans="3:16" x14ac:dyDescent="0.25">
      <c r="C117" s="24" t="s">
        <v>750</v>
      </c>
      <c r="D117" s="24" t="s">
        <v>751</v>
      </c>
      <c r="E117" s="24" t="s">
        <v>751</v>
      </c>
      <c r="F117" s="25">
        <v>5.45</v>
      </c>
      <c r="G117" s="24" t="s">
        <v>376</v>
      </c>
      <c r="H117" s="24" t="s">
        <v>81</v>
      </c>
      <c r="I117" s="24" t="s">
        <v>1114</v>
      </c>
      <c r="J117" s="24" t="s">
        <v>1031</v>
      </c>
      <c r="K117" s="24" t="s">
        <v>1048</v>
      </c>
      <c r="L117" s="24" t="s">
        <v>1061</v>
      </c>
      <c r="M117" s="24" t="s">
        <v>1074</v>
      </c>
      <c r="N117" s="3" t="s">
        <v>378</v>
      </c>
      <c r="O117" s="24" t="str">
        <f t="shared" si="2"/>
        <v>5026M</v>
      </c>
      <c r="P117" s="24" t="s">
        <v>43</v>
      </c>
    </row>
    <row r="118" spans="3:16" x14ac:dyDescent="0.25">
      <c r="C118" s="24" t="s">
        <v>488</v>
      </c>
      <c r="D118" s="24" t="s">
        <v>489</v>
      </c>
      <c r="E118" s="24" t="s">
        <v>490</v>
      </c>
      <c r="F118" s="25">
        <v>5.45</v>
      </c>
      <c r="G118" s="24" t="s">
        <v>376</v>
      </c>
      <c r="H118" s="24" t="s">
        <v>81</v>
      </c>
      <c r="I118" s="24" t="s">
        <v>1110</v>
      </c>
      <c r="J118" s="24" t="s">
        <v>1046</v>
      </c>
      <c r="K118" s="24" t="s">
        <v>58</v>
      </c>
      <c r="L118" s="24" t="s">
        <v>1059</v>
      </c>
      <c r="M118" s="24" t="s">
        <v>1051</v>
      </c>
      <c r="N118" s="24" t="s">
        <v>1112</v>
      </c>
      <c r="O118" s="24" t="str">
        <f t="shared" si="2"/>
        <v>5032O</v>
      </c>
      <c r="P118" s="24" t="s">
        <v>43</v>
      </c>
    </row>
    <row r="119" spans="3:16" x14ac:dyDescent="0.25">
      <c r="C119" s="24" t="s">
        <v>952</v>
      </c>
      <c r="D119" s="24" t="s">
        <v>953</v>
      </c>
      <c r="E119" s="24" t="s">
        <v>953</v>
      </c>
      <c r="F119" s="25">
        <v>5.45</v>
      </c>
      <c r="G119" s="24" t="s">
        <v>376</v>
      </c>
      <c r="H119" s="24" t="s">
        <v>81</v>
      </c>
      <c r="I119" s="24" t="s">
        <v>1110</v>
      </c>
      <c r="J119" s="24" t="s">
        <v>1046</v>
      </c>
      <c r="K119" s="24" t="s">
        <v>160</v>
      </c>
      <c r="L119" s="24" t="s">
        <v>1073</v>
      </c>
      <c r="M119" s="24" t="s">
        <v>1051</v>
      </c>
      <c r="N119" s="3" t="s">
        <v>984</v>
      </c>
      <c r="O119" s="24" t="str">
        <f t="shared" si="2"/>
        <v>50AAF</v>
      </c>
      <c r="P119" s="24" t="s">
        <v>43</v>
      </c>
    </row>
    <row r="120" spans="3:16" x14ac:dyDescent="0.25">
      <c r="C120" s="24" t="s">
        <v>675</v>
      </c>
      <c r="D120" s="24" t="s">
        <v>676</v>
      </c>
      <c r="E120" s="24" t="s">
        <v>676</v>
      </c>
      <c r="F120" s="25">
        <v>5.45</v>
      </c>
      <c r="G120" s="24" t="s">
        <v>376</v>
      </c>
      <c r="H120" s="24" t="s">
        <v>81</v>
      </c>
      <c r="I120" s="24" t="s">
        <v>1110</v>
      </c>
      <c r="J120" s="24" t="s">
        <v>1046</v>
      </c>
      <c r="K120" s="24" t="s">
        <v>248</v>
      </c>
      <c r="L120" s="24" t="s">
        <v>1059</v>
      </c>
      <c r="M120" s="24" t="s">
        <v>1051</v>
      </c>
      <c r="N120" s="24" t="s">
        <v>1112</v>
      </c>
      <c r="O120" s="24" t="str">
        <f t="shared" si="2"/>
        <v>50AQY</v>
      </c>
      <c r="P120" s="24" t="s">
        <v>43</v>
      </c>
    </row>
    <row r="121" spans="3:16" x14ac:dyDescent="0.25">
      <c r="C121" s="24" t="s">
        <v>780</v>
      </c>
      <c r="D121" s="24" t="s">
        <v>781</v>
      </c>
      <c r="E121" s="24" t="s">
        <v>781</v>
      </c>
      <c r="F121" s="25">
        <v>5.45</v>
      </c>
      <c r="G121" s="24" t="s">
        <v>376</v>
      </c>
      <c r="H121" s="24" t="s">
        <v>81</v>
      </c>
      <c r="I121" s="24" t="s">
        <v>1114</v>
      </c>
      <c r="J121" s="24" t="s">
        <v>1031</v>
      </c>
      <c r="K121" s="24" t="s">
        <v>89</v>
      </c>
      <c r="L121" s="24" t="s">
        <v>1075</v>
      </c>
      <c r="M121" s="24" t="s">
        <v>1076</v>
      </c>
      <c r="N121" s="3" t="s">
        <v>378</v>
      </c>
      <c r="O121" s="24" t="str">
        <f t="shared" si="2"/>
        <v>50FKT</v>
      </c>
      <c r="P121" s="24" t="s">
        <v>43</v>
      </c>
    </row>
    <row r="122" spans="3:16" x14ac:dyDescent="0.25">
      <c r="C122" s="24" t="s">
        <v>628</v>
      </c>
      <c r="D122" s="24" t="s">
        <v>996</v>
      </c>
      <c r="E122" s="24" t="s">
        <v>630</v>
      </c>
      <c r="F122" s="25">
        <v>5.45</v>
      </c>
      <c r="G122" s="24" t="s">
        <v>376</v>
      </c>
      <c r="H122" s="24" t="s">
        <v>38</v>
      </c>
      <c r="I122" s="24" t="s">
        <v>1114</v>
      </c>
      <c r="J122" s="24" t="s">
        <v>1046</v>
      </c>
      <c r="K122" s="24" t="s">
        <v>50</v>
      </c>
      <c r="L122" s="24" t="s">
        <v>1065</v>
      </c>
      <c r="M122" s="24" t="s">
        <v>1051</v>
      </c>
      <c r="N122" s="3" t="s">
        <v>984</v>
      </c>
      <c r="O122" s="24" t="str">
        <f t="shared" si="2"/>
        <v>50OME</v>
      </c>
      <c r="P122" s="24" t="s">
        <v>43</v>
      </c>
    </row>
    <row r="123" spans="3:16" x14ac:dyDescent="0.25">
      <c r="C123" s="24" t="s">
        <v>408</v>
      </c>
      <c r="D123" s="24" t="s">
        <v>409</v>
      </c>
      <c r="E123" s="24" t="s">
        <v>410</v>
      </c>
      <c r="F123" s="25">
        <v>5.45</v>
      </c>
      <c r="G123" s="24" t="s">
        <v>376</v>
      </c>
      <c r="H123" s="24" t="s">
        <v>38</v>
      </c>
      <c r="I123" s="24" t="s">
        <v>1114</v>
      </c>
      <c r="J123" s="24" t="s">
        <v>1031</v>
      </c>
      <c r="K123" s="24" t="s">
        <v>63</v>
      </c>
      <c r="L123" s="24" t="s">
        <v>1060</v>
      </c>
      <c r="M123" s="24" t="s">
        <v>1051</v>
      </c>
      <c r="N123" s="24" t="s">
        <v>1112</v>
      </c>
      <c r="O123" s="24" t="str">
        <f t="shared" si="2"/>
        <v>50ORS</v>
      </c>
      <c r="P123" s="24" t="s">
        <v>43</v>
      </c>
    </row>
    <row r="124" spans="3:16" x14ac:dyDescent="0.25">
      <c r="C124" s="24" t="s">
        <v>677</v>
      </c>
      <c r="D124" s="24" t="s">
        <v>678</v>
      </c>
      <c r="E124" s="24" t="s">
        <v>1125</v>
      </c>
      <c r="F124" s="25">
        <v>5.45</v>
      </c>
      <c r="G124" s="24" t="s">
        <v>376</v>
      </c>
      <c r="H124" s="24" t="s">
        <v>38</v>
      </c>
      <c r="I124" s="24" t="s">
        <v>1111</v>
      </c>
      <c r="J124" s="24" t="s">
        <v>1046</v>
      </c>
      <c r="K124" s="24" t="s">
        <v>248</v>
      </c>
      <c r="L124" s="24" t="s">
        <v>1059</v>
      </c>
      <c r="M124" s="24" t="s">
        <v>1051</v>
      </c>
      <c r="N124" s="24" t="s">
        <v>1112</v>
      </c>
      <c r="O124" s="24" t="str">
        <f t="shared" si="2"/>
        <v>50OTL</v>
      </c>
      <c r="P124" s="24" t="s">
        <v>43</v>
      </c>
    </row>
    <row r="125" spans="3:16" x14ac:dyDescent="0.25">
      <c r="C125" s="24" t="s">
        <v>571</v>
      </c>
      <c r="D125" s="24" t="s">
        <v>572</v>
      </c>
      <c r="E125" s="24" t="s">
        <v>572</v>
      </c>
      <c r="F125" s="25">
        <v>5.45</v>
      </c>
      <c r="G125" s="24" t="s">
        <v>376</v>
      </c>
      <c r="H125" s="24" t="s">
        <v>46</v>
      </c>
      <c r="I125" s="24" t="s">
        <v>1110</v>
      </c>
      <c r="J125" s="24" t="s">
        <v>1046</v>
      </c>
      <c r="K125" s="24" t="s">
        <v>331</v>
      </c>
      <c r="L125" s="24" t="s">
        <v>1060</v>
      </c>
      <c r="M125" s="24" t="s">
        <v>1051</v>
      </c>
      <c r="N125" s="3" t="s">
        <v>984</v>
      </c>
      <c r="O125" s="24" t="str">
        <f t="shared" si="2"/>
        <v>50XQO</v>
      </c>
      <c r="P125" s="24" t="s">
        <v>43</v>
      </c>
    </row>
    <row r="126" spans="3:16" x14ac:dyDescent="0.25">
      <c r="C126" s="24" t="s">
        <v>752</v>
      </c>
      <c r="D126" s="24" t="s">
        <v>753</v>
      </c>
      <c r="E126" s="24" t="s">
        <v>753</v>
      </c>
      <c r="F126" s="25">
        <v>9</v>
      </c>
      <c r="G126" s="24" t="s">
        <v>376</v>
      </c>
      <c r="H126" s="24" t="s">
        <v>46</v>
      </c>
      <c r="I126" s="24" t="s">
        <v>1110</v>
      </c>
      <c r="J126" s="24" t="s">
        <v>1031</v>
      </c>
      <c r="K126" s="24" t="s">
        <v>1048</v>
      </c>
      <c r="L126" s="24" t="s">
        <v>1061</v>
      </c>
      <c r="M126" s="24" t="s">
        <v>1074</v>
      </c>
      <c r="N126" s="3" t="s">
        <v>378</v>
      </c>
      <c r="O126" s="24" t="str">
        <f t="shared" si="2"/>
        <v>50AQC</v>
      </c>
      <c r="P126" s="24" t="s">
        <v>43</v>
      </c>
    </row>
    <row r="127" spans="3:16" x14ac:dyDescent="0.25">
      <c r="C127" s="24" t="s">
        <v>680</v>
      </c>
      <c r="D127" s="24" t="s">
        <v>681</v>
      </c>
      <c r="E127" s="24" t="s">
        <v>682</v>
      </c>
      <c r="F127" s="25">
        <v>5</v>
      </c>
      <c r="G127" s="24" t="s">
        <v>376</v>
      </c>
      <c r="H127" s="24" t="s">
        <v>46</v>
      </c>
      <c r="I127" s="24" t="s">
        <v>1114</v>
      </c>
      <c r="J127" s="24" t="s">
        <v>1046</v>
      </c>
      <c r="K127" s="24" t="s">
        <v>248</v>
      </c>
      <c r="L127" s="24" t="s">
        <v>1059</v>
      </c>
      <c r="M127" s="24" t="s">
        <v>1051</v>
      </c>
      <c r="N127" s="24" t="s">
        <v>1112</v>
      </c>
      <c r="O127" s="24" t="str">
        <f t="shared" si="2"/>
        <v>50ELY</v>
      </c>
      <c r="P127" s="24" t="s">
        <v>440</v>
      </c>
    </row>
    <row r="128" spans="3:16" x14ac:dyDescent="0.25">
      <c r="C128" s="24" t="s">
        <v>954</v>
      </c>
      <c r="D128" s="24" t="s">
        <v>955</v>
      </c>
      <c r="E128" s="24" t="s">
        <v>956</v>
      </c>
      <c r="F128" s="25">
        <v>5</v>
      </c>
      <c r="G128" s="24" t="s">
        <v>376</v>
      </c>
      <c r="H128" s="24" t="s">
        <v>38</v>
      </c>
      <c r="I128" s="24" t="s">
        <v>1110</v>
      </c>
      <c r="J128" s="24" t="s">
        <v>1046</v>
      </c>
      <c r="K128" s="24" t="s">
        <v>160</v>
      </c>
      <c r="L128" s="24" t="s">
        <v>1058</v>
      </c>
      <c r="M128" s="24" t="s">
        <v>1051</v>
      </c>
      <c r="N128" s="3" t="s">
        <v>984</v>
      </c>
      <c r="O128" s="24" t="str">
        <f t="shared" si="2"/>
        <v>50OAJ</v>
      </c>
      <c r="P128" s="24" t="s">
        <v>440</v>
      </c>
    </row>
    <row r="129" spans="3:16" x14ac:dyDescent="0.25">
      <c r="C129" s="24" t="s">
        <v>68</v>
      </c>
      <c r="D129" s="24" t="s">
        <v>69</v>
      </c>
      <c r="E129" s="24" t="s">
        <v>70</v>
      </c>
      <c r="F129" s="25">
        <v>5</v>
      </c>
      <c r="G129" s="24" t="s">
        <v>37</v>
      </c>
      <c r="H129" s="24" t="s">
        <v>38</v>
      </c>
      <c r="I129" s="24" t="s">
        <v>1120</v>
      </c>
      <c r="J129" s="24" t="s">
        <v>1046</v>
      </c>
      <c r="K129" s="24" t="s">
        <v>58</v>
      </c>
      <c r="L129" s="24" t="s">
        <v>1065</v>
      </c>
      <c r="M129" s="24" t="s">
        <v>1051</v>
      </c>
      <c r="N129" s="24" t="s">
        <v>1112</v>
      </c>
      <c r="O129" s="24" t="str">
        <f t="shared" si="2"/>
        <v>50OHT</v>
      </c>
      <c r="P129" s="24" t="s">
        <v>43</v>
      </c>
    </row>
    <row r="130" spans="3:16" x14ac:dyDescent="0.25">
      <c r="C130" s="24" t="s">
        <v>867</v>
      </c>
      <c r="D130" s="24" t="s">
        <v>997</v>
      </c>
      <c r="E130" s="24" t="s">
        <v>1126</v>
      </c>
      <c r="F130" s="25">
        <v>5</v>
      </c>
      <c r="G130" s="24" t="s">
        <v>376</v>
      </c>
      <c r="H130" s="24" t="s">
        <v>38</v>
      </c>
      <c r="I130" s="24" t="s">
        <v>1111</v>
      </c>
      <c r="J130" s="24" t="s">
        <v>1046</v>
      </c>
      <c r="K130" s="24" t="s">
        <v>132</v>
      </c>
      <c r="L130" s="24" t="s">
        <v>1077</v>
      </c>
      <c r="M130" s="24" t="s">
        <v>1051</v>
      </c>
      <c r="N130" s="24" t="s">
        <v>1035</v>
      </c>
      <c r="O130" s="24" t="str">
        <f t="shared" si="2"/>
        <v>50OHU</v>
      </c>
      <c r="P130" s="24" t="s">
        <v>440</v>
      </c>
    </row>
    <row r="131" spans="3:16" x14ac:dyDescent="0.25">
      <c r="C131" s="24" t="s">
        <v>71</v>
      </c>
      <c r="D131" s="24" t="s">
        <v>72</v>
      </c>
      <c r="E131" s="24" t="s">
        <v>72</v>
      </c>
      <c r="F131" s="25">
        <v>5</v>
      </c>
      <c r="G131" s="24" t="s">
        <v>987</v>
      </c>
      <c r="H131" s="24" t="s">
        <v>38</v>
      </c>
      <c r="I131" s="24" t="s">
        <v>1114</v>
      </c>
      <c r="J131" s="24" t="s">
        <v>1046</v>
      </c>
      <c r="K131" s="24" t="s">
        <v>73</v>
      </c>
      <c r="L131" s="24" t="s">
        <v>1083</v>
      </c>
      <c r="M131" s="24" t="s">
        <v>1051</v>
      </c>
      <c r="N131" s="3" t="s">
        <v>378</v>
      </c>
      <c r="O131" s="24" t="str">
        <f t="shared" si="2"/>
        <v>50OMP</v>
      </c>
      <c r="P131" s="24" t="s">
        <v>43</v>
      </c>
    </row>
    <row r="132" spans="3:16" x14ac:dyDescent="0.25">
      <c r="C132" s="24" t="s">
        <v>802</v>
      </c>
      <c r="D132" s="24" t="s">
        <v>803</v>
      </c>
      <c r="E132" s="24" t="s">
        <v>803</v>
      </c>
      <c r="F132" s="25">
        <v>5.68</v>
      </c>
      <c r="G132" s="24" t="s">
        <v>376</v>
      </c>
      <c r="H132" s="24" t="s">
        <v>38</v>
      </c>
      <c r="I132" s="24" t="s">
        <v>1110</v>
      </c>
      <c r="J132" s="24" t="s">
        <v>1046</v>
      </c>
      <c r="K132" s="24" t="s">
        <v>146</v>
      </c>
      <c r="L132" s="24" t="s">
        <v>1064</v>
      </c>
      <c r="M132" s="24" t="s">
        <v>1051</v>
      </c>
      <c r="N132" s="24" t="s">
        <v>1035</v>
      </c>
      <c r="O132" s="24" t="str">
        <f t="shared" ref="O132:O195" si="3">C132</f>
        <v>50ONC</v>
      </c>
      <c r="P132" s="24" t="s">
        <v>43</v>
      </c>
    </row>
    <row r="133" spans="3:16" x14ac:dyDescent="0.25">
      <c r="C133" s="24" t="s">
        <v>957</v>
      </c>
      <c r="D133" s="24" t="s">
        <v>959</v>
      </c>
      <c r="E133" s="24" t="s">
        <v>998</v>
      </c>
      <c r="F133" s="25">
        <v>5</v>
      </c>
      <c r="G133" s="24" t="s">
        <v>376</v>
      </c>
      <c r="H133" s="24" t="s">
        <v>38</v>
      </c>
      <c r="I133" s="24" t="s">
        <v>1114</v>
      </c>
      <c r="J133" s="24" t="s">
        <v>1046</v>
      </c>
      <c r="K133" s="24" t="s">
        <v>160</v>
      </c>
      <c r="L133" s="24" t="s">
        <v>1118</v>
      </c>
      <c r="M133" s="24" t="s">
        <v>1051</v>
      </c>
      <c r="N133" s="3" t="s">
        <v>984</v>
      </c>
      <c r="O133" s="24" t="str">
        <f t="shared" si="3"/>
        <v>50OPE</v>
      </c>
      <c r="P133" s="24" t="s">
        <v>43</v>
      </c>
    </row>
    <row r="134" spans="3:16" x14ac:dyDescent="0.25">
      <c r="C134" s="24" t="s">
        <v>75</v>
      </c>
      <c r="D134" s="24" t="s">
        <v>76</v>
      </c>
      <c r="E134" s="24" t="s">
        <v>77</v>
      </c>
      <c r="F134" s="25">
        <v>5</v>
      </c>
      <c r="G134" s="24" t="s">
        <v>37</v>
      </c>
      <c r="H134" s="24" t="s">
        <v>38</v>
      </c>
      <c r="I134" s="24" t="s">
        <v>1120</v>
      </c>
      <c r="J134" s="24" t="s">
        <v>1046</v>
      </c>
      <c r="K134" s="24">
        <v>0</v>
      </c>
      <c r="L134" s="24" t="s">
        <v>1084</v>
      </c>
      <c r="M134" s="24" t="s">
        <v>1051</v>
      </c>
      <c r="N134" s="24" t="s">
        <v>1053</v>
      </c>
      <c r="O134" s="24" t="str">
        <f t="shared" si="3"/>
        <v>50OPR</v>
      </c>
      <c r="P134" s="24" t="s">
        <v>43</v>
      </c>
    </row>
    <row r="135" spans="3:16" x14ac:dyDescent="0.25">
      <c r="C135" s="24" t="s">
        <v>491</v>
      </c>
      <c r="D135" s="24" t="s">
        <v>493</v>
      </c>
      <c r="E135" s="24" t="s">
        <v>493</v>
      </c>
      <c r="F135" s="25">
        <v>5</v>
      </c>
      <c r="G135" s="24" t="s">
        <v>376</v>
      </c>
      <c r="H135" s="24" t="s">
        <v>38</v>
      </c>
      <c r="I135" s="24" t="s">
        <v>1110</v>
      </c>
      <c r="J135" s="24" t="s">
        <v>1046</v>
      </c>
      <c r="K135" s="24" t="s">
        <v>58</v>
      </c>
      <c r="L135" s="24" t="s">
        <v>1059</v>
      </c>
      <c r="M135" s="24" t="s">
        <v>1051</v>
      </c>
      <c r="N135" s="24" t="s">
        <v>1112</v>
      </c>
      <c r="O135" s="24" t="str">
        <f t="shared" si="3"/>
        <v>50OSZ</v>
      </c>
      <c r="P135" s="24" t="s">
        <v>43</v>
      </c>
    </row>
    <row r="136" spans="3:16" x14ac:dyDescent="0.25">
      <c r="C136" s="24" t="s">
        <v>494</v>
      </c>
      <c r="D136" s="24" t="s">
        <v>496</v>
      </c>
      <c r="E136" s="24" t="s">
        <v>496</v>
      </c>
      <c r="F136" s="25">
        <v>5</v>
      </c>
      <c r="G136" s="24" t="s">
        <v>376</v>
      </c>
      <c r="H136" s="24" t="s">
        <v>38</v>
      </c>
      <c r="I136" s="24" t="s">
        <v>1114</v>
      </c>
      <c r="J136" s="24" t="s">
        <v>1046</v>
      </c>
      <c r="K136" s="24" t="s">
        <v>58</v>
      </c>
      <c r="L136" s="24" t="s">
        <v>1059</v>
      </c>
      <c r="M136" s="24" t="s">
        <v>1051</v>
      </c>
      <c r="N136" s="24" t="s">
        <v>1112</v>
      </c>
      <c r="O136" s="24" t="str">
        <f t="shared" si="3"/>
        <v>50OTH</v>
      </c>
      <c r="P136" s="24" t="s">
        <v>43</v>
      </c>
    </row>
    <row r="137" spans="3:16" x14ac:dyDescent="0.25">
      <c r="C137" s="24" t="s">
        <v>542</v>
      </c>
      <c r="D137" s="24" t="s">
        <v>543</v>
      </c>
      <c r="E137" s="24" t="s">
        <v>543</v>
      </c>
      <c r="F137" s="25">
        <v>6</v>
      </c>
      <c r="G137" s="24" t="s">
        <v>376</v>
      </c>
      <c r="H137" s="24" t="s">
        <v>46</v>
      </c>
      <c r="I137" s="24" t="s">
        <v>1111</v>
      </c>
      <c r="J137" s="24" t="s">
        <v>1046</v>
      </c>
      <c r="K137" s="24" t="s">
        <v>100</v>
      </c>
      <c r="L137" s="24" t="s">
        <v>1060</v>
      </c>
      <c r="M137" s="24" t="s">
        <v>1051</v>
      </c>
      <c r="N137" s="24" t="s">
        <v>1035</v>
      </c>
      <c r="O137" s="24" t="str">
        <f t="shared" si="3"/>
        <v>50POS</v>
      </c>
      <c r="P137" s="24" t="s">
        <v>43</v>
      </c>
    </row>
    <row r="138" spans="3:16" x14ac:dyDescent="0.25">
      <c r="C138" s="24" t="s">
        <v>544</v>
      </c>
      <c r="D138" s="24" t="s">
        <v>545</v>
      </c>
      <c r="E138" s="24" t="s">
        <v>545</v>
      </c>
      <c r="F138" s="25">
        <v>5</v>
      </c>
      <c r="G138" s="24" t="s">
        <v>376</v>
      </c>
      <c r="H138" s="24" t="s">
        <v>46</v>
      </c>
      <c r="I138" s="24" t="s">
        <v>1111</v>
      </c>
      <c r="J138" s="24" t="s">
        <v>1046</v>
      </c>
      <c r="K138" s="24" t="s">
        <v>100</v>
      </c>
      <c r="L138" s="24" t="s">
        <v>1060</v>
      </c>
      <c r="M138" s="24" t="s">
        <v>1051</v>
      </c>
      <c r="N138" s="24" t="s">
        <v>1035</v>
      </c>
      <c r="O138" s="24" t="str">
        <f t="shared" si="3"/>
        <v>50REU</v>
      </c>
      <c r="P138" s="24" t="s">
        <v>43</v>
      </c>
    </row>
    <row r="139" spans="3:16" x14ac:dyDescent="0.25">
      <c r="C139" s="24" t="s">
        <v>810</v>
      </c>
      <c r="D139" s="24" t="s">
        <v>811</v>
      </c>
      <c r="E139" s="24" t="s">
        <v>811</v>
      </c>
      <c r="F139" s="25">
        <v>5</v>
      </c>
      <c r="G139" s="24" t="s">
        <v>376</v>
      </c>
      <c r="H139" s="24" t="s">
        <v>81</v>
      </c>
      <c r="I139" s="24" t="s">
        <v>1110</v>
      </c>
      <c r="J139" s="24" t="s">
        <v>1046</v>
      </c>
      <c r="K139" s="24" t="s">
        <v>146</v>
      </c>
      <c r="L139" s="24" t="s">
        <v>1064</v>
      </c>
      <c r="M139" s="24" t="s">
        <v>1051</v>
      </c>
      <c r="N139" s="24" t="s">
        <v>1035</v>
      </c>
      <c r="O139" s="24" t="str">
        <f t="shared" si="3"/>
        <v>508LO</v>
      </c>
      <c r="P139" s="24" t="s">
        <v>43</v>
      </c>
    </row>
    <row r="140" spans="3:16" x14ac:dyDescent="0.25">
      <c r="C140" s="24" t="s">
        <v>79</v>
      </c>
      <c r="D140" s="24" t="s">
        <v>80</v>
      </c>
      <c r="E140" s="24" t="s">
        <v>80</v>
      </c>
      <c r="F140" s="25">
        <v>5</v>
      </c>
      <c r="G140" s="24" t="s">
        <v>37</v>
      </c>
      <c r="H140" s="24" t="s">
        <v>81</v>
      </c>
      <c r="I140" s="24" t="s">
        <v>1114</v>
      </c>
      <c r="J140" s="24" t="s">
        <v>1046</v>
      </c>
      <c r="K140" s="24">
        <v>0</v>
      </c>
      <c r="L140" s="24" t="s">
        <v>1064</v>
      </c>
      <c r="M140" s="24" t="s">
        <v>1051</v>
      </c>
      <c r="N140" s="24" t="s">
        <v>1053</v>
      </c>
      <c r="O140" s="24" t="str">
        <f t="shared" si="3"/>
        <v>50AMU</v>
      </c>
      <c r="P140" s="24" t="s">
        <v>43</v>
      </c>
    </row>
    <row r="141" spans="3:16" x14ac:dyDescent="0.25">
      <c r="C141" s="24" t="s">
        <v>870</v>
      </c>
      <c r="D141" s="24" t="s">
        <v>871</v>
      </c>
      <c r="E141" s="24" t="s">
        <v>871</v>
      </c>
      <c r="F141" s="25">
        <v>5</v>
      </c>
      <c r="G141" s="24" t="s">
        <v>376</v>
      </c>
      <c r="H141" s="24" t="s">
        <v>46</v>
      </c>
      <c r="I141" s="24" t="s">
        <v>1111</v>
      </c>
      <c r="J141" s="24" t="s">
        <v>1046</v>
      </c>
      <c r="K141" s="24" t="s">
        <v>132</v>
      </c>
      <c r="L141" s="24" t="s">
        <v>1077</v>
      </c>
      <c r="M141" s="24" t="s">
        <v>1051</v>
      </c>
      <c r="N141" s="24" t="s">
        <v>1035</v>
      </c>
      <c r="O141" s="24" t="str">
        <f t="shared" si="3"/>
        <v>50SJS</v>
      </c>
      <c r="P141" s="24" t="s">
        <v>43</v>
      </c>
    </row>
    <row r="142" spans="3:16" x14ac:dyDescent="0.25">
      <c r="C142" s="24">
        <v>50096</v>
      </c>
      <c r="D142" s="24" t="s">
        <v>683</v>
      </c>
      <c r="E142" s="24" t="s">
        <v>684</v>
      </c>
      <c r="F142" s="25">
        <v>5</v>
      </c>
      <c r="G142" s="24" t="s">
        <v>376</v>
      </c>
      <c r="H142" s="24" t="s">
        <v>88</v>
      </c>
      <c r="I142" s="24" t="s">
        <v>1114</v>
      </c>
      <c r="J142" s="24" t="s">
        <v>1046</v>
      </c>
      <c r="K142" s="24" t="s">
        <v>248</v>
      </c>
      <c r="L142" s="24" t="s">
        <v>1059</v>
      </c>
      <c r="M142" s="24" t="s">
        <v>1051</v>
      </c>
      <c r="N142" s="24" t="s">
        <v>1112</v>
      </c>
      <c r="O142" s="24">
        <f t="shared" si="3"/>
        <v>50096</v>
      </c>
      <c r="P142" s="24" t="s">
        <v>43</v>
      </c>
    </row>
    <row r="143" spans="3:16" x14ac:dyDescent="0.25">
      <c r="C143" s="24">
        <v>50724</v>
      </c>
      <c r="D143" s="24" t="s">
        <v>900</v>
      </c>
      <c r="E143" s="24" t="s">
        <v>900</v>
      </c>
      <c r="F143" s="25">
        <v>5</v>
      </c>
      <c r="G143" s="24" t="s">
        <v>376</v>
      </c>
      <c r="H143" s="24" t="s">
        <v>202</v>
      </c>
      <c r="I143" s="24" t="s">
        <v>1114</v>
      </c>
      <c r="J143" s="24" t="s">
        <v>1046</v>
      </c>
      <c r="K143" s="24" t="s">
        <v>73</v>
      </c>
      <c r="L143" s="24" t="s">
        <v>1081</v>
      </c>
      <c r="M143" s="24" t="s">
        <v>1051</v>
      </c>
      <c r="N143" s="3" t="s">
        <v>378</v>
      </c>
      <c r="O143" s="24">
        <f t="shared" si="3"/>
        <v>50724</v>
      </c>
      <c r="P143" s="24" t="s">
        <v>43</v>
      </c>
    </row>
    <row r="144" spans="3:16" x14ac:dyDescent="0.25">
      <c r="C144" s="24">
        <v>50863</v>
      </c>
      <c r="D144" s="24" t="s">
        <v>901</v>
      </c>
      <c r="E144" s="24" t="s">
        <v>902</v>
      </c>
      <c r="F144" s="25">
        <v>5</v>
      </c>
      <c r="G144" s="24" t="s">
        <v>376</v>
      </c>
      <c r="H144" s="24" t="s">
        <v>202</v>
      </c>
      <c r="I144" s="24" t="s">
        <v>1114</v>
      </c>
      <c r="J144" s="24" t="s">
        <v>1046</v>
      </c>
      <c r="K144" s="24" t="s">
        <v>73</v>
      </c>
      <c r="L144" s="24" t="s">
        <v>1085</v>
      </c>
      <c r="M144" s="24" t="s">
        <v>1051</v>
      </c>
      <c r="N144" s="3" t="s">
        <v>378</v>
      </c>
      <c r="O144" s="24">
        <f t="shared" si="3"/>
        <v>50863</v>
      </c>
      <c r="P144" s="24" t="s">
        <v>43</v>
      </c>
    </row>
    <row r="145" spans="3:16" x14ac:dyDescent="0.25">
      <c r="C145" s="24" t="s">
        <v>82</v>
      </c>
      <c r="D145" s="24" t="s">
        <v>83</v>
      </c>
      <c r="E145" s="24" t="s">
        <v>83</v>
      </c>
      <c r="F145" s="25">
        <v>5</v>
      </c>
      <c r="G145" s="24" t="s">
        <v>37</v>
      </c>
      <c r="H145" s="24" t="s">
        <v>81</v>
      </c>
      <c r="I145" s="24" t="s">
        <v>1114</v>
      </c>
      <c r="J145" s="24" t="s">
        <v>1046</v>
      </c>
      <c r="K145" s="24" t="s">
        <v>1048</v>
      </c>
      <c r="L145" s="24" t="s">
        <v>1086</v>
      </c>
      <c r="M145" s="24" t="s">
        <v>1074</v>
      </c>
      <c r="N145" s="3" t="s">
        <v>378</v>
      </c>
      <c r="O145" s="24" t="str">
        <f t="shared" si="3"/>
        <v>500LI</v>
      </c>
      <c r="P145" s="24" t="s">
        <v>43</v>
      </c>
    </row>
    <row r="146" spans="3:16" x14ac:dyDescent="0.25">
      <c r="C146" s="24" t="s">
        <v>86</v>
      </c>
      <c r="D146" s="24" t="s">
        <v>87</v>
      </c>
      <c r="E146" s="24" t="s">
        <v>87</v>
      </c>
      <c r="F146" s="25">
        <v>5</v>
      </c>
      <c r="G146" s="24" t="s">
        <v>37</v>
      </c>
      <c r="H146" s="24" t="s">
        <v>88</v>
      </c>
      <c r="I146" s="24" t="s">
        <v>1111</v>
      </c>
      <c r="J146" s="24" t="s">
        <v>1046</v>
      </c>
      <c r="K146" s="24" t="s">
        <v>89</v>
      </c>
      <c r="L146" s="24" t="s">
        <v>1080</v>
      </c>
      <c r="M146" s="24" t="s">
        <v>1076</v>
      </c>
      <c r="N146" s="3" t="s">
        <v>378</v>
      </c>
      <c r="O146" s="24" t="str">
        <f t="shared" si="3"/>
        <v>500UN</v>
      </c>
      <c r="P146" s="24" t="s">
        <v>43</v>
      </c>
    </row>
    <row r="147" spans="3:16" x14ac:dyDescent="0.25">
      <c r="C147" s="24" t="s">
        <v>576</v>
      </c>
      <c r="D147" s="24" t="s">
        <v>577</v>
      </c>
      <c r="E147" s="24" t="s">
        <v>577</v>
      </c>
      <c r="F147" s="25">
        <v>5</v>
      </c>
      <c r="G147" s="24" t="s">
        <v>376</v>
      </c>
      <c r="H147" s="24" t="s">
        <v>81</v>
      </c>
      <c r="I147" s="24" t="s">
        <v>1110</v>
      </c>
      <c r="J147" s="24" t="s">
        <v>1046</v>
      </c>
      <c r="K147" s="24" t="s">
        <v>331</v>
      </c>
      <c r="L147" s="24" t="s">
        <v>1060</v>
      </c>
      <c r="M147" s="24" t="s">
        <v>1051</v>
      </c>
      <c r="N147" s="3" t="s">
        <v>984</v>
      </c>
      <c r="O147" s="24" t="str">
        <f t="shared" si="3"/>
        <v>5019M</v>
      </c>
      <c r="P147" s="24" t="s">
        <v>43</v>
      </c>
    </row>
    <row r="148" spans="3:16" x14ac:dyDescent="0.25">
      <c r="C148" s="24" t="s">
        <v>92</v>
      </c>
      <c r="D148" s="24" t="s">
        <v>93</v>
      </c>
      <c r="E148" s="24" t="s">
        <v>93</v>
      </c>
      <c r="F148" s="25">
        <v>5</v>
      </c>
      <c r="G148" s="24" t="s">
        <v>37</v>
      </c>
      <c r="H148" s="24" t="s">
        <v>81</v>
      </c>
      <c r="I148" s="24" t="s">
        <v>1120</v>
      </c>
      <c r="J148" s="24" t="s">
        <v>1046</v>
      </c>
      <c r="K148" s="24" t="s">
        <v>94</v>
      </c>
      <c r="L148" s="24" t="s">
        <v>1065</v>
      </c>
      <c r="M148" s="24" t="s">
        <v>1051</v>
      </c>
      <c r="N148" s="24" t="s">
        <v>1035</v>
      </c>
      <c r="O148" s="24" t="str">
        <f t="shared" si="3"/>
        <v>501CG</v>
      </c>
      <c r="P148" s="24" t="s">
        <v>43</v>
      </c>
    </row>
    <row r="149" spans="3:16" x14ac:dyDescent="0.25">
      <c r="C149" s="24" t="s">
        <v>782</v>
      </c>
      <c r="D149" s="24" t="s">
        <v>783</v>
      </c>
      <c r="E149" s="24" t="s">
        <v>783</v>
      </c>
      <c r="F149" s="25">
        <v>5</v>
      </c>
      <c r="G149" s="24" t="s">
        <v>376</v>
      </c>
      <c r="H149" s="24" t="s">
        <v>81</v>
      </c>
      <c r="I149" s="24" t="s">
        <v>1114</v>
      </c>
      <c r="J149" s="24" t="s">
        <v>1031</v>
      </c>
      <c r="K149" s="24" t="s">
        <v>89</v>
      </c>
      <c r="L149" s="24" t="s">
        <v>1087</v>
      </c>
      <c r="M149" s="24" t="s">
        <v>1088</v>
      </c>
      <c r="N149" s="3" t="s">
        <v>378</v>
      </c>
      <c r="O149" s="24" t="str">
        <f t="shared" si="3"/>
        <v>501KO</v>
      </c>
      <c r="P149" s="24" t="s">
        <v>43</v>
      </c>
    </row>
    <row r="150" spans="3:16" x14ac:dyDescent="0.25">
      <c r="C150" s="24" t="s">
        <v>95</v>
      </c>
      <c r="D150" s="24" t="s">
        <v>96</v>
      </c>
      <c r="E150" s="24" t="s">
        <v>96</v>
      </c>
      <c r="F150" s="24">
        <v>5</v>
      </c>
      <c r="G150" s="24" t="s">
        <v>37</v>
      </c>
      <c r="H150" s="24" t="s">
        <v>81</v>
      </c>
      <c r="I150" s="24" t="s">
        <v>1120</v>
      </c>
      <c r="J150" s="24" t="s">
        <v>1046</v>
      </c>
      <c r="K150" s="24">
        <v>0</v>
      </c>
      <c r="L150" s="24" t="s">
        <v>1069</v>
      </c>
      <c r="M150" s="24" t="s">
        <v>1051</v>
      </c>
      <c r="N150" s="24" t="s">
        <v>1053</v>
      </c>
      <c r="O150" s="24" t="str">
        <f t="shared" si="3"/>
        <v>502IY</v>
      </c>
      <c r="P150" s="24" t="s">
        <v>43</v>
      </c>
    </row>
    <row r="151" spans="3:16" x14ac:dyDescent="0.25">
      <c r="C151" s="24" t="s">
        <v>98</v>
      </c>
      <c r="D151" s="24" t="s">
        <v>99</v>
      </c>
      <c r="E151" s="24" t="s">
        <v>99</v>
      </c>
      <c r="F151" s="24">
        <v>5</v>
      </c>
      <c r="G151" s="24" t="s">
        <v>37</v>
      </c>
      <c r="H151" s="24" t="s">
        <v>81</v>
      </c>
      <c r="I151" s="24" t="s">
        <v>1114</v>
      </c>
      <c r="J151" s="24" t="s">
        <v>1046</v>
      </c>
      <c r="K151" s="24" t="s">
        <v>100</v>
      </c>
      <c r="L151" s="24" t="s">
        <v>1064</v>
      </c>
      <c r="M151" s="24" t="s">
        <v>1051</v>
      </c>
      <c r="N151" s="24" t="s">
        <v>1035</v>
      </c>
      <c r="O151" s="24" t="str">
        <f t="shared" si="3"/>
        <v>502UE</v>
      </c>
      <c r="P151" s="24" t="s">
        <v>43</v>
      </c>
    </row>
    <row r="152" spans="3:16" x14ac:dyDescent="0.25">
      <c r="C152" s="24" t="s">
        <v>712</v>
      </c>
      <c r="D152" s="24" t="s">
        <v>713</v>
      </c>
      <c r="E152" s="24" t="s">
        <v>713</v>
      </c>
      <c r="F152" s="24">
        <v>5</v>
      </c>
      <c r="G152" s="24" t="s">
        <v>376</v>
      </c>
      <c r="H152" s="24" t="s">
        <v>81</v>
      </c>
      <c r="I152" s="24" t="s">
        <v>1111</v>
      </c>
      <c r="J152" s="24" t="s">
        <v>1031</v>
      </c>
      <c r="K152" s="24" t="s">
        <v>84</v>
      </c>
      <c r="L152" s="24" t="s">
        <v>1061</v>
      </c>
      <c r="M152" s="24" t="s">
        <v>1074</v>
      </c>
      <c r="N152" s="3" t="s">
        <v>378</v>
      </c>
      <c r="O152" s="24" t="str">
        <f t="shared" si="3"/>
        <v>5033A</v>
      </c>
      <c r="P152" s="24" t="s">
        <v>43</v>
      </c>
    </row>
    <row r="153" spans="3:16" x14ac:dyDescent="0.25">
      <c r="C153" s="24" t="s">
        <v>101</v>
      </c>
      <c r="D153" s="24" t="s">
        <v>102</v>
      </c>
      <c r="E153" s="24" t="s">
        <v>102</v>
      </c>
      <c r="F153" s="24">
        <v>5</v>
      </c>
      <c r="G153" s="24" t="s">
        <v>37</v>
      </c>
      <c r="H153" s="24" t="s">
        <v>81</v>
      </c>
      <c r="I153" s="24" t="s">
        <v>1114</v>
      </c>
      <c r="J153" s="24" t="s">
        <v>1046</v>
      </c>
      <c r="K153" s="24" t="s">
        <v>73</v>
      </c>
      <c r="L153" s="24" t="s">
        <v>1087</v>
      </c>
      <c r="M153" s="24" t="s">
        <v>1088</v>
      </c>
      <c r="N153" s="3" t="s">
        <v>378</v>
      </c>
      <c r="O153" s="24" t="str">
        <f t="shared" si="3"/>
        <v>503LC</v>
      </c>
      <c r="P153" s="24" t="s">
        <v>43</v>
      </c>
    </row>
    <row r="154" spans="3:16" x14ac:dyDescent="0.25">
      <c r="C154" s="24" t="s">
        <v>105</v>
      </c>
      <c r="D154" s="24" t="s">
        <v>106</v>
      </c>
      <c r="E154" s="24" t="s">
        <v>106</v>
      </c>
      <c r="F154" s="24">
        <v>5</v>
      </c>
      <c r="G154" s="24" t="s">
        <v>37</v>
      </c>
      <c r="H154" s="24" t="s">
        <v>81</v>
      </c>
      <c r="I154" s="24" t="s">
        <v>1120</v>
      </c>
      <c r="J154" s="24" t="s">
        <v>1046</v>
      </c>
      <c r="K154" s="24" t="s">
        <v>100</v>
      </c>
      <c r="L154" s="24" t="s">
        <v>1064</v>
      </c>
      <c r="M154" s="24" t="s">
        <v>1051</v>
      </c>
      <c r="N154" s="24" t="s">
        <v>1035</v>
      </c>
      <c r="O154" s="24" t="str">
        <f t="shared" si="3"/>
        <v>503YO</v>
      </c>
      <c r="P154" s="24" t="s">
        <v>43</v>
      </c>
    </row>
    <row r="155" spans="3:16" x14ac:dyDescent="0.25">
      <c r="C155" s="24" t="s">
        <v>903</v>
      </c>
      <c r="D155" s="24" t="s">
        <v>904</v>
      </c>
      <c r="E155" s="24" t="s">
        <v>904</v>
      </c>
      <c r="F155" s="24">
        <v>5</v>
      </c>
      <c r="G155" s="24" t="s">
        <v>376</v>
      </c>
      <c r="H155" s="24" t="s">
        <v>81</v>
      </c>
      <c r="I155" s="24" t="s">
        <v>1114</v>
      </c>
      <c r="J155" s="24" t="s">
        <v>1046</v>
      </c>
      <c r="K155" s="24" t="s">
        <v>73</v>
      </c>
      <c r="L155" s="24" t="s">
        <v>1072</v>
      </c>
      <c r="M155" s="24" t="s">
        <v>1051</v>
      </c>
      <c r="N155" s="3" t="s">
        <v>378</v>
      </c>
      <c r="O155" s="24" t="str">
        <f t="shared" si="3"/>
        <v>504A3</v>
      </c>
      <c r="P155" s="24" t="s">
        <v>43</v>
      </c>
    </row>
    <row r="156" spans="3:16" x14ac:dyDescent="0.25">
      <c r="C156" s="24" t="s">
        <v>107</v>
      </c>
      <c r="D156" s="24" t="s">
        <v>108</v>
      </c>
      <c r="E156" s="24" t="s">
        <v>108</v>
      </c>
      <c r="F156" s="24">
        <v>5</v>
      </c>
      <c r="G156" s="24" t="s">
        <v>37</v>
      </c>
      <c r="H156" s="24" t="s">
        <v>81</v>
      </c>
      <c r="I156" s="24" t="s">
        <v>1114</v>
      </c>
      <c r="J156" s="24" t="s">
        <v>1046</v>
      </c>
      <c r="K156" s="24" t="s">
        <v>89</v>
      </c>
      <c r="L156" s="24" t="s">
        <v>1075</v>
      </c>
      <c r="M156" s="24" t="s">
        <v>1076</v>
      </c>
      <c r="N156" s="3" t="s">
        <v>378</v>
      </c>
      <c r="O156" s="24" t="str">
        <f t="shared" si="3"/>
        <v>504GZ</v>
      </c>
      <c r="P156" s="24" t="s">
        <v>43</v>
      </c>
    </row>
    <row r="157" spans="3:16" x14ac:dyDescent="0.25">
      <c r="C157" s="24" t="s">
        <v>110</v>
      </c>
      <c r="D157" s="24" t="s">
        <v>111</v>
      </c>
      <c r="E157" s="24" t="s">
        <v>111</v>
      </c>
      <c r="F157" s="24">
        <v>5</v>
      </c>
      <c r="G157" s="24" t="s">
        <v>37</v>
      </c>
      <c r="H157" s="24" t="s">
        <v>81</v>
      </c>
      <c r="I157" s="24" t="s">
        <v>1114</v>
      </c>
      <c r="J157" s="24" t="s">
        <v>1046</v>
      </c>
      <c r="K157" s="24" t="s">
        <v>58</v>
      </c>
      <c r="L157" s="24" t="s">
        <v>1064</v>
      </c>
      <c r="M157" s="24" t="s">
        <v>1051</v>
      </c>
      <c r="N157" s="24" t="s">
        <v>1112</v>
      </c>
      <c r="O157" s="24" t="str">
        <f t="shared" si="3"/>
        <v>504UJ</v>
      </c>
      <c r="P157" s="24" t="s">
        <v>43</v>
      </c>
    </row>
    <row r="158" spans="3:16" x14ac:dyDescent="0.25">
      <c r="C158" s="24" t="s">
        <v>112</v>
      </c>
      <c r="D158" s="24" t="s">
        <v>113</v>
      </c>
      <c r="E158" s="24" t="s">
        <v>114</v>
      </c>
      <c r="F158" s="24">
        <v>5</v>
      </c>
      <c r="G158" s="24" t="s">
        <v>37</v>
      </c>
      <c r="H158" s="24" t="s">
        <v>81</v>
      </c>
      <c r="I158" s="24" t="s">
        <v>1127</v>
      </c>
      <c r="J158" s="24" t="s">
        <v>1031</v>
      </c>
      <c r="K158" s="24" t="s">
        <v>73</v>
      </c>
      <c r="L158" s="24" t="s">
        <v>1089</v>
      </c>
      <c r="M158" s="24" t="s">
        <v>1090</v>
      </c>
      <c r="N158" s="3" t="s">
        <v>378</v>
      </c>
      <c r="O158" s="24" t="str">
        <f t="shared" si="3"/>
        <v>5050J</v>
      </c>
      <c r="P158" s="24" t="s">
        <v>43</v>
      </c>
    </row>
    <row r="159" spans="3:16" x14ac:dyDescent="0.25">
      <c r="C159" s="24" t="s">
        <v>905</v>
      </c>
      <c r="D159" s="24" t="s">
        <v>906</v>
      </c>
      <c r="E159" s="24" t="s">
        <v>906</v>
      </c>
      <c r="F159" s="24">
        <v>5</v>
      </c>
      <c r="G159" s="24" t="s">
        <v>376</v>
      </c>
      <c r="H159" s="24" t="s">
        <v>81</v>
      </c>
      <c r="I159" s="24" t="s">
        <v>1114</v>
      </c>
      <c r="J159" s="24" t="s">
        <v>1046</v>
      </c>
      <c r="K159" s="24" t="s">
        <v>73</v>
      </c>
      <c r="L159" s="24" t="s">
        <v>1091</v>
      </c>
      <c r="M159" s="24" t="s">
        <v>1051</v>
      </c>
      <c r="N159" s="3" t="s">
        <v>378</v>
      </c>
      <c r="O159" s="24" t="str">
        <f t="shared" si="3"/>
        <v>505F3</v>
      </c>
      <c r="P159" s="24" t="s">
        <v>43</v>
      </c>
    </row>
    <row r="160" spans="3:16" x14ac:dyDescent="0.25">
      <c r="C160" s="24" t="s">
        <v>685</v>
      </c>
      <c r="D160" s="24" t="s">
        <v>686</v>
      </c>
      <c r="E160" s="24" t="s">
        <v>686</v>
      </c>
      <c r="F160" s="24">
        <v>5</v>
      </c>
      <c r="G160" s="24" t="s">
        <v>376</v>
      </c>
      <c r="H160" s="24" t="s">
        <v>88</v>
      </c>
      <c r="I160" s="24" t="s">
        <v>1110</v>
      </c>
      <c r="J160" s="24" t="s">
        <v>1046</v>
      </c>
      <c r="K160" s="24" t="s">
        <v>248</v>
      </c>
      <c r="L160" s="24" t="s">
        <v>1059</v>
      </c>
      <c r="M160" s="24" t="s">
        <v>1051</v>
      </c>
      <c r="N160" s="24" t="s">
        <v>1112</v>
      </c>
      <c r="O160" s="24" t="str">
        <f t="shared" si="3"/>
        <v>505VE</v>
      </c>
      <c r="P160" s="24" t="s">
        <v>43</v>
      </c>
    </row>
    <row r="161" spans="3:16" x14ac:dyDescent="0.25">
      <c r="C161" s="24" t="s">
        <v>960</v>
      </c>
      <c r="D161" s="24" t="s">
        <v>961</v>
      </c>
      <c r="E161" s="24" t="s">
        <v>961</v>
      </c>
      <c r="F161" s="24">
        <v>5</v>
      </c>
      <c r="G161" s="24" t="s">
        <v>376</v>
      </c>
      <c r="H161" s="24" t="s">
        <v>81</v>
      </c>
      <c r="I161" s="24" t="s">
        <v>1114</v>
      </c>
      <c r="J161" s="24" t="s">
        <v>1046</v>
      </c>
      <c r="K161" s="24" t="s">
        <v>160</v>
      </c>
      <c r="L161" s="24" t="s">
        <v>1058</v>
      </c>
      <c r="M161" s="24" t="s">
        <v>1051</v>
      </c>
      <c r="N161" s="3" t="s">
        <v>984</v>
      </c>
      <c r="O161" s="24" t="str">
        <f t="shared" si="3"/>
        <v>505WD</v>
      </c>
      <c r="P161" s="24" t="s">
        <v>43</v>
      </c>
    </row>
    <row r="162" spans="3:16" x14ac:dyDescent="0.25">
      <c r="C162" s="24" t="s">
        <v>754</v>
      </c>
      <c r="D162" s="24" t="s">
        <v>755</v>
      </c>
      <c r="E162" s="24" t="s">
        <v>755</v>
      </c>
      <c r="F162" s="24">
        <v>5</v>
      </c>
      <c r="G162" s="24" t="s">
        <v>376</v>
      </c>
      <c r="H162" s="24" t="s">
        <v>81</v>
      </c>
      <c r="I162" s="24" t="s">
        <v>1114</v>
      </c>
      <c r="J162" s="24" t="s">
        <v>1031</v>
      </c>
      <c r="K162" s="24" t="s">
        <v>1048</v>
      </c>
      <c r="L162" s="24" t="s">
        <v>1074</v>
      </c>
      <c r="M162" s="24" t="s">
        <v>1074</v>
      </c>
      <c r="N162" s="3" t="s">
        <v>378</v>
      </c>
      <c r="O162" s="24" t="str">
        <f t="shared" si="3"/>
        <v>505XC</v>
      </c>
      <c r="P162" s="24" t="s">
        <v>43</v>
      </c>
    </row>
    <row r="163" spans="3:16" x14ac:dyDescent="0.25">
      <c r="C163" s="24" t="s">
        <v>872</v>
      </c>
      <c r="D163" s="24" t="s">
        <v>873</v>
      </c>
      <c r="E163" s="24" t="s">
        <v>874</v>
      </c>
      <c r="F163" s="24">
        <v>5</v>
      </c>
      <c r="G163" s="24" t="s">
        <v>376</v>
      </c>
      <c r="H163" s="24" t="s">
        <v>81</v>
      </c>
      <c r="I163" s="24" t="s">
        <v>1114</v>
      </c>
      <c r="J163" s="24" t="s">
        <v>1046</v>
      </c>
      <c r="K163" s="24" t="s">
        <v>132</v>
      </c>
      <c r="L163" s="24" t="s">
        <v>1060</v>
      </c>
      <c r="M163" s="24" t="s">
        <v>1051</v>
      </c>
      <c r="N163" s="24" t="s">
        <v>1035</v>
      </c>
      <c r="O163" s="24" t="str">
        <f t="shared" si="3"/>
        <v>506HQ</v>
      </c>
      <c r="P163" s="24" t="s">
        <v>43</v>
      </c>
    </row>
    <row r="164" spans="3:16" x14ac:dyDescent="0.25">
      <c r="C164" s="24" t="s">
        <v>117</v>
      </c>
      <c r="D164" s="24" t="s">
        <v>118</v>
      </c>
      <c r="E164" s="24" t="s">
        <v>118</v>
      </c>
      <c r="F164" s="24">
        <v>5</v>
      </c>
      <c r="G164" s="24" t="s">
        <v>37</v>
      </c>
      <c r="H164" s="24" t="s">
        <v>81</v>
      </c>
      <c r="I164" s="24" t="s">
        <v>1120</v>
      </c>
      <c r="J164" s="24" t="s">
        <v>1046</v>
      </c>
      <c r="K164" s="24">
        <v>0</v>
      </c>
      <c r="L164" s="24" t="s">
        <v>1064</v>
      </c>
      <c r="M164" s="24" t="s">
        <v>1051</v>
      </c>
      <c r="N164" s="24" t="s">
        <v>1053</v>
      </c>
      <c r="O164" s="24" t="str">
        <f t="shared" si="3"/>
        <v>506J6</v>
      </c>
      <c r="P164" s="24" t="s">
        <v>43</v>
      </c>
    </row>
    <row r="165" spans="3:16" x14ac:dyDescent="0.25">
      <c r="C165" s="24" t="s">
        <v>594</v>
      </c>
      <c r="D165" s="24" t="s">
        <v>595</v>
      </c>
      <c r="E165" s="24" t="s">
        <v>595</v>
      </c>
      <c r="F165" s="24">
        <v>5</v>
      </c>
      <c r="G165" s="24" t="s">
        <v>376</v>
      </c>
      <c r="H165" s="24" t="s">
        <v>88</v>
      </c>
      <c r="I165" s="24" t="s">
        <v>1114</v>
      </c>
      <c r="J165" s="24" t="s">
        <v>1046</v>
      </c>
      <c r="K165" s="24" t="s">
        <v>50</v>
      </c>
      <c r="L165" s="24" t="s">
        <v>1092</v>
      </c>
      <c r="M165" s="24" t="s">
        <v>1051</v>
      </c>
      <c r="N165" s="3" t="s">
        <v>984</v>
      </c>
      <c r="O165" s="24" t="str">
        <f t="shared" si="3"/>
        <v>506RS</v>
      </c>
      <c r="P165" s="24" t="s">
        <v>43</v>
      </c>
    </row>
    <row r="166" spans="3:16" x14ac:dyDescent="0.25">
      <c r="C166" s="24" t="s">
        <v>119</v>
      </c>
      <c r="D166" s="24" t="s">
        <v>120</v>
      </c>
      <c r="E166" s="24" t="s">
        <v>120</v>
      </c>
      <c r="F166" s="24">
        <v>5</v>
      </c>
      <c r="G166" s="24" t="s">
        <v>37</v>
      </c>
      <c r="H166" s="24" t="s">
        <v>81</v>
      </c>
      <c r="I166" s="24" t="s">
        <v>1120</v>
      </c>
      <c r="J166" s="24" t="s">
        <v>1046</v>
      </c>
      <c r="K166" s="24" t="s">
        <v>63</v>
      </c>
      <c r="L166" s="24" t="s">
        <v>1065</v>
      </c>
      <c r="M166" s="24" t="s">
        <v>1051</v>
      </c>
      <c r="N166" s="24" t="s">
        <v>1112</v>
      </c>
      <c r="O166" s="24" t="str">
        <f t="shared" si="3"/>
        <v>506ZY</v>
      </c>
      <c r="P166" s="24" t="s">
        <v>43</v>
      </c>
    </row>
    <row r="167" spans="3:16" x14ac:dyDescent="0.25">
      <c r="C167" s="24" t="s">
        <v>121</v>
      </c>
      <c r="D167" s="24" t="s">
        <v>122</v>
      </c>
      <c r="E167" s="24" t="s">
        <v>123</v>
      </c>
      <c r="F167" s="24">
        <v>5</v>
      </c>
      <c r="G167" s="24" t="s">
        <v>37</v>
      </c>
      <c r="H167" s="24" t="s">
        <v>81</v>
      </c>
      <c r="I167" s="24" t="s">
        <v>1114</v>
      </c>
      <c r="J167" s="24" t="s">
        <v>1046</v>
      </c>
      <c r="K167" s="24" t="s">
        <v>73</v>
      </c>
      <c r="L167" s="24" t="s">
        <v>1093</v>
      </c>
      <c r="M167" s="24" t="s">
        <v>1088</v>
      </c>
      <c r="N167" s="3" t="s">
        <v>378</v>
      </c>
      <c r="O167" s="24" t="str">
        <f t="shared" si="3"/>
        <v>508NJ</v>
      </c>
      <c r="P167" s="24" t="s">
        <v>43</v>
      </c>
    </row>
    <row r="168" spans="3:16" x14ac:dyDescent="0.25">
      <c r="C168" s="24" t="s">
        <v>124</v>
      </c>
      <c r="D168" s="24" t="s">
        <v>125</v>
      </c>
      <c r="E168" s="24" t="s">
        <v>125</v>
      </c>
      <c r="F168" s="24">
        <v>5</v>
      </c>
      <c r="G168" s="24" t="s">
        <v>37</v>
      </c>
      <c r="H168" s="24" t="s">
        <v>81</v>
      </c>
      <c r="I168" s="24" t="s">
        <v>1114</v>
      </c>
      <c r="J168" s="24" t="s">
        <v>1046</v>
      </c>
      <c r="K168" s="24">
        <v>0</v>
      </c>
      <c r="L168" s="24" t="s">
        <v>1059</v>
      </c>
      <c r="M168" s="24" t="s">
        <v>1051</v>
      </c>
      <c r="N168" s="24" t="s">
        <v>1053</v>
      </c>
      <c r="O168" s="24" t="str">
        <f t="shared" si="3"/>
        <v>5091B</v>
      </c>
      <c r="P168" s="24" t="s">
        <v>43</v>
      </c>
    </row>
    <row r="169" spans="3:16" x14ac:dyDescent="0.25">
      <c r="C169" s="24" t="s">
        <v>126</v>
      </c>
      <c r="D169" s="24" t="s">
        <v>127</v>
      </c>
      <c r="E169" s="24" t="s">
        <v>128</v>
      </c>
      <c r="F169" s="24">
        <v>5</v>
      </c>
      <c r="G169" s="24" t="s">
        <v>37</v>
      </c>
      <c r="H169" s="24" t="s">
        <v>81</v>
      </c>
      <c r="I169" s="24" t="s">
        <v>1120</v>
      </c>
      <c r="J169" s="24" t="s">
        <v>1046</v>
      </c>
      <c r="K169" s="24" t="s">
        <v>73</v>
      </c>
      <c r="L169" s="24" t="s">
        <v>1094</v>
      </c>
      <c r="M169" s="24" t="s">
        <v>1090</v>
      </c>
      <c r="N169" s="3" t="s">
        <v>378</v>
      </c>
      <c r="O169" s="24" t="str">
        <f t="shared" si="3"/>
        <v>509H6</v>
      </c>
      <c r="P169" s="24" t="s">
        <v>43</v>
      </c>
    </row>
    <row r="170" spans="3:16" x14ac:dyDescent="0.25">
      <c r="C170" s="24" t="s">
        <v>546</v>
      </c>
      <c r="D170" s="24" t="s">
        <v>547</v>
      </c>
      <c r="E170" s="24" t="s">
        <v>547</v>
      </c>
      <c r="F170" s="24">
        <v>5</v>
      </c>
      <c r="G170" s="24" t="s">
        <v>376</v>
      </c>
      <c r="H170" s="24" t="s">
        <v>81</v>
      </c>
      <c r="I170" s="24" t="s">
        <v>1110</v>
      </c>
      <c r="J170" s="24" t="s">
        <v>1046</v>
      </c>
      <c r="K170" s="24" t="s">
        <v>100</v>
      </c>
      <c r="L170" s="24" t="s">
        <v>1060</v>
      </c>
      <c r="M170" s="24" t="s">
        <v>1051</v>
      </c>
      <c r="N170" s="24" t="s">
        <v>1035</v>
      </c>
      <c r="O170" s="24" t="str">
        <f t="shared" si="3"/>
        <v>50AC1</v>
      </c>
      <c r="P170" s="24" t="s">
        <v>43</v>
      </c>
    </row>
    <row r="171" spans="3:16" x14ac:dyDescent="0.25">
      <c r="C171" s="24" t="s">
        <v>130</v>
      </c>
      <c r="D171" s="24" t="s">
        <v>131</v>
      </c>
      <c r="E171" s="24" t="s">
        <v>131</v>
      </c>
      <c r="F171" s="24">
        <v>5</v>
      </c>
      <c r="G171" s="24" t="s">
        <v>37</v>
      </c>
      <c r="H171" s="24" t="s">
        <v>81</v>
      </c>
      <c r="I171" s="24" t="s">
        <v>1114</v>
      </c>
      <c r="J171" s="24" t="s">
        <v>1046</v>
      </c>
      <c r="K171" s="24" t="s">
        <v>132</v>
      </c>
      <c r="L171" s="24" t="s">
        <v>1082</v>
      </c>
      <c r="M171" s="24" t="s">
        <v>1051</v>
      </c>
      <c r="N171" s="24" t="s">
        <v>1035</v>
      </c>
      <c r="O171" s="24" t="str">
        <f t="shared" si="3"/>
        <v>50AFU</v>
      </c>
      <c r="P171" s="24" t="s">
        <v>43</v>
      </c>
    </row>
    <row r="172" spans="3:16" x14ac:dyDescent="0.25">
      <c r="C172" s="24" t="s">
        <v>134</v>
      </c>
      <c r="D172" s="24" t="s">
        <v>135</v>
      </c>
      <c r="E172" s="24" t="s">
        <v>135</v>
      </c>
      <c r="F172" s="24">
        <v>5</v>
      </c>
      <c r="G172" s="24" t="s">
        <v>37</v>
      </c>
      <c r="H172" s="24" t="s">
        <v>81</v>
      </c>
      <c r="I172" s="24" t="s">
        <v>1120</v>
      </c>
      <c r="J172" s="24" t="s">
        <v>1046</v>
      </c>
      <c r="K172" s="24" t="s">
        <v>132</v>
      </c>
      <c r="L172" s="24" t="s">
        <v>1059</v>
      </c>
      <c r="M172" s="24" t="s">
        <v>1051</v>
      </c>
      <c r="N172" s="24" t="s">
        <v>1035</v>
      </c>
      <c r="O172" s="24" t="str">
        <f t="shared" si="3"/>
        <v>50AGU</v>
      </c>
      <c r="P172" s="24" t="s">
        <v>43</v>
      </c>
    </row>
    <row r="173" spans="3:16" x14ac:dyDescent="0.25">
      <c r="C173" s="24" t="s">
        <v>136</v>
      </c>
      <c r="D173" s="24" t="s">
        <v>137</v>
      </c>
      <c r="E173" s="24" t="s">
        <v>137</v>
      </c>
      <c r="F173" s="24">
        <v>5</v>
      </c>
      <c r="G173" s="24" t="s">
        <v>37</v>
      </c>
      <c r="H173" s="24" t="s">
        <v>88</v>
      </c>
      <c r="I173" s="24" t="s">
        <v>1120</v>
      </c>
      <c r="J173" s="24" t="s">
        <v>1046</v>
      </c>
      <c r="K173" s="24" t="s">
        <v>58</v>
      </c>
      <c r="L173" s="24" t="s">
        <v>1060</v>
      </c>
      <c r="M173" s="24" t="s">
        <v>1051</v>
      </c>
      <c r="N173" s="24" t="s">
        <v>1112</v>
      </c>
      <c r="O173" s="24" t="str">
        <f t="shared" si="3"/>
        <v>50AJL</v>
      </c>
      <c r="P173" s="24" t="s">
        <v>43</v>
      </c>
    </row>
    <row r="174" spans="3:16" x14ac:dyDescent="0.25">
      <c r="C174" s="24" t="s">
        <v>139</v>
      </c>
      <c r="D174" s="24" t="s">
        <v>140</v>
      </c>
      <c r="E174" s="24" t="s">
        <v>140</v>
      </c>
      <c r="F174" s="24">
        <v>5</v>
      </c>
      <c r="G174" s="24" t="s">
        <v>37</v>
      </c>
      <c r="H174" s="24" t="s">
        <v>88</v>
      </c>
      <c r="I174" s="24" t="s">
        <v>1114</v>
      </c>
      <c r="J174" s="24" t="s">
        <v>1046</v>
      </c>
      <c r="K174" s="24" t="s">
        <v>89</v>
      </c>
      <c r="L174" s="24" t="s">
        <v>1075</v>
      </c>
      <c r="M174" s="24" t="s">
        <v>1076</v>
      </c>
      <c r="N174" s="3" t="s">
        <v>378</v>
      </c>
      <c r="O174" s="24" t="str">
        <f t="shared" si="3"/>
        <v>50AL4</v>
      </c>
      <c r="P174" s="24" t="s">
        <v>43</v>
      </c>
    </row>
    <row r="175" spans="3:16" x14ac:dyDescent="0.25">
      <c r="C175" s="24" t="s">
        <v>411</v>
      </c>
      <c r="D175" s="24" t="s">
        <v>412</v>
      </c>
      <c r="E175" s="24" t="s">
        <v>412</v>
      </c>
      <c r="F175" s="24">
        <v>5</v>
      </c>
      <c r="G175" s="24" t="s">
        <v>376</v>
      </c>
      <c r="H175" s="24" t="s">
        <v>46</v>
      </c>
      <c r="I175" s="24" t="s">
        <v>1114</v>
      </c>
      <c r="J175" s="24" t="s">
        <v>1031</v>
      </c>
      <c r="K175" s="24" t="s">
        <v>63</v>
      </c>
      <c r="L175" s="24" t="s">
        <v>1060</v>
      </c>
      <c r="M175" s="24" t="s">
        <v>1051</v>
      </c>
      <c r="N175" s="24" t="s">
        <v>1112</v>
      </c>
      <c r="O175" s="24" t="str">
        <f t="shared" si="3"/>
        <v>50ALM</v>
      </c>
      <c r="P175" s="24" t="s">
        <v>440</v>
      </c>
    </row>
    <row r="176" spans="3:16" x14ac:dyDescent="0.25">
      <c r="C176" s="24" t="s">
        <v>578</v>
      </c>
      <c r="D176" s="24" t="s">
        <v>579</v>
      </c>
      <c r="E176" s="24" t="s">
        <v>579</v>
      </c>
      <c r="F176" s="24">
        <v>5</v>
      </c>
      <c r="G176" s="24" t="s">
        <v>376</v>
      </c>
      <c r="H176" s="24" t="s">
        <v>46</v>
      </c>
      <c r="I176" s="24" t="s">
        <v>1110</v>
      </c>
      <c r="J176" s="24" t="s">
        <v>1046</v>
      </c>
      <c r="K176" s="24" t="s">
        <v>331</v>
      </c>
      <c r="L176" s="24" t="s">
        <v>1060</v>
      </c>
      <c r="M176" s="24" t="s">
        <v>1051</v>
      </c>
      <c r="N176" s="3" t="s">
        <v>984</v>
      </c>
      <c r="O176" s="24" t="str">
        <f t="shared" si="3"/>
        <v>50AMA</v>
      </c>
      <c r="P176" s="24" t="s">
        <v>43</v>
      </c>
    </row>
    <row r="177" spans="3:16" x14ac:dyDescent="0.25">
      <c r="C177" s="24" t="s">
        <v>908</v>
      </c>
      <c r="D177" s="24" t="s">
        <v>909</v>
      </c>
      <c r="E177" s="24" t="s">
        <v>910</v>
      </c>
      <c r="F177" s="24">
        <v>5</v>
      </c>
      <c r="G177" s="24" t="s">
        <v>376</v>
      </c>
      <c r="H177" s="24" t="s">
        <v>88</v>
      </c>
      <c r="I177" s="24" t="s">
        <v>1114</v>
      </c>
      <c r="J177" s="24" t="s">
        <v>1046</v>
      </c>
      <c r="K177" s="24" t="s">
        <v>73</v>
      </c>
      <c r="L177" s="24" t="s">
        <v>1095</v>
      </c>
      <c r="M177" s="24" t="s">
        <v>1051</v>
      </c>
      <c r="N177" s="3" t="s">
        <v>378</v>
      </c>
      <c r="O177" s="24" t="str">
        <f t="shared" si="3"/>
        <v>50APB</v>
      </c>
      <c r="P177" s="24" t="s">
        <v>43</v>
      </c>
    </row>
    <row r="178" spans="3:16" x14ac:dyDescent="0.25">
      <c r="C178" s="24" t="s">
        <v>413</v>
      </c>
      <c r="D178" s="24" t="s">
        <v>414</v>
      </c>
      <c r="E178" s="24" t="s">
        <v>414</v>
      </c>
      <c r="F178" s="24">
        <v>5</v>
      </c>
      <c r="G178" s="24" t="s">
        <v>376</v>
      </c>
      <c r="H178" s="24" t="s">
        <v>46</v>
      </c>
      <c r="I178" s="24" t="s">
        <v>1114</v>
      </c>
      <c r="J178" s="24" t="s">
        <v>1031</v>
      </c>
      <c r="K178" s="24" t="s">
        <v>63</v>
      </c>
      <c r="L178" s="24" t="s">
        <v>1060</v>
      </c>
      <c r="M178" s="24" t="s">
        <v>1051</v>
      </c>
      <c r="N178" s="24" t="s">
        <v>1112</v>
      </c>
      <c r="O178" s="24" t="str">
        <f t="shared" si="3"/>
        <v>50APO</v>
      </c>
      <c r="P178" s="24" t="s">
        <v>43</v>
      </c>
    </row>
    <row r="179" spans="3:16" x14ac:dyDescent="0.25">
      <c r="C179" s="24" t="s">
        <v>580</v>
      </c>
      <c r="D179" s="24" t="s">
        <v>581</v>
      </c>
      <c r="E179" s="24" t="s">
        <v>581</v>
      </c>
      <c r="F179" s="24">
        <v>5</v>
      </c>
      <c r="G179" s="24" t="s">
        <v>376</v>
      </c>
      <c r="H179" s="24" t="s">
        <v>46</v>
      </c>
      <c r="I179" s="24" t="s">
        <v>1110</v>
      </c>
      <c r="J179" s="24" t="s">
        <v>1046</v>
      </c>
      <c r="K179" s="24" t="s">
        <v>331</v>
      </c>
      <c r="L179" s="24" t="s">
        <v>1060</v>
      </c>
      <c r="M179" s="24" t="s">
        <v>1051</v>
      </c>
      <c r="N179" s="3" t="s">
        <v>984</v>
      </c>
      <c r="O179" s="24" t="str">
        <f t="shared" si="3"/>
        <v>50AQL</v>
      </c>
      <c r="P179" s="24" t="s">
        <v>43</v>
      </c>
    </row>
    <row r="180" spans="3:16" x14ac:dyDescent="0.25">
      <c r="C180" s="24" t="s">
        <v>756</v>
      </c>
      <c r="D180" s="24" t="s">
        <v>757</v>
      </c>
      <c r="E180" s="24" t="s">
        <v>757</v>
      </c>
      <c r="F180" s="25">
        <v>6</v>
      </c>
      <c r="G180" s="24" t="s">
        <v>376</v>
      </c>
      <c r="H180" s="24" t="s">
        <v>46</v>
      </c>
      <c r="I180" s="24" t="s">
        <v>1114</v>
      </c>
      <c r="J180" s="24" t="s">
        <v>1031</v>
      </c>
      <c r="K180" s="24" t="s">
        <v>1048</v>
      </c>
      <c r="L180" s="24" t="s">
        <v>1061</v>
      </c>
      <c r="M180" s="24" t="s">
        <v>1074</v>
      </c>
      <c r="N180" s="3" t="s">
        <v>378</v>
      </c>
      <c r="O180" s="24" t="str">
        <f t="shared" si="3"/>
        <v>50ARL</v>
      </c>
      <c r="P180" s="24" t="s">
        <v>43</v>
      </c>
    </row>
    <row r="181" spans="3:16" x14ac:dyDescent="0.25">
      <c r="C181" s="24" t="s">
        <v>812</v>
      </c>
      <c r="D181" s="24" t="s">
        <v>813</v>
      </c>
      <c r="E181" s="24" t="s">
        <v>813</v>
      </c>
      <c r="F181" s="24">
        <v>5</v>
      </c>
      <c r="G181" s="24" t="s">
        <v>376</v>
      </c>
      <c r="H181" s="24" t="s">
        <v>46</v>
      </c>
      <c r="I181" s="24" t="s">
        <v>1110</v>
      </c>
      <c r="J181" s="24" t="s">
        <v>1046</v>
      </c>
      <c r="K181" s="24" t="s">
        <v>146</v>
      </c>
      <c r="L181" s="24" t="s">
        <v>1064</v>
      </c>
      <c r="M181" s="24" t="s">
        <v>1051</v>
      </c>
      <c r="N181" s="24" t="s">
        <v>1035</v>
      </c>
      <c r="O181" s="24" t="str">
        <f t="shared" si="3"/>
        <v>50AVA</v>
      </c>
      <c r="P181" s="24" t="s">
        <v>43</v>
      </c>
    </row>
    <row r="182" spans="3:16" x14ac:dyDescent="0.25">
      <c r="C182" s="24" t="s">
        <v>141</v>
      </c>
      <c r="D182" s="24" t="s">
        <v>142</v>
      </c>
      <c r="E182" s="24" t="s">
        <v>142</v>
      </c>
      <c r="F182" s="24">
        <v>5</v>
      </c>
      <c r="G182" s="24" t="s">
        <v>37</v>
      </c>
      <c r="H182" s="24" t="s">
        <v>81</v>
      </c>
      <c r="I182" s="24" t="s">
        <v>1114</v>
      </c>
      <c r="J182" s="24" t="s">
        <v>1046</v>
      </c>
      <c r="K182" s="24">
        <v>0</v>
      </c>
      <c r="L182" s="24" t="s">
        <v>1096</v>
      </c>
      <c r="M182" s="24" t="s">
        <v>1051</v>
      </c>
      <c r="N182" s="24" t="s">
        <v>1053</v>
      </c>
      <c r="O182" s="24" t="str">
        <f t="shared" si="3"/>
        <v>50AZF</v>
      </c>
      <c r="P182" s="24" t="s">
        <v>43</v>
      </c>
    </row>
    <row r="183" spans="3:16" x14ac:dyDescent="0.25">
      <c r="C183" s="24" t="s">
        <v>437</v>
      </c>
      <c r="D183" s="24" t="s">
        <v>438</v>
      </c>
      <c r="E183" s="24" t="s">
        <v>439</v>
      </c>
      <c r="F183" s="24">
        <v>5</v>
      </c>
      <c r="G183" s="24" t="s">
        <v>376</v>
      </c>
      <c r="H183" s="24" t="s">
        <v>88</v>
      </c>
      <c r="I183" s="24" t="s">
        <v>1111</v>
      </c>
      <c r="J183" s="24" t="s">
        <v>1046</v>
      </c>
      <c r="K183" s="24" t="s">
        <v>94</v>
      </c>
      <c r="L183" s="24" t="s">
        <v>1065</v>
      </c>
      <c r="M183" s="24" t="s">
        <v>1051</v>
      </c>
      <c r="N183" s="24" t="s">
        <v>1035</v>
      </c>
      <c r="O183" s="24" t="str">
        <f t="shared" si="3"/>
        <v>50B51</v>
      </c>
      <c r="P183" s="24" t="s">
        <v>43</v>
      </c>
    </row>
    <row r="184" spans="3:16" x14ac:dyDescent="0.25">
      <c r="C184" s="24" t="s">
        <v>497</v>
      </c>
      <c r="D184" s="24" t="s">
        <v>498</v>
      </c>
      <c r="E184" s="24" t="s">
        <v>499</v>
      </c>
      <c r="F184" s="25">
        <v>5.45</v>
      </c>
      <c r="G184" s="24" t="s">
        <v>376</v>
      </c>
      <c r="H184" s="24" t="s">
        <v>46</v>
      </c>
      <c r="I184" s="24" t="s">
        <v>1110</v>
      </c>
      <c r="J184" s="24" t="s">
        <v>1046</v>
      </c>
      <c r="K184" s="24" t="s">
        <v>58</v>
      </c>
      <c r="L184" s="24" t="s">
        <v>1059</v>
      </c>
      <c r="M184" s="24" t="s">
        <v>1051</v>
      </c>
      <c r="N184" s="24" t="s">
        <v>1112</v>
      </c>
      <c r="O184" s="24" t="str">
        <f t="shared" si="3"/>
        <v>50BAR</v>
      </c>
      <c r="P184" s="24" t="s">
        <v>43</v>
      </c>
    </row>
    <row r="185" spans="3:16" x14ac:dyDescent="0.25">
      <c r="C185" s="24" t="s">
        <v>144</v>
      </c>
      <c r="D185" s="24" t="s">
        <v>145</v>
      </c>
      <c r="E185" s="24" t="s">
        <v>145</v>
      </c>
      <c r="F185" s="24">
        <v>5</v>
      </c>
      <c r="G185" s="24" t="s">
        <v>37</v>
      </c>
      <c r="H185" s="24" t="s">
        <v>46</v>
      </c>
      <c r="I185" s="24" t="s">
        <v>1111</v>
      </c>
      <c r="J185" s="24" t="s">
        <v>1046</v>
      </c>
      <c r="K185" s="24" t="s">
        <v>146</v>
      </c>
      <c r="L185" s="24" t="s">
        <v>1060</v>
      </c>
      <c r="M185" s="24" t="s">
        <v>1051</v>
      </c>
      <c r="N185" s="24" t="s">
        <v>1035</v>
      </c>
      <c r="O185" s="24" t="str">
        <f t="shared" si="3"/>
        <v>50BER</v>
      </c>
      <c r="P185" s="24" t="s">
        <v>43</v>
      </c>
    </row>
    <row r="186" spans="3:16" x14ac:dyDescent="0.25">
      <c r="C186" s="24" t="s">
        <v>784</v>
      </c>
      <c r="D186" s="24" t="s">
        <v>785</v>
      </c>
      <c r="E186" s="24" t="s">
        <v>785</v>
      </c>
      <c r="F186" s="24">
        <v>5</v>
      </c>
      <c r="G186" s="24" t="s">
        <v>376</v>
      </c>
      <c r="H186" s="24" t="s">
        <v>81</v>
      </c>
      <c r="I186" s="24" t="s">
        <v>1114</v>
      </c>
      <c r="J186" s="24" t="s">
        <v>1031</v>
      </c>
      <c r="K186" s="24" t="s">
        <v>89</v>
      </c>
      <c r="L186" s="24" t="s">
        <v>1075</v>
      </c>
      <c r="M186" s="24" t="s">
        <v>1076</v>
      </c>
      <c r="N186" s="3" t="s">
        <v>378</v>
      </c>
      <c r="O186" s="24" t="str">
        <f t="shared" si="3"/>
        <v>50BFI</v>
      </c>
      <c r="P186" s="24" t="s">
        <v>43</v>
      </c>
    </row>
    <row r="187" spans="3:16" x14ac:dyDescent="0.25">
      <c r="C187" s="24" t="s">
        <v>147</v>
      </c>
      <c r="D187" s="24" t="s">
        <v>148</v>
      </c>
      <c r="E187" s="24" t="s">
        <v>148</v>
      </c>
      <c r="F187" s="24">
        <v>5</v>
      </c>
      <c r="G187" s="24" t="s">
        <v>37</v>
      </c>
      <c r="H187" s="24" t="s">
        <v>46</v>
      </c>
      <c r="I187" s="24" t="s">
        <v>1120</v>
      </c>
      <c r="J187" s="24" t="s">
        <v>1046</v>
      </c>
      <c r="K187" s="24" t="s">
        <v>50</v>
      </c>
      <c r="L187" s="24" t="s">
        <v>1059</v>
      </c>
      <c r="M187" s="24" t="s">
        <v>1051</v>
      </c>
      <c r="N187" s="3" t="s">
        <v>984</v>
      </c>
      <c r="O187" s="24" t="str">
        <f t="shared" si="3"/>
        <v>50BLL</v>
      </c>
      <c r="P187" s="24" t="s">
        <v>43</v>
      </c>
    </row>
    <row r="188" spans="3:16" x14ac:dyDescent="0.25">
      <c r="C188" s="24" t="s">
        <v>149</v>
      </c>
      <c r="D188" s="24" t="s">
        <v>150</v>
      </c>
      <c r="E188" s="24" t="s">
        <v>150</v>
      </c>
      <c r="F188" s="24">
        <v>5</v>
      </c>
      <c r="G188" s="24" t="s">
        <v>37</v>
      </c>
      <c r="H188" s="24" t="s">
        <v>81</v>
      </c>
      <c r="I188" s="24" t="s">
        <v>1114</v>
      </c>
      <c r="J188" s="24" t="s">
        <v>1046</v>
      </c>
      <c r="K188" s="24" t="s">
        <v>100</v>
      </c>
      <c r="L188" s="24" t="s">
        <v>1064</v>
      </c>
      <c r="M188" s="24" t="s">
        <v>1051</v>
      </c>
      <c r="N188" s="24" t="s">
        <v>1035</v>
      </c>
      <c r="O188" s="24" t="str">
        <f t="shared" si="3"/>
        <v>50BMP</v>
      </c>
      <c r="P188" s="24" t="s">
        <v>43</v>
      </c>
    </row>
    <row r="189" spans="3:16" x14ac:dyDescent="0.25">
      <c r="C189" s="24" t="s">
        <v>151</v>
      </c>
      <c r="D189" s="24" t="s">
        <v>152</v>
      </c>
      <c r="E189" s="24" t="s">
        <v>152</v>
      </c>
      <c r="F189" s="24">
        <v>5</v>
      </c>
      <c r="G189" s="24" t="s">
        <v>37</v>
      </c>
      <c r="H189" s="24" t="s">
        <v>88</v>
      </c>
      <c r="I189" s="24" t="s">
        <v>1111</v>
      </c>
      <c r="J189" s="24" t="s">
        <v>1046</v>
      </c>
      <c r="K189" s="24" t="s">
        <v>132</v>
      </c>
      <c r="L189" s="24" t="s">
        <v>1082</v>
      </c>
      <c r="M189" s="24" t="s">
        <v>1051</v>
      </c>
      <c r="N189" s="24" t="s">
        <v>1035</v>
      </c>
      <c r="O189" s="24" t="str">
        <f t="shared" si="3"/>
        <v>50CEI</v>
      </c>
      <c r="P189" s="24" t="s">
        <v>43</v>
      </c>
    </row>
    <row r="190" spans="3:16" x14ac:dyDescent="0.25">
      <c r="C190" s="24" t="s">
        <v>786</v>
      </c>
      <c r="D190" s="24" t="s">
        <v>787</v>
      </c>
      <c r="E190" s="24" t="s">
        <v>787</v>
      </c>
      <c r="F190" s="24">
        <v>5</v>
      </c>
      <c r="G190" s="24" t="s">
        <v>376</v>
      </c>
      <c r="H190" s="24" t="s">
        <v>88</v>
      </c>
      <c r="I190" s="24" t="s">
        <v>1111</v>
      </c>
      <c r="J190" s="24" t="s">
        <v>1031</v>
      </c>
      <c r="K190" s="24" t="s">
        <v>89</v>
      </c>
      <c r="L190" s="24" t="s">
        <v>1075</v>
      </c>
      <c r="M190" s="24" t="s">
        <v>1076</v>
      </c>
      <c r="N190" s="3" t="s">
        <v>378</v>
      </c>
      <c r="O190" s="24" t="str">
        <f t="shared" si="3"/>
        <v>50CLM</v>
      </c>
      <c r="P190" s="24" t="s">
        <v>43</v>
      </c>
    </row>
    <row r="191" spans="3:16" x14ac:dyDescent="0.25">
      <c r="C191" s="24" t="s">
        <v>582</v>
      </c>
      <c r="D191" s="24" t="s">
        <v>583</v>
      </c>
      <c r="E191" s="24" t="s">
        <v>583</v>
      </c>
      <c r="F191" s="24">
        <v>5</v>
      </c>
      <c r="G191" s="24" t="s">
        <v>376</v>
      </c>
      <c r="H191" s="24" t="s">
        <v>46</v>
      </c>
      <c r="I191" s="24" t="s">
        <v>1110</v>
      </c>
      <c r="J191" s="24" t="s">
        <v>1046</v>
      </c>
      <c r="K191" s="24" t="s">
        <v>331</v>
      </c>
      <c r="L191" s="24" t="s">
        <v>1060</v>
      </c>
      <c r="M191" s="24" t="s">
        <v>1051</v>
      </c>
      <c r="N191" s="3" t="s">
        <v>984</v>
      </c>
      <c r="O191" s="24" t="str">
        <f t="shared" si="3"/>
        <v>50COL</v>
      </c>
      <c r="P191" s="24" t="s">
        <v>43</v>
      </c>
    </row>
    <row r="192" spans="3:16" x14ac:dyDescent="0.25">
      <c r="C192" s="24" t="s">
        <v>714</v>
      </c>
      <c r="D192" s="24" t="s">
        <v>715</v>
      </c>
      <c r="E192" s="24" t="s">
        <v>715</v>
      </c>
      <c r="F192" s="24">
        <v>5</v>
      </c>
      <c r="G192" s="24" t="s">
        <v>376</v>
      </c>
      <c r="H192" s="24" t="s">
        <v>81</v>
      </c>
      <c r="I192" s="24" t="s">
        <v>1114</v>
      </c>
      <c r="J192" s="24" t="s">
        <v>1031</v>
      </c>
      <c r="K192" s="24" t="s">
        <v>84</v>
      </c>
      <c r="L192" s="24" t="s">
        <v>1061</v>
      </c>
      <c r="M192" s="24" t="s">
        <v>1074</v>
      </c>
      <c r="N192" s="3" t="s">
        <v>378</v>
      </c>
      <c r="O192" s="24" t="str">
        <f t="shared" si="3"/>
        <v>50D6N</v>
      </c>
      <c r="P192" s="24" t="s">
        <v>43</v>
      </c>
    </row>
    <row r="193" spans="3:16" x14ac:dyDescent="0.25">
      <c r="C193" s="24" t="s">
        <v>153</v>
      </c>
      <c r="D193" s="24" t="s">
        <v>154</v>
      </c>
      <c r="E193" s="24" t="s">
        <v>155</v>
      </c>
      <c r="F193" s="24">
        <v>5</v>
      </c>
      <c r="G193" s="24" t="s">
        <v>37</v>
      </c>
      <c r="H193" s="24" t="s">
        <v>81</v>
      </c>
      <c r="I193" s="24" t="s">
        <v>1120</v>
      </c>
      <c r="J193" s="24" t="s">
        <v>1046</v>
      </c>
      <c r="K193" s="24" t="s">
        <v>84</v>
      </c>
      <c r="L193" s="24" t="s">
        <v>1061</v>
      </c>
      <c r="M193" s="24" t="s">
        <v>1074</v>
      </c>
      <c r="N193" s="3" t="s">
        <v>378</v>
      </c>
      <c r="O193" s="24" t="str">
        <f t="shared" si="3"/>
        <v>50DBW</v>
      </c>
      <c r="P193" s="24" t="s">
        <v>43</v>
      </c>
    </row>
    <row r="194" spans="3:16" x14ac:dyDescent="0.25">
      <c r="C194" s="24" t="s">
        <v>912</v>
      </c>
      <c r="D194" s="24" t="s">
        <v>913</v>
      </c>
      <c r="E194" s="24" t="s">
        <v>913</v>
      </c>
      <c r="F194" s="24">
        <v>5</v>
      </c>
      <c r="G194" s="24" t="s">
        <v>376</v>
      </c>
      <c r="H194" s="24" t="s">
        <v>81</v>
      </c>
      <c r="I194" s="24" t="s">
        <v>1114</v>
      </c>
      <c r="J194" s="24" t="s">
        <v>1046</v>
      </c>
      <c r="K194" s="24" t="s">
        <v>73</v>
      </c>
      <c r="L194" s="24" t="s">
        <v>1097</v>
      </c>
      <c r="M194" s="24" t="s">
        <v>1051</v>
      </c>
      <c r="N194" s="3" t="s">
        <v>378</v>
      </c>
      <c r="O194" s="24" t="str">
        <f t="shared" si="3"/>
        <v>50DKQ</v>
      </c>
      <c r="P194" s="24" t="s">
        <v>43</v>
      </c>
    </row>
    <row r="195" spans="3:16" x14ac:dyDescent="0.25">
      <c r="C195" s="24" t="s">
        <v>500</v>
      </c>
      <c r="D195" s="24" t="s">
        <v>501</v>
      </c>
      <c r="E195" s="24" t="s">
        <v>501</v>
      </c>
      <c r="F195" s="24">
        <v>5</v>
      </c>
      <c r="G195" s="24" t="s">
        <v>376</v>
      </c>
      <c r="H195" s="24" t="s">
        <v>46</v>
      </c>
      <c r="I195" s="24" t="s">
        <v>1114</v>
      </c>
      <c r="J195" s="24" t="s">
        <v>1046</v>
      </c>
      <c r="K195" s="24" t="s">
        <v>58</v>
      </c>
      <c r="L195" s="24" t="s">
        <v>1059</v>
      </c>
      <c r="M195" s="24" t="s">
        <v>1051</v>
      </c>
      <c r="N195" s="24" t="s">
        <v>1112</v>
      </c>
      <c r="O195" s="24" t="str">
        <f t="shared" si="3"/>
        <v>50DPR</v>
      </c>
      <c r="P195" s="24" t="s">
        <v>43</v>
      </c>
    </row>
    <row r="196" spans="3:16" x14ac:dyDescent="0.25">
      <c r="C196" s="24" t="s">
        <v>441</v>
      </c>
      <c r="D196" s="24" t="s">
        <v>442</v>
      </c>
      <c r="E196" s="24" t="s">
        <v>442</v>
      </c>
      <c r="F196" s="24">
        <v>5</v>
      </c>
      <c r="G196" s="24" t="s">
        <v>376</v>
      </c>
      <c r="H196" s="24" t="s">
        <v>46</v>
      </c>
      <c r="I196" s="24" t="s">
        <v>1110</v>
      </c>
      <c r="J196" s="24" t="s">
        <v>1046</v>
      </c>
      <c r="K196" s="24" t="s">
        <v>94</v>
      </c>
      <c r="L196" s="24" t="s">
        <v>1065</v>
      </c>
      <c r="M196" s="24" t="s">
        <v>1051</v>
      </c>
      <c r="N196" s="24" t="s">
        <v>1035</v>
      </c>
      <c r="O196" s="24" t="str">
        <f t="shared" ref="O196:O259" si="4">C196</f>
        <v>50DWS</v>
      </c>
      <c r="P196" s="24" t="s">
        <v>440</v>
      </c>
    </row>
    <row r="197" spans="3:16" x14ac:dyDescent="0.25">
      <c r="C197" s="24" t="s">
        <v>156</v>
      </c>
      <c r="D197" s="24" t="s">
        <v>157</v>
      </c>
      <c r="E197" s="24" t="s">
        <v>157</v>
      </c>
      <c r="F197" s="24">
        <v>5</v>
      </c>
      <c r="G197" s="24" t="s">
        <v>37</v>
      </c>
      <c r="H197" s="24" t="s">
        <v>46</v>
      </c>
      <c r="I197" s="24" t="s">
        <v>1120</v>
      </c>
      <c r="J197" s="24" t="s">
        <v>1046</v>
      </c>
      <c r="K197" s="24">
        <v>0</v>
      </c>
      <c r="L197" s="24" t="s">
        <v>1059</v>
      </c>
      <c r="M197" s="24" t="s">
        <v>1051</v>
      </c>
      <c r="N197" s="24" t="s">
        <v>1053</v>
      </c>
      <c r="O197" s="24" t="str">
        <f t="shared" si="4"/>
        <v>50DXJ</v>
      </c>
      <c r="P197" s="24" t="s">
        <v>43</v>
      </c>
    </row>
    <row r="198" spans="3:16" x14ac:dyDescent="0.25">
      <c r="C198" s="24" t="s">
        <v>875</v>
      </c>
      <c r="D198" s="24" t="s">
        <v>876</v>
      </c>
      <c r="E198" s="24" t="s">
        <v>876</v>
      </c>
      <c r="F198" s="24">
        <v>5</v>
      </c>
      <c r="G198" s="24" t="s">
        <v>376</v>
      </c>
      <c r="H198" s="24" t="s">
        <v>81</v>
      </c>
      <c r="I198" s="24" t="s">
        <v>1114</v>
      </c>
      <c r="J198" s="24" t="s">
        <v>1046</v>
      </c>
      <c r="K198" s="24" t="s">
        <v>132</v>
      </c>
      <c r="L198" s="24" t="s">
        <v>1077</v>
      </c>
      <c r="M198" s="24" t="s">
        <v>1051</v>
      </c>
      <c r="N198" s="24" t="s">
        <v>1035</v>
      </c>
      <c r="O198" s="24" t="str">
        <f t="shared" si="4"/>
        <v>50EFH</v>
      </c>
      <c r="P198" s="24" t="s">
        <v>43</v>
      </c>
    </row>
    <row r="199" spans="3:16" x14ac:dyDescent="0.25">
      <c r="C199" s="24" t="s">
        <v>158</v>
      </c>
      <c r="D199" s="24" t="s">
        <v>159</v>
      </c>
      <c r="E199" s="24" t="s">
        <v>159</v>
      </c>
      <c r="F199" s="24">
        <v>5</v>
      </c>
      <c r="G199" s="24" t="s">
        <v>37</v>
      </c>
      <c r="H199" s="24" t="s">
        <v>81</v>
      </c>
      <c r="I199" s="24" t="s">
        <v>1114</v>
      </c>
      <c r="J199" s="24" t="s">
        <v>1046</v>
      </c>
      <c r="K199" s="24" t="s">
        <v>160</v>
      </c>
      <c r="L199" s="24" t="s">
        <v>1098</v>
      </c>
      <c r="M199" s="24" t="s">
        <v>1074</v>
      </c>
      <c r="N199" s="3" t="s">
        <v>984</v>
      </c>
      <c r="O199" s="24" t="str">
        <f t="shared" si="4"/>
        <v>50EVA</v>
      </c>
      <c r="P199" s="24" t="s">
        <v>43</v>
      </c>
    </row>
    <row r="200" spans="3:16" x14ac:dyDescent="0.25">
      <c r="C200" s="24" t="s">
        <v>814</v>
      </c>
      <c r="D200" s="24" t="s">
        <v>815</v>
      </c>
      <c r="E200" s="24" t="s">
        <v>816</v>
      </c>
      <c r="F200" s="24">
        <v>5</v>
      </c>
      <c r="G200" s="24" t="s">
        <v>376</v>
      </c>
      <c r="H200" s="24" t="s">
        <v>88</v>
      </c>
      <c r="I200" s="24" t="s">
        <v>1114</v>
      </c>
      <c r="J200" s="24" t="s">
        <v>1046</v>
      </c>
      <c r="K200" s="24" t="s">
        <v>146</v>
      </c>
      <c r="L200" s="24" t="s">
        <v>1064</v>
      </c>
      <c r="M200" s="24" t="s">
        <v>1051</v>
      </c>
      <c r="N200" s="24" t="s">
        <v>1035</v>
      </c>
      <c r="O200" s="24" t="str">
        <f t="shared" si="4"/>
        <v>50F4M</v>
      </c>
      <c r="P200" s="24" t="s">
        <v>43</v>
      </c>
    </row>
    <row r="201" spans="3:16" x14ac:dyDescent="0.25">
      <c r="C201" s="24" t="s">
        <v>598</v>
      </c>
      <c r="D201" s="24" t="s">
        <v>599</v>
      </c>
      <c r="E201" s="24" t="s">
        <v>600</v>
      </c>
      <c r="F201" s="24">
        <v>5</v>
      </c>
      <c r="G201" s="24" t="s">
        <v>376</v>
      </c>
      <c r="H201" s="24" t="s">
        <v>88</v>
      </c>
      <c r="I201" s="24" t="s">
        <v>1114</v>
      </c>
      <c r="J201" s="24" t="s">
        <v>1046</v>
      </c>
      <c r="K201" s="24" t="s">
        <v>50</v>
      </c>
      <c r="L201" s="24" t="s">
        <v>1099</v>
      </c>
      <c r="M201" s="24" t="s">
        <v>1051</v>
      </c>
      <c r="N201" s="3" t="s">
        <v>984</v>
      </c>
      <c r="O201" s="24" t="str">
        <f t="shared" si="4"/>
        <v>50FF5</v>
      </c>
      <c r="P201" s="24" t="s">
        <v>43</v>
      </c>
    </row>
    <row r="202" spans="3:16" x14ac:dyDescent="0.25">
      <c r="C202" s="24" t="s">
        <v>162</v>
      </c>
      <c r="D202" s="24" t="s">
        <v>163</v>
      </c>
      <c r="E202" s="24" t="s">
        <v>163</v>
      </c>
      <c r="F202" s="24">
        <v>5</v>
      </c>
      <c r="G202" s="24" t="s">
        <v>37</v>
      </c>
      <c r="H202" s="24" t="s">
        <v>88</v>
      </c>
      <c r="I202" s="24" t="s">
        <v>1111</v>
      </c>
      <c r="J202" s="24" t="s">
        <v>1046</v>
      </c>
      <c r="K202" s="24" t="s">
        <v>63</v>
      </c>
      <c r="L202" s="24" t="s">
        <v>1060</v>
      </c>
      <c r="M202" s="24" t="s">
        <v>1051</v>
      </c>
      <c r="N202" s="24" t="s">
        <v>1112</v>
      </c>
      <c r="O202" s="24" t="str">
        <f t="shared" si="4"/>
        <v>50FLF</v>
      </c>
      <c r="P202" s="24" t="s">
        <v>43</v>
      </c>
    </row>
    <row r="203" spans="3:16" x14ac:dyDescent="0.25">
      <c r="C203" s="24" t="s">
        <v>716</v>
      </c>
      <c r="D203" s="24" t="s">
        <v>717</v>
      </c>
      <c r="E203" s="24" t="s">
        <v>718</v>
      </c>
      <c r="F203" s="25">
        <v>6</v>
      </c>
      <c r="G203" s="24" t="s">
        <v>376</v>
      </c>
      <c r="H203" s="24" t="s">
        <v>46</v>
      </c>
      <c r="I203" s="24" t="s">
        <v>1111</v>
      </c>
      <c r="J203" s="24" t="s">
        <v>1031</v>
      </c>
      <c r="K203" s="24" t="s">
        <v>84</v>
      </c>
      <c r="L203" s="24" t="s">
        <v>1061</v>
      </c>
      <c r="M203" s="24" t="s">
        <v>1074</v>
      </c>
      <c r="N203" s="3" t="s">
        <v>378</v>
      </c>
      <c r="O203" s="24" t="str">
        <f t="shared" si="4"/>
        <v>50FLP</v>
      </c>
      <c r="P203" s="24" t="s">
        <v>440</v>
      </c>
    </row>
    <row r="204" spans="3:16" x14ac:dyDescent="0.25">
      <c r="C204" s="24" t="s">
        <v>788</v>
      </c>
      <c r="D204" s="24" t="s">
        <v>789</v>
      </c>
      <c r="E204" s="24" t="s">
        <v>790</v>
      </c>
      <c r="F204" s="24">
        <v>5</v>
      </c>
      <c r="G204" s="24" t="s">
        <v>376</v>
      </c>
      <c r="H204" s="24" t="s">
        <v>81</v>
      </c>
      <c r="I204" s="24" t="s">
        <v>1114</v>
      </c>
      <c r="J204" s="24" t="s">
        <v>1031</v>
      </c>
      <c r="K204" s="24" t="s">
        <v>89</v>
      </c>
      <c r="L204" s="24" t="s">
        <v>1075</v>
      </c>
      <c r="M204" s="24" t="s">
        <v>1076</v>
      </c>
      <c r="N204" s="3" t="s">
        <v>378</v>
      </c>
      <c r="O204" s="24" t="str">
        <f t="shared" si="4"/>
        <v>50FNM</v>
      </c>
      <c r="P204" s="24" t="s">
        <v>43</v>
      </c>
    </row>
    <row r="205" spans="3:16" x14ac:dyDescent="0.25">
      <c r="C205" s="24" t="s">
        <v>443</v>
      </c>
      <c r="D205" s="24" t="s">
        <v>444</v>
      </c>
      <c r="E205" s="24" t="s">
        <v>444</v>
      </c>
      <c r="F205" s="24">
        <v>5</v>
      </c>
      <c r="G205" s="24" t="s">
        <v>376</v>
      </c>
      <c r="H205" s="24" t="s">
        <v>81</v>
      </c>
      <c r="I205" s="24" t="s">
        <v>1114</v>
      </c>
      <c r="J205" s="24" t="s">
        <v>1046</v>
      </c>
      <c r="K205" s="24" t="s">
        <v>94</v>
      </c>
      <c r="L205" s="24" t="s">
        <v>1065</v>
      </c>
      <c r="M205" s="24" t="s">
        <v>1051</v>
      </c>
      <c r="N205" s="24" t="s">
        <v>1035</v>
      </c>
      <c r="O205" s="24" t="str">
        <f t="shared" si="4"/>
        <v>50FTC</v>
      </c>
      <c r="P205" s="24" t="s">
        <v>43</v>
      </c>
    </row>
    <row r="206" spans="3:16" x14ac:dyDescent="0.25">
      <c r="C206" s="24" t="s">
        <v>415</v>
      </c>
      <c r="D206" s="24" t="s">
        <v>416</v>
      </c>
      <c r="E206" s="24" t="s">
        <v>416</v>
      </c>
      <c r="F206" s="24">
        <v>5</v>
      </c>
      <c r="G206" s="24" t="s">
        <v>376</v>
      </c>
      <c r="H206" s="24" t="s">
        <v>81</v>
      </c>
      <c r="I206" s="24" t="s">
        <v>1110</v>
      </c>
      <c r="J206" s="24" t="s">
        <v>1031</v>
      </c>
      <c r="K206" s="24" t="s">
        <v>63</v>
      </c>
      <c r="L206" s="24" t="s">
        <v>1060</v>
      </c>
      <c r="M206" s="24" t="s">
        <v>1051</v>
      </c>
      <c r="N206" s="24" t="s">
        <v>1112</v>
      </c>
      <c r="O206" s="24" t="str">
        <f t="shared" si="4"/>
        <v>50FVZ</v>
      </c>
      <c r="P206" s="24" t="s">
        <v>43</v>
      </c>
    </row>
    <row r="207" spans="3:16" x14ac:dyDescent="0.25">
      <c r="C207" s="24" t="s">
        <v>915</v>
      </c>
      <c r="D207" s="24" t="s">
        <v>916</v>
      </c>
      <c r="E207" s="24" t="s">
        <v>916</v>
      </c>
      <c r="F207" s="24">
        <v>5</v>
      </c>
      <c r="G207" s="24" t="s">
        <v>376</v>
      </c>
      <c r="H207" s="24" t="s">
        <v>88</v>
      </c>
      <c r="I207" s="24" t="s">
        <v>1111</v>
      </c>
      <c r="J207" s="24" t="s">
        <v>1046</v>
      </c>
      <c r="K207" s="24" t="s">
        <v>73</v>
      </c>
      <c r="L207" s="24" t="s">
        <v>1082</v>
      </c>
      <c r="M207" s="24" t="s">
        <v>1051</v>
      </c>
      <c r="N207" s="3" t="s">
        <v>378</v>
      </c>
      <c r="O207" s="24" t="str">
        <f t="shared" si="4"/>
        <v>50FZZ</v>
      </c>
      <c r="P207" s="24" t="s">
        <v>43</v>
      </c>
    </row>
    <row r="208" spans="3:16" x14ac:dyDescent="0.25">
      <c r="C208" s="24" t="s">
        <v>164</v>
      </c>
      <c r="D208" s="24" t="s">
        <v>165</v>
      </c>
      <c r="E208" s="24" t="s">
        <v>165</v>
      </c>
      <c r="F208" s="24">
        <v>5</v>
      </c>
      <c r="G208" s="24" t="s">
        <v>37</v>
      </c>
      <c r="H208" s="24" t="s">
        <v>46</v>
      </c>
      <c r="I208" s="24" t="s">
        <v>1114</v>
      </c>
      <c r="J208" s="24" t="s">
        <v>1046</v>
      </c>
      <c r="K208" s="24" t="s">
        <v>58</v>
      </c>
      <c r="L208" s="24" t="s">
        <v>1060</v>
      </c>
      <c r="M208" s="24" t="s">
        <v>1051</v>
      </c>
      <c r="N208" s="24" t="s">
        <v>1112</v>
      </c>
      <c r="O208" s="24" t="str">
        <f t="shared" si="4"/>
        <v>50GDJ</v>
      </c>
      <c r="P208" s="24" t="s">
        <v>43</v>
      </c>
    </row>
    <row r="209" spans="3:16" x14ac:dyDescent="0.25">
      <c r="C209" s="24" t="s">
        <v>166</v>
      </c>
      <c r="D209" s="24" t="s">
        <v>167</v>
      </c>
      <c r="E209" s="24" t="s">
        <v>167</v>
      </c>
      <c r="F209" s="24">
        <v>5</v>
      </c>
      <c r="G209" s="24" t="s">
        <v>37</v>
      </c>
      <c r="H209" s="24" t="s">
        <v>81</v>
      </c>
      <c r="I209" s="24" t="s">
        <v>1120</v>
      </c>
      <c r="J209" s="24" t="s">
        <v>1046</v>
      </c>
      <c r="K209" s="24" t="s">
        <v>58</v>
      </c>
      <c r="L209" s="24" t="s">
        <v>1064</v>
      </c>
      <c r="M209" s="24" t="s">
        <v>1051</v>
      </c>
      <c r="N209" s="24" t="s">
        <v>1112</v>
      </c>
      <c r="O209" s="24" t="str">
        <f t="shared" si="4"/>
        <v>50GIA</v>
      </c>
      <c r="P209" s="24" t="s">
        <v>43</v>
      </c>
    </row>
    <row r="210" spans="3:16" x14ac:dyDescent="0.25">
      <c r="C210" s="24" t="s">
        <v>168</v>
      </c>
      <c r="D210" s="24" t="s">
        <v>169</v>
      </c>
      <c r="E210" s="24" t="s">
        <v>1128</v>
      </c>
      <c r="F210" s="24">
        <v>5</v>
      </c>
      <c r="G210" s="24" t="s">
        <v>37</v>
      </c>
      <c r="H210" s="24" t="s">
        <v>46</v>
      </c>
      <c r="I210" s="24" t="s">
        <v>1114</v>
      </c>
      <c r="J210" s="24" t="s">
        <v>1046</v>
      </c>
      <c r="K210" s="24" t="s">
        <v>160</v>
      </c>
      <c r="L210" s="24" t="s">
        <v>1064</v>
      </c>
      <c r="M210" s="24" t="s">
        <v>1051</v>
      </c>
      <c r="N210" s="3" t="s">
        <v>984</v>
      </c>
      <c r="O210" s="24" t="str">
        <f t="shared" si="4"/>
        <v>50GNW</v>
      </c>
      <c r="P210" s="24" t="s">
        <v>43</v>
      </c>
    </row>
    <row r="211" spans="3:16" x14ac:dyDescent="0.25">
      <c r="C211" s="24" t="s">
        <v>171</v>
      </c>
      <c r="D211" s="24" t="s">
        <v>172</v>
      </c>
      <c r="E211" s="24" t="s">
        <v>172</v>
      </c>
      <c r="F211" s="24">
        <v>5</v>
      </c>
      <c r="G211" s="24" t="s">
        <v>37</v>
      </c>
      <c r="H211" s="24" t="s">
        <v>81</v>
      </c>
      <c r="I211" s="24" t="s">
        <v>1114</v>
      </c>
      <c r="J211" s="24" t="s">
        <v>1046</v>
      </c>
      <c r="K211" s="24" t="s">
        <v>89</v>
      </c>
      <c r="L211" s="24" t="s">
        <v>1075</v>
      </c>
      <c r="M211" s="24" t="s">
        <v>1076</v>
      </c>
      <c r="N211" s="3" t="s">
        <v>378</v>
      </c>
      <c r="O211" s="24" t="str">
        <f t="shared" si="4"/>
        <v>50GP4</v>
      </c>
      <c r="P211" s="24" t="s">
        <v>43</v>
      </c>
    </row>
    <row r="212" spans="3:16" x14ac:dyDescent="0.25">
      <c r="C212" s="24" t="s">
        <v>173</v>
      </c>
      <c r="D212" s="24" t="s">
        <v>174</v>
      </c>
      <c r="E212" s="24" t="s">
        <v>174</v>
      </c>
      <c r="F212" s="24">
        <v>5</v>
      </c>
      <c r="G212" s="24" t="s">
        <v>37</v>
      </c>
      <c r="H212" s="24" t="s">
        <v>46</v>
      </c>
      <c r="I212" s="24" t="s">
        <v>1114</v>
      </c>
      <c r="J212" s="24" t="s">
        <v>1046</v>
      </c>
      <c r="K212" s="24" t="s">
        <v>73</v>
      </c>
      <c r="L212" s="24" t="s">
        <v>1065</v>
      </c>
      <c r="M212" s="24" t="s">
        <v>1051</v>
      </c>
      <c r="N212" s="3" t="s">
        <v>378</v>
      </c>
      <c r="O212" s="24" t="str">
        <f t="shared" si="4"/>
        <v>50GRE</v>
      </c>
      <c r="P212" s="24" t="s">
        <v>43</v>
      </c>
    </row>
    <row r="213" spans="3:16" x14ac:dyDescent="0.25">
      <c r="C213" s="24" t="s">
        <v>584</v>
      </c>
      <c r="D213" s="24" t="s">
        <v>585</v>
      </c>
      <c r="E213" s="24" t="s">
        <v>585</v>
      </c>
      <c r="F213" s="24">
        <v>5</v>
      </c>
      <c r="G213" s="24" t="s">
        <v>376</v>
      </c>
      <c r="H213" s="24" t="s">
        <v>81</v>
      </c>
      <c r="I213" s="24" t="s">
        <v>1110</v>
      </c>
      <c r="J213" s="24" t="s">
        <v>1046</v>
      </c>
      <c r="K213" s="24" t="s">
        <v>331</v>
      </c>
      <c r="L213" s="24" t="s">
        <v>1060</v>
      </c>
      <c r="M213" s="24" t="s">
        <v>1051</v>
      </c>
      <c r="N213" s="24" t="s">
        <v>1035</v>
      </c>
      <c r="O213" s="24" t="str">
        <f t="shared" si="4"/>
        <v>50GXO</v>
      </c>
      <c r="P213" s="24" t="s">
        <v>43</v>
      </c>
    </row>
    <row r="214" spans="3:16" x14ac:dyDescent="0.25">
      <c r="C214" s="24" t="s">
        <v>917</v>
      </c>
      <c r="D214" s="24" t="s">
        <v>918</v>
      </c>
      <c r="E214" s="24" t="s">
        <v>918</v>
      </c>
      <c r="F214" s="24">
        <v>5</v>
      </c>
      <c r="G214" s="24" t="s">
        <v>376</v>
      </c>
      <c r="H214" s="24" t="s">
        <v>81</v>
      </c>
      <c r="I214" s="24" t="s">
        <v>1114</v>
      </c>
      <c r="J214" s="24" t="s">
        <v>1046</v>
      </c>
      <c r="K214" s="24" t="s">
        <v>73</v>
      </c>
      <c r="L214" s="24" t="s">
        <v>1100</v>
      </c>
      <c r="M214" s="24" t="s">
        <v>1051</v>
      </c>
      <c r="N214" s="3" t="s">
        <v>378</v>
      </c>
      <c r="O214" s="24" t="str">
        <f t="shared" si="4"/>
        <v>50H1H</v>
      </c>
      <c r="P214" s="24" t="s">
        <v>43</v>
      </c>
    </row>
    <row r="215" spans="3:16" x14ac:dyDescent="0.25">
      <c r="C215" s="24" t="s">
        <v>877</v>
      </c>
      <c r="D215" s="24" t="s">
        <v>878</v>
      </c>
      <c r="E215" s="24" t="s">
        <v>878</v>
      </c>
      <c r="F215" s="24">
        <v>5</v>
      </c>
      <c r="G215" s="24" t="s">
        <v>376</v>
      </c>
      <c r="H215" s="24" t="s">
        <v>88</v>
      </c>
      <c r="I215" s="24" t="s">
        <v>1111</v>
      </c>
      <c r="J215" s="24" t="s">
        <v>1046</v>
      </c>
      <c r="K215" s="24" t="s">
        <v>132</v>
      </c>
      <c r="L215" s="24" t="s">
        <v>1077</v>
      </c>
      <c r="M215" s="24" t="s">
        <v>1051</v>
      </c>
      <c r="N215" s="24" t="s">
        <v>1035</v>
      </c>
      <c r="O215" s="24" t="str">
        <f t="shared" si="4"/>
        <v>50H7X</v>
      </c>
      <c r="P215" s="24" t="s">
        <v>43</v>
      </c>
    </row>
    <row r="216" spans="3:16" x14ac:dyDescent="0.25">
      <c r="C216" s="24" t="s">
        <v>586</v>
      </c>
      <c r="D216" s="24" t="s">
        <v>587</v>
      </c>
      <c r="E216" s="24" t="s">
        <v>587</v>
      </c>
      <c r="F216" s="24">
        <v>5</v>
      </c>
      <c r="G216" s="24" t="s">
        <v>376</v>
      </c>
      <c r="H216" s="24" t="s">
        <v>81</v>
      </c>
      <c r="I216" s="24" t="s">
        <v>1114</v>
      </c>
      <c r="J216" s="24" t="s">
        <v>1046</v>
      </c>
      <c r="K216" s="24" t="s">
        <v>331</v>
      </c>
      <c r="L216" s="24" t="s">
        <v>1060</v>
      </c>
      <c r="M216" s="24" t="s">
        <v>1051</v>
      </c>
      <c r="N216" s="3" t="s">
        <v>984</v>
      </c>
      <c r="O216" s="24" t="str">
        <f t="shared" si="4"/>
        <v>50HXH</v>
      </c>
      <c r="P216" s="24" t="s">
        <v>43</v>
      </c>
    </row>
    <row r="217" spans="3:16" x14ac:dyDescent="0.25">
      <c r="C217" s="24" t="s">
        <v>175</v>
      </c>
      <c r="D217" s="24" t="s">
        <v>176</v>
      </c>
      <c r="E217" s="24" t="s">
        <v>176</v>
      </c>
      <c r="F217" s="24">
        <v>5</v>
      </c>
      <c r="G217" s="24" t="s">
        <v>37</v>
      </c>
      <c r="H217" s="24" t="s">
        <v>46</v>
      </c>
      <c r="I217" s="24" t="s">
        <v>1120</v>
      </c>
      <c r="J217" s="24" t="s">
        <v>1046</v>
      </c>
      <c r="K217" s="24" t="s">
        <v>132</v>
      </c>
      <c r="L217" s="24" t="s">
        <v>1065</v>
      </c>
      <c r="M217" s="24" t="s">
        <v>1051</v>
      </c>
      <c r="N217" s="24" t="s">
        <v>1035</v>
      </c>
      <c r="O217" s="24" t="str">
        <f t="shared" si="4"/>
        <v>50IAB</v>
      </c>
      <c r="P217" s="24" t="s">
        <v>43</v>
      </c>
    </row>
    <row r="218" spans="3:16" x14ac:dyDescent="0.25">
      <c r="C218" s="24" t="s">
        <v>177</v>
      </c>
      <c r="D218" s="24" t="s">
        <v>178</v>
      </c>
      <c r="E218" s="24" t="s">
        <v>178</v>
      </c>
      <c r="F218" s="24">
        <v>5</v>
      </c>
      <c r="G218" s="24" t="s">
        <v>37</v>
      </c>
      <c r="H218" s="24" t="s">
        <v>81</v>
      </c>
      <c r="I218" s="24" t="s">
        <v>1114</v>
      </c>
      <c r="J218" s="24" t="s">
        <v>1046</v>
      </c>
      <c r="K218" s="24" t="s">
        <v>1048</v>
      </c>
      <c r="L218" s="24" t="s">
        <v>1101</v>
      </c>
      <c r="M218" s="24" t="s">
        <v>1074</v>
      </c>
      <c r="N218" s="3" t="s">
        <v>378</v>
      </c>
      <c r="O218" s="24" t="str">
        <f t="shared" si="4"/>
        <v>50IHX</v>
      </c>
      <c r="P218" s="24" t="s">
        <v>43</v>
      </c>
    </row>
    <row r="219" spans="3:16" x14ac:dyDescent="0.25">
      <c r="C219" s="24" t="s">
        <v>180</v>
      </c>
      <c r="D219" s="24" t="s">
        <v>181</v>
      </c>
      <c r="E219" s="24" t="s">
        <v>181</v>
      </c>
      <c r="F219" s="24">
        <v>5</v>
      </c>
      <c r="G219" s="24" t="s">
        <v>37</v>
      </c>
      <c r="H219" s="24" t="s">
        <v>81</v>
      </c>
      <c r="I219" s="24" t="s">
        <v>1114</v>
      </c>
      <c r="J219" s="24" t="s">
        <v>1046</v>
      </c>
      <c r="K219" s="24" t="s">
        <v>1048</v>
      </c>
      <c r="L219" s="24" t="s">
        <v>1102</v>
      </c>
      <c r="M219" s="24" t="s">
        <v>1074</v>
      </c>
      <c r="N219" s="3" t="s">
        <v>378</v>
      </c>
      <c r="O219" s="24" t="str">
        <f t="shared" si="4"/>
        <v>50INN</v>
      </c>
      <c r="P219" s="24" t="s">
        <v>43</v>
      </c>
    </row>
    <row r="220" spans="3:16" x14ac:dyDescent="0.25">
      <c r="C220" s="24" t="s">
        <v>588</v>
      </c>
      <c r="D220" s="24" t="s">
        <v>589</v>
      </c>
      <c r="E220" s="24" t="s">
        <v>589</v>
      </c>
      <c r="F220" s="24">
        <v>5</v>
      </c>
      <c r="G220" s="24" t="s">
        <v>376</v>
      </c>
      <c r="H220" s="24" t="s">
        <v>46</v>
      </c>
      <c r="I220" s="24" t="s">
        <v>1110</v>
      </c>
      <c r="J220" s="24" t="s">
        <v>1046</v>
      </c>
      <c r="K220" s="24" t="s">
        <v>331</v>
      </c>
      <c r="L220" s="24" t="s">
        <v>1060</v>
      </c>
      <c r="M220" s="24" t="s">
        <v>1051</v>
      </c>
      <c r="N220" s="3" t="s">
        <v>984</v>
      </c>
      <c r="O220" s="24" t="str">
        <f t="shared" si="4"/>
        <v>50ISI</v>
      </c>
      <c r="P220" s="24" t="s">
        <v>43</v>
      </c>
    </row>
    <row r="221" spans="3:16" x14ac:dyDescent="0.25">
      <c r="C221" s="24" t="s">
        <v>183</v>
      </c>
      <c r="D221" s="24" t="s">
        <v>184</v>
      </c>
      <c r="E221" s="24" t="s">
        <v>184</v>
      </c>
      <c r="F221" s="24">
        <v>5</v>
      </c>
      <c r="G221" s="24" t="s">
        <v>37</v>
      </c>
      <c r="H221" s="24" t="s">
        <v>81</v>
      </c>
      <c r="I221" s="24" t="s">
        <v>1120</v>
      </c>
      <c r="J221" s="24" t="s">
        <v>1046</v>
      </c>
      <c r="K221" s="24">
        <v>0</v>
      </c>
      <c r="L221" s="24" t="s">
        <v>1065</v>
      </c>
      <c r="M221" s="24" t="s">
        <v>1051</v>
      </c>
      <c r="N221" s="24" t="s">
        <v>1053</v>
      </c>
      <c r="O221" s="24" t="str">
        <f t="shared" si="4"/>
        <v>50ISU</v>
      </c>
      <c r="P221" s="24" t="s">
        <v>43</v>
      </c>
    </row>
    <row r="222" spans="3:16" x14ac:dyDescent="0.25">
      <c r="C222" s="24" t="s">
        <v>185</v>
      </c>
      <c r="D222" s="24" t="s">
        <v>186</v>
      </c>
      <c r="E222" s="24" t="s">
        <v>186</v>
      </c>
      <c r="F222" s="24">
        <v>5</v>
      </c>
      <c r="G222" s="24" t="s">
        <v>37</v>
      </c>
      <c r="H222" s="24" t="s">
        <v>46</v>
      </c>
      <c r="I222" s="24" t="s">
        <v>1120</v>
      </c>
      <c r="J222" s="24" t="s">
        <v>1046</v>
      </c>
      <c r="K222" s="24" t="s">
        <v>94</v>
      </c>
      <c r="L222" s="24" t="s">
        <v>1065</v>
      </c>
      <c r="M222" s="24" t="s">
        <v>1051</v>
      </c>
      <c r="N222" s="24" t="s">
        <v>1035</v>
      </c>
      <c r="O222" s="24" t="str">
        <f t="shared" si="4"/>
        <v>50ITA</v>
      </c>
      <c r="P222" s="24" t="s">
        <v>43</v>
      </c>
    </row>
    <row r="223" spans="3:16" x14ac:dyDescent="0.25">
      <c r="C223" s="24" t="s">
        <v>445</v>
      </c>
      <c r="D223" s="24" t="s">
        <v>446</v>
      </c>
      <c r="E223" s="24" t="s">
        <v>446</v>
      </c>
      <c r="F223" s="24">
        <v>5</v>
      </c>
      <c r="G223" s="24" t="s">
        <v>376</v>
      </c>
      <c r="H223" s="24" t="s">
        <v>46</v>
      </c>
      <c r="I223" s="24" t="s">
        <v>1110</v>
      </c>
      <c r="J223" s="24" t="s">
        <v>1046</v>
      </c>
      <c r="K223" s="24" t="s">
        <v>94</v>
      </c>
      <c r="L223" s="24" t="s">
        <v>1065</v>
      </c>
      <c r="M223" s="24" t="s">
        <v>1051</v>
      </c>
      <c r="N223" s="24" t="s">
        <v>1035</v>
      </c>
      <c r="O223" s="24" t="str">
        <f t="shared" si="4"/>
        <v>50IVB</v>
      </c>
      <c r="P223" s="24" t="s">
        <v>43</v>
      </c>
    </row>
    <row r="224" spans="3:16" x14ac:dyDescent="0.25">
      <c r="C224" s="24" t="s">
        <v>817</v>
      </c>
      <c r="D224" s="24" t="s">
        <v>818</v>
      </c>
      <c r="E224" s="24" t="s">
        <v>818</v>
      </c>
      <c r="F224" s="24">
        <v>5</v>
      </c>
      <c r="G224" s="24" t="s">
        <v>376</v>
      </c>
      <c r="H224" s="24" t="s">
        <v>46</v>
      </c>
      <c r="I224" s="24" t="s">
        <v>1110</v>
      </c>
      <c r="J224" s="24" t="s">
        <v>1046</v>
      </c>
      <c r="K224" s="24" t="s">
        <v>146</v>
      </c>
      <c r="L224" s="24" t="s">
        <v>1064</v>
      </c>
      <c r="M224" s="24" t="s">
        <v>1051</v>
      </c>
      <c r="N224" s="24" t="s">
        <v>1035</v>
      </c>
      <c r="O224" s="24" t="str">
        <f t="shared" si="4"/>
        <v>50JAK</v>
      </c>
      <c r="P224" s="24" t="s">
        <v>43</v>
      </c>
    </row>
    <row r="225" spans="3:16" x14ac:dyDescent="0.25">
      <c r="C225" s="24" t="s">
        <v>187</v>
      </c>
      <c r="D225" s="24" t="s">
        <v>188</v>
      </c>
      <c r="E225" s="24" t="s">
        <v>188</v>
      </c>
      <c r="F225" s="24">
        <v>5</v>
      </c>
      <c r="G225" s="24" t="s">
        <v>37</v>
      </c>
      <c r="H225" s="24" t="s">
        <v>81</v>
      </c>
      <c r="I225" s="24" t="s">
        <v>1120</v>
      </c>
      <c r="J225" s="24" t="s">
        <v>1046</v>
      </c>
      <c r="K225" s="24" t="s">
        <v>160</v>
      </c>
      <c r="L225" s="24" t="s">
        <v>1065</v>
      </c>
      <c r="M225" s="24" t="s">
        <v>1051</v>
      </c>
      <c r="N225" s="3" t="s">
        <v>984</v>
      </c>
      <c r="O225" s="24" t="str">
        <f t="shared" si="4"/>
        <v>50K17</v>
      </c>
      <c r="P225" s="24" t="s">
        <v>43</v>
      </c>
    </row>
    <row r="226" spans="3:16" x14ac:dyDescent="0.25">
      <c r="C226" s="24" t="s">
        <v>189</v>
      </c>
      <c r="D226" s="24" t="s">
        <v>190</v>
      </c>
      <c r="E226" s="24" t="s">
        <v>190</v>
      </c>
      <c r="F226" s="24">
        <v>5</v>
      </c>
      <c r="G226" s="24" t="s">
        <v>37</v>
      </c>
      <c r="H226" s="24" t="s">
        <v>81</v>
      </c>
      <c r="I226" s="24" t="s">
        <v>1111</v>
      </c>
      <c r="J226" s="24" t="s">
        <v>1046</v>
      </c>
      <c r="K226" s="24" t="s">
        <v>73</v>
      </c>
      <c r="L226" s="24" t="s">
        <v>1065</v>
      </c>
      <c r="M226" s="24" t="s">
        <v>1051</v>
      </c>
      <c r="N226" s="3" t="s">
        <v>378</v>
      </c>
      <c r="O226" s="24" t="str">
        <f t="shared" si="4"/>
        <v>50KAD</v>
      </c>
      <c r="P226" s="24" t="s">
        <v>43</v>
      </c>
    </row>
    <row r="227" spans="3:16" x14ac:dyDescent="0.25">
      <c r="C227" s="24" t="s">
        <v>602</v>
      </c>
      <c r="D227" s="24" t="s">
        <v>603</v>
      </c>
      <c r="E227" s="24" t="s">
        <v>604</v>
      </c>
      <c r="F227" s="24">
        <v>5</v>
      </c>
      <c r="G227" s="24" t="s">
        <v>376</v>
      </c>
      <c r="H227" s="24" t="s">
        <v>88</v>
      </c>
      <c r="I227" s="24" t="s">
        <v>1114</v>
      </c>
      <c r="J227" s="24" t="s">
        <v>1046</v>
      </c>
      <c r="K227" s="24" t="s">
        <v>50</v>
      </c>
      <c r="L227" s="24" t="s">
        <v>1100</v>
      </c>
      <c r="M227" s="24" t="s">
        <v>1051</v>
      </c>
      <c r="N227" s="3" t="s">
        <v>984</v>
      </c>
      <c r="O227" s="24" t="str">
        <f t="shared" si="4"/>
        <v>50KJP</v>
      </c>
      <c r="P227" s="24" t="s">
        <v>43</v>
      </c>
    </row>
    <row r="228" spans="3:16" x14ac:dyDescent="0.25">
      <c r="C228" s="24" t="s">
        <v>191</v>
      </c>
      <c r="D228" s="24" t="s">
        <v>192</v>
      </c>
      <c r="E228" s="24" t="s">
        <v>193</v>
      </c>
      <c r="F228" s="24">
        <v>5</v>
      </c>
      <c r="G228" s="24" t="s">
        <v>37</v>
      </c>
      <c r="H228" s="24" t="s">
        <v>81</v>
      </c>
      <c r="I228" s="24" t="s">
        <v>1120</v>
      </c>
      <c r="J228" s="24" t="s">
        <v>1046</v>
      </c>
      <c r="K228" s="24" t="s">
        <v>94</v>
      </c>
      <c r="L228" s="24" t="s">
        <v>1065</v>
      </c>
      <c r="M228" s="24" t="s">
        <v>1051</v>
      </c>
      <c r="N228" s="24" t="s">
        <v>1035</v>
      </c>
      <c r="O228" s="24" t="str">
        <f t="shared" si="4"/>
        <v>50KT5</v>
      </c>
      <c r="P228" s="24" t="s">
        <v>43</v>
      </c>
    </row>
    <row r="229" spans="3:16" x14ac:dyDescent="0.25">
      <c r="C229" s="24" t="s">
        <v>194</v>
      </c>
      <c r="D229" s="24" t="s">
        <v>195</v>
      </c>
      <c r="E229" s="24" t="s">
        <v>196</v>
      </c>
      <c r="F229" s="24">
        <v>5</v>
      </c>
      <c r="G229" s="24" t="s">
        <v>37</v>
      </c>
      <c r="H229" s="24" t="s">
        <v>88</v>
      </c>
      <c r="I229" s="24" t="s">
        <v>1114</v>
      </c>
      <c r="J229" s="24" t="s">
        <v>1046</v>
      </c>
      <c r="K229" s="24" t="s">
        <v>1048</v>
      </c>
      <c r="L229" s="24" t="s">
        <v>1103</v>
      </c>
      <c r="M229" s="24" t="s">
        <v>1074</v>
      </c>
      <c r="N229" s="3" t="s">
        <v>378</v>
      </c>
      <c r="O229" s="24" t="str">
        <f t="shared" si="4"/>
        <v>50KT9</v>
      </c>
      <c r="P229" s="24" t="s">
        <v>43</v>
      </c>
    </row>
    <row r="230" spans="3:16" x14ac:dyDescent="0.25">
      <c r="C230" s="24" t="s">
        <v>719</v>
      </c>
      <c r="D230" s="24" t="s">
        <v>720</v>
      </c>
      <c r="E230" s="24" t="s">
        <v>721</v>
      </c>
      <c r="F230" s="24">
        <v>5</v>
      </c>
      <c r="G230" s="24" t="s">
        <v>376</v>
      </c>
      <c r="H230" s="24" t="s">
        <v>81</v>
      </c>
      <c r="I230" s="24" t="s">
        <v>1110</v>
      </c>
      <c r="J230" s="24" t="s">
        <v>1031</v>
      </c>
      <c r="K230" s="24" t="s">
        <v>84</v>
      </c>
      <c r="L230" s="24" t="s">
        <v>1104</v>
      </c>
      <c r="M230" s="24" t="s">
        <v>1074</v>
      </c>
      <c r="N230" s="3" t="s">
        <v>378</v>
      </c>
      <c r="O230" s="24" t="str">
        <f t="shared" si="4"/>
        <v>50LAE</v>
      </c>
      <c r="P230" s="24" t="s">
        <v>43</v>
      </c>
    </row>
    <row r="231" spans="3:16" x14ac:dyDescent="0.25">
      <c r="C231" s="24" t="s">
        <v>197</v>
      </c>
      <c r="D231" s="24" t="s">
        <v>198</v>
      </c>
      <c r="E231" s="24" t="s">
        <v>198</v>
      </c>
      <c r="F231" s="24">
        <v>5</v>
      </c>
      <c r="G231" s="24" t="s">
        <v>37</v>
      </c>
      <c r="H231" s="24" t="s">
        <v>46</v>
      </c>
      <c r="I231" s="24" t="s">
        <v>1120</v>
      </c>
      <c r="J231" s="24" t="s">
        <v>1046</v>
      </c>
      <c r="K231" s="24" t="s">
        <v>63</v>
      </c>
      <c r="L231" s="24" t="s">
        <v>1060</v>
      </c>
      <c r="M231" s="24" t="s">
        <v>1051</v>
      </c>
      <c r="N231" s="24" t="s">
        <v>1112</v>
      </c>
      <c r="O231" s="24" t="str">
        <f t="shared" si="4"/>
        <v>50LBB</v>
      </c>
      <c r="P231" s="24" t="s">
        <v>43</v>
      </c>
    </row>
    <row r="232" spans="3:16" x14ac:dyDescent="0.25">
      <c r="C232" s="24" t="s">
        <v>199</v>
      </c>
      <c r="D232" s="24" t="s">
        <v>200</v>
      </c>
      <c r="E232" s="24" t="s">
        <v>201</v>
      </c>
      <c r="F232" s="24">
        <v>5</v>
      </c>
      <c r="G232" s="24" t="s">
        <v>37</v>
      </c>
      <c r="H232" s="24" t="s">
        <v>202</v>
      </c>
      <c r="I232" s="24" t="s">
        <v>1120</v>
      </c>
      <c r="J232" s="24" t="s">
        <v>1046</v>
      </c>
      <c r="K232" s="24">
        <v>0</v>
      </c>
      <c r="L232" s="24" t="s">
        <v>1064</v>
      </c>
      <c r="M232" s="24" t="s">
        <v>1051</v>
      </c>
      <c r="N232" s="24" t="s">
        <v>1053</v>
      </c>
      <c r="O232" s="24" t="str">
        <f t="shared" si="4"/>
        <v>50LCO</v>
      </c>
      <c r="P232" s="24" t="s">
        <v>43</v>
      </c>
    </row>
    <row r="233" spans="3:16" x14ac:dyDescent="0.25">
      <c r="C233" s="24" t="s">
        <v>723</v>
      </c>
      <c r="D233" s="24" t="s">
        <v>724</v>
      </c>
      <c r="E233" s="24" t="s">
        <v>725</v>
      </c>
      <c r="F233" s="24">
        <v>5</v>
      </c>
      <c r="G233" s="24" t="s">
        <v>376</v>
      </c>
      <c r="H233" s="24" t="s">
        <v>46</v>
      </c>
      <c r="I233" s="24" t="s">
        <v>1110</v>
      </c>
      <c r="J233" s="24" t="s">
        <v>1031</v>
      </c>
      <c r="K233" s="24" t="s">
        <v>84</v>
      </c>
      <c r="L233" s="24" t="s">
        <v>1061</v>
      </c>
      <c r="M233" s="24" t="s">
        <v>1074</v>
      </c>
      <c r="N233" s="3" t="s">
        <v>378</v>
      </c>
      <c r="O233" s="24" t="str">
        <f t="shared" si="4"/>
        <v>50LIB</v>
      </c>
      <c r="P233" s="24" t="s">
        <v>440</v>
      </c>
    </row>
    <row r="234" spans="3:16" x14ac:dyDescent="0.25">
      <c r="C234" s="24" t="s">
        <v>819</v>
      </c>
      <c r="D234" s="24" t="s">
        <v>820</v>
      </c>
      <c r="E234" s="24" t="s">
        <v>820</v>
      </c>
      <c r="F234" s="24">
        <v>5</v>
      </c>
      <c r="G234" s="24" t="s">
        <v>376</v>
      </c>
      <c r="H234" s="24" t="s">
        <v>46</v>
      </c>
      <c r="I234" s="24" t="s">
        <v>1114</v>
      </c>
      <c r="J234" s="24" t="s">
        <v>1046</v>
      </c>
      <c r="K234" s="24" t="s">
        <v>146</v>
      </c>
      <c r="L234" s="24" t="s">
        <v>1064</v>
      </c>
      <c r="M234" s="24" t="s">
        <v>1051</v>
      </c>
      <c r="N234" s="24" t="s">
        <v>1035</v>
      </c>
      <c r="O234" s="24" t="str">
        <f t="shared" si="4"/>
        <v>50LOT</v>
      </c>
      <c r="P234" s="24" t="s">
        <v>43</v>
      </c>
    </row>
    <row r="235" spans="3:16" x14ac:dyDescent="0.25">
      <c r="C235" s="24" t="s">
        <v>821</v>
      </c>
      <c r="D235" s="24" t="s">
        <v>822</v>
      </c>
      <c r="E235" s="24" t="s">
        <v>822</v>
      </c>
      <c r="F235" s="24">
        <v>5</v>
      </c>
      <c r="G235" s="24" t="s">
        <v>376</v>
      </c>
      <c r="H235" s="24" t="s">
        <v>46</v>
      </c>
      <c r="I235" s="24" t="s">
        <v>1114</v>
      </c>
      <c r="J235" s="24" t="s">
        <v>1046</v>
      </c>
      <c r="K235" s="24" t="s">
        <v>146</v>
      </c>
      <c r="L235" s="24" t="s">
        <v>1064</v>
      </c>
      <c r="M235" s="24" t="s">
        <v>1051</v>
      </c>
      <c r="N235" s="24" t="s">
        <v>1035</v>
      </c>
      <c r="O235" s="24" t="str">
        <f t="shared" si="4"/>
        <v>50LRA</v>
      </c>
      <c r="P235" s="24" t="s">
        <v>43</v>
      </c>
    </row>
    <row r="236" spans="3:16" x14ac:dyDescent="0.25">
      <c r="C236" s="24" t="s">
        <v>203</v>
      </c>
      <c r="D236" s="24" t="s">
        <v>204</v>
      </c>
      <c r="E236" s="24" t="s">
        <v>204</v>
      </c>
      <c r="F236" s="24">
        <v>5</v>
      </c>
      <c r="G236" s="24" t="s">
        <v>37</v>
      </c>
      <c r="H236" s="24" t="s">
        <v>46</v>
      </c>
      <c r="I236" s="24" t="s">
        <v>1120</v>
      </c>
      <c r="J236" s="24" t="s">
        <v>1046</v>
      </c>
      <c r="K236" s="24">
        <v>0</v>
      </c>
      <c r="L236" s="24" t="s">
        <v>1063</v>
      </c>
      <c r="M236" s="24" t="s">
        <v>1051</v>
      </c>
      <c r="N236" s="24" t="s">
        <v>1053</v>
      </c>
      <c r="O236" s="24" t="str">
        <f t="shared" si="4"/>
        <v>50LRR</v>
      </c>
      <c r="P236" s="24" t="s">
        <v>43</v>
      </c>
    </row>
    <row r="237" spans="3:16" x14ac:dyDescent="0.25">
      <c r="C237" s="24" t="s">
        <v>206</v>
      </c>
      <c r="D237" s="24" t="s">
        <v>207</v>
      </c>
      <c r="E237" s="24" t="s">
        <v>207</v>
      </c>
      <c r="F237" s="24">
        <v>5</v>
      </c>
      <c r="G237" s="24" t="s">
        <v>37</v>
      </c>
      <c r="H237" s="24" t="s">
        <v>46</v>
      </c>
      <c r="I237" s="24" t="s">
        <v>1120</v>
      </c>
      <c r="J237" s="24" t="s">
        <v>1046</v>
      </c>
      <c r="K237" s="24" t="s">
        <v>58</v>
      </c>
      <c r="L237" s="24" t="s">
        <v>1065</v>
      </c>
      <c r="M237" s="24" t="s">
        <v>1051</v>
      </c>
      <c r="N237" s="24" t="s">
        <v>1112</v>
      </c>
      <c r="O237" s="24" t="str">
        <f t="shared" si="4"/>
        <v>50LTD</v>
      </c>
      <c r="P237" s="24" t="s">
        <v>43</v>
      </c>
    </row>
    <row r="238" spans="3:16" x14ac:dyDescent="0.25">
      <c r="C238" s="24" t="s">
        <v>758</v>
      </c>
      <c r="D238" s="24" t="s">
        <v>759</v>
      </c>
      <c r="E238" s="24" t="s">
        <v>760</v>
      </c>
      <c r="F238" s="25">
        <v>9</v>
      </c>
      <c r="G238" s="24" t="s">
        <v>376</v>
      </c>
      <c r="H238" s="24" t="s">
        <v>88</v>
      </c>
      <c r="I238" s="24" t="s">
        <v>1110</v>
      </c>
      <c r="J238" s="24" t="s">
        <v>1031</v>
      </c>
      <c r="K238" s="24" t="s">
        <v>1048</v>
      </c>
      <c r="L238" s="24" t="s">
        <v>1061</v>
      </c>
      <c r="M238" s="24" t="s">
        <v>1074</v>
      </c>
      <c r="N238" s="3" t="s">
        <v>378</v>
      </c>
      <c r="O238" s="24" t="str">
        <f t="shared" si="4"/>
        <v>50LVH</v>
      </c>
      <c r="P238" s="24" t="s">
        <v>43</v>
      </c>
    </row>
    <row r="239" spans="3:16" x14ac:dyDescent="0.25">
      <c r="C239" s="24" t="s">
        <v>208</v>
      </c>
      <c r="D239" s="24" t="s">
        <v>209</v>
      </c>
      <c r="E239" s="24" t="s">
        <v>209</v>
      </c>
      <c r="F239" s="24">
        <v>5</v>
      </c>
      <c r="G239" s="24" t="s">
        <v>37</v>
      </c>
      <c r="H239" s="24" t="s">
        <v>81</v>
      </c>
      <c r="I239" s="24" t="s">
        <v>1120</v>
      </c>
      <c r="J239" s="24" t="s">
        <v>1046</v>
      </c>
      <c r="K239" s="24">
        <v>0</v>
      </c>
      <c r="L239" s="24" t="s">
        <v>1084</v>
      </c>
      <c r="M239" s="24" t="s">
        <v>1051</v>
      </c>
      <c r="N239" s="24" t="s">
        <v>1053</v>
      </c>
      <c r="O239" s="24" t="str">
        <f t="shared" si="4"/>
        <v>50LVO</v>
      </c>
      <c r="P239" s="24" t="s">
        <v>43</v>
      </c>
    </row>
    <row r="240" spans="3:16" x14ac:dyDescent="0.25">
      <c r="C240" s="24" t="s">
        <v>606</v>
      </c>
      <c r="D240" s="24" t="s">
        <v>607</v>
      </c>
      <c r="E240" s="24" t="s">
        <v>608</v>
      </c>
      <c r="F240" s="24">
        <v>5</v>
      </c>
      <c r="G240" s="24" t="s">
        <v>376</v>
      </c>
      <c r="H240" s="24" t="s">
        <v>46</v>
      </c>
      <c r="I240" s="24" t="s">
        <v>1114</v>
      </c>
      <c r="J240" s="24" t="s">
        <v>1046</v>
      </c>
      <c r="K240" s="24" t="s">
        <v>50</v>
      </c>
      <c r="L240" s="24" t="s">
        <v>1081</v>
      </c>
      <c r="M240" s="24" t="s">
        <v>1051</v>
      </c>
      <c r="N240" s="3" t="s">
        <v>984</v>
      </c>
      <c r="O240" s="24" t="str">
        <f t="shared" si="4"/>
        <v>50MAD</v>
      </c>
      <c r="P240" s="24" t="s">
        <v>43</v>
      </c>
    </row>
    <row r="241" spans="3:16" x14ac:dyDescent="0.25">
      <c r="C241" s="24" t="s">
        <v>210</v>
      </c>
      <c r="D241" s="24" t="s">
        <v>211</v>
      </c>
      <c r="E241" s="24" t="s">
        <v>212</v>
      </c>
      <c r="F241" s="24">
        <v>5</v>
      </c>
      <c r="G241" s="24" t="s">
        <v>37</v>
      </c>
      <c r="H241" s="24" t="s">
        <v>46</v>
      </c>
      <c r="I241" s="24" t="s">
        <v>1120</v>
      </c>
      <c r="J241" s="24" t="s">
        <v>1046</v>
      </c>
      <c r="K241" s="24">
        <v>0</v>
      </c>
      <c r="L241" s="24" t="s">
        <v>1064</v>
      </c>
      <c r="M241" s="24" t="s">
        <v>1051</v>
      </c>
      <c r="N241" s="24" t="s">
        <v>1053</v>
      </c>
      <c r="O241" s="24" t="str">
        <f t="shared" si="4"/>
        <v>50MCA</v>
      </c>
      <c r="P241" s="24" t="s">
        <v>43</v>
      </c>
    </row>
    <row r="242" spans="3:16" x14ac:dyDescent="0.25">
      <c r="C242" s="24" t="s">
        <v>213</v>
      </c>
      <c r="D242" s="24" t="s">
        <v>214</v>
      </c>
      <c r="E242" s="24" t="s">
        <v>214</v>
      </c>
      <c r="F242" s="24">
        <v>5</v>
      </c>
      <c r="G242" s="24" t="s">
        <v>37</v>
      </c>
      <c r="H242" s="24" t="s">
        <v>202</v>
      </c>
      <c r="I242" s="24" t="s">
        <v>1120</v>
      </c>
      <c r="J242" s="24" t="s">
        <v>1046</v>
      </c>
      <c r="K242" s="24">
        <v>0</v>
      </c>
      <c r="L242" s="24" t="s">
        <v>1064</v>
      </c>
      <c r="M242" s="24" t="s">
        <v>1051</v>
      </c>
      <c r="N242" s="24" t="s">
        <v>1053</v>
      </c>
      <c r="O242" s="24" t="str">
        <f t="shared" si="4"/>
        <v>50MD2</v>
      </c>
      <c r="P242" s="24" t="s">
        <v>43</v>
      </c>
    </row>
    <row r="243" spans="3:16" x14ac:dyDescent="0.25">
      <c r="C243" s="24" t="s">
        <v>215</v>
      </c>
      <c r="D243" s="24" t="s">
        <v>216</v>
      </c>
      <c r="E243" s="24" t="s">
        <v>216</v>
      </c>
      <c r="F243" s="24">
        <v>5</v>
      </c>
      <c r="G243" s="24" t="s">
        <v>37</v>
      </c>
      <c r="H243" s="24" t="s">
        <v>81</v>
      </c>
      <c r="I243" s="24" t="s">
        <v>1120</v>
      </c>
      <c r="J243" s="24" t="s">
        <v>1046</v>
      </c>
      <c r="K243" s="24" t="s">
        <v>67</v>
      </c>
      <c r="L243" s="24" t="s">
        <v>1060</v>
      </c>
      <c r="M243" s="24" t="s">
        <v>1051</v>
      </c>
      <c r="N243" s="24" t="s">
        <v>1035</v>
      </c>
      <c r="O243" s="24" t="str">
        <f t="shared" si="4"/>
        <v>50MMT</v>
      </c>
      <c r="P243" s="24" t="s">
        <v>43</v>
      </c>
    </row>
    <row r="244" spans="3:16" x14ac:dyDescent="0.25">
      <c r="C244" s="24" t="s">
        <v>548</v>
      </c>
      <c r="D244" s="24" t="s">
        <v>549</v>
      </c>
      <c r="E244" s="24" t="s">
        <v>550</v>
      </c>
      <c r="F244" s="24">
        <v>5</v>
      </c>
      <c r="G244" s="24" t="s">
        <v>376</v>
      </c>
      <c r="H244" s="24" t="s">
        <v>81</v>
      </c>
      <c r="I244" s="24" t="s">
        <v>1110</v>
      </c>
      <c r="J244" s="24" t="s">
        <v>1046</v>
      </c>
      <c r="K244" s="24" t="s">
        <v>100</v>
      </c>
      <c r="L244" s="24" t="s">
        <v>1060</v>
      </c>
      <c r="M244" s="24" t="s">
        <v>1051</v>
      </c>
      <c r="N244" s="3" t="s">
        <v>984</v>
      </c>
      <c r="O244" s="24" t="str">
        <f t="shared" si="4"/>
        <v>50MNO</v>
      </c>
      <c r="P244" s="24" t="s">
        <v>43</v>
      </c>
    </row>
    <row r="245" spans="3:16" x14ac:dyDescent="0.25">
      <c r="C245" s="24" t="s">
        <v>726</v>
      </c>
      <c r="D245" s="24" t="s">
        <v>727</v>
      </c>
      <c r="E245" s="24" t="s">
        <v>727</v>
      </c>
      <c r="F245" s="24">
        <v>5</v>
      </c>
      <c r="G245" s="24" t="s">
        <v>376</v>
      </c>
      <c r="H245" s="24" t="s">
        <v>81</v>
      </c>
      <c r="I245" s="24" t="s">
        <v>1114</v>
      </c>
      <c r="J245" s="24" t="s">
        <v>1031</v>
      </c>
      <c r="K245" s="24" t="s">
        <v>84</v>
      </c>
      <c r="L245" s="24" t="s">
        <v>1061</v>
      </c>
      <c r="M245" s="24" t="s">
        <v>1074</v>
      </c>
      <c r="N245" s="3" t="s">
        <v>378</v>
      </c>
      <c r="O245" s="24" t="str">
        <f t="shared" si="4"/>
        <v>50NF1</v>
      </c>
      <c r="P245" s="24" t="s">
        <v>43</v>
      </c>
    </row>
    <row r="246" spans="3:16" x14ac:dyDescent="0.25">
      <c r="C246" s="24" t="s">
        <v>217</v>
      </c>
      <c r="D246" s="24" t="s">
        <v>218</v>
      </c>
      <c r="F246" s="24">
        <v>5</v>
      </c>
      <c r="G246" s="24" t="s">
        <v>37</v>
      </c>
      <c r="H246" s="24" t="s">
        <v>81</v>
      </c>
      <c r="I246" s="24" t="s">
        <v>1111</v>
      </c>
      <c r="J246" s="24" t="s">
        <v>1046</v>
      </c>
      <c r="K246" s="24">
        <v>0</v>
      </c>
      <c r="L246" s="24" t="s">
        <v>1064</v>
      </c>
      <c r="M246" s="24" t="s">
        <v>1051</v>
      </c>
      <c r="N246" s="24" t="s">
        <v>1053</v>
      </c>
      <c r="O246" s="24" t="str">
        <f t="shared" si="4"/>
        <v>50NU9</v>
      </c>
      <c r="P246" s="24" t="s">
        <v>43</v>
      </c>
    </row>
    <row r="247" spans="3:16" x14ac:dyDescent="0.25">
      <c r="C247" s="24" t="s">
        <v>551</v>
      </c>
      <c r="D247" s="24" t="s">
        <v>552</v>
      </c>
      <c r="E247" s="24" t="s">
        <v>1129</v>
      </c>
      <c r="F247" s="24">
        <v>5</v>
      </c>
      <c r="G247" s="24" t="s">
        <v>376</v>
      </c>
      <c r="H247" s="24" t="s">
        <v>38</v>
      </c>
      <c r="I247" s="24" t="s">
        <v>1111</v>
      </c>
      <c r="J247" s="24" t="s">
        <v>1046</v>
      </c>
      <c r="K247" s="24" t="s">
        <v>100</v>
      </c>
      <c r="L247" s="24" t="s">
        <v>1060</v>
      </c>
      <c r="M247" s="24" t="s">
        <v>1051</v>
      </c>
      <c r="N247" s="24" t="s">
        <v>1035</v>
      </c>
      <c r="O247" s="24" t="str">
        <f t="shared" si="4"/>
        <v>50OAC</v>
      </c>
      <c r="P247" s="24" t="s">
        <v>440</v>
      </c>
    </row>
    <row r="248" spans="3:16" x14ac:dyDescent="0.25">
      <c r="C248" s="24" t="s">
        <v>219</v>
      </c>
      <c r="D248" s="24" t="s">
        <v>220</v>
      </c>
      <c r="E248" s="24" t="s">
        <v>220</v>
      </c>
      <c r="F248" s="24">
        <v>5</v>
      </c>
      <c r="G248" s="24" t="s">
        <v>37</v>
      </c>
      <c r="H248" s="24" t="s">
        <v>38</v>
      </c>
      <c r="I248" s="24" t="s">
        <v>1114</v>
      </c>
      <c r="J248" s="24" t="s">
        <v>1046</v>
      </c>
      <c r="K248" s="24" t="s">
        <v>100</v>
      </c>
      <c r="L248" s="24" t="s">
        <v>1064</v>
      </c>
      <c r="M248" s="24" t="s">
        <v>1051</v>
      </c>
      <c r="N248" s="24" t="s">
        <v>1035</v>
      </c>
      <c r="O248" s="24" t="str">
        <f t="shared" si="4"/>
        <v>50OAD</v>
      </c>
      <c r="P248" s="24" t="s">
        <v>43</v>
      </c>
    </row>
    <row r="249" spans="3:16" x14ac:dyDescent="0.25">
      <c r="C249" s="24" t="s">
        <v>221</v>
      </c>
      <c r="D249" s="24" t="s">
        <v>222</v>
      </c>
      <c r="E249" s="24" t="s">
        <v>223</v>
      </c>
      <c r="F249" s="24">
        <v>5</v>
      </c>
      <c r="G249" s="24" t="s">
        <v>37</v>
      </c>
      <c r="H249" s="24" t="s">
        <v>38</v>
      </c>
      <c r="I249" s="24" t="s">
        <v>1114</v>
      </c>
      <c r="J249" s="24" t="s">
        <v>1046</v>
      </c>
      <c r="K249" s="24">
        <v>0</v>
      </c>
      <c r="L249" s="24" t="s">
        <v>1072</v>
      </c>
      <c r="M249" s="24" t="s">
        <v>1051</v>
      </c>
      <c r="N249" s="24" t="s">
        <v>1053</v>
      </c>
      <c r="O249" s="24" t="str">
        <f t="shared" si="4"/>
        <v>50OAE</v>
      </c>
      <c r="P249" s="24" t="s">
        <v>43</v>
      </c>
    </row>
    <row r="250" spans="3:16" x14ac:dyDescent="0.25">
      <c r="C250" s="24" t="s">
        <v>224</v>
      </c>
      <c r="D250" s="24" t="s">
        <v>225</v>
      </c>
      <c r="E250" s="24" t="s">
        <v>226</v>
      </c>
      <c r="F250" s="24">
        <v>5</v>
      </c>
      <c r="G250" s="24" t="s">
        <v>37</v>
      </c>
      <c r="H250" s="24" t="s">
        <v>38</v>
      </c>
      <c r="I250" s="24" t="s">
        <v>1114</v>
      </c>
      <c r="J250" s="24" t="s">
        <v>1046</v>
      </c>
      <c r="K250" s="24">
        <v>0</v>
      </c>
      <c r="L250" s="24" t="s">
        <v>1064</v>
      </c>
      <c r="M250" s="24" t="s">
        <v>1051</v>
      </c>
      <c r="N250" s="24" t="s">
        <v>1053</v>
      </c>
      <c r="O250" s="24" t="str">
        <f t="shared" si="4"/>
        <v>50OAG</v>
      </c>
      <c r="P250" s="24" t="s">
        <v>43</v>
      </c>
    </row>
    <row r="251" spans="3:16" x14ac:dyDescent="0.25">
      <c r="C251" s="24" t="s">
        <v>502</v>
      </c>
      <c r="D251" s="24" t="s">
        <v>503</v>
      </c>
      <c r="E251" s="24" t="s">
        <v>504</v>
      </c>
      <c r="F251" s="24">
        <v>5</v>
      </c>
      <c r="G251" s="24" t="s">
        <v>376</v>
      </c>
      <c r="H251" s="24" t="s">
        <v>38</v>
      </c>
      <c r="I251" s="24" t="s">
        <v>1114</v>
      </c>
      <c r="J251" s="24" t="s">
        <v>1046</v>
      </c>
      <c r="K251" s="24" t="s">
        <v>58</v>
      </c>
      <c r="L251" s="24" t="s">
        <v>1059</v>
      </c>
      <c r="M251" s="24" t="s">
        <v>1051</v>
      </c>
      <c r="N251" s="24" t="s">
        <v>1112</v>
      </c>
      <c r="O251" s="24" t="str">
        <f t="shared" si="4"/>
        <v>50OAP</v>
      </c>
      <c r="P251" s="24" t="s">
        <v>43</v>
      </c>
    </row>
    <row r="252" spans="3:16" x14ac:dyDescent="0.25">
      <c r="C252" s="24" t="s">
        <v>227</v>
      </c>
      <c r="D252" s="24" t="s">
        <v>228</v>
      </c>
      <c r="E252" s="24" t="s">
        <v>229</v>
      </c>
      <c r="F252" s="24">
        <v>5</v>
      </c>
      <c r="G252" s="24" t="s">
        <v>37</v>
      </c>
      <c r="H252" s="24" t="s">
        <v>38</v>
      </c>
      <c r="I252" s="24" t="s">
        <v>1114</v>
      </c>
      <c r="J252" s="24" t="s">
        <v>1046</v>
      </c>
      <c r="K252" s="24">
        <v>0</v>
      </c>
      <c r="L252" s="24" t="s">
        <v>1061</v>
      </c>
      <c r="M252" s="24" t="s">
        <v>1074</v>
      </c>
      <c r="N252" s="24" t="s">
        <v>1053</v>
      </c>
      <c r="O252" s="24" t="str">
        <f t="shared" si="4"/>
        <v>50OAZ</v>
      </c>
      <c r="P252" s="24" t="s">
        <v>43</v>
      </c>
    </row>
    <row r="253" spans="3:16" x14ac:dyDescent="0.25">
      <c r="C253" s="24" t="s">
        <v>728</v>
      </c>
      <c r="D253" s="24" t="s">
        <v>729</v>
      </c>
      <c r="E253" s="24" t="s">
        <v>730</v>
      </c>
      <c r="F253" s="24">
        <v>5</v>
      </c>
      <c r="G253" s="24" t="s">
        <v>376</v>
      </c>
      <c r="H253" s="24" t="s">
        <v>38</v>
      </c>
      <c r="I253" s="24" t="s">
        <v>1111</v>
      </c>
      <c r="J253" s="24" t="s">
        <v>1031</v>
      </c>
      <c r="K253" s="24" t="s">
        <v>84</v>
      </c>
      <c r="L253" s="24" t="s">
        <v>1104</v>
      </c>
      <c r="M253" s="24" t="s">
        <v>1074</v>
      </c>
      <c r="N253" s="3" t="s">
        <v>378</v>
      </c>
      <c r="O253" s="24" t="str">
        <f t="shared" si="4"/>
        <v>50OBM</v>
      </c>
      <c r="P253" s="24" t="s">
        <v>440</v>
      </c>
    </row>
    <row r="254" spans="3:16" x14ac:dyDescent="0.25">
      <c r="C254" s="24" t="s">
        <v>230</v>
      </c>
      <c r="D254" s="24" t="s">
        <v>231</v>
      </c>
      <c r="E254" s="24" t="s">
        <v>232</v>
      </c>
      <c r="F254" s="24">
        <v>5</v>
      </c>
      <c r="G254" s="24" t="s">
        <v>37</v>
      </c>
      <c r="H254" s="24" t="s">
        <v>38</v>
      </c>
      <c r="I254" s="24" t="s">
        <v>1120</v>
      </c>
      <c r="J254" s="24" t="s">
        <v>1046</v>
      </c>
      <c r="K254" s="24" t="s">
        <v>84</v>
      </c>
      <c r="L254" s="24" t="s">
        <v>1061</v>
      </c>
      <c r="M254" s="24" t="s">
        <v>1074</v>
      </c>
      <c r="N254" s="3" t="s">
        <v>378</v>
      </c>
      <c r="O254" s="24" t="str">
        <f t="shared" si="4"/>
        <v>50OBO</v>
      </c>
      <c r="P254" s="24" t="s">
        <v>43</v>
      </c>
    </row>
    <row r="255" spans="3:16" x14ac:dyDescent="0.25">
      <c r="C255" s="24" t="s">
        <v>233</v>
      </c>
      <c r="D255" s="24" t="s">
        <v>234</v>
      </c>
      <c r="E255" s="24" t="s">
        <v>235</v>
      </c>
      <c r="F255" s="24">
        <v>5</v>
      </c>
      <c r="G255" s="24" t="s">
        <v>37</v>
      </c>
      <c r="H255" s="24" t="s">
        <v>38</v>
      </c>
      <c r="I255" s="24" t="s">
        <v>1111</v>
      </c>
      <c r="J255" s="24" t="s">
        <v>1046</v>
      </c>
      <c r="K255" s="24" t="s">
        <v>84</v>
      </c>
      <c r="L255" s="24" t="s">
        <v>1061</v>
      </c>
      <c r="M255" s="24" t="s">
        <v>1074</v>
      </c>
      <c r="N255" s="3" t="s">
        <v>378</v>
      </c>
      <c r="O255" s="24" t="str">
        <f t="shared" si="4"/>
        <v>50OBS</v>
      </c>
      <c r="P255" s="24" t="s">
        <v>43</v>
      </c>
    </row>
    <row r="256" spans="3:16" x14ac:dyDescent="0.25">
      <c r="C256" s="24" t="s">
        <v>236</v>
      </c>
      <c r="D256" s="24" t="s">
        <v>237</v>
      </c>
      <c r="E256" s="24" t="s">
        <v>237</v>
      </c>
      <c r="F256" s="24">
        <v>5</v>
      </c>
      <c r="G256" s="24" t="s">
        <v>37</v>
      </c>
      <c r="H256" s="24" t="s">
        <v>38</v>
      </c>
      <c r="I256" s="24" t="s">
        <v>1114</v>
      </c>
      <c r="J256" s="24" t="s">
        <v>1046</v>
      </c>
      <c r="K256" s="24">
        <v>0</v>
      </c>
      <c r="L256" s="24" t="s">
        <v>1064</v>
      </c>
      <c r="M256" s="24" t="s">
        <v>1051</v>
      </c>
      <c r="N256" s="24" t="s">
        <v>1053</v>
      </c>
      <c r="O256" s="24" t="str">
        <f t="shared" si="4"/>
        <v>50OCD</v>
      </c>
      <c r="P256" s="24" t="s">
        <v>43</v>
      </c>
    </row>
    <row r="257" spans="3:16" x14ac:dyDescent="0.25">
      <c r="C257" s="24" t="s">
        <v>238</v>
      </c>
      <c r="D257" s="24" t="s">
        <v>239</v>
      </c>
      <c r="E257" s="24" t="s">
        <v>240</v>
      </c>
      <c r="F257" s="24">
        <v>5</v>
      </c>
      <c r="G257" s="24" t="s">
        <v>37</v>
      </c>
      <c r="H257" s="24" t="s">
        <v>38</v>
      </c>
      <c r="I257" s="24" t="s">
        <v>1111</v>
      </c>
      <c r="J257" s="24" t="s">
        <v>1046</v>
      </c>
      <c r="K257" s="24" t="s">
        <v>146</v>
      </c>
      <c r="L257" s="24" t="s">
        <v>1064</v>
      </c>
      <c r="M257" s="24" t="s">
        <v>1051</v>
      </c>
      <c r="N257" s="24" t="s">
        <v>1035</v>
      </c>
      <c r="O257" s="24" t="str">
        <f t="shared" si="4"/>
        <v>50OCI</v>
      </c>
      <c r="P257" s="24" t="s">
        <v>43</v>
      </c>
    </row>
    <row r="258" spans="3:16" x14ac:dyDescent="0.25">
      <c r="C258" s="24" t="s">
        <v>962</v>
      </c>
      <c r="D258" s="24" t="s">
        <v>963</v>
      </c>
      <c r="E258" s="24" t="s">
        <v>1130</v>
      </c>
      <c r="F258" s="24">
        <v>5</v>
      </c>
      <c r="G258" s="24" t="s">
        <v>376</v>
      </c>
      <c r="H258" s="24" t="s">
        <v>38</v>
      </c>
      <c r="I258" s="24" t="s">
        <v>1111</v>
      </c>
      <c r="J258" s="24" t="s">
        <v>1046</v>
      </c>
      <c r="K258" s="24" t="s">
        <v>160</v>
      </c>
      <c r="L258" s="24" t="s">
        <v>1073</v>
      </c>
      <c r="M258" s="24" t="s">
        <v>1051</v>
      </c>
      <c r="N258" s="3" t="s">
        <v>984</v>
      </c>
      <c r="O258" s="24" t="str">
        <f t="shared" si="4"/>
        <v>50OCM</v>
      </c>
      <c r="P258" s="24" t="s">
        <v>440</v>
      </c>
    </row>
    <row r="259" spans="3:16" x14ac:dyDescent="0.25">
      <c r="C259" s="24" t="s">
        <v>687</v>
      </c>
      <c r="D259" s="24" t="s">
        <v>688</v>
      </c>
      <c r="E259" s="24" t="s">
        <v>689</v>
      </c>
      <c r="F259" s="24">
        <v>5</v>
      </c>
      <c r="G259" s="24" t="s">
        <v>376</v>
      </c>
      <c r="H259" s="24" t="s">
        <v>38</v>
      </c>
      <c r="I259" s="24" t="s">
        <v>1111</v>
      </c>
      <c r="J259" s="24" t="s">
        <v>1046</v>
      </c>
      <c r="K259" s="24" t="s">
        <v>248</v>
      </c>
      <c r="L259" s="24" t="s">
        <v>1059</v>
      </c>
      <c r="M259" s="24" t="s">
        <v>1051</v>
      </c>
      <c r="N259" s="24" t="s">
        <v>1112</v>
      </c>
      <c r="O259" s="24" t="str">
        <f t="shared" si="4"/>
        <v>50OCS</v>
      </c>
      <c r="P259" s="24" t="s">
        <v>440</v>
      </c>
    </row>
    <row r="260" spans="3:16" x14ac:dyDescent="0.25">
      <c r="C260" s="24" t="s">
        <v>241</v>
      </c>
      <c r="D260" s="24" t="s">
        <v>242</v>
      </c>
      <c r="E260" s="24" t="s">
        <v>243</v>
      </c>
      <c r="F260" s="24">
        <v>5</v>
      </c>
      <c r="G260" s="24" t="s">
        <v>37</v>
      </c>
      <c r="H260" s="24" t="s">
        <v>38</v>
      </c>
      <c r="I260" s="24" t="s">
        <v>1120</v>
      </c>
      <c r="J260" s="24" t="s">
        <v>1046</v>
      </c>
      <c r="K260" s="24" t="s">
        <v>132</v>
      </c>
      <c r="L260" s="24" t="s">
        <v>1065</v>
      </c>
      <c r="M260" s="24" t="s">
        <v>1051</v>
      </c>
      <c r="N260" s="24" t="s">
        <v>1035</v>
      </c>
      <c r="O260" s="24" t="str">
        <f t="shared" ref="O260:O323" si="5">C260</f>
        <v>50OCV</v>
      </c>
      <c r="P260" s="24" t="s">
        <v>43</v>
      </c>
    </row>
    <row r="261" spans="3:16" x14ac:dyDescent="0.25">
      <c r="C261" s="24" t="s">
        <v>244</v>
      </c>
      <c r="D261" s="24" t="s">
        <v>245</v>
      </c>
      <c r="E261" s="24" t="s">
        <v>245</v>
      </c>
      <c r="F261" s="24">
        <v>5</v>
      </c>
      <c r="G261" s="24" t="s">
        <v>37</v>
      </c>
      <c r="H261" s="24" t="s">
        <v>81</v>
      </c>
      <c r="I261" s="24" t="s">
        <v>1111</v>
      </c>
      <c r="J261" s="24" t="s">
        <v>1046</v>
      </c>
      <c r="K261" s="24">
        <v>0</v>
      </c>
      <c r="L261" s="24" t="s">
        <v>1105</v>
      </c>
      <c r="M261" s="24" t="s">
        <v>1051</v>
      </c>
      <c r="N261" s="24" t="s">
        <v>1053</v>
      </c>
      <c r="O261" s="24" t="str">
        <f t="shared" si="5"/>
        <v>50ODG</v>
      </c>
      <c r="P261" s="24" t="s">
        <v>43</v>
      </c>
    </row>
    <row r="262" spans="3:16" x14ac:dyDescent="0.25">
      <c r="C262" s="24" t="s">
        <v>246</v>
      </c>
      <c r="D262" s="24" t="s">
        <v>247</v>
      </c>
      <c r="E262" s="24" t="s">
        <v>247</v>
      </c>
      <c r="F262" s="24">
        <v>5</v>
      </c>
      <c r="G262" s="24" t="s">
        <v>37</v>
      </c>
      <c r="H262" s="24" t="s">
        <v>38</v>
      </c>
      <c r="I262" s="24" t="s">
        <v>1120</v>
      </c>
      <c r="J262" s="24" t="s">
        <v>1046</v>
      </c>
      <c r="K262" s="24" t="s">
        <v>248</v>
      </c>
      <c r="L262" s="24" t="s">
        <v>1060</v>
      </c>
      <c r="M262" s="24" t="s">
        <v>1051</v>
      </c>
      <c r="N262" s="24" t="s">
        <v>1112</v>
      </c>
      <c r="O262" s="24" t="str">
        <f t="shared" si="5"/>
        <v>50OEB</v>
      </c>
      <c r="P262" s="24" t="s">
        <v>43</v>
      </c>
    </row>
    <row r="263" spans="3:16" x14ac:dyDescent="0.25">
      <c r="C263" s="24" t="s">
        <v>249</v>
      </c>
      <c r="D263" s="24" t="s">
        <v>250</v>
      </c>
      <c r="E263" s="24" t="s">
        <v>250</v>
      </c>
      <c r="F263" s="24">
        <v>5</v>
      </c>
      <c r="G263" s="24" t="s">
        <v>37</v>
      </c>
      <c r="H263" s="24" t="s">
        <v>38</v>
      </c>
      <c r="I263" s="24" t="s">
        <v>1120</v>
      </c>
      <c r="J263" s="24" t="s">
        <v>1046</v>
      </c>
      <c r="K263" s="24" t="s">
        <v>94</v>
      </c>
      <c r="L263" s="24" t="s">
        <v>1060</v>
      </c>
      <c r="M263" s="24" t="s">
        <v>1051</v>
      </c>
      <c r="N263" s="24" t="s">
        <v>1035</v>
      </c>
      <c r="O263" s="24" t="str">
        <f t="shared" si="5"/>
        <v>50OEN</v>
      </c>
      <c r="P263" s="24" t="s">
        <v>43</v>
      </c>
    </row>
    <row r="264" spans="3:16" x14ac:dyDescent="0.25">
      <c r="C264" s="24" t="s">
        <v>251</v>
      </c>
      <c r="D264" s="24" t="s">
        <v>252</v>
      </c>
      <c r="E264" s="24" t="s">
        <v>253</v>
      </c>
      <c r="F264" s="24">
        <v>5</v>
      </c>
      <c r="G264" s="24" t="s">
        <v>37</v>
      </c>
      <c r="H264" s="24" t="s">
        <v>38</v>
      </c>
      <c r="I264" s="24" t="s">
        <v>1120</v>
      </c>
      <c r="J264" s="24" t="s">
        <v>1046</v>
      </c>
      <c r="K264" s="24">
        <v>0</v>
      </c>
      <c r="L264" s="24" t="s">
        <v>1065</v>
      </c>
      <c r="M264" s="24" t="s">
        <v>1051</v>
      </c>
      <c r="N264" s="24" t="s">
        <v>1053</v>
      </c>
      <c r="O264" s="24" t="str">
        <f t="shared" si="5"/>
        <v>50OEX</v>
      </c>
      <c r="P264" s="24" t="s">
        <v>43</v>
      </c>
    </row>
    <row r="265" spans="3:16" x14ac:dyDescent="0.25">
      <c r="C265" s="24" t="s">
        <v>254</v>
      </c>
      <c r="D265" s="24" t="s">
        <v>255</v>
      </c>
      <c r="E265" s="24" t="s">
        <v>255</v>
      </c>
      <c r="F265" s="24">
        <v>5</v>
      </c>
      <c r="G265" s="24" t="s">
        <v>37</v>
      </c>
      <c r="H265" s="24" t="s">
        <v>38</v>
      </c>
      <c r="I265" s="24" t="s">
        <v>1114</v>
      </c>
      <c r="J265" s="24" t="s">
        <v>1046</v>
      </c>
      <c r="K265" s="24">
        <v>0</v>
      </c>
      <c r="L265" s="24" t="s">
        <v>1059</v>
      </c>
      <c r="M265" s="24" t="s">
        <v>1051</v>
      </c>
      <c r="N265" s="24" t="s">
        <v>1053</v>
      </c>
      <c r="O265" s="24" t="str">
        <f t="shared" si="5"/>
        <v>50OFG</v>
      </c>
      <c r="P265" s="24" t="s">
        <v>43</v>
      </c>
    </row>
    <row r="266" spans="3:16" x14ac:dyDescent="0.25">
      <c r="C266" s="24" t="s">
        <v>590</v>
      </c>
      <c r="D266" s="24" t="s">
        <v>591</v>
      </c>
      <c r="E266" s="24" t="s">
        <v>591</v>
      </c>
      <c r="F266" s="24">
        <v>5</v>
      </c>
      <c r="G266" s="24" t="s">
        <v>376</v>
      </c>
      <c r="H266" s="24" t="s">
        <v>46</v>
      </c>
      <c r="I266" s="24" t="s">
        <v>1110</v>
      </c>
      <c r="J266" s="24" t="s">
        <v>1046</v>
      </c>
      <c r="K266" s="24" t="s">
        <v>331</v>
      </c>
      <c r="L266" s="24" t="s">
        <v>1060</v>
      </c>
      <c r="M266" s="24" t="s">
        <v>1051</v>
      </c>
      <c r="N266" s="3" t="s">
        <v>984</v>
      </c>
      <c r="O266" s="24" t="str">
        <f t="shared" si="5"/>
        <v>50OFN</v>
      </c>
      <c r="P266" s="24" t="s">
        <v>43</v>
      </c>
    </row>
    <row r="267" spans="3:16" x14ac:dyDescent="0.25">
      <c r="C267" s="24" t="s">
        <v>447</v>
      </c>
      <c r="D267" s="24" t="s">
        <v>448</v>
      </c>
      <c r="E267" s="24" t="s">
        <v>449</v>
      </c>
      <c r="F267" s="24">
        <v>5</v>
      </c>
      <c r="G267" s="24" t="s">
        <v>376</v>
      </c>
      <c r="H267" s="24" t="s">
        <v>38</v>
      </c>
      <c r="I267" s="24" t="s">
        <v>1110</v>
      </c>
      <c r="J267" s="24" t="s">
        <v>1046</v>
      </c>
      <c r="K267" s="24" t="s">
        <v>94</v>
      </c>
      <c r="L267" s="24" t="s">
        <v>1065</v>
      </c>
      <c r="M267" s="24" t="s">
        <v>1051</v>
      </c>
      <c r="N267" s="24" t="s">
        <v>1035</v>
      </c>
      <c r="O267" s="24" t="str">
        <f t="shared" si="5"/>
        <v>50OIM</v>
      </c>
      <c r="P267" s="24" t="s">
        <v>440</v>
      </c>
    </row>
    <row r="268" spans="3:16" x14ac:dyDescent="0.25">
      <c r="C268" s="24" t="s">
        <v>256</v>
      </c>
      <c r="D268" s="24" t="s">
        <v>257</v>
      </c>
      <c r="E268" s="24" t="s">
        <v>257</v>
      </c>
      <c r="F268" s="24">
        <v>5</v>
      </c>
      <c r="G268" s="24" t="s">
        <v>37</v>
      </c>
      <c r="H268" s="24" t="s">
        <v>38</v>
      </c>
      <c r="I268" s="24" t="s">
        <v>1120</v>
      </c>
      <c r="J268" s="24" t="s">
        <v>1046</v>
      </c>
      <c r="K268" s="24">
        <v>0</v>
      </c>
      <c r="L268" s="24" t="s">
        <v>1060</v>
      </c>
      <c r="M268" s="24" t="s">
        <v>1051</v>
      </c>
      <c r="N268" s="24" t="s">
        <v>1053</v>
      </c>
      <c r="O268" s="24" t="str">
        <f t="shared" si="5"/>
        <v>50OIS</v>
      </c>
      <c r="P268" s="24" t="s">
        <v>43</v>
      </c>
    </row>
    <row r="269" spans="3:16" x14ac:dyDescent="0.25">
      <c r="C269" s="24" t="s">
        <v>450</v>
      </c>
      <c r="D269" s="24" t="s">
        <v>451</v>
      </c>
      <c r="E269" s="24" t="s">
        <v>1131</v>
      </c>
      <c r="F269" s="24">
        <v>5</v>
      </c>
      <c r="G269" s="24" t="s">
        <v>376</v>
      </c>
      <c r="H269" s="24" t="s">
        <v>38</v>
      </c>
      <c r="I269" s="24" t="s">
        <v>1110</v>
      </c>
      <c r="J269" s="24" t="s">
        <v>1046</v>
      </c>
      <c r="K269" s="24" t="s">
        <v>94</v>
      </c>
      <c r="L269" s="24" t="s">
        <v>1065</v>
      </c>
      <c r="M269" s="24" t="s">
        <v>1051</v>
      </c>
      <c r="N269" s="24" t="s">
        <v>1035</v>
      </c>
      <c r="O269" s="24" t="str">
        <f t="shared" si="5"/>
        <v>50OJC</v>
      </c>
      <c r="P269" s="24" t="s">
        <v>43</v>
      </c>
    </row>
    <row r="270" spans="3:16" x14ac:dyDescent="0.25">
      <c r="C270" s="24" t="s">
        <v>965</v>
      </c>
      <c r="D270" s="24" t="s">
        <v>966</v>
      </c>
      <c r="E270" s="24" t="s">
        <v>967</v>
      </c>
      <c r="F270" s="24">
        <v>5</v>
      </c>
      <c r="G270" s="24" t="s">
        <v>376</v>
      </c>
      <c r="H270" s="24" t="s">
        <v>38</v>
      </c>
      <c r="I270" s="24" t="s">
        <v>1110</v>
      </c>
      <c r="J270" s="24" t="s">
        <v>1046</v>
      </c>
      <c r="K270" s="24" t="s">
        <v>160</v>
      </c>
      <c r="L270" s="24" t="s">
        <v>1058</v>
      </c>
      <c r="M270" s="24" t="s">
        <v>1051</v>
      </c>
      <c r="N270" s="3" t="s">
        <v>984</v>
      </c>
      <c r="O270" s="24" t="str">
        <f t="shared" si="5"/>
        <v>50OLH</v>
      </c>
      <c r="P270" s="24" t="s">
        <v>43</v>
      </c>
    </row>
    <row r="271" spans="3:16" x14ac:dyDescent="0.25">
      <c r="C271" s="24" t="s">
        <v>258</v>
      </c>
      <c r="D271" s="24" t="s">
        <v>259</v>
      </c>
      <c r="E271" s="24" t="s">
        <v>260</v>
      </c>
      <c r="F271" s="24">
        <v>5</v>
      </c>
      <c r="G271" s="24" t="s">
        <v>37</v>
      </c>
      <c r="H271" s="24" t="s">
        <v>38</v>
      </c>
      <c r="I271" s="24" t="s">
        <v>1120</v>
      </c>
      <c r="J271" s="24" t="s">
        <v>1046</v>
      </c>
      <c r="K271" s="24" t="s">
        <v>50</v>
      </c>
      <c r="L271" s="24" t="s">
        <v>1059</v>
      </c>
      <c r="M271" s="24" t="s">
        <v>1051</v>
      </c>
      <c r="N271" s="3" t="s">
        <v>984</v>
      </c>
      <c r="O271" s="24" t="str">
        <f t="shared" si="5"/>
        <v>50OLL</v>
      </c>
      <c r="P271" s="24" t="s">
        <v>43</v>
      </c>
    </row>
    <row r="272" spans="3:16" x14ac:dyDescent="0.25">
      <c r="C272" s="24" t="s">
        <v>261</v>
      </c>
      <c r="D272" s="24" t="s">
        <v>262</v>
      </c>
      <c r="E272" s="24" t="s">
        <v>263</v>
      </c>
      <c r="F272" s="24">
        <v>5</v>
      </c>
      <c r="G272" s="24" t="s">
        <v>37</v>
      </c>
      <c r="H272" s="24" t="s">
        <v>38</v>
      </c>
      <c r="I272" s="24" t="s">
        <v>1127</v>
      </c>
      <c r="J272" s="24" t="s">
        <v>1046</v>
      </c>
      <c r="K272" s="24" t="s">
        <v>58</v>
      </c>
      <c r="L272" s="24" t="s">
        <v>1060</v>
      </c>
      <c r="M272" s="24" t="s">
        <v>1051</v>
      </c>
      <c r="N272" s="24" t="s">
        <v>1112</v>
      </c>
      <c r="O272" s="24" t="str">
        <f t="shared" si="5"/>
        <v>50OLM</v>
      </c>
      <c r="P272" s="24" t="s">
        <v>43</v>
      </c>
    </row>
    <row r="273" spans="3:16" x14ac:dyDescent="0.25">
      <c r="C273" s="24" t="s">
        <v>791</v>
      </c>
      <c r="D273" s="24" t="s">
        <v>793</v>
      </c>
      <c r="E273" s="24" t="s">
        <v>1132</v>
      </c>
      <c r="F273" s="24">
        <v>5</v>
      </c>
      <c r="G273" s="24" t="s">
        <v>376</v>
      </c>
      <c r="H273" s="24" t="s">
        <v>38</v>
      </c>
      <c r="I273" s="24" t="s">
        <v>1114</v>
      </c>
      <c r="J273" s="24" t="s">
        <v>1031</v>
      </c>
      <c r="K273" s="24" t="s">
        <v>89</v>
      </c>
      <c r="L273" s="24" t="s">
        <v>1075</v>
      </c>
      <c r="M273" s="24" t="s">
        <v>1076</v>
      </c>
      <c r="N273" s="3" t="s">
        <v>378</v>
      </c>
      <c r="O273" s="24" t="str">
        <f t="shared" si="5"/>
        <v>50OLY</v>
      </c>
      <c r="P273" s="24" t="s">
        <v>43</v>
      </c>
    </row>
    <row r="274" spans="3:16" x14ac:dyDescent="0.25">
      <c r="C274" s="24" t="s">
        <v>264</v>
      </c>
      <c r="D274" s="24" t="s">
        <v>265</v>
      </c>
      <c r="E274" s="24" t="s">
        <v>266</v>
      </c>
      <c r="F274" s="24">
        <v>5</v>
      </c>
      <c r="G274" s="24" t="s">
        <v>37</v>
      </c>
      <c r="H274" s="24" t="s">
        <v>38</v>
      </c>
      <c r="I274" s="24" t="s">
        <v>1111</v>
      </c>
      <c r="J274" s="24" t="s">
        <v>1046</v>
      </c>
      <c r="K274" s="24">
        <v>0</v>
      </c>
      <c r="L274" s="24" t="s">
        <v>1059</v>
      </c>
      <c r="M274" s="24" t="s">
        <v>1051</v>
      </c>
      <c r="N274" s="24" t="s">
        <v>1053</v>
      </c>
      <c r="O274" s="24" t="str">
        <f t="shared" si="5"/>
        <v>50OMD</v>
      </c>
      <c r="P274" s="24" t="s">
        <v>43</v>
      </c>
    </row>
    <row r="275" spans="3:16" x14ac:dyDescent="0.25">
      <c r="C275" s="24" t="s">
        <v>267</v>
      </c>
      <c r="D275" s="24" t="s">
        <v>268</v>
      </c>
      <c r="E275" s="24" t="s">
        <v>269</v>
      </c>
      <c r="F275" s="24">
        <v>5</v>
      </c>
      <c r="G275" s="24" t="s">
        <v>37</v>
      </c>
      <c r="H275" s="24" t="s">
        <v>38</v>
      </c>
      <c r="I275" s="24" t="s">
        <v>1114</v>
      </c>
      <c r="J275" s="24" t="s">
        <v>1046</v>
      </c>
      <c r="K275" s="24">
        <v>0</v>
      </c>
      <c r="L275" s="24" t="s">
        <v>1059</v>
      </c>
      <c r="M275" s="24" t="s">
        <v>1051</v>
      </c>
      <c r="N275" s="24" t="s">
        <v>1053</v>
      </c>
      <c r="O275" s="24" t="str">
        <f t="shared" si="5"/>
        <v>50OMH</v>
      </c>
      <c r="P275" s="24" t="s">
        <v>43</v>
      </c>
    </row>
    <row r="276" spans="3:16" x14ac:dyDescent="0.25">
      <c r="C276" s="24" t="s">
        <v>270</v>
      </c>
      <c r="D276" s="24" t="s">
        <v>271</v>
      </c>
      <c r="E276" s="24" t="s">
        <v>271</v>
      </c>
      <c r="F276" s="24">
        <v>5</v>
      </c>
      <c r="G276" s="24" t="s">
        <v>37</v>
      </c>
      <c r="H276" s="24" t="s">
        <v>38</v>
      </c>
      <c r="I276" s="24" t="s">
        <v>1114</v>
      </c>
      <c r="J276" s="24" t="s">
        <v>1046</v>
      </c>
      <c r="K276" s="24" t="s">
        <v>100</v>
      </c>
      <c r="L276" s="24" t="s">
        <v>1064</v>
      </c>
      <c r="M276" s="24" t="s">
        <v>1051</v>
      </c>
      <c r="N276" s="24" t="s">
        <v>1035</v>
      </c>
      <c r="O276" s="24" t="str">
        <f t="shared" si="5"/>
        <v>50OMI</v>
      </c>
      <c r="P276" s="24" t="s">
        <v>43</v>
      </c>
    </row>
    <row r="277" spans="3:16" x14ac:dyDescent="0.25">
      <c r="C277" s="24" t="s">
        <v>631</v>
      </c>
      <c r="D277" s="24" t="s">
        <v>633</v>
      </c>
      <c r="E277" s="24" t="s">
        <v>1133</v>
      </c>
      <c r="F277" s="24">
        <v>5</v>
      </c>
      <c r="G277" s="24" t="s">
        <v>376</v>
      </c>
      <c r="H277" s="24" t="s">
        <v>38</v>
      </c>
      <c r="I277" s="24" t="s">
        <v>1114</v>
      </c>
      <c r="J277" s="24" t="s">
        <v>1046</v>
      </c>
      <c r="K277" s="24" t="s">
        <v>50</v>
      </c>
      <c r="L277" s="24" t="s">
        <v>1059</v>
      </c>
      <c r="M277" s="24" t="s">
        <v>1051</v>
      </c>
      <c r="N277" s="3" t="s">
        <v>984</v>
      </c>
      <c r="O277" s="24" t="str">
        <f t="shared" si="5"/>
        <v>50OML</v>
      </c>
      <c r="P277" s="24" t="s">
        <v>43</v>
      </c>
    </row>
    <row r="278" spans="3:16" x14ac:dyDescent="0.25">
      <c r="C278" s="24" t="s">
        <v>272</v>
      </c>
      <c r="D278" s="24" t="s">
        <v>273</v>
      </c>
      <c r="E278" s="24" t="s">
        <v>274</v>
      </c>
      <c r="F278" s="24">
        <v>5</v>
      </c>
      <c r="G278" s="24" t="s">
        <v>37</v>
      </c>
      <c r="H278" s="24" t="s">
        <v>38</v>
      </c>
      <c r="I278" s="24" t="s">
        <v>1111</v>
      </c>
      <c r="J278" s="24" t="s">
        <v>1046</v>
      </c>
      <c r="K278" s="24" t="s">
        <v>73</v>
      </c>
      <c r="L278" s="24" t="s">
        <v>1068</v>
      </c>
      <c r="M278" s="24" t="s">
        <v>1051</v>
      </c>
      <c r="N278" s="3" t="s">
        <v>378</v>
      </c>
      <c r="O278" s="24" t="str">
        <f t="shared" si="5"/>
        <v>50OMM</v>
      </c>
      <c r="P278" s="24" t="s">
        <v>43</v>
      </c>
    </row>
    <row r="279" spans="3:16" x14ac:dyDescent="0.25">
      <c r="C279" s="24" t="s">
        <v>690</v>
      </c>
      <c r="D279" s="24" t="s">
        <v>691</v>
      </c>
      <c r="E279" s="24" t="s">
        <v>692</v>
      </c>
      <c r="F279" s="25">
        <v>5</v>
      </c>
      <c r="G279" s="24" t="s">
        <v>376</v>
      </c>
      <c r="H279" s="24" t="s">
        <v>38</v>
      </c>
      <c r="I279" s="24" t="s">
        <v>1114</v>
      </c>
      <c r="J279" s="24" t="s">
        <v>1046</v>
      </c>
      <c r="K279" s="24" t="s">
        <v>248</v>
      </c>
      <c r="L279" s="24" t="s">
        <v>1059</v>
      </c>
      <c r="M279" s="24" t="s">
        <v>1051</v>
      </c>
      <c r="N279" s="24" t="s">
        <v>1112</v>
      </c>
      <c r="O279" s="24" t="str">
        <f t="shared" si="5"/>
        <v>50OMO</v>
      </c>
      <c r="P279" s="24" t="s">
        <v>440</v>
      </c>
    </row>
    <row r="280" spans="3:16" x14ac:dyDescent="0.25">
      <c r="C280" s="24" t="s">
        <v>276</v>
      </c>
      <c r="D280" s="24" t="s">
        <v>277</v>
      </c>
      <c r="E280" s="24" t="s">
        <v>278</v>
      </c>
      <c r="F280" s="25">
        <v>5</v>
      </c>
      <c r="G280" s="24" t="s">
        <v>37</v>
      </c>
      <c r="H280" s="24" t="s">
        <v>38</v>
      </c>
      <c r="I280" s="24" t="s">
        <v>1111</v>
      </c>
      <c r="J280" s="24" t="s">
        <v>1046</v>
      </c>
      <c r="K280" s="24" t="s">
        <v>84</v>
      </c>
      <c r="L280" s="24" t="s">
        <v>1074</v>
      </c>
      <c r="M280" s="24" t="s">
        <v>1074</v>
      </c>
      <c r="N280" s="3" t="s">
        <v>378</v>
      </c>
      <c r="O280" s="24" t="str">
        <f t="shared" si="5"/>
        <v>50OMT</v>
      </c>
      <c r="P280" s="24" t="s">
        <v>43</v>
      </c>
    </row>
    <row r="281" spans="3:16" x14ac:dyDescent="0.25">
      <c r="C281" s="24" t="s">
        <v>731</v>
      </c>
      <c r="D281" s="24" t="s">
        <v>732</v>
      </c>
      <c r="E281" s="24" t="s">
        <v>54</v>
      </c>
      <c r="F281" s="25">
        <v>5</v>
      </c>
      <c r="G281" s="24" t="s">
        <v>376</v>
      </c>
      <c r="H281" s="24" t="s">
        <v>46</v>
      </c>
      <c r="I281" s="24" t="s">
        <v>1110</v>
      </c>
      <c r="J281" s="24" t="s">
        <v>1031</v>
      </c>
      <c r="K281" s="24" t="s">
        <v>84</v>
      </c>
      <c r="L281" s="24" t="s">
        <v>1061</v>
      </c>
      <c r="M281" s="24" t="s">
        <v>1074</v>
      </c>
      <c r="N281" s="3" t="s">
        <v>378</v>
      </c>
      <c r="O281" s="24" t="str">
        <f t="shared" si="5"/>
        <v>50OOC</v>
      </c>
      <c r="P281" s="24" t="s">
        <v>440</v>
      </c>
    </row>
    <row r="282" spans="3:16" x14ac:dyDescent="0.25">
      <c r="C282" s="24" t="s">
        <v>453</v>
      </c>
      <c r="D282" s="24" t="s">
        <v>454</v>
      </c>
      <c r="E282" s="24" t="s">
        <v>454</v>
      </c>
      <c r="F282" s="25">
        <v>5</v>
      </c>
      <c r="G282" s="24" t="s">
        <v>376</v>
      </c>
      <c r="H282" s="24" t="s">
        <v>38</v>
      </c>
      <c r="I282" s="24" t="s">
        <v>1110</v>
      </c>
      <c r="J282" s="24" t="s">
        <v>1046</v>
      </c>
      <c r="K282" s="24" t="s">
        <v>94</v>
      </c>
      <c r="L282" s="24" t="s">
        <v>1065</v>
      </c>
      <c r="M282" s="24" t="s">
        <v>1051</v>
      </c>
      <c r="N282" s="24" t="s">
        <v>1035</v>
      </c>
      <c r="O282" s="24" t="str">
        <f t="shared" si="5"/>
        <v>50OPN</v>
      </c>
      <c r="P282" s="24" t="s">
        <v>440</v>
      </c>
    </row>
    <row r="283" spans="3:16" x14ac:dyDescent="0.25">
      <c r="C283" s="24" t="s">
        <v>280</v>
      </c>
      <c r="D283" s="24" t="s">
        <v>281</v>
      </c>
      <c r="E283" s="24" t="s">
        <v>281</v>
      </c>
      <c r="F283" s="25">
        <v>5</v>
      </c>
      <c r="G283" s="24" t="s">
        <v>37</v>
      </c>
      <c r="H283" s="24" t="s">
        <v>38</v>
      </c>
      <c r="I283" s="24" t="s">
        <v>1120</v>
      </c>
      <c r="J283" s="24" t="s">
        <v>1046</v>
      </c>
      <c r="K283" s="24" t="s">
        <v>132</v>
      </c>
      <c r="L283" s="24" t="s">
        <v>1065</v>
      </c>
      <c r="M283" s="24" t="s">
        <v>1051</v>
      </c>
      <c r="N283" s="24" t="s">
        <v>1035</v>
      </c>
      <c r="O283" s="24" t="str">
        <f t="shared" si="5"/>
        <v>50OPV</v>
      </c>
      <c r="P283" s="24" t="s">
        <v>43</v>
      </c>
    </row>
    <row r="284" spans="3:16" x14ac:dyDescent="0.25">
      <c r="C284" s="24" t="s">
        <v>282</v>
      </c>
      <c r="D284" s="24" t="s">
        <v>283</v>
      </c>
      <c r="E284" s="24" t="s">
        <v>284</v>
      </c>
      <c r="F284" s="25">
        <v>5</v>
      </c>
      <c r="G284" s="24" t="s">
        <v>37</v>
      </c>
      <c r="H284" s="24" t="s">
        <v>38</v>
      </c>
      <c r="I284" s="24" t="s">
        <v>1120</v>
      </c>
      <c r="J284" s="24" t="s">
        <v>1046</v>
      </c>
      <c r="K284" s="24">
        <v>0</v>
      </c>
      <c r="L284" s="24" t="s">
        <v>1074</v>
      </c>
      <c r="M284" s="24" t="s">
        <v>1074</v>
      </c>
      <c r="N284" s="24" t="s">
        <v>1053</v>
      </c>
      <c r="O284" s="24" t="str">
        <f t="shared" si="5"/>
        <v>50ORE</v>
      </c>
      <c r="P284" s="24" t="s">
        <v>43</v>
      </c>
    </row>
    <row r="285" spans="3:16" x14ac:dyDescent="0.25">
      <c r="C285" s="24" t="s">
        <v>455</v>
      </c>
      <c r="D285" s="24" t="s">
        <v>456</v>
      </c>
      <c r="E285" s="24" t="s">
        <v>1134</v>
      </c>
      <c r="F285" s="25">
        <v>5</v>
      </c>
      <c r="G285" s="24" t="s">
        <v>376</v>
      </c>
      <c r="H285" s="24" t="s">
        <v>38</v>
      </c>
      <c r="I285" s="24" t="s">
        <v>1110</v>
      </c>
      <c r="J285" s="24" t="s">
        <v>1046</v>
      </c>
      <c r="K285" s="24" t="s">
        <v>94</v>
      </c>
      <c r="L285" s="24" t="s">
        <v>1065</v>
      </c>
      <c r="M285" s="24" t="s">
        <v>1051</v>
      </c>
      <c r="N285" s="24" t="s">
        <v>1035</v>
      </c>
      <c r="O285" s="24" t="str">
        <f t="shared" si="5"/>
        <v>50ORO</v>
      </c>
      <c r="P285" s="24" t="s">
        <v>440</v>
      </c>
    </row>
    <row r="286" spans="3:16" x14ac:dyDescent="0.25">
      <c r="C286" s="24" t="s">
        <v>285</v>
      </c>
      <c r="D286" s="24" t="s">
        <v>286</v>
      </c>
      <c r="E286" s="24" t="s">
        <v>287</v>
      </c>
      <c r="F286" s="25">
        <v>5</v>
      </c>
      <c r="G286" s="24" t="s">
        <v>37</v>
      </c>
      <c r="H286" s="24" t="s">
        <v>38</v>
      </c>
      <c r="I286" s="24" t="s">
        <v>1120</v>
      </c>
      <c r="J286" s="24" t="s">
        <v>1046</v>
      </c>
      <c r="K286" s="24">
        <v>0</v>
      </c>
      <c r="L286" s="24" t="s">
        <v>1059</v>
      </c>
      <c r="M286" s="24" t="s">
        <v>1051</v>
      </c>
      <c r="N286" s="24" t="s">
        <v>1053</v>
      </c>
      <c r="O286" s="24" t="str">
        <f t="shared" si="5"/>
        <v>50ORY</v>
      </c>
      <c r="P286" s="24" t="s">
        <v>43</v>
      </c>
    </row>
    <row r="287" spans="3:16" x14ac:dyDescent="0.25">
      <c r="C287" s="24" t="s">
        <v>288</v>
      </c>
      <c r="D287" s="24" t="s">
        <v>289</v>
      </c>
      <c r="E287" s="24" t="s">
        <v>290</v>
      </c>
      <c r="F287" s="25">
        <v>5</v>
      </c>
      <c r="G287" s="24" t="s">
        <v>37</v>
      </c>
      <c r="H287" s="24" t="s">
        <v>38</v>
      </c>
      <c r="I287" s="24" t="s">
        <v>1111</v>
      </c>
      <c r="J287" s="24" t="s">
        <v>1046</v>
      </c>
      <c r="K287" s="24">
        <v>0</v>
      </c>
      <c r="L287" s="24" t="s">
        <v>1064</v>
      </c>
      <c r="M287" s="24" t="s">
        <v>1051</v>
      </c>
      <c r="N287" s="24" t="s">
        <v>1053</v>
      </c>
      <c r="O287" s="24" t="str">
        <f t="shared" si="5"/>
        <v>50OSF</v>
      </c>
      <c r="P287" s="24" t="s">
        <v>43</v>
      </c>
    </row>
    <row r="288" spans="3:16" x14ac:dyDescent="0.25">
      <c r="C288" s="24" t="s">
        <v>291</v>
      </c>
      <c r="D288" s="24" t="s">
        <v>292</v>
      </c>
      <c r="E288" s="24" t="s">
        <v>292</v>
      </c>
      <c r="F288" s="25">
        <v>5</v>
      </c>
      <c r="G288" s="24" t="s">
        <v>37</v>
      </c>
      <c r="H288" s="24" t="s">
        <v>38</v>
      </c>
      <c r="I288" s="24" t="s">
        <v>1120</v>
      </c>
      <c r="J288" s="24" t="s">
        <v>1046</v>
      </c>
      <c r="K288" s="24" t="s">
        <v>94</v>
      </c>
      <c r="L288" s="24" t="s">
        <v>1059</v>
      </c>
      <c r="M288" s="24" t="s">
        <v>1051</v>
      </c>
      <c r="N288" s="24" t="s">
        <v>1035</v>
      </c>
      <c r="O288" s="24" t="str">
        <f t="shared" si="5"/>
        <v>50OSI</v>
      </c>
      <c r="P288" s="24" t="s">
        <v>43</v>
      </c>
    </row>
    <row r="289" spans="3:16" x14ac:dyDescent="0.25">
      <c r="C289" s="24" t="s">
        <v>293</v>
      </c>
      <c r="D289" s="24" t="s">
        <v>294</v>
      </c>
      <c r="E289" s="24" t="s">
        <v>294</v>
      </c>
      <c r="F289" s="25">
        <v>5</v>
      </c>
      <c r="G289" s="24" t="s">
        <v>37</v>
      </c>
      <c r="H289" s="24" t="s">
        <v>38</v>
      </c>
      <c r="I289" s="24" t="s">
        <v>1114</v>
      </c>
      <c r="J289" s="24" t="s">
        <v>1046</v>
      </c>
      <c r="K289" s="24" t="s">
        <v>73</v>
      </c>
      <c r="L289" s="24" t="s">
        <v>1065</v>
      </c>
      <c r="M289" s="24" t="s">
        <v>1051</v>
      </c>
      <c r="N289" s="3" t="s">
        <v>378</v>
      </c>
      <c r="O289" s="24" t="str">
        <f t="shared" si="5"/>
        <v>50OSO</v>
      </c>
      <c r="P289" s="24" t="s">
        <v>43</v>
      </c>
    </row>
    <row r="290" spans="3:16" x14ac:dyDescent="0.25">
      <c r="C290" s="24" t="s">
        <v>295</v>
      </c>
      <c r="D290" s="24" t="s">
        <v>296</v>
      </c>
      <c r="E290" s="24" t="s">
        <v>297</v>
      </c>
      <c r="F290" s="25">
        <v>5</v>
      </c>
      <c r="G290" s="24" t="s">
        <v>37</v>
      </c>
      <c r="H290" s="24" t="s">
        <v>38</v>
      </c>
      <c r="I290" s="24" t="s">
        <v>1120</v>
      </c>
      <c r="J290" s="24" t="s">
        <v>1046</v>
      </c>
      <c r="K290" s="24" t="s">
        <v>94</v>
      </c>
      <c r="L290" s="24" t="s">
        <v>1065</v>
      </c>
      <c r="M290" s="24" t="s">
        <v>1051</v>
      </c>
      <c r="N290" s="24" t="s">
        <v>1035</v>
      </c>
      <c r="O290" s="24" t="str">
        <f t="shared" si="5"/>
        <v>50OSU</v>
      </c>
      <c r="P290" s="24" t="s">
        <v>43</v>
      </c>
    </row>
    <row r="291" spans="3:16" x14ac:dyDescent="0.25">
      <c r="C291" s="24" t="s">
        <v>298</v>
      </c>
      <c r="D291" s="24" t="s">
        <v>299</v>
      </c>
      <c r="E291" s="24" t="s">
        <v>300</v>
      </c>
      <c r="F291" s="25">
        <v>5</v>
      </c>
      <c r="G291" s="24" t="s">
        <v>37</v>
      </c>
      <c r="H291" s="24" t="s">
        <v>38</v>
      </c>
      <c r="I291" s="24" t="s">
        <v>1114</v>
      </c>
      <c r="J291" s="24" t="s">
        <v>1046</v>
      </c>
      <c r="K291" s="24" t="s">
        <v>58</v>
      </c>
      <c r="L291" s="24" t="s">
        <v>1064</v>
      </c>
      <c r="M291" s="24" t="s">
        <v>1051</v>
      </c>
      <c r="N291" s="24" t="s">
        <v>1112</v>
      </c>
      <c r="O291" s="24" t="str">
        <f t="shared" si="5"/>
        <v>50OTE</v>
      </c>
      <c r="P291" s="24" t="s">
        <v>43</v>
      </c>
    </row>
    <row r="292" spans="3:16" x14ac:dyDescent="0.25">
      <c r="C292" s="24" t="s">
        <v>794</v>
      </c>
      <c r="D292" s="24" t="s">
        <v>795</v>
      </c>
      <c r="E292" s="24" t="s">
        <v>795</v>
      </c>
      <c r="F292" s="25">
        <v>5</v>
      </c>
      <c r="G292" s="24" t="s">
        <v>376</v>
      </c>
      <c r="H292" s="24" t="s">
        <v>38</v>
      </c>
      <c r="I292" s="24" t="s">
        <v>1114</v>
      </c>
      <c r="J292" s="24" t="s">
        <v>1031</v>
      </c>
      <c r="K292" s="24" t="s">
        <v>89</v>
      </c>
      <c r="L292" s="24" t="s">
        <v>1075</v>
      </c>
      <c r="M292" s="24" t="s">
        <v>1076</v>
      </c>
      <c r="N292" s="3" t="s">
        <v>378</v>
      </c>
      <c r="O292" s="24" t="str">
        <f t="shared" si="5"/>
        <v>50OTI</v>
      </c>
      <c r="P292" s="24" t="s">
        <v>43</v>
      </c>
    </row>
    <row r="293" spans="3:16" x14ac:dyDescent="0.25">
      <c r="C293" s="24" t="s">
        <v>620</v>
      </c>
      <c r="D293" s="24" t="s">
        <v>622</v>
      </c>
      <c r="E293" s="24" t="s">
        <v>622</v>
      </c>
      <c r="F293" s="25">
        <v>5</v>
      </c>
      <c r="G293" s="24" t="s">
        <v>376</v>
      </c>
      <c r="H293" s="24" t="s">
        <v>38</v>
      </c>
      <c r="I293" s="24" t="s">
        <v>1114</v>
      </c>
      <c r="J293" s="24" t="s">
        <v>1046</v>
      </c>
      <c r="K293" s="24" t="s">
        <v>50</v>
      </c>
      <c r="L293" s="24" t="s">
        <v>1064</v>
      </c>
      <c r="M293" s="24" t="s">
        <v>1051</v>
      </c>
      <c r="N293" s="3" t="s">
        <v>984</v>
      </c>
      <c r="O293" s="24" t="str">
        <f t="shared" si="5"/>
        <v>50OTT</v>
      </c>
      <c r="P293" s="24" t="s">
        <v>43</v>
      </c>
    </row>
    <row r="294" spans="3:16" x14ac:dyDescent="0.25">
      <c r="C294" s="24" t="s">
        <v>733</v>
      </c>
      <c r="D294" s="24" t="s">
        <v>734</v>
      </c>
      <c r="E294" s="24" t="s">
        <v>1135</v>
      </c>
      <c r="F294" s="25">
        <v>5</v>
      </c>
      <c r="G294" s="24" t="s">
        <v>376</v>
      </c>
      <c r="H294" s="24" t="s">
        <v>38</v>
      </c>
      <c r="I294" s="24" t="s">
        <v>1114</v>
      </c>
      <c r="J294" s="24" t="s">
        <v>1031</v>
      </c>
      <c r="K294" s="24" t="s">
        <v>84</v>
      </c>
      <c r="L294" s="24" t="s">
        <v>1061</v>
      </c>
      <c r="M294" s="24" t="s">
        <v>1074</v>
      </c>
      <c r="N294" s="3" t="s">
        <v>378</v>
      </c>
      <c r="O294" s="24" t="str">
        <f t="shared" si="5"/>
        <v>50OUV</v>
      </c>
      <c r="P294" s="24" t="s">
        <v>43</v>
      </c>
    </row>
    <row r="295" spans="3:16" x14ac:dyDescent="0.25">
      <c r="C295" s="24" t="s">
        <v>301</v>
      </c>
      <c r="D295" s="24" t="s">
        <v>302</v>
      </c>
      <c r="E295" s="24" t="s">
        <v>303</v>
      </c>
      <c r="F295" s="25">
        <v>5</v>
      </c>
      <c r="G295" s="24" t="s">
        <v>37</v>
      </c>
      <c r="H295" s="24" t="s">
        <v>38</v>
      </c>
      <c r="I295" s="24" t="s">
        <v>1120</v>
      </c>
      <c r="J295" s="24" t="s">
        <v>1046</v>
      </c>
      <c r="K295" s="24" t="s">
        <v>132</v>
      </c>
      <c r="L295" s="24" t="s">
        <v>1082</v>
      </c>
      <c r="M295" s="24" t="s">
        <v>1051</v>
      </c>
      <c r="N295" s="24" t="s">
        <v>1035</v>
      </c>
      <c r="O295" s="24" t="str">
        <f t="shared" si="5"/>
        <v>50OVM</v>
      </c>
      <c r="P295" s="24" t="s">
        <v>43</v>
      </c>
    </row>
    <row r="296" spans="3:16" x14ac:dyDescent="0.25">
      <c r="C296" s="24" t="s">
        <v>505</v>
      </c>
      <c r="D296" s="24" t="s">
        <v>506</v>
      </c>
      <c r="E296" s="24" t="s">
        <v>506</v>
      </c>
      <c r="F296" s="25">
        <v>5</v>
      </c>
      <c r="G296" s="24" t="s">
        <v>376</v>
      </c>
      <c r="H296" s="24" t="s">
        <v>46</v>
      </c>
      <c r="I296" s="24" t="s">
        <v>1114</v>
      </c>
      <c r="J296" s="24" t="s">
        <v>1046</v>
      </c>
      <c r="K296" s="24" t="s">
        <v>58</v>
      </c>
      <c r="L296" s="24" t="s">
        <v>1059</v>
      </c>
      <c r="M296" s="24" t="s">
        <v>1051</v>
      </c>
      <c r="N296" s="24" t="s">
        <v>1112</v>
      </c>
      <c r="O296" s="24" t="str">
        <f t="shared" si="5"/>
        <v>50OVN</v>
      </c>
      <c r="P296" s="24" t="s">
        <v>43</v>
      </c>
    </row>
    <row r="297" spans="3:16" x14ac:dyDescent="0.25">
      <c r="C297" s="24" t="s">
        <v>304</v>
      </c>
      <c r="D297" s="24" t="s">
        <v>305</v>
      </c>
      <c r="E297" s="24" t="s">
        <v>305</v>
      </c>
      <c r="F297" s="25">
        <v>5</v>
      </c>
      <c r="G297" s="24" t="s">
        <v>37</v>
      </c>
      <c r="H297" s="24" t="s">
        <v>81</v>
      </c>
      <c r="I297" s="24" t="s">
        <v>1111</v>
      </c>
      <c r="J297" s="24" t="s">
        <v>1046</v>
      </c>
      <c r="K297" s="24" t="s">
        <v>132</v>
      </c>
      <c r="L297" s="24" t="s">
        <v>1059</v>
      </c>
      <c r="M297" s="24" t="s">
        <v>1051</v>
      </c>
      <c r="N297" s="24" t="s">
        <v>1035</v>
      </c>
      <c r="O297" s="24" t="str">
        <f t="shared" si="5"/>
        <v>50P7X</v>
      </c>
      <c r="P297" s="24" t="s">
        <v>43</v>
      </c>
    </row>
    <row r="298" spans="3:16" x14ac:dyDescent="0.25">
      <c r="C298" s="24" t="s">
        <v>306</v>
      </c>
      <c r="D298" s="24" t="s">
        <v>307</v>
      </c>
      <c r="E298" s="24" t="s">
        <v>307</v>
      </c>
      <c r="F298" s="25">
        <v>5</v>
      </c>
      <c r="G298" s="24" t="s">
        <v>37</v>
      </c>
      <c r="H298" s="24" t="s">
        <v>46</v>
      </c>
      <c r="I298" s="24" t="s">
        <v>1120</v>
      </c>
      <c r="J298" s="24" t="s">
        <v>1046</v>
      </c>
      <c r="K298" s="24">
        <v>0</v>
      </c>
      <c r="L298" s="24" t="s">
        <v>1060</v>
      </c>
      <c r="M298" s="24" t="s">
        <v>1051</v>
      </c>
      <c r="N298" s="24" t="s">
        <v>1053</v>
      </c>
      <c r="O298" s="24" t="str">
        <f t="shared" si="5"/>
        <v>50PCH</v>
      </c>
      <c r="P298" s="24" t="s">
        <v>43</v>
      </c>
    </row>
    <row r="299" spans="3:16" x14ac:dyDescent="0.25">
      <c r="C299" s="24" t="s">
        <v>308</v>
      </c>
      <c r="D299" s="24" t="s">
        <v>309</v>
      </c>
      <c r="E299" s="24" t="s">
        <v>309</v>
      </c>
      <c r="F299" s="25">
        <v>5</v>
      </c>
      <c r="G299" s="24" t="s">
        <v>37</v>
      </c>
      <c r="H299" s="24" t="s">
        <v>46</v>
      </c>
      <c r="I299" s="24" t="s">
        <v>1114</v>
      </c>
      <c r="J299" s="24" t="s">
        <v>1046</v>
      </c>
      <c r="K299" s="24">
        <v>0</v>
      </c>
      <c r="L299" s="24" t="s">
        <v>1074</v>
      </c>
      <c r="M299" s="24" t="s">
        <v>1074</v>
      </c>
      <c r="N299" s="24" t="s">
        <v>1053</v>
      </c>
      <c r="O299" s="24" t="str">
        <f t="shared" si="5"/>
        <v>50PCL</v>
      </c>
      <c r="P299" s="24" t="s">
        <v>43</v>
      </c>
    </row>
    <row r="300" spans="3:16" x14ac:dyDescent="0.25">
      <c r="C300" s="24" t="s">
        <v>310</v>
      </c>
      <c r="D300" s="24" t="s">
        <v>311</v>
      </c>
      <c r="E300" s="24" t="s">
        <v>312</v>
      </c>
      <c r="F300" s="25">
        <v>5</v>
      </c>
      <c r="G300" s="24" t="s">
        <v>37</v>
      </c>
      <c r="H300" s="24" t="s">
        <v>81</v>
      </c>
      <c r="I300" s="24" t="s">
        <v>1111</v>
      </c>
      <c r="J300" s="24" t="s">
        <v>1046</v>
      </c>
      <c r="K300" s="24" t="s">
        <v>160</v>
      </c>
      <c r="L300" s="24" t="s">
        <v>1065</v>
      </c>
      <c r="M300" s="24" t="s">
        <v>1051</v>
      </c>
      <c r="N300" s="3" t="s">
        <v>984</v>
      </c>
      <c r="O300" s="24" t="str">
        <f t="shared" si="5"/>
        <v>50PDV</v>
      </c>
      <c r="P300" s="24" t="s">
        <v>43</v>
      </c>
    </row>
    <row r="301" spans="3:16" x14ac:dyDescent="0.25">
      <c r="C301" s="24" t="s">
        <v>968</v>
      </c>
      <c r="D301" s="24" t="s">
        <v>969</v>
      </c>
      <c r="E301" s="24" t="s">
        <v>969</v>
      </c>
      <c r="F301" s="25">
        <v>5</v>
      </c>
      <c r="G301" s="24" t="s">
        <v>376</v>
      </c>
      <c r="H301" s="24" t="s">
        <v>46</v>
      </c>
      <c r="I301" s="24" t="s">
        <v>1114</v>
      </c>
      <c r="J301" s="24" t="s">
        <v>1046</v>
      </c>
      <c r="K301" s="24" t="s">
        <v>160</v>
      </c>
      <c r="L301" s="24" t="s">
        <v>1118</v>
      </c>
      <c r="M301" s="24" t="s">
        <v>1051</v>
      </c>
      <c r="N301" s="3" t="s">
        <v>984</v>
      </c>
      <c r="O301" s="24" t="str">
        <f t="shared" si="5"/>
        <v>50PFO</v>
      </c>
      <c r="P301" s="24" t="s">
        <v>440</v>
      </c>
    </row>
    <row r="302" spans="3:16" x14ac:dyDescent="0.25">
      <c r="C302" s="24" t="s">
        <v>313</v>
      </c>
      <c r="D302" s="24" t="s">
        <v>314</v>
      </c>
      <c r="E302" s="24" t="s">
        <v>314</v>
      </c>
      <c r="F302" s="25">
        <v>5</v>
      </c>
      <c r="G302" s="24" t="s">
        <v>37</v>
      </c>
      <c r="H302" s="24" t="s">
        <v>81</v>
      </c>
      <c r="I302" s="24" t="s">
        <v>1114</v>
      </c>
      <c r="J302" s="24" t="s">
        <v>1046</v>
      </c>
      <c r="K302" s="24">
        <v>0</v>
      </c>
      <c r="L302" s="24" t="s">
        <v>1067</v>
      </c>
      <c r="M302" s="24" t="s">
        <v>1051</v>
      </c>
      <c r="N302" s="24" t="s">
        <v>1053</v>
      </c>
      <c r="O302" s="24" t="str">
        <f t="shared" si="5"/>
        <v>50PJ0</v>
      </c>
      <c r="P302" s="24" t="s">
        <v>43</v>
      </c>
    </row>
    <row r="303" spans="3:16" x14ac:dyDescent="0.25">
      <c r="C303" s="24" t="s">
        <v>823</v>
      </c>
      <c r="D303" s="24" t="s">
        <v>824</v>
      </c>
      <c r="E303" s="24" t="s">
        <v>824</v>
      </c>
      <c r="F303" s="25">
        <v>5</v>
      </c>
      <c r="G303" s="24" t="s">
        <v>376</v>
      </c>
      <c r="H303" s="24" t="s">
        <v>46</v>
      </c>
      <c r="I303" s="24" t="s">
        <v>1114</v>
      </c>
      <c r="J303" s="24" t="s">
        <v>1046</v>
      </c>
      <c r="K303" s="24" t="s">
        <v>146</v>
      </c>
      <c r="L303" s="24" t="s">
        <v>1064</v>
      </c>
      <c r="M303" s="24" t="s">
        <v>1051</v>
      </c>
      <c r="N303" s="24" t="s">
        <v>1035</v>
      </c>
      <c r="O303" s="24" t="str">
        <f t="shared" si="5"/>
        <v>50PUF</v>
      </c>
      <c r="P303" s="24" t="s">
        <v>43</v>
      </c>
    </row>
    <row r="304" spans="3:16" x14ac:dyDescent="0.25">
      <c r="C304" s="24" t="s">
        <v>316</v>
      </c>
      <c r="D304" s="24" t="s">
        <v>317</v>
      </c>
      <c r="E304" s="24" t="s">
        <v>318</v>
      </c>
      <c r="F304" s="25">
        <v>5</v>
      </c>
      <c r="G304" s="24" t="s">
        <v>37</v>
      </c>
      <c r="H304" s="24" t="s">
        <v>81</v>
      </c>
      <c r="I304" s="24" t="s">
        <v>1120</v>
      </c>
      <c r="J304" s="24" t="s">
        <v>1046</v>
      </c>
      <c r="K304" s="24" t="s">
        <v>67</v>
      </c>
      <c r="L304" s="24" t="s">
        <v>1064</v>
      </c>
      <c r="M304" s="24" t="s">
        <v>1051</v>
      </c>
      <c r="N304" s="24" t="s">
        <v>1035</v>
      </c>
      <c r="O304" s="24" t="str">
        <f t="shared" si="5"/>
        <v>50PWL</v>
      </c>
      <c r="P304" s="24" t="s">
        <v>43</v>
      </c>
    </row>
    <row r="305" spans="3:16" x14ac:dyDescent="0.25">
      <c r="C305" s="24" t="s">
        <v>319</v>
      </c>
      <c r="D305" s="24" t="s">
        <v>320</v>
      </c>
      <c r="E305" s="24" t="s">
        <v>320</v>
      </c>
      <c r="F305" s="25">
        <v>5</v>
      </c>
      <c r="G305" s="24" t="s">
        <v>37</v>
      </c>
      <c r="H305" s="24" t="s">
        <v>46</v>
      </c>
      <c r="I305" s="24" t="s">
        <v>1114</v>
      </c>
      <c r="J305" s="24" t="s">
        <v>1046</v>
      </c>
      <c r="K305" s="24">
        <v>0</v>
      </c>
      <c r="L305" s="24" t="s">
        <v>1069</v>
      </c>
      <c r="M305" s="24" t="s">
        <v>1051</v>
      </c>
      <c r="N305" s="24" t="s">
        <v>1053</v>
      </c>
      <c r="O305" s="24" t="str">
        <f t="shared" si="5"/>
        <v>50PZC</v>
      </c>
      <c r="P305" s="24" t="s">
        <v>43</v>
      </c>
    </row>
    <row r="306" spans="3:16" x14ac:dyDescent="0.25">
      <c r="C306" s="24" t="s">
        <v>321</v>
      </c>
      <c r="D306" s="24" t="s">
        <v>322</v>
      </c>
      <c r="E306" s="24" t="s">
        <v>322</v>
      </c>
      <c r="F306" s="25">
        <v>5</v>
      </c>
      <c r="G306" s="24" t="s">
        <v>37</v>
      </c>
      <c r="H306" s="24" t="s">
        <v>81</v>
      </c>
      <c r="I306" s="24" t="s">
        <v>1120</v>
      </c>
      <c r="J306" s="24" t="s">
        <v>1046</v>
      </c>
      <c r="K306" s="24" t="s">
        <v>50</v>
      </c>
      <c r="L306" s="24" t="s">
        <v>1059</v>
      </c>
      <c r="M306" s="24" t="s">
        <v>1051</v>
      </c>
      <c r="N306" s="3" t="s">
        <v>984</v>
      </c>
      <c r="O306" s="24" t="str">
        <f t="shared" si="5"/>
        <v>50QM5</v>
      </c>
      <c r="P306" s="24" t="s">
        <v>43</v>
      </c>
    </row>
    <row r="307" spans="3:16" x14ac:dyDescent="0.25">
      <c r="C307" s="24" t="s">
        <v>457</v>
      </c>
      <c r="D307" s="24" t="s">
        <v>458</v>
      </c>
      <c r="E307" s="24" t="s">
        <v>458</v>
      </c>
      <c r="F307" s="25">
        <v>5</v>
      </c>
      <c r="G307" s="24" t="s">
        <v>376</v>
      </c>
      <c r="H307" s="24" t="s">
        <v>88</v>
      </c>
      <c r="I307" s="24" t="s">
        <v>1114</v>
      </c>
      <c r="J307" s="24" t="s">
        <v>1046</v>
      </c>
      <c r="K307" s="24" t="s">
        <v>94</v>
      </c>
      <c r="L307" s="24" t="s">
        <v>1063</v>
      </c>
      <c r="M307" s="24" t="s">
        <v>1051</v>
      </c>
      <c r="N307" s="24" t="s">
        <v>1035</v>
      </c>
      <c r="O307" s="24" t="str">
        <f t="shared" si="5"/>
        <v>50QO5</v>
      </c>
      <c r="P307" s="24" t="s">
        <v>43</v>
      </c>
    </row>
    <row r="308" spans="3:16" x14ac:dyDescent="0.25">
      <c r="C308" s="24" t="s">
        <v>323</v>
      </c>
      <c r="D308" s="24" t="s">
        <v>324</v>
      </c>
      <c r="E308" s="24" t="s">
        <v>324</v>
      </c>
      <c r="F308" s="25">
        <v>5</v>
      </c>
      <c r="G308" s="24" t="s">
        <v>37</v>
      </c>
      <c r="H308" s="24" t="s">
        <v>46</v>
      </c>
      <c r="I308" s="24" t="s">
        <v>1120</v>
      </c>
      <c r="J308" s="24" t="s">
        <v>1046</v>
      </c>
      <c r="K308" s="24" t="s">
        <v>58</v>
      </c>
      <c r="L308" s="24" t="s">
        <v>1060</v>
      </c>
      <c r="M308" s="24" t="s">
        <v>1051</v>
      </c>
      <c r="N308" s="24" t="s">
        <v>1112</v>
      </c>
      <c r="O308" s="24" t="str">
        <f t="shared" si="5"/>
        <v>50ROS</v>
      </c>
      <c r="P308" s="24" t="s">
        <v>43</v>
      </c>
    </row>
    <row r="309" spans="3:16" x14ac:dyDescent="0.25">
      <c r="C309" s="24" t="s">
        <v>325</v>
      </c>
      <c r="D309" s="24" t="s">
        <v>326</v>
      </c>
      <c r="E309" s="24" t="s">
        <v>1136</v>
      </c>
      <c r="F309" s="25">
        <v>5</v>
      </c>
      <c r="G309" s="24" t="s">
        <v>37</v>
      </c>
      <c r="H309" s="24" t="s">
        <v>46</v>
      </c>
      <c r="I309" s="24" t="s">
        <v>1120</v>
      </c>
      <c r="J309" s="24" t="s">
        <v>1046</v>
      </c>
      <c r="K309" s="24" t="s">
        <v>67</v>
      </c>
      <c r="L309" s="24" t="s">
        <v>1064</v>
      </c>
      <c r="M309" s="24" t="s">
        <v>1051</v>
      </c>
      <c r="N309" s="24" t="s">
        <v>1035</v>
      </c>
      <c r="O309" s="24" t="str">
        <f t="shared" si="5"/>
        <v>50SAS</v>
      </c>
      <c r="P309" s="24" t="s">
        <v>43</v>
      </c>
    </row>
    <row r="310" spans="3:16" x14ac:dyDescent="0.25">
      <c r="C310" s="24" t="s">
        <v>459</v>
      </c>
      <c r="D310" s="24" t="s">
        <v>460</v>
      </c>
      <c r="E310" s="24" t="s">
        <v>460</v>
      </c>
      <c r="F310" s="25">
        <v>5</v>
      </c>
      <c r="G310" s="24" t="s">
        <v>376</v>
      </c>
      <c r="H310" s="24" t="s">
        <v>46</v>
      </c>
      <c r="I310" s="24" t="s">
        <v>1110</v>
      </c>
      <c r="J310" s="24" t="s">
        <v>1046</v>
      </c>
      <c r="K310" s="24" t="s">
        <v>94</v>
      </c>
      <c r="L310" s="24" t="s">
        <v>1065</v>
      </c>
      <c r="M310" s="24" t="s">
        <v>1051</v>
      </c>
      <c r="N310" s="24" t="s">
        <v>1035</v>
      </c>
      <c r="O310" s="24" t="str">
        <f t="shared" si="5"/>
        <v>50SBL</v>
      </c>
      <c r="P310" s="24" t="s">
        <v>43</v>
      </c>
    </row>
    <row r="311" spans="3:16" x14ac:dyDescent="0.25">
      <c r="C311" s="24" t="s">
        <v>919</v>
      </c>
      <c r="D311" s="24" t="s">
        <v>920</v>
      </c>
      <c r="E311" s="24" t="s">
        <v>920</v>
      </c>
      <c r="F311" s="25">
        <v>5</v>
      </c>
      <c r="G311" s="24" t="s">
        <v>376</v>
      </c>
      <c r="H311" s="24" t="s">
        <v>81</v>
      </c>
      <c r="I311" s="24" t="s">
        <v>1114</v>
      </c>
      <c r="J311" s="24" t="s">
        <v>1046</v>
      </c>
      <c r="K311" s="24" t="s">
        <v>73</v>
      </c>
      <c r="L311" s="24" t="s">
        <v>1067</v>
      </c>
      <c r="M311" s="24" t="s">
        <v>1051</v>
      </c>
      <c r="N311" s="3" t="s">
        <v>378</v>
      </c>
      <c r="O311" s="24" t="str">
        <f t="shared" si="5"/>
        <v>50SEA</v>
      </c>
      <c r="P311" s="24" t="s">
        <v>43</v>
      </c>
    </row>
    <row r="312" spans="3:16" x14ac:dyDescent="0.25">
      <c r="C312" s="24" t="s">
        <v>610</v>
      </c>
      <c r="D312" s="24" t="s">
        <v>611</v>
      </c>
      <c r="E312" s="24" t="s">
        <v>611</v>
      </c>
      <c r="F312" s="25">
        <v>5</v>
      </c>
      <c r="G312" s="24" t="s">
        <v>376</v>
      </c>
      <c r="H312" s="24" t="s">
        <v>88</v>
      </c>
      <c r="I312" s="24" t="s">
        <v>1114</v>
      </c>
      <c r="J312" s="24" t="s">
        <v>1046</v>
      </c>
      <c r="K312" s="24" t="s">
        <v>50</v>
      </c>
      <c r="L312" s="24" t="s">
        <v>1064</v>
      </c>
      <c r="M312" s="24" t="s">
        <v>1051</v>
      </c>
      <c r="N312" s="3" t="s">
        <v>984</v>
      </c>
      <c r="O312" s="24" t="str">
        <f t="shared" si="5"/>
        <v>50SEJ</v>
      </c>
      <c r="P312" s="24" t="s">
        <v>43</v>
      </c>
    </row>
    <row r="313" spans="3:16" x14ac:dyDescent="0.25">
      <c r="C313" s="24" t="s">
        <v>461</v>
      </c>
      <c r="D313" s="24" t="s">
        <v>462</v>
      </c>
      <c r="E313" s="24" t="s">
        <v>462</v>
      </c>
      <c r="F313" s="25">
        <v>5</v>
      </c>
      <c r="G313" s="24" t="s">
        <v>376</v>
      </c>
      <c r="H313" s="24" t="s">
        <v>46</v>
      </c>
      <c r="I313" s="24" t="s">
        <v>1110</v>
      </c>
      <c r="J313" s="24" t="s">
        <v>1046</v>
      </c>
      <c r="K313" s="24" t="s">
        <v>94</v>
      </c>
      <c r="L313" s="24" t="s">
        <v>1065</v>
      </c>
      <c r="M313" s="24" t="s">
        <v>1051</v>
      </c>
      <c r="N313" s="24" t="s">
        <v>1035</v>
      </c>
      <c r="O313" s="24" t="str">
        <f t="shared" si="5"/>
        <v>50SEM</v>
      </c>
      <c r="P313" s="24" t="s">
        <v>440</v>
      </c>
    </row>
    <row r="314" spans="3:16" x14ac:dyDescent="0.25">
      <c r="C314" s="24" t="s">
        <v>639</v>
      </c>
      <c r="D314" s="24" t="s">
        <v>640</v>
      </c>
      <c r="E314" s="24" t="s">
        <v>641</v>
      </c>
      <c r="F314" s="25">
        <v>5</v>
      </c>
      <c r="G314" s="24" t="s">
        <v>376</v>
      </c>
      <c r="H314" s="24" t="s">
        <v>88</v>
      </c>
      <c r="I314" s="24" t="s">
        <v>1114</v>
      </c>
      <c r="J314" s="24" t="s">
        <v>1046</v>
      </c>
      <c r="K314" s="24" t="s">
        <v>50</v>
      </c>
      <c r="L314" s="24" t="s">
        <v>1065</v>
      </c>
      <c r="M314" s="24" t="s">
        <v>1051</v>
      </c>
      <c r="N314" s="3" t="s">
        <v>984</v>
      </c>
      <c r="O314" s="24" t="str">
        <f t="shared" si="5"/>
        <v>50SQ0</v>
      </c>
      <c r="P314" s="24" t="s">
        <v>43</v>
      </c>
    </row>
    <row r="315" spans="3:16" x14ac:dyDescent="0.25">
      <c r="C315" s="24" t="s">
        <v>327</v>
      </c>
      <c r="D315" s="24" t="s">
        <v>328</v>
      </c>
      <c r="E315" s="24" t="s">
        <v>328</v>
      </c>
      <c r="F315" s="25">
        <v>5</v>
      </c>
      <c r="G315" s="24" t="s">
        <v>37</v>
      </c>
      <c r="H315" s="24" t="s">
        <v>81</v>
      </c>
      <c r="I315" s="24" t="s">
        <v>1114</v>
      </c>
      <c r="J315" s="24" t="s">
        <v>1046</v>
      </c>
      <c r="K315" s="24" t="s">
        <v>63</v>
      </c>
      <c r="L315" s="24" t="s">
        <v>1060</v>
      </c>
      <c r="M315" s="24" t="s">
        <v>1051</v>
      </c>
      <c r="N315" s="24" t="s">
        <v>1112</v>
      </c>
      <c r="O315" s="24" t="str">
        <f t="shared" si="5"/>
        <v>50SRE</v>
      </c>
      <c r="P315" s="24" t="s">
        <v>43</v>
      </c>
    </row>
    <row r="316" spans="3:16" x14ac:dyDescent="0.25">
      <c r="C316" s="24" t="s">
        <v>329</v>
      </c>
      <c r="D316" s="24" t="s">
        <v>330</v>
      </c>
      <c r="E316" s="24" t="s">
        <v>330</v>
      </c>
      <c r="F316" s="25">
        <v>5</v>
      </c>
      <c r="G316" s="24" t="s">
        <v>37</v>
      </c>
      <c r="H316" s="24" t="s">
        <v>46</v>
      </c>
      <c r="I316" s="24" t="s">
        <v>1114</v>
      </c>
      <c r="J316" s="24" t="s">
        <v>1046</v>
      </c>
      <c r="K316" s="24" t="s">
        <v>331</v>
      </c>
      <c r="L316" s="24" t="s">
        <v>1060</v>
      </c>
      <c r="M316" s="24" t="s">
        <v>1051</v>
      </c>
      <c r="N316" s="3" t="s">
        <v>984</v>
      </c>
      <c r="O316" s="24" t="str">
        <f t="shared" si="5"/>
        <v>50TAJ</v>
      </c>
      <c r="P316" s="24" t="s">
        <v>43</v>
      </c>
    </row>
    <row r="317" spans="3:16" x14ac:dyDescent="0.25">
      <c r="C317" s="24" t="s">
        <v>332</v>
      </c>
      <c r="D317" s="24" t="s">
        <v>333</v>
      </c>
      <c r="E317" s="24" t="s">
        <v>333</v>
      </c>
      <c r="F317" s="25">
        <v>5</v>
      </c>
      <c r="G317" s="24" t="s">
        <v>37</v>
      </c>
      <c r="H317" s="24" t="s">
        <v>81</v>
      </c>
      <c r="I317" s="24" t="s">
        <v>1111</v>
      </c>
      <c r="J317" s="24" t="s">
        <v>1046</v>
      </c>
      <c r="K317" s="24">
        <v>0</v>
      </c>
      <c r="L317" s="24" t="s">
        <v>1064</v>
      </c>
      <c r="M317" s="24" t="s">
        <v>1051</v>
      </c>
      <c r="N317" s="24" t="s">
        <v>1053</v>
      </c>
      <c r="O317" s="24" t="str">
        <f t="shared" si="5"/>
        <v>50TCP</v>
      </c>
      <c r="P317" s="24" t="s">
        <v>43</v>
      </c>
    </row>
    <row r="318" spans="3:16" x14ac:dyDescent="0.25">
      <c r="C318" s="24" t="s">
        <v>334</v>
      </c>
      <c r="D318" s="24" t="s">
        <v>335</v>
      </c>
      <c r="E318" s="24" t="s">
        <v>336</v>
      </c>
      <c r="F318" s="25">
        <v>5</v>
      </c>
      <c r="G318" s="24" t="s">
        <v>37</v>
      </c>
      <c r="H318" s="24" t="s">
        <v>46</v>
      </c>
      <c r="I318" s="24" t="s">
        <v>1114</v>
      </c>
      <c r="J318" s="24" t="s">
        <v>1046</v>
      </c>
      <c r="K318" s="24">
        <v>0</v>
      </c>
      <c r="L318" s="24" t="s">
        <v>1072</v>
      </c>
      <c r="M318" s="24" t="s">
        <v>1051</v>
      </c>
      <c r="N318" s="24" t="s">
        <v>1053</v>
      </c>
      <c r="O318" s="24" t="str">
        <f t="shared" si="5"/>
        <v>50TEB</v>
      </c>
      <c r="P318" s="24" t="s">
        <v>43</v>
      </c>
    </row>
    <row r="319" spans="3:16" x14ac:dyDescent="0.25">
      <c r="C319" s="24" t="s">
        <v>507</v>
      </c>
      <c r="D319" s="24" t="s">
        <v>508</v>
      </c>
      <c r="E319" s="24" t="s">
        <v>508</v>
      </c>
      <c r="F319" s="25">
        <v>5</v>
      </c>
      <c r="G319" s="24" t="s">
        <v>376</v>
      </c>
      <c r="H319" s="24" t="s">
        <v>81</v>
      </c>
      <c r="I319" s="24" t="s">
        <v>1114</v>
      </c>
      <c r="J319" s="24" t="s">
        <v>1046</v>
      </c>
      <c r="K319" s="24" t="s">
        <v>58</v>
      </c>
      <c r="L319" s="24" t="s">
        <v>1059</v>
      </c>
      <c r="M319" s="24" t="s">
        <v>1051</v>
      </c>
      <c r="N319" s="24" t="s">
        <v>1112</v>
      </c>
      <c r="O319" s="24" t="str">
        <f t="shared" si="5"/>
        <v>50TEJ</v>
      </c>
      <c r="P319" s="24" t="s">
        <v>43</v>
      </c>
    </row>
    <row r="320" spans="3:16" x14ac:dyDescent="0.25">
      <c r="C320" s="24" t="s">
        <v>417</v>
      </c>
      <c r="D320" s="24" t="s">
        <v>418</v>
      </c>
      <c r="E320" s="24" t="s">
        <v>418</v>
      </c>
      <c r="F320" s="25">
        <v>5</v>
      </c>
      <c r="G320" s="24" t="s">
        <v>376</v>
      </c>
      <c r="H320" s="24" t="s">
        <v>81</v>
      </c>
      <c r="I320" s="24" t="s">
        <v>1114</v>
      </c>
      <c r="J320" s="24" t="s">
        <v>1031</v>
      </c>
      <c r="K320" s="24" t="s">
        <v>63</v>
      </c>
      <c r="L320" s="24" t="s">
        <v>1060</v>
      </c>
      <c r="M320" s="24" t="s">
        <v>1051</v>
      </c>
      <c r="N320" s="24" t="s">
        <v>1112</v>
      </c>
      <c r="O320" s="24" t="str">
        <f t="shared" si="5"/>
        <v>50TFX</v>
      </c>
      <c r="P320" s="24" t="s">
        <v>43</v>
      </c>
    </row>
    <row r="321" spans="3:16" x14ac:dyDescent="0.25">
      <c r="C321" s="24" t="s">
        <v>337</v>
      </c>
      <c r="D321" s="24" t="s">
        <v>338</v>
      </c>
      <c r="E321" s="24" t="s">
        <v>338</v>
      </c>
      <c r="F321" s="25">
        <v>5</v>
      </c>
      <c r="G321" s="24" t="s">
        <v>37</v>
      </c>
      <c r="H321" s="24" t="s">
        <v>81</v>
      </c>
      <c r="I321" s="24" t="s">
        <v>1114</v>
      </c>
      <c r="J321" s="24" t="s">
        <v>1046</v>
      </c>
      <c r="K321" s="24" t="s">
        <v>89</v>
      </c>
      <c r="L321" s="24" t="s">
        <v>1075</v>
      </c>
      <c r="M321" s="24" t="s">
        <v>1076</v>
      </c>
      <c r="N321" s="3" t="s">
        <v>378</v>
      </c>
      <c r="O321" s="24" t="str">
        <f t="shared" si="5"/>
        <v>50TI7</v>
      </c>
      <c r="P321" s="24" t="s">
        <v>43</v>
      </c>
    </row>
    <row r="322" spans="3:16" x14ac:dyDescent="0.25">
      <c r="C322" s="24" t="s">
        <v>339</v>
      </c>
      <c r="D322" s="24" t="s">
        <v>340</v>
      </c>
      <c r="E322" s="24" t="s">
        <v>341</v>
      </c>
      <c r="F322" s="25">
        <v>5</v>
      </c>
      <c r="G322" s="24" t="s">
        <v>37</v>
      </c>
      <c r="H322" s="24" t="s">
        <v>46</v>
      </c>
      <c r="I322" s="24" t="s">
        <v>1114</v>
      </c>
      <c r="J322" s="24" t="s">
        <v>1046</v>
      </c>
      <c r="K322" s="24">
        <v>0</v>
      </c>
      <c r="L322" s="24" t="s">
        <v>1072</v>
      </c>
      <c r="M322" s="24" t="s">
        <v>1051</v>
      </c>
      <c r="N322" s="24" t="s">
        <v>1053</v>
      </c>
      <c r="O322" s="24" t="str">
        <f t="shared" si="5"/>
        <v>50TMT</v>
      </c>
      <c r="P322" s="24" t="s">
        <v>43</v>
      </c>
    </row>
    <row r="323" spans="3:16" x14ac:dyDescent="0.25">
      <c r="C323" s="24" t="s">
        <v>825</v>
      </c>
      <c r="D323" s="24" t="s">
        <v>826</v>
      </c>
      <c r="E323" s="24" t="s">
        <v>827</v>
      </c>
      <c r="F323" s="25">
        <v>5</v>
      </c>
      <c r="G323" s="24" t="s">
        <v>376</v>
      </c>
      <c r="H323" s="24" t="s">
        <v>88</v>
      </c>
      <c r="I323" s="24" t="s">
        <v>1114</v>
      </c>
      <c r="J323" s="24" t="s">
        <v>1046</v>
      </c>
      <c r="K323" s="24" t="s">
        <v>146</v>
      </c>
      <c r="L323" s="24" t="s">
        <v>1064</v>
      </c>
      <c r="M323" s="24" t="s">
        <v>1051</v>
      </c>
      <c r="N323" s="24" t="s">
        <v>1035</v>
      </c>
      <c r="O323" s="24" t="str">
        <f t="shared" si="5"/>
        <v>50TQB</v>
      </c>
      <c r="P323" s="24" t="s">
        <v>43</v>
      </c>
    </row>
    <row r="324" spans="3:16" x14ac:dyDescent="0.25">
      <c r="C324" s="24" t="s">
        <v>828</v>
      </c>
      <c r="D324" s="24" t="s">
        <v>829</v>
      </c>
      <c r="E324" s="24" t="s">
        <v>829</v>
      </c>
      <c r="F324" s="25">
        <v>5</v>
      </c>
      <c r="G324" s="24" t="s">
        <v>376</v>
      </c>
      <c r="H324" s="24" t="s">
        <v>46</v>
      </c>
      <c r="I324" s="24" t="s">
        <v>1114</v>
      </c>
      <c r="J324" s="24" t="s">
        <v>1046</v>
      </c>
      <c r="K324" s="24" t="s">
        <v>146</v>
      </c>
      <c r="L324" s="24" t="s">
        <v>1064</v>
      </c>
      <c r="M324" s="24" t="s">
        <v>1051</v>
      </c>
      <c r="N324" s="24" t="s">
        <v>1035</v>
      </c>
      <c r="O324" s="24" t="str">
        <f t="shared" ref="O324:O355" si="6">C324</f>
        <v>50TSA</v>
      </c>
      <c r="P324" s="24" t="s">
        <v>43</v>
      </c>
    </row>
    <row r="325" spans="3:16" x14ac:dyDescent="0.25">
      <c r="C325" s="24" t="s">
        <v>342</v>
      </c>
      <c r="D325" s="24" t="s">
        <v>343</v>
      </c>
      <c r="E325" s="24" t="s">
        <v>343</v>
      </c>
      <c r="F325" s="25">
        <v>5</v>
      </c>
      <c r="G325" s="24" t="s">
        <v>37</v>
      </c>
      <c r="H325" s="24" t="s">
        <v>81</v>
      </c>
      <c r="I325" s="24" t="s">
        <v>1111</v>
      </c>
      <c r="J325" s="24" t="s">
        <v>1046</v>
      </c>
      <c r="K325" s="24" t="s">
        <v>132</v>
      </c>
      <c r="L325" s="24" t="s">
        <v>1059</v>
      </c>
      <c r="M325" s="24" t="s">
        <v>1051</v>
      </c>
      <c r="N325" s="24" t="s">
        <v>1035</v>
      </c>
      <c r="O325" s="24" t="str">
        <f t="shared" si="6"/>
        <v>50UC4</v>
      </c>
      <c r="P325" s="24" t="s">
        <v>43</v>
      </c>
    </row>
    <row r="326" spans="3:16" x14ac:dyDescent="0.25">
      <c r="C326" s="24" t="s">
        <v>830</v>
      </c>
      <c r="D326" s="24" t="s">
        <v>831</v>
      </c>
      <c r="E326" s="24" t="s">
        <v>832</v>
      </c>
      <c r="F326" s="25">
        <v>5</v>
      </c>
      <c r="G326" s="24" t="s">
        <v>376</v>
      </c>
      <c r="H326" s="24" t="s">
        <v>81</v>
      </c>
      <c r="I326" s="24" t="s">
        <v>1110</v>
      </c>
      <c r="J326" s="24" t="s">
        <v>1046</v>
      </c>
      <c r="K326" s="24" t="s">
        <v>146</v>
      </c>
      <c r="L326" s="24" t="s">
        <v>1064</v>
      </c>
      <c r="M326" s="24" t="s">
        <v>1051</v>
      </c>
      <c r="N326" s="24" t="s">
        <v>1035</v>
      </c>
      <c r="O326" s="24" t="str">
        <f t="shared" si="6"/>
        <v>50UD1</v>
      </c>
      <c r="P326" s="24" t="s">
        <v>43</v>
      </c>
    </row>
    <row r="327" spans="3:16" x14ac:dyDescent="0.25">
      <c r="C327" s="24" t="s">
        <v>921</v>
      </c>
      <c r="D327" s="24" t="s">
        <v>922</v>
      </c>
      <c r="E327" s="24" t="s">
        <v>911</v>
      </c>
      <c r="F327" s="25">
        <v>5</v>
      </c>
      <c r="G327" s="24" t="s">
        <v>376</v>
      </c>
      <c r="H327" s="24" t="s">
        <v>81</v>
      </c>
      <c r="I327" s="24" t="s">
        <v>1114</v>
      </c>
      <c r="J327" s="24" t="s">
        <v>1046</v>
      </c>
      <c r="K327" s="24" t="s">
        <v>73</v>
      </c>
      <c r="L327" s="24" t="s">
        <v>1095</v>
      </c>
      <c r="M327" s="24" t="s">
        <v>1051</v>
      </c>
      <c r="N327" s="3" t="s">
        <v>378</v>
      </c>
      <c r="O327" s="24" t="str">
        <f t="shared" si="6"/>
        <v>50UPK</v>
      </c>
      <c r="P327" s="24" t="s">
        <v>43</v>
      </c>
    </row>
    <row r="328" spans="3:16" x14ac:dyDescent="0.25">
      <c r="C328" s="24" t="s">
        <v>970</v>
      </c>
      <c r="D328" s="24" t="s">
        <v>971</v>
      </c>
      <c r="E328" s="24" t="s">
        <v>972</v>
      </c>
      <c r="F328" s="25">
        <v>5</v>
      </c>
      <c r="G328" s="24" t="s">
        <v>376</v>
      </c>
      <c r="H328" s="24" t="s">
        <v>81</v>
      </c>
      <c r="I328" s="24" t="s">
        <v>1114</v>
      </c>
      <c r="J328" s="24" t="s">
        <v>1046</v>
      </c>
      <c r="K328" s="24" t="s">
        <v>160</v>
      </c>
      <c r="L328" s="24" t="s">
        <v>1058</v>
      </c>
      <c r="M328" s="24" t="s">
        <v>1051</v>
      </c>
      <c r="N328" s="3" t="s">
        <v>984</v>
      </c>
      <c r="O328" s="24" t="str">
        <f t="shared" si="6"/>
        <v>50UYZ</v>
      </c>
      <c r="P328" s="24" t="s">
        <v>43</v>
      </c>
    </row>
    <row r="329" spans="3:16" x14ac:dyDescent="0.25">
      <c r="C329" s="24" t="s">
        <v>344</v>
      </c>
      <c r="D329" s="24" t="s">
        <v>345</v>
      </c>
      <c r="E329" s="24" t="s">
        <v>345</v>
      </c>
      <c r="F329" s="25">
        <v>4</v>
      </c>
      <c r="G329" s="24" t="s">
        <v>37</v>
      </c>
      <c r="H329" s="24" t="s">
        <v>88</v>
      </c>
      <c r="I329" s="24" t="s">
        <v>1114</v>
      </c>
      <c r="J329" s="24" t="s">
        <v>1046</v>
      </c>
      <c r="K329" s="24">
        <v>0</v>
      </c>
      <c r="L329" s="24" t="s">
        <v>1106</v>
      </c>
      <c r="M329" s="24" t="s">
        <v>1051</v>
      </c>
      <c r="N329" s="24" t="s">
        <v>1053</v>
      </c>
      <c r="O329" s="24" t="str">
        <f t="shared" si="6"/>
        <v>50V11</v>
      </c>
      <c r="P329" s="24" t="s">
        <v>43</v>
      </c>
    </row>
    <row r="330" spans="3:16" x14ac:dyDescent="0.25">
      <c r="C330" s="24" t="s">
        <v>879</v>
      </c>
      <c r="D330" s="24" t="s">
        <v>880</v>
      </c>
      <c r="E330" s="24" t="s">
        <v>880</v>
      </c>
      <c r="F330" s="25">
        <v>5</v>
      </c>
      <c r="G330" s="24" t="s">
        <v>376</v>
      </c>
      <c r="H330" s="24" t="s">
        <v>81</v>
      </c>
      <c r="I330" s="24" t="s">
        <v>1114</v>
      </c>
      <c r="J330" s="24" t="s">
        <v>1046</v>
      </c>
      <c r="K330" s="24" t="s">
        <v>132</v>
      </c>
      <c r="L330" s="24" t="s">
        <v>1060</v>
      </c>
      <c r="M330" s="24" t="s">
        <v>1051</v>
      </c>
      <c r="N330" s="24" t="s">
        <v>1035</v>
      </c>
      <c r="O330" s="24" t="str">
        <f t="shared" si="6"/>
        <v>50V5C</v>
      </c>
      <c r="P330" s="24" t="s">
        <v>43</v>
      </c>
    </row>
    <row r="331" spans="3:16" x14ac:dyDescent="0.25">
      <c r="C331" s="24" t="s">
        <v>553</v>
      </c>
      <c r="D331" s="24" t="s">
        <v>554</v>
      </c>
      <c r="E331" s="24" t="s">
        <v>1137</v>
      </c>
      <c r="F331" s="25">
        <v>5</v>
      </c>
      <c r="G331" s="24" t="s">
        <v>376</v>
      </c>
      <c r="H331" s="24" t="s">
        <v>46</v>
      </c>
      <c r="I331" s="24" t="s">
        <v>1110</v>
      </c>
      <c r="J331" s="24" t="s">
        <v>1046</v>
      </c>
      <c r="K331" s="24" t="s">
        <v>100</v>
      </c>
      <c r="L331" s="24" t="s">
        <v>1060</v>
      </c>
      <c r="M331" s="24" t="s">
        <v>1051</v>
      </c>
      <c r="N331" s="24" t="s">
        <v>1035</v>
      </c>
      <c r="O331" s="24" t="str">
        <f t="shared" si="6"/>
        <v>50VAL</v>
      </c>
      <c r="P331" s="24" t="s">
        <v>43</v>
      </c>
    </row>
    <row r="332" spans="3:16" x14ac:dyDescent="0.25">
      <c r="C332" s="24" t="s">
        <v>923</v>
      </c>
      <c r="D332" s="24" t="s">
        <v>924</v>
      </c>
      <c r="E332" s="24" t="s">
        <v>924</v>
      </c>
      <c r="F332" s="25">
        <v>5</v>
      </c>
      <c r="G332" s="24" t="s">
        <v>376</v>
      </c>
      <c r="H332" s="24" t="s">
        <v>46</v>
      </c>
      <c r="I332" s="24" t="s">
        <v>1114</v>
      </c>
      <c r="J332" s="24" t="s">
        <v>1046</v>
      </c>
      <c r="K332" s="24" t="s">
        <v>73</v>
      </c>
      <c r="L332" s="24" t="s">
        <v>1082</v>
      </c>
      <c r="M332" s="24" t="s">
        <v>1051</v>
      </c>
      <c r="N332" s="3" t="s">
        <v>378</v>
      </c>
      <c r="O332" s="24" t="str">
        <f t="shared" si="6"/>
        <v>50VLL</v>
      </c>
      <c r="P332" s="24" t="s">
        <v>43</v>
      </c>
    </row>
    <row r="333" spans="3:16" x14ac:dyDescent="0.25">
      <c r="C333" s="24" t="s">
        <v>761</v>
      </c>
      <c r="D333" s="24" t="s">
        <v>762</v>
      </c>
      <c r="E333" s="24" t="s">
        <v>762</v>
      </c>
      <c r="F333" s="25">
        <v>5</v>
      </c>
      <c r="G333" s="24" t="s">
        <v>376</v>
      </c>
      <c r="H333" s="24" t="s">
        <v>46</v>
      </c>
      <c r="I333" s="24" t="s">
        <v>1110</v>
      </c>
      <c r="J333" s="24" t="s">
        <v>1031</v>
      </c>
      <c r="K333" s="24" t="s">
        <v>1048</v>
      </c>
      <c r="L333" s="24" t="s">
        <v>1061</v>
      </c>
      <c r="M333" s="24" t="s">
        <v>1074</v>
      </c>
      <c r="N333" s="3" t="s">
        <v>378</v>
      </c>
      <c r="O333" s="24" t="str">
        <f t="shared" si="6"/>
        <v>50VNA</v>
      </c>
      <c r="P333" s="24" t="s">
        <v>440</v>
      </c>
    </row>
    <row r="334" spans="3:16" x14ac:dyDescent="0.25">
      <c r="C334" s="24" t="s">
        <v>509</v>
      </c>
      <c r="D334" s="24" t="s">
        <v>510</v>
      </c>
      <c r="E334" s="24" t="s">
        <v>510</v>
      </c>
      <c r="F334" s="25">
        <v>5</v>
      </c>
      <c r="G334" s="24" t="s">
        <v>376</v>
      </c>
      <c r="H334" s="24" t="s">
        <v>46</v>
      </c>
      <c r="I334" s="24" t="s">
        <v>1114</v>
      </c>
      <c r="J334" s="24" t="s">
        <v>1046</v>
      </c>
      <c r="K334" s="24" t="s">
        <v>58</v>
      </c>
      <c r="L334" s="24" t="s">
        <v>1059</v>
      </c>
      <c r="M334" s="24" t="s">
        <v>1051</v>
      </c>
      <c r="N334" s="24" t="s">
        <v>1112</v>
      </c>
      <c r="O334" s="24" t="str">
        <f t="shared" si="6"/>
        <v>50VOR</v>
      </c>
      <c r="P334" s="24" t="s">
        <v>43</v>
      </c>
    </row>
    <row r="335" spans="3:16" x14ac:dyDescent="0.25">
      <c r="C335" s="24" t="s">
        <v>347</v>
      </c>
      <c r="D335" s="24" t="s">
        <v>348</v>
      </c>
      <c r="E335" s="24" t="s">
        <v>348</v>
      </c>
      <c r="F335" s="25">
        <v>5</v>
      </c>
      <c r="G335" s="24" t="s">
        <v>37</v>
      </c>
      <c r="H335" s="24" t="s">
        <v>81</v>
      </c>
      <c r="I335" s="24" t="s">
        <v>1114</v>
      </c>
      <c r="J335" s="24" t="s">
        <v>1046</v>
      </c>
      <c r="K335" s="24" t="s">
        <v>58</v>
      </c>
      <c r="L335" s="24" t="s">
        <v>1064</v>
      </c>
      <c r="M335" s="24" t="s">
        <v>1051</v>
      </c>
      <c r="N335" s="24" t="s">
        <v>1112</v>
      </c>
      <c r="O335" s="24" t="str">
        <f t="shared" si="6"/>
        <v>50VRH</v>
      </c>
      <c r="P335" s="24" t="s">
        <v>43</v>
      </c>
    </row>
    <row r="336" spans="3:16" x14ac:dyDescent="0.25">
      <c r="C336" s="24" t="s">
        <v>973</v>
      </c>
      <c r="D336" s="24" t="s">
        <v>974</v>
      </c>
      <c r="E336" s="24" t="s">
        <v>974</v>
      </c>
      <c r="F336" s="25">
        <v>5</v>
      </c>
      <c r="G336" s="24" t="s">
        <v>376</v>
      </c>
      <c r="H336" s="24" t="s">
        <v>81</v>
      </c>
      <c r="I336" s="24" t="s">
        <v>1114</v>
      </c>
      <c r="J336" s="24" t="s">
        <v>1046</v>
      </c>
      <c r="K336" s="24" t="s">
        <v>160</v>
      </c>
      <c r="L336" s="24" t="s">
        <v>1118</v>
      </c>
      <c r="M336" s="24" t="s">
        <v>1051</v>
      </c>
      <c r="N336" s="3" t="s">
        <v>984</v>
      </c>
      <c r="O336" s="24" t="str">
        <f t="shared" si="6"/>
        <v>50VSD</v>
      </c>
      <c r="P336" s="24" t="s">
        <v>43</v>
      </c>
    </row>
    <row r="337" spans="3:16" x14ac:dyDescent="0.25">
      <c r="C337" s="24" t="s">
        <v>349</v>
      </c>
      <c r="D337" s="24" t="s">
        <v>350</v>
      </c>
      <c r="E337" s="24" t="s">
        <v>350</v>
      </c>
      <c r="F337" s="25">
        <v>5</v>
      </c>
      <c r="G337" s="24" t="s">
        <v>37</v>
      </c>
      <c r="H337" s="24" t="s">
        <v>46</v>
      </c>
      <c r="I337" s="24" t="s">
        <v>1114</v>
      </c>
      <c r="J337" s="24" t="s">
        <v>1046</v>
      </c>
      <c r="K337" s="24">
        <v>0</v>
      </c>
      <c r="L337" s="24" t="s">
        <v>1060</v>
      </c>
      <c r="M337" s="24" t="s">
        <v>1051</v>
      </c>
      <c r="N337" s="24" t="s">
        <v>1053</v>
      </c>
      <c r="O337" s="24" t="str">
        <f t="shared" si="6"/>
        <v>50VSU</v>
      </c>
      <c r="P337" s="24" t="s">
        <v>43</v>
      </c>
    </row>
    <row r="338" spans="3:16" x14ac:dyDescent="0.25">
      <c r="C338" s="24" t="s">
        <v>351</v>
      </c>
      <c r="D338" s="24" t="s">
        <v>352</v>
      </c>
      <c r="E338" s="24" t="s">
        <v>1138</v>
      </c>
      <c r="F338" s="25">
        <v>5</v>
      </c>
      <c r="G338" s="24" t="s">
        <v>37</v>
      </c>
      <c r="H338" s="24" t="s">
        <v>46</v>
      </c>
      <c r="I338" s="24" t="s">
        <v>1114</v>
      </c>
      <c r="J338" s="24" t="s">
        <v>1046</v>
      </c>
      <c r="K338" s="24" t="s">
        <v>331</v>
      </c>
      <c r="L338" s="24" t="s">
        <v>1058</v>
      </c>
      <c r="M338" s="24" t="s">
        <v>1051</v>
      </c>
      <c r="N338" s="3" t="s">
        <v>984</v>
      </c>
      <c r="O338" s="24" t="str">
        <f t="shared" si="6"/>
        <v>50VVE</v>
      </c>
      <c r="P338" s="24" t="s">
        <v>43</v>
      </c>
    </row>
    <row r="339" spans="3:16" x14ac:dyDescent="0.25">
      <c r="C339" s="24" t="s">
        <v>833</v>
      </c>
      <c r="D339" s="24" t="s">
        <v>834</v>
      </c>
      <c r="E339" s="24" t="s">
        <v>835</v>
      </c>
      <c r="F339" s="25">
        <v>5</v>
      </c>
      <c r="G339" s="24" t="s">
        <v>376</v>
      </c>
      <c r="H339" s="24" t="s">
        <v>81</v>
      </c>
      <c r="I339" s="24" t="s">
        <v>1114</v>
      </c>
      <c r="J339" s="24" t="s">
        <v>1046</v>
      </c>
      <c r="K339" s="24" t="s">
        <v>146</v>
      </c>
      <c r="L339" s="24" t="s">
        <v>1064</v>
      </c>
      <c r="M339" s="24" t="s">
        <v>1051</v>
      </c>
      <c r="N339" s="24" t="s">
        <v>1035</v>
      </c>
      <c r="O339" s="24" t="str">
        <f t="shared" si="6"/>
        <v>50W0N</v>
      </c>
      <c r="P339" s="24" t="s">
        <v>43</v>
      </c>
    </row>
    <row r="340" spans="3:16" x14ac:dyDescent="0.25">
      <c r="C340" s="24" t="s">
        <v>354</v>
      </c>
      <c r="D340" s="24" t="s">
        <v>355</v>
      </c>
      <c r="E340" s="24" t="s">
        <v>355</v>
      </c>
      <c r="F340" s="25">
        <v>5</v>
      </c>
      <c r="G340" s="24" t="s">
        <v>37</v>
      </c>
      <c r="H340" s="24" t="s">
        <v>46</v>
      </c>
      <c r="I340" s="24" t="s">
        <v>1114</v>
      </c>
      <c r="J340" s="24" t="s">
        <v>1046</v>
      </c>
      <c r="K340" s="24" t="s">
        <v>67</v>
      </c>
      <c r="L340" s="24" t="s">
        <v>1064</v>
      </c>
      <c r="M340" s="24" t="s">
        <v>1051</v>
      </c>
      <c r="N340" s="24" t="s">
        <v>1035</v>
      </c>
      <c r="O340" s="24" t="str">
        <f t="shared" si="6"/>
        <v>50WGH</v>
      </c>
      <c r="P340" s="24" t="s">
        <v>43</v>
      </c>
    </row>
    <row r="341" spans="3:16" x14ac:dyDescent="0.25">
      <c r="C341" s="24" t="s">
        <v>693</v>
      </c>
      <c r="D341" s="24" t="s">
        <v>694</v>
      </c>
      <c r="E341" s="24" t="s">
        <v>694</v>
      </c>
      <c r="F341" s="25">
        <v>5</v>
      </c>
      <c r="G341" s="24" t="s">
        <v>376</v>
      </c>
      <c r="H341" s="24" t="s">
        <v>46</v>
      </c>
      <c r="I341" s="24" t="s">
        <v>1111</v>
      </c>
      <c r="J341" s="24" t="s">
        <v>1046</v>
      </c>
      <c r="K341" s="24" t="s">
        <v>248</v>
      </c>
      <c r="L341" s="24" t="s">
        <v>1059</v>
      </c>
      <c r="M341" s="24" t="s">
        <v>1051</v>
      </c>
      <c r="N341" s="24" t="s">
        <v>1112</v>
      </c>
      <c r="O341" s="24" t="str">
        <f t="shared" si="6"/>
        <v>50WIL</v>
      </c>
      <c r="P341" s="24" t="s">
        <v>43</v>
      </c>
    </row>
    <row r="342" spans="3:16" x14ac:dyDescent="0.25">
      <c r="C342" s="24" t="s">
        <v>356</v>
      </c>
      <c r="D342" s="24" t="s">
        <v>357</v>
      </c>
      <c r="E342" s="24" t="s">
        <v>357</v>
      </c>
      <c r="F342" s="25">
        <v>5</v>
      </c>
      <c r="G342" s="24" t="s">
        <v>37</v>
      </c>
      <c r="H342" s="24" t="s">
        <v>81</v>
      </c>
      <c r="I342" s="24" t="s">
        <v>1111</v>
      </c>
      <c r="J342" s="24" t="s">
        <v>1046</v>
      </c>
      <c r="K342" s="24" t="s">
        <v>89</v>
      </c>
      <c r="L342" s="24" t="s">
        <v>1075</v>
      </c>
      <c r="M342" s="24" t="s">
        <v>1076</v>
      </c>
      <c r="N342" s="3" t="s">
        <v>378</v>
      </c>
      <c r="O342" s="24" t="str">
        <f t="shared" si="6"/>
        <v>50WUM</v>
      </c>
      <c r="P342" s="24" t="s">
        <v>43</v>
      </c>
    </row>
    <row r="343" spans="3:16" x14ac:dyDescent="0.25">
      <c r="C343" s="24" t="s">
        <v>925</v>
      </c>
      <c r="D343" s="24" t="s">
        <v>926</v>
      </c>
      <c r="E343" s="24" t="s">
        <v>927</v>
      </c>
      <c r="F343" s="25">
        <v>5</v>
      </c>
      <c r="G343" s="24" t="s">
        <v>376</v>
      </c>
      <c r="H343" s="24" t="s">
        <v>88</v>
      </c>
      <c r="I343" s="24" t="s">
        <v>1110</v>
      </c>
      <c r="J343" s="24" t="s">
        <v>1046</v>
      </c>
      <c r="K343" s="24" t="s">
        <v>73</v>
      </c>
      <c r="L343" s="24" t="s">
        <v>1107</v>
      </c>
      <c r="M343" s="24" t="s">
        <v>1051</v>
      </c>
      <c r="N343" s="3" t="s">
        <v>378</v>
      </c>
      <c r="O343" s="24" t="str">
        <f t="shared" si="6"/>
        <v>50XC6</v>
      </c>
      <c r="P343" s="24" t="s">
        <v>43</v>
      </c>
    </row>
    <row r="344" spans="3:16" x14ac:dyDescent="0.25">
      <c r="C344" s="24" t="s">
        <v>358</v>
      </c>
      <c r="D344" s="24" t="s">
        <v>359</v>
      </c>
      <c r="E344" s="24" t="s">
        <v>359</v>
      </c>
      <c r="F344" s="25">
        <v>5</v>
      </c>
      <c r="G344" s="24" t="s">
        <v>37</v>
      </c>
      <c r="H344" s="24" t="s">
        <v>81</v>
      </c>
      <c r="I344" s="24" t="s">
        <v>1114</v>
      </c>
      <c r="J344" s="24" t="s">
        <v>1046</v>
      </c>
      <c r="K344" s="24" t="s">
        <v>248</v>
      </c>
      <c r="L344" s="24" t="s">
        <v>1060</v>
      </c>
      <c r="M344" s="24" t="s">
        <v>1051</v>
      </c>
      <c r="N344" s="24" t="s">
        <v>1112</v>
      </c>
      <c r="O344" s="24" t="str">
        <f t="shared" si="6"/>
        <v>50XCV</v>
      </c>
      <c r="P344" s="24" t="s">
        <v>43</v>
      </c>
    </row>
    <row r="345" spans="3:16" x14ac:dyDescent="0.25">
      <c r="C345" s="24" t="s">
        <v>695</v>
      </c>
      <c r="D345" s="24" t="s">
        <v>696</v>
      </c>
      <c r="E345" s="24" t="s">
        <v>1139</v>
      </c>
      <c r="F345" s="25">
        <v>5</v>
      </c>
      <c r="G345" s="24" t="s">
        <v>376</v>
      </c>
      <c r="H345" s="24" t="s">
        <v>46</v>
      </c>
      <c r="I345" s="24" t="s">
        <v>1110</v>
      </c>
      <c r="J345" s="24" t="s">
        <v>1046</v>
      </c>
      <c r="K345" s="24" t="s">
        <v>248</v>
      </c>
      <c r="L345" s="24" t="s">
        <v>1059</v>
      </c>
      <c r="M345" s="24" t="s">
        <v>1051</v>
      </c>
      <c r="N345" s="24" t="s">
        <v>1112</v>
      </c>
      <c r="O345" s="24" t="str">
        <f t="shared" si="6"/>
        <v>50XEV</v>
      </c>
      <c r="P345" s="24" t="s">
        <v>43</v>
      </c>
    </row>
    <row r="346" spans="3:16" x14ac:dyDescent="0.25">
      <c r="C346" s="24" t="s">
        <v>360</v>
      </c>
      <c r="D346" s="24" t="s">
        <v>361</v>
      </c>
      <c r="E346" s="24" t="s">
        <v>1140</v>
      </c>
      <c r="F346" s="25">
        <v>5</v>
      </c>
      <c r="G346" s="24" t="s">
        <v>37</v>
      </c>
      <c r="H346" s="24" t="s">
        <v>46</v>
      </c>
      <c r="I346" s="24" t="s">
        <v>1111</v>
      </c>
      <c r="J346" s="24" t="s">
        <v>1046</v>
      </c>
      <c r="K346" s="24" t="s">
        <v>67</v>
      </c>
      <c r="L346" s="24" t="s">
        <v>1064</v>
      </c>
      <c r="M346" s="24" t="s">
        <v>1051</v>
      </c>
      <c r="N346" s="24" t="s">
        <v>1035</v>
      </c>
      <c r="O346" s="24" t="str">
        <f t="shared" si="6"/>
        <v>50XFE</v>
      </c>
      <c r="P346" s="24" t="s">
        <v>43</v>
      </c>
    </row>
    <row r="347" spans="3:16" x14ac:dyDescent="0.25">
      <c r="C347" s="24" t="s">
        <v>362</v>
      </c>
      <c r="D347" s="24" t="s">
        <v>363</v>
      </c>
      <c r="E347" s="24" t="s">
        <v>363</v>
      </c>
      <c r="F347" s="25">
        <v>5</v>
      </c>
      <c r="G347" s="24" t="s">
        <v>37</v>
      </c>
      <c r="H347" s="24" t="s">
        <v>81</v>
      </c>
      <c r="I347" s="24" t="s">
        <v>1114</v>
      </c>
      <c r="J347" s="24" t="s">
        <v>1046</v>
      </c>
      <c r="K347" s="24" t="s">
        <v>73</v>
      </c>
      <c r="L347" s="24" t="s">
        <v>1085</v>
      </c>
      <c r="M347" s="24" t="s">
        <v>1051</v>
      </c>
      <c r="N347" s="3" t="s">
        <v>378</v>
      </c>
      <c r="O347" s="24" t="str">
        <f t="shared" si="6"/>
        <v>50XJP</v>
      </c>
      <c r="P347" s="24" t="s">
        <v>43</v>
      </c>
    </row>
    <row r="348" spans="3:16" x14ac:dyDescent="0.25">
      <c r="C348" s="24" t="s">
        <v>592</v>
      </c>
      <c r="D348" s="24" t="s">
        <v>593</v>
      </c>
      <c r="E348" s="24" t="s">
        <v>593</v>
      </c>
      <c r="F348" s="24">
        <v>5</v>
      </c>
      <c r="G348" s="24" t="s">
        <v>376</v>
      </c>
      <c r="H348" s="24" t="s">
        <v>88</v>
      </c>
      <c r="I348" s="24" t="s">
        <v>1114</v>
      </c>
      <c r="J348" s="24" t="s">
        <v>1046</v>
      </c>
      <c r="K348" s="24" t="s">
        <v>331</v>
      </c>
      <c r="L348" s="24" t="s">
        <v>1060</v>
      </c>
      <c r="M348" s="24" t="s">
        <v>1051</v>
      </c>
      <c r="N348" s="3" t="s">
        <v>984</v>
      </c>
      <c r="O348" s="24" t="str">
        <f t="shared" si="6"/>
        <v>50XWC</v>
      </c>
      <c r="P348" s="24" t="s">
        <v>43</v>
      </c>
    </row>
    <row r="349" spans="3:16" x14ac:dyDescent="0.25">
      <c r="C349" s="24" t="s">
        <v>365</v>
      </c>
      <c r="D349" s="24" t="s">
        <v>366</v>
      </c>
      <c r="E349" s="24" t="s">
        <v>367</v>
      </c>
      <c r="F349" s="24">
        <v>5</v>
      </c>
      <c r="G349" s="24" t="s">
        <v>37</v>
      </c>
      <c r="H349" s="24" t="s">
        <v>81</v>
      </c>
      <c r="I349" s="24" t="s">
        <v>1114</v>
      </c>
      <c r="J349" s="24" t="s">
        <v>1046</v>
      </c>
      <c r="K349" s="24" t="s">
        <v>146</v>
      </c>
      <c r="L349" s="24" t="s">
        <v>1064</v>
      </c>
      <c r="M349" s="24" t="s">
        <v>1051</v>
      </c>
      <c r="N349" s="24" t="s">
        <v>1035</v>
      </c>
      <c r="O349" s="24" t="str">
        <f t="shared" si="6"/>
        <v>50Y74</v>
      </c>
      <c r="P349" s="24" t="s">
        <v>43</v>
      </c>
    </row>
    <row r="350" spans="3:16" x14ac:dyDescent="0.25">
      <c r="C350" s="24" t="s">
        <v>763</v>
      </c>
      <c r="D350" s="24" t="s">
        <v>764</v>
      </c>
      <c r="E350" s="24" t="s">
        <v>1141</v>
      </c>
      <c r="F350" s="24">
        <v>5</v>
      </c>
      <c r="G350" s="24" t="s">
        <v>376</v>
      </c>
      <c r="H350" s="24" t="s">
        <v>88</v>
      </c>
      <c r="I350" s="24" t="s">
        <v>1114</v>
      </c>
      <c r="J350" s="24" t="s">
        <v>1031</v>
      </c>
      <c r="K350" s="24" t="s">
        <v>1048</v>
      </c>
      <c r="L350" s="24" t="s">
        <v>1074</v>
      </c>
      <c r="M350" s="24" t="s">
        <v>1074</v>
      </c>
      <c r="N350" s="3" t="s">
        <v>378</v>
      </c>
      <c r="O350" s="24" t="str">
        <f t="shared" si="6"/>
        <v>50Z8X</v>
      </c>
      <c r="P350" s="24" t="s">
        <v>43</v>
      </c>
    </row>
    <row r="351" spans="3:16" x14ac:dyDescent="0.25">
      <c r="C351" s="24" t="s">
        <v>836</v>
      </c>
      <c r="D351" s="24" t="s">
        <v>837</v>
      </c>
      <c r="E351" s="24" t="s">
        <v>838</v>
      </c>
      <c r="F351" s="24">
        <v>5</v>
      </c>
      <c r="G351" s="24" t="s">
        <v>376</v>
      </c>
      <c r="H351" s="24" t="s">
        <v>81</v>
      </c>
      <c r="I351" s="24" t="s">
        <v>1114</v>
      </c>
      <c r="J351" s="24" t="s">
        <v>1046</v>
      </c>
      <c r="K351" s="24" t="s">
        <v>146</v>
      </c>
      <c r="L351" s="24" t="s">
        <v>1064</v>
      </c>
      <c r="M351" s="24" t="s">
        <v>1051</v>
      </c>
      <c r="N351" s="24" t="s">
        <v>1035</v>
      </c>
      <c r="O351" s="24" t="str">
        <f t="shared" si="6"/>
        <v>50ZIR</v>
      </c>
      <c r="P351" s="24" t="s">
        <v>43</v>
      </c>
    </row>
    <row r="352" spans="3:16" x14ac:dyDescent="0.25">
      <c r="C352" s="24" t="s">
        <v>975</v>
      </c>
      <c r="D352" s="24" t="s">
        <v>976</v>
      </c>
      <c r="E352" s="24" t="s">
        <v>976</v>
      </c>
      <c r="F352" s="24">
        <v>2</v>
      </c>
      <c r="G352" s="24" t="s">
        <v>376</v>
      </c>
      <c r="H352" s="24" t="s">
        <v>46</v>
      </c>
      <c r="I352" s="24" t="s">
        <v>1114</v>
      </c>
      <c r="J352" s="24" t="s">
        <v>1046</v>
      </c>
      <c r="K352" s="24" t="s">
        <v>160</v>
      </c>
      <c r="L352" s="24" t="s">
        <v>1118</v>
      </c>
      <c r="M352" s="24" t="s">
        <v>1051</v>
      </c>
      <c r="N352" s="3" t="s">
        <v>984</v>
      </c>
      <c r="O352" s="24" t="str">
        <f t="shared" si="6"/>
        <v>50SOC</v>
      </c>
      <c r="P352" s="24" t="s">
        <v>43</v>
      </c>
    </row>
    <row r="353" spans="3:16" x14ac:dyDescent="0.25">
      <c r="C353" s="27" t="s">
        <v>766</v>
      </c>
      <c r="D353" s="24" t="s">
        <v>767</v>
      </c>
      <c r="E353" s="28" t="s">
        <v>1142</v>
      </c>
      <c r="F353" s="16">
        <v>5</v>
      </c>
      <c r="G353" s="24" t="s">
        <v>376</v>
      </c>
      <c r="H353" s="24" t="s">
        <v>88</v>
      </c>
      <c r="I353" s="24" t="s">
        <v>1114</v>
      </c>
      <c r="J353" s="24" t="s">
        <v>1031</v>
      </c>
      <c r="K353" s="24" t="s">
        <v>1048</v>
      </c>
      <c r="L353" s="24" t="s">
        <v>1061</v>
      </c>
      <c r="M353" s="24" t="s">
        <v>1074</v>
      </c>
      <c r="N353" s="3" t="s">
        <v>378</v>
      </c>
      <c r="O353" s="24" t="str">
        <f t="shared" si="6"/>
        <v>506IM</v>
      </c>
      <c r="P353" s="24" t="s">
        <v>43</v>
      </c>
    </row>
    <row r="354" spans="3:16" x14ac:dyDescent="0.25">
      <c r="C354" s="27" t="s">
        <v>368</v>
      </c>
      <c r="D354" s="24" t="s">
        <v>369</v>
      </c>
      <c r="E354" s="28" t="s">
        <v>1143</v>
      </c>
      <c r="F354" s="16">
        <v>5</v>
      </c>
      <c r="G354" s="24" t="s">
        <v>37</v>
      </c>
      <c r="H354" s="24" t="s">
        <v>88</v>
      </c>
      <c r="I354" s="24" t="s">
        <v>1120</v>
      </c>
      <c r="J354" s="24" t="s">
        <v>1046</v>
      </c>
      <c r="K354" s="24" t="s">
        <v>160</v>
      </c>
      <c r="L354" s="24" t="s">
        <v>1073</v>
      </c>
      <c r="M354" s="24" t="s">
        <v>1051</v>
      </c>
      <c r="N354" s="3" t="s">
        <v>984</v>
      </c>
      <c r="O354" s="24" t="str">
        <f t="shared" si="6"/>
        <v>50FQG</v>
      </c>
      <c r="P354" s="24" t="s">
        <v>43</v>
      </c>
    </row>
    <row r="355" spans="3:16" x14ac:dyDescent="0.25">
      <c r="C355" s="29" t="s">
        <v>736</v>
      </c>
      <c r="D355" s="24" t="s">
        <v>737</v>
      </c>
      <c r="E355" s="28" t="s">
        <v>738</v>
      </c>
      <c r="F355" s="16">
        <v>6</v>
      </c>
      <c r="G355" s="24" t="s">
        <v>376</v>
      </c>
      <c r="H355" s="24" t="s">
        <v>88</v>
      </c>
      <c r="I355" s="24" t="s">
        <v>1110</v>
      </c>
      <c r="J355" s="24" t="s">
        <v>1031</v>
      </c>
      <c r="K355" s="24" t="s">
        <v>84</v>
      </c>
      <c r="L355" s="27" t="s">
        <v>1104</v>
      </c>
      <c r="M355" s="24" t="s">
        <v>1074</v>
      </c>
      <c r="N355" s="3" t="s">
        <v>378</v>
      </c>
      <c r="O355" s="24" t="str">
        <f t="shared" si="6"/>
        <v>50QVX</v>
      </c>
      <c r="P355" s="24" t="s">
        <v>43</v>
      </c>
    </row>
    <row r="356" spans="3:16" x14ac:dyDescent="0.25">
      <c r="C356" s="29" t="s">
        <v>612</v>
      </c>
      <c r="D356" s="24" t="s">
        <v>613</v>
      </c>
      <c r="E356" s="16" t="s">
        <v>613</v>
      </c>
      <c r="F356" s="16">
        <v>5</v>
      </c>
      <c r="G356" s="24" t="s">
        <v>1144</v>
      </c>
      <c r="H356" s="24" t="s">
        <v>1053</v>
      </c>
      <c r="I356" s="24" t="s">
        <v>1053</v>
      </c>
      <c r="J356" s="16" t="s">
        <v>1053</v>
      </c>
      <c r="K356" s="16" t="s">
        <v>1053</v>
      </c>
      <c r="L356" s="16" t="s">
        <v>1085</v>
      </c>
      <c r="M356" s="24" t="s">
        <v>1051</v>
      </c>
      <c r="N356" s="16" t="s">
        <v>1053</v>
      </c>
      <c r="O356" s="16" t="s">
        <v>612</v>
      </c>
      <c r="P356" s="16" t="s">
        <v>43</v>
      </c>
    </row>
    <row r="357" spans="3:16" x14ac:dyDescent="0.25">
      <c r="C357" s="31"/>
    </row>
    <row r="358" spans="3:16" x14ac:dyDescent="0.25">
      <c r="C358" s="16" t="s">
        <v>1145</v>
      </c>
      <c r="D358" s="26" t="s">
        <v>1146</v>
      </c>
      <c r="E358" s="26" t="s">
        <v>1146</v>
      </c>
      <c r="O358" s="16" t="s">
        <v>1145</v>
      </c>
      <c r="P358" s="16" t="s">
        <v>43</v>
      </c>
    </row>
    <row r="359" spans="3:16" x14ac:dyDescent="0.25">
      <c r="C359" s="16" t="s">
        <v>1145</v>
      </c>
      <c r="D359" s="26" t="s">
        <v>1146</v>
      </c>
      <c r="E359" s="26" t="s">
        <v>1146</v>
      </c>
      <c r="O359" s="16" t="s">
        <v>1145</v>
      </c>
      <c r="P359" s="16" t="s">
        <v>43</v>
      </c>
    </row>
    <row r="360" spans="3:16" x14ac:dyDescent="0.25">
      <c r="C360" s="26" t="s">
        <v>1147</v>
      </c>
      <c r="D360" s="26" t="s">
        <v>1147</v>
      </c>
      <c r="E360" s="26" t="s">
        <v>1147</v>
      </c>
      <c r="O360" s="16" t="s">
        <v>1147</v>
      </c>
      <c r="P360" s="16" t="s">
        <v>43</v>
      </c>
    </row>
    <row r="361" spans="3:16" x14ac:dyDescent="0.25">
      <c r="C361" s="16" t="s">
        <v>372</v>
      </c>
      <c r="D361" s="16" t="s">
        <v>372</v>
      </c>
      <c r="E361" s="16" t="s">
        <v>372</v>
      </c>
      <c r="J361" s="21" t="s">
        <v>1040</v>
      </c>
      <c r="K361" s="16" t="s">
        <v>376</v>
      </c>
      <c r="O361" s="16" t="s">
        <v>372</v>
      </c>
      <c r="P361" s="16" t="s">
        <v>43</v>
      </c>
    </row>
    <row r="362" spans="3:16" x14ac:dyDescent="0.25">
      <c r="C362" s="20" t="s">
        <v>132</v>
      </c>
      <c r="D362" s="16" t="s">
        <v>132</v>
      </c>
      <c r="F362" s="16">
        <v>87.51</v>
      </c>
    </row>
    <row r="363" spans="3:16" x14ac:dyDescent="0.25">
      <c r="C363" s="20" t="s">
        <v>248</v>
      </c>
      <c r="D363" s="16" t="s">
        <v>248</v>
      </c>
      <c r="F363" s="16">
        <v>110.06000000000002</v>
      </c>
      <c r="J363" s="21" t="s">
        <v>1049</v>
      </c>
      <c r="K363" s="16" t="s">
        <v>1050</v>
      </c>
    </row>
    <row r="364" spans="3:16" x14ac:dyDescent="0.25">
      <c r="C364" s="20" t="s">
        <v>100</v>
      </c>
      <c r="D364" s="16" t="s">
        <v>100</v>
      </c>
      <c r="F364" s="16">
        <v>102.85</v>
      </c>
      <c r="J364" s="20" t="s">
        <v>1076</v>
      </c>
      <c r="K364" s="16">
        <v>47.93</v>
      </c>
    </row>
    <row r="365" spans="3:16" x14ac:dyDescent="0.25">
      <c r="C365" s="20" t="s">
        <v>84</v>
      </c>
      <c r="D365" s="16" t="s">
        <v>84</v>
      </c>
      <c r="F365" s="16">
        <v>86.9</v>
      </c>
      <c r="J365" s="20" t="s">
        <v>1088</v>
      </c>
      <c r="K365" s="16">
        <v>5</v>
      </c>
    </row>
    <row r="366" spans="3:16" x14ac:dyDescent="0.25">
      <c r="C366" s="20" t="s">
        <v>63</v>
      </c>
      <c r="D366" s="16" t="s">
        <v>63</v>
      </c>
      <c r="F366" s="16">
        <v>121.06000000000002</v>
      </c>
      <c r="J366" s="20" t="s">
        <v>1074</v>
      </c>
      <c r="K366" s="16">
        <v>171.25</v>
      </c>
    </row>
    <row r="367" spans="3:16" x14ac:dyDescent="0.25">
      <c r="C367" s="20" t="s">
        <v>146</v>
      </c>
      <c r="D367" s="16" t="s">
        <v>146</v>
      </c>
      <c r="F367" s="16">
        <v>93.039999999999992</v>
      </c>
      <c r="J367" s="20" t="s">
        <v>1051</v>
      </c>
      <c r="K367" s="16">
        <v>1119.2200000000009</v>
      </c>
    </row>
    <row r="368" spans="3:16" x14ac:dyDescent="0.25">
      <c r="C368" s="20" t="s">
        <v>58</v>
      </c>
      <c r="D368" s="16" t="s">
        <v>58</v>
      </c>
      <c r="F368" s="16">
        <v>104.38000000000001</v>
      </c>
      <c r="J368" s="20" t="s">
        <v>1052</v>
      </c>
      <c r="K368" s="16">
        <v>1343.400000000001</v>
      </c>
    </row>
    <row r="369" spans="3:11" x14ac:dyDescent="0.25">
      <c r="C369" s="20" t="s">
        <v>160</v>
      </c>
      <c r="D369" s="16" t="s">
        <v>160</v>
      </c>
      <c r="F369" s="16">
        <v>115.51</v>
      </c>
    </row>
    <row r="370" spans="3:11" x14ac:dyDescent="0.25">
      <c r="C370" s="20" t="s">
        <v>331</v>
      </c>
      <c r="D370" s="16" t="s">
        <v>331</v>
      </c>
      <c r="F370" s="16">
        <v>92.25</v>
      </c>
    </row>
    <row r="371" spans="3:11" x14ac:dyDescent="0.25">
      <c r="C371" s="20" t="s">
        <v>73</v>
      </c>
      <c r="D371" s="16" t="s">
        <v>73</v>
      </c>
      <c r="F371" s="16">
        <v>103.48</v>
      </c>
    </row>
    <row r="372" spans="3:11" x14ac:dyDescent="0.25">
      <c r="C372" s="20" t="s">
        <v>50</v>
      </c>
      <c r="D372" s="16" t="s">
        <v>50</v>
      </c>
      <c r="F372" s="16">
        <v>98.28</v>
      </c>
    </row>
    <row r="373" spans="3:11" x14ac:dyDescent="0.25">
      <c r="C373" s="20" t="s">
        <v>1048</v>
      </c>
      <c r="D373" s="16" t="s">
        <v>1048</v>
      </c>
      <c r="F373" s="16">
        <v>84.35</v>
      </c>
      <c r="J373" s="21" t="s">
        <v>1040</v>
      </c>
      <c r="K373" s="16" t="s">
        <v>376</v>
      </c>
    </row>
    <row r="374" spans="3:11" x14ac:dyDescent="0.25">
      <c r="C374" s="20" t="s">
        <v>94</v>
      </c>
      <c r="D374" s="16" t="s">
        <v>94</v>
      </c>
      <c r="F374" s="16">
        <v>90.8</v>
      </c>
    </row>
    <row r="375" spans="3:11" x14ac:dyDescent="0.25">
      <c r="C375" s="20" t="s">
        <v>89</v>
      </c>
      <c r="D375" s="16" t="s">
        <v>89</v>
      </c>
      <c r="F375" s="16">
        <v>52.93</v>
      </c>
      <c r="J375" s="21" t="s">
        <v>1049</v>
      </c>
      <c r="K375" s="16" t="s">
        <v>1050</v>
      </c>
    </row>
    <row r="376" spans="3:11" x14ac:dyDescent="0.25">
      <c r="C376" s="20" t="s">
        <v>1076</v>
      </c>
      <c r="D376" s="16" t="s">
        <v>1076</v>
      </c>
      <c r="F376" s="16">
        <v>47.93</v>
      </c>
      <c r="J376" s="20" t="s">
        <v>1060</v>
      </c>
      <c r="K376" s="16">
        <v>347.83999999999992</v>
      </c>
    </row>
    <row r="377" spans="3:11" x14ac:dyDescent="0.25">
      <c r="C377" s="20" t="s">
        <v>1088</v>
      </c>
      <c r="D377" s="16" t="s">
        <v>1088</v>
      </c>
      <c r="F377" s="16">
        <v>5</v>
      </c>
      <c r="J377" s="20" t="s">
        <v>1059</v>
      </c>
      <c r="K377" s="16">
        <v>243.78999999999994</v>
      </c>
    </row>
    <row r="378" spans="3:11" x14ac:dyDescent="0.25">
      <c r="C378" s="16" t="s">
        <v>1074</v>
      </c>
      <c r="D378" s="16" t="s">
        <v>1074</v>
      </c>
      <c r="F378" s="16">
        <v>171.25</v>
      </c>
      <c r="J378" s="20" t="s">
        <v>1064</v>
      </c>
      <c r="K378" s="16">
        <v>123.17</v>
      </c>
    </row>
    <row r="379" spans="3:11" x14ac:dyDescent="0.25">
      <c r="C379" s="16" t="s">
        <v>1051</v>
      </c>
      <c r="D379" s="16" t="s">
        <v>1051</v>
      </c>
      <c r="F379" s="16">
        <v>1119.2200000000009</v>
      </c>
      <c r="J379" s="20" t="s">
        <v>1061</v>
      </c>
      <c r="K379" s="16">
        <v>110.35</v>
      </c>
    </row>
    <row r="380" spans="3:11" x14ac:dyDescent="0.25">
      <c r="C380" s="16" t="s">
        <v>1060</v>
      </c>
      <c r="D380" s="16" t="s">
        <v>1060</v>
      </c>
      <c r="F380" s="16">
        <v>347.83999999999992</v>
      </c>
      <c r="J380" s="20" t="s">
        <v>1065</v>
      </c>
      <c r="K380" s="16">
        <v>109.60000000000001</v>
      </c>
    </row>
    <row r="381" spans="3:11" x14ac:dyDescent="0.25">
      <c r="C381" s="16" t="s">
        <v>1059</v>
      </c>
      <c r="D381" s="16" t="s">
        <v>1059</v>
      </c>
      <c r="F381" s="16">
        <v>243.78999999999994</v>
      </c>
      <c r="J381" s="20" t="s">
        <v>1058</v>
      </c>
      <c r="K381" s="16">
        <v>51.129999999999995</v>
      </c>
    </row>
    <row r="382" spans="3:11" x14ac:dyDescent="0.25">
      <c r="C382" s="16" t="s">
        <v>1064</v>
      </c>
      <c r="D382" s="16" t="s">
        <v>1064</v>
      </c>
      <c r="F382" s="16">
        <v>123.17</v>
      </c>
      <c r="J382" s="20" t="s">
        <v>1077</v>
      </c>
      <c r="K382" s="16">
        <v>41.480000000000004</v>
      </c>
    </row>
    <row r="383" spans="3:11" x14ac:dyDescent="0.25">
      <c r="C383" s="16" t="s">
        <v>1061</v>
      </c>
      <c r="D383" s="16" t="s">
        <v>1061</v>
      </c>
      <c r="F383" s="16">
        <v>110.35</v>
      </c>
      <c r="J383" s="20" t="s">
        <v>1075</v>
      </c>
      <c r="K383" s="16">
        <v>36.35</v>
      </c>
    </row>
    <row r="384" spans="3:11" x14ac:dyDescent="0.25">
      <c r="C384" s="16" t="s">
        <v>1065</v>
      </c>
      <c r="D384" s="16" t="s">
        <v>1065</v>
      </c>
      <c r="F384" s="16">
        <v>109.60000000000001</v>
      </c>
      <c r="J384" s="20" t="s">
        <v>1073</v>
      </c>
      <c r="K384" s="16">
        <v>29.25</v>
      </c>
    </row>
    <row r="385" spans="3:11" x14ac:dyDescent="0.25">
      <c r="C385" s="16" t="s">
        <v>1058</v>
      </c>
      <c r="D385" s="16" t="s">
        <v>1058</v>
      </c>
      <c r="F385" s="16">
        <v>51.129999999999995</v>
      </c>
      <c r="J385" s="20" t="s">
        <v>1118</v>
      </c>
      <c r="K385" s="16">
        <v>23.68</v>
      </c>
    </row>
    <row r="386" spans="3:11" x14ac:dyDescent="0.25">
      <c r="C386" s="16" t="s">
        <v>1077</v>
      </c>
      <c r="D386" s="16" t="s">
        <v>1077</v>
      </c>
      <c r="F386" s="16">
        <v>41.480000000000004</v>
      </c>
      <c r="J386" s="20" t="s">
        <v>1067</v>
      </c>
      <c r="K386" s="16">
        <v>23.35</v>
      </c>
    </row>
    <row r="387" spans="3:11" x14ac:dyDescent="0.25">
      <c r="C387" s="16" t="s">
        <v>1075</v>
      </c>
      <c r="D387" s="16" t="s">
        <v>1075</v>
      </c>
      <c r="F387" s="16">
        <v>36.35</v>
      </c>
      <c r="J387" s="20" t="s">
        <v>1074</v>
      </c>
      <c r="K387" s="16">
        <v>20</v>
      </c>
    </row>
    <row r="388" spans="3:11" x14ac:dyDescent="0.25">
      <c r="C388" s="16" t="s">
        <v>1073</v>
      </c>
      <c r="D388" s="16" t="s">
        <v>1073</v>
      </c>
      <c r="F388" s="16">
        <v>29.25</v>
      </c>
      <c r="J388" s="20" t="s">
        <v>1063</v>
      </c>
      <c r="K388" s="16">
        <v>19.899999999999999</v>
      </c>
    </row>
    <row r="389" spans="3:11" x14ac:dyDescent="0.25">
      <c r="C389" s="16" t="s">
        <v>1118</v>
      </c>
      <c r="D389" s="16" t="s">
        <v>1071</v>
      </c>
      <c r="F389" s="16">
        <v>23.68</v>
      </c>
      <c r="J389" s="20" t="s">
        <v>1104</v>
      </c>
      <c r="K389" s="16">
        <v>16</v>
      </c>
    </row>
    <row r="390" spans="3:11" x14ac:dyDescent="0.25">
      <c r="C390" s="16" t="s">
        <v>1067</v>
      </c>
      <c r="D390" s="16" t="s">
        <v>1067</v>
      </c>
      <c r="F390" s="16">
        <v>23.35</v>
      </c>
      <c r="J390" s="20" t="s">
        <v>1082</v>
      </c>
      <c r="K390" s="16">
        <v>15.45</v>
      </c>
    </row>
    <row r="391" spans="3:11" x14ac:dyDescent="0.25">
      <c r="C391" s="16" t="s">
        <v>1074</v>
      </c>
      <c r="D391" s="16" t="s">
        <v>1062</v>
      </c>
      <c r="F391" s="16">
        <v>20</v>
      </c>
      <c r="J391" s="20" t="s">
        <v>1081</v>
      </c>
      <c r="K391" s="16">
        <v>15</v>
      </c>
    </row>
    <row r="392" spans="3:11" x14ac:dyDescent="0.25">
      <c r="C392" s="16" t="s">
        <v>1063</v>
      </c>
      <c r="D392" s="16" t="s">
        <v>1063</v>
      </c>
      <c r="F392" s="16">
        <v>19.899999999999999</v>
      </c>
      <c r="J392" s="20" t="s">
        <v>1117</v>
      </c>
      <c r="K392" s="16">
        <v>15</v>
      </c>
    </row>
    <row r="393" spans="3:11" x14ac:dyDescent="0.25">
      <c r="C393" s="16" t="s">
        <v>1104</v>
      </c>
      <c r="D393" s="16" t="s">
        <v>1104</v>
      </c>
      <c r="F393" s="16">
        <v>16</v>
      </c>
      <c r="J393" s="20" t="s">
        <v>1072</v>
      </c>
      <c r="K393" s="16">
        <v>10.9</v>
      </c>
    </row>
    <row r="394" spans="3:11" x14ac:dyDescent="0.25">
      <c r="C394" s="16" t="s">
        <v>1082</v>
      </c>
      <c r="D394" s="16" t="s">
        <v>1082</v>
      </c>
      <c r="F394" s="16">
        <v>15.45</v>
      </c>
      <c r="J394" s="20" t="s">
        <v>1100</v>
      </c>
      <c r="K394" s="16">
        <v>10</v>
      </c>
    </row>
    <row r="395" spans="3:11" x14ac:dyDescent="0.25">
      <c r="C395" s="16" t="s">
        <v>1081</v>
      </c>
      <c r="D395" s="16" t="s">
        <v>1081</v>
      </c>
      <c r="F395" s="16">
        <v>15</v>
      </c>
      <c r="J395" s="20" t="s">
        <v>1095</v>
      </c>
      <c r="K395" s="16">
        <v>10</v>
      </c>
    </row>
    <row r="396" spans="3:11" x14ac:dyDescent="0.25">
      <c r="C396" s="16" t="s">
        <v>1117</v>
      </c>
      <c r="D396" s="16" t="s">
        <v>1070</v>
      </c>
      <c r="F396" s="16">
        <v>15</v>
      </c>
      <c r="J396" s="20" t="s">
        <v>1079</v>
      </c>
      <c r="K396" s="16">
        <v>9.9</v>
      </c>
    </row>
    <row r="397" spans="3:11" x14ac:dyDescent="0.25">
      <c r="C397" s="16" t="s">
        <v>1072</v>
      </c>
      <c r="D397" s="16" t="s">
        <v>1072</v>
      </c>
      <c r="F397" s="16">
        <v>10.9</v>
      </c>
      <c r="J397" s="20" t="s">
        <v>1068</v>
      </c>
      <c r="K397" s="16">
        <v>8.68</v>
      </c>
    </row>
    <row r="398" spans="3:11" x14ac:dyDescent="0.25">
      <c r="C398" s="16" t="s">
        <v>1100</v>
      </c>
      <c r="D398" s="16" t="s">
        <v>1100</v>
      </c>
      <c r="F398" s="16">
        <v>10</v>
      </c>
      <c r="J398" s="20" t="s">
        <v>1069</v>
      </c>
      <c r="K398" s="16">
        <v>6</v>
      </c>
    </row>
    <row r="399" spans="3:11" x14ac:dyDescent="0.25">
      <c r="C399" s="16" t="s">
        <v>1095</v>
      </c>
      <c r="D399" s="16" t="s">
        <v>1095</v>
      </c>
      <c r="F399" s="16">
        <v>10</v>
      </c>
      <c r="J399" s="20" t="s">
        <v>1080</v>
      </c>
      <c r="K399" s="16">
        <v>5.9</v>
      </c>
    </row>
    <row r="400" spans="3:11" x14ac:dyDescent="0.25">
      <c r="C400" s="16" t="s">
        <v>1079</v>
      </c>
      <c r="D400" s="16" t="s">
        <v>1079</v>
      </c>
      <c r="F400" s="16">
        <v>9.9</v>
      </c>
      <c r="J400" s="20" t="s">
        <v>1078</v>
      </c>
      <c r="K400" s="16">
        <v>5.68</v>
      </c>
    </row>
    <row r="401" spans="3:11" x14ac:dyDescent="0.25">
      <c r="C401" s="16" t="s">
        <v>1068</v>
      </c>
      <c r="D401" s="16" t="s">
        <v>1068</v>
      </c>
      <c r="F401" s="16">
        <v>8.68</v>
      </c>
      <c r="J401" s="20" t="s">
        <v>1107</v>
      </c>
      <c r="K401" s="16">
        <v>5</v>
      </c>
    </row>
    <row r="402" spans="3:11" x14ac:dyDescent="0.25">
      <c r="C402" s="16" t="s">
        <v>1069</v>
      </c>
      <c r="D402" s="16" t="s">
        <v>1069</v>
      </c>
      <c r="F402" s="16">
        <v>6</v>
      </c>
      <c r="J402" s="20" t="s">
        <v>1092</v>
      </c>
      <c r="K402" s="16">
        <v>5</v>
      </c>
    </row>
    <row r="403" spans="3:11" x14ac:dyDescent="0.25">
      <c r="C403" s="16" t="s">
        <v>1080</v>
      </c>
      <c r="D403" s="16" t="s">
        <v>1080</v>
      </c>
      <c r="F403" s="16">
        <v>5.9</v>
      </c>
      <c r="J403" s="20" t="s">
        <v>1097</v>
      </c>
      <c r="K403" s="16">
        <v>5</v>
      </c>
    </row>
    <row r="404" spans="3:11" x14ac:dyDescent="0.25">
      <c r="C404" s="16" t="s">
        <v>1078</v>
      </c>
      <c r="D404" s="16" t="s">
        <v>1078</v>
      </c>
      <c r="F404" s="16">
        <v>5.68</v>
      </c>
      <c r="J404" s="20" t="s">
        <v>1091</v>
      </c>
      <c r="K404" s="16">
        <v>5</v>
      </c>
    </row>
    <row r="405" spans="3:11" x14ac:dyDescent="0.25">
      <c r="C405" s="16" t="s">
        <v>1107</v>
      </c>
      <c r="D405" s="16" t="s">
        <v>1107</v>
      </c>
      <c r="F405" s="16">
        <v>5</v>
      </c>
      <c r="J405" s="20" t="s">
        <v>1099</v>
      </c>
      <c r="K405" s="16">
        <v>5</v>
      </c>
    </row>
    <row r="406" spans="3:11" x14ac:dyDescent="0.25">
      <c r="C406" s="16" t="s">
        <v>1092</v>
      </c>
      <c r="D406" s="16" t="s">
        <v>1092</v>
      </c>
      <c r="F406" s="16">
        <v>5</v>
      </c>
      <c r="J406" s="20" t="s">
        <v>1087</v>
      </c>
      <c r="K406" s="16">
        <v>5</v>
      </c>
    </row>
    <row r="407" spans="3:11" x14ac:dyDescent="0.25">
      <c r="C407" s="16" t="s">
        <v>1097</v>
      </c>
      <c r="D407" s="16" t="s">
        <v>1097</v>
      </c>
      <c r="F407" s="16">
        <v>5</v>
      </c>
      <c r="J407" s="20" t="s">
        <v>1085</v>
      </c>
      <c r="K407" s="16">
        <v>5</v>
      </c>
    </row>
    <row r="408" spans="3:11" x14ac:dyDescent="0.25">
      <c r="C408" s="16" t="s">
        <v>1091</v>
      </c>
      <c r="D408" s="16" t="s">
        <v>1091</v>
      </c>
      <c r="F408" s="16">
        <v>5</v>
      </c>
      <c r="J408" s="20" t="s">
        <v>1052</v>
      </c>
      <c r="K408" s="16">
        <v>1343.3999999999996</v>
      </c>
    </row>
    <row r="409" spans="3:11" x14ac:dyDescent="0.25">
      <c r="C409" s="16" t="s">
        <v>1099</v>
      </c>
      <c r="D409" s="16" t="s">
        <v>1099</v>
      </c>
      <c r="F409" s="16">
        <v>5</v>
      </c>
    </row>
    <row r="410" spans="3:11" x14ac:dyDescent="0.25">
      <c r="C410" s="16" t="s">
        <v>1087</v>
      </c>
      <c r="D410" s="16" t="s">
        <v>1087</v>
      </c>
      <c r="F410" s="16">
        <v>5</v>
      </c>
    </row>
    <row r="411" spans="3:11" x14ac:dyDescent="0.25">
      <c r="C411" s="16" t="s">
        <v>1085</v>
      </c>
      <c r="D411" s="16" t="s">
        <v>1085</v>
      </c>
      <c r="F411" s="16">
        <v>5</v>
      </c>
    </row>
    <row r="414" spans="3:11" x14ac:dyDescent="0.25">
      <c r="J414" s="21" t="s">
        <v>1040</v>
      </c>
      <c r="K414" s="16" t="s">
        <v>376</v>
      </c>
    </row>
    <row r="416" spans="3:11" x14ac:dyDescent="0.25">
      <c r="J416" s="21" t="s">
        <v>1049</v>
      </c>
      <c r="K416" s="16" t="s">
        <v>1050</v>
      </c>
    </row>
    <row r="417" spans="10:11" x14ac:dyDescent="0.25">
      <c r="J417" s="20" t="s">
        <v>132</v>
      </c>
      <c r="K417" s="16">
        <v>87.51</v>
      </c>
    </row>
    <row r="418" spans="10:11" x14ac:dyDescent="0.25">
      <c r="J418" s="20" t="s">
        <v>248</v>
      </c>
      <c r="K418" s="16">
        <v>110.06000000000002</v>
      </c>
    </row>
    <row r="419" spans="10:11" x14ac:dyDescent="0.25">
      <c r="J419" s="20" t="s">
        <v>100</v>
      </c>
      <c r="K419" s="16">
        <v>102.85</v>
      </c>
    </row>
    <row r="420" spans="10:11" x14ac:dyDescent="0.25">
      <c r="J420" s="20" t="s">
        <v>84</v>
      </c>
      <c r="K420" s="16">
        <v>86.9</v>
      </c>
    </row>
    <row r="421" spans="10:11" x14ac:dyDescent="0.25">
      <c r="J421" s="20" t="s">
        <v>63</v>
      </c>
      <c r="K421" s="16">
        <v>121.06000000000002</v>
      </c>
    </row>
    <row r="422" spans="10:11" x14ac:dyDescent="0.25">
      <c r="J422" s="20" t="s">
        <v>146</v>
      </c>
      <c r="K422" s="16">
        <v>93.039999999999992</v>
      </c>
    </row>
    <row r="423" spans="10:11" x14ac:dyDescent="0.25">
      <c r="J423" s="20" t="s">
        <v>58</v>
      </c>
      <c r="K423" s="16">
        <v>104.38000000000001</v>
      </c>
    </row>
    <row r="424" spans="10:11" x14ac:dyDescent="0.25">
      <c r="J424" s="20" t="s">
        <v>160</v>
      </c>
      <c r="K424" s="16">
        <v>115.51</v>
      </c>
    </row>
    <row r="425" spans="10:11" x14ac:dyDescent="0.25">
      <c r="J425" s="20" t="s">
        <v>331</v>
      </c>
      <c r="K425" s="16">
        <v>92.25</v>
      </c>
    </row>
    <row r="426" spans="10:11" x14ac:dyDescent="0.25">
      <c r="J426" s="20" t="s">
        <v>73</v>
      </c>
      <c r="K426" s="16">
        <v>103.48</v>
      </c>
    </row>
    <row r="427" spans="10:11" x14ac:dyDescent="0.25">
      <c r="J427" s="20" t="s">
        <v>50</v>
      </c>
      <c r="K427" s="16">
        <v>98.28</v>
      </c>
    </row>
    <row r="428" spans="10:11" x14ac:dyDescent="0.25">
      <c r="J428" s="20" t="s">
        <v>1048</v>
      </c>
      <c r="K428" s="16">
        <v>84.35</v>
      </c>
    </row>
    <row r="429" spans="10:11" x14ac:dyDescent="0.25">
      <c r="J429" s="20" t="s">
        <v>94</v>
      </c>
      <c r="K429" s="16">
        <v>90.8</v>
      </c>
    </row>
    <row r="430" spans="10:11" x14ac:dyDescent="0.25">
      <c r="J430" s="20" t="s">
        <v>89</v>
      </c>
      <c r="K430" s="16">
        <v>52.93</v>
      </c>
    </row>
    <row r="431" spans="10:11" x14ac:dyDescent="0.25">
      <c r="J431" s="20" t="s">
        <v>1052</v>
      </c>
      <c r="K431" s="16">
        <v>1343.4</v>
      </c>
    </row>
  </sheetData>
  <autoFilter ref="C3:P411" xr:uid="{5979C786-CA90-453D-B5DA-E8947920FECF}"/>
  <conditionalFormatting sqref="C353">
    <cfRule type="duplicateValues" dxfId="16" priority="7"/>
  </conditionalFormatting>
  <conditionalFormatting sqref="C354">
    <cfRule type="duplicateValues" dxfId="15" priority="5"/>
  </conditionalFormatting>
  <conditionalFormatting sqref="C355:C357">
    <cfRule type="duplicateValues" dxfId="14" priority="3"/>
  </conditionalFormatting>
  <conditionalFormatting sqref="E353">
    <cfRule type="duplicateValues" dxfId="13" priority="6"/>
  </conditionalFormatting>
  <conditionalFormatting sqref="E354">
    <cfRule type="duplicateValues" dxfId="12" priority="4"/>
  </conditionalFormatting>
  <conditionalFormatting sqref="E355">
    <cfRule type="duplicateValues" dxfId="11" priority="2"/>
  </conditionalFormatting>
  <conditionalFormatting sqref="J376:J407">
    <cfRule type="duplicateValues" dxfId="10" priority="1"/>
  </conditionalFormatting>
  <pageMargins left="0.7" right="0.7" top="0.75" bottom="0.75" header="0.3" footer="0.3"/>
  <pageSetup paperSize="9" orientation="portrait" r:id="rId4"/>
  <headerFooter>
    <oddFooter>&amp;C_x000D_&amp;1#&amp;"Calibri"&amp;10&amp;K000000 OXXO | Uso Interno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71EA4-7E73-4DB6-B9B1-4A912CCAD04A}">
  <sheetPr codeName="Hoja10"/>
  <dimension ref="C1:O360"/>
  <sheetViews>
    <sheetView zoomScale="70" zoomScaleNormal="70" workbookViewId="0">
      <selection activeCell="G4" sqref="G4"/>
    </sheetView>
  </sheetViews>
  <sheetFormatPr baseColWidth="10" defaultColWidth="10.81640625" defaultRowHeight="12.5" x14ac:dyDescent="0.25"/>
  <cols>
    <col min="1" max="1" width="6.453125" style="2" customWidth="1"/>
    <col min="2" max="2" width="5.26953125" style="2" customWidth="1"/>
    <col min="3" max="3" width="7.453125" style="2" bestFit="1" customWidth="1"/>
    <col min="4" max="5" width="30" style="2" customWidth="1"/>
    <col min="6" max="6" width="16.26953125" style="2" customWidth="1"/>
    <col min="7" max="7" width="17.7265625" style="2" customWidth="1"/>
    <col min="8" max="11" width="30" style="2" customWidth="1"/>
    <col min="12" max="12" width="16.81640625" style="2" customWidth="1"/>
    <col min="13" max="13" width="21.7265625" style="2" customWidth="1"/>
    <col min="14" max="14" width="31.453125" style="2" customWidth="1"/>
    <col min="15" max="16384" width="10.81640625" style="2"/>
  </cols>
  <sheetData>
    <row r="1" spans="3:15" ht="15.5" x14ac:dyDescent="0.25">
      <c r="F1" s="13"/>
    </row>
    <row r="2" spans="3:15" x14ac:dyDescent="0.25">
      <c r="C2" s="2">
        <v>1</v>
      </c>
      <c r="D2" s="2">
        <v>2</v>
      </c>
      <c r="E2" s="2">
        <f t="shared" ref="E2:N2" si="0">D2+1</f>
        <v>3</v>
      </c>
      <c r="F2" s="2">
        <f t="shared" si="0"/>
        <v>4</v>
      </c>
      <c r="G2" s="2">
        <f t="shared" si="0"/>
        <v>5</v>
      </c>
      <c r="H2" s="2">
        <f t="shared" si="0"/>
        <v>6</v>
      </c>
      <c r="I2" s="2">
        <f t="shared" si="0"/>
        <v>7</v>
      </c>
      <c r="J2" s="2">
        <f t="shared" si="0"/>
        <v>8</v>
      </c>
      <c r="K2" s="2">
        <f t="shared" si="0"/>
        <v>9</v>
      </c>
      <c r="L2" s="2">
        <f t="shared" si="0"/>
        <v>10</v>
      </c>
      <c r="M2" s="2">
        <f t="shared" si="0"/>
        <v>11</v>
      </c>
      <c r="N2" s="2">
        <f t="shared" si="0"/>
        <v>12</v>
      </c>
    </row>
    <row r="3" spans="3:15" ht="13" x14ac:dyDescent="0.25">
      <c r="C3" s="1" t="s">
        <v>15</v>
      </c>
      <c r="D3" s="1" t="s">
        <v>16</v>
      </c>
      <c r="E3" s="1" t="s">
        <v>17</v>
      </c>
      <c r="F3" s="1" t="s">
        <v>18</v>
      </c>
      <c r="G3" s="1" t="s">
        <v>1040</v>
      </c>
      <c r="H3" s="1" t="s">
        <v>20</v>
      </c>
      <c r="I3" s="1" t="s">
        <v>1108</v>
      </c>
      <c r="J3" s="1" t="s">
        <v>21</v>
      </c>
      <c r="K3" s="1" t="s">
        <v>22</v>
      </c>
      <c r="L3" s="1" t="s">
        <v>24</v>
      </c>
      <c r="M3" s="1" t="s">
        <v>25</v>
      </c>
      <c r="N3" s="1" t="s">
        <v>1109</v>
      </c>
      <c r="O3" s="2" t="str">
        <f>C3</f>
        <v>CECO</v>
      </c>
    </row>
    <row r="4" spans="3:15" x14ac:dyDescent="0.25">
      <c r="C4" s="3" t="s">
        <v>929</v>
      </c>
      <c r="D4" s="3" t="s">
        <v>930</v>
      </c>
      <c r="E4" s="3" t="s">
        <v>930</v>
      </c>
      <c r="F4" s="4">
        <v>11.68</v>
      </c>
      <c r="G4" s="3" t="s">
        <v>376</v>
      </c>
      <c r="H4" s="3" t="s">
        <v>46</v>
      </c>
      <c r="I4" s="3" t="s">
        <v>1110</v>
      </c>
      <c r="J4" s="3" t="s">
        <v>1046</v>
      </c>
      <c r="K4" s="3" t="s">
        <v>160</v>
      </c>
      <c r="L4" s="3" t="s">
        <v>1058</v>
      </c>
      <c r="M4" s="3" t="s">
        <v>1148</v>
      </c>
      <c r="N4" s="3" t="s">
        <v>984</v>
      </c>
      <c r="O4" s="2" t="str">
        <f t="shared" ref="O4:O67" si="1">C4</f>
        <v>50GBU</v>
      </c>
    </row>
    <row r="5" spans="3:15" x14ac:dyDescent="0.25">
      <c r="C5" s="3" t="s">
        <v>651</v>
      </c>
      <c r="D5" s="3" t="s">
        <v>652</v>
      </c>
      <c r="E5" s="3" t="s">
        <v>652</v>
      </c>
      <c r="F5" s="4">
        <v>11.68</v>
      </c>
      <c r="G5" s="3" t="s">
        <v>376</v>
      </c>
      <c r="H5" s="3" t="s">
        <v>46</v>
      </c>
      <c r="I5" s="3" t="s">
        <v>1111</v>
      </c>
      <c r="J5" s="3" t="s">
        <v>1046</v>
      </c>
      <c r="K5" s="3" t="s">
        <v>248</v>
      </c>
      <c r="L5" s="3" t="s">
        <v>1059</v>
      </c>
      <c r="M5" s="3" t="s">
        <v>1149</v>
      </c>
      <c r="N5" s="3" t="s">
        <v>1112</v>
      </c>
      <c r="O5" s="2" t="str">
        <f t="shared" si="1"/>
        <v>50JMU</v>
      </c>
    </row>
    <row r="6" spans="3:15" x14ac:dyDescent="0.25">
      <c r="C6" s="3" t="s">
        <v>373</v>
      </c>
      <c r="D6" s="3" t="s">
        <v>374</v>
      </c>
      <c r="E6" s="3" t="s">
        <v>375</v>
      </c>
      <c r="F6" s="4">
        <v>11.68</v>
      </c>
      <c r="G6" s="3" t="s">
        <v>376</v>
      </c>
      <c r="H6" s="3" t="s">
        <v>38</v>
      </c>
      <c r="I6" s="3" t="s">
        <v>1111</v>
      </c>
      <c r="J6" s="3" t="s">
        <v>1031</v>
      </c>
      <c r="K6" s="3" t="s">
        <v>63</v>
      </c>
      <c r="L6" s="3" t="s">
        <v>1060</v>
      </c>
      <c r="M6" s="3" t="s">
        <v>1148</v>
      </c>
      <c r="N6" s="3" t="s">
        <v>1112</v>
      </c>
      <c r="O6" s="2" t="str">
        <f t="shared" si="1"/>
        <v>50OSP</v>
      </c>
    </row>
    <row r="7" spans="3:15" x14ac:dyDescent="0.25">
      <c r="C7" s="3" t="s">
        <v>699</v>
      </c>
      <c r="D7" s="3" t="s">
        <v>985</v>
      </c>
      <c r="E7" s="3" t="s">
        <v>1150</v>
      </c>
      <c r="F7" s="4">
        <v>10</v>
      </c>
      <c r="G7" s="3" t="s">
        <v>376</v>
      </c>
      <c r="H7" s="3" t="s">
        <v>38</v>
      </c>
      <c r="I7" s="3" t="s">
        <v>1110</v>
      </c>
      <c r="J7" s="3" t="s">
        <v>1031</v>
      </c>
      <c r="K7" s="3" t="s">
        <v>84</v>
      </c>
      <c r="L7" s="3" t="s">
        <v>1061</v>
      </c>
      <c r="M7" s="3" t="s">
        <v>1074</v>
      </c>
      <c r="N7" s="3" t="s">
        <v>378</v>
      </c>
      <c r="O7" s="2" t="str">
        <f t="shared" si="1"/>
        <v>50OLI</v>
      </c>
    </row>
    <row r="8" spans="3:15" x14ac:dyDescent="0.25">
      <c r="C8" s="3" t="s">
        <v>739</v>
      </c>
      <c r="D8" s="3" t="s">
        <v>740</v>
      </c>
      <c r="E8" s="3" t="s">
        <v>1151</v>
      </c>
      <c r="F8" s="4">
        <v>10</v>
      </c>
      <c r="G8" s="3" t="s">
        <v>376</v>
      </c>
      <c r="H8" s="3" t="s">
        <v>46</v>
      </c>
      <c r="I8" s="3" t="s">
        <v>1110</v>
      </c>
      <c r="J8" s="3" t="s">
        <v>1031</v>
      </c>
      <c r="K8" s="3" t="s">
        <v>1048</v>
      </c>
      <c r="L8" s="3" t="s">
        <v>1152</v>
      </c>
      <c r="M8" s="3" t="s">
        <v>1074</v>
      </c>
      <c r="N8" s="3" t="s">
        <v>378</v>
      </c>
      <c r="O8" s="2" t="str">
        <f t="shared" si="1"/>
        <v>50RBP</v>
      </c>
    </row>
    <row r="9" spans="3:15" x14ac:dyDescent="0.25">
      <c r="C9" s="3" t="s">
        <v>381</v>
      </c>
      <c r="D9" s="3" t="s">
        <v>382</v>
      </c>
      <c r="E9" s="3" t="s">
        <v>382</v>
      </c>
      <c r="F9" s="4">
        <v>9.1300000000000008</v>
      </c>
      <c r="G9" s="3" t="s">
        <v>376</v>
      </c>
      <c r="H9" s="3" t="s">
        <v>46</v>
      </c>
      <c r="I9" s="3" t="s">
        <v>1114</v>
      </c>
      <c r="J9" s="3" t="s">
        <v>1031</v>
      </c>
      <c r="K9" s="3" t="s">
        <v>63</v>
      </c>
      <c r="L9" s="3" t="s">
        <v>1060</v>
      </c>
      <c r="M9" s="3" t="s">
        <v>1148</v>
      </c>
      <c r="N9" s="3" t="s">
        <v>1112</v>
      </c>
      <c r="O9" s="2" t="str">
        <f t="shared" si="1"/>
        <v>50JIO</v>
      </c>
    </row>
    <row r="10" spans="3:15" x14ac:dyDescent="0.25">
      <c r="C10" s="3" t="s">
        <v>511</v>
      </c>
      <c r="D10" s="3" t="s">
        <v>512</v>
      </c>
      <c r="E10" s="3" t="s">
        <v>1153</v>
      </c>
      <c r="F10" s="4">
        <v>8.9</v>
      </c>
      <c r="G10" s="3" t="s">
        <v>376</v>
      </c>
      <c r="H10" s="3" t="s">
        <v>38</v>
      </c>
      <c r="I10" s="3" t="s">
        <v>1111</v>
      </c>
      <c r="J10" s="3" t="s">
        <v>1046</v>
      </c>
      <c r="K10" s="3" t="s">
        <v>100</v>
      </c>
      <c r="L10" s="3" t="s">
        <v>1060</v>
      </c>
      <c r="M10" s="3" t="s">
        <v>1148</v>
      </c>
      <c r="N10" s="24" t="s">
        <v>1035</v>
      </c>
      <c r="O10" s="2" t="str">
        <f t="shared" si="1"/>
        <v>50OMQ</v>
      </c>
    </row>
    <row r="11" spans="3:15" x14ac:dyDescent="0.25">
      <c r="C11" s="3" t="s">
        <v>516</v>
      </c>
      <c r="D11" s="3" t="s">
        <v>517</v>
      </c>
      <c r="E11" s="3" t="s">
        <v>1154</v>
      </c>
      <c r="F11" s="4">
        <v>9.4499999999999993</v>
      </c>
      <c r="G11" s="3" t="s">
        <v>376</v>
      </c>
      <c r="H11" s="3" t="s">
        <v>38</v>
      </c>
      <c r="I11" s="3" t="s">
        <v>1111</v>
      </c>
      <c r="J11" s="3" t="s">
        <v>1046</v>
      </c>
      <c r="K11" s="3" t="s">
        <v>100</v>
      </c>
      <c r="L11" s="3" t="s">
        <v>1063</v>
      </c>
      <c r="M11" s="3" t="s">
        <v>1148</v>
      </c>
      <c r="N11" s="24" t="s">
        <v>1035</v>
      </c>
      <c r="O11" s="2" t="str">
        <f t="shared" si="1"/>
        <v>50OMS</v>
      </c>
    </row>
    <row r="12" spans="3:15" x14ac:dyDescent="0.25">
      <c r="C12" s="3" t="s">
        <v>796</v>
      </c>
      <c r="D12" s="3" t="s">
        <v>797</v>
      </c>
      <c r="E12" s="3" t="s">
        <v>797</v>
      </c>
      <c r="F12" s="4">
        <v>8</v>
      </c>
      <c r="G12" s="3" t="s">
        <v>376</v>
      </c>
      <c r="H12" s="3" t="s">
        <v>88</v>
      </c>
      <c r="I12" s="3" t="s">
        <v>1114</v>
      </c>
      <c r="J12" s="3" t="s">
        <v>1046</v>
      </c>
      <c r="K12" s="3" t="s">
        <v>146</v>
      </c>
      <c r="L12" s="3" t="s">
        <v>1064</v>
      </c>
      <c r="M12" s="3" t="s">
        <v>1148</v>
      </c>
      <c r="N12" s="24" t="s">
        <v>1035</v>
      </c>
      <c r="O12" s="2" t="str">
        <f t="shared" si="1"/>
        <v>506J4</v>
      </c>
    </row>
    <row r="13" spans="3:15" x14ac:dyDescent="0.25">
      <c r="C13" s="3" t="s">
        <v>463</v>
      </c>
      <c r="D13" s="3" t="s">
        <v>464</v>
      </c>
      <c r="E13" s="3" t="s">
        <v>465</v>
      </c>
      <c r="F13" s="4">
        <v>8.9</v>
      </c>
      <c r="G13" s="3" t="s">
        <v>376</v>
      </c>
      <c r="H13" s="3" t="s">
        <v>38</v>
      </c>
      <c r="I13" s="3" t="s">
        <v>1110</v>
      </c>
      <c r="J13" s="3" t="s">
        <v>1046</v>
      </c>
      <c r="K13" s="3" t="s">
        <v>58</v>
      </c>
      <c r="L13" s="3" t="s">
        <v>1059</v>
      </c>
      <c r="M13" s="3" t="s">
        <v>1148</v>
      </c>
      <c r="N13" s="3" t="s">
        <v>1112</v>
      </c>
      <c r="O13" s="2" t="str">
        <f t="shared" si="1"/>
        <v>50OEY</v>
      </c>
    </row>
    <row r="14" spans="3:15" x14ac:dyDescent="0.25">
      <c r="C14" s="3" t="s">
        <v>383</v>
      </c>
      <c r="D14" s="3" t="s">
        <v>384</v>
      </c>
      <c r="E14" s="3" t="s">
        <v>384</v>
      </c>
      <c r="F14" s="4">
        <v>8</v>
      </c>
      <c r="G14" s="3" t="s">
        <v>376</v>
      </c>
      <c r="H14" s="3" t="s">
        <v>46</v>
      </c>
      <c r="I14" s="3" t="s">
        <v>1114</v>
      </c>
      <c r="J14" s="3" t="s">
        <v>1031</v>
      </c>
      <c r="K14" s="3" t="s">
        <v>63</v>
      </c>
      <c r="L14" s="3" t="s">
        <v>1060</v>
      </c>
      <c r="M14" s="3" t="s">
        <v>1148</v>
      </c>
      <c r="N14" s="3" t="s">
        <v>1112</v>
      </c>
      <c r="O14" s="2" t="str">
        <f t="shared" si="1"/>
        <v>50RNT</v>
      </c>
    </row>
    <row r="15" spans="3:15" x14ac:dyDescent="0.25">
      <c r="C15" s="3" t="s">
        <v>646</v>
      </c>
      <c r="D15" s="3" t="s">
        <v>647</v>
      </c>
      <c r="E15" s="3" t="s">
        <v>647</v>
      </c>
      <c r="F15" s="4">
        <v>7.45</v>
      </c>
      <c r="G15" s="3" t="s">
        <v>376</v>
      </c>
      <c r="H15" s="3" t="s">
        <v>46</v>
      </c>
      <c r="I15" s="3" t="s">
        <v>1114</v>
      </c>
      <c r="J15" s="3" t="s">
        <v>1046</v>
      </c>
      <c r="K15" s="3" t="s">
        <v>50</v>
      </c>
      <c r="L15" s="3" t="s">
        <v>1064</v>
      </c>
      <c r="M15" s="3" t="s">
        <v>1149</v>
      </c>
      <c r="N15" s="3" t="s">
        <v>984</v>
      </c>
      <c r="O15" s="2" t="str">
        <f t="shared" si="1"/>
        <v>50DKO</v>
      </c>
    </row>
    <row r="16" spans="3:15" x14ac:dyDescent="0.25">
      <c r="C16" s="3" t="s">
        <v>648</v>
      </c>
      <c r="D16" s="3" t="s">
        <v>649</v>
      </c>
      <c r="E16" s="3" t="s">
        <v>650</v>
      </c>
      <c r="F16" s="4">
        <v>7.45</v>
      </c>
      <c r="G16" s="3" t="s">
        <v>376</v>
      </c>
      <c r="H16" s="3" t="s">
        <v>46</v>
      </c>
      <c r="I16" s="3" t="s">
        <v>1114</v>
      </c>
      <c r="J16" s="3" t="s">
        <v>1046</v>
      </c>
      <c r="K16" s="3" t="s">
        <v>50</v>
      </c>
      <c r="L16" s="3" t="s">
        <v>1065</v>
      </c>
      <c r="M16" s="3" t="s">
        <v>1149</v>
      </c>
      <c r="N16" s="3" t="s">
        <v>984</v>
      </c>
      <c r="O16" s="2" t="str">
        <f t="shared" si="1"/>
        <v>50DSH</v>
      </c>
    </row>
    <row r="17" spans="3:15" x14ac:dyDescent="0.25">
      <c r="C17" s="3" t="s">
        <v>642</v>
      </c>
      <c r="D17" s="3" t="s">
        <v>643</v>
      </c>
      <c r="E17" s="3" t="s">
        <v>643</v>
      </c>
      <c r="F17" s="4">
        <v>7.45</v>
      </c>
      <c r="G17" s="3" t="s">
        <v>376</v>
      </c>
      <c r="H17" s="3" t="s">
        <v>46</v>
      </c>
      <c r="I17" s="3" t="s">
        <v>1114</v>
      </c>
      <c r="J17" s="3" t="s">
        <v>1046</v>
      </c>
      <c r="K17" s="3" t="s">
        <v>50</v>
      </c>
      <c r="L17" s="3" t="s">
        <v>1059</v>
      </c>
      <c r="M17" s="3" t="s">
        <v>1149</v>
      </c>
      <c r="N17" s="3" t="s">
        <v>984</v>
      </c>
      <c r="O17" s="2" t="str">
        <f t="shared" si="1"/>
        <v>50GJS</v>
      </c>
    </row>
    <row r="18" spans="3:15" x14ac:dyDescent="0.25">
      <c r="C18" s="3" t="s">
        <v>468</v>
      </c>
      <c r="D18" s="3" t="s">
        <v>470</v>
      </c>
      <c r="E18" s="3" t="s">
        <v>1155</v>
      </c>
      <c r="F18" s="4">
        <v>9</v>
      </c>
      <c r="G18" s="3" t="s">
        <v>376</v>
      </c>
      <c r="H18" s="3" t="s">
        <v>38</v>
      </c>
      <c r="I18" s="3" t="s">
        <v>1114</v>
      </c>
      <c r="J18" s="3" t="s">
        <v>1046</v>
      </c>
      <c r="K18" s="3" t="s">
        <v>58</v>
      </c>
      <c r="L18" s="3" t="s">
        <v>1059</v>
      </c>
      <c r="M18" s="3" t="s">
        <v>1148</v>
      </c>
      <c r="N18" s="3" t="s">
        <v>1112</v>
      </c>
      <c r="O18" s="2" t="str">
        <f t="shared" si="1"/>
        <v>50OPI</v>
      </c>
    </row>
    <row r="19" spans="3:15" x14ac:dyDescent="0.25">
      <c r="C19" s="3" t="s">
        <v>932</v>
      </c>
      <c r="D19" s="3" t="s">
        <v>933</v>
      </c>
      <c r="E19" s="3" t="s">
        <v>933</v>
      </c>
      <c r="F19" s="4">
        <v>7</v>
      </c>
      <c r="G19" s="3" t="s">
        <v>376</v>
      </c>
      <c r="H19" s="3" t="s">
        <v>46</v>
      </c>
      <c r="I19" s="3" t="s">
        <v>1110</v>
      </c>
      <c r="J19" s="3" t="s">
        <v>1046</v>
      </c>
      <c r="K19" s="3" t="s">
        <v>160</v>
      </c>
      <c r="L19" s="3" t="s">
        <v>1058</v>
      </c>
      <c r="M19" s="3" t="s">
        <v>1148</v>
      </c>
      <c r="N19" s="3" t="s">
        <v>984</v>
      </c>
      <c r="O19" s="2" t="str">
        <f t="shared" si="1"/>
        <v>50KOA</v>
      </c>
    </row>
    <row r="20" spans="3:15" x14ac:dyDescent="0.25">
      <c r="C20" s="3" t="s">
        <v>390</v>
      </c>
      <c r="D20" s="3" t="s">
        <v>391</v>
      </c>
      <c r="E20" s="3" t="s">
        <v>391</v>
      </c>
      <c r="F20" s="4">
        <v>7</v>
      </c>
      <c r="G20" s="3" t="s">
        <v>376</v>
      </c>
      <c r="H20" s="3" t="s">
        <v>46</v>
      </c>
      <c r="I20" s="3" t="s">
        <v>1110</v>
      </c>
      <c r="J20" s="3" t="s">
        <v>1031</v>
      </c>
      <c r="K20" s="3" t="s">
        <v>63</v>
      </c>
      <c r="L20" s="3" t="s">
        <v>1060</v>
      </c>
      <c r="M20" s="3" t="s">
        <v>1148</v>
      </c>
      <c r="N20" s="3" t="s">
        <v>1112</v>
      </c>
      <c r="O20" s="2" t="str">
        <f t="shared" si="1"/>
        <v>50NRA</v>
      </c>
    </row>
    <row r="21" spans="3:15" x14ac:dyDescent="0.25">
      <c r="C21" s="3" t="s">
        <v>883</v>
      </c>
      <c r="D21" s="3" t="s">
        <v>884</v>
      </c>
      <c r="E21" s="3" t="s">
        <v>1156</v>
      </c>
      <c r="F21" s="4">
        <v>7</v>
      </c>
      <c r="G21" s="3" t="s">
        <v>376</v>
      </c>
      <c r="H21" s="3" t="s">
        <v>38</v>
      </c>
      <c r="I21" s="3" t="s">
        <v>1114</v>
      </c>
      <c r="J21" s="3" t="s">
        <v>1046</v>
      </c>
      <c r="K21" s="3" t="s">
        <v>73</v>
      </c>
      <c r="L21" s="3" t="s">
        <v>1067</v>
      </c>
      <c r="M21" s="3" t="s">
        <v>1148</v>
      </c>
      <c r="N21" s="3" t="s">
        <v>378</v>
      </c>
      <c r="O21" s="2" t="str">
        <f t="shared" si="1"/>
        <v>50OAM</v>
      </c>
    </row>
    <row r="22" spans="3:15" x14ac:dyDescent="0.25">
      <c r="C22" s="3" t="s">
        <v>387</v>
      </c>
      <c r="D22" s="3" t="s">
        <v>388</v>
      </c>
      <c r="E22" s="3" t="s">
        <v>389</v>
      </c>
      <c r="F22" s="4">
        <v>7</v>
      </c>
      <c r="G22" s="3" t="s">
        <v>376</v>
      </c>
      <c r="H22" s="3" t="s">
        <v>81</v>
      </c>
      <c r="I22" s="3" t="s">
        <v>1114</v>
      </c>
      <c r="J22" s="3" t="s">
        <v>1031</v>
      </c>
      <c r="K22" s="3" t="s">
        <v>63</v>
      </c>
      <c r="L22" s="3" t="s">
        <v>1060</v>
      </c>
      <c r="M22" s="3" t="s">
        <v>1148</v>
      </c>
      <c r="N22" s="3" t="s">
        <v>1112</v>
      </c>
      <c r="O22" s="2" t="str">
        <f t="shared" si="1"/>
        <v>50OJJ</v>
      </c>
    </row>
    <row r="23" spans="3:15" x14ac:dyDescent="0.25">
      <c r="C23" s="3" t="s">
        <v>519</v>
      </c>
      <c r="D23" s="3" t="s">
        <v>520</v>
      </c>
      <c r="E23" s="3" t="s">
        <v>520</v>
      </c>
      <c r="F23" s="4">
        <v>7</v>
      </c>
      <c r="G23" s="3" t="s">
        <v>376</v>
      </c>
      <c r="H23" s="3" t="s">
        <v>46</v>
      </c>
      <c r="I23" s="3" t="s">
        <v>1110</v>
      </c>
      <c r="J23" s="3" t="s">
        <v>1046</v>
      </c>
      <c r="K23" s="3" t="s">
        <v>100</v>
      </c>
      <c r="L23" s="3" t="s">
        <v>1060</v>
      </c>
      <c r="M23" s="3" t="s">
        <v>1148</v>
      </c>
      <c r="N23" s="24" t="s">
        <v>1035</v>
      </c>
      <c r="O23" s="2" t="str">
        <f t="shared" si="1"/>
        <v>50VKK</v>
      </c>
    </row>
    <row r="24" spans="3:15" x14ac:dyDescent="0.25">
      <c r="C24" s="3" t="s">
        <v>887</v>
      </c>
      <c r="D24" s="3" t="s">
        <v>275</v>
      </c>
      <c r="E24" s="3" t="s">
        <v>888</v>
      </c>
      <c r="F24" s="4">
        <v>8.68</v>
      </c>
      <c r="G24" s="3" t="s">
        <v>376</v>
      </c>
      <c r="H24" s="3" t="s">
        <v>38</v>
      </c>
      <c r="I24" s="3" t="s">
        <v>1110</v>
      </c>
      <c r="J24" s="3" t="s">
        <v>1046</v>
      </c>
      <c r="K24" s="3" t="s">
        <v>73</v>
      </c>
      <c r="L24" s="3" t="s">
        <v>1068</v>
      </c>
      <c r="M24" s="3" t="s">
        <v>1149</v>
      </c>
      <c r="N24" s="3" t="s">
        <v>378</v>
      </c>
      <c r="O24" s="2" t="str">
        <f t="shared" si="1"/>
        <v>50OMC</v>
      </c>
    </row>
    <row r="25" spans="3:15" x14ac:dyDescent="0.25">
      <c r="C25" s="3" t="s">
        <v>654</v>
      </c>
      <c r="D25" s="3" t="s">
        <v>655</v>
      </c>
      <c r="E25" s="3" t="s">
        <v>655</v>
      </c>
      <c r="F25" s="4">
        <v>7</v>
      </c>
      <c r="G25" s="3" t="s">
        <v>376</v>
      </c>
      <c r="H25" s="3" t="s">
        <v>46</v>
      </c>
      <c r="I25" s="3" t="s">
        <v>1110</v>
      </c>
      <c r="J25" s="3" t="s">
        <v>1046</v>
      </c>
      <c r="K25" s="3" t="s">
        <v>248</v>
      </c>
      <c r="L25" s="3" t="s">
        <v>1059</v>
      </c>
      <c r="M25" s="3" t="s">
        <v>1149</v>
      </c>
      <c r="N25" s="3" t="s">
        <v>1112</v>
      </c>
      <c r="O25" s="2" t="str">
        <f t="shared" si="1"/>
        <v>50UMT</v>
      </c>
    </row>
    <row r="26" spans="3:15" x14ac:dyDescent="0.25">
      <c r="C26" s="3" t="s">
        <v>800</v>
      </c>
      <c r="D26" s="3" t="s">
        <v>801</v>
      </c>
      <c r="E26" s="3" t="s">
        <v>1157</v>
      </c>
      <c r="F26" s="4">
        <v>7</v>
      </c>
      <c r="G26" s="3" t="s">
        <v>376</v>
      </c>
      <c r="H26" s="3" t="s">
        <v>46</v>
      </c>
      <c r="I26" s="3" t="s">
        <v>1114</v>
      </c>
      <c r="J26" s="3" t="s">
        <v>1046</v>
      </c>
      <c r="K26" s="3" t="s">
        <v>146</v>
      </c>
      <c r="L26" s="3" t="s">
        <v>1064</v>
      </c>
      <c r="M26" s="3" t="s">
        <v>1149</v>
      </c>
      <c r="N26" s="24" t="s">
        <v>1035</v>
      </c>
      <c r="O26" s="2" t="str">
        <f t="shared" si="1"/>
        <v>50EDF</v>
      </c>
    </row>
    <row r="27" spans="3:15" x14ac:dyDescent="0.25">
      <c r="C27" s="3" t="s">
        <v>385</v>
      </c>
      <c r="D27" s="3" t="s">
        <v>386</v>
      </c>
      <c r="E27" s="3" t="s">
        <v>386</v>
      </c>
      <c r="F27" s="4">
        <v>7</v>
      </c>
      <c r="G27" s="3" t="s">
        <v>376</v>
      </c>
      <c r="H27" s="3" t="s">
        <v>46</v>
      </c>
      <c r="I27" s="3" t="s">
        <v>1114</v>
      </c>
      <c r="J27" s="3" t="s">
        <v>1031</v>
      </c>
      <c r="K27" s="3" t="s">
        <v>63</v>
      </c>
      <c r="L27" s="3" t="s">
        <v>1060</v>
      </c>
      <c r="M27" s="3" t="s">
        <v>1148</v>
      </c>
      <c r="N27" s="3" t="s">
        <v>1112</v>
      </c>
      <c r="O27" s="2" t="str">
        <f t="shared" si="1"/>
        <v>50HCL</v>
      </c>
    </row>
    <row r="28" spans="3:15" x14ac:dyDescent="0.25">
      <c r="C28" s="3" t="s">
        <v>934</v>
      </c>
      <c r="D28" s="3" t="s">
        <v>935</v>
      </c>
      <c r="E28" s="3" t="s">
        <v>935</v>
      </c>
      <c r="F28" s="4">
        <v>7</v>
      </c>
      <c r="G28" s="3" t="s">
        <v>376</v>
      </c>
      <c r="H28" s="3" t="s">
        <v>38</v>
      </c>
      <c r="I28" s="3" t="s">
        <v>1110</v>
      </c>
      <c r="J28" s="3" t="s">
        <v>1046</v>
      </c>
      <c r="K28" s="3" t="s">
        <v>160</v>
      </c>
      <c r="L28" s="3" t="s">
        <v>1058</v>
      </c>
      <c r="M28" s="3" t="s">
        <v>1148</v>
      </c>
      <c r="N28" s="3" t="s">
        <v>984</v>
      </c>
      <c r="O28" s="2" t="str">
        <f t="shared" si="1"/>
        <v>50OLS</v>
      </c>
    </row>
    <row r="29" spans="3:15" x14ac:dyDescent="0.25">
      <c r="C29" s="3" t="s">
        <v>573</v>
      </c>
      <c r="D29" s="3" t="s">
        <v>574</v>
      </c>
      <c r="E29" s="3" t="s">
        <v>575</v>
      </c>
      <c r="F29" s="4">
        <v>7</v>
      </c>
      <c r="G29" s="3" t="s">
        <v>376</v>
      </c>
      <c r="H29" s="3" t="s">
        <v>38</v>
      </c>
      <c r="I29" s="3" t="s">
        <v>1114</v>
      </c>
      <c r="J29" s="3" t="s">
        <v>1046</v>
      </c>
      <c r="K29" s="3" t="s">
        <v>331</v>
      </c>
      <c r="L29" s="3" t="s">
        <v>1060</v>
      </c>
      <c r="M29" s="3" t="s">
        <v>1148</v>
      </c>
      <c r="N29" s="3" t="s">
        <v>984</v>
      </c>
      <c r="O29" s="2" t="str">
        <f t="shared" si="1"/>
        <v>50OTP</v>
      </c>
    </row>
    <row r="30" spans="3:15" x14ac:dyDescent="0.25">
      <c r="C30" s="3" t="s">
        <v>804</v>
      </c>
      <c r="D30" s="3" t="s">
        <v>805</v>
      </c>
      <c r="E30" s="3" t="s">
        <v>806</v>
      </c>
      <c r="F30" s="4">
        <v>6.68</v>
      </c>
      <c r="G30" s="3" t="s">
        <v>376</v>
      </c>
      <c r="H30" s="3" t="s">
        <v>38</v>
      </c>
      <c r="I30" s="3" t="s">
        <v>1114</v>
      </c>
      <c r="J30" s="3" t="s">
        <v>1046</v>
      </c>
      <c r="K30" s="3" t="s">
        <v>146</v>
      </c>
      <c r="L30" s="3" t="s">
        <v>1064</v>
      </c>
      <c r="M30" s="3" t="s">
        <v>1148</v>
      </c>
      <c r="N30" s="24" t="s">
        <v>1035</v>
      </c>
      <c r="O30" s="2" t="str">
        <f t="shared" si="1"/>
        <v>50OAL</v>
      </c>
    </row>
    <row r="31" spans="3:15" x14ac:dyDescent="0.25">
      <c r="C31" s="3" t="s">
        <v>618</v>
      </c>
      <c r="D31" s="3" t="s">
        <v>619</v>
      </c>
      <c r="E31" s="3" t="s">
        <v>619</v>
      </c>
      <c r="F31" s="4">
        <v>6.68</v>
      </c>
      <c r="G31" s="3" t="s">
        <v>376</v>
      </c>
      <c r="H31" s="3" t="s">
        <v>46</v>
      </c>
      <c r="I31" s="3" t="s">
        <v>1114</v>
      </c>
      <c r="J31" s="3" t="s">
        <v>1046</v>
      </c>
      <c r="K31" s="3" t="s">
        <v>50</v>
      </c>
      <c r="L31" s="3" t="s">
        <v>1064</v>
      </c>
      <c r="M31" s="3" t="s">
        <v>1149</v>
      </c>
      <c r="N31" s="3" t="s">
        <v>984</v>
      </c>
      <c r="O31" s="2" t="str">
        <f t="shared" si="1"/>
        <v>50UCH</v>
      </c>
    </row>
    <row r="32" spans="3:15" x14ac:dyDescent="0.25">
      <c r="C32" s="3" t="s">
        <v>419</v>
      </c>
      <c r="D32" s="3" t="s">
        <v>420</v>
      </c>
      <c r="E32" s="3" t="s">
        <v>64</v>
      </c>
      <c r="F32" s="4">
        <v>6</v>
      </c>
      <c r="G32" s="3" t="s">
        <v>376</v>
      </c>
      <c r="H32" s="3" t="s">
        <v>46</v>
      </c>
      <c r="I32" s="3" t="s">
        <v>1114</v>
      </c>
      <c r="J32" s="3" t="s">
        <v>1046</v>
      </c>
      <c r="K32" s="3" t="s">
        <v>94</v>
      </c>
      <c r="L32" s="3" t="s">
        <v>1065</v>
      </c>
      <c r="M32" s="3" t="s">
        <v>1149</v>
      </c>
      <c r="N32" s="24" t="s">
        <v>1035</v>
      </c>
      <c r="O32" s="2" t="str">
        <f t="shared" si="1"/>
        <v>50ARD</v>
      </c>
    </row>
    <row r="33" spans="3:15" x14ac:dyDescent="0.25">
      <c r="C33" s="3" t="s">
        <v>521</v>
      </c>
      <c r="D33" s="3" t="s">
        <v>522</v>
      </c>
      <c r="E33" s="3" t="s">
        <v>522</v>
      </c>
      <c r="F33" s="4">
        <v>6</v>
      </c>
      <c r="G33" s="3" t="s">
        <v>376</v>
      </c>
      <c r="H33" s="3" t="s">
        <v>46</v>
      </c>
      <c r="I33" s="3" t="s">
        <v>1111</v>
      </c>
      <c r="J33" s="3" t="s">
        <v>1046</v>
      </c>
      <c r="K33" s="3" t="s">
        <v>100</v>
      </c>
      <c r="L33" s="3" t="s">
        <v>1060</v>
      </c>
      <c r="M33" s="3" t="s">
        <v>1148</v>
      </c>
      <c r="N33" s="24" t="s">
        <v>1035</v>
      </c>
      <c r="O33" s="2" t="str">
        <f t="shared" si="1"/>
        <v>50ARE</v>
      </c>
    </row>
    <row r="34" spans="3:15" x14ac:dyDescent="0.25">
      <c r="C34" s="3" t="s">
        <v>844</v>
      </c>
      <c r="D34" s="3" t="s">
        <v>845</v>
      </c>
      <c r="E34" s="3" t="s">
        <v>846</v>
      </c>
      <c r="F34" s="4">
        <v>6</v>
      </c>
      <c r="G34" s="3" t="s">
        <v>376</v>
      </c>
      <c r="H34" s="3" t="s">
        <v>46</v>
      </c>
      <c r="I34" s="3" t="s">
        <v>1110</v>
      </c>
      <c r="J34" s="3" t="s">
        <v>1046</v>
      </c>
      <c r="K34" s="3" t="s">
        <v>132</v>
      </c>
      <c r="L34" s="3" t="s">
        <v>1060</v>
      </c>
      <c r="M34" s="3" t="s">
        <v>1148</v>
      </c>
      <c r="N34" s="24" t="s">
        <v>1035</v>
      </c>
      <c r="O34" s="2" t="str">
        <f t="shared" si="1"/>
        <v>50CPN</v>
      </c>
    </row>
    <row r="35" spans="3:15" x14ac:dyDescent="0.25">
      <c r="C35" s="3" t="s">
        <v>889</v>
      </c>
      <c r="D35" s="3" t="s">
        <v>890</v>
      </c>
      <c r="E35" s="3" t="s">
        <v>890</v>
      </c>
      <c r="F35" s="4">
        <v>6</v>
      </c>
      <c r="G35" s="3" t="s">
        <v>376</v>
      </c>
      <c r="H35" s="3" t="s">
        <v>46</v>
      </c>
      <c r="I35" s="3" t="s">
        <v>1114</v>
      </c>
      <c r="J35" s="3" t="s">
        <v>1046</v>
      </c>
      <c r="K35" s="3" t="s">
        <v>73</v>
      </c>
      <c r="L35" s="3" t="s">
        <v>1069</v>
      </c>
      <c r="M35" s="3" t="s">
        <v>1148</v>
      </c>
      <c r="N35" s="3" t="s">
        <v>378</v>
      </c>
      <c r="O35" s="2" t="str">
        <f t="shared" si="1"/>
        <v>50HSP</v>
      </c>
    </row>
    <row r="36" spans="3:15" x14ac:dyDescent="0.25">
      <c r="C36" s="3" t="s">
        <v>392</v>
      </c>
      <c r="D36" s="3" t="s">
        <v>393</v>
      </c>
      <c r="E36" s="3" t="s">
        <v>393</v>
      </c>
      <c r="F36" s="4">
        <v>6</v>
      </c>
      <c r="G36" s="3" t="s">
        <v>376</v>
      </c>
      <c r="H36" s="3" t="s">
        <v>46</v>
      </c>
      <c r="I36" s="3" t="s">
        <v>1110</v>
      </c>
      <c r="J36" s="3" t="s">
        <v>1031</v>
      </c>
      <c r="K36" s="3" t="s">
        <v>63</v>
      </c>
      <c r="L36" s="3" t="s">
        <v>1060</v>
      </c>
      <c r="M36" s="3" t="s">
        <v>1148</v>
      </c>
      <c r="N36" s="3" t="s">
        <v>1112</v>
      </c>
      <c r="O36" s="2" t="str">
        <f t="shared" si="1"/>
        <v>50NMT</v>
      </c>
    </row>
    <row r="37" spans="3:15" x14ac:dyDescent="0.25">
      <c r="C37" s="3" t="s">
        <v>703</v>
      </c>
      <c r="D37" s="3" t="s">
        <v>704</v>
      </c>
      <c r="E37" s="3" t="s">
        <v>1158</v>
      </c>
      <c r="F37" s="4">
        <v>8</v>
      </c>
      <c r="G37" s="3" t="s">
        <v>376</v>
      </c>
      <c r="H37" s="3" t="s">
        <v>38</v>
      </c>
      <c r="I37" s="3" t="s">
        <v>1111</v>
      </c>
      <c r="J37" s="3" t="s">
        <v>1031</v>
      </c>
      <c r="K37" s="3" t="s">
        <v>84</v>
      </c>
      <c r="L37" s="3" t="s">
        <v>1117</v>
      </c>
      <c r="M37" s="3" t="s">
        <v>1074</v>
      </c>
      <c r="N37" s="3" t="s">
        <v>378</v>
      </c>
      <c r="O37" s="2" t="str">
        <f t="shared" si="1"/>
        <v>50OCH</v>
      </c>
    </row>
    <row r="38" spans="3:15" x14ac:dyDescent="0.25">
      <c r="C38" s="3" t="s">
        <v>34</v>
      </c>
      <c r="D38" s="3" t="s">
        <v>35</v>
      </c>
      <c r="E38" s="3" t="s">
        <v>35</v>
      </c>
      <c r="F38" s="4">
        <v>6</v>
      </c>
      <c r="G38" s="3" t="s">
        <v>37</v>
      </c>
      <c r="H38" s="3" t="s">
        <v>38</v>
      </c>
      <c r="I38" s="3" t="s">
        <v>1114</v>
      </c>
      <c r="J38" s="3" t="s">
        <v>1046</v>
      </c>
      <c r="K38" s="3">
        <v>0</v>
      </c>
      <c r="L38" s="3" t="s">
        <v>1118</v>
      </c>
      <c r="M38" s="3" t="s">
        <v>1148</v>
      </c>
      <c r="N38" s="3" t="s">
        <v>1053</v>
      </c>
      <c r="O38" s="2" t="str">
        <f t="shared" si="1"/>
        <v>50OEM</v>
      </c>
    </row>
    <row r="39" spans="3:15" x14ac:dyDescent="0.25">
      <c r="C39" s="3" t="s">
        <v>424</v>
      </c>
      <c r="D39" s="3" t="s">
        <v>425</v>
      </c>
      <c r="E39" s="3" t="s">
        <v>1159</v>
      </c>
      <c r="F39" s="4">
        <v>8</v>
      </c>
      <c r="G39" s="3" t="s">
        <v>376</v>
      </c>
      <c r="H39" s="3" t="s">
        <v>38</v>
      </c>
      <c r="I39" s="3" t="s">
        <v>1110</v>
      </c>
      <c r="J39" s="3" t="s">
        <v>1046</v>
      </c>
      <c r="K39" s="3" t="s">
        <v>94</v>
      </c>
      <c r="L39" s="3" t="s">
        <v>1065</v>
      </c>
      <c r="M39" s="3" t="s">
        <v>1148</v>
      </c>
      <c r="N39" s="24" t="s">
        <v>1035</v>
      </c>
      <c r="O39" s="2" t="str">
        <f t="shared" si="1"/>
        <v>50OIR</v>
      </c>
    </row>
    <row r="40" spans="3:15" x14ac:dyDescent="0.25">
      <c r="C40" s="3" t="s">
        <v>471</v>
      </c>
      <c r="D40" s="3" t="s">
        <v>472</v>
      </c>
      <c r="E40" s="3" t="s">
        <v>473</v>
      </c>
      <c r="F40" s="4">
        <v>6</v>
      </c>
      <c r="G40" s="3" t="s">
        <v>376</v>
      </c>
      <c r="H40" s="3" t="s">
        <v>38</v>
      </c>
      <c r="I40" s="3" t="s">
        <v>1110</v>
      </c>
      <c r="J40" s="3" t="s">
        <v>1046</v>
      </c>
      <c r="K40" s="3" t="s">
        <v>58</v>
      </c>
      <c r="L40" s="3" t="s">
        <v>1059</v>
      </c>
      <c r="M40" s="3" t="s">
        <v>1148</v>
      </c>
      <c r="N40" s="3" t="s">
        <v>1053</v>
      </c>
      <c r="O40" s="2" t="str">
        <f t="shared" si="1"/>
        <v>50OPD</v>
      </c>
    </row>
    <row r="41" spans="3:15" x14ac:dyDescent="0.25">
      <c r="C41" s="3" t="s">
        <v>742</v>
      </c>
      <c r="D41" s="3" t="s">
        <v>744</v>
      </c>
      <c r="E41" s="14" t="s">
        <v>1160</v>
      </c>
      <c r="F41" s="4">
        <v>7</v>
      </c>
      <c r="G41" s="3" t="s">
        <v>376</v>
      </c>
      <c r="H41" s="3" t="s">
        <v>38</v>
      </c>
      <c r="I41" s="3" t="s">
        <v>1114</v>
      </c>
      <c r="J41" s="3" t="s">
        <v>1031</v>
      </c>
      <c r="K41" s="3" t="s">
        <v>1048</v>
      </c>
      <c r="L41" s="3" t="s">
        <v>1061</v>
      </c>
      <c r="M41" s="3" t="s">
        <v>1074</v>
      </c>
      <c r="N41" s="3" t="s">
        <v>378</v>
      </c>
      <c r="O41" s="2" t="str">
        <f t="shared" si="1"/>
        <v>50OQU</v>
      </c>
    </row>
    <row r="42" spans="3:15" x14ac:dyDescent="0.25">
      <c r="C42" s="3" t="s">
        <v>707</v>
      </c>
      <c r="D42" s="3" t="s">
        <v>706</v>
      </c>
      <c r="E42" s="3" t="s">
        <v>1161</v>
      </c>
      <c r="F42" s="4">
        <v>7</v>
      </c>
      <c r="G42" s="3" t="s">
        <v>376</v>
      </c>
      <c r="H42" s="3" t="s">
        <v>38</v>
      </c>
      <c r="I42" s="3" t="s">
        <v>1111</v>
      </c>
      <c r="J42" s="3" t="s">
        <v>1031</v>
      </c>
      <c r="K42" s="3" t="s">
        <v>84</v>
      </c>
      <c r="L42" s="3" t="s">
        <v>1117</v>
      </c>
      <c r="M42" s="3" t="s">
        <v>1074</v>
      </c>
      <c r="N42" s="3" t="s">
        <v>378</v>
      </c>
      <c r="O42" s="2" t="str">
        <f t="shared" si="1"/>
        <v>50OZA</v>
      </c>
    </row>
    <row r="43" spans="3:15" x14ac:dyDescent="0.25">
      <c r="C43" s="3" t="s">
        <v>394</v>
      </c>
      <c r="D43" s="3" t="s">
        <v>395</v>
      </c>
      <c r="E43" s="3" t="s">
        <v>395</v>
      </c>
      <c r="F43" s="4">
        <v>6</v>
      </c>
      <c r="G43" s="3" t="s">
        <v>376</v>
      </c>
      <c r="H43" s="3" t="s">
        <v>46</v>
      </c>
      <c r="I43" s="3" t="s">
        <v>1110</v>
      </c>
      <c r="J43" s="3" t="s">
        <v>1031</v>
      </c>
      <c r="K43" s="3" t="s">
        <v>63</v>
      </c>
      <c r="L43" s="3" t="s">
        <v>1060</v>
      </c>
      <c r="M43" s="3" t="s">
        <v>1148</v>
      </c>
      <c r="N43" s="3" t="s">
        <v>1112</v>
      </c>
      <c r="O43" s="2" t="str">
        <f t="shared" si="1"/>
        <v>50SLM</v>
      </c>
    </row>
    <row r="44" spans="3:15" x14ac:dyDescent="0.25">
      <c r="C44" s="3" t="s">
        <v>396</v>
      </c>
      <c r="D44" s="3" t="s">
        <v>397</v>
      </c>
      <c r="E44" s="3" t="s">
        <v>397</v>
      </c>
      <c r="F44" s="4">
        <v>6</v>
      </c>
      <c r="G44" s="3" t="s">
        <v>376</v>
      </c>
      <c r="H44" s="3" t="s">
        <v>46</v>
      </c>
      <c r="I44" s="3" t="s">
        <v>1110</v>
      </c>
      <c r="J44" s="3" t="s">
        <v>1031</v>
      </c>
      <c r="K44" s="3" t="s">
        <v>63</v>
      </c>
      <c r="L44" s="3" t="s">
        <v>1060</v>
      </c>
      <c r="M44" s="3" t="s">
        <v>1148</v>
      </c>
      <c r="N44" s="3" t="s">
        <v>1112</v>
      </c>
      <c r="O44" s="2" t="str">
        <f t="shared" si="1"/>
        <v>50VLX</v>
      </c>
    </row>
    <row r="45" spans="3:15" x14ac:dyDescent="0.25">
      <c r="C45" s="3" t="s">
        <v>848</v>
      </c>
      <c r="D45" s="3" t="s">
        <v>849</v>
      </c>
      <c r="E45" s="3" t="s">
        <v>849</v>
      </c>
      <c r="F45" s="4">
        <v>6.68</v>
      </c>
      <c r="G45" s="3" t="s">
        <v>376</v>
      </c>
      <c r="H45" s="3" t="s">
        <v>46</v>
      </c>
      <c r="I45" s="3" t="s">
        <v>1110</v>
      </c>
      <c r="J45" s="3" t="s">
        <v>1046</v>
      </c>
      <c r="K45" s="3" t="s">
        <v>132</v>
      </c>
      <c r="L45" s="3" t="s">
        <v>1060</v>
      </c>
      <c r="M45" s="3" t="s">
        <v>1148</v>
      </c>
      <c r="N45" s="24" t="s">
        <v>1035</v>
      </c>
      <c r="O45" s="2" t="str">
        <f t="shared" si="1"/>
        <v>50VOP</v>
      </c>
    </row>
    <row r="46" spans="3:15" x14ac:dyDescent="0.25">
      <c r="C46" s="3" t="s">
        <v>936</v>
      </c>
      <c r="D46" s="3" t="s">
        <v>937</v>
      </c>
      <c r="E46" s="3" t="s">
        <v>938</v>
      </c>
      <c r="F46" s="4">
        <v>6</v>
      </c>
      <c r="G46" s="3" t="s">
        <v>376</v>
      </c>
      <c r="H46" s="3" t="s">
        <v>81</v>
      </c>
      <c r="I46" s="3" t="s">
        <v>1110</v>
      </c>
      <c r="J46" s="3" t="s">
        <v>1046</v>
      </c>
      <c r="K46" s="3" t="s">
        <v>160</v>
      </c>
      <c r="L46" s="3" t="s">
        <v>1060</v>
      </c>
      <c r="M46" s="3" t="s">
        <v>1148</v>
      </c>
      <c r="N46" s="3" t="s">
        <v>984</v>
      </c>
      <c r="O46" s="2" t="str">
        <f t="shared" si="1"/>
        <v>5033F</v>
      </c>
    </row>
    <row r="47" spans="3:15" x14ac:dyDescent="0.25">
      <c r="C47" s="3" t="s">
        <v>939</v>
      </c>
      <c r="D47" s="3" t="s">
        <v>39</v>
      </c>
      <c r="E47" s="3" t="s">
        <v>39</v>
      </c>
      <c r="F47" s="4">
        <v>6.68</v>
      </c>
      <c r="G47" s="3" t="s">
        <v>376</v>
      </c>
      <c r="H47" s="3" t="s">
        <v>46</v>
      </c>
      <c r="I47" s="3" t="s">
        <v>1111</v>
      </c>
      <c r="J47" s="3" t="s">
        <v>1046</v>
      </c>
      <c r="K47" s="3" t="s">
        <v>160</v>
      </c>
      <c r="L47" s="3" t="s">
        <v>1118</v>
      </c>
      <c r="M47" s="3" t="s">
        <v>1148</v>
      </c>
      <c r="N47" s="3" t="s">
        <v>984</v>
      </c>
      <c r="O47" s="2" t="str">
        <f t="shared" si="1"/>
        <v>50BJT</v>
      </c>
    </row>
    <row r="48" spans="3:15" x14ac:dyDescent="0.25">
      <c r="C48" s="3" t="s">
        <v>44</v>
      </c>
      <c r="D48" s="3" t="s">
        <v>45</v>
      </c>
      <c r="E48" s="3" t="s">
        <v>1162</v>
      </c>
      <c r="F48" s="4">
        <v>5</v>
      </c>
      <c r="G48" s="3" t="s">
        <v>37</v>
      </c>
      <c r="H48" s="3" t="s">
        <v>46</v>
      </c>
      <c r="I48" s="3" t="s">
        <v>1120</v>
      </c>
      <c r="J48" s="3" t="s">
        <v>1046</v>
      </c>
      <c r="K48" s="3">
        <v>0</v>
      </c>
      <c r="L48" s="3" t="s">
        <v>1072</v>
      </c>
      <c r="M48" s="3" t="s">
        <v>1148</v>
      </c>
      <c r="N48" s="3" t="s">
        <v>1053</v>
      </c>
      <c r="O48" s="2" t="str">
        <f t="shared" si="1"/>
        <v>50BPT</v>
      </c>
    </row>
    <row r="49" spans="3:15" x14ac:dyDescent="0.25">
      <c r="C49" s="3" t="s">
        <v>940</v>
      </c>
      <c r="D49" s="3" t="s">
        <v>941</v>
      </c>
      <c r="E49" s="3" t="s">
        <v>941</v>
      </c>
      <c r="F49" s="4">
        <v>6</v>
      </c>
      <c r="G49" s="3" t="s">
        <v>376</v>
      </c>
      <c r="H49" s="3" t="s">
        <v>81</v>
      </c>
      <c r="I49" s="3" t="s">
        <v>1111</v>
      </c>
      <c r="J49" s="3" t="s">
        <v>1046</v>
      </c>
      <c r="K49" s="3" t="s">
        <v>160</v>
      </c>
      <c r="L49" s="3" t="s">
        <v>1073</v>
      </c>
      <c r="M49" s="3" t="s">
        <v>1149</v>
      </c>
      <c r="N49" s="3" t="s">
        <v>984</v>
      </c>
      <c r="O49" s="2" t="str">
        <f t="shared" si="1"/>
        <v>50BRI</v>
      </c>
    </row>
    <row r="50" spans="3:15" x14ac:dyDescent="0.25">
      <c r="C50" s="3" t="s">
        <v>850</v>
      </c>
      <c r="D50" s="3" t="s">
        <v>851</v>
      </c>
      <c r="E50" s="3" t="s">
        <v>851</v>
      </c>
      <c r="F50" s="4">
        <v>6</v>
      </c>
      <c r="G50" s="3" t="s">
        <v>376</v>
      </c>
      <c r="H50" s="3" t="s">
        <v>46</v>
      </c>
      <c r="I50" s="3" t="s">
        <v>1114</v>
      </c>
      <c r="J50" s="3" t="s">
        <v>1046</v>
      </c>
      <c r="K50" s="3" t="s">
        <v>132</v>
      </c>
      <c r="L50" s="3" t="s">
        <v>1060</v>
      </c>
      <c r="M50" s="3" t="s">
        <v>1148</v>
      </c>
      <c r="N50" s="24" t="s">
        <v>1035</v>
      </c>
      <c r="O50" s="2" t="str">
        <f t="shared" si="1"/>
        <v>50CLC</v>
      </c>
    </row>
    <row r="51" spans="3:15" x14ac:dyDescent="0.25">
      <c r="C51" s="3" t="s">
        <v>474</v>
      </c>
      <c r="D51" s="3" t="s">
        <v>475</v>
      </c>
      <c r="E51" s="3" t="s">
        <v>475</v>
      </c>
      <c r="F51" s="4">
        <v>6</v>
      </c>
      <c r="G51" s="3" t="s">
        <v>376</v>
      </c>
      <c r="H51" s="3" t="s">
        <v>46</v>
      </c>
      <c r="I51" s="3" t="s">
        <v>1114</v>
      </c>
      <c r="J51" s="3" t="s">
        <v>1046</v>
      </c>
      <c r="K51" s="3" t="s">
        <v>58</v>
      </c>
      <c r="L51" s="3" t="s">
        <v>1059</v>
      </c>
      <c r="M51" s="3" t="s">
        <v>1149</v>
      </c>
      <c r="N51" s="3" t="s">
        <v>1112</v>
      </c>
      <c r="O51" s="2" t="str">
        <f t="shared" si="1"/>
        <v>50CQD</v>
      </c>
    </row>
    <row r="52" spans="3:15" x14ac:dyDescent="0.25">
      <c r="C52" s="3" t="s">
        <v>555</v>
      </c>
      <c r="D52" s="3" t="s">
        <v>556</v>
      </c>
      <c r="E52" s="3" t="s">
        <v>556</v>
      </c>
      <c r="F52" s="4">
        <v>6</v>
      </c>
      <c r="G52" s="3" t="s">
        <v>376</v>
      </c>
      <c r="H52" s="3" t="s">
        <v>46</v>
      </c>
      <c r="I52" s="3" t="s">
        <v>1110</v>
      </c>
      <c r="J52" s="3" t="s">
        <v>1046</v>
      </c>
      <c r="K52" s="3" t="s">
        <v>331</v>
      </c>
      <c r="L52" s="3" t="s">
        <v>1060</v>
      </c>
      <c r="M52" s="3" t="s">
        <v>1148</v>
      </c>
      <c r="N52" s="3" t="s">
        <v>984</v>
      </c>
      <c r="O52" s="2" t="str">
        <f t="shared" si="1"/>
        <v>50HEN</v>
      </c>
    </row>
    <row r="53" spans="3:15" x14ac:dyDescent="0.25">
      <c r="C53" s="3" t="s">
        <v>745</v>
      </c>
      <c r="D53" s="3" t="s">
        <v>746</v>
      </c>
      <c r="E53" s="3" t="s">
        <v>1163</v>
      </c>
      <c r="F53" s="4">
        <v>7</v>
      </c>
      <c r="G53" s="3" t="s">
        <v>376</v>
      </c>
      <c r="H53" s="3" t="s">
        <v>46</v>
      </c>
      <c r="I53" s="3" t="s">
        <v>1114</v>
      </c>
      <c r="J53" s="3" t="s">
        <v>1031</v>
      </c>
      <c r="K53" s="3" t="s">
        <v>1048</v>
      </c>
      <c r="L53" s="3" t="s">
        <v>1074</v>
      </c>
      <c r="M53" s="3" t="s">
        <v>1074</v>
      </c>
      <c r="N53" s="3" t="s">
        <v>378</v>
      </c>
      <c r="O53" s="2" t="str">
        <f t="shared" si="1"/>
        <v>50HIS</v>
      </c>
    </row>
    <row r="54" spans="3:15" x14ac:dyDescent="0.25">
      <c r="C54" s="3" t="s">
        <v>656</v>
      </c>
      <c r="D54" s="3" t="s">
        <v>657</v>
      </c>
      <c r="E54" s="3" t="s">
        <v>658</v>
      </c>
      <c r="F54" s="4">
        <v>6</v>
      </c>
      <c r="G54" s="3" t="s">
        <v>376</v>
      </c>
      <c r="H54" s="3" t="s">
        <v>46</v>
      </c>
      <c r="I54" s="3" t="s">
        <v>1110</v>
      </c>
      <c r="J54" s="3" t="s">
        <v>1046</v>
      </c>
      <c r="K54" s="3" t="s">
        <v>248</v>
      </c>
      <c r="L54" s="3" t="s">
        <v>1059</v>
      </c>
      <c r="M54" s="3" t="s">
        <v>1149</v>
      </c>
      <c r="N54" s="3" t="s">
        <v>1112</v>
      </c>
      <c r="O54" s="2" t="str">
        <f t="shared" si="1"/>
        <v>50NBN</v>
      </c>
    </row>
    <row r="55" spans="3:15" x14ac:dyDescent="0.25">
      <c r="C55" s="3" t="s">
        <v>523</v>
      </c>
      <c r="D55" s="3" t="s">
        <v>524</v>
      </c>
      <c r="E55" s="3" t="s">
        <v>524</v>
      </c>
      <c r="F55" s="4">
        <v>6</v>
      </c>
      <c r="G55" s="3" t="s">
        <v>376</v>
      </c>
      <c r="H55" s="3" t="s">
        <v>46</v>
      </c>
      <c r="I55" s="3" t="s">
        <v>1111</v>
      </c>
      <c r="J55" s="3" t="s">
        <v>1046</v>
      </c>
      <c r="K55" s="3" t="s">
        <v>100</v>
      </c>
      <c r="L55" s="3" t="s">
        <v>1060</v>
      </c>
      <c r="M55" s="3" t="s">
        <v>1148</v>
      </c>
      <c r="N55" s="3" t="s">
        <v>984</v>
      </c>
      <c r="O55" s="2" t="str">
        <f t="shared" si="1"/>
        <v>50OCT</v>
      </c>
    </row>
    <row r="56" spans="3:15" x14ac:dyDescent="0.25">
      <c r="C56" s="3" t="s">
        <v>476</v>
      </c>
      <c r="D56" s="3" t="s">
        <v>477</v>
      </c>
      <c r="E56" s="3" t="s">
        <v>477</v>
      </c>
      <c r="F56" s="4">
        <v>6</v>
      </c>
      <c r="G56" s="3" t="s">
        <v>376</v>
      </c>
      <c r="H56" s="3" t="s">
        <v>46</v>
      </c>
      <c r="I56" s="3" t="s">
        <v>1110</v>
      </c>
      <c r="J56" s="3" t="s">
        <v>1046</v>
      </c>
      <c r="K56" s="3" t="s">
        <v>58</v>
      </c>
      <c r="L56" s="3" t="s">
        <v>1059</v>
      </c>
      <c r="M56" s="3" t="s">
        <v>1149</v>
      </c>
      <c r="N56" s="3" t="s">
        <v>1112</v>
      </c>
      <c r="O56" s="2" t="str">
        <f t="shared" si="1"/>
        <v>50OPH</v>
      </c>
    </row>
    <row r="57" spans="3:15" x14ac:dyDescent="0.25">
      <c r="C57" s="3" t="s">
        <v>659</v>
      </c>
      <c r="D57" s="3" t="s">
        <v>660</v>
      </c>
      <c r="E57" s="3" t="s">
        <v>661</v>
      </c>
      <c r="F57" s="4">
        <v>6</v>
      </c>
      <c r="G57" s="3" t="s">
        <v>376</v>
      </c>
      <c r="H57" s="3" t="s">
        <v>81</v>
      </c>
      <c r="I57" s="3" t="s">
        <v>1110</v>
      </c>
      <c r="J57" s="3" t="s">
        <v>1046</v>
      </c>
      <c r="K57" s="3" t="s">
        <v>248</v>
      </c>
      <c r="L57" s="3" t="s">
        <v>1059</v>
      </c>
      <c r="M57" s="3" t="s">
        <v>1149</v>
      </c>
      <c r="N57" s="3" t="s">
        <v>1112</v>
      </c>
      <c r="O57" s="2" t="str">
        <f t="shared" si="1"/>
        <v>50XUH</v>
      </c>
    </row>
    <row r="58" spans="3:15" x14ac:dyDescent="0.25">
      <c r="C58" s="3" t="s">
        <v>644</v>
      </c>
      <c r="D58" s="3" t="s">
        <v>645</v>
      </c>
      <c r="E58" s="3" t="s">
        <v>645</v>
      </c>
      <c r="F58" s="4">
        <v>6</v>
      </c>
      <c r="G58" s="3" t="s">
        <v>376</v>
      </c>
      <c r="H58" s="3" t="s">
        <v>81</v>
      </c>
      <c r="I58" s="3" t="s">
        <v>1114</v>
      </c>
      <c r="J58" s="3" t="s">
        <v>1046</v>
      </c>
      <c r="K58" s="3" t="s">
        <v>50</v>
      </c>
      <c r="L58" s="3" t="s">
        <v>1059</v>
      </c>
      <c r="M58" s="3" t="s">
        <v>1148</v>
      </c>
      <c r="N58" s="3" t="s">
        <v>984</v>
      </c>
      <c r="O58" s="2" t="str">
        <f t="shared" si="1"/>
        <v>508R8</v>
      </c>
    </row>
    <row r="59" spans="3:15" x14ac:dyDescent="0.25">
      <c r="C59" s="3" t="s">
        <v>398</v>
      </c>
      <c r="D59" s="3" t="s">
        <v>399</v>
      </c>
      <c r="E59" s="3" t="s">
        <v>399</v>
      </c>
      <c r="F59" s="4">
        <v>6</v>
      </c>
      <c r="G59" s="3" t="s">
        <v>376</v>
      </c>
      <c r="H59" s="3" t="s">
        <v>46</v>
      </c>
      <c r="I59" s="3" t="s">
        <v>1110</v>
      </c>
      <c r="J59" s="3" t="s">
        <v>1031</v>
      </c>
      <c r="K59" s="3" t="s">
        <v>63</v>
      </c>
      <c r="L59" s="3" t="s">
        <v>1060</v>
      </c>
      <c r="M59" s="3" t="s">
        <v>1148</v>
      </c>
      <c r="N59" s="3" t="s">
        <v>1112</v>
      </c>
      <c r="O59" s="2" t="str">
        <f t="shared" si="1"/>
        <v>50EFO</v>
      </c>
    </row>
    <row r="60" spans="3:15" x14ac:dyDescent="0.25">
      <c r="C60" s="3" t="s">
        <v>634</v>
      </c>
      <c r="D60" s="3" t="s">
        <v>635</v>
      </c>
      <c r="E60" s="3" t="s">
        <v>635</v>
      </c>
      <c r="F60" s="4">
        <v>6</v>
      </c>
      <c r="G60" s="3" t="s">
        <v>376</v>
      </c>
      <c r="H60" s="3" t="s">
        <v>46</v>
      </c>
      <c r="I60" s="3" t="s">
        <v>1114</v>
      </c>
      <c r="J60" s="3" t="s">
        <v>1046</v>
      </c>
      <c r="K60" s="3" t="s">
        <v>50</v>
      </c>
      <c r="L60" s="3" t="s">
        <v>1064</v>
      </c>
      <c r="M60" s="3" t="s">
        <v>1149</v>
      </c>
      <c r="N60" s="3" t="s">
        <v>984</v>
      </c>
      <c r="O60" s="2" t="str">
        <f t="shared" si="1"/>
        <v>50MPC</v>
      </c>
    </row>
    <row r="61" spans="3:15" x14ac:dyDescent="0.25">
      <c r="C61" s="3" t="s">
        <v>558</v>
      </c>
      <c r="D61" s="3" t="s">
        <v>559</v>
      </c>
      <c r="E61" s="3" t="s">
        <v>560</v>
      </c>
      <c r="F61" s="4">
        <v>6</v>
      </c>
      <c r="G61" s="3" t="s">
        <v>376</v>
      </c>
      <c r="H61" s="3" t="s">
        <v>38</v>
      </c>
      <c r="I61" s="3" t="s">
        <v>1114</v>
      </c>
      <c r="J61" s="3" t="s">
        <v>1046</v>
      </c>
      <c r="K61" s="3" t="s">
        <v>331</v>
      </c>
      <c r="L61" s="3" t="s">
        <v>1060</v>
      </c>
      <c r="M61" s="3" t="s">
        <v>1148</v>
      </c>
      <c r="N61" s="3" t="s">
        <v>984</v>
      </c>
      <c r="O61" s="2" t="str">
        <f t="shared" si="1"/>
        <v>50ONL</v>
      </c>
    </row>
    <row r="62" spans="3:15" x14ac:dyDescent="0.25">
      <c r="C62" s="3" t="s">
        <v>561</v>
      </c>
      <c r="D62" s="3" t="s">
        <v>562</v>
      </c>
      <c r="E62" s="3" t="s">
        <v>563</v>
      </c>
      <c r="F62" s="4">
        <v>6</v>
      </c>
      <c r="G62" s="3" t="s">
        <v>376</v>
      </c>
      <c r="H62" s="3" t="s">
        <v>38</v>
      </c>
      <c r="I62" s="3" t="s">
        <v>1114</v>
      </c>
      <c r="J62" s="3" t="s">
        <v>1046</v>
      </c>
      <c r="K62" s="3" t="s">
        <v>331</v>
      </c>
      <c r="L62" s="3" t="s">
        <v>1060</v>
      </c>
      <c r="M62" s="3" t="s">
        <v>1148</v>
      </c>
      <c r="N62" s="3" t="s">
        <v>984</v>
      </c>
      <c r="O62" s="2" t="str">
        <f t="shared" si="1"/>
        <v>50ORN</v>
      </c>
    </row>
    <row r="63" spans="3:15" x14ac:dyDescent="0.25">
      <c r="C63" s="3" t="s">
        <v>478</v>
      </c>
      <c r="D63" s="3" t="s">
        <v>479</v>
      </c>
      <c r="E63" s="3" t="s">
        <v>479</v>
      </c>
      <c r="F63" s="4">
        <v>6</v>
      </c>
      <c r="G63" s="3" t="s">
        <v>376</v>
      </c>
      <c r="H63" s="3" t="s">
        <v>81</v>
      </c>
      <c r="I63" s="3" t="s">
        <v>1114</v>
      </c>
      <c r="J63" s="3" t="s">
        <v>1046</v>
      </c>
      <c r="K63" s="3" t="s">
        <v>58</v>
      </c>
      <c r="L63" s="3" t="s">
        <v>1059</v>
      </c>
      <c r="M63" s="3" t="s">
        <v>1149</v>
      </c>
      <c r="N63" s="3" t="s">
        <v>1112</v>
      </c>
      <c r="O63" s="2" t="str">
        <f t="shared" si="1"/>
        <v>50Q3X</v>
      </c>
    </row>
    <row r="64" spans="3:15" x14ac:dyDescent="0.25">
      <c r="C64" s="3" t="s">
        <v>852</v>
      </c>
      <c r="D64" s="3" t="s">
        <v>853</v>
      </c>
      <c r="E64" s="3" t="s">
        <v>853</v>
      </c>
      <c r="F64" s="4">
        <v>6</v>
      </c>
      <c r="G64" s="3" t="s">
        <v>376</v>
      </c>
      <c r="H64" s="3" t="s">
        <v>46</v>
      </c>
      <c r="I64" s="3" t="s">
        <v>1110</v>
      </c>
      <c r="J64" s="3" t="s">
        <v>1046</v>
      </c>
      <c r="K64" s="3" t="s">
        <v>132</v>
      </c>
      <c r="L64" s="3" t="s">
        <v>1060</v>
      </c>
      <c r="M64" s="3" t="s">
        <v>1148</v>
      </c>
      <c r="N64" s="24" t="s">
        <v>1035</v>
      </c>
      <c r="O64" s="2" t="str">
        <f t="shared" si="1"/>
        <v>50UXA</v>
      </c>
    </row>
    <row r="65" spans="3:15" x14ac:dyDescent="0.25">
      <c r="C65" s="3" t="s">
        <v>426</v>
      </c>
      <c r="D65" s="3" t="s">
        <v>427</v>
      </c>
      <c r="E65" s="3" t="s">
        <v>428</v>
      </c>
      <c r="F65" s="4">
        <v>5.45</v>
      </c>
      <c r="G65" s="3" t="s">
        <v>376</v>
      </c>
      <c r="H65" s="3" t="s">
        <v>38</v>
      </c>
      <c r="I65" s="3" t="s">
        <v>1110</v>
      </c>
      <c r="J65" s="3" t="s">
        <v>1046</v>
      </c>
      <c r="K65" s="3" t="s">
        <v>94</v>
      </c>
      <c r="L65" s="3" t="s">
        <v>1065</v>
      </c>
      <c r="M65" s="3" t="s">
        <v>1148</v>
      </c>
      <c r="N65" s="24" t="s">
        <v>1035</v>
      </c>
      <c r="O65" s="2" t="str">
        <f t="shared" si="1"/>
        <v>50OBN</v>
      </c>
    </row>
    <row r="66" spans="3:15" x14ac:dyDescent="0.25">
      <c r="C66" s="3" t="s">
        <v>769</v>
      </c>
      <c r="D66" s="3" t="s">
        <v>771</v>
      </c>
      <c r="E66" s="3" t="s">
        <v>771</v>
      </c>
      <c r="F66" s="4">
        <v>5.9</v>
      </c>
      <c r="G66" s="3" t="s">
        <v>376</v>
      </c>
      <c r="H66" s="3" t="s">
        <v>38</v>
      </c>
      <c r="I66" s="3" t="s">
        <v>1114</v>
      </c>
      <c r="J66" s="3" t="s">
        <v>1031</v>
      </c>
      <c r="K66" s="3" t="s">
        <v>89</v>
      </c>
      <c r="L66" s="3" t="s">
        <v>1075</v>
      </c>
      <c r="M66" s="3" t="s">
        <v>1076</v>
      </c>
      <c r="N66" s="3" t="s">
        <v>378</v>
      </c>
      <c r="O66" s="2" t="str">
        <f t="shared" si="1"/>
        <v>50OCA</v>
      </c>
    </row>
    <row r="67" spans="3:15" x14ac:dyDescent="0.25">
      <c r="C67" s="3" t="s">
        <v>942</v>
      </c>
      <c r="D67" s="3" t="s">
        <v>944</v>
      </c>
      <c r="E67" s="3" t="s">
        <v>1164</v>
      </c>
      <c r="F67" s="4">
        <v>6.9</v>
      </c>
      <c r="G67" s="3" t="s">
        <v>376</v>
      </c>
      <c r="H67" s="3" t="s">
        <v>38</v>
      </c>
      <c r="I67" s="3" t="s">
        <v>1111</v>
      </c>
      <c r="J67" s="3" t="s">
        <v>1046</v>
      </c>
      <c r="K67" s="3" t="s">
        <v>160</v>
      </c>
      <c r="L67" s="3" t="s">
        <v>1073</v>
      </c>
      <c r="M67" s="3" t="s">
        <v>1148</v>
      </c>
      <c r="N67" s="3" t="s">
        <v>984</v>
      </c>
      <c r="O67" s="2" t="str">
        <f t="shared" si="1"/>
        <v>50OCO</v>
      </c>
    </row>
    <row r="68" spans="3:15" x14ac:dyDescent="0.25">
      <c r="C68" s="3" t="s">
        <v>525</v>
      </c>
      <c r="D68" s="3" t="s">
        <v>526</v>
      </c>
      <c r="E68" s="3" t="s">
        <v>1165</v>
      </c>
      <c r="F68" s="4">
        <v>5.9</v>
      </c>
      <c r="G68" s="3" t="s">
        <v>376</v>
      </c>
      <c r="H68" s="3" t="s">
        <v>38</v>
      </c>
      <c r="I68" s="3" t="s">
        <v>1111</v>
      </c>
      <c r="J68" s="3" t="s">
        <v>1046</v>
      </c>
      <c r="K68" s="3" t="s">
        <v>100</v>
      </c>
      <c r="L68" s="3" t="s">
        <v>1060</v>
      </c>
      <c r="M68" s="3" t="s">
        <v>1148</v>
      </c>
      <c r="N68" s="24" t="s">
        <v>1035</v>
      </c>
      <c r="O68" s="2" t="str">
        <f t="shared" ref="O68:O131" si="2">C68</f>
        <v>50OCR</v>
      </c>
    </row>
    <row r="69" spans="3:15" x14ac:dyDescent="0.25">
      <c r="C69" s="3" t="s">
        <v>48</v>
      </c>
      <c r="D69" s="3" t="s">
        <v>49</v>
      </c>
      <c r="E69" s="3" t="s">
        <v>49</v>
      </c>
      <c r="F69" s="4">
        <v>5.9</v>
      </c>
      <c r="G69" s="3" t="s">
        <v>37</v>
      </c>
      <c r="H69" s="3" t="s">
        <v>38</v>
      </c>
      <c r="I69" s="3" t="s">
        <v>1111</v>
      </c>
      <c r="J69" s="3" t="s">
        <v>1046</v>
      </c>
      <c r="K69" s="3" t="s">
        <v>50</v>
      </c>
      <c r="L69" s="3" t="s">
        <v>1059</v>
      </c>
      <c r="M69" s="3" t="s">
        <v>1148</v>
      </c>
      <c r="N69" s="3" t="s">
        <v>984</v>
      </c>
      <c r="O69" s="2" t="str">
        <f t="shared" si="2"/>
        <v>50ODA</v>
      </c>
    </row>
    <row r="70" spans="3:15" x14ac:dyDescent="0.25">
      <c r="C70" s="3" t="s">
        <v>52</v>
      </c>
      <c r="D70" s="3" t="s">
        <v>53</v>
      </c>
      <c r="E70" s="3" t="s">
        <v>53</v>
      </c>
      <c r="F70" s="4">
        <v>5.9</v>
      </c>
      <c r="G70" s="3" t="s">
        <v>987</v>
      </c>
      <c r="H70" s="3" t="s">
        <v>38</v>
      </c>
      <c r="I70" s="3" t="s">
        <v>1111</v>
      </c>
      <c r="J70" s="3" t="s">
        <v>1046</v>
      </c>
      <c r="K70" s="3">
        <v>0</v>
      </c>
      <c r="L70" s="3" t="s">
        <v>1061</v>
      </c>
      <c r="M70" s="3" t="s">
        <v>1074</v>
      </c>
      <c r="N70" s="3" t="s">
        <v>1053</v>
      </c>
      <c r="O70" s="2" t="str">
        <f t="shared" si="2"/>
        <v>50ODP</v>
      </c>
    </row>
    <row r="71" spans="3:15" x14ac:dyDescent="0.25">
      <c r="C71" s="3" t="s">
        <v>528</v>
      </c>
      <c r="D71" s="3" t="s">
        <v>530</v>
      </c>
      <c r="E71" s="3" t="s">
        <v>530</v>
      </c>
      <c r="F71" s="4">
        <v>5.9</v>
      </c>
      <c r="G71" s="3" t="s">
        <v>376</v>
      </c>
      <c r="H71" s="3" t="s">
        <v>38</v>
      </c>
      <c r="I71" s="3" t="s">
        <v>1111</v>
      </c>
      <c r="J71" s="3" t="s">
        <v>1046</v>
      </c>
      <c r="K71" s="3" t="s">
        <v>100</v>
      </c>
      <c r="L71" s="3" t="s">
        <v>1065</v>
      </c>
      <c r="M71" s="3" t="s">
        <v>1148</v>
      </c>
      <c r="N71" s="24" t="s">
        <v>1035</v>
      </c>
      <c r="O71" s="2" t="str">
        <f t="shared" si="2"/>
        <v>50OEP</v>
      </c>
    </row>
    <row r="72" spans="3:15" x14ac:dyDescent="0.25">
      <c r="C72" s="3" t="s">
        <v>854</v>
      </c>
      <c r="D72" s="3" t="s">
        <v>982</v>
      </c>
      <c r="E72" s="3" t="s">
        <v>1166</v>
      </c>
      <c r="F72" s="4">
        <v>6.45</v>
      </c>
      <c r="G72" s="3" t="s">
        <v>376</v>
      </c>
      <c r="H72" s="3" t="s">
        <v>38</v>
      </c>
      <c r="I72" s="3" t="s">
        <v>1111</v>
      </c>
      <c r="J72" s="3" t="s">
        <v>1046</v>
      </c>
      <c r="K72" s="3" t="s">
        <v>132</v>
      </c>
      <c r="L72" s="3" t="s">
        <v>1077</v>
      </c>
      <c r="M72" s="3" t="s">
        <v>1148</v>
      </c>
      <c r="N72" s="24" t="s">
        <v>1035</v>
      </c>
      <c r="O72" s="2" t="str">
        <f t="shared" si="2"/>
        <v>50OER</v>
      </c>
    </row>
    <row r="73" spans="3:15" x14ac:dyDescent="0.25">
      <c r="C73" s="3" t="s">
        <v>531</v>
      </c>
      <c r="D73" s="3" t="s">
        <v>533</v>
      </c>
      <c r="E73" s="3" t="s">
        <v>1167</v>
      </c>
      <c r="F73" s="4">
        <v>5.9</v>
      </c>
      <c r="G73" s="3" t="s">
        <v>376</v>
      </c>
      <c r="H73" s="3" t="s">
        <v>38</v>
      </c>
      <c r="I73" s="3" t="s">
        <v>1110</v>
      </c>
      <c r="J73" s="3" t="s">
        <v>1046</v>
      </c>
      <c r="K73" s="3" t="s">
        <v>100</v>
      </c>
      <c r="L73" s="3" t="s">
        <v>1060</v>
      </c>
      <c r="M73" s="3" t="s">
        <v>1148</v>
      </c>
      <c r="N73" s="24" t="s">
        <v>1035</v>
      </c>
      <c r="O73" s="2" t="str">
        <f t="shared" si="2"/>
        <v>50OHM</v>
      </c>
    </row>
    <row r="74" spans="3:15" x14ac:dyDescent="0.25">
      <c r="C74" s="3" t="s">
        <v>945</v>
      </c>
      <c r="D74" s="3" t="s">
        <v>946</v>
      </c>
      <c r="E74" s="3" t="s">
        <v>947</v>
      </c>
      <c r="F74" s="4">
        <v>5.9</v>
      </c>
      <c r="G74" s="3" t="s">
        <v>376</v>
      </c>
      <c r="H74" s="3" t="s">
        <v>38</v>
      </c>
      <c r="I74" s="3" t="s">
        <v>1110</v>
      </c>
      <c r="J74" s="3" t="s">
        <v>1046</v>
      </c>
      <c r="K74" s="3" t="s">
        <v>160</v>
      </c>
      <c r="L74" s="3" t="s">
        <v>1073</v>
      </c>
      <c r="M74" s="3" t="s">
        <v>1148</v>
      </c>
      <c r="N74" s="3" t="s">
        <v>984</v>
      </c>
      <c r="O74" s="2" t="str">
        <f t="shared" si="2"/>
        <v>50OIN</v>
      </c>
    </row>
    <row r="75" spans="3:15" x14ac:dyDescent="0.25">
      <c r="C75" s="3" t="s">
        <v>773</v>
      </c>
      <c r="D75" s="3" t="s">
        <v>775</v>
      </c>
      <c r="E75" s="3" t="s">
        <v>775</v>
      </c>
      <c r="F75" s="4">
        <v>5.68</v>
      </c>
      <c r="G75" s="3" t="s">
        <v>376</v>
      </c>
      <c r="H75" s="3" t="s">
        <v>38</v>
      </c>
      <c r="I75" s="3" t="s">
        <v>1111</v>
      </c>
      <c r="J75" s="3" t="s">
        <v>1031</v>
      </c>
      <c r="K75" s="3" t="s">
        <v>89</v>
      </c>
      <c r="L75" s="3" t="s">
        <v>1078</v>
      </c>
      <c r="M75" s="3" t="s">
        <v>1076</v>
      </c>
      <c r="N75" s="3" t="s">
        <v>378</v>
      </c>
      <c r="O75" s="2" t="str">
        <f t="shared" si="2"/>
        <v>50OKA</v>
      </c>
    </row>
    <row r="76" spans="3:15" x14ac:dyDescent="0.25">
      <c r="C76" s="3" t="s">
        <v>662</v>
      </c>
      <c r="D76" s="3" t="s">
        <v>664</v>
      </c>
      <c r="E76" s="3" t="s">
        <v>1168</v>
      </c>
      <c r="F76" s="4">
        <v>6.13</v>
      </c>
      <c r="G76" s="3" t="s">
        <v>376</v>
      </c>
      <c r="H76" s="3" t="s">
        <v>38</v>
      </c>
      <c r="I76" s="3" t="s">
        <v>1111</v>
      </c>
      <c r="J76" s="3" t="s">
        <v>1046</v>
      </c>
      <c r="K76" s="3" t="s">
        <v>248</v>
      </c>
      <c r="L76" s="3" t="s">
        <v>1059</v>
      </c>
      <c r="M76" s="3" t="s">
        <v>1148</v>
      </c>
      <c r="N76" s="3" t="s">
        <v>1112</v>
      </c>
      <c r="O76" s="2" t="str">
        <f t="shared" si="2"/>
        <v>50OLT</v>
      </c>
    </row>
    <row r="77" spans="3:15" x14ac:dyDescent="0.25">
      <c r="C77" s="3" t="s">
        <v>56</v>
      </c>
      <c r="D77" s="3" t="s">
        <v>57</v>
      </c>
      <c r="E77" s="3" t="s">
        <v>57</v>
      </c>
      <c r="F77" s="4">
        <v>5.9</v>
      </c>
      <c r="G77" s="3" t="s">
        <v>37</v>
      </c>
      <c r="H77" s="3" t="s">
        <v>38</v>
      </c>
      <c r="I77" s="3" t="s">
        <v>1114</v>
      </c>
      <c r="J77" s="3" t="s">
        <v>1046</v>
      </c>
      <c r="K77" s="3" t="s">
        <v>58</v>
      </c>
      <c r="L77" s="3" t="s">
        <v>1064</v>
      </c>
      <c r="M77" s="3" t="s">
        <v>1148</v>
      </c>
      <c r="N77" s="3" t="s">
        <v>1112</v>
      </c>
      <c r="O77" s="2" t="str">
        <f t="shared" si="2"/>
        <v>50OMN</v>
      </c>
    </row>
    <row r="78" spans="3:15" x14ac:dyDescent="0.25">
      <c r="C78" s="3" t="s">
        <v>534</v>
      </c>
      <c r="D78" s="3" t="s">
        <v>535</v>
      </c>
      <c r="E78" s="3" t="s">
        <v>536</v>
      </c>
      <c r="F78" s="4">
        <v>5.9</v>
      </c>
      <c r="G78" s="3" t="s">
        <v>376</v>
      </c>
      <c r="H78" s="3" t="s">
        <v>38</v>
      </c>
      <c r="I78" s="3" t="s">
        <v>1111</v>
      </c>
      <c r="J78" s="3" t="s">
        <v>1046</v>
      </c>
      <c r="K78" s="3" t="s">
        <v>100</v>
      </c>
      <c r="L78" s="3" t="s">
        <v>1060</v>
      </c>
      <c r="M78" s="3" t="s">
        <v>1148</v>
      </c>
      <c r="N78" s="24" t="s">
        <v>1035</v>
      </c>
      <c r="O78" s="2" t="str">
        <f t="shared" si="2"/>
        <v>50OMZ</v>
      </c>
    </row>
    <row r="79" spans="3:15" x14ac:dyDescent="0.25">
      <c r="C79" s="3" t="s">
        <v>636</v>
      </c>
      <c r="D79" s="3" t="s">
        <v>637</v>
      </c>
      <c r="E79" s="3" t="s">
        <v>638</v>
      </c>
      <c r="F79" s="4">
        <v>5.9</v>
      </c>
      <c r="G79" s="3" t="s">
        <v>376</v>
      </c>
      <c r="H79" s="3" t="s">
        <v>38</v>
      </c>
      <c r="I79" s="3" t="s">
        <v>1114</v>
      </c>
      <c r="J79" s="3" t="s">
        <v>1046</v>
      </c>
      <c r="K79" s="3" t="s">
        <v>50</v>
      </c>
      <c r="L79" s="3" t="s">
        <v>1067</v>
      </c>
      <c r="M79" s="3" t="s">
        <v>1148</v>
      </c>
      <c r="N79" s="3" t="s">
        <v>984</v>
      </c>
      <c r="O79" s="2" t="str">
        <f t="shared" si="2"/>
        <v>50OPM</v>
      </c>
    </row>
    <row r="80" spans="3:15" x14ac:dyDescent="0.25">
      <c r="C80" s="3" t="s">
        <v>857</v>
      </c>
      <c r="D80" s="3" t="s">
        <v>859</v>
      </c>
      <c r="E80" s="3" t="s">
        <v>1169</v>
      </c>
      <c r="F80" s="4">
        <v>5.9</v>
      </c>
      <c r="G80" s="3" t="s">
        <v>376</v>
      </c>
      <c r="H80" s="3" t="s">
        <v>38</v>
      </c>
      <c r="I80" s="3" t="s">
        <v>1111</v>
      </c>
      <c r="J80" s="3" t="s">
        <v>1046</v>
      </c>
      <c r="K80" s="3" t="s">
        <v>132</v>
      </c>
      <c r="L80" s="3" t="s">
        <v>1060</v>
      </c>
      <c r="M80" s="3" t="s">
        <v>1148</v>
      </c>
      <c r="N80" s="24" t="s">
        <v>1035</v>
      </c>
      <c r="O80" s="2" t="str">
        <f t="shared" si="2"/>
        <v>50OQH</v>
      </c>
    </row>
    <row r="81" spans="3:15" x14ac:dyDescent="0.25">
      <c r="C81" s="3" t="s">
        <v>747</v>
      </c>
      <c r="D81" s="3" t="s">
        <v>994</v>
      </c>
      <c r="E81" s="3" t="s">
        <v>1170</v>
      </c>
      <c r="F81" s="4">
        <v>7.9</v>
      </c>
      <c r="G81" s="3" t="s">
        <v>376</v>
      </c>
      <c r="H81" s="3" t="s">
        <v>38</v>
      </c>
      <c r="I81" s="3" t="s">
        <v>1111</v>
      </c>
      <c r="J81" s="3" t="s">
        <v>1031</v>
      </c>
      <c r="K81" s="3" t="s">
        <v>1048</v>
      </c>
      <c r="L81" s="3" t="s">
        <v>1061</v>
      </c>
      <c r="M81" s="3" t="s">
        <v>1074</v>
      </c>
      <c r="N81" s="3" t="s">
        <v>378</v>
      </c>
      <c r="O81" s="2" t="str">
        <f t="shared" si="2"/>
        <v>50ORC</v>
      </c>
    </row>
    <row r="82" spans="3:15" x14ac:dyDescent="0.25">
      <c r="C82" s="3" t="s">
        <v>564</v>
      </c>
      <c r="D82" s="3" t="s">
        <v>565</v>
      </c>
      <c r="E82" s="3" t="s">
        <v>566</v>
      </c>
      <c r="F82" s="4">
        <v>5.9</v>
      </c>
      <c r="G82" s="3" t="s">
        <v>376</v>
      </c>
      <c r="H82" s="3" t="s">
        <v>38</v>
      </c>
      <c r="I82" s="3" t="s">
        <v>1111</v>
      </c>
      <c r="J82" s="3" t="s">
        <v>1046</v>
      </c>
      <c r="K82" s="3" t="s">
        <v>331</v>
      </c>
      <c r="L82" s="3" t="s">
        <v>1060</v>
      </c>
      <c r="M82" s="3" t="s">
        <v>1148</v>
      </c>
      <c r="N82" s="24" t="s">
        <v>1035</v>
      </c>
      <c r="O82" s="2" t="str">
        <f t="shared" si="2"/>
        <v>50ORI</v>
      </c>
    </row>
    <row r="83" spans="3:15" x14ac:dyDescent="0.25">
      <c r="C83" s="3" t="s">
        <v>709</v>
      </c>
      <c r="D83" s="3" t="s">
        <v>710</v>
      </c>
      <c r="E83" s="3" t="s">
        <v>711</v>
      </c>
      <c r="F83" s="4">
        <v>6.9</v>
      </c>
      <c r="G83" s="3" t="s">
        <v>376</v>
      </c>
      <c r="H83" s="3" t="s">
        <v>38</v>
      </c>
      <c r="I83" s="3" t="s">
        <v>1110</v>
      </c>
      <c r="J83" s="3" t="s">
        <v>1031</v>
      </c>
      <c r="K83" s="3" t="s">
        <v>84</v>
      </c>
      <c r="L83" s="3" t="s">
        <v>1079</v>
      </c>
      <c r="M83" s="3" t="s">
        <v>1074</v>
      </c>
      <c r="N83" s="3" t="s">
        <v>378</v>
      </c>
      <c r="O83" s="2" t="str">
        <f t="shared" si="2"/>
        <v>50ORM</v>
      </c>
    </row>
    <row r="84" spans="3:15" x14ac:dyDescent="0.25">
      <c r="C84" s="3" t="s">
        <v>60</v>
      </c>
      <c r="D84" s="3" t="s">
        <v>61</v>
      </c>
      <c r="E84" s="3" t="s">
        <v>62</v>
      </c>
      <c r="F84" s="4">
        <v>5.9</v>
      </c>
      <c r="G84" s="3" t="s">
        <v>37</v>
      </c>
      <c r="H84" s="3" t="s">
        <v>38</v>
      </c>
      <c r="I84" s="3" t="s">
        <v>1120</v>
      </c>
      <c r="J84" s="3" t="s">
        <v>1046</v>
      </c>
      <c r="K84" s="3" t="s">
        <v>63</v>
      </c>
      <c r="L84" s="3" t="s">
        <v>1065</v>
      </c>
      <c r="M84" s="3" t="s">
        <v>1148</v>
      </c>
      <c r="N84" s="3" t="s">
        <v>1112</v>
      </c>
      <c r="O84" s="2" t="str">
        <f t="shared" si="2"/>
        <v>50OSB</v>
      </c>
    </row>
    <row r="85" spans="3:15" x14ac:dyDescent="0.25">
      <c r="C85" s="3" t="s">
        <v>861</v>
      </c>
      <c r="D85" s="3" t="s">
        <v>983</v>
      </c>
      <c r="E85" s="3" t="s">
        <v>1171</v>
      </c>
      <c r="F85" s="4">
        <v>5.9</v>
      </c>
      <c r="G85" s="3" t="s">
        <v>376</v>
      </c>
      <c r="H85" s="3" t="s">
        <v>38</v>
      </c>
      <c r="I85" s="3" t="s">
        <v>1111</v>
      </c>
      <c r="J85" s="3" t="s">
        <v>1046</v>
      </c>
      <c r="K85" s="3" t="s">
        <v>132</v>
      </c>
      <c r="L85" s="3" t="s">
        <v>1077</v>
      </c>
      <c r="M85" s="3" t="s">
        <v>1148</v>
      </c>
      <c r="N85" s="24" t="s">
        <v>1035</v>
      </c>
      <c r="O85" s="2" t="str">
        <f t="shared" si="2"/>
        <v>50OSC</v>
      </c>
    </row>
    <row r="86" spans="3:15" x14ac:dyDescent="0.25">
      <c r="C86" s="3" t="s">
        <v>616</v>
      </c>
      <c r="D86" s="3" t="s">
        <v>617</v>
      </c>
      <c r="E86" s="3" t="s">
        <v>617</v>
      </c>
      <c r="F86" s="4">
        <v>5.9</v>
      </c>
      <c r="G86" s="3" t="s">
        <v>376</v>
      </c>
      <c r="H86" s="3" t="s">
        <v>38</v>
      </c>
      <c r="I86" s="3" t="s">
        <v>1110</v>
      </c>
      <c r="J86" s="3" t="s">
        <v>1046</v>
      </c>
      <c r="K86" s="3" t="s">
        <v>50</v>
      </c>
      <c r="L86" s="3" t="s">
        <v>1060</v>
      </c>
      <c r="M86" s="3" t="s">
        <v>1148</v>
      </c>
      <c r="N86" s="3" t="s">
        <v>984</v>
      </c>
      <c r="O86" s="2" t="str">
        <f t="shared" si="2"/>
        <v>50OST</v>
      </c>
    </row>
    <row r="87" spans="3:15" x14ac:dyDescent="0.25">
      <c r="C87" s="3" t="s">
        <v>891</v>
      </c>
      <c r="D87" s="3" t="s">
        <v>892</v>
      </c>
      <c r="E87" s="3" t="s">
        <v>893</v>
      </c>
      <c r="F87" s="4">
        <v>5.9</v>
      </c>
      <c r="G87" s="3" t="s">
        <v>376</v>
      </c>
      <c r="H87" s="3" t="s">
        <v>38</v>
      </c>
      <c r="I87" s="3" t="s">
        <v>1114</v>
      </c>
      <c r="J87" s="3" t="s">
        <v>1046</v>
      </c>
      <c r="K87" s="3" t="s">
        <v>73</v>
      </c>
      <c r="L87" s="3" t="s">
        <v>1072</v>
      </c>
      <c r="M87" s="3" t="s">
        <v>1148</v>
      </c>
      <c r="N87" s="3" t="s">
        <v>378</v>
      </c>
      <c r="O87" s="2" t="str">
        <f t="shared" si="2"/>
        <v>50OTA</v>
      </c>
    </row>
    <row r="88" spans="3:15" x14ac:dyDescent="0.25">
      <c r="C88" s="3" t="s">
        <v>65</v>
      </c>
      <c r="D88" s="3" t="s">
        <v>66</v>
      </c>
      <c r="E88" s="3" t="s">
        <v>66</v>
      </c>
      <c r="F88" s="4">
        <v>5.9</v>
      </c>
      <c r="G88" s="3" t="s">
        <v>37</v>
      </c>
      <c r="H88" s="3" t="s">
        <v>38</v>
      </c>
      <c r="I88" s="3" t="s">
        <v>1114</v>
      </c>
      <c r="J88" s="3" t="s">
        <v>1046</v>
      </c>
      <c r="K88" s="3" t="s">
        <v>67</v>
      </c>
      <c r="L88" s="3" t="s">
        <v>1064</v>
      </c>
      <c r="M88" s="3" t="s">
        <v>1148</v>
      </c>
      <c r="N88" s="24" t="s">
        <v>1035</v>
      </c>
      <c r="O88" s="2" t="str">
        <f t="shared" si="2"/>
        <v>50OTO</v>
      </c>
    </row>
    <row r="89" spans="3:15" x14ac:dyDescent="0.25">
      <c r="C89" s="3" t="s">
        <v>777</v>
      </c>
      <c r="D89" s="3" t="s">
        <v>779</v>
      </c>
      <c r="E89" s="3" t="s">
        <v>779</v>
      </c>
      <c r="F89" s="4">
        <v>5.9</v>
      </c>
      <c r="G89" s="3" t="s">
        <v>376</v>
      </c>
      <c r="H89" s="3" t="s">
        <v>38</v>
      </c>
      <c r="I89" s="3" t="s">
        <v>1111</v>
      </c>
      <c r="J89" s="3" t="s">
        <v>1031</v>
      </c>
      <c r="K89" s="3" t="s">
        <v>89</v>
      </c>
      <c r="L89" s="3" t="s">
        <v>1080</v>
      </c>
      <c r="M89" s="3" t="s">
        <v>1076</v>
      </c>
      <c r="N89" s="3" t="s">
        <v>378</v>
      </c>
      <c r="O89" s="2" t="str">
        <f t="shared" si="2"/>
        <v>50OVL</v>
      </c>
    </row>
    <row r="90" spans="3:15" x14ac:dyDescent="0.25">
      <c r="C90" s="3" t="s">
        <v>480</v>
      </c>
      <c r="D90" s="3" t="s">
        <v>481</v>
      </c>
      <c r="E90" s="3" t="s">
        <v>482</v>
      </c>
      <c r="F90" s="4">
        <v>5.68</v>
      </c>
      <c r="G90" s="3" t="s">
        <v>376</v>
      </c>
      <c r="H90" s="3" t="s">
        <v>81</v>
      </c>
      <c r="I90" s="3" t="s">
        <v>1114</v>
      </c>
      <c r="J90" s="3" t="s">
        <v>1046</v>
      </c>
      <c r="K90" s="3" t="s">
        <v>58</v>
      </c>
      <c r="L90" s="3" t="s">
        <v>1059</v>
      </c>
      <c r="M90" s="3" t="s">
        <v>1149</v>
      </c>
      <c r="N90" s="3" t="s">
        <v>1112</v>
      </c>
      <c r="O90" s="2" t="str">
        <f t="shared" si="2"/>
        <v>50BM6</v>
      </c>
    </row>
    <row r="91" spans="3:15" x14ac:dyDescent="0.25">
      <c r="C91" s="3" t="s">
        <v>807</v>
      </c>
      <c r="D91" s="3" t="s">
        <v>808</v>
      </c>
      <c r="E91" s="3" t="s">
        <v>809</v>
      </c>
      <c r="F91" s="4">
        <v>5.68</v>
      </c>
      <c r="G91" s="3" t="s">
        <v>376</v>
      </c>
      <c r="H91" s="3" t="s">
        <v>38</v>
      </c>
      <c r="I91" s="3" t="s">
        <v>1114</v>
      </c>
      <c r="J91" s="3" t="s">
        <v>1046</v>
      </c>
      <c r="K91" s="3" t="s">
        <v>146</v>
      </c>
      <c r="L91" s="3" t="s">
        <v>1064</v>
      </c>
      <c r="M91" s="3" t="s">
        <v>1148</v>
      </c>
      <c r="N91" s="24" t="s">
        <v>1035</v>
      </c>
      <c r="O91" s="2" t="str">
        <f t="shared" si="2"/>
        <v>50ORP</v>
      </c>
    </row>
    <row r="92" spans="3:15" x14ac:dyDescent="0.25">
      <c r="C92" s="3" t="s">
        <v>400</v>
      </c>
      <c r="D92" s="3" t="s">
        <v>401</v>
      </c>
      <c r="E92" s="3" t="s">
        <v>1172</v>
      </c>
      <c r="F92" s="4">
        <v>5.45</v>
      </c>
      <c r="G92" s="3" t="s">
        <v>376</v>
      </c>
      <c r="H92" s="3" t="s">
        <v>46</v>
      </c>
      <c r="I92" s="3" t="s">
        <v>1110</v>
      </c>
      <c r="J92" s="3" t="s">
        <v>1031</v>
      </c>
      <c r="K92" s="3" t="s">
        <v>63</v>
      </c>
      <c r="L92" s="3" t="s">
        <v>1060</v>
      </c>
      <c r="M92" s="3" t="s">
        <v>1148</v>
      </c>
      <c r="N92" s="3" t="s">
        <v>1112</v>
      </c>
      <c r="O92" s="2" t="str">
        <f t="shared" si="2"/>
        <v>50ASM</v>
      </c>
    </row>
    <row r="93" spans="3:15" x14ac:dyDescent="0.25">
      <c r="C93" s="3" t="s">
        <v>402</v>
      </c>
      <c r="D93" s="3" t="s">
        <v>403</v>
      </c>
      <c r="E93" s="3" t="s">
        <v>403</v>
      </c>
      <c r="F93" s="4">
        <v>5.45</v>
      </c>
      <c r="G93" s="3" t="s">
        <v>376</v>
      </c>
      <c r="H93" s="3" t="s">
        <v>46</v>
      </c>
      <c r="I93" s="3" t="s">
        <v>1110</v>
      </c>
      <c r="J93" s="3" t="s">
        <v>1031</v>
      </c>
      <c r="K93" s="3" t="s">
        <v>63</v>
      </c>
      <c r="L93" s="3" t="s">
        <v>1060</v>
      </c>
      <c r="M93" s="3" t="s">
        <v>1148</v>
      </c>
      <c r="N93" s="3" t="s">
        <v>1112</v>
      </c>
      <c r="O93" s="2" t="str">
        <f t="shared" si="2"/>
        <v>50CRX</v>
      </c>
    </row>
    <row r="94" spans="3:15" x14ac:dyDescent="0.25">
      <c r="C94" s="3" t="s">
        <v>665</v>
      </c>
      <c r="D94" s="3" t="s">
        <v>666</v>
      </c>
      <c r="E94" s="3" t="s">
        <v>666</v>
      </c>
      <c r="F94" s="4">
        <v>5.45</v>
      </c>
      <c r="G94" s="3" t="s">
        <v>376</v>
      </c>
      <c r="H94" s="3" t="s">
        <v>46</v>
      </c>
      <c r="I94" s="3" t="s">
        <v>1110</v>
      </c>
      <c r="J94" s="3" t="s">
        <v>1046</v>
      </c>
      <c r="K94" s="3" t="s">
        <v>248</v>
      </c>
      <c r="L94" s="3" t="s">
        <v>1059</v>
      </c>
      <c r="M94" s="3" t="s">
        <v>1149</v>
      </c>
      <c r="N94" s="3" t="s">
        <v>1112</v>
      </c>
      <c r="O94" s="2" t="str">
        <f t="shared" si="2"/>
        <v>50DGG</v>
      </c>
    </row>
    <row r="95" spans="3:15" x14ac:dyDescent="0.25">
      <c r="C95" s="3" t="s">
        <v>404</v>
      </c>
      <c r="D95" s="3" t="s">
        <v>405</v>
      </c>
      <c r="E95" s="3" t="s">
        <v>405</v>
      </c>
      <c r="F95" s="4">
        <v>5.45</v>
      </c>
      <c r="G95" s="3" t="s">
        <v>376</v>
      </c>
      <c r="H95" s="3" t="s">
        <v>81</v>
      </c>
      <c r="I95" s="3" t="s">
        <v>1110</v>
      </c>
      <c r="J95" s="3" t="s">
        <v>1031</v>
      </c>
      <c r="K95" s="3" t="s">
        <v>63</v>
      </c>
      <c r="L95" s="3" t="s">
        <v>1060</v>
      </c>
      <c r="M95" s="3" t="s">
        <v>1148</v>
      </c>
      <c r="N95" s="3" t="s">
        <v>1112</v>
      </c>
      <c r="O95" s="2" t="str">
        <f t="shared" si="2"/>
        <v>50EER</v>
      </c>
    </row>
    <row r="96" spans="3:15" x14ac:dyDescent="0.25">
      <c r="C96" s="3" t="s">
        <v>948</v>
      </c>
      <c r="D96" s="3" t="s">
        <v>949</v>
      </c>
      <c r="E96" s="3" t="s">
        <v>949</v>
      </c>
      <c r="F96" s="4">
        <v>5.45</v>
      </c>
      <c r="G96" s="3" t="s">
        <v>376</v>
      </c>
      <c r="H96" s="3" t="s">
        <v>81</v>
      </c>
      <c r="I96" s="3" t="s">
        <v>1114</v>
      </c>
      <c r="J96" s="3" t="s">
        <v>1046</v>
      </c>
      <c r="K96" s="3" t="s">
        <v>160</v>
      </c>
      <c r="L96" s="3" t="s">
        <v>1173</v>
      </c>
      <c r="M96" s="3" t="s">
        <v>1148</v>
      </c>
      <c r="N96" s="3" t="s">
        <v>984</v>
      </c>
      <c r="O96" s="2" t="str">
        <f t="shared" si="2"/>
        <v>50GDL</v>
      </c>
    </row>
    <row r="97" spans="3:15" x14ac:dyDescent="0.25">
      <c r="C97" s="3" t="s">
        <v>667</v>
      </c>
      <c r="D97" s="3" t="s">
        <v>668</v>
      </c>
      <c r="E97" s="3" t="s">
        <v>668</v>
      </c>
      <c r="F97" s="4">
        <v>6</v>
      </c>
      <c r="G97" s="3" t="s">
        <v>376</v>
      </c>
      <c r="H97" s="3" t="s">
        <v>46</v>
      </c>
      <c r="I97" s="3" t="s">
        <v>1110</v>
      </c>
      <c r="J97" s="3" t="s">
        <v>1046</v>
      </c>
      <c r="K97" s="3" t="s">
        <v>248</v>
      </c>
      <c r="L97" s="3" t="s">
        <v>1059</v>
      </c>
      <c r="M97" s="3" t="s">
        <v>1149</v>
      </c>
      <c r="N97" s="3" t="s">
        <v>1112</v>
      </c>
      <c r="O97" s="2" t="str">
        <f t="shared" si="2"/>
        <v>50GKR</v>
      </c>
    </row>
    <row r="98" spans="3:15" x14ac:dyDescent="0.25">
      <c r="C98" s="3" t="s">
        <v>669</v>
      </c>
      <c r="D98" s="3" t="s">
        <v>670</v>
      </c>
      <c r="E98" s="3" t="s">
        <v>670</v>
      </c>
      <c r="F98" s="4">
        <v>5.45</v>
      </c>
      <c r="G98" s="3" t="s">
        <v>376</v>
      </c>
      <c r="H98" s="3" t="s">
        <v>46</v>
      </c>
      <c r="I98" s="3" t="s">
        <v>1110</v>
      </c>
      <c r="J98" s="3" t="s">
        <v>1046</v>
      </c>
      <c r="K98" s="3" t="s">
        <v>248</v>
      </c>
      <c r="L98" s="3" t="s">
        <v>1059</v>
      </c>
      <c r="M98" s="3" t="s">
        <v>1149</v>
      </c>
      <c r="N98" s="3" t="s">
        <v>1112</v>
      </c>
      <c r="O98" s="2" t="str">
        <f t="shared" si="2"/>
        <v>50HPU</v>
      </c>
    </row>
    <row r="99" spans="3:15" x14ac:dyDescent="0.25">
      <c r="C99" s="3" t="s">
        <v>894</v>
      </c>
      <c r="D99" s="3" t="s">
        <v>895</v>
      </c>
      <c r="E99" s="3" t="s">
        <v>895</v>
      </c>
      <c r="F99" s="4">
        <v>5</v>
      </c>
      <c r="G99" s="3" t="s">
        <v>376</v>
      </c>
      <c r="H99" s="3" t="s">
        <v>81</v>
      </c>
      <c r="I99" s="3" t="s">
        <v>1110</v>
      </c>
      <c r="J99" s="3" t="s">
        <v>1046</v>
      </c>
      <c r="K99" s="3" t="s">
        <v>73</v>
      </c>
      <c r="L99" s="3" t="s">
        <v>1081</v>
      </c>
      <c r="M99" s="3" t="s">
        <v>1149</v>
      </c>
      <c r="N99" s="3" t="s">
        <v>378</v>
      </c>
      <c r="O99" s="2" t="str">
        <f t="shared" si="2"/>
        <v>50HZO</v>
      </c>
    </row>
    <row r="100" spans="3:15" x14ac:dyDescent="0.25">
      <c r="C100" s="3" t="s">
        <v>537</v>
      </c>
      <c r="D100" s="3" t="s">
        <v>538</v>
      </c>
      <c r="E100" s="3" t="s">
        <v>1174</v>
      </c>
      <c r="F100" s="4">
        <v>5.45</v>
      </c>
      <c r="G100" s="3" t="s">
        <v>376</v>
      </c>
      <c r="H100" s="3" t="s">
        <v>46</v>
      </c>
      <c r="I100" s="3" t="s">
        <v>1111</v>
      </c>
      <c r="J100" s="3" t="s">
        <v>1046</v>
      </c>
      <c r="K100" s="3" t="s">
        <v>100</v>
      </c>
      <c r="L100" s="3" t="s">
        <v>1065</v>
      </c>
      <c r="M100" s="3" t="s">
        <v>1149</v>
      </c>
      <c r="N100" s="24" t="s">
        <v>1035</v>
      </c>
      <c r="O100" s="2" t="str">
        <f t="shared" si="2"/>
        <v>50KJI</v>
      </c>
    </row>
    <row r="101" spans="3:15" x14ac:dyDescent="0.25">
      <c r="C101" s="3" t="s">
        <v>863</v>
      </c>
      <c r="D101" s="3" t="s">
        <v>864</v>
      </c>
      <c r="E101" s="3" t="s">
        <v>864</v>
      </c>
      <c r="F101" s="4">
        <v>5.45</v>
      </c>
      <c r="G101" s="3" t="s">
        <v>376</v>
      </c>
      <c r="H101" s="3" t="s">
        <v>46</v>
      </c>
      <c r="I101" s="3" t="s">
        <v>1111</v>
      </c>
      <c r="J101" s="3" t="s">
        <v>1046</v>
      </c>
      <c r="K101" s="3" t="s">
        <v>132</v>
      </c>
      <c r="L101" s="3" t="s">
        <v>1060</v>
      </c>
      <c r="M101" s="3" t="s">
        <v>1148</v>
      </c>
      <c r="N101" s="24" t="s">
        <v>1035</v>
      </c>
      <c r="O101" s="2" t="str">
        <f t="shared" si="2"/>
        <v>50KUF</v>
      </c>
    </row>
    <row r="102" spans="3:15" x14ac:dyDescent="0.25">
      <c r="C102" s="3" t="s">
        <v>896</v>
      </c>
      <c r="D102" s="3" t="s">
        <v>897</v>
      </c>
      <c r="E102" s="3" t="s">
        <v>897</v>
      </c>
      <c r="F102" s="4">
        <v>5.45</v>
      </c>
      <c r="G102" s="3" t="s">
        <v>376</v>
      </c>
      <c r="H102" s="3" t="s">
        <v>46</v>
      </c>
      <c r="I102" s="3" t="s">
        <v>1114</v>
      </c>
      <c r="J102" s="3" t="s">
        <v>1046</v>
      </c>
      <c r="K102" s="3" t="s">
        <v>73</v>
      </c>
      <c r="L102" s="3" t="s">
        <v>1082</v>
      </c>
      <c r="M102" s="3" t="s">
        <v>1148</v>
      </c>
      <c r="N102" s="3" t="s">
        <v>378</v>
      </c>
      <c r="O102" s="2" t="str">
        <f t="shared" si="2"/>
        <v>50LAF</v>
      </c>
    </row>
    <row r="103" spans="3:15" x14ac:dyDescent="0.25">
      <c r="C103" s="3" t="s">
        <v>898</v>
      </c>
      <c r="D103" s="3" t="s">
        <v>899</v>
      </c>
      <c r="E103" s="3" t="s">
        <v>899</v>
      </c>
      <c r="F103" s="4">
        <v>5.45</v>
      </c>
      <c r="G103" s="3" t="s">
        <v>376</v>
      </c>
      <c r="H103" s="3" t="s">
        <v>46</v>
      </c>
      <c r="I103" s="3" t="s">
        <v>1114</v>
      </c>
      <c r="J103" s="3" t="s">
        <v>1046</v>
      </c>
      <c r="K103" s="3" t="s">
        <v>73</v>
      </c>
      <c r="L103" s="3" t="s">
        <v>1067</v>
      </c>
      <c r="M103" s="3" t="s">
        <v>1149</v>
      </c>
      <c r="N103" s="3" t="s">
        <v>378</v>
      </c>
      <c r="O103" s="2" t="str">
        <f t="shared" si="2"/>
        <v>50MAI</v>
      </c>
    </row>
    <row r="104" spans="3:15" x14ac:dyDescent="0.25">
      <c r="C104" s="3" t="s">
        <v>950</v>
      </c>
      <c r="D104" s="3" t="s">
        <v>951</v>
      </c>
      <c r="E104" s="3" t="s">
        <v>951</v>
      </c>
      <c r="F104" s="4">
        <v>5.45</v>
      </c>
      <c r="G104" s="3" t="s">
        <v>376</v>
      </c>
      <c r="H104" s="3" t="s">
        <v>46</v>
      </c>
      <c r="I104" s="3" t="s">
        <v>1114</v>
      </c>
      <c r="J104" s="3" t="s">
        <v>1046</v>
      </c>
      <c r="K104" s="3" t="s">
        <v>160</v>
      </c>
      <c r="L104" s="3" t="s">
        <v>1059</v>
      </c>
      <c r="M104" s="3" t="s">
        <v>1149</v>
      </c>
      <c r="N104" s="3" t="s">
        <v>984</v>
      </c>
      <c r="O104" s="2" t="str">
        <f t="shared" si="2"/>
        <v>50MLM</v>
      </c>
    </row>
    <row r="105" spans="3:15" x14ac:dyDescent="0.25">
      <c r="C105" s="3" t="s">
        <v>406</v>
      </c>
      <c r="D105" s="3" t="s">
        <v>407</v>
      </c>
      <c r="E105" s="3" t="s">
        <v>407</v>
      </c>
      <c r="F105" s="4">
        <v>5.45</v>
      </c>
      <c r="G105" s="3" t="s">
        <v>376</v>
      </c>
      <c r="H105" s="3" t="s">
        <v>81</v>
      </c>
      <c r="I105" s="3" t="s">
        <v>1114</v>
      </c>
      <c r="J105" s="3" t="s">
        <v>1031</v>
      </c>
      <c r="K105" s="3" t="s">
        <v>63</v>
      </c>
      <c r="L105" s="3" t="s">
        <v>1175</v>
      </c>
      <c r="M105" s="3" t="s">
        <v>1149</v>
      </c>
      <c r="N105" s="3" t="s">
        <v>1112</v>
      </c>
      <c r="O105" s="2" t="str">
        <f t="shared" si="2"/>
        <v>50NC0</v>
      </c>
    </row>
    <row r="106" spans="3:15" x14ac:dyDescent="0.25">
      <c r="C106" s="3" t="s">
        <v>429</v>
      </c>
      <c r="D106" s="3" t="s">
        <v>430</v>
      </c>
      <c r="E106" s="3" t="s">
        <v>431</v>
      </c>
      <c r="F106" s="4">
        <v>5.45</v>
      </c>
      <c r="G106" s="3" t="s">
        <v>376</v>
      </c>
      <c r="H106" s="3" t="s">
        <v>38</v>
      </c>
      <c r="I106" s="3" t="s">
        <v>1110</v>
      </c>
      <c r="J106" s="3" t="s">
        <v>1046</v>
      </c>
      <c r="K106" s="3" t="s">
        <v>94</v>
      </c>
      <c r="L106" s="3" t="s">
        <v>1065</v>
      </c>
      <c r="M106" s="3" t="s">
        <v>1149</v>
      </c>
      <c r="N106" s="24" t="s">
        <v>1035</v>
      </c>
      <c r="O106" s="2" t="str">
        <f t="shared" si="2"/>
        <v>50OAV</v>
      </c>
    </row>
    <row r="107" spans="3:15" x14ac:dyDescent="0.25">
      <c r="C107" s="3" t="s">
        <v>483</v>
      </c>
      <c r="D107" s="3" t="s">
        <v>484</v>
      </c>
      <c r="E107" s="3" t="s">
        <v>485</v>
      </c>
      <c r="F107" s="4">
        <v>5.45</v>
      </c>
      <c r="G107" s="3" t="s">
        <v>376</v>
      </c>
      <c r="H107" s="3" t="s">
        <v>38</v>
      </c>
      <c r="I107" s="3" t="s">
        <v>1114</v>
      </c>
      <c r="J107" s="3" t="s">
        <v>1046</v>
      </c>
      <c r="K107" s="3" t="s">
        <v>58</v>
      </c>
      <c r="L107" s="3" t="s">
        <v>1059</v>
      </c>
      <c r="M107" s="3" t="s">
        <v>1149</v>
      </c>
      <c r="N107" s="3" t="s">
        <v>1112</v>
      </c>
      <c r="O107" s="2" t="str">
        <f t="shared" si="2"/>
        <v>50OGD</v>
      </c>
    </row>
    <row r="108" spans="3:15" x14ac:dyDescent="0.25">
      <c r="C108" s="3" t="s">
        <v>539</v>
      </c>
      <c r="D108" s="3" t="s">
        <v>540</v>
      </c>
      <c r="E108" s="3" t="s">
        <v>541</v>
      </c>
      <c r="F108" s="4">
        <v>5.45</v>
      </c>
      <c r="G108" s="3" t="s">
        <v>376</v>
      </c>
      <c r="H108" s="3" t="s">
        <v>38</v>
      </c>
      <c r="I108" s="3" t="s">
        <v>1110</v>
      </c>
      <c r="J108" s="3" t="s">
        <v>1046</v>
      </c>
      <c r="K108" s="3" t="s">
        <v>100</v>
      </c>
      <c r="L108" s="3" t="s">
        <v>1059</v>
      </c>
      <c r="M108" s="3" t="s">
        <v>1149</v>
      </c>
      <c r="N108" s="24" t="s">
        <v>1035</v>
      </c>
      <c r="O108" s="2" t="str">
        <f t="shared" si="2"/>
        <v>50OJM</v>
      </c>
    </row>
    <row r="109" spans="3:15" x14ac:dyDescent="0.25">
      <c r="C109" s="3" t="s">
        <v>432</v>
      </c>
      <c r="D109" s="3" t="s">
        <v>433</v>
      </c>
      <c r="E109" s="3" t="s">
        <v>434</v>
      </c>
      <c r="F109" s="4">
        <v>5.45</v>
      </c>
      <c r="G109" s="3" t="s">
        <v>376</v>
      </c>
      <c r="H109" s="3" t="s">
        <v>38</v>
      </c>
      <c r="I109" s="3" t="s">
        <v>1110</v>
      </c>
      <c r="J109" s="3" t="s">
        <v>1046</v>
      </c>
      <c r="K109" s="3" t="s">
        <v>94</v>
      </c>
      <c r="L109" s="3" t="s">
        <v>1063</v>
      </c>
      <c r="M109" s="3" t="s">
        <v>1148</v>
      </c>
      <c r="N109" s="24" t="s">
        <v>1035</v>
      </c>
      <c r="O109" s="2" t="str">
        <f t="shared" si="2"/>
        <v>50OSL</v>
      </c>
    </row>
    <row r="110" spans="3:15" x14ac:dyDescent="0.25">
      <c r="C110" s="3" t="s">
        <v>671</v>
      </c>
      <c r="D110" s="3" t="s">
        <v>672</v>
      </c>
      <c r="E110" s="3" t="s">
        <v>672</v>
      </c>
      <c r="F110" s="4">
        <v>5</v>
      </c>
      <c r="G110" s="3" t="s">
        <v>376</v>
      </c>
      <c r="H110" s="3" t="s">
        <v>46</v>
      </c>
      <c r="I110" s="3" t="s">
        <v>1110</v>
      </c>
      <c r="J110" s="3" t="s">
        <v>1046</v>
      </c>
      <c r="K110" s="3" t="s">
        <v>248</v>
      </c>
      <c r="L110" s="3" t="s">
        <v>1059</v>
      </c>
      <c r="M110" s="3" t="s">
        <v>1149</v>
      </c>
      <c r="N110" s="3" t="s">
        <v>1112</v>
      </c>
      <c r="O110" s="2" t="str">
        <f t="shared" si="2"/>
        <v>50QKJ</v>
      </c>
    </row>
    <row r="111" spans="3:15" x14ac:dyDescent="0.25">
      <c r="C111" s="3" t="s">
        <v>567</v>
      </c>
      <c r="D111" s="3" t="s">
        <v>568</v>
      </c>
      <c r="E111" s="3" t="s">
        <v>568</v>
      </c>
      <c r="F111" s="4">
        <v>5.45</v>
      </c>
      <c r="G111" s="3" t="s">
        <v>376</v>
      </c>
      <c r="H111" s="3" t="s">
        <v>46</v>
      </c>
      <c r="I111" s="3" t="s">
        <v>1110</v>
      </c>
      <c r="J111" s="3" t="s">
        <v>1046</v>
      </c>
      <c r="K111" s="3" t="s">
        <v>331</v>
      </c>
      <c r="L111" s="3" t="s">
        <v>1060</v>
      </c>
      <c r="M111" s="3" t="s">
        <v>1148</v>
      </c>
      <c r="N111" s="3" t="s">
        <v>984</v>
      </c>
      <c r="O111" s="2" t="str">
        <f t="shared" si="2"/>
        <v>50SKV</v>
      </c>
    </row>
    <row r="112" spans="3:15" x14ac:dyDescent="0.25">
      <c r="C112" s="3" t="s">
        <v>435</v>
      </c>
      <c r="D112" s="3" t="s">
        <v>436</v>
      </c>
      <c r="E112" s="3" t="s">
        <v>436</v>
      </c>
      <c r="F112" s="4">
        <v>5.45</v>
      </c>
      <c r="G112" s="3" t="s">
        <v>376</v>
      </c>
      <c r="H112" s="3" t="s">
        <v>46</v>
      </c>
      <c r="I112" s="3" t="s">
        <v>1111</v>
      </c>
      <c r="J112" s="3" t="s">
        <v>1046</v>
      </c>
      <c r="K112" s="3" t="s">
        <v>94</v>
      </c>
      <c r="L112" s="3" t="s">
        <v>1065</v>
      </c>
      <c r="M112" s="3" t="s">
        <v>1149</v>
      </c>
      <c r="N112" s="24" t="s">
        <v>1035</v>
      </c>
      <c r="O112" s="2" t="str">
        <f t="shared" si="2"/>
        <v>50SWS</v>
      </c>
    </row>
    <row r="113" spans="3:15" x14ac:dyDescent="0.25">
      <c r="C113" s="3" t="s">
        <v>865</v>
      </c>
      <c r="D113" s="3" t="s">
        <v>866</v>
      </c>
      <c r="E113" s="3" t="s">
        <v>866</v>
      </c>
      <c r="F113" s="4">
        <v>6.13</v>
      </c>
      <c r="G113" s="3" t="s">
        <v>376</v>
      </c>
      <c r="H113" s="3" t="s">
        <v>46</v>
      </c>
      <c r="I113" s="3" t="s">
        <v>1114</v>
      </c>
      <c r="J113" s="3" t="s">
        <v>1046</v>
      </c>
      <c r="K113" s="3" t="s">
        <v>132</v>
      </c>
      <c r="L113" s="3" t="s">
        <v>1077</v>
      </c>
      <c r="M113" s="3" t="s">
        <v>1149</v>
      </c>
      <c r="N113" s="24" t="s">
        <v>1035</v>
      </c>
      <c r="O113" s="2" t="str">
        <f t="shared" si="2"/>
        <v>50TKS</v>
      </c>
    </row>
    <row r="114" spans="3:15" x14ac:dyDescent="0.25">
      <c r="C114" s="3" t="s">
        <v>486</v>
      </c>
      <c r="D114" s="3" t="s">
        <v>487</v>
      </c>
      <c r="E114" s="3" t="s">
        <v>487</v>
      </c>
      <c r="F114" s="4">
        <v>5.45</v>
      </c>
      <c r="G114" s="3" t="s">
        <v>376</v>
      </c>
      <c r="H114" s="3" t="s">
        <v>46</v>
      </c>
      <c r="I114" s="3" t="s">
        <v>1114</v>
      </c>
      <c r="J114" s="3" t="s">
        <v>1046</v>
      </c>
      <c r="K114" s="3" t="s">
        <v>58</v>
      </c>
      <c r="L114" s="3" t="s">
        <v>1059</v>
      </c>
      <c r="M114" s="3" t="s">
        <v>1149</v>
      </c>
      <c r="N114" s="3" t="s">
        <v>1112</v>
      </c>
      <c r="O114" s="2" t="str">
        <f t="shared" si="2"/>
        <v>50VHN</v>
      </c>
    </row>
    <row r="115" spans="3:15" x14ac:dyDescent="0.25">
      <c r="C115" s="3" t="s">
        <v>673</v>
      </c>
      <c r="D115" s="3" t="s">
        <v>674</v>
      </c>
      <c r="E115" s="3" t="s">
        <v>674</v>
      </c>
      <c r="F115" s="4">
        <v>5.45</v>
      </c>
      <c r="G115" s="3" t="s">
        <v>376</v>
      </c>
      <c r="H115" s="3" t="s">
        <v>46</v>
      </c>
      <c r="I115" s="3" t="s">
        <v>1114</v>
      </c>
      <c r="J115" s="3" t="s">
        <v>1046</v>
      </c>
      <c r="K115" s="3" t="s">
        <v>248</v>
      </c>
      <c r="L115" s="3" t="s">
        <v>1059</v>
      </c>
      <c r="M115" s="3" t="s">
        <v>1149</v>
      </c>
      <c r="N115" s="3" t="s">
        <v>1112</v>
      </c>
      <c r="O115" s="2" t="str">
        <f t="shared" si="2"/>
        <v>50XLL</v>
      </c>
    </row>
    <row r="116" spans="3:15" x14ac:dyDescent="0.25">
      <c r="C116" s="3" t="s">
        <v>569</v>
      </c>
      <c r="D116" s="3" t="s">
        <v>570</v>
      </c>
      <c r="E116" s="3" t="s">
        <v>570</v>
      </c>
      <c r="F116" s="4">
        <v>5.45</v>
      </c>
      <c r="G116" s="3" t="s">
        <v>376</v>
      </c>
      <c r="H116" s="3" t="s">
        <v>46</v>
      </c>
      <c r="I116" s="3" t="s">
        <v>1110</v>
      </c>
      <c r="J116" s="3" t="s">
        <v>1046</v>
      </c>
      <c r="K116" s="3" t="s">
        <v>331</v>
      </c>
      <c r="L116" s="3" t="s">
        <v>1060</v>
      </c>
      <c r="M116" s="3" t="s">
        <v>1148</v>
      </c>
      <c r="N116" s="3" t="s">
        <v>984</v>
      </c>
      <c r="O116" s="2" t="str">
        <f t="shared" si="2"/>
        <v>50XRJ</v>
      </c>
    </row>
    <row r="117" spans="3:15" x14ac:dyDescent="0.25">
      <c r="C117" s="3" t="s">
        <v>750</v>
      </c>
      <c r="D117" s="3" t="s">
        <v>751</v>
      </c>
      <c r="E117" s="3" t="s">
        <v>751</v>
      </c>
      <c r="F117" s="4">
        <v>5.45</v>
      </c>
      <c r="G117" s="3" t="s">
        <v>376</v>
      </c>
      <c r="H117" s="3" t="s">
        <v>81</v>
      </c>
      <c r="I117" s="3" t="s">
        <v>1114</v>
      </c>
      <c r="J117" s="3" t="s">
        <v>1031</v>
      </c>
      <c r="K117" s="3" t="s">
        <v>1048</v>
      </c>
      <c r="L117" s="3" t="s">
        <v>1152</v>
      </c>
      <c r="M117" s="3" t="s">
        <v>1074</v>
      </c>
      <c r="N117" s="3" t="s">
        <v>378</v>
      </c>
      <c r="O117" s="2" t="str">
        <f t="shared" si="2"/>
        <v>5026M</v>
      </c>
    </row>
    <row r="118" spans="3:15" x14ac:dyDescent="0.25">
      <c r="C118" s="3" t="s">
        <v>488</v>
      </c>
      <c r="D118" s="3" t="s">
        <v>489</v>
      </c>
      <c r="E118" s="3" t="s">
        <v>490</v>
      </c>
      <c r="F118" s="4">
        <v>5.45</v>
      </c>
      <c r="G118" s="3" t="s">
        <v>376</v>
      </c>
      <c r="H118" s="3" t="s">
        <v>81</v>
      </c>
      <c r="I118" s="3" t="s">
        <v>1110</v>
      </c>
      <c r="J118" s="3" t="s">
        <v>1046</v>
      </c>
      <c r="K118" s="3" t="s">
        <v>58</v>
      </c>
      <c r="L118" s="3" t="s">
        <v>1059</v>
      </c>
      <c r="M118" s="3" t="s">
        <v>1149</v>
      </c>
      <c r="N118" s="3" t="s">
        <v>1112</v>
      </c>
      <c r="O118" s="2" t="str">
        <f t="shared" si="2"/>
        <v>5032O</v>
      </c>
    </row>
    <row r="119" spans="3:15" x14ac:dyDescent="0.25">
      <c r="C119" s="3" t="s">
        <v>952</v>
      </c>
      <c r="D119" s="3" t="s">
        <v>953</v>
      </c>
      <c r="E119" s="3" t="s">
        <v>953</v>
      </c>
      <c r="F119" s="4">
        <v>5.45</v>
      </c>
      <c r="G119" s="3" t="s">
        <v>376</v>
      </c>
      <c r="H119" s="3" t="s">
        <v>81</v>
      </c>
      <c r="I119" s="3" t="s">
        <v>1110</v>
      </c>
      <c r="J119" s="3" t="s">
        <v>1046</v>
      </c>
      <c r="K119" s="3" t="s">
        <v>160</v>
      </c>
      <c r="L119" s="3" t="s">
        <v>1073</v>
      </c>
      <c r="M119" s="3" t="s">
        <v>1149</v>
      </c>
      <c r="N119" s="3" t="s">
        <v>984</v>
      </c>
      <c r="O119" s="2" t="str">
        <f t="shared" si="2"/>
        <v>50AAF</v>
      </c>
    </row>
    <row r="120" spans="3:15" x14ac:dyDescent="0.25">
      <c r="C120" s="3" t="s">
        <v>675</v>
      </c>
      <c r="D120" s="3" t="s">
        <v>676</v>
      </c>
      <c r="E120" s="3" t="s">
        <v>676</v>
      </c>
      <c r="F120" s="4">
        <v>5.45</v>
      </c>
      <c r="G120" s="3" t="s">
        <v>376</v>
      </c>
      <c r="H120" s="3" t="s">
        <v>81</v>
      </c>
      <c r="I120" s="3" t="s">
        <v>1110</v>
      </c>
      <c r="J120" s="3" t="s">
        <v>1046</v>
      </c>
      <c r="K120" s="3" t="s">
        <v>248</v>
      </c>
      <c r="L120" s="3" t="s">
        <v>1059</v>
      </c>
      <c r="M120" s="3" t="s">
        <v>1149</v>
      </c>
      <c r="N120" s="3" t="s">
        <v>1112</v>
      </c>
      <c r="O120" s="2" t="str">
        <f t="shared" si="2"/>
        <v>50AQY</v>
      </c>
    </row>
    <row r="121" spans="3:15" x14ac:dyDescent="0.25">
      <c r="C121" s="3" t="s">
        <v>780</v>
      </c>
      <c r="D121" s="3" t="s">
        <v>781</v>
      </c>
      <c r="E121" s="3" t="s">
        <v>781</v>
      </c>
      <c r="F121" s="4">
        <v>5.45</v>
      </c>
      <c r="G121" s="3" t="s">
        <v>376</v>
      </c>
      <c r="H121" s="3" t="s">
        <v>81</v>
      </c>
      <c r="I121" s="3" t="s">
        <v>1114</v>
      </c>
      <c r="J121" s="3" t="s">
        <v>1031</v>
      </c>
      <c r="K121" s="3" t="s">
        <v>89</v>
      </c>
      <c r="L121" s="3" t="s">
        <v>1075</v>
      </c>
      <c r="M121" s="3" t="s">
        <v>1076</v>
      </c>
      <c r="N121" s="3" t="s">
        <v>378</v>
      </c>
      <c r="O121" s="2" t="str">
        <f t="shared" si="2"/>
        <v>50FKT</v>
      </c>
    </row>
    <row r="122" spans="3:15" x14ac:dyDescent="0.25">
      <c r="C122" s="3" t="s">
        <v>628</v>
      </c>
      <c r="D122" s="3" t="s">
        <v>996</v>
      </c>
      <c r="E122" s="3" t="s">
        <v>630</v>
      </c>
      <c r="F122" s="4">
        <v>5.45</v>
      </c>
      <c r="G122" s="3" t="s">
        <v>376</v>
      </c>
      <c r="H122" s="3" t="s">
        <v>38</v>
      </c>
      <c r="I122" s="3" t="s">
        <v>1114</v>
      </c>
      <c r="J122" s="3" t="s">
        <v>1046</v>
      </c>
      <c r="K122" s="3" t="s">
        <v>50</v>
      </c>
      <c r="L122" s="3" t="s">
        <v>1065</v>
      </c>
      <c r="M122" s="3" t="s">
        <v>1148</v>
      </c>
      <c r="N122" s="3" t="s">
        <v>984</v>
      </c>
      <c r="O122" s="2" t="str">
        <f t="shared" si="2"/>
        <v>50OME</v>
      </c>
    </row>
    <row r="123" spans="3:15" x14ac:dyDescent="0.25">
      <c r="C123" s="3" t="s">
        <v>408</v>
      </c>
      <c r="D123" s="3" t="s">
        <v>409</v>
      </c>
      <c r="E123" s="3" t="s">
        <v>410</v>
      </c>
      <c r="F123" s="4">
        <v>5.45</v>
      </c>
      <c r="G123" s="3" t="s">
        <v>376</v>
      </c>
      <c r="H123" s="3" t="s">
        <v>38</v>
      </c>
      <c r="I123" s="3" t="s">
        <v>1114</v>
      </c>
      <c r="J123" s="3" t="s">
        <v>1031</v>
      </c>
      <c r="K123" s="3" t="s">
        <v>63</v>
      </c>
      <c r="L123" s="3" t="s">
        <v>1060</v>
      </c>
      <c r="M123" s="3" t="s">
        <v>1148</v>
      </c>
      <c r="N123" s="3" t="s">
        <v>1112</v>
      </c>
      <c r="O123" s="2" t="str">
        <f t="shared" si="2"/>
        <v>50ORS</v>
      </c>
    </row>
    <row r="124" spans="3:15" x14ac:dyDescent="0.25">
      <c r="C124" s="3" t="s">
        <v>677</v>
      </c>
      <c r="D124" s="3" t="s">
        <v>678</v>
      </c>
      <c r="E124" s="3" t="s">
        <v>1176</v>
      </c>
      <c r="F124" s="4">
        <v>5.45</v>
      </c>
      <c r="G124" s="3" t="s">
        <v>376</v>
      </c>
      <c r="H124" s="3" t="s">
        <v>38</v>
      </c>
      <c r="I124" s="3" t="s">
        <v>1111</v>
      </c>
      <c r="J124" s="3" t="s">
        <v>1046</v>
      </c>
      <c r="K124" s="3" t="s">
        <v>248</v>
      </c>
      <c r="L124" s="3" t="s">
        <v>1059</v>
      </c>
      <c r="M124" s="3" t="s">
        <v>1148</v>
      </c>
      <c r="N124" s="3" t="s">
        <v>1112</v>
      </c>
      <c r="O124" s="2" t="str">
        <f t="shared" si="2"/>
        <v>50OTL</v>
      </c>
    </row>
    <row r="125" spans="3:15" x14ac:dyDescent="0.25">
      <c r="C125" s="3" t="s">
        <v>571</v>
      </c>
      <c r="D125" s="3" t="s">
        <v>572</v>
      </c>
      <c r="E125" s="3" t="s">
        <v>572</v>
      </c>
      <c r="F125" s="4">
        <v>5.45</v>
      </c>
      <c r="G125" s="3" t="s">
        <v>376</v>
      </c>
      <c r="H125" s="3" t="s">
        <v>46</v>
      </c>
      <c r="I125" s="3" t="s">
        <v>1110</v>
      </c>
      <c r="J125" s="3" t="s">
        <v>1046</v>
      </c>
      <c r="K125" s="3" t="s">
        <v>331</v>
      </c>
      <c r="L125" s="3" t="s">
        <v>1060</v>
      </c>
      <c r="M125" s="3" t="s">
        <v>1148</v>
      </c>
      <c r="N125" s="3" t="s">
        <v>984</v>
      </c>
      <c r="O125" s="2" t="str">
        <f t="shared" si="2"/>
        <v>50XQO</v>
      </c>
    </row>
    <row r="126" spans="3:15" x14ac:dyDescent="0.25">
      <c r="C126" s="3" t="s">
        <v>752</v>
      </c>
      <c r="D126" s="3" t="s">
        <v>753</v>
      </c>
      <c r="E126" s="3" t="s">
        <v>753</v>
      </c>
      <c r="F126" s="4">
        <v>6</v>
      </c>
      <c r="G126" s="3" t="s">
        <v>376</v>
      </c>
      <c r="H126" s="3" t="s">
        <v>46</v>
      </c>
      <c r="I126" s="3" t="s">
        <v>1110</v>
      </c>
      <c r="J126" s="3" t="s">
        <v>1031</v>
      </c>
      <c r="K126" s="3" t="s">
        <v>1048</v>
      </c>
      <c r="L126" s="3" t="s">
        <v>1152</v>
      </c>
      <c r="M126" s="3" t="s">
        <v>1074</v>
      </c>
      <c r="N126" s="3" t="s">
        <v>378</v>
      </c>
      <c r="O126" s="2" t="str">
        <f t="shared" si="2"/>
        <v>50AQC</v>
      </c>
    </row>
    <row r="127" spans="3:15" x14ac:dyDescent="0.25">
      <c r="C127" s="3" t="s">
        <v>680</v>
      </c>
      <c r="D127" s="3" t="s">
        <v>681</v>
      </c>
      <c r="E127" s="3" t="s">
        <v>682</v>
      </c>
      <c r="F127" s="4">
        <v>5</v>
      </c>
      <c r="G127" s="3" t="s">
        <v>376</v>
      </c>
      <c r="H127" s="3" t="s">
        <v>46</v>
      </c>
      <c r="I127" s="3" t="s">
        <v>1114</v>
      </c>
      <c r="J127" s="3" t="s">
        <v>1046</v>
      </c>
      <c r="K127" s="3" t="s">
        <v>248</v>
      </c>
      <c r="L127" s="3" t="s">
        <v>1059</v>
      </c>
      <c r="M127" s="3" t="s">
        <v>1149</v>
      </c>
      <c r="N127" s="3" t="s">
        <v>1112</v>
      </c>
      <c r="O127" s="2" t="str">
        <f t="shared" si="2"/>
        <v>50ELY</v>
      </c>
    </row>
    <row r="128" spans="3:15" x14ac:dyDescent="0.25">
      <c r="C128" s="3" t="s">
        <v>954</v>
      </c>
      <c r="D128" s="3" t="s">
        <v>955</v>
      </c>
      <c r="E128" s="3" t="s">
        <v>956</v>
      </c>
      <c r="F128" s="4">
        <v>5</v>
      </c>
      <c r="G128" s="3" t="s">
        <v>376</v>
      </c>
      <c r="H128" s="3" t="s">
        <v>38</v>
      </c>
      <c r="I128" s="3" t="s">
        <v>1110</v>
      </c>
      <c r="J128" s="3" t="s">
        <v>1046</v>
      </c>
      <c r="K128" s="3" t="s">
        <v>160</v>
      </c>
      <c r="L128" s="3" t="s">
        <v>1058</v>
      </c>
      <c r="M128" s="3" t="s">
        <v>1148</v>
      </c>
      <c r="N128" s="3" t="s">
        <v>984</v>
      </c>
      <c r="O128" s="2" t="str">
        <f t="shared" si="2"/>
        <v>50OAJ</v>
      </c>
    </row>
    <row r="129" spans="3:15" x14ac:dyDescent="0.25">
      <c r="C129" s="3" t="s">
        <v>68</v>
      </c>
      <c r="D129" s="3" t="s">
        <v>69</v>
      </c>
      <c r="E129" s="3" t="s">
        <v>70</v>
      </c>
      <c r="F129" s="4">
        <v>5</v>
      </c>
      <c r="G129" s="3" t="s">
        <v>37</v>
      </c>
      <c r="H129" s="3" t="s">
        <v>38</v>
      </c>
      <c r="I129" s="3" t="s">
        <v>1120</v>
      </c>
      <c r="J129" s="3" t="s">
        <v>1046</v>
      </c>
      <c r="K129" s="3" t="s">
        <v>58</v>
      </c>
      <c r="L129" s="3" t="s">
        <v>1065</v>
      </c>
      <c r="M129" s="3" t="s">
        <v>1148</v>
      </c>
      <c r="N129" s="3" t="s">
        <v>1112</v>
      </c>
      <c r="O129" s="2" t="str">
        <f t="shared" si="2"/>
        <v>50OHT</v>
      </c>
    </row>
    <row r="130" spans="3:15" x14ac:dyDescent="0.25">
      <c r="C130" s="3" t="s">
        <v>867</v>
      </c>
      <c r="D130" s="3" t="s">
        <v>997</v>
      </c>
      <c r="E130" s="3" t="s">
        <v>869</v>
      </c>
      <c r="F130" s="4">
        <v>5</v>
      </c>
      <c r="G130" s="3" t="s">
        <v>376</v>
      </c>
      <c r="H130" s="3" t="s">
        <v>38</v>
      </c>
      <c r="I130" s="3" t="s">
        <v>1111</v>
      </c>
      <c r="J130" s="3" t="s">
        <v>1046</v>
      </c>
      <c r="K130" s="3" t="s">
        <v>132</v>
      </c>
      <c r="L130" s="3" t="s">
        <v>1077</v>
      </c>
      <c r="M130" s="3" t="s">
        <v>1148</v>
      </c>
      <c r="N130" s="24" t="s">
        <v>1035</v>
      </c>
      <c r="O130" s="2" t="str">
        <f t="shared" si="2"/>
        <v>50OHU</v>
      </c>
    </row>
    <row r="131" spans="3:15" x14ac:dyDescent="0.25">
      <c r="C131" s="3" t="s">
        <v>71</v>
      </c>
      <c r="D131" s="3" t="s">
        <v>72</v>
      </c>
      <c r="E131" s="3" t="s">
        <v>72</v>
      </c>
      <c r="F131" s="4">
        <v>5</v>
      </c>
      <c r="G131" s="3" t="s">
        <v>376</v>
      </c>
      <c r="H131" s="3" t="s">
        <v>38</v>
      </c>
      <c r="I131" s="3" t="s">
        <v>1114</v>
      </c>
      <c r="J131" s="3" t="s">
        <v>1046</v>
      </c>
      <c r="K131" s="3" t="s">
        <v>73</v>
      </c>
      <c r="L131" s="3" t="s">
        <v>1083</v>
      </c>
      <c r="M131" s="3" t="s">
        <v>1148</v>
      </c>
      <c r="N131" s="3" t="s">
        <v>378</v>
      </c>
      <c r="O131" s="2" t="str">
        <f t="shared" si="2"/>
        <v>50OMP</v>
      </c>
    </row>
    <row r="132" spans="3:15" x14ac:dyDescent="0.25">
      <c r="C132" s="3" t="s">
        <v>802</v>
      </c>
      <c r="D132" s="3" t="s">
        <v>803</v>
      </c>
      <c r="E132" s="3" t="s">
        <v>1177</v>
      </c>
      <c r="F132" s="4">
        <v>5.68</v>
      </c>
      <c r="G132" s="3" t="s">
        <v>376</v>
      </c>
      <c r="H132" s="3" t="s">
        <v>38</v>
      </c>
      <c r="I132" s="3" t="s">
        <v>1110</v>
      </c>
      <c r="J132" s="3" t="s">
        <v>1046</v>
      </c>
      <c r="K132" s="3" t="s">
        <v>146</v>
      </c>
      <c r="L132" s="3" t="s">
        <v>1064</v>
      </c>
      <c r="M132" s="3" t="s">
        <v>1148</v>
      </c>
      <c r="N132" s="24" t="s">
        <v>1035</v>
      </c>
      <c r="O132" s="2" t="str">
        <f t="shared" ref="O132:O195" si="3">C132</f>
        <v>50ONC</v>
      </c>
    </row>
    <row r="133" spans="3:15" x14ac:dyDescent="0.25">
      <c r="C133" s="3" t="s">
        <v>957</v>
      </c>
      <c r="D133" s="3" t="s">
        <v>959</v>
      </c>
      <c r="E133" s="3" t="s">
        <v>1178</v>
      </c>
      <c r="F133" s="4">
        <v>5</v>
      </c>
      <c r="G133" s="3" t="s">
        <v>376</v>
      </c>
      <c r="H133" s="3" t="s">
        <v>38</v>
      </c>
      <c r="I133" s="3" t="s">
        <v>1114</v>
      </c>
      <c r="J133" s="3" t="s">
        <v>1046</v>
      </c>
      <c r="K133" s="3" t="s">
        <v>160</v>
      </c>
      <c r="L133" s="3" t="s">
        <v>1118</v>
      </c>
      <c r="M133" s="3" t="s">
        <v>1148</v>
      </c>
      <c r="N133" s="3" t="s">
        <v>984</v>
      </c>
      <c r="O133" s="2" t="str">
        <f t="shared" si="3"/>
        <v>50OPE</v>
      </c>
    </row>
    <row r="134" spans="3:15" x14ac:dyDescent="0.25">
      <c r="C134" s="3" t="s">
        <v>75</v>
      </c>
      <c r="D134" s="3" t="s">
        <v>76</v>
      </c>
      <c r="E134" s="3" t="s">
        <v>77</v>
      </c>
      <c r="F134" s="4">
        <v>5</v>
      </c>
      <c r="G134" s="3" t="s">
        <v>37</v>
      </c>
      <c r="H134" s="3" t="s">
        <v>38</v>
      </c>
      <c r="I134" s="3" t="s">
        <v>1120</v>
      </c>
      <c r="J134" s="3" t="s">
        <v>1046</v>
      </c>
      <c r="K134" s="3">
        <v>0</v>
      </c>
      <c r="L134" s="3" t="s">
        <v>1084</v>
      </c>
      <c r="M134" s="3" t="s">
        <v>1148</v>
      </c>
      <c r="N134" s="3" t="s">
        <v>1053</v>
      </c>
      <c r="O134" s="2" t="str">
        <f t="shared" si="3"/>
        <v>50OPR</v>
      </c>
    </row>
    <row r="135" spans="3:15" x14ac:dyDescent="0.25">
      <c r="C135" s="3" t="s">
        <v>491</v>
      </c>
      <c r="D135" s="3" t="s">
        <v>493</v>
      </c>
      <c r="E135" s="3" t="s">
        <v>493</v>
      </c>
      <c r="F135" s="4">
        <v>5</v>
      </c>
      <c r="G135" s="3" t="s">
        <v>376</v>
      </c>
      <c r="H135" s="3" t="s">
        <v>38</v>
      </c>
      <c r="I135" s="3" t="s">
        <v>1110</v>
      </c>
      <c r="J135" s="3" t="s">
        <v>1046</v>
      </c>
      <c r="K135" s="3" t="s">
        <v>58</v>
      </c>
      <c r="L135" s="3" t="s">
        <v>1059</v>
      </c>
      <c r="M135" s="3" t="s">
        <v>1148</v>
      </c>
      <c r="N135" s="3" t="s">
        <v>1112</v>
      </c>
      <c r="O135" s="2" t="str">
        <f t="shared" si="3"/>
        <v>50OSZ</v>
      </c>
    </row>
    <row r="136" spans="3:15" x14ac:dyDescent="0.25">
      <c r="C136" s="3" t="s">
        <v>494</v>
      </c>
      <c r="D136" s="3" t="s">
        <v>496</v>
      </c>
      <c r="E136" s="3" t="s">
        <v>496</v>
      </c>
      <c r="F136" s="4">
        <v>5</v>
      </c>
      <c r="G136" s="3" t="s">
        <v>376</v>
      </c>
      <c r="H136" s="3" t="s">
        <v>38</v>
      </c>
      <c r="I136" s="3" t="s">
        <v>1114</v>
      </c>
      <c r="J136" s="3" t="s">
        <v>1046</v>
      </c>
      <c r="K136" s="3" t="s">
        <v>58</v>
      </c>
      <c r="L136" s="3" t="s">
        <v>1059</v>
      </c>
      <c r="M136" s="3" t="s">
        <v>1148</v>
      </c>
      <c r="N136" s="3" t="s">
        <v>1112</v>
      </c>
      <c r="O136" s="2" t="str">
        <f t="shared" si="3"/>
        <v>50OTH</v>
      </c>
    </row>
    <row r="137" spans="3:15" x14ac:dyDescent="0.25">
      <c r="C137" s="3" t="s">
        <v>542</v>
      </c>
      <c r="D137" s="3" t="s">
        <v>543</v>
      </c>
      <c r="E137" s="3" t="s">
        <v>543</v>
      </c>
      <c r="F137" s="4">
        <v>6</v>
      </c>
      <c r="G137" s="3" t="s">
        <v>376</v>
      </c>
      <c r="H137" s="3" t="s">
        <v>46</v>
      </c>
      <c r="I137" s="3" t="s">
        <v>1111</v>
      </c>
      <c r="J137" s="3" t="s">
        <v>1046</v>
      </c>
      <c r="K137" s="3" t="s">
        <v>100</v>
      </c>
      <c r="L137" s="3" t="s">
        <v>1060</v>
      </c>
      <c r="M137" s="3" t="s">
        <v>1148</v>
      </c>
      <c r="N137" s="24" t="s">
        <v>1035</v>
      </c>
      <c r="O137" s="2" t="str">
        <f t="shared" si="3"/>
        <v>50POS</v>
      </c>
    </row>
    <row r="138" spans="3:15" x14ac:dyDescent="0.25">
      <c r="C138" s="3" t="s">
        <v>544</v>
      </c>
      <c r="D138" s="3" t="s">
        <v>545</v>
      </c>
      <c r="E138" s="3" t="s">
        <v>1179</v>
      </c>
      <c r="F138" s="4">
        <v>5</v>
      </c>
      <c r="G138" s="3" t="s">
        <v>376</v>
      </c>
      <c r="H138" s="3" t="s">
        <v>46</v>
      </c>
      <c r="I138" s="3" t="s">
        <v>1111</v>
      </c>
      <c r="J138" s="3" t="s">
        <v>1046</v>
      </c>
      <c r="K138" s="3" t="s">
        <v>100</v>
      </c>
      <c r="L138" s="3" t="s">
        <v>1060</v>
      </c>
      <c r="M138" s="3" t="s">
        <v>1148</v>
      </c>
      <c r="N138" s="24" t="s">
        <v>1035</v>
      </c>
      <c r="O138" s="2" t="str">
        <f t="shared" si="3"/>
        <v>50REU</v>
      </c>
    </row>
    <row r="139" spans="3:15" x14ac:dyDescent="0.25">
      <c r="C139" s="3" t="s">
        <v>810</v>
      </c>
      <c r="D139" s="3" t="s">
        <v>811</v>
      </c>
      <c r="E139" s="3" t="s">
        <v>811</v>
      </c>
      <c r="F139" s="4">
        <v>5</v>
      </c>
      <c r="G139" s="3" t="s">
        <v>376</v>
      </c>
      <c r="H139" s="3" t="s">
        <v>81</v>
      </c>
      <c r="I139" s="3" t="s">
        <v>1110</v>
      </c>
      <c r="J139" s="3" t="s">
        <v>1046</v>
      </c>
      <c r="K139" s="3" t="s">
        <v>146</v>
      </c>
      <c r="L139" s="3" t="s">
        <v>1064</v>
      </c>
      <c r="M139" s="3" t="s">
        <v>1149</v>
      </c>
      <c r="N139" s="24" t="s">
        <v>1035</v>
      </c>
      <c r="O139" s="2" t="str">
        <f t="shared" si="3"/>
        <v>508LO</v>
      </c>
    </row>
    <row r="140" spans="3:15" x14ac:dyDescent="0.25">
      <c r="C140" s="3" t="s">
        <v>79</v>
      </c>
      <c r="D140" s="3" t="s">
        <v>80</v>
      </c>
      <c r="E140" s="3" t="s">
        <v>80</v>
      </c>
      <c r="F140" s="4">
        <v>5</v>
      </c>
      <c r="G140" s="3" t="s">
        <v>37</v>
      </c>
      <c r="H140" s="3" t="s">
        <v>81</v>
      </c>
      <c r="I140" s="3" t="s">
        <v>1114</v>
      </c>
      <c r="J140" s="3" t="s">
        <v>1046</v>
      </c>
      <c r="K140" s="3">
        <v>0</v>
      </c>
      <c r="L140" s="3" t="s">
        <v>1064</v>
      </c>
      <c r="M140" s="3" t="s">
        <v>1149</v>
      </c>
      <c r="N140" s="3" t="s">
        <v>1053</v>
      </c>
      <c r="O140" s="2" t="str">
        <f t="shared" si="3"/>
        <v>50AMU</v>
      </c>
    </row>
    <row r="141" spans="3:15" x14ac:dyDescent="0.25">
      <c r="C141" s="3" t="s">
        <v>870</v>
      </c>
      <c r="D141" s="3" t="s">
        <v>871</v>
      </c>
      <c r="E141" s="3" t="s">
        <v>871</v>
      </c>
      <c r="F141" s="4">
        <v>5</v>
      </c>
      <c r="G141" s="3" t="s">
        <v>376</v>
      </c>
      <c r="H141" s="3" t="s">
        <v>46</v>
      </c>
      <c r="I141" s="3" t="s">
        <v>1111</v>
      </c>
      <c r="J141" s="3" t="s">
        <v>1046</v>
      </c>
      <c r="K141" s="3" t="s">
        <v>132</v>
      </c>
      <c r="L141" s="3" t="s">
        <v>1077</v>
      </c>
      <c r="M141" s="3" t="s">
        <v>1149</v>
      </c>
      <c r="N141" s="24" t="s">
        <v>1035</v>
      </c>
      <c r="O141" s="2" t="str">
        <f t="shared" si="3"/>
        <v>50SJS</v>
      </c>
    </row>
    <row r="142" spans="3:15" x14ac:dyDescent="0.25">
      <c r="C142" s="3">
        <v>50096</v>
      </c>
      <c r="D142" s="3" t="s">
        <v>683</v>
      </c>
      <c r="E142" s="3" t="s">
        <v>684</v>
      </c>
      <c r="F142" s="4">
        <v>5</v>
      </c>
      <c r="G142" s="3" t="s">
        <v>376</v>
      </c>
      <c r="H142" s="3" t="s">
        <v>88</v>
      </c>
      <c r="I142" s="3" t="s">
        <v>1114</v>
      </c>
      <c r="J142" s="3" t="s">
        <v>1046</v>
      </c>
      <c r="K142" s="3" t="s">
        <v>248</v>
      </c>
      <c r="L142" s="3" t="s">
        <v>1059</v>
      </c>
      <c r="M142" s="3" t="s">
        <v>1148</v>
      </c>
      <c r="N142" s="3" t="s">
        <v>1112</v>
      </c>
      <c r="O142" s="2">
        <f t="shared" si="3"/>
        <v>50096</v>
      </c>
    </row>
    <row r="143" spans="3:15" x14ac:dyDescent="0.25">
      <c r="C143" s="3">
        <v>50724</v>
      </c>
      <c r="D143" s="3" t="s">
        <v>900</v>
      </c>
      <c r="E143" s="3" t="s">
        <v>900</v>
      </c>
      <c r="F143" s="4">
        <v>5</v>
      </c>
      <c r="G143" s="3" t="s">
        <v>376</v>
      </c>
      <c r="H143" s="3" t="s">
        <v>202</v>
      </c>
      <c r="I143" s="3" t="s">
        <v>1114</v>
      </c>
      <c r="J143" s="3" t="s">
        <v>1046</v>
      </c>
      <c r="K143" s="3" t="s">
        <v>73</v>
      </c>
      <c r="L143" s="3" t="s">
        <v>1081</v>
      </c>
      <c r="M143" s="3" t="s">
        <v>1149</v>
      </c>
      <c r="N143" s="3" t="s">
        <v>378</v>
      </c>
      <c r="O143" s="2">
        <f t="shared" si="3"/>
        <v>50724</v>
      </c>
    </row>
    <row r="144" spans="3:15" x14ac:dyDescent="0.25">
      <c r="C144" s="3">
        <v>50863</v>
      </c>
      <c r="D144" s="3" t="s">
        <v>901</v>
      </c>
      <c r="E144" s="3" t="s">
        <v>902</v>
      </c>
      <c r="F144" s="4">
        <v>5</v>
      </c>
      <c r="G144" s="3" t="s">
        <v>376</v>
      </c>
      <c r="H144" s="3" t="s">
        <v>202</v>
      </c>
      <c r="I144" s="3" t="s">
        <v>1114</v>
      </c>
      <c r="J144" s="3" t="s">
        <v>1046</v>
      </c>
      <c r="K144" s="3" t="s">
        <v>73</v>
      </c>
      <c r="L144" s="3" t="s">
        <v>1085</v>
      </c>
      <c r="M144" s="3" t="s">
        <v>1149</v>
      </c>
      <c r="N144" s="3" t="s">
        <v>378</v>
      </c>
      <c r="O144" s="2">
        <f t="shared" si="3"/>
        <v>50863</v>
      </c>
    </row>
    <row r="145" spans="3:15" x14ac:dyDescent="0.25">
      <c r="C145" s="3" t="s">
        <v>82</v>
      </c>
      <c r="D145" s="3" t="s">
        <v>83</v>
      </c>
      <c r="E145" s="3" t="s">
        <v>83</v>
      </c>
      <c r="F145" s="4">
        <v>5</v>
      </c>
      <c r="G145" s="3" t="s">
        <v>37</v>
      </c>
      <c r="H145" s="3" t="s">
        <v>81</v>
      </c>
      <c r="I145" s="3" t="s">
        <v>1114</v>
      </c>
      <c r="J145" s="3" t="s">
        <v>1046</v>
      </c>
      <c r="K145" s="3" t="s">
        <v>1048</v>
      </c>
      <c r="L145" s="3" t="s">
        <v>1086</v>
      </c>
      <c r="M145" s="3" t="s">
        <v>1074</v>
      </c>
      <c r="N145" s="3" t="s">
        <v>378</v>
      </c>
      <c r="O145" s="2" t="str">
        <f t="shared" si="3"/>
        <v>500LI</v>
      </c>
    </row>
    <row r="146" spans="3:15" x14ac:dyDescent="0.25">
      <c r="C146" s="3" t="s">
        <v>86</v>
      </c>
      <c r="D146" s="3" t="s">
        <v>87</v>
      </c>
      <c r="E146" s="3" t="s">
        <v>87</v>
      </c>
      <c r="F146" s="4">
        <v>5</v>
      </c>
      <c r="G146" s="3" t="s">
        <v>37</v>
      </c>
      <c r="H146" s="3" t="s">
        <v>88</v>
      </c>
      <c r="I146" s="3" t="s">
        <v>1111</v>
      </c>
      <c r="J146" s="3" t="s">
        <v>1046</v>
      </c>
      <c r="K146" s="3" t="s">
        <v>89</v>
      </c>
      <c r="L146" s="3" t="s">
        <v>1080</v>
      </c>
      <c r="M146" s="3" t="s">
        <v>1076</v>
      </c>
      <c r="N146" s="3" t="s">
        <v>378</v>
      </c>
      <c r="O146" s="2" t="str">
        <f t="shared" si="3"/>
        <v>500UN</v>
      </c>
    </row>
    <row r="147" spans="3:15" x14ac:dyDescent="0.25">
      <c r="C147" s="3" t="s">
        <v>576</v>
      </c>
      <c r="D147" s="3" t="s">
        <v>577</v>
      </c>
      <c r="E147" s="3" t="s">
        <v>577</v>
      </c>
      <c r="F147" s="4">
        <v>5</v>
      </c>
      <c r="G147" s="3" t="s">
        <v>376</v>
      </c>
      <c r="H147" s="3" t="s">
        <v>81</v>
      </c>
      <c r="I147" s="3" t="s">
        <v>1110</v>
      </c>
      <c r="J147" s="3" t="s">
        <v>1046</v>
      </c>
      <c r="K147" s="3" t="s">
        <v>331</v>
      </c>
      <c r="L147" s="3" t="s">
        <v>1175</v>
      </c>
      <c r="M147" s="3" t="s">
        <v>1149</v>
      </c>
      <c r="N147" s="3" t="s">
        <v>984</v>
      </c>
      <c r="O147" s="2" t="str">
        <f t="shared" si="3"/>
        <v>5019M</v>
      </c>
    </row>
    <row r="148" spans="3:15" x14ac:dyDescent="0.25">
      <c r="C148" s="3" t="s">
        <v>92</v>
      </c>
      <c r="D148" s="3" t="s">
        <v>93</v>
      </c>
      <c r="E148" s="3" t="s">
        <v>93</v>
      </c>
      <c r="F148" s="4">
        <v>5</v>
      </c>
      <c r="G148" s="3" t="s">
        <v>37</v>
      </c>
      <c r="H148" s="3" t="s">
        <v>81</v>
      </c>
      <c r="I148" s="3" t="s">
        <v>1120</v>
      </c>
      <c r="J148" s="3" t="s">
        <v>1046</v>
      </c>
      <c r="K148" s="3" t="s">
        <v>94</v>
      </c>
      <c r="L148" s="3" t="s">
        <v>1065</v>
      </c>
      <c r="M148" s="3" t="s">
        <v>1149</v>
      </c>
      <c r="N148" s="24" t="s">
        <v>1035</v>
      </c>
      <c r="O148" s="2" t="str">
        <f t="shared" si="3"/>
        <v>501CG</v>
      </c>
    </row>
    <row r="149" spans="3:15" x14ac:dyDescent="0.25">
      <c r="C149" s="3" t="s">
        <v>782</v>
      </c>
      <c r="D149" s="3" t="s">
        <v>783</v>
      </c>
      <c r="E149" s="3" t="s">
        <v>783</v>
      </c>
      <c r="F149" s="4">
        <v>5</v>
      </c>
      <c r="G149" s="3" t="s">
        <v>376</v>
      </c>
      <c r="H149" s="3" t="s">
        <v>81</v>
      </c>
      <c r="I149" s="3" t="s">
        <v>1114</v>
      </c>
      <c r="J149" s="3" t="s">
        <v>1031</v>
      </c>
      <c r="K149" s="3" t="s">
        <v>89</v>
      </c>
      <c r="L149" s="3" t="s">
        <v>1087</v>
      </c>
      <c r="M149" s="3" t="s">
        <v>1088</v>
      </c>
      <c r="N149" s="3" t="s">
        <v>378</v>
      </c>
      <c r="O149" s="2" t="str">
        <f t="shared" si="3"/>
        <v>501KO</v>
      </c>
    </row>
    <row r="150" spans="3:15" x14ac:dyDescent="0.25">
      <c r="C150" s="3" t="s">
        <v>95</v>
      </c>
      <c r="D150" s="3" t="s">
        <v>96</v>
      </c>
      <c r="E150" s="3" t="s">
        <v>96</v>
      </c>
      <c r="F150" s="3">
        <v>5</v>
      </c>
      <c r="G150" s="3" t="s">
        <v>37</v>
      </c>
      <c r="H150" s="3" t="s">
        <v>81</v>
      </c>
      <c r="I150" s="3" t="s">
        <v>1120</v>
      </c>
      <c r="J150" s="3" t="s">
        <v>1046</v>
      </c>
      <c r="K150" s="3">
        <v>0</v>
      </c>
      <c r="L150" s="3" t="s">
        <v>1069</v>
      </c>
      <c r="M150" s="3" t="s">
        <v>1148</v>
      </c>
      <c r="N150" s="3" t="s">
        <v>1053</v>
      </c>
      <c r="O150" s="2" t="str">
        <f t="shared" si="3"/>
        <v>502IY</v>
      </c>
    </row>
    <row r="151" spans="3:15" x14ac:dyDescent="0.25">
      <c r="C151" s="3" t="s">
        <v>98</v>
      </c>
      <c r="D151" s="3" t="s">
        <v>99</v>
      </c>
      <c r="E151" s="3" t="s">
        <v>99</v>
      </c>
      <c r="F151" s="3">
        <v>5</v>
      </c>
      <c r="G151" s="3" t="s">
        <v>37</v>
      </c>
      <c r="H151" s="3" t="s">
        <v>81</v>
      </c>
      <c r="I151" s="3" t="s">
        <v>1114</v>
      </c>
      <c r="J151" s="3" t="s">
        <v>1046</v>
      </c>
      <c r="K151" s="3" t="s">
        <v>100</v>
      </c>
      <c r="L151" s="3" t="s">
        <v>1064</v>
      </c>
      <c r="M151" s="3" t="s">
        <v>1149</v>
      </c>
      <c r="N151" s="24" t="s">
        <v>1035</v>
      </c>
      <c r="O151" s="2" t="str">
        <f t="shared" si="3"/>
        <v>502UE</v>
      </c>
    </row>
    <row r="152" spans="3:15" x14ac:dyDescent="0.25">
      <c r="C152" s="3" t="s">
        <v>712</v>
      </c>
      <c r="D152" s="3" t="s">
        <v>713</v>
      </c>
      <c r="E152" s="3" t="s">
        <v>713</v>
      </c>
      <c r="F152" s="3">
        <v>5</v>
      </c>
      <c r="G152" s="3" t="s">
        <v>376</v>
      </c>
      <c r="H152" s="3" t="s">
        <v>81</v>
      </c>
      <c r="I152" s="3" t="s">
        <v>1111</v>
      </c>
      <c r="J152" s="3" t="s">
        <v>1031</v>
      </c>
      <c r="K152" s="3" t="s">
        <v>84</v>
      </c>
      <c r="L152" s="3" t="s">
        <v>1152</v>
      </c>
      <c r="M152" s="3" t="s">
        <v>1074</v>
      </c>
      <c r="N152" s="3" t="s">
        <v>378</v>
      </c>
      <c r="O152" s="2" t="str">
        <f t="shared" si="3"/>
        <v>5033A</v>
      </c>
    </row>
    <row r="153" spans="3:15" x14ac:dyDescent="0.25">
      <c r="C153" s="3" t="s">
        <v>101</v>
      </c>
      <c r="D153" s="3" t="s">
        <v>102</v>
      </c>
      <c r="E153" s="3" t="s">
        <v>102</v>
      </c>
      <c r="F153" s="3">
        <v>5</v>
      </c>
      <c r="G153" s="3" t="s">
        <v>37</v>
      </c>
      <c r="H153" s="3" t="s">
        <v>81</v>
      </c>
      <c r="I153" s="3" t="s">
        <v>1114</v>
      </c>
      <c r="J153" s="3" t="s">
        <v>1046</v>
      </c>
      <c r="K153" s="3" t="s">
        <v>73</v>
      </c>
      <c r="L153" s="3" t="s">
        <v>1087</v>
      </c>
      <c r="M153" s="3" t="s">
        <v>1088</v>
      </c>
      <c r="N153" s="3" t="s">
        <v>378</v>
      </c>
      <c r="O153" s="2" t="str">
        <f t="shared" si="3"/>
        <v>503LC</v>
      </c>
    </row>
    <row r="154" spans="3:15" x14ac:dyDescent="0.25">
      <c r="C154" s="3" t="s">
        <v>105</v>
      </c>
      <c r="D154" s="3" t="s">
        <v>106</v>
      </c>
      <c r="E154" s="3" t="s">
        <v>106</v>
      </c>
      <c r="F154" s="3">
        <v>5</v>
      </c>
      <c r="G154" s="3" t="s">
        <v>37</v>
      </c>
      <c r="H154" s="3" t="s">
        <v>81</v>
      </c>
      <c r="I154" s="3" t="s">
        <v>1120</v>
      </c>
      <c r="J154" s="3" t="s">
        <v>1046</v>
      </c>
      <c r="K154" s="3" t="s">
        <v>100</v>
      </c>
      <c r="L154" s="3" t="s">
        <v>1064</v>
      </c>
      <c r="M154" s="3" t="s">
        <v>1149</v>
      </c>
      <c r="N154" s="24" t="s">
        <v>1035</v>
      </c>
      <c r="O154" s="2" t="str">
        <f t="shared" si="3"/>
        <v>503YO</v>
      </c>
    </row>
    <row r="155" spans="3:15" x14ac:dyDescent="0.25">
      <c r="C155" s="3" t="s">
        <v>903</v>
      </c>
      <c r="D155" s="3" t="s">
        <v>904</v>
      </c>
      <c r="E155" s="3" t="s">
        <v>904</v>
      </c>
      <c r="F155" s="3">
        <v>5</v>
      </c>
      <c r="G155" s="3" t="s">
        <v>376</v>
      </c>
      <c r="H155" s="3" t="s">
        <v>81</v>
      </c>
      <c r="I155" s="3" t="s">
        <v>1114</v>
      </c>
      <c r="J155" s="3" t="s">
        <v>1046</v>
      </c>
      <c r="K155" s="3" t="s">
        <v>73</v>
      </c>
      <c r="L155" s="3" t="s">
        <v>1072</v>
      </c>
      <c r="M155" s="3" t="s">
        <v>1148</v>
      </c>
      <c r="N155" s="3" t="s">
        <v>378</v>
      </c>
      <c r="O155" s="2" t="str">
        <f t="shared" si="3"/>
        <v>504A3</v>
      </c>
    </row>
    <row r="156" spans="3:15" x14ac:dyDescent="0.25">
      <c r="C156" s="3" t="s">
        <v>107</v>
      </c>
      <c r="D156" s="3" t="s">
        <v>108</v>
      </c>
      <c r="E156" s="3" t="s">
        <v>108</v>
      </c>
      <c r="F156" s="3">
        <v>5</v>
      </c>
      <c r="G156" s="3" t="s">
        <v>37</v>
      </c>
      <c r="H156" s="3" t="s">
        <v>81</v>
      </c>
      <c r="I156" s="3" t="s">
        <v>1114</v>
      </c>
      <c r="J156" s="3" t="s">
        <v>1046</v>
      </c>
      <c r="K156" s="3" t="s">
        <v>89</v>
      </c>
      <c r="L156" s="3" t="s">
        <v>1075</v>
      </c>
      <c r="M156" s="3" t="s">
        <v>1076</v>
      </c>
      <c r="N156" s="3" t="s">
        <v>378</v>
      </c>
      <c r="O156" s="2" t="str">
        <f t="shared" si="3"/>
        <v>504GZ</v>
      </c>
    </row>
    <row r="157" spans="3:15" x14ac:dyDescent="0.25">
      <c r="C157" s="3" t="s">
        <v>110</v>
      </c>
      <c r="D157" s="3" t="s">
        <v>111</v>
      </c>
      <c r="E157" s="3" t="s">
        <v>111</v>
      </c>
      <c r="F157" s="3">
        <v>5</v>
      </c>
      <c r="G157" s="3" t="s">
        <v>37</v>
      </c>
      <c r="H157" s="3" t="s">
        <v>81</v>
      </c>
      <c r="I157" s="3" t="s">
        <v>1114</v>
      </c>
      <c r="J157" s="3" t="s">
        <v>1046</v>
      </c>
      <c r="K157" s="3" t="s">
        <v>58</v>
      </c>
      <c r="L157" s="3" t="s">
        <v>1064</v>
      </c>
      <c r="M157" s="3" t="s">
        <v>1149</v>
      </c>
      <c r="N157" s="3" t="s">
        <v>1112</v>
      </c>
      <c r="O157" s="2" t="str">
        <f t="shared" si="3"/>
        <v>504UJ</v>
      </c>
    </row>
    <row r="158" spans="3:15" x14ac:dyDescent="0.25">
      <c r="C158" s="3" t="s">
        <v>112</v>
      </c>
      <c r="D158" s="3" t="s">
        <v>113</v>
      </c>
      <c r="E158" s="3" t="s">
        <v>114</v>
      </c>
      <c r="F158" s="3">
        <v>5</v>
      </c>
      <c r="G158" s="3" t="s">
        <v>37</v>
      </c>
      <c r="H158" s="3" t="s">
        <v>81</v>
      </c>
      <c r="I158" s="3" t="s">
        <v>1127</v>
      </c>
      <c r="J158" s="3" t="s">
        <v>1031</v>
      </c>
      <c r="K158" s="3" t="s">
        <v>73</v>
      </c>
      <c r="L158" s="3" t="s">
        <v>1089</v>
      </c>
      <c r="M158" s="3" t="s">
        <v>1090</v>
      </c>
      <c r="N158" s="3" t="s">
        <v>378</v>
      </c>
      <c r="O158" s="2" t="str">
        <f t="shared" si="3"/>
        <v>5050J</v>
      </c>
    </row>
    <row r="159" spans="3:15" x14ac:dyDescent="0.25">
      <c r="C159" s="3" t="s">
        <v>905</v>
      </c>
      <c r="D159" s="3" t="s">
        <v>906</v>
      </c>
      <c r="E159" s="3" t="s">
        <v>906</v>
      </c>
      <c r="F159" s="3">
        <v>5</v>
      </c>
      <c r="G159" s="3" t="s">
        <v>376</v>
      </c>
      <c r="H159" s="3" t="s">
        <v>81</v>
      </c>
      <c r="I159" s="3" t="s">
        <v>1114</v>
      </c>
      <c r="J159" s="3" t="s">
        <v>1046</v>
      </c>
      <c r="K159" s="3" t="s">
        <v>73</v>
      </c>
      <c r="L159" s="3" t="s">
        <v>1091</v>
      </c>
      <c r="M159" s="3" t="s">
        <v>1149</v>
      </c>
      <c r="N159" s="3" t="s">
        <v>378</v>
      </c>
      <c r="O159" s="2" t="str">
        <f t="shared" si="3"/>
        <v>505F3</v>
      </c>
    </row>
    <row r="160" spans="3:15" x14ac:dyDescent="0.25">
      <c r="C160" s="3" t="s">
        <v>685</v>
      </c>
      <c r="D160" s="3" t="s">
        <v>686</v>
      </c>
      <c r="E160" s="3" t="s">
        <v>686</v>
      </c>
      <c r="F160" s="3">
        <v>5</v>
      </c>
      <c r="G160" s="3" t="s">
        <v>376</v>
      </c>
      <c r="H160" s="3" t="s">
        <v>88</v>
      </c>
      <c r="I160" s="3" t="s">
        <v>1110</v>
      </c>
      <c r="J160" s="3" t="s">
        <v>1046</v>
      </c>
      <c r="K160" s="3" t="s">
        <v>248</v>
      </c>
      <c r="L160" s="3" t="s">
        <v>1059</v>
      </c>
      <c r="M160" s="3" t="s">
        <v>1148</v>
      </c>
      <c r="N160" s="3" t="s">
        <v>1112</v>
      </c>
      <c r="O160" s="2" t="str">
        <f t="shared" si="3"/>
        <v>505VE</v>
      </c>
    </row>
    <row r="161" spans="3:15" x14ac:dyDescent="0.25">
      <c r="C161" s="3" t="s">
        <v>960</v>
      </c>
      <c r="D161" s="3" t="s">
        <v>961</v>
      </c>
      <c r="E161" s="3" t="s">
        <v>961</v>
      </c>
      <c r="F161" s="3">
        <v>5</v>
      </c>
      <c r="G161" s="3" t="s">
        <v>376</v>
      </c>
      <c r="H161" s="3" t="s">
        <v>81</v>
      </c>
      <c r="I161" s="3" t="s">
        <v>1114</v>
      </c>
      <c r="J161" s="3" t="s">
        <v>1046</v>
      </c>
      <c r="K161" s="3" t="s">
        <v>160</v>
      </c>
      <c r="L161" s="3" t="s">
        <v>1058</v>
      </c>
      <c r="M161" s="3" t="s">
        <v>1148</v>
      </c>
      <c r="N161" s="3" t="s">
        <v>984</v>
      </c>
      <c r="O161" s="2" t="str">
        <f t="shared" si="3"/>
        <v>505WD</v>
      </c>
    </row>
    <row r="162" spans="3:15" x14ac:dyDescent="0.25">
      <c r="C162" s="3" t="s">
        <v>754</v>
      </c>
      <c r="D162" s="3" t="s">
        <v>755</v>
      </c>
      <c r="E162" s="3" t="s">
        <v>755</v>
      </c>
      <c r="F162" s="3">
        <v>5</v>
      </c>
      <c r="G162" s="3" t="s">
        <v>376</v>
      </c>
      <c r="H162" s="3" t="s">
        <v>81</v>
      </c>
      <c r="I162" s="3" t="s">
        <v>1114</v>
      </c>
      <c r="J162" s="3" t="s">
        <v>1031</v>
      </c>
      <c r="K162" s="3" t="s">
        <v>1048</v>
      </c>
      <c r="L162" s="3" t="s">
        <v>1074</v>
      </c>
      <c r="M162" s="3" t="s">
        <v>1074</v>
      </c>
      <c r="N162" s="3" t="s">
        <v>378</v>
      </c>
      <c r="O162" s="2" t="str">
        <f t="shared" si="3"/>
        <v>505XC</v>
      </c>
    </row>
    <row r="163" spans="3:15" x14ac:dyDescent="0.25">
      <c r="C163" s="3" t="s">
        <v>872</v>
      </c>
      <c r="D163" s="3" t="s">
        <v>873</v>
      </c>
      <c r="E163" s="3" t="s">
        <v>874</v>
      </c>
      <c r="F163" s="3">
        <v>5</v>
      </c>
      <c r="G163" s="3" t="s">
        <v>376</v>
      </c>
      <c r="H163" s="3" t="s">
        <v>81</v>
      </c>
      <c r="I163" s="3" t="s">
        <v>1114</v>
      </c>
      <c r="J163" s="3" t="s">
        <v>1046</v>
      </c>
      <c r="K163" s="3" t="s">
        <v>132</v>
      </c>
      <c r="L163" s="3" t="s">
        <v>1060</v>
      </c>
      <c r="M163" s="3" t="s">
        <v>1148</v>
      </c>
      <c r="N163" s="24" t="s">
        <v>1035</v>
      </c>
      <c r="O163" s="2" t="str">
        <f t="shared" si="3"/>
        <v>506HQ</v>
      </c>
    </row>
    <row r="164" spans="3:15" x14ac:dyDescent="0.25">
      <c r="C164" s="3" t="s">
        <v>117</v>
      </c>
      <c r="D164" s="3" t="s">
        <v>118</v>
      </c>
      <c r="E164" s="3" t="s">
        <v>118</v>
      </c>
      <c r="F164" s="3">
        <v>5</v>
      </c>
      <c r="G164" s="3" t="s">
        <v>37</v>
      </c>
      <c r="H164" s="3" t="s">
        <v>81</v>
      </c>
      <c r="I164" s="3" t="s">
        <v>1120</v>
      </c>
      <c r="J164" s="3" t="s">
        <v>1046</v>
      </c>
      <c r="K164" s="3">
        <v>0</v>
      </c>
      <c r="L164" s="3" t="s">
        <v>1064</v>
      </c>
      <c r="M164" s="3" t="s">
        <v>1148</v>
      </c>
      <c r="N164" s="3" t="s">
        <v>1053</v>
      </c>
      <c r="O164" s="2" t="str">
        <f t="shared" si="3"/>
        <v>506J6</v>
      </c>
    </row>
    <row r="165" spans="3:15" x14ac:dyDescent="0.25">
      <c r="C165" s="3" t="s">
        <v>594</v>
      </c>
      <c r="D165" s="3" t="s">
        <v>595</v>
      </c>
      <c r="E165" s="3" t="s">
        <v>595</v>
      </c>
      <c r="F165" s="3">
        <v>5</v>
      </c>
      <c r="G165" s="3" t="s">
        <v>376</v>
      </c>
      <c r="H165" s="3" t="s">
        <v>88</v>
      </c>
      <c r="I165" s="3" t="s">
        <v>1114</v>
      </c>
      <c r="J165" s="3" t="s">
        <v>1046</v>
      </c>
      <c r="K165" s="3" t="s">
        <v>50</v>
      </c>
      <c r="L165" s="3" t="s">
        <v>1092</v>
      </c>
      <c r="M165" s="3" t="s">
        <v>1148</v>
      </c>
      <c r="N165" s="3" t="s">
        <v>984</v>
      </c>
      <c r="O165" s="2" t="str">
        <f t="shared" si="3"/>
        <v>506RS</v>
      </c>
    </row>
    <row r="166" spans="3:15" x14ac:dyDescent="0.25">
      <c r="C166" s="3" t="s">
        <v>119</v>
      </c>
      <c r="D166" s="3" t="s">
        <v>120</v>
      </c>
      <c r="E166" s="3" t="s">
        <v>120</v>
      </c>
      <c r="F166" s="3">
        <v>5</v>
      </c>
      <c r="G166" s="3" t="s">
        <v>37</v>
      </c>
      <c r="H166" s="3" t="s">
        <v>81</v>
      </c>
      <c r="I166" s="3" t="s">
        <v>1120</v>
      </c>
      <c r="J166" s="3" t="s">
        <v>1046</v>
      </c>
      <c r="K166" s="3" t="s">
        <v>63</v>
      </c>
      <c r="L166" s="3" t="s">
        <v>1065</v>
      </c>
      <c r="M166" s="3" t="s">
        <v>1149</v>
      </c>
      <c r="N166" s="3" t="s">
        <v>1112</v>
      </c>
      <c r="O166" s="2" t="str">
        <f t="shared" si="3"/>
        <v>506ZY</v>
      </c>
    </row>
    <row r="167" spans="3:15" x14ac:dyDescent="0.25">
      <c r="C167" s="3" t="s">
        <v>121</v>
      </c>
      <c r="D167" s="3" t="s">
        <v>122</v>
      </c>
      <c r="E167" s="3" t="s">
        <v>123</v>
      </c>
      <c r="F167" s="3">
        <v>5</v>
      </c>
      <c r="G167" s="3" t="s">
        <v>37</v>
      </c>
      <c r="H167" s="3" t="s">
        <v>81</v>
      </c>
      <c r="I167" s="3" t="s">
        <v>1114</v>
      </c>
      <c r="J167" s="3" t="s">
        <v>1046</v>
      </c>
      <c r="K167" s="3" t="s">
        <v>73</v>
      </c>
      <c r="L167" s="3" t="s">
        <v>1093</v>
      </c>
      <c r="M167" s="3" t="s">
        <v>1088</v>
      </c>
      <c r="N167" s="3" t="s">
        <v>378</v>
      </c>
      <c r="O167" s="2" t="str">
        <f t="shared" si="3"/>
        <v>508NJ</v>
      </c>
    </row>
    <row r="168" spans="3:15" x14ac:dyDescent="0.25">
      <c r="C168" s="3" t="s">
        <v>124</v>
      </c>
      <c r="D168" s="3" t="s">
        <v>125</v>
      </c>
      <c r="E168" s="3" t="s">
        <v>125</v>
      </c>
      <c r="F168" s="3">
        <v>5</v>
      </c>
      <c r="G168" s="3" t="s">
        <v>37</v>
      </c>
      <c r="H168" s="3" t="s">
        <v>81</v>
      </c>
      <c r="I168" s="3" t="s">
        <v>1114</v>
      </c>
      <c r="J168" s="3" t="s">
        <v>1046</v>
      </c>
      <c r="K168" s="3">
        <v>0</v>
      </c>
      <c r="L168" s="3" t="s">
        <v>1059</v>
      </c>
      <c r="M168" s="3" t="s">
        <v>1149</v>
      </c>
      <c r="N168" s="3" t="s">
        <v>1053</v>
      </c>
      <c r="O168" s="2" t="str">
        <f t="shared" si="3"/>
        <v>5091B</v>
      </c>
    </row>
    <row r="169" spans="3:15" x14ac:dyDescent="0.25">
      <c r="C169" s="3" t="s">
        <v>126</v>
      </c>
      <c r="D169" s="3" t="s">
        <v>127</v>
      </c>
      <c r="E169" s="3" t="s">
        <v>128</v>
      </c>
      <c r="F169" s="3">
        <v>5</v>
      </c>
      <c r="G169" s="3" t="s">
        <v>37</v>
      </c>
      <c r="H169" s="3" t="s">
        <v>81</v>
      </c>
      <c r="I169" s="3" t="s">
        <v>1120</v>
      </c>
      <c r="J169" s="3" t="s">
        <v>1046</v>
      </c>
      <c r="K169" s="3" t="s">
        <v>73</v>
      </c>
      <c r="L169" s="3" t="s">
        <v>1094</v>
      </c>
      <c r="M169" s="3" t="s">
        <v>1090</v>
      </c>
      <c r="N169" s="3" t="s">
        <v>378</v>
      </c>
      <c r="O169" s="2" t="str">
        <f t="shared" si="3"/>
        <v>509H6</v>
      </c>
    </row>
    <row r="170" spans="3:15" x14ac:dyDescent="0.25">
      <c r="C170" s="3" t="s">
        <v>546</v>
      </c>
      <c r="D170" s="3" t="s">
        <v>547</v>
      </c>
      <c r="E170" s="3" t="s">
        <v>547</v>
      </c>
      <c r="F170" s="3">
        <v>5</v>
      </c>
      <c r="G170" s="3" t="s">
        <v>376</v>
      </c>
      <c r="H170" s="3" t="s">
        <v>81</v>
      </c>
      <c r="I170" s="3" t="s">
        <v>1110</v>
      </c>
      <c r="J170" s="3" t="s">
        <v>1046</v>
      </c>
      <c r="K170" s="3" t="s">
        <v>100</v>
      </c>
      <c r="L170" s="3" t="s">
        <v>1060</v>
      </c>
      <c r="M170" s="3" t="s">
        <v>1148</v>
      </c>
      <c r="N170" s="24" t="s">
        <v>1035</v>
      </c>
      <c r="O170" s="2" t="str">
        <f t="shared" si="3"/>
        <v>50AC1</v>
      </c>
    </row>
    <row r="171" spans="3:15" x14ac:dyDescent="0.25">
      <c r="C171" s="3" t="s">
        <v>130</v>
      </c>
      <c r="D171" s="3" t="s">
        <v>131</v>
      </c>
      <c r="E171" s="3" t="s">
        <v>131</v>
      </c>
      <c r="F171" s="3">
        <v>5</v>
      </c>
      <c r="G171" s="3" t="s">
        <v>37</v>
      </c>
      <c r="H171" s="3" t="s">
        <v>81</v>
      </c>
      <c r="I171" s="3" t="s">
        <v>1114</v>
      </c>
      <c r="J171" s="3" t="s">
        <v>1046</v>
      </c>
      <c r="K171" s="3" t="s">
        <v>132</v>
      </c>
      <c r="L171" s="3" t="s">
        <v>1082</v>
      </c>
      <c r="M171" s="3" t="s">
        <v>1148</v>
      </c>
      <c r="N171" s="24" t="s">
        <v>1035</v>
      </c>
      <c r="O171" s="2" t="str">
        <f t="shared" si="3"/>
        <v>50AFU</v>
      </c>
    </row>
    <row r="172" spans="3:15" x14ac:dyDescent="0.25">
      <c r="C172" s="3" t="s">
        <v>134</v>
      </c>
      <c r="D172" s="3" t="s">
        <v>135</v>
      </c>
      <c r="E172" s="3" t="s">
        <v>135</v>
      </c>
      <c r="F172" s="3">
        <v>5</v>
      </c>
      <c r="G172" s="3" t="s">
        <v>37</v>
      </c>
      <c r="H172" s="3" t="s">
        <v>81</v>
      </c>
      <c r="I172" s="3" t="s">
        <v>1120</v>
      </c>
      <c r="J172" s="3" t="s">
        <v>1046</v>
      </c>
      <c r="K172" s="3" t="s">
        <v>132</v>
      </c>
      <c r="L172" s="3" t="s">
        <v>1059</v>
      </c>
      <c r="M172" s="3" t="s">
        <v>1149</v>
      </c>
      <c r="N172" s="24" t="s">
        <v>1035</v>
      </c>
      <c r="O172" s="2" t="str">
        <f t="shared" si="3"/>
        <v>50AGU</v>
      </c>
    </row>
    <row r="173" spans="3:15" x14ac:dyDescent="0.25">
      <c r="C173" s="3" t="s">
        <v>136</v>
      </c>
      <c r="D173" s="3" t="s">
        <v>137</v>
      </c>
      <c r="E173" s="3" t="s">
        <v>137</v>
      </c>
      <c r="F173" s="3">
        <v>5</v>
      </c>
      <c r="G173" s="3" t="s">
        <v>37</v>
      </c>
      <c r="H173" s="3" t="s">
        <v>88</v>
      </c>
      <c r="I173" s="3" t="s">
        <v>1120</v>
      </c>
      <c r="J173" s="3" t="s">
        <v>1046</v>
      </c>
      <c r="K173" s="3" t="s">
        <v>58</v>
      </c>
      <c r="L173" s="3" t="s">
        <v>1060</v>
      </c>
      <c r="M173" s="3" t="s">
        <v>1148</v>
      </c>
      <c r="N173" s="3" t="s">
        <v>1112</v>
      </c>
      <c r="O173" s="2" t="str">
        <f t="shared" si="3"/>
        <v>50AJL</v>
      </c>
    </row>
    <row r="174" spans="3:15" x14ac:dyDescent="0.25">
      <c r="C174" s="3" t="s">
        <v>139</v>
      </c>
      <c r="D174" s="3" t="s">
        <v>140</v>
      </c>
      <c r="E174" s="3" t="s">
        <v>140</v>
      </c>
      <c r="F174" s="3">
        <v>5</v>
      </c>
      <c r="G174" s="3" t="s">
        <v>37</v>
      </c>
      <c r="H174" s="3" t="s">
        <v>88</v>
      </c>
      <c r="I174" s="3" t="s">
        <v>1114</v>
      </c>
      <c r="J174" s="3" t="s">
        <v>1046</v>
      </c>
      <c r="K174" s="3" t="s">
        <v>89</v>
      </c>
      <c r="L174" s="3" t="s">
        <v>1075</v>
      </c>
      <c r="M174" s="3" t="s">
        <v>1076</v>
      </c>
      <c r="N174" s="3" t="s">
        <v>378</v>
      </c>
      <c r="O174" s="2" t="str">
        <f t="shared" si="3"/>
        <v>50AL4</v>
      </c>
    </row>
    <row r="175" spans="3:15" x14ac:dyDescent="0.25">
      <c r="C175" s="3" t="s">
        <v>411</v>
      </c>
      <c r="D175" s="3" t="s">
        <v>412</v>
      </c>
      <c r="E175" s="3" t="s">
        <v>1180</v>
      </c>
      <c r="F175" s="3">
        <v>5</v>
      </c>
      <c r="G175" s="3" t="s">
        <v>376</v>
      </c>
      <c r="H175" s="3" t="s">
        <v>46</v>
      </c>
      <c r="I175" s="3" t="s">
        <v>1114</v>
      </c>
      <c r="J175" s="3" t="s">
        <v>1031</v>
      </c>
      <c r="K175" s="3" t="s">
        <v>63</v>
      </c>
      <c r="L175" s="3" t="s">
        <v>1060</v>
      </c>
      <c r="M175" s="3" t="s">
        <v>1148</v>
      </c>
      <c r="N175" s="3" t="s">
        <v>1112</v>
      </c>
      <c r="O175" s="2" t="str">
        <f t="shared" si="3"/>
        <v>50ALM</v>
      </c>
    </row>
    <row r="176" spans="3:15" x14ac:dyDescent="0.25">
      <c r="C176" s="3" t="s">
        <v>578</v>
      </c>
      <c r="D176" s="3" t="s">
        <v>579</v>
      </c>
      <c r="E176" s="3" t="s">
        <v>1181</v>
      </c>
      <c r="F176" s="3">
        <v>5</v>
      </c>
      <c r="G176" s="3" t="s">
        <v>376</v>
      </c>
      <c r="H176" s="3" t="s">
        <v>46</v>
      </c>
      <c r="I176" s="3" t="s">
        <v>1110</v>
      </c>
      <c r="J176" s="3" t="s">
        <v>1046</v>
      </c>
      <c r="K176" s="3" t="s">
        <v>331</v>
      </c>
      <c r="L176" s="3" t="s">
        <v>1060</v>
      </c>
      <c r="M176" s="3" t="s">
        <v>1148</v>
      </c>
      <c r="N176" s="3" t="s">
        <v>984</v>
      </c>
      <c r="O176" s="2" t="str">
        <f t="shared" si="3"/>
        <v>50AMA</v>
      </c>
    </row>
    <row r="177" spans="3:15" x14ac:dyDescent="0.25">
      <c r="C177" s="3" t="s">
        <v>908</v>
      </c>
      <c r="D177" s="3" t="s">
        <v>909</v>
      </c>
      <c r="E177" s="3" t="s">
        <v>1182</v>
      </c>
      <c r="F177" s="3">
        <v>5</v>
      </c>
      <c r="G177" s="3" t="s">
        <v>376</v>
      </c>
      <c r="H177" s="3" t="s">
        <v>88</v>
      </c>
      <c r="I177" s="3" t="s">
        <v>1114</v>
      </c>
      <c r="J177" s="3" t="s">
        <v>1046</v>
      </c>
      <c r="K177" s="3" t="s">
        <v>73</v>
      </c>
      <c r="L177" s="3" t="s">
        <v>1095</v>
      </c>
      <c r="M177" s="3" t="s">
        <v>1148</v>
      </c>
      <c r="N177" s="3" t="s">
        <v>378</v>
      </c>
      <c r="O177" s="2" t="str">
        <f t="shared" si="3"/>
        <v>50APB</v>
      </c>
    </row>
    <row r="178" spans="3:15" x14ac:dyDescent="0.25">
      <c r="C178" s="3" t="s">
        <v>413</v>
      </c>
      <c r="D178" s="3" t="s">
        <v>414</v>
      </c>
      <c r="E178" s="3" t="s">
        <v>414</v>
      </c>
      <c r="F178" s="3">
        <v>5</v>
      </c>
      <c r="G178" s="3" t="s">
        <v>376</v>
      </c>
      <c r="H178" s="3" t="s">
        <v>46</v>
      </c>
      <c r="I178" s="3" t="s">
        <v>1114</v>
      </c>
      <c r="J178" s="3" t="s">
        <v>1031</v>
      </c>
      <c r="K178" s="3" t="s">
        <v>63</v>
      </c>
      <c r="L178" s="3" t="s">
        <v>1060</v>
      </c>
      <c r="M178" s="3" t="s">
        <v>1148</v>
      </c>
      <c r="N178" s="3" t="s">
        <v>1112</v>
      </c>
      <c r="O178" s="2" t="str">
        <f t="shared" si="3"/>
        <v>50APO</v>
      </c>
    </row>
    <row r="179" spans="3:15" x14ac:dyDescent="0.25">
      <c r="C179" s="3" t="s">
        <v>580</v>
      </c>
      <c r="D179" s="3" t="s">
        <v>581</v>
      </c>
      <c r="E179" s="3" t="s">
        <v>581</v>
      </c>
      <c r="F179" s="3">
        <v>5</v>
      </c>
      <c r="G179" s="3" t="s">
        <v>376</v>
      </c>
      <c r="H179" s="3" t="s">
        <v>46</v>
      </c>
      <c r="I179" s="3" t="s">
        <v>1110</v>
      </c>
      <c r="J179" s="3" t="s">
        <v>1046</v>
      </c>
      <c r="K179" s="3" t="s">
        <v>331</v>
      </c>
      <c r="L179" s="3" t="s">
        <v>1060</v>
      </c>
      <c r="M179" s="3" t="s">
        <v>1148</v>
      </c>
      <c r="N179" s="3" t="s">
        <v>984</v>
      </c>
      <c r="O179" s="2" t="str">
        <f t="shared" si="3"/>
        <v>50AQL</v>
      </c>
    </row>
    <row r="180" spans="3:15" x14ac:dyDescent="0.25">
      <c r="C180" s="3" t="s">
        <v>756</v>
      </c>
      <c r="D180" s="3" t="s">
        <v>757</v>
      </c>
      <c r="E180" s="3" t="s">
        <v>757</v>
      </c>
      <c r="F180" s="4">
        <v>6</v>
      </c>
      <c r="G180" s="3" t="s">
        <v>376</v>
      </c>
      <c r="H180" s="3" t="s">
        <v>46</v>
      </c>
      <c r="I180" s="3" t="s">
        <v>1114</v>
      </c>
      <c r="J180" s="3" t="s">
        <v>1031</v>
      </c>
      <c r="K180" s="3" t="s">
        <v>1048</v>
      </c>
      <c r="L180" s="3" t="s">
        <v>1152</v>
      </c>
      <c r="M180" s="3" t="s">
        <v>1074</v>
      </c>
      <c r="N180" s="3" t="s">
        <v>378</v>
      </c>
      <c r="O180" s="2" t="str">
        <f t="shared" si="3"/>
        <v>50ARL</v>
      </c>
    </row>
    <row r="181" spans="3:15" x14ac:dyDescent="0.25">
      <c r="C181" s="3" t="s">
        <v>812</v>
      </c>
      <c r="D181" s="3" t="s">
        <v>813</v>
      </c>
      <c r="E181" s="3" t="s">
        <v>1183</v>
      </c>
      <c r="F181" s="3">
        <v>5</v>
      </c>
      <c r="G181" s="3" t="s">
        <v>376</v>
      </c>
      <c r="H181" s="3" t="s">
        <v>46</v>
      </c>
      <c r="I181" s="3" t="s">
        <v>1110</v>
      </c>
      <c r="J181" s="3" t="s">
        <v>1046</v>
      </c>
      <c r="K181" s="3" t="s">
        <v>146</v>
      </c>
      <c r="L181" s="3" t="s">
        <v>1064</v>
      </c>
      <c r="M181" s="3" t="s">
        <v>1149</v>
      </c>
      <c r="N181" s="24" t="s">
        <v>1035</v>
      </c>
      <c r="O181" s="2" t="str">
        <f t="shared" si="3"/>
        <v>50AVA</v>
      </c>
    </row>
    <row r="182" spans="3:15" x14ac:dyDescent="0.25">
      <c r="C182" s="3" t="s">
        <v>141</v>
      </c>
      <c r="D182" s="3" t="s">
        <v>142</v>
      </c>
      <c r="E182" s="3" t="s">
        <v>142</v>
      </c>
      <c r="F182" s="3">
        <v>5</v>
      </c>
      <c r="G182" s="3" t="s">
        <v>37</v>
      </c>
      <c r="H182" s="3" t="s">
        <v>81</v>
      </c>
      <c r="I182" s="3" t="s">
        <v>1114</v>
      </c>
      <c r="J182" s="3" t="s">
        <v>1046</v>
      </c>
      <c r="K182" s="3">
        <v>0</v>
      </c>
      <c r="L182" s="3" t="s">
        <v>1096</v>
      </c>
      <c r="M182" s="3" t="s">
        <v>1149</v>
      </c>
      <c r="N182" s="3" t="s">
        <v>1053</v>
      </c>
      <c r="O182" s="2" t="str">
        <f t="shared" si="3"/>
        <v>50AZF</v>
      </c>
    </row>
    <row r="183" spans="3:15" x14ac:dyDescent="0.25">
      <c r="C183" s="3" t="s">
        <v>437</v>
      </c>
      <c r="D183" s="3" t="s">
        <v>438</v>
      </c>
      <c r="E183" s="3" t="s">
        <v>1184</v>
      </c>
      <c r="F183" s="3">
        <v>5</v>
      </c>
      <c r="G183" s="3" t="s">
        <v>376</v>
      </c>
      <c r="H183" s="3" t="s">
        <v>88</v>
      </c>
      <c r="I183" s="3" t="s">
        <v>1111</v>
      </c>
      <c r="J183" s="3" t="s">
        <v>1046</v>
      </c>
      <c r="K183" s="3" t="s">
        <v>94</v>
      </c>
      <c r="L183" s="3" t="s">
        <v>1065</v>
      </c>
      <c r="M183" s="3" t="s">
        <v>1148</v>
      </c>
      <c r="N183" s="24" t="s">
        <v>1035</v>
      </c>
      <c r="O183" s="2" t="str">
        <f t="shared" si="3"/>
        <v>50B51</v>
      </c>
    </row>
    <row r="184" spans="3:15" x14ac:dyDescent="0.25">
      <c r="C184" s="3" t="s">
        <v>497</v>
      </c>
      <c r="D184" s="3" t="s">
        <v>498</v>
      </c>
      <c r="E184" s="3" t="s">
        <v>499</v>
      </c>
      <c r="F184" s="4">
        <v>5.45</v>
      </c>
      <c r="G184" s="3" t="s">
        <v>376</v>
      </c>
      <c r="H184" s="3" t="s">
        <v>46</v>
      </c>
      <c r="I184" s="3" t="s">
        <v>1110</v>
      </c>
      <c r="J184" s="3" t="s">
        <v>1046</v>
      </c>
      <c r="K184" s="3" t="s">
        <v>58</v>
      </c>
      <c r="L184" s="3" t="s">
        <v>1059</v>
      </c>
      <c r="M184" s="3" t="s">
        <v>1149</v>
      </c>
      <c r="N184" s="3" t="s">
        <v>1112</v>
      </c>
      <c r="O184" s="2" t="str">
        <f t="shared" si="3"/>
        <v>50BAR</v>
      </c>
    </row>
    <row r="185" spans="3:15" x14ac:dyDescent="0.25">
      <c r="C185" s="3" t="s">
        <v>144</v>
      </c>
      <c r="D185" s="3" t="s">
        <v>145</v>
      </c>
      <c r="E185" s="3" t="s">
        <v>145</v>
      </c>
      <c r="F185" s="3">
        <v>5</v>
      </c>
      <c r="G185" s="3" t="s">
        <v>37</v>
      </c>
      <c r="H185" s="3" t="s">
        <v>46</v>
      </c>
      <c r="I185" s="3" t="s">
        <v>1111</v>
      </c>
      <c r="J185" s="3" t="s">
        <v>1046</v>
      </c>
      <c r="K185" s="3" t="s">
        <v>146</v>
      </c>
      <c r="L185" s="3" t="s">
        <v>1060</v>
      </c>
      <c r="M185" s="3" t="s">
        <v>1148</v>
      </c>
      <c r="N185" s="24" t="s">
        <v>1035</v>
      </c>
      <c r="O185" s="2" t="str">
        <f t="shared" si="3"/>
        <v>50BER</v>
      </c>
    </row>
    <row r="186" spans="3:15" x14ac:dyDescent="0.25">
      <c r="C186" s="3" t="s">
        <v>784</v>
      </c>
      <c r="D186" s="3" t="s">
        <v>785</v>
      </c>
      <c r="E186" s="3" t="s">
        <v>785</v>
      </c>
      <c r="F186" s="3">
        <v>5</v>
      </c>
      <c r="G186" s="3" t="s">
        <v>376</v>
      </c>
      <c r="H186" s="3" t="s">
        <v>81</v>
      </c>
      <c r="I186" s="3" t="s">
        <v>1114</v>
      </c>
      <c r="J186" s="3" t="s">
        <v>1031</v>
      </c>
      <c r="K186" s="3" t="s">
        <v>89</v>
      </c>
      <c r="L186" s="3" t="s">
        <v>1075</v>
      </c>
      <c r="M186" s="3" t="s">
        <v>1076</v>
      </c>
      <c r="N186" s="3" t="s">
        <v>378</v>
      </c>
      <c r="O186" s="2" t="str">
        <f t="shared" si="3"/>
        <v>50BFI</v>
      </c>
    </row>
    <row r="187" spans="3:15" x14ac:dyDescent="0.25">
      <c r="C187" s="3" t="s">
        <v>147</v>
      </c>
      <c r="D187" s="3" t="s">
        <v>148</v>
      </c>
      <c r="E187" s="3" t="s">
        <v>1185</v>
      </c>
      <c r="F187" s="3">
        <v>5</v>
      </c>
      <c r="G187" s="3" t="s">
        <v>37</v>
      </c>
      <c r="H187" s="3" t="s">
        <v>46</v>
      </c>
      <c r="I187" s="3" t="s">
        <v>1120</v>
      </c>
      <c r="J187" s="3" t="s">
        <v>1046</v>
      </c>
      <c r="K187" s="3" t="s">
        <v>50</v>
      </c>
      <c r="L187" s="3" t="s">
        <v>1059</v>
      </c>
      <c r="M187" s="3" t="s">
        <v>1149</v>
      </c>
      <c r="N187" s="3" t="s">
        <v>984</v>
      </c>
      <c r="O187" s="2" t="str">
        <f t="shared" si="3"/>
        <v>50BLL</v>
      </c>
    </row>
    <row r="188" spans="3:15" x14ac:dyDescent="0.25">
      <c r="C188" s="3" t="s">
        <v>149</v>
      </c>
      <c r="D188" s="3" t="s">
        <v>150</v>
      </c>
      <c r="E188" s="3" t="s">
        <v>150</v>
      </c>
      <c r="F188" s="3">
        <v>5</v>
      </c>
      <c r="G188" s="3" t="s">
        <v>37</v>
      </c>
      <c r="H188" s="3" t="s">
        <v>81</v>
      </c>
      <c r="I188" s="3" t="s">
        <v>1114</v>
      </c>
      <c r="J188" s="3" t="s">
        <v>1046</v>
      </c>
      <c r="K188" s="3" t="s">
        <v>100</v>
      </c>
      <c r="L188" s="3" t="s">
        <v>1064</v>
      </c>
      <c r="M188" s="3" t="s">
        <v>1149</v>
      </c>
      <c r="N188" s="24" t="s">
        <v>1035</v>
      </c>
      <c r="O188" s="2" t="str">
        <f t="shared" si="3"/>
        <v>50BMP</v>
      </c>
    </row>
    <row r="189" spans="3:15" x14ac:dyDescent="0.25">
      <c r="C189" s="3" t="s">
        <v>151</v>
      </c>
      <c r="D189" s="3" t="s">
        <v>152</v>
      </c>
      <c r="E189" s="3" t="s">
        <v>152</v>
      </c>
      <c r="F189" s="3">
        <v>5</v>
      </c>
      <c r="G189" s="3" t="s">
        <v>37</v>
      </c>
      <c r="H189" s="3" t="s">
        <v>88</v>
      </c>
      <c r="I189" s="3" t="s">
        <v>1111</v>
      </c>
      <c r="J189" s="3" t="s">
        <v>1046</v>
      </c>
      <c r="K189" s="3" t="s">
        <v>132</v>
      </c>
      <c r="L189" s="3" t="s">
        <v>1082</v>
      </c>
      <c r="M189" s="3" t="s">
        <v>1148</v>
      </c>
      <c r="N189" s="24" t="s">
        <v>1035</v>
      </c>
      <c r="O189" s="2" t="str">
        <f t="shared" si="3"/>
        <v>50CEI</v>
      </c>
    </row>
    <row r="190" spans="3:15" x14ac:dyDescent="0.25">
      <c r="C190" s="3" t="s">
        <v>786</v>
      </c>
      <c r="D190" s="3" t="s">
        <v>787</v>
      </c>
      <c r="E190" s="3" t="s">
        <v>787</v>
      </c>
      <c r="F190" s="3">
        <v>5</v>
      </c>
      <c r="G190" s="3" t="s">
        <v>376</v>
      </c>
      <c r="H190" s="3" t="s">
        <v>88</v>
      </c>
      <c r="I190" s="3" t="s">
        <v>1111</v>
      </c>
      <c r="J190" s="3" t="s">
        <v>1031</v>
      </c>
      <c r="K190" s="3" t="s">
        <v>89</v>
      </c>
      <c r="L190" s="3" t="s">
        <v>1075</v>
      </c>
      <c r="M190" s="3" t="s">
        <v>1076</v>
      </c>
      <c r="N190" s="3" t="s">
        <v>378</v>
      </c>
      <c r="O190" s="2" t="str">
        <f t="shared" si="3"/>
        <v>50CLM</v>
      </c>
    </row>
    <row r="191" spans="3:15" x14ac:dyDescent="0.25">
      <c r="C191" s="3" t="s">
        <v>582</v>
      </c>
      <c r="D191" s="3" t="s">
        <v>583</v>
      </c>
      <c r="E191" s="3" t="s">
        <v>583</v>
      </c>
      <c r="F191" s="3">
        <v>5</v>
      </c>
      <c r="G191" s="3" t="s">
        <v>376</v>
      </c>
      <c r="H191" s="3" t="s">
        <v>46</v>
      </c>
      <c r="I191" s="3" t="s">
        <v>1110</v>
      </c>
      <c r="J191" s="3" t="s">
        <v>1046</v>
      </c>
      <c r="K191" s="3" t="s">
        <v>331</v>
      </c>
      <c r="L191" s="3" t="s">
        <v>1060</v>
      </c>
      <c r="M191" s="3" t="s">
        <v>1148</v>
      </c>
      <c r="N191" s="3" t="s">
        <v>984</v>
      </c>
      <c r="O191" s="2" t="str">
        <f t="shared" si="3"/>
        <v>50COL</v>
      </c>
    </row>
    <row r="192" spans="3:15" x14ac:dyDescent="0.25">
      <c r="C192" s="3" t="s">
        <v>714</v>
      </c>
      <c r="D192" s="3" t="s">
        <v>715</v>
      </c>
      <c r="E192" s="3" t="s">
        <v>715</v>
      </c>
      <c r="F192" s="3">
        <v>5</v>
      </c>
      <c r="G192" s="3" t="s">
        <v>376</v>
      </c>
      <c r="H192" s="3" t="s">
        <v>81</v>
      </c>
      <c r="I192" s="3" t="s">
        <v>1114</v>
      </c>
      <c r="J192" s="3" t="s">
        <v>1031</v>
      </c>
      <c r="K192" s="3" t="s">
        <v>84</v>
      </c>
      <c r="L192" s="3" t="s">
        <v>1152</v>
      </c>
      <c r="M192" s="3" t="s">
        <v>1074</v>
      </c>
      <c r="N192" s="3" t="s">
        <v>378</v>
      </c>
      <c r="O192" s="2" t="str">
        <f t="shared" si="3"/>
        <v>50D6N</v>
      </c>
    </row>
    <row r="193" spans="3:15" x14ac:dyDescent="0.25">
      <c r="C193" s="3" t="s">
        <v>153</v>
      </c>
      <c r="D193" s="3" t="s">
        <v>154</v>
      </c>
      <c r="E193" s="3" t="s">
        <v>155</v>
      </c>
      <c r="F193" s="3">
        <v>5</v>
      </c>
      <c r="G193" s="3" t="s">
        <v>37</v>
      </c>
      <c r="H193" s="3" t="s">
        <v>81</v>
      </c>
      <c r="I193" s="3" t="s">
        <v>1120</v>
      </c>
      <c r="J193" s="3" t="s">
        <v>1046</v>
      </c>
      <c r="K193" s="3" t="s">
        <v>84</v>
      </c>
      <c r="L193" s="3" t="s">
        <v>1152</v>
      </c>
      <c r="M193" s="3" t="s">
        <v>1074</v>
      </c>
      <c r="N193" s="3" t="s">
        <v>378</v>
      </c>
      <c r="O193" s="2" t="str">
        <f t="shared" si="3"/>
        <v>50DBW</v>
      </c>
    </row>
    <row r="194" spans="3:15" x14ac:dyDescent="0.25">
      <c r="C194" s="3" t="s">
        <v>912</v>
      </c>
      <c r="D194" s="3" t="s">
        <v>913</v>
      </c>
      <c r="E194" s="3" t="s">
        <v>913</v>
      </c>
      <c r="F194" s="3">
        <v>5</v>
      </c>
      <c r="G194" s="3" t="s">
        <v>376</v>
      </c>
      <c r="H194" s="3" t="s">
        <v>81</v>
      </c>
      <c r="I194" s="3" t="s">
        <v>1114</v>
      </c>
      <c r="J194" s="3" t="s">
        <v>1046</v>
      </c>
      <c r="K194" s="3" t="s">
        <v>73</v>
      </c>
      <c r="L194" s="3" t="s">
        <v>1097</v>
      </c>
      <c r="M194" s="3" t="s">
        <v>1148</v>
      </c>
      <c r="N194" s="3" t="s">
        <v>378</v>
      </c>
      <c r="O194" s="2" t="str">
        <f t="shared" si="3"/>
        <v>50DKQ</v>
      </c>
    </row>
    <row r="195" spans="3:15" x14ac:dyDescent="0.25">
      <c r="C195" s="3" t="s">
        <v>500</v>
      </c>
      <c r="D195" s="3" t="s">
        <v>501</v>
      </c>
      <c r="E195" s="3" t="s">
        <v>501</v>
      </c>
      <c r="F195" s="3">
        <v>5</v>
      </c>
      <c r="G195" s="3" t="s">
        <v>376</v>
      </c>
      <c r="H195" s="3" t="s">
        <v>46</v>
      </c>
      <c r="I195" s="3" t="s">
        <v>1114</v>
      </c>
      <c r="J195" s="3" t="s">
        <v>1046</v>
      </c>
      <c r="K195" s="3" t="s">
        <v>58</v>
      </c>
      <c r="L195" s="3" t="s">
        <v>1059</v>
      </c>
      <c r="M195" s="3" t="s">
        <v>1149</v>
      </c>
      <c r="N195" s="3" t="s">
        <v>1112</v>
      </c>
      <c r="O195" s="2" t="str">
        <f t="shared" si="3"/>
        <v>50DPR</v>
      </c>
    </row>
    <row r="196" spans="3:15" x14ac:dyDescent="0.25">
      <c r="C196" s="3" t="s">
        <v>441</v>
      </c>
      <c r="D196" s="3" t="s">
        <v>442</v>
      </c>
      <c r="E196" s="3" t="s">
        <v>1186</v>
      </c>
      <c r="F196" s="3">
        <v>5</v>
      </c>
      <c r="G196" s="3" t="s">
        <v>376</v>
      </c>
      <c r="H196" s="3" t="s">
        <v>46</v>
      </c>
      <c r="I196" s="3" t="s">
        <v>1110</v>
      </c>
      <c r="J196" s="3" t="s">
        <v>1046</v>
      </c>
      <c r="K196" s="3" t="s">
        <v>94</v>
      </c>
      <c r="L196" s="3" t="s">
        <v>1065</v>
      </c>
      <c r="M196" s="3" t="s">
        <v>1149</v>
      </c>
      <c r="N196" s="24" t="s">
        <v>1035</v>
      </c>
      <c r="O196" s="2" t="str">
        <f t="shared" ref="O196:O259" si="4">C196</f>
        <v>50DWS</v>
      </c>
    </row>
    <row r="197" spans="3:15" x14ac:dyDescent="0.25">
      <c r="C197" s="3" t="s">
        <v>156</v>
      </c>
      <c r="D197" s="3" t="s">
        <v>157</v>
      </c>
      <c r="E197" s="3" t="s">
        <v>157</v>
      </c>
      <c r="F197" s="3">
        <v>5</v>
      </c>
      <c r="G197" s="3" t="s">
        <v>37</v>
      </c>
      <c r="H197" s="3" t="s">
        <v>46</v>
      </c>
      <c r="I197" s="3" t="s">
        <v>1120</v>
      </c>
      <c r="J197" s="3" t="s">
        <v>1046</v>
      </c>
      <c r="K197" s="3">
        <v>0</v>
      </c>
      <c r="L197" s="3" t="s">
        <v>1059</v>
      </c>
      <c r="M197" s="3" t="s">
        <v>1149</v>
      </c>
      <c r="N197" s="3" t="s">
        <v>1053</v>
      </c>
      <c r="O197" s="2" t="str">
        <f t="shared" si="4"/>
        <v>50DXJ</v>
      </c>
    </row>
    <row r="198" spans="3:15" x14ac:dyDescent="0.25">
      <c r="C198" s="3" t="s">
        <v>875</v>
      </c>
      <c r="D198" s="3" t="s">
        <v>876</v>
      </c>
      <c r="E198" s="3" t="s">
        <v>876</v>
      </c>
      <c r="F198" s="3">
        <v>5</v>
      </c>
      <c r="G198" s="3" t="s">
        <v>376</v>
      </c>
      <c r="H198" s="3" t="s">
        <v>81</v>
      </c>
      <c r="I198" s="3" t="s">
        <v>1114</v>
      </c>
      <c r="J198" s="3" t="s">
        <v>1046</v>
      </c>
      <c r="K198" s="3" t="s">
        <v>132</v>
      </c>
      <c r="L198" s="3" t="s">
        <v>1077</v>
      </c>
      <c r="M198" s="3" t="s">
        <v>1148</v>
      </c>
      <c r="N198" s="24" t="s">
        <v>1035</v>
      </c>
      <c r="O198" s="2" t="str">
        <f t="shared" si="4"/>
        <v>50EFH</v>
      </c>
    </row>
    <row r="199" spans="3:15" x14ac:dyDescent="0.25">
      <c r="C199" s="3" t="s">
        <v>158</v>
      </c>
      <c r="D199" s="3" t="s">
        <v>159</v>
      </c>
      <c r="E199" s="3" t="s">
        <v>159</v>
      </c>
      <c r="F199" s="3">
        <v>5</v>
      </c>
      <c r="G199" s="3" t="s">
        <v>37</v>
      </c>
      <c r="H199" s="3" t="s">
        <v>81</v>
      </c>
      <c r="I199" s="3" t="s">
        <v>1114</v>
      </c>
      <c r="J199" s="3" t="s">
        <v>1046</v>
      </c>
      <c r="K199" s="3" t="s">
        <v>160</v>
      </c>
      <c r="L199" s="3" t="s">
        <v>1098</v>
      </c>
      <c r="M199" s="3" t="s">
        <v>1074</v>
      </c>
      <c r="N199" s="3" t="s">
        <v>984</v>
      </c>
      <c r="O199" s="2" t="str">
        <f t="shared" si="4"/>
        <v>50EVA</v>
      </c>
    </row>
    <row r="200" spans="3:15" x14ac:dyDescent="0.25">
      <c r="C200" s="3" t="s">
        <v>814</v>
      </c>
      <c r="D200" s="3" t="s">
        <v>815</v>
      </c>
      <c r="E200" s="3" t="s">
        <v>816</v>
      </c>
      <c r="F200" s="3">
        <v>5</v>
      </c>
      <c r="G200" s="3" t="s">
        <v>376</v>
      </c>
      <c r="H200" s="3" t="s">
        <v>88</v>
      </c>
      <c r="I200" s="3" t="s">
        <v>1114</v>
      </c>
      <c r="J200" s="3" t="s">
        <v>1046</v>
      </c>
      <c r="K200" s="3" t="s">
        <v>146</v>
      </c>
      <c r="L200" s="3" t="s">
        <v>1064</v>
      </c>
      <c r="M200" s="3" t="s">
        <v>1148</v>
      </c>
      <c r="N200" s="24" t="s">
        <v>1035</v>
      </c>
      <c r="O200" s="2" t="str">
        <f t="shared" si="4"/>
        <v>50F4M</v>
      </c>
    </row>
    <row r="201" spans="3:15" x14ac:dyDescent="0.25">
      <c r="C201" s="3" t="s">
        <v>598</v>
      </c>
      <c r="D201" s="3" t="s">
        <v>599</v>
      </c>
      <c r="E201" s="3" t="s">
        <v>600</v>
      </c>
      <c r="F201" s="3">
        <v>5</v>
      </c>
      <c r="G201" s="3" t="s">
        <v>376</v>
      </c>
      <c r="H201" s="3" t="s">
        <v>88</v>
      </c>
      <c r="I201" s="3" t="s">
        <v>1114</v>
      </c>
      <c r="J201" s="3" t="s">
        <v>1046</v>
      </c>
      <c r="K201" s="3" t="s">
        <v>50</v>
      </c>
      <c r="L201" s="3" t="s">
        <v>1099</v>
      </c>
      <c r="M201" s="3" t="s">
        <v>1148</v>
      </c>
      <c r="N201" s="3" t="s">
        <v>984</v>
      </c>
      <c r="O201" s="2" t="str">
        <f t="shared" si="4"/>
        <v>50FF5</v>
      </c>
    </row>
    <row r="202" spans="3:15" x14ac:dyDescent="0.25">
      <c r="C202" s="3" t="s">
        <v>162</v>
      </c>
      <c r="D202" s="3" t="s">
        <v>163</v>
      </c>
      <c r="E202" s="3" t="s">
        <v>163</v>
      </c>
      <c r="F202" s="3">
        <v>5</v>
      </c>
      <c r="G202" s="3" t="s">
        <v>37</v>
      </c>
      <c r="H202" s="3" t="s">
        <v>88</v>
      </c>
      <c r="I202" s="3" t="s">
        <v>1111</v>
      </c>
      <c r="J202" s="3" t="s">
        <v>1046</v>
      </c>
      <c r="K202" s="3" t="s">
        <v>63</v>
      </c>
      <c r="L202" s="3" t="s">
        <v>1060</v>
      </c>
      <c r="M202" s="3" t="s">
        <v>1148</v>
      </c>
      <c r="N202" s="3" t="s">
        <v>1112</v>
      </c>
      <c r="O202" s="2" t="str">
        <f t="shared" si="4"/>
        <v>50FLF</v>
      </c>
    </row>
    <row r="203" spans="3:15" x14ac:dyDescent="0.25">
      <c r="C203" s="3" t="s">
        <v>716</v>
      </c>
      <c r="D203" s="3" t="s">
        <v>717</v>
      </c>
      <c r="E203" s="3" t="s">
        <v>1187</v>
      </c>
      <c r="F203" s="4">
        <v>6</v>
      </c>
      <c r="G203" s="3" t="s">
        <v>376</v>
      </c>
      <c r="H203" s="3" t="s">
        <v>46</v>
      </c>
      <c r="I203" s="3" t="s">
        <v>1111</v>
      </c>
      <c r="J203" s="3" t="s">
        <v>1031</v>
      </c>
      <c r="K203" s="3" t="s">
        <v>84</v>
      </c>
      <c r="L203" s="3" t="s">
        <v>1152</v>
      </c>
      <c r="M203" s="3" t="s">
        <v>1074</v>
      </c>
      <c r="N203" s="3" t="s">
        <v>378</v>
      </c>
      <c r="O203" s="2" t="str">
        <f t="shared" si="4"/>
        <v>50FLP</v>
      </c>
    </row>
    <row r="204" spans="3:15" x14ac:dyDescent="0.25">
      <c r="C204" s="3" t="s">
        <v>788</v>
      </c>
      <c r="D204" s="3" t="s">
        <v>789</v>
      </c>
      <c r="E204" s="3" t="s">
        <v>790</v>
      </c>
      <c r="F204" s="3">
        <v>5</v>
      </c>
      <c r="G204" s="3" t="s">
        <v>376</v>
      </c>
      <c r="H204" s="3" t="s">
        <v>81</v>
      </c>
      <c r="I204" s="3" t="s">
        <v>1114</v>
      </c>
      <c r="J204" s="3" t="s">
        <v>1031</v>
      </c>
      <c r="K204" s="3" t="s">
        <v>89</v>
      </c>
      <c r="L204" s="3" t="s">
        <v>1075</v>
      </c>
      <c r="M204" s="3" t="s">
        <v>1076</v>
      </c>
      <c r="N204" s="3" t="s">
        <v>378</v>
      </c>
      <c r="O204" s="2" t="str">
        <f t="shared" si="4"/>
        <v>50FNM</v>
      </c>
    </row>
    <row r="205" spans="3:15" x14ac:dyDescent="0.25">
      <c r="C205" s="3" t="s">
        <v>443</v>
      </c>
      <c r="D205" s="3" t="s">
        <v>444</v>
      </c>
      <c r="E205" s="3" t="s">
        <v>444</v>
      </c>
      <c r="F205" s="3">
        <v>5</v>
      </c>
      <c r="G205" s="3" t="s">
        <v>376</v>
      </c>
      <c r="H205" s="3" t="s">
        <v>81</v>
      </c>
      <c r="I205" s="3" t="s">
        <v>1114</v>
      </c>
      <c r="J205" s="3" t="s">
        <v>1046</v>
      </c>
      <c r="K205" s="3" t="s">
        <v>94</v>
      </c>
      <c r="L205" s="3" t="s">
        <v>1065</v>
      </c>
      <c r="M205" s="3" t="s">
        <v>1149</v>
      </c>
      <c r="N205" s="24" t="s">
        <v>1035</v>
      </c>
      <c r="O205" s="2" t="str">
        <f t="shared" si="4"/>
        <v>50FTC</v>
      </c>
    </row>
    <row r="206" spans="3:15" x14ac:dyDescent="0.25">
      <c r="C206" s="3" t="s">
        <v>415</v>
      </c>
      <c r="D206" s="3" t="s">
        <v>416</v>
      </c>
      <c r="E206" s="3" t="s">
        <v>416</v>
      </c>
      <c r="F206" s="3">
        <v>5</v>
      </c>
      <c r="G206" s="3" t="s">
        <v>376</v>
      </c>
      <c r="H206" s="3" t="s">
        <v>81</v>
      </c>
      <c r="I206" s="3" t="s">
        <v>1110</v>
      </c>
      <c r="J206" s="3" t="s">
        <v>1031</v>
      </c>
      <c r="K206" s="3" t="s">
        <v>63</v>
      </c>
      <c r="L206" s="3" t="s">
        <v>1060</v>
      </c>
      <c r="M206" s="3" t="s">
        <v>1148</v>
      </c>
      <c r="N206" s="3" t="s">
        <v>1112</v>
      </c>
      <c r="O206" s="2" t="str">
        <f t="shared" si="4"/>
        <v>50FVZ</v>
      </c>
    </row>
    <row r="207" spans="3:15" x14ac:dyDescent="0.25">
      <c r="C207" s="3" t="s">
        <v>915</v>
      </c>
      <c r="D207" s="3" t="s">
        <v>916</v>
      </c>
      <c r="E207" s="3" t="s">
        <v>916</v>
      </c>
      <c r="F207" s="3">
        <v>5</v>
      </c>
      <c r="G207" s="3" t="s">
        <v>376</v>
      </c>
      <c r="H207" s="3" t="s">
        <v>88</v>
      </c>
      <c r="I207" s="3" t="s">
        <v>1111</v>
      </c>
      <c r="J207" s="3" t="s">
        <v>1046</v>
      </c>
      <c r="K207" s="3" t="s">
        <v>73</v>
      </c>
      <c r="L207" s="3" t="s">
        <v>1082</v>
      </c>
      <c r="M207" s="3" t="s">
        <v>1148</v>
      </c>
      <c r="N207" s="3" t="s">
        <v>378</v>
      </c>
      <c r="O207" s="2" t="str">
        <f t="shared" si="4"/>
        <v>50FZZ</v>
      </c>
    </row>
    <row r="208" spans="3:15" x14ac:dyDescent="0.25">
      <c r="C208" s="3" t="s">
        <v>164</v>
      </c>
      <c r="D208" s="3" t="s">
        <v>165</v>
      </c>
      <c r="E208" s="3" t="s">
        <v>1188</v>
      </c>
      <c r="F208" s="3">
        <v>5</v>
      </c>
      <c r="G208" s="3" t="s">
        <v>37</v>
      </c>
      <c r="H208" s="3" t="s">
        <v>46</v>
      </c>
      <c r="I208" s="3" t="s">
        <v>1114</v>
      </c>
      <c r="J208" s="3" t="s">
        <v>1046</v>
      </c>
      <c r="K208" s="3" t="s">
        <v>58</v>
      </c>
      <c r="L208" s="3" t="s">
        <v>1060</v>
      </c>
      <c r="M208" s="3" t="s">
        <v>1148</v>
      </c>
      <c r="N208" s="3" t="s">
        <v>1112</v>
      </c>
      <c r="O208" s="2" t="str">
        <f t="shared" si="4"/>
        <v>50GDJ</v>
      </c>
    </row>
    <row r="209" spans="3:15" x14ac:dyDescent="0.25">
      <c r="C209" s="3" t="s">
        <v>166</v>
      </c>
      <c r="D209" s="3" t="s">
        <v>167</v>
      </c>
      <c r="E209" s="3" t="s">
        <v>167</v>
      </c>
      <c r="F209" s="3">
        <v>5</v>
      </c>
      <c r="G209" s="3" t="s">
        <v>37</v>
      </c>
      <c r="H209" s="3" t="s">
        <v>81</v>
      </c>
      <c r="I209" s="3" t="s">
        <v>1120</v>
      </c>
      <c r="J209" s="3" t="s">
        <v>1046</v>
      </c>
      <c r="K209" s="3" t="s">
        <v>58</v>
      </c>
      <c r="L209" s="3" t="s">
        <v>1064</v>
      </c>
      <c r="M209" s="3" t="s">
        <v>1149</v>
      </c>
      <c r="N209" s="3" t="s">
        <v>1112</v>
      </c>
      <c r="O209" s="2" t="str">
        <f t="shared" si="4"/>
        <v>50GIA</v>
      </c>
    </row>
    <row r="210" spans="3:15" x14ac:dyDescent="0.25">
      <c r="C210" s="3" t="s">
        <v>168</v>
      </c>
      <c r="D210" s="3" t="s">
        <v>169</v>
      </c>
      <c r="E210" s="3" t="s">
        <v>1189</v>
      </c>
      <c r="F210" s="3">
        <v>5</v>
      </c>
      <c r="G210" s="3" t="s">
        <v>37</v>
      </c>
      <c r="H210" s="3" t="s">
        <v>46</v>
      </c>
      <c r="I210" s="3" t="s">
        <v>1114</v>
      </c>
      <c r="J210" s="3" t="s">
        <v>1046</v>
      </c>
      <c r="K210" s="3" t="s">
        <v>160</v>
      </c>
      <c r="L210" s="3" t="s">
        <v>1064</v>
      </c>
      <c r="M210" s="3" t="s">
        <v>1149</v>
      </c>
      <c r="N210" s="3" t="s">
        <v>984</v>
      </c>
      <c r="O210" s="2" t="str">
        <f t="shared" si="4"/>
        <v>50GNW</v>
      </c>
    </row>
    <row r="211" spans="3:15" x14ac:dyDescent="0.25">
      <c r="C211" s="3" t="s">
        <v>171</v>
      </c>
      <c r="D211" s="3" t="s">
        <v>172</v>
      </c>
      <c r="E211" s="3" t="s">
        <v>172</v>
      </c>
      <c r="F211" s="3">
        <v>5</v>
      </c>
      <c r="G211" s="3" t="s">
        <v>37</v>
      </c>
      <c r="H211" s="3" t="s">
        <v>81</v>
      </c>
      <c r="I211" s="3" t="s">
        <v>1114</v>
      </c>
      <c r="J211" s="3" t="s">
        <v>1046</v>
      </c>
      <c r="K211" s="3" t="s">
        <v>89</v>
      </c>
      <c r="L211" s="3" t="s">
        <v>1075</v>
      </c>
      <c r="M211" s="3" t="s">
        <v>1076</v>
      </c>
      <c r="N211" s="3" t="s">
        <v>378</v>
      </c>
      <c r="O211" s="2" t="str">
        <f t="shared" si="4"/>
        <v>50GP4</v>
      </c>
    </row>
    <row r="212" spans="3:15" x14ac:dyDescent="0.25">
      <c r="C212" s="3" t="s">
        <v>173</v>
      </c>
      <c r="D212" s="3" t="s">
        <v>174</v>
      </c>
      <c r="E212" s="3" t="s">
        <v>174</v>
      </c>
      <c r="F212" s="3">
        <v>5</v>
      </c>
      <c r="G212" s="3" t="s">
        <v>37</v>
      </c>
      <c r="H212" s="3" t="s">
        <v>46</v>
      </c>
      <c r="I212" s="3" t="s">
        <v>1114</v>
      </c>
      <c r="J212" s="3" t="s">
        <v>1046</v>
      </c>
      <c r="K212" s="3" t="s">
        <v>73</v>
      </c>
      <c r="L212" s="3" t="s">
        <v>1065</v>
      </c>
      <c r="M212" s="3" t="s">
        <v>1149</v>
      </c>
      <c r="N212" s="3" t="s">
        <v>378</v>
      </c>
      <c r="O212" s="2" t="str">
        <f t="shared" si="4"/>
        <v>50GRE</v>
      </c>
    </row>
    <row r="213" spans="3:15" x14ac:dyDescent="0.25">
      <c r="C213" s="3" t="s">
        <v>584</v>
      </c>
      <c r="D213" s="3" t="s">
        <v>585</v>
      </c>
      <c r="E213" s="3" t="s">
        <v>585</v>
      </c>
      <c r="F213" s="3">
        <v>5</v>
      </c>
      <c r="G213" s="3" t="s">
        <v>376</v>
      </c>
      <c r="H213" s="3" t="s">
        <v>81</v>
      </c>
      <c r="I213" s="3" t="s">
        <v>1110</v>
      </c>
      <c r="J213" s="3" t="s">
        <v>1046</v>
      </c>
      <c r="K213" s="3" t="s">
        <v>331</v>
      </c>
      <c r="L213" s="3" t="s">
        <v>1060</v>
      </c>
      <c r="M213" s="3" t="s">
        <v>1148</v>
      </c>
      <c r="N213" s="24" t="s">
        <v>1035</v>
      </c>
      <c r="O213" s="2" t="str">
        <f t="shared" si="4"/>
        <v>50GXO</v>
      </c>
    </row>
    <row r="214" spans="3:15" x14ac:dyDescent="0.25">
      <c r="C214" s="3" t="s">
        <v>917</v>
      </c>
      <c r="D214" s="3" t="s">
        <v>918</v>
      </c>
      <c r="E214" s="3" t="s">
        <v>918</v>
      </c>
      <c r="F214" s="3">
        <v>5</v>
      </c>
      <c r="G214" s="3" t="s">
        <v>376</v>
      </c>
      <c r="H214" s="3" t="s">
        <v>81</v>
      </c>
      <c r="I214" s="3" t="s">
        <v>1114</v>
      </c>
      <c r="J214" s="3" t="s">
        <v>1046</v>
      </c>
      <c r="K214" s="3" t="s">
        <v>73</v>
      </c>
      <c r="L214" s="3" t="s">
        <v>1100</v>
      </c>
      <c r="M214" s="3" t="s">
        <v>1149</v>
      </c>
      <c r="N214" s="3" t="s">
        <v>378</v>
      </c>
      <c r="O214" s="2" t="str">
        <f t="shared" si="4"/>
        <v>50H1H</v>
      </c>
    </row>
    <row r="215" spans="3:15" x14ac:dyDescent="0.25">
      <c r="C215" s="3" t="s">
        <v>877</v>
      </c>
      <c r="D215" s="3" t="s">
        <v>878</v>
      </c>
      <c r="E215" s="3" t="s">
        <v>878</v>
      </c>
      <c r="F215" s="3">
        <v>5</v>
      </c>
      <c r="G215" s="3" t="s">
        <v>376</v>
      </c>
      <c r="H215" s="3" t="s">
        <v>88</v>
      </c>
      <c r="I215" s="3" t="s">
        <v>1111</v>
      </c>
      <c r="J215" s="3" t="s">
        <v>1046</v>
      </c>
      <c r="K215" s="3" t="s">
        <v>132</v>
      </c>
      <c r="L215" s="3" t="s">
        <v>1077</v>
      </c>
      <c r="M215" s="3" t="s">
        <v>1148</v>
      </c>
      <c r="N215" s="24" t="s">
        <v>1035</v>
      </c>
      <c r="O215" s="2" t="str">
        <f t="shared" si="4"/>
        <v>50H7X</v>
      </c>
    </row>
    <row r="216" spans="3:15" x14ac:dyDescent="0.25">
      <c r="C216" s="3" t="s">
        <v>586</v>
      </c>
      <c r="D216" s="3" t="s">
        <v>587</v>
      </c>
      <c r="E216" s="3" t="s">
        <v>587</v>
      </c>
      <c r="F216" s="3">
        <v>5</v>
      </c>
      <c r="G216" s="3" t="s">
        <v>376</v>
      </c>
      <c r="H216" s="3" t="s">
        <v>81</v>
      </c>
      <c r="I216" s="3" t="s">
        <v>1114</v>
      </c>
      <c r="J216" s="3" t="s">
        <v>1046</v>
      </c>
      <c r="K216" s="3" t="s">
        <v>331</v>
      </c>
      <c r="L216" s="3" t="s">
        <v>1060</v>
      </c>
      <c r="M216" s="3" t="s">
        <v>1148</v>
      </c>
      <c r="N216" s="3" t="s">
        <v>984</v>
      </c>
      <c r="O216" s="2" t="str">
        <f t="shared" si="4"/>
        <v>50HXH</v>
      </c>
    </row>
    <row r="217" spans="3:15" x14ac:dyDescent="0.25">
      <c r="C217" s="3" t="s">
        <v>175</v>
      </c>
      <c r="D217" s="3" t="s">
        <v>176</v>
      </c>
      <c r="E217" s="3" t="s">
        <v>1190</v>
      </c>
      <c r="F217" s="3">
        <v>5</v>
      </c>
      <c r="G217" s="3" t="s">
        <v>37</v>
      </c>
      <c r="H217" s="3" t="s">
        <v>46</v>
      </c>
      <c r="I217" s="3" t="s">
        <v>1120</v>
      </c>
      <c r="J217" s="3" t="s">
        <v>1046</v>
      </c>
      <c r="K217" s="3" t="s">
        <v>132</v>
      </c>
      <c r="L217" s="3" t="s">
        <v>1065</v>
      </c>
      <c r="M217" s="3" t="s">
        <v>1149</v>
      </c>
      <c r="N217" s="24" t="s">
        <v>1035</v>
      </c>
      <c r="O217" s="2" t="str">
        <f t="shared" si="4"/>
        <v>50IAB</v>
      </c>
    </row>
    <row r="218" spans="3:15" x14ac:dyDescent="0.25">
      <c r="C218" s="3" t="s">
        <v>177</v>
      </c>
      <c r="D218" s="3" t="s">
        <v>178</v>
      </c>
      <c r="E218" s="3" t="s">
        <v>178</v>
      </c>
      <c r="F218" s="3">
        <v>5</v>
      </c>
      <c r="G218" s="3" t="s">
        <v>37</v>
      </c>
      <c r="H218" s="3" t="s">
        <v>81</v>
      </c>
      <c r="I218" s="3" t="s">
        <v>1114</v>
      </c>
      <c r="J218" s="3" t="s">
        <v>1046</v>
      </c>
      <c r="K218" s="3" t="s">
        <v>1048</v>
      </c>
      <c r="L218" s="3" t="s">
        <v>1101</v>
      </c>
      <c r="M218" s="3" t="s">
        <v>1074</v>
      </c>
      <c r="N218" s="3" t="s">
        <v>378</v>
      </c>
      <c r="O218" s="2" t="str">
        <f t="shared" si="4"/>
        <v>50IHX</v>
      </c>
    </row>
    <row r="219" spans="3:15" x14ac:dyDescent="0.25">
      <c r="C219" s="3" t="s">
        <v>180</v>
      </c>
      <c r="D219" s="3" t="s">
        <v>181</v>
      </c>
      <c r="E219" s="3" t="s">
        <v>181</v>
      </c>
      <c r="F219" s="3">
        <v>5</v>
      </c>
      <c r="G219" s="3" t="s">
        <v>37</v>
      </c>
      <c r="H219" s="3" t="s">
        <v>81</v>
      </c>
      <c r="I219" s="3" t="s">
        <v>1114</v>
      </c>
      <c r="J219" s="3" t="s">
        <v>1046</v>
      </c>
      <c r="K219" s="3" t="s">
        <v>1048</v>
      </c>
      <c r="L219" s="3" t="s">
        <v>1102</v>
      </c>
      <c r="M219" s="3" t="s">
        <v>1074</v>
      </c>
      <c r="N219" s="3" t="s">
        <v>378</v>
      </c>
      <c r="O219" s="2" t="str">
        <f t="shared" si="4"/>
        <v>50INN</v>
      </c>
    </row>
    <row r="220" spans="3:15" x14ac:dyDescent="0.25">
      <c r="C220" s="3" t="s">
        <v>588</v>
      </c>
      <c r="D220" s="3" t="s">
        <v>589</v>
      </c>
      <c r="E220" s="3" t="s">
        <v>589</v>
      </c>
      <c r="F220" s="3">
        <v>5</v>
      </c>
      <c r="G220" s="3" t="s">
        <v>376</v>
      </c>
      <c r="H220" s="3" t="s">
        <v>46</v>
      </c>
      <c r="I220" s="3" t="s">
        <v>1110</v>
      </c>
      <c r="J220" s="3" t="s">
        <v>1046</v>
      </c>
      <c r="K220" s="3" t="s">
        <v>331</v>
      </c>
      <c r="L220" s="3" t="s">
        <v>1060</v>
      </c>
      <c r="M220" s="3" t="s">
        <v>1148</v>
      </c>
      <c r="N220" s="3" t="s">
        <v>984</v>
      </c>
      <c r="O220" s="2" t="str">
        <f t="shared" si="4"/>
        <v>50ISI</v>
      </c>
    </row>
    <row r="221" spans="3:15" x14ac:dyDescent="0.25">
      <c r="C221" s="3" t="s">
        <v>183</v>
      </c>
      <c r="D221" s="3" t="s">
        <v>184</v>
      </c>
      <c r="E221" s="3" t="s">
        <v>1191</v>
      </c>
      <c r="F221" s="3">
        <v>5</v>
      </c>
      <c r="G221" s="3" t="s">
        <v>37</v>
      </c>
      <c r="H221" s="3" t="s">
        <v>81</v>
      </c>
      <c r="I221" s="3" t="s">
        <v>1120</v>
      </c>
      <c r="J221" s="3" t="s">
        <v>1046</v>
      </c>
      <c r="K221" s="3">
        <v>0</v>
      </c>
      <c r="L221" s="3" t="s">
        <v>1065</v>
      </c>
      <c r="M221" s="3" t="s">
        <v>1149</v>
      </c>
      <c r="N221" s="3" t="s">
        <v>1053</v>
      </c>
      <c r="O221" s="2" t="str">
        <f t="shared" si="4"/>
        <v>50ISU</v>
      </c>
    </row>
    <row r="222" spans="3:15" x14ac:dyDescent="0.25">
      <c r="C222" s="3" t="s">
        <v>185</v>
      </c>
      <c r="D222" s="3" t="s">
        <v>186</v>
      </c>
      <c r="E222" s="3" t="s">
        <v>1192</v>
      </c>
      <c r="F222" s="3">
        <v>5</v>
      </c>
      <c r="G222" s="3" t="s">
        <v>37</v>
      </c>
      <c r="H222" s="3" t="s">
        <v>46</v>
      </c>
      <c r="I222" s="3" t="s">
        <v>1120</v>
      </c>
      <c r="J222" s="3" t="s">
        <v>1046</v>
      </c>
      <c r="K222" s="3" t="s">
        <v>94</v>
      </c>
      <c r="L222" s="3" t="s">
        <v>1065</v>
      </c>
      <c r="M222" s="3" t="s">
        <v>1149</v>
      </c>
      <c r="N222" s="24" t="s">
        <v>1035</v>
      </c>
      <c r="O222" s="2" t="str">
        <f t="shared" si="4"/>
        <v>50ITA</v>
      </c>
    </row>
    <row r="223" spans="3:15" x14ac:dyDescent="0.25">
      <c r="C223" s="3" t="s">
        <v>445</v>
      </c>
      <c r="D223" s="3" t="s">
        <v>446</v>
      </c>
      <c r="E223" s="3" t="s">
        <v>1193</v>
      </c>
      <c r="F223" s="3">
        <v>5</v>
      </c>
      <c r="G223" s="3" t="s">
        <v>376</v>
      </c>
      <c r="H223" s="3" t="s">
        <v>46</v>
      </c>
      <c r="I223" s="3" t="s">
        <v>1110</v>
      </c>
      <c r="J223" s="3" t="s">
        <v>1046</v>
      </c>
      <c r="K223" s="3" t="s">
        <v>94</v>
      </c>
      <c r="L223" s="3" t="s">
        <v>1065</v>
      </c>
      <c r="M223" s="3" t="s">
        <v>1149</v>
      </c>
      <c r="N223" s="24" t="s">
        <v>1035</v>
      </c>
      <c r="O223" s="2" t="str">
        <f t="shared" si="4"/>
        <v>50IVB</v>
      </c>
    </row>
    <row r="224" spans="3:15" x14ac:dyDescent="0.25">
      <c r="C224" s="3" t="s">
        <v>817</v>
      </c>
      <c r="D224" s="3" t="s">
        <v>818</v>
      </c>
      <c r="E224" s="3" t="s">
        <v>818</v>
      </c>
      <c r="F224" s="3">
        <v>5</v>
      </c>
      <c r="G224" s="3" t="s">
        <v>376</v>
      </c>
      <c r="H224" s="3" t="s">
        <v>46</v>
      </c>
      <c r="I224" s="3" t="s">
        <v>1110</v>
      </c>
      <c r="J224" s="3" t="s">
        <v>1046</v>
      </c>
      <c r="K224" s="3" t="s">
        <v>146</v>
      </c>
      <c r="L224" s="3" t="s">
        <v>1064</v>
      </c>
      <c r="M224" s="3" t="s">
        <v>1149</v>
      </c>
      <c r="N224" s="24" t="s">
        <v>1035</v>
      </c>
      <c r="O224" s="2" t="str">
        <f t="shared" si="4"/>
        <v>50JAK</v>
      </c>
    </row>
    <row r="225" spans="3:15" x14ac:dyDescent="0.25">
      <c r="C225" s="3" t="s">
        <v>187</v>
      </c>
      <c r="D225" s="3" t="s">
        <v>188</v>
      </c>
      <c r="E225" s="3" t="s">
        <v>188</v>
      </c>
      <c r="F225" s="3">
        <v>5</v>
      </c>
      <c r="G225" s="3" t="s">
        <v>37</v>
      </c>
      <c r="H225" s="3" t="s">
        <v>81</v>
      </c>
      <c r="I225" s="3" t="s">
        <v>1120</v>
      </c>
      <c r="J225" s="3" t="s">
        <v>1046</v>
      </c>
      <c r="K225" s="3" t="s">
        <v>160</v>
      </c>
      <c r="L225" s="3" t="s">
        <v>1065</v>
      </c>
      <c r="M225" s="3" t="s">
        <v>1149</v>
      </c>
      <c r="N225" s="3" t="s">
        <v>984</v>
      </c>
      <c r="O225" s="2" t="str">
        <f t="shared" si="4"/>
        <v>50K17</v>
      </c>
    </row>
    <row r="226" spans="3:15" x14ac:dyDescent="0.25">
      <c r="C226" s="3" t="s">
        <v>189</v>
      </c>
      <c r="D226" s="3" t="s">
        <v>190</v>
      </c>
      <c r="E226" s="3" t="s">
        <v>190</v>
      </c>
      <c r="F226" s="3">
        <v>5</v>
      </c>
      <c r="G226" s="3" t="s">
        <v>37</v>
      </c>
      <c r="H226" s="3" t="s">
        <v>81</v>
      </c>
      <c r="I226" s="3" t="s">
        <v>1111</v>
      </c>
      <c r="J226" s="3" t="s">
        <v>1046</v>
      </c>
      <c r="K226" s="3" t="s">
        <v>73</v>
      </c>
      <c r="L226" s="3" t="s">
        <v>1065</v>
      </c>
      <c r="M226" s="3" t="s">
        <v>1149</v>
      </c>
      <c r="N226" s="3" t="s">
        <v>378</v>
      </c>
      <c r="O226" s="2" t="str">
        <f t="shared" si="4"/>
        <v>50KAD</v>
      </c>
    </row>
    <row r="227" spans="3:15" x14ac:dyDescent="0.25">
      <c r="C227" s="3" t="s">
        <v>602</v>
      </c>
      <c r="D227" s="3" t="s">
        <v>603</v>
      </c>
      <c r="E227" s="3" t="s">
        <v>604</v>
      </c>
      <c r="F227" s="3">
        <v>5</v>
      </c>
      <c r="G227" s="3" t="s">
        <v>376</v>
      </c>
      <c r="H227" s="3" t="s">
        <v>88</v>
      </c>
      <c r="I227" s="3" t="s">
        <v>1114</v>
      </c>
      <c r="J227" s="3" t="s">
        <v>1046</v>
      </c>
      <c r="K227" s="3" t="s">
        <v>50</v>
      </c>
      <c r="L227" s="3" t="s">
        <v>1100</v>
      </c>
      <c r="M227" s="3" t="s">
        <v>1148</v>
      </c>
      <c r="N227" s="3" t="s">
        <v>984</v>
      </c>
      <c r="O227" s="2" t="str">
        <f t="shared" si="4"/>
        <v>50KJP</v>
      </c>
    </row>
    <row r="228" spans="3:15" x14ac:dyDescent="0.25">
      <c r="C228" s="3" t="s">
        <v>191</v>
      </c>
      <c r="D228" s="3" t="s">
        <v>192</v>
      </c>
      <c r="E228" s="3" t="s">
        <v>193</v>
      </c>
      <c r="F228" s="3">
        <v>5</v>
      </c>
      <c r="G228" s="3" t="s">
        <v>37</v>
      </c>
      <c r="H228" s="3" t="s">
        <v>81</v>
      </c>
      <c r="I228" s="3" t="s">
        <v>1120</v>
      </c>
      <c r="J228" s="3" t="s">
        <v>1046</v>
      </c>
      <c r="K228" s="3" t="s">
        <v>94</v>
      </c>
      <c r="L228" s="3" t="s">
        <v>1065</v>
      </c>
      <c r="M228" s="3" t="s">
        <v>1149</v>
      </c>
      <c r="N228" s="24" t="s">
        <v>1035</v>
      </c>
      <c r="O228" s="2" t="str">
        <f t="shared" si="4"/>
        <v>50KT5</v>
      </c>
    </row>
    <row r="229" spans="3:15" x14ac:dyDescent="0.25">
      <c r="C229" s="3" t="s">
        <v>194</v>
      </c>
      <c r="D229" s="3" t="s">
        <v>195</v>
      </c>
      <c r="E229" s="3" t="s">
        <v>196</v>
      </c>
      <c r="F229" s="3">
        <v>5</v>
      </c>
      <c r="G229" s="3" t="s">
        <v>37</v>
      </c>
      <c r="H229" s="3" t="s">
        <v>88</v>
      </c>
      <c r="I229" s="3" t="s">
        <v>1114</v>
      </c>
      <c r="J229" s="3" t="s">
        <v>1046</v>
      </c>
      <c r="K229" s="3" t="s">
        <v>1048</v>
      </c>
      <c r="L229" s="3" t="s">
        <v>1103</v>
      </c>
      <c r="M229" s="3" t="s">
        <v>1074</v>
      </c>
      <c r="N229" s="3" t="s">
        <v>378</v>
      </c>
      <c r="O229" s="2" t="str">
        <f t="shared" si="4"/>
        <v>50KT9</v>
      </c>
    </row>
    <row r="230" spans="3:15" x14ac:dyDescent="0.25">
      <c r="C230" s="3" t="s">
        <v>719</v>
      </c>
      <c r="D230" s="3" t="s">
        <v>720</v>
      </c>
      <c r="E230" s="3" t="s">
        <v>1194</v>
      </c>
      <c r="F230" s="3">
        <v>5</v>
      </c>
      <c r="G230" s="3" t="s">
        <v>376</v>
      </c>
      <c r="H230" s="3" t="s">
        <v>81</v>
      </c>
      <c r="I230" s="3" t="s">
        <v>1110</v>
      </c>
      <c r="J230" s="3" t="s">
        <v>1031</v>
      </c>
      <c r="K230" s="3" t="s">
        <v>84</v>
      </c>
      <c r="L230" s="3" t="s">
        <v>1104</v>
      </c>
      <c r="M230" s="3" t="s">
        <v>1074</v>
      </c>
      <c r="N230" s="3" t="s">
        <v>378</v>
      </c>
      <c r="O230" s="2" t="str">
        <f t="shared" si="4"/>
        <v>50LAE</v>
      </c>
    </row>
    <row r="231" spans="3:15" x14ac:dyDescent="0.25">
      <c r="C231" s="3" t="s">
        <v>197</v>
      </c>
      <c r="D231" s="3" t="s">
        <v>198</v>
      </c>
      <c r="E231" s="3" t="s">
        <v>198</v>
      </c>
      <c r="F231" s="3">
        <v>5</v>
      </c>
      <c r="G231" s="3" t="s">
        <v>37</v>
      </c>
      <c r="H231" s="3" t="s">
        <v>46</v>
      </c>
      <c r="I231" s="3" t="s">
        <v>1120</v>
      </c>
      <c r="J231" s="3" t="s">
        <v>1046</v>
      </c>
      <c r="K231" s="3" t="s">
        <v>63</v>
      </c>
      <c r="L231" s="3" t="s">
        <v>1060</v>
      </c>
      <c r="M231" s="3" t="s">
        <v>1148</v>
      </c>
      <c r="N231" s="3" t="s">
        <v>1112</v>
      </c>
      <c r="O231" s="2" t="str">
        <f t="shared" si="4"/>
        <v>50LBB</v>
      </c>
    </row>
    <row r="232" spans="3:15" x14ac:dyDescent="0.25">
      <c r="C232" s="3" t="s">
        <v>199</v>
      </c>
      <c r="D232" s="3" t="s">
        <v>200</v>
      </c>
      <c r="E232" s="3" t="s">
        <v>201</v>
      </c>
      <c r="F232" s="3">
        <v>5</v>
      </c>
      <c r="G232" s="3" t="s">
        <v>37</v>
      </c>
      <c r="H232" s="3" t="s">
        <v>202</v>
      </c>
      <c r="I232" s="3" t="s">
        <v>1120</v>
      </c>
      <c r="J232" s="3" t="s">
        <v>1046</v>
      </c>
      <c r="K232" s="3">
        <v>0</v>
      </c>
      <c r="L232" s="3" t="s">
        <v>1064</v>
      </c>
      <c r="M232" s="3" t="s">
        <v>1149</v>
      </c>
      <c r="N232" s="3" t="s">
        <v>1053</v>
      </c>
      <c r="O232" s="2" t="str">
        <f t="shared" si="4"/>
        <v>50LCO</v>
      </c>
    </row>
    <row r="233" spans="3:15" x14ac:dyDescent="0.25">
      <c r="C233" s="3" t="s">
        <v>723</v>
      </c>
      <c r="D233" s="3" t="s">
        <v>724</v>
      </c>
      <c r="E233" s="3" t="s">
        <v>725</v>
      </c>
      <c r="F233" s="3">
        <v>5</v>
      </c>
      <c r="G233" s="3" t="s">
        <v>376</v>
      </c>
      <c r="H233" s="3" t="s">
        <v>46</v>
      </c>
      <c r="I233" s="3" t="s">
        <v>1110</v>
      </c>
      <c r="J233" s="3" t="s">
        <v>1031</v>
      </c>
      <c r="K233" s="3" t="s">
        <v>84</v>
      </c>
      <c r="L233" s="3" t="s">
        <v>1152</v>
      </c>
      <c r="M233" s="3" t="s">
        <v>1074</v>
      </c>
      <c r="N233" s="3" t="s">
        <v>378</v>
      </c>
      <c r="O233" s="2" t="str">
        <f t="shared" si="4"/>
        <v>50LIB</v>
      </c>
    </row>
    <row r="234" spans="3:15" x14ac:dyDescent="0.25">
      <c r="C234" s="3" t="s">
        <v>819</v>
      </c>
      <c r="D234" s="3" t="s">
        <v>820</v>
      </c>
      <c r="E234" s="3" t="s">
        <v>820</v>
      </c>
      <c r="F234" s="3">
        <v>5</v>
      </c>
      <c r="G234" s="3" t="s">
        <v>376</v>
      </c>
      <c r="H234" s="3" t="s">
        <v>46</v>
      </c>
      <c r="I234" s="3" t="s">
        <v>1114</v>
      </c>
      <c r="J234" s="3" t="s">
        <v>1046</v>
      </c>
      <c r="K234" s="3" t="s">
        <v>146</v>
      </c>
      <c r="L234" s="3" t="s">
        <v>1064</v>
      </c>
      <c r="M234" s="3" t="s">
        <v>1149</v>
      </c>
      <c r="N234" s="24" t="s">
        <v>1035</v>
      </c>
      <c r="O234" s="2" t="str">
        <f t="shared" si="4"/>
        <v>50LOT</v>
      </c>
    </row>
    <row r="235" spans="3:15" x14ac:dyDescent="0.25">
      <c r="C235" s="3" t="s">
        <v>821</v>
      </c>
      <c r="D235" s="3" t="s">
        <v>822</v>
      </c>
      <c r="E235" s="3" t="s">
        <v>822</v>
      </c>
      <c r="F235" s="3">
        <v>5</v>
      </c>
      <c r="G235" s="3" t="s">
        <v>376</v>
      </c>
      <c r="H235" s="3" t="s">
        <v>46</v>
      </c>
      <c r="I235" s="3" t="s">
        <v>1114</v>
      </c>
      <c r="J235" s="3" t="s">
        <v>1046</v>
      </c>
      <c r="K235" s="3" t="s">
        <v>146</v>
      </c>
      <c r="L235" s="3" t="s">
        <v>1064</v>
      </c>
      <c r="M235" s="3" t="s">
        <v>1149</v>
      </c>
      <c r="N235" s="24" t="s">
        <v>1035</v>
      </c>
      <c r="O235" s="2" t="str">
        <f t="shared" si="4"/>
        <v>50LRA</v>
      </c>
    </row>
    <row r="236" spans="3:15" x14ac:dyDescent="0.25">
      <c r="C236" s="3" t="s">
        <v>203</v>
      </c>
      <c r="D236" s="3" t="s">
        <v>204</v>
      </c>
      <c r="E236" s="3" t="s">
        <v>204</v>
      </c>
      <c r="F236" s="3">
        <v>5</v>
      </c>
      <c r="G236" s="3" t="s">
        <v>37</v>
      </c>
      <c r="H236" s="3" t="s">
        <v>46</v>
      </c>
      <c r="I236" s="3" t="s">
        <v>1120</v>
      </c>
      <c r="J236" s="3" t="s">
        <v>1046</v>
      </c>
      <c r="K236" s="3">
        <v>0</v>
      </c>
      <c r="L236" s="3" t="s">
        <v>1063</v>
      </c>
      <c r="M236" s="3" t="s">
        <v>1148</v>
      </c>
      <c r="N236" s="3" t="s">
        <v>1053</v>
      </c>
      <c r="O236" s="2" t="str">
        <f t="shared" si="4"/>
        <v>50LRR</v>
      </c>
    </row>
    <row r="237" spans="3:15" x14ac:dyDescent="0.25">
      <c r="C237" s="3" t="s">
        <v>206</v>
      </c>
      <c r="D237" s="3" t="s">
        <v>207</v>
      </c>
      <c r="E237" s="3" t="s">
        <v>207</v>
      </c>
      <c r="F237" s="3">
        <v>5</v>
      </c>
      <c r="G237" s="3" t="s">
        <v>37</v>
      </c>
      <c r="H237" s="3" t="s">
        <v>46</v>
      </c>
      <c r="I237" s="3" t="s">
        <v>1120</v>
      </c>
      <c r="J237" s="3" t="s">
        <v>1046</v>
      </c>
      <c r="K237" s="3" t="s">
        <v>58</v>
      </c>
      <c r="L237" s="3" t="s">
        <v>1065</v>
      </c>
      <c r="M237" s="3" t="s">
        <v>1149</v>
      </c>
      <c r="N237" s="3" t="s">
        <v>1112</v>
      </c>
      <c r="O237" s="2" t="str">
        <f t="shared" si="4"/>
        <v>50LTD</v>
      </c>
    </row>
    <row r="238" spans="3:15" x14ac:dyDescent="0.25">
      <c r="C238" s="3" t="s">
        <v>758</v>
      </c>
      <c r="D238" s="3" t="s">
        <v>759</v>
      </c>
      <c r="E238" s="3" t="s">
        <v>760</v>
      </c>
      <c r="F238" s="4">
        <v>6</v>
      </c>
      <c r="G238" s="3" t="s">
        <v>376</v>
      </c>
      <c r="H238" s="3" t="s">
        <v>88</v>
      </c>
      <c r="I238" s="3" t="s">
        <v>1110</v>
      </c>
      <c r="J238" s="3" t="s">
        <v>1031</v>
      </c>
      <c r="K238" s="3" t="s">
        <v>1048</v>
      </c>
      <c r="L238" s="3" t="s">
        <v>1152</v>
      </c>
      <c r="M238" s="3" t="s">
        <v>1074</v>
      </c>
      <c r="N238" s="3" t="s">
        <v>378</v>
      </c>
      <c r="O238" s="2" t="str">
        <f t="shared" si="4"/>
        <v>50LVH</v>
      </c>
    </row>
    <row r="239" spans="3:15" x14ac:dyDescent="0.25">
      <c r="C239" s="3" t="s">
        <v>208</v>
      </c>
      <c r="D239" s="3" t="s">
        <v>209</v>
      </c>
      <c r="E239" s="3" t="s">
        <v>209</v>
      </c>
      <c r="F239" s="3">
        <v>5</v>
      </c>
      <c r="G239" s="3" t="s">
        <v>37</v>
      </c>
      <c r="H239" s="3" t="s">
        <v>81</v>
      </c>
      <c r="I239" s="3" t="s">
        <v>1120</v>
      </c>
      <c r="J239" s="3" t="s">
        <v>1046</v>
      </c>
      <c r="K239" s="3">
        <v>0</v>
      </c>
      <c r="L239" s="3" t="s">
        <v>1084</v>
      </c>
      <c r="M239" s="3" t="s">
        <v>1149</v>
      </c>
      <c r="N239" s="3" t="s">
        <v>1053</v>
      </c>
      <c r="O239" s="2" t="str">
        <f t="shared" si="4"/>
        <v>50LVO</v>
      </c>
    </row>
    <row r="240" spans="3:15" x14ac:dyDescent="0.25">
      <c r="C240" s="3" t="s">
        <v>606</v>
      </c>
      <c r="D240" s="3" t="s">
        <v>607</v>
      </c>
      <c r="E240" s="3" t="s">
        <v>608</v>
      </c>
      <c r="F240" s="3">
        <v>5</v>
      </c>
      <c r="G240" s="3" t="s">
        <v>376</v>
      </c>
      <c r="H240" s="3" t="s">
        <v>46</v>
      </c>
      <c r="I240" s="3" t="s">
        <v>1114</v>
      </c>
      <c r="J240" s="3" t="s">
        <v>1046</v>
      </c>
      <c r="K240" s="3" t="s">
        <v>50</v>
      </c>
      <c r="L240" s="3" t="s">
        <v>1081</v>
      </c>
      <c r="M240" s="3" t="s">
        <v>1149</v>
      </c>
      <c r="N240" s="3" t="s">
        <v>984</v>
      </c>
      <c r="O240" s="2" t="str">
        <f t="shared" si="4"/>
        <v>50MAD</v>
      </c>
    </row>
    <row r="241" spans="3:15" x14ac:dyDescent="0.25">
      <c r="C241" s="3" t="s">
        <v>210</v>
      </c>
      <c r="D241" s="3" t="s">
        <v>211</v>
      </c>
      <c r="E241" s="3" t="s">
        <v>1195</v>
      </c>
      <c r="F241" s="3">
        <v>5</v>
      </c>
      <c r="G241" s="3" t="s">
        <v>37</v>
      </c>
      <c r="H241" s="3" t="s">
        <v>46</v>
      </c>
      <c r="I241" s="3" t="s">
        <v>1120</v>
      </c>
      <c r="J241" s="3" t="s">
        <v>1046</v>
      </c>
      <c r="K241" s="3">
        <v>0</v>
      </c>
      <c r="L241" s="3" t="s">
        <v>1064</v>
      </c>
      <c r="M241" s="3" t="s">
        <v>1149</v>
      </c>
      <c r="N241" s="3" t="s">
        <v>1053</v>
      </c>
      <c r="O241" s="2" t="str">
        <f t="shared" si="4"/>
        <v>50MCA</v>
      </c>
    </row>
    <row r="242" spans="3:15" x14ac:dyDescent="0.25">
      <c r="C242" s="3" t="s">
        <v>213</v>
      </c>
      <c r="D242" s="3" t="s">
        <v>214</v>
      </c>
      <c r="E242" s="3" t="s">
        <v>214</v>
      </c>
      <c r="F242" s="3">
        <v>5</v>
      </c>
      <c r="G242" s="3" t="s">
        <v>37</v>
      </c>
      <c r="H242" s="3" t="s">
        <v>202</v>
      </c>
      <c r="I242" s="3" t="s">
        <v>1120</v>
      </c>
      <c r="J242" s="3" t="s">
        <v>1046</v>
      </c>
      <c r="K242" s="3">
        <v>0</v>
      </c>
      <c r="L242" s="3" t="s">
        <v>1064</v>
      </c>
      <c r="M242" s="3" t="s">
        <v>1149</v>
      </c>
      <c r="N242" s="3" t="s">
        <v>1053</v>
      </c>
      <c r="O242" s="2" t="str">
        <f t="shared" si="4"/>
        <v>50MD2</v>
      </c>
    </row>
    <row r="243" spans="3:15" x14ac:dyDescent="0.25">
      <c r="C243" s="3" t="s">
        <v>215</v>
      </c>
      <c r="D243" s="3" t="s">
        <v>216</v>
      </c>
      <c r="E243" s="3" t="s">
        <v>216</v>
      </c>
      <c r="F243" s="3">
        <v>5</v>
      </c>
      <c r="G243" s="3" t="s">
        <v>37</v>
      </c>
      <c r="H243" s="3" t="s">
        <v>81</v>
      </c>
      <c r="I243" s="3" t="s">
        <v>1120</v>
      </c>
      <c r="J243" s="3" t="s">
        <v>1046</v>
      </c>
      <c r="K243" s="3" t="s">
        <v>67</v>
      </c>
      <c r="L243" s="3" t="s">
        <v>1060</v>
      </c>
      <c r="M243" s="3" t="s">
        <v>1148</v>
      </c>
      <c r="N243" s="24" t="s">
        <v>1035</v>
      </c>
      <c r="O243" s="2" t="str">
        <f t="shared" si="4"/>
        <v>50MMT</v>
      </c>
    </row>
    <row r="244" spans="3:15" x14ac:dyDescent="0.25">
      <c r="C244" s="3" t="s">
        <v>548</v>
      </c>
      <c r="D244" s="3" t="s">
        <v>549</v>
      </c>
      <c r="E244" s="3" t="s">
        <v>550</v>
      </c>
      <c r="F244" s="3">
        <v>5</v>
      </c>
      <c r="G244" s="3" t="s">
        <v>376</v>
      </c>
      <c r="H244" s="3" t="s">
        <v>81</v>
      </c>
      <c r="I244" s="3" t="s">
        <v>1110</v>
      </c>
      <c r="J244" s="3" t="s">
        <v>1046</v>
      </c>
      <c r="K244" s="3" t="s">
        <v>100</v>
      </c>
      <c r="L244" s="3" t="s">
        <v>1060</v>
      </c>
      <c r="M244" s="3" t="s">
        <v>1148</v>
      </c>
      <c r="N244" s="3" t="s">
        <v>984</v>
      </c>
      <c r="O244" s="2" t="str">
        <f t="shared" si="4"/>
        <v>50MNO</v>
      </c>
    </row>
    <row r="245" spans="3:15" x14ac:dyDescent="0.25">
      <c r="C245" s="3" t="s">
        <v>726</v>
      </c>
      <c r="D245" s="3" t="s">
        <v>727</v>
      </c>
      <c r="E245" s="3" t="s">
        <v>727</v>
      </c>
      <c r="F245" s="3">
        <v>5</v>
      </c>
      <c r="G245" s="3" t="s">
        <v>376</v>
      </c>
      <c r="H245" s="3" t="s">
        <v>81</v>
      </c>
      <c r="I245" s="3" t="s">
        <v>1114</v>
      </c>
      <c r="J245" s="3" t="s">
        <v>1031</v>
      </c>
      <c r="K245" s="3" t="s">
        <v>84</v>
      </c>
      <c r="L245" s="3" t="s">
        <v>1152</v>
      </c>
      <c r="M245" s="3" t="s">
        <v>1074</v>
      </c>
      <c r="N245" s="3" t="s">
        <v>378</v>
      </c>
      <c r="O245" s="2" t="str">
        <f t="shared" si="4"/>
        <v>50NF1</v>
      </c>
    </row>
    <row r="246" spans="3:15" x14ac:dyDescent="0.25">
      <c r="C246" s="3" t="s">
        <v>217</v>
      </c>
      <c r="D246" s="3" t="s">
        <v>218</v>
      </c>
      <c r="E246" s="3" t="s">
        <v>1196</v>
      </c>
      <c r="F246" s="3">
        <v>5</v>
      </c>
      <c r="G246" s="3" t="s">
        <v>37</v>
      </c>
      <c r="H246" s="3" t="s">
        <v>81</v>
      </c>
      <c r="I246" s="3" t="s">
        <v>1111</v>
      </c>
      <c r="J246" s="3" t="s">
        <v>1046</v>
      </c>
      <c r="K246" s="3">
        <v>0</v>
      </c>
      <c r="L246" s="3" t="s">
        <v>1064</v>
      </c>
      <c r="M246" s="3" t="s">
        <v>1149</v>
      </c>
      <c r="N246" s="3" t="s">
        <v>1053</v>
      </c>
      <c r="O246" s="2" t="str">
        <f t="shared" si="4"/>
        <v>50NU9</v>
      </c>
    </row>
    <row r="247" spans="3:15" x14ac:dyDescent="0.25">
      <c r="C247" s="3" t="s">
        <v>551</v>
      </c>
      <c r="D247" s="3" t="s">
        <v>552</v>
      </c>
      <c r="E247" s="3" t="s">
        <v>1197</v>
      </c>
      <c r="F247" s="3">
        <v>5</v>
      </c>
      <c r="G247" s="3" t="s">
        <v>376</v>
      </c>
      <c r="H247" s="3" t="s">
        <v>38</v>
      </c>
      <c r="I247" s="3" t="s">
        <v>1111</v>
      </c>
      <c r="J247" s="3" t="s">
        <v>1046</v>
      </c>
      <c r="K247" s="3" t="s">
        <v>100</v>
      </c>
      <c r="L247" s="3" t="s">
        <v>1060</v>
      </c>
      <c r="M247" s="3" t="s">
        <v>1148</v>
      </c>
      <c r="N247" s="24" t="s">
        <v>1035</v>
      </c>
      <c r="O247" s="2" t="str">
        <f t="shared" si="4"/>
        <v>50OAC</v>
      </c>
    </row>
    <row r="248" spans="3:15" x14ac:dyDescent="0.25">
      <c r="C248" s="3" t="s">
        <v>219</v>
      </c>
      <c r="D248" s="3" t="s">
        <v>220</v>
      </c>
      <c r="E248" s="3" t="s">
        <v>220</v>
      </c>
      <c r="F248" s="3">
        <v>5</v>
      </c>
      <c r="G248" s="3" t="s">
        <v>37</v>
      </c>
      <c r="H248" s="3" t="s">
        <v>38</v>
      </c>
      <c r="I248" s="3" t="s">
        <v>1114</v>
      </c>
      <c r="J248" s="3" t="s">
        <v>1046</v>
      </c>
      <c r="K248" s="3" t="s">
        <v>100</v>
      </c>
      <c r="L248" s="3" t="s">
        <v>1064</v>
      </c>
      <c r="M248" s="3" t="s">
        <v>1148</v>
      </c>
      <c r="N248" s="24" t="s">
        <v>1035</v>
      </c>
      <c r="O248" s="2" t="str">
        <f t="shared" si="4"/>
        <v>50OAD</v>
      </c>
    </row>
    <row r="249" spans="3:15" x14ac:dyDescent="0.25">
      <c r="C249" s="3" t="s">
        <v>221</v>
      </c>
      <c r="D249" s="3" t="s">
        <v>222</v>
      </c>
      <c r="E249" s="3" t="s">
        <v>223</v>
      </c>
      <c r="F249" s="3">
        <v>5</v>
      </c>
      <c r="G249" s="3" t="s">
        <v>37</v>
      </c>
      <c r="H249" s="3" t="s">
        <v>38</v>
      </c>
      <c r="I249" s="3" t="s">
        <v>1114</v>
      </c>
      <c r="J249" s="3" t="s">
        <v>1046</v>
      </c>
      <c r="K249" s="3">
        <v>0</v>
      </c>
      <c r="L249" s="3" t="s">
        <v>1072</v>
      </c>
      <c r="M249" s="3" t="s">
        <v>1148</v>
      </c>
      <c r="N249" s="3" t="s">
        <v>1053</v>
      </c>
      <c r="O249" s="2" t="str">
        <f t="shared" si="4"/>
        <v>50OAE</v>
      </c>
    </row>
    <row r="250" spans="3:15" x14ac:dyDescent="0.25">
      <c r="C250" s="3" t="s">
        <v>224</v>
      </c>
      <c r="D250" s="3" t="s">
        <v>225</v>
      </c>
      <c r="E250" s="3" t="s">
        <v>226</v>
      </c>
      <c r="F250" s="3">
        <v>5</v>
      </c>
      <c r="G250" s="3" t="s">
        <v>37</v>
      </c>
      <c r="H250" s="3" t="s">
        <v>38</v>
      </c>
      <c r="I250" s="3" t="s">
        <v>1114</v>
      </c>
      <c r="J250" s="3" t="s">
        <v>1046</v>
      </c>
      <c r="K250" s="3">
        <v>0</v>
      </c>
      <c r="L250" s="3" t="s">
        <v>1064</v>
      </c>
      <c r="M250" s="3" t="s">
        <v>1149</v>
      </c>
      <c r="N250" s="3" t="s">
        <v>1053</v>
      </c>
      <c r="O250" s="2" t="str">
        <f t="shared" si="4"/>
        <v>50OAG</v>
      </c>
    </row>
    <row r="251" spans="3:15" x14ac:dyDescent="0.25">
      <c r="C251" s="3" t="s">
        <v>502</v>
      </c>
      <c r="D251" s="3" t="s">
        <v>503</v>
      </c>
      <c r="E251" s="3" t="s">
        <v>504</v>
      </c>
      <c r="F251" s="3">
        <v>5</v>
      </c>
      <c r="G251" s="3" t="s">
        <v>376</v>
      </c>
      <c r="H251" s="3" t="s">
        <v>38</v>
      </c>
      <c r="I251" s="3" t="s">
        <v>1114</v>
      </c>
      <c r="J251" s="3" t="s">
        <v>1046</v>
      </c>
      <c r="K251" s="3" t="s">
        <v>58</v>
      </c>
      <c r="L251" s="3" t="s">
        <v>1059</v>
      </c>
      <c r="M251" s="3" t="s">
        <v>1148</v>
      </c>
      <c r="N251" s="3" t="s">
        <v>1112</v>
      </c>
      <c r="O251" s="2" t="str">
        <f t="shared" si="4"/>
        <v>50OAP</v>
      </c>
    </row>
    <row r="252" spans="3:15" x14ac:dyDescent="0.25">
      <c r="C252" s="3" t="s">
        <v>227</v>
      </c>
      <c r="D252" s="3" t="s">
        <v>228</v>
      </c>
      <c r="E252" s="3" t="s">
        <v>229</v>
      </c>
      <c r="F252" s="3">
        <v>5</v>
      </c>
      <c r="G252" s="3" t="s">
        <v>37</v>
      </c>
      <c r="H252" s="3" t="s">
        <v>38</v>
      </c>
      <c r="I252" s="3" t="s">
        <v>1114</v>
      </c>
      <c r="J252" s="3" t="s">
        <v>1046</v>
      </c>
      <c r="K252" s="3">
        <v>0</v>
      </c>
      <c r="L252" s="3" t="s">
        <v>1061</v>
      </c>
      <c r="M252" s="3" t="s">
        <v>1074</v>
      </c>
      <c r="N252" s="3" t="s">
        <v>1053</v>
      </c>
      <c r="O252" s="2" t="str">
        <f t="shared" si="4"/>
        <v>50OAZ</v>
      </c>
    </row>
    <row r="253" spans="3:15" x14ac:dyDescent="0.25">
      <c r="C253" s="3" t="s">
        <v>728</v>
      </c>
      <c r="D253" s="3" t="s">
        <v>729</v>
      </c>
      <c r="E253" s="3" t="s">
        <v>1198</v>
      </c>
      <c r="F253" s="3">
        <v>5</v>
      </c>
      <c r="G253" s="3" t="s">
        <v>376</v>
      </c>
      <c r="H253" s="3" t="s">
        <v>38</v>
      </c>
      <c r="I253" s="3" t="s">
        <v>1111</v>
      </c>
      <c r="J253" s="3" t="s">
        <v>1031</v>
      </c>
      <c r="K253" s="3" t="s">
        <v>84</v>
      </c>
      <c r="L253" s="3" t="s">
        <v>1104</v>
      </c>
      <c r="M253" s="3" t="s">
        <v>1074</v>
      </c>
      <c r="N253" s="3" t="s">
        <v>378</v>
      </c>
      <c r="O253" s="2" t="str">
        <f t="shared" si="4"/>
        <v>50OBM</v>
      </c>
    </row>
    <row r="254" spans="3:15" x14ac:dyDescent="0.25">
      <c r="C254" s="3" t="s">
        <v>230</v>
      </c>
      <c r="D254" s="3" t="s">
        <v>231</v>
      </c>
      <c r="E254" s="3" t="s">
        <v>1199</v>
      </c>
      <c r="F254" s="3">
        <v>5</v>
      </c>
      <c r="G254" s="3" t="s">
        <v>37</v>
      </c>
      <c r="H254" s="3" t="s">
        <v>38</v>
      </c>
      <c r="I254" s="3" t="s">
        <v>1120</v>
      </c>
      <c r="J254" s="3" t="s">
        <v>1046</v>
      </c>
      <c r="K254" s="3" t="s">
        <v>84</v>
      </c>
      <c r="L254" s="3" t="s">
        <v>1061</v>
      </c>
      <c r="M254" s="3" t="s">
        <v>1200</v>
      </c>
      <c r="N254" s="3" t="s">
        <v>378</v>
      </c>
      <c r="O254" s="2" t="str">
        <f t="shared" si="4"/>
        <v>50OBO</v>
      </c>
    </row>
    <row r="255" spans="3:15" x14ac:dyDescent="0.25">
      <c r="C255" s="3" t="s">
        <v>233</v>
      </c>
      <c r="D255" s="3" t="s">
        <v>234</v>
      </c>
      <c r="E255" s="3" t="s">
        <v>235</v>
      </c>
      <c r="F255" s="3">
        <v>5</v>
      </c>
      <c r="G255" s="3" t="s">
        <v>37</v>
      </c>
      <c r="H255" s="3" t="s">
        <v>38</v>
      </c>
      <c r="I255" s="3" t="s">
        <v>1111</v>
      </c>
      <c r="J255" s="3" t="s">
        <v>1046</v>
      </c>
      <c r="K255" s="3" t="s">
        <v>84</v>
      </c>
      <c r="L255" s="3" t="s">
        <v>1061</v>
      </c>
      <c r="M255" s="3" t="s">
        <v>1200</v>
      </c>
      <c r="N255" s="3" t="s">
        <v>378</v>
      </c>
      <c r="O255" s="2" t="str">
        <f t="shared" si="4"/>
        <v>50OBS</v>
      </c>
    </row>
    <row r="256" spans="3:15" x14ac:dyDescent="0.25">
      <c r="C256" s="3" t="s">
        <v>236</v>
      </c>
      <c r="D256" s="3" t="s">
        <v>237</v>
      </c>
      <c r="E256" s="3" t="s">
        <v>237</v>
      </c>
      <c r="F256" s="3">
        <v>5</v>
      </c>
      <c r="G256" s="3" t="s">
        <v>37</v>
      </c>
      <c r="H256" s="3" t="s">
        <v>38</v>
      </c>
      <c r="I256" s="3" t="s">
        <v>1114</v>
      </c>
      <c r="J256" s="3" t="s">
        <v>1046</v>
      </c>
      <c r="K256" s="3">
        <v>0</v>
      </c>
      <c r="L256" s="3" t="s">
        <v>1064</v>
      </c>
      <c r="M256" s="3" t="s">
        <v>1148</v>
      </c>
      <c r="N256" s="3" t="s">
        <v>1053</v>
      </c>
      <c r="O256" s="2" t="str">
        <f t="shared" si="4"/>
        <v>50OCD</v>
      </c>
    </row>
    <row r="257" spans="3:15" x14ac:dyDescent="0.25">
      <c r="C257" s="3" t="s">
        <v>238</v>
      </c>
      <c r="D257" s="3" t="s">
        <v>239</v>
      </c>
      <c r="E257" s="3" t="s">
        <v>240</v>
      </c>
      <c r="F257" s="3">
        <v>5</v>
      </c>
      <c r="G257" s="3" t="s">
        <v>37</v>
      </c>
      <c r="H257" s="3" t="s">
        <v>38</v>
      </c>
      <c r="I257" s="3" t="s">
        <v>1111</v>
      </c>
      <c r="J257" s="3" t="s">
        <v>1046</v>
      </c>
      <c r="K257" s="3" t="s">
        <v>146</v>
      </c>
      <c r="L257" s="3" t="s">
        <v>1064</v>
      </c>
      <c r="M257" s="3" t="s">
        <v>1148</v>
      </c>
      <c r="N257" s="24" t="s">
        <v>1035</v>
      </c>
      <c r="O257" s="2" t="str">
        <f t="shared" si="4"/>
        <v>50OCI</v>
      </c>
    </row>
    <row r="258" spans="3:15" x14ac:dyDescent="0.25">
      <c r="C258" s="3" t="s">
        <v>962</v>
      </c>
      <c r="D258" s="3" t="s">
        <v>963</v>
      </c>
      <c r="E258" s="3" t="s">
        <v>1201</v>
      </c>
      <c r="F258" s="3">
        <v>5</v>
      </c>
      <c r="G258" s="3" t="s">
        <v>376</v>
      </c>
      <c r="H258" s="3" t="s">
        <v>38</v>
      </c>
      <c r="I258" s="3" t="s">
        <v>1111</v>
      </c>
      <c r="J258" s="3" t="s">
        <v>1046</v>
      </c>
      <c r="K258" s="3" t="s">
        <v>160</v>
      </c>
      <c r="L258" s="3" t="s">
        <v>1073</v>
      </c>
      <c r="M258" s="3" t="s">
        <v>1148</v>
      </c>
      <c r="N258" s="3" t="s">
        <v>984</v>
      </c>
      <c r="O258" s="2" t="str">
        <f t="shared" si="4"/>
        <v>50OCM</v>
      </c>
    </row>
    <row r="259" spans="3:15" x14ac:dyDescent="0.25">
      <c r="C259" s="3" t="s">
        <v>687</v>
      </c>
      <c r="D259" s="3" t="s">
        <v>688</v>
      </c>
      <c r="E259" s="3" t="s">
        <v>689</v>
      </c>
      <c r="F259" s="3">
        <v>5</v>
      </c>
      <c r="G259" s="3" t="s">
        <v>376</v>
      </c>
      <c r="H259" s="3" t="s">
        <v>38</v>
      </c>
      <c r="I259" s="3" t="s">
        <v>1111</v>
      </c>
      <c r="J259" s="3" t="s">
        <v>1046</v>
      </c>
      <c r="K259" s="3" t="s">
        <v>248</v>
      </c>
      <c r="L259" s="3" t="s">
        <v>1059</v>
      </c>
      <c r="M259" s="3" t="s">
        <v>1148</v>
      </c>
      <c r="N259" s="3" t="s">
        <v>1112</v>
      </c>
      <c r="O259" s="2" t="str">
        <f t="shared" si="4"/>
        <v>50OCS</v>
      </c>
    </row>
    <row r="260" spans="3:15" x14ac:dyDescent="0.25">
      <c r="C260" s="3" t="s">
        <v>241</v>
      </c>
      <c r="D260" s="3" t="s">
        <v>242</v>
      </c>
      <c r="E260" s="3" t="s">
        <v>243</v>
      </c>
      <c r="F260" s="3">
        <v>5</v>
      </c>
      <c r="G260" s="3" t="s">
        <v>37</v>
      </c>
      <c r="H260" s="3" t="s">
        <v>38</v>
      </c>
      <c r="I260" s="3" t="s">
        <v>1120</v>
      </c>
      <c r="J260" s="3" t="s">
        <v>1046</v>
      </c>
      <c r="K260" s="3" t="s">
        <v>132</v>
      </c>
      <c r="L260" s="3" t="s">
        <v>1065</v>
      </c>
      <c r="M260" s="3" t="s">
        <v>1148</v>
      </c>
      <c r="N260" s="24" t="s">
        <v>1035</v>
      </c>
      <c r="O260" s="2" t="str">
        <f t="shared" ref="O260:O323" si="5">C260</f>
        <v>50OCV</v>
      </c>
    </row>
    <row r="261" spans="3:15" x14ac:dyDescent="0.25">
      <c r="C261" s="3" t="s">
        <v>244</v>
      </c>
      <c r="D261" s="3" t="s">
        <v>245</v>
      </c>
      <c r="E261" s="3" t="s">
        <v>245</v>
      </c>
      <c r="F261" s="3">
        <v>5</v>
      </c>
      <c r="G261" s="3" t="s">
        <v>37</v>
      </c>
      <c r="H261" s="3" t="s">
        <v>81</v>
      </c>
      <c r="I261" s="3" t="s">
        <v>1111</v>
      </c>
      <c r="J261" s="3" t="s">
        <v>1046</v>
      </c>
      <c r="K261" s="3">
        <v>0</v>
      </c>
      <c r="L261" s="3" t="s">
        <v>1105</v>
      </c>
      <c r="M261" s="3" t="s">
        <v>1148</v>
      </c>
      <c r="N261" s="3" t="s">
        <v>1053</v>
      </c>
      <c r="O261" s="2" t="str">
        <f t="shared" si="5"/>
        <v>50ODG</v>
      </c>
    </row>
    <row r="262" spans="3:15" x14ac:dyDescent="0.25">
      <c r="C262" s="3" t="s">
        <v>246</v>
      </c>
      <c r="D262" s="3" t="s">
        <v>247</v>
      </c>
      <c r="E262" s="3" t="s">
        <v>247</v>
      </c>
      <c r="F262" s="3">
        <v>5</v>
      </c>
      <c r="G262" s="3" t="s">
        <v>37</v>
      </c>
      <c r="H262" s="3" t="s">
        <v>38</v>
      </c>
      <c r="I262" s="3" t="s">
        <v>1120</v>
      </c>
      <c r="J262" s="3" t="s">
        <v>1046</v>
      </c>
      <c r="K262" s="3" t="s">
        <v>248</v>
      </c>
      <c r="L262" s="3" t="s">
        <v>1060</v>
      </c>
      <c r="M262" s="3" t="s">
        <v>1148</v>
      </c>
      <c r="N262" s="3" t="s">
        <v>1112</v>
      </c>
      <c r="O262" s="2" t="str">
        <f t="shared" si="5"/>
        <v>50OEB</v>
      </c>
    </row>
    <row r="263" spans="3:15" x14ac:dyDescent="0.25">
      <c r="C263" s="3" t="s">
        <v>249</v>
      </c>
      <c r="D263" s="3" t="s">
        <v>250</v>
      </c>
      <c r="E263" s="3" t="s">
        <v>250</v>
      </c>
      <c r="F263" s="3">
        <v>5</v>
      </c>
      <c r="G263" s="3" t="s">
        <v>37</v>
      </c>
      <c r="H263" s="3" t="s">
        <v>38</v>
      </c>
      <c r="I263" s="3" t="s">
        <v>1120</v>
      </c>
      <c r="J263" s="3" t="s">
        <v>1046</v>
      </c>
      <c r="K263" s="3" t="s">
        <v>94</v>
      </c>
      <c r="L263" s="3" t="s">
        <v>1060</v>
      </c>
      <c r="M263" s="3" t="s">
        <v>1148</v>
      </c>
      <c r="N263" s="24" t="s">
        <v>1035</v>
      </c>
      <c r="O263" s="2" t="str">
        <f t="shared" si="5"/>
        <v>50OEN</v>
      </c>
    </row>
    <row r="264" spans="3:15" x14ac:dyDescent="0.25">
      <c r="C264" s="3" t="s">
        <v>251</v>
      </c>
      <c r="D264" s="3" t="s">
        <v>252</v>
      </c>
      <c r="E264" s="3" t="s">
        <v>253</v>
      </c>
      <c r="F264" s="3">
        <v>5</v>
      </c>
      <c r="G264" s="3" t="s">
        <v>37</v>
      </c>
      <c r="H264" s="3" t="s">
        <v>38</v>
      </c>
      <c r="I264" s="3" t="s">
        <v>1120</v>
      </c>
      <c r="J264" s="3" t="s">
        <v>1046</v>
      </c>
      <c r="K264" s="3">
        <v>0</v>
      </c>
      <c r="L264" s="3" t="s">
        <v>1065</v>
      </c>
      <c r="M264" s="3" t="s">
        <v>1148</v>
      </c>
      <c r="N264" s="3" t="s">
        <v>1053</v>
      </c>
      <c r="O264" s="2" t="str">
        <f t="shared" si="5"/>
        <v>50OEX</v>
      </c>
    </row>
    <row r="265" spans="3:15" x14ac:dyDescent="0.25">
      <c r="C265" s="3" t="s">
        <v>254</v>
      </c>
      <c r="D265" s="3" t="s">
        <v>255</v>
      </c>
      <c r="E265" s="3" t="s">
        <v>255</v>
      </c>
      <c r="F265" s="3">
        <v>5</v>
      </c>
      <c r="G265" s="3" t="s">
        <v>37</v>
      </c>
      <c r="H265" s="3" t="s">
        <v>38</v>
      </c>
      <c r="I265" s="3" t="s">
        <v>1114</v>
      </c>
      <c r="J265" s="3" t="s">
        <v>1046</v>
      </c>
      <c r="K265" s="3">
        <v>0</v>
      </c>
      <c r="L265" s="3" t="s">
        <v>1059</v>
      </c>
      <c r="M265" s="3" t="s">
        <v>1148</v>
      </c>
      <c r="N265" s="3" t="s">
        <v>1053</v>
      </c>
      <c r="O265" s="2" t="str">
        <f t="shared" si="5"/>
        <v>50OFG</v>
      </c>
    </row>
    <row r="266" spans="3:15" x14ac:dyDescent="0.25">
      <c r="C266" s="3" t="s">
        <v>590</v>
      </c>
      <c r="D266" s="3" t="s">
        <v>591</v>
      </c>
      <c r="E266" s="3" t="s">
        <v>591</v>
      </c>
      <c r="F266" s="3">
        <v>5</v>
      </c>
      <c r="G266" s="3" t="s">
        <v>376</v>
      </c>
      <c r="H266" s="3" t="s">
        <v>46</v>
      </c>
      <c r="I266" s="3" t="s">
        <v>1110</v>
      </c>
      <c r="J266" s="3" t="s">
        <v>1046</v>
      </c>
      <c r="K266" s="3" t="s">
        <v>331</v>
      </c>
      <c r="L266" s="3" t="s">
        <v>1060</v>
      </c>
      <c r="M266" s="3" t="s">
        <v>1148</v>
      </c>
      <c r="N266" s="3" t="s">
        <v>984</v>
      </c>
      <c r="O266" s="2" t="str">
        <f t="shared" si="5"/>
        <v>50OFN</v>
      </c>
    </row>
    <row r="267" spans="3:15" x14ac:dyDescent="0.25">
      <c r="C267" s="3" t="s">
        <v>447</v>
      </c>
      <c r="D267" s="3" t="s">
        <v>448</v>
      </c>
      <c r="E267" s="3" t="s">
        <v>449</v>
      </c>
      <c r="F267" s="3">
        <v>5</v>
      </c>
      <c r="G267" s="3" t="s">
        <v>376</v>
      </c>
      <c r="H267" s="3" t="s">
        <v>38</v>
      </c>
      <c r="I267" s="3" t="s">
        <v>1110</v>
      </c>
      <c r="J267" s="3" t="s">
        <v>1046</v>
      </c>
      <c r="K267" s="3" t="s">
        <v>94</v>
      </c>
      <c r="L267" s="3" t="s">
        <v>1065</v>
      </c>
      <c r="M267" s="3" t="s">
        <v>1149</v>
      </c>
      <c r="N267" s="24" t="s">
        <v>1035</v>
      </c>
      <c r="O267" s="2" t="str">
        <f t="shared" si="5"/>
        <v>50OIM</v>
      </c>
    </row>
    <row r="268" spans="3:15" x14ac:dyDescent="0.25">
      <c r="C268" s="3" t="s">
        <v>256</v>
      </c>
      <c r="D268" s="3" t="s">
        <v>257</v>
      </c>
      <c r="E268" s="3" t="s">
        <v>257</v>
      </c>
      <c r="F268" s="3">
        <v>5</v>
      </c>
      <c r="G268" s="3" t="s">
        <v>37</v>
      </c>
      <c r="H268" s="3" t="s">
        <v>38</v>
      </c>
      <c r="I268" s="3" t="s">
        <v>1120</v>
      </c>
      <c r="J268" s="3" t="s">
        <v>1046</v>
      </c>
      <c r="K268" s="3">
        <v>0</v>
      </c>
      <c r="L268" s="3" t="s">
        <v>1060</v>
      </c>
      <c r="M268" s="3" t="s">
        <v>1148</v>
      </c>
      <c r="N268" s="3" t="s">
        <v>1053</v>
      </c>
      <c r="O268" s="2" t="str">
        <f t="shared" si="5"/>
        <v>50OIS</v>
      </c>
    </row>
    <row r="269" spans="3:15" x14ac:dyDescent="0.25">
      <c r="C269" s="3" t="s">
        <v>450</v>
      </c>
      <c r="D269" s="3" t="s">
        <v>451</v>
      </c>
      <c r="E269" s="3" t="s">
        <v>1202</v>
      </c>
      <c r="F269" s="3">
        <v>5</v>
      </c>
      <c r="G269" s="3" t="s">
        <v>376</v>
      </c>
      <c r="H269" s="3" t="s">
        <v>38</v>
      </c>
      <c r="I269" s="3" t="s">
        <v>1110</v>
      </c>
      <c r="J269" s="3" t="s">
        <v>1046</v>
      </c>
      <c r="K269" s="3" t="s">
        <v>94</v>
      </c>
      <c r="L269" s="3" t="s">
        <v>1065</v>
      </c>
      <c r="M269" s="3" t="s">
        <v>1149</v>
      </c>
      <c r="N269" s="24" t="s">
        <v>1035</v>
      </c>
      <c r="O269" s="2" t="str">
        <f t="shared" si="5"/>
        <v>50OJC</v>
      </c>
    </row>
    <row r="270" spans="3:15" x14ac:dyDescent="0.25">
      <c r="C270" s="3" t="s">
        <v>965</v>
      </c>
      <c r="D270" s="3" t="s">
        <v>966</v>
      </c>
      <c r="E270" s="3" t="s">
        <v>967</v>
      </c>
      <c r="F270" s="3">
        <v>5</v>
      </c>
      <c r="G270" s="3" t="s">
        <v>376</v>
      </c>
      <c r="H270" s="3" t="s">
        <v>38</v>
      </c>
      <c r="I270" s="3" t="s">
        <v>1110</v>
      </c>
      <c r="J270" s="3" t="s">
        <v>1046</v>
      </c>
      <c r="K270" s="3" t="s">
        <v>160</v>
      </c>
      <c r="L270" s="3" t="s">
        <v>1058</v>
      </c>
      <c r="M270" s="3" t="s">
        <v>1148</v>
      </c>
      <c r="N270" s="3" t="s">
        <v>984</v>
      </c>
      <c r="O270" s="2" t="str">
        <f t="shared" si="5"/>
        <v>50OLH</v>
      </c>
    </row>
    <row r="271" spans="3:15" x14ac:dyDescent="0.25">
      <c r="C271" s="3" t="s">
        <v>258</v>
      </c>
      <c r="D271" s="3" t="s">
        <v>259</v>
      </c>
      <c r="E271" s="3" t="s">
        <v>260</v>
      </c>
      <c r="F271" s="3">
        <v>5</v>
      </c>
      <c r="G271" s="3" t="s">
        <v>37</v>
      </c>
      <c r="H271" s="3" t="s">
        <v>38</v>
      </c>
      <c r="I271" s="3" t="s">
        <v>1120</v>
      </c>
      <c r="J271" s="3" t="s">
        <v>1046</v>
      </c>
      <c r="K271" s="3" t="s">
        <v>50</v>
      </c>
      <c r="L271" s="3" t="s">
        <v>1059</v>
      </c>
      <c r="M271" s="3" t="s">
        <v>1148</v>
      </c>
      <c r="N271" s="3" t="s">
        <v>984</v>
      </c>
      <c r="O271" s="2" t="str">
        <f t="shared" si="5"/>
        <v>50OLL</v>
      </c>
    </row>
    <row r="272" spans="3:15" x14ac:dyDescent="0.25">
      <c r="C272" s="3" t="s">
        <v>261</v>
      </c>
      <c r="D272" s="3" t="s">
        <v>262</v>
      </c>
      <c r="E272" s="3" t="s">
        <v>263</v>
      </c>
      <c r="F272" s="3">
        <v>5</v>
      </c>
      <c r="G272" s="3" t="s">
        <v>37</v>
      </c>
      <c r="H272" s="3" t="s">
        <v>38</v>
      </c>
      <c r="I272" s="3" t="s">
        <v>1127</v>
      </c>
      <c r="J272" s="3" t="s">
        <v>1046</v>
      </c>
      <c r="K272" s="3" t="s">
        <v>58</v>
      </c>
      <c r="L272" s="3" t="s">
        <v>1060</v>
      </c>
      <c r="M272" s="3" t="s">
        <v>1148</v>
      </c>
      <c r="N272" s="3" t="s">
        <v>1112</v>
      </c>
      <c r="O272" s="2" t="str">
        <f t="shared" si="5"/>
        <v>50OLM</v>
      </c>
    </row>
    <row r="273" spans="3:15" x14ac:dyDescent="0.25">
      <c r="C273" s="3" t="s">
        <v>791</v>
      </c>
      <c r="D273" s="3" t="s">
        <v>793</v>
      </c>
      <c r="E273" s="3" t="s">
        <v>1203</v>
      </c>
      <c r="F273" s="3">
        <v>5</v>
      </c>
      <c r="G273" s="3" t="s">
        <v>376</v>
      </c>
      <c r="H273" s="3" t="s">
        <v>38</v>
      </c>
      <c r="I273" s="3" t="s">
        <v>1114</v>
      </c>
      <c r="J273" s="3" t="s">
        <v>1031</v>
      </c>
      <c r="K273" s="3" t="s">
        <v>89</v>
      </c>
      <c r="L273" s="3" t="s">
        <v>1075</v>
      </c>
      <c r="M273" s="3" t="s">
        <v>1076</v>
      </c>
      <c r="N273" s="3" t="s">
        <v>378</v>
      </c>
      <c r="O273" s="2" t="str">
        <f t="shared" si="5"/>
        <v>50OLY</v>
      </c>
    </row>
    <row r="274" spans="3:15" x14ac:dyDescent="0.25">
      <c r="C274" s="3" t="s">
        <v>264</v>
      </c>
      <c r="D274" s="3" t="s">
        <v>265</v>
      </c>
      <c r="E274" s="3" t="s">
        <v>266</v>
      </c>
      <c r="F274" s="3">
        <v>5</v>
      </c>
      <c r="G274" s="3" t="s">
        <v>37</v>
      </c>
      <c r="H274" s="3" t="s">
        <v>38</v>
      </c>
      <c r="I274" s="3" t="s">
        <v>1111</v>
      </c>
      <c r="J274" s="3" t="s">
        <v>1046</v>
      </c>
      <c r="K274" s="3">
        <v>0</v>
      </c>
      <c r="L274" s="3" t="s">
        <v>1059</v>
      </c>
      <c r="M274" s="3" t="s">
        <v>1149</v>
      </c>
      <c r="N274" s="3" t="s">
        <v>1053</v>
      </c>
      <c r="O274" s="2" t="str">
        <f t="shared" si="5"/>
        <v>50OMD</v>
      </c>
    </row>
    <row r="275" spans="3:15" x14ac:dyDescent="0.25">
      <c r="C275" s="3" t="s">
        <v>267</v>
      </c>
      <c r="D275" s="3" t="s">
        <v>268</v>
      </c>
      <c r="E275" s="3" t="s">
        <v>269</v>
      </c>
      <c r="F275" s="3">
        <v>5</v>
      </c>
      <c r="G275" s="3" t="s">
        <v>37</v>
      </c>
      <c r="H275" s="3" t="s">
        <v>38</v>
      </c>
      <c r="I275" s="3" t="s">
        <v>1114</v>
      </c>
      <c r="J275" s="3" t="s">
        <v>1046</v>
      </c>
      <c r="K275" s="3">
        <v>0</v>
      </c>
      <c r="L275" s="3" t="s">
        <v>1059</v>
      </c>
      <c r="M275" s="3" t="s">
        <v>1148</v>
      </c>
      <c r="N275" s="3" t="s">
        <v>1053</v>
      </c>
      <c r="O275" s="2" t="str">
        <f t="shared" si="5"/>
        <v>50OMH</v>
      </c>
    </row>
    <row r="276" spans="3:15" x14ac:dyDescent="0.25">
      <c r="C276" s="3" t="s">
        <v>270</v>
      </c>
      <c r="D276" s="3" t="s">
        <v>271</v>
      </c>
      <c r="E276" s="3" t="s">
        <v>271</v>
      </c>
      <c r="F276" s="3">
        <v>5</v>
      </c>
      <c r="G276" s="3" t="s">
        <v>37</v>
      </c>
      <c r="H276" s="3" t="s">
        <v>38</v>
      </c>
      <c r="I276" s="3" t="s">
        <v>1114</v>
      </c>
      <c r="J276" s="3" t="s">
        <v>1046</v>
      </c>
      <c r="K276" s="3" t="s">
        <v>100</v>
      </c>
      <c r="L276" s="3" t="s">
        <v>1064</v>
      </c>
      <c r="M276" s="3" t="s">
        <v>1148</v>
      </c>
      <c r="N276" s="24" t="s">
        <v>1035</v>
      </c>
      <c r="O276" s="2" t="str">
        <f t="shared" si="5"/>
        <v>50OMI</v>
      </c>
    </row>
    <row r="277" spans="3:15" x14ac:dyDescent="0.25">
      <c r="C277" s="3" t="s">
        <v>631</v>
      </c>
      <c r="D277" s="3" t="s">
        <v>633</v>
      </c>
      <c r="E277" s="3" t="s">
        <v>1204</v>
      </c>
      <c r="F277" s="3">
        <v>5</v>
      </c>
      <c r="G277" s="3" t="s">
        <v>376</v>
      </c>
      <c r="H277" s="3" t="s">
        <v>38</v>
      </c>
      <c r="I277" s="3" t="s">
        <v>1114</v>
      </c>
      <c r="J277" s="3" t="s">
        <v>1046</v>
      </c>
      <c r="K277" s="3" t="s">
        <v>50</v>
      </c>
      <c r="L277" s="3" t="s">
        <v>1059</v>
      </c>
      <c r="M277" s="3" t="s">
        <v>1148</v>
      </c>
      <c r="N277" s="3" t="s">
        <v>984</v>
      </c>
      <c r="O277" s="2" t="str">
        <f t="shared" si="5"/>
        <v>50OML</v>
      </c>
    </row>
    <row r="278" spans="3:15" x14ac:dyDescent="0.25">
      <c r="C278" s="3" t="s">
        <v>272</v>
      </c>
      <c r="D278" s="3" t="s">
        <v>273</v>
      </c>
      <c r="E278" s="3" t="s">
        <v>274</v>
      </c>
      <c r="F278" s="3">
        <v>5</v>
      </c>
      <c r="G278" s="3" t="s">
        <v>37</v>
      </c>
      <c r="H278" s="3" t="s">
        <v>38</v>
      </c>
      <c r="I278" s="3" t="s">
        <v>1111</v>
      </c>
      <c r="J278" s="3" t="s">
        <v>1046</v>
      </c>
      <c r="K278" s="3" t="s">
        <v>73</v>
      </c>
      <c r="L278" s="3" t="s">
        <v>1068</v>
      </c>
      <c r="M278" s="3" t="s">
        <v>1148</v>
      </c>
      <c r="N278" s="3" t="s">
        <v>378</v>
      </c>
      <c r="O278" s="2" t="str">
        <f t="shared" si="5"/>
        <v>50OMM</v>
      </c>
    </row>
    <row r="279" spans="3:15" x14ac:dyDescent="0.25">
      <c r="C279" s="3" t="s">
        <v>690</v>
      </c>
      <c r="D279" s="3" t="s">
        <v>691</v>
      </c>
      <c r="E279" s="3" t="s">
        <v>692</v>
      </c>
      <c r="F279" s="4">
        <v>5</v>
      </c>
      <c r="G279" s="3" t="s">
        <v>376</v>
      </c>
      <c r="H279" s="3" t="s">
        <v>38</v>
      </c>
      <c r="I279" s="3" t="s">
        <v>1114</v>
      </c>
      <c r="J279" s="3" t="s">
        <v>1046</v>
      </c>
      <c r="K279" s="3" t="s">
        <v>248</v>
      </c>
      <c r="L279" s="3" t="s">
        <v>1059</v>
      </c>
      <c r="M279" s="3" t="s">
        <v>1149</v>
      </c>
      <c r="N279" s="3" t="s">
        <v>1112</v>
      </c>
      <c r="O279" s="2" t="str">
        <f t="shared" si="5"/>
        <v>50OMO</v>
      </c>
    </row>
    <row r="280" spans="3:15" x14ac:dyDescent="0.25">
      <c r="C280" s="3" t="s">
        <v>276</v>
      </c>
      <c r="D280" s="3" t="s">
        <v>277</v>
      </c>
      <c r="E280" s="3" t="s">
        <v>278</v>
      </c>
      <c r="F280" s="4">
        <v>5</v>
      </c>
      <c r="G280" s="3" t="s">
        <v>37</v>
      </c>
      <c r="H280" s="3" t="s">
        <v>38</v>
      </c>
      <c r="I280" s="3" t="s">
        <v>1111</v>
      </c>
      <c r="J280" s="3" t="s">
        <v>1046</v>
      </c>
      <c r="K280" s="3" t="s">
        <v>84</v>
      </c>
      <c r="L280" s="3" t="s">
        <v>1074</v>
      </c>
      <c r="M280" s="3" t="s">
        <v>1074</v>
      </c>
      <c r="N280" s="3" t="s">
        <v>378</v>
      </c>
      <c r="O280" s="2" t="str">
        <f t="shared" si="5"/>
        <v>50OMT</v>
      </c>
    </row>
    <row r="281" spans="3:15" x14ac:dyDescent="0.25">
      <c r="C281" s="3" t="s">
        <v>731</v>
      </c>
      <c r="D281" s="3" t="s">
        <v>732</v>
      </c>
      <c r="E281" s="3" t="s">
        <v>54</v>
      </c>
      <c r="F281" s="4">
        <v>5</v>
      </c>
      <c r="G281" s="3" t="s">
        <v>376</v>
      </c>
      <c r="H281" s="3" t="s">
        <v>46</v>
      </c>
      <c r="I281" s="3" t="s">
        <v>1110</v>
      </c>
      <c r="J281" s="3" t="s">
        <v>1031</v>
      </c>
      <c r="K281" s="3" t="s">
        <v>84</v>
      </c>
      <c r="L281" s="3" t="s">
        <v>1152</v>
      </c>
      <c r="M281" s="3" t="s">
        <v>1074</v>
      </c>
      <c r="N281" s="3" t="s">
        <v>378</v>
      </c>
      <c r="O281" s="2" t="str">
        <f t="shared" si="5"/>
        <v>50OOC</v>
      </c>
    </row>
    <row r="282" spans="3:15" x14ac:dyDescent="0.25">
      <c r="C282" s="3" t="s">
        <v>453</v>
      </c>
      <c r="D282" s="3" t="s">
        <v>454</v>
      </c>
      <c r="E282" s="3" t="s">
        <v>454</v>
      </c>
      <c r="F282" s="4">
        <v>5</v>
      </c>
      <c r="G282" s="3" t="s">
        <v>376</v>
      </c>
      <c r="H282" s="3" t="s">
        <v>38</v>
      </c>
      <c r="I282" s="3" t="s">
        <v>1110</v>
      </c>
      <c r="J282" s="3" t="s">
        <v>1046</v>
      </c>
      <c r="K282" s="3" t="s">
        <v>94</v>
      </c>
      <c r="L282" s="3" t="s">
        <v>1065</v>
      </c>
      <c r="M282" s="3" t="s">
        <v>1148</v>
      </c>
      <c r="N282" s="24" t="s">
        <v>1035</v>
      </c>
      <c r="O282" s="2" t="str">
        <f t="shared" si="5"/>
        <v>50OPN</v>
      </c>
    </row>
    <row r="283" spans="3:15" x14ac:dyDescent="0.25">
      <c r="C283" s="3" t="s">
        <v>280</v>
      </c>
      <c r="D283" s="3" t="s">
        <v>281</v>
      </c>
      <c r="E283" s="3" t="s">
        <v>281</v>
      </c>
      <c r="F283" s="4">
        <v>5</v>
      </c>
      <c r="G283" s="3" t="s">
        <v>37</v>
      </c>
      <c r="H283" s="3" t="s">
        <v>38</v>
      </c>
      <c r="I283" s="3" t="s">
        <v>1120</v>
      </c>
      <c r="J283" s="3" t="s">
        <v>1046</v>
      </c>
      <c r="K283" s="3" t="s">
        <v>132</v>
      </c>
      <c r="L283" s="3" t="s">
        <v>1065</v>
      </c>
      <c r="M283" s="3" t="s">
        <v>1148</v>
      </c>
      <c r="N283" s="24" t="s">
        <v>1035</v>
      </c>
      <c r="O283" s="2" t="str">
        <f t="shared" si="5"/>
        <v>50OPV</v>
      </c>
    </row>
    <row r="284" spans="3:15" x14ac:dyDescent="0.25">
      <c r="C284" s="3" t="s">
        <v>282</v>
      </c>
      <c r="D284" s="3" t="s">
        <v>283</v>
      </c>
      <c r="E284" s="3" t="s">
        <v>284</v>
      </c>
      <c r="F284" s="4">
        <v>5</v>
      </c>
      <c r="G284" s="3" t="s">
        <v>37</v>
      </c>
      <c r="H284" s="3" t="s">
        <v>38</v>
      </c>
      <c r="I284" s="3" t="s">
        <v>1120</v>
      </c>
      <c r="J284" s="3" t="s">
        <v>1046</v>
      </c>
      <c r="K284" s="3">
        <v>0</v>
      </c>
      <c r="L284" s="3" t="s">
        <v>1074</v>
      </c>
      <c r="M284" s="3" t="s">
        <v>1200</v>
      </c>
      <c r="N284" s="3" t="s">
        <v>1053</v>
      </c>
      <c r="O284" s="2" t="str">
        <f t="shared" si="5"/>
        <v>50ORE</v>
      </c>
    </row>
    <row r="285" spans="3:15" x14ac:dyDescent="0.25">
      <c r="C285" s="3" t="s">
        <v>455</v>
      </c>
      <c r="D285" s="3" t="s">
        <v>456</v>
      </c>
      <c r="E285" s="3" t="s">
        <v>1205</v>
      </c>
      <c r="F285" s="4">
        <v>5</v>
      </c>
      <c r="G285" s="3" t="s">
        <v>376</v>
      </c>
      <c r="H285" s="3" t="s">
        <v>38</v>
      </c>
      <c r="I285" s="3" t="s">
        <v>1110</v>
      </c>
      <c r="J285" s="3" t="s">
        <v>1046</v>
      </c>
      <c r="K285" s="3" t="s">
        <v>94</v>
      </c>
      <c r="L285" s="3" t="s">
        <v>1065</v>
      </c>
      <c r="M285" s="3" t="s">
        <v>1149</v>
      </c>
      <c r="N285" s="24" t="s">
        <v>1035</v>
      </c>
      <c r="O285" s="2" t="str">
        <f t="shared" si="5"/>
        <v>50ORO</v>
      </c>
    </row>
    <row r="286" spans="3:15" x14ac:dyDescent="0.25">
      <c r="C286" s="3" t="s">
        <v>285</v>
      </c>
      <c r="D286" s="3" t="s">
        <v>286</v>
      </c>
      <c r="E286" s="3" t="s">
        <v>287</v>
      </c>
      <c r="F286" s="4">
        <v>5</v>
      </c>
      <c r="G286" s="3" t="s">
        <v>37</v>
      </c>
      <c r="H286" s="3" t="s">
        <v>38</v>
      </c>
      <c r="I286" s="3" t="s">
        <v>1120</v>
      </c>
      <c r="J286" s="3" t="s">
        <v>1046</v>
      </c>
      <c r="K286" s="3">
        <v>0</v>
      </c>
      <c r="L286" s="3" t="s">
        <v>1059</v>
      </c>
      <c r="M286" s="3" t="s">
        <v>1149</v>
      </c>
      <c r="N286" s="3" t="s">
        <v>1053</v>
      </c>
      <c r="O286" s="2" t="str">
        <f t="shared" si="5"/>
        <v>50ORY</v>
      </c>
    </row>
    <row r="287" spans="3:15" x14ac:dyDescent="0.25">
      <c r="C287" s="3" t="s">
        <v>288</v>
      </c>
      <c r="D287" s="3" t="s">
        <v>289</v>
      </c>
      <c r="E287" s="3" t="s">
        <v>290</v>
      </c>
      <c r="F287" s="4">
        <v>5</v>
      </c>
      <c r="G287" s="3" t="s">
        <v>37</v>
      </c>
      <c r="H287" s="3" t="s">
        <v>38</v>
      </c>
      <c r="I287" s="3" t="s">
        <v>1111</v>
      </c>
      <c r="J287" s="3" t="s">
        <v>1046</v>
      </c>
      <c r="K287" s="3">
        <v>0</v>
      </c>
      <c r="L287" s="3" t="s">
        <v>1064</v>
      </c>
      <c r="M287" s="3" t="s">
        <v>1148</v>
      </c>
      <c r="N287" s="3" t="s">
        <v>1053</v>
      </c>
      <c r="O287" s="2" t="str">
        <f t="shared" si="5"/>
        <v>50OSF</v>
      </c>
    </row>
    <row r="288" spans="3:15" x14ac:dyDescent="0.25">
      <c r="C288" s="3" t="s">
        <v>291</v>
      </c>
      <c r="D288" s="3" t="s">
        <v>292</v>
      </c>
      <c r="E288" s="3" t="s">
        <v>292</v>
      </c>
      <c r="F288" s="4">
        <v>5</v>
      </c>
      <c r="G288" s="3" t="s">
        <v>37</v>
      </c>
      <c r="H288" s="3" t="s">
        <v>38</v>
      </c>
      <c r="I288" s="3" t="s">
        <v>1120</v>
      </c>
      <c r="J288" s="3" t="s">
        <v>1046</v>
      </c>
      <c r="K288" s="3" t="s">
        <v>94</v>
      </c>
      <c r="L288" s="3" t="s">
        <v>1059</v>
      </c>
      <c r="M288" s="3" t="s">
        <v>1148</v>
      </c>
      <c r="N288" s="24" t="s">
        <v>1035</v>
      </c>
      <c r="O288" s="2" t="str">
        <f t="shared" si="5"/>
        <v>50OSI</v>
      </c>
    </row>
    <row r="289" spans="3:15" x14ac:dyDescent="0.25">
      <c r="C289" s="3" t="s">
        <v>293</v>
      </c>
      <c r="D289" s="3" t="s">
        <v>294</v>
      </c>
      <c r="E289" s="3" t="s">
        <v>294</v>
      </c>
      <c r="F289" s="4">
        <v>5</v>
      </c>
      <c r="G289" s="3" t="s">
        <v>37</v>
      </c>
      <c r="H289" s="3" t="s">
        <v>38</v>
      </c>
      <c r="I289" s="3" t="s">
        <v>1114</v>
      </c>
      <c r="J289" s="3" t="s">
        <v>1046</v>
      </c>
      <c r="K289" s="3" t="s">
        <v>73</v>
      </c>
      <c r="L289" s="3" t="s">
        <v>1065</v>
      </c>
      <c r="M289" s="3" t="s">
        <v>1148</v>
      </c>
      <c r="N289" s="3" t="s">
        <v>378</v>
      </c>
      <c r="O289" s="2" t="str">
        <f t="shared" si="5"/>
        <v>50OSO</v>
      </c>
    </row>
    <row r="290" spans="3:15" x14ac:dyDescent="0.25">
      <c r="C290" s="3" t="s">
        <v>295</v>
      </c>
      <c r="D290" s="3" t="s">
        <v>296</v>
      </c>
      <c r="E290" s="3" t="s">
        <v>297</v>
      </c>
      <c r="F290" s="4">
        <v>5</v>
      </c>
      <c r="G290" s="3" t="s">
        <v>37</v>
      </c>
      <c r="H290" s="3" t="s">
        <v>38</v>
      </c>
      <c r="I290" s="3" t="s">
        <v>1120</v>
      </c>
      <c r="J290" s="3" t="s">
        <v>1046</v>
      </c>
      <c r="K290" s="3" t="s">
        <v>94</v>
      </c>
      <c r="L290" s="3" t="s">
        <v>1065</v>
      </c>
      <c r="M290" s="3" t="s">
        <v>1149</v>
      </c>
      <c r="N290" s="24" t="s">
        <v>1035</v>
      </c>
      <c r="O290" s="2" t="str">
        <f t="shared" si="5"/>
        <v>50OSU</v>
      </c>
    </row>
    <row r="291" spans="3:15" x14ac:dyDescent="0.25">
      <c r="C291" s="3" t="s">
        <v>298</v>
      </c>
      <c r="D291" s="3" t="s">
        <v>299</v>
      </c>
      <c r="E291" s="3" t="s">
        <v>300</v>
      </c>
      <c r="F291" s="4">
        <v>5</v>
      </c>
      <c r="G291" s="3" t="s">
        <v>37</v>
      </c>
      <c r="H291" s="3" t="s">
        <v>38</v>
      </c>
      <c r="I291" s="3" t="s">
        <v>1114</v>
      </c>
      <c r="J291" s="3" t="s">
        <v>1046</v>
      </c>
      <c r="K291" s="3" t="s">
        <v>58</v>
      </c>
      <c r="L291" s="3" t="s">
        <v>1064</v>
      </c>
      <c r="M291" s="3" t="s">
        <v>1148</v>
      </c>
      <c r="N291" s="3" t="s">
        <v>1112</v>
      </c>
      <c r="O291" s="2" t="str">
        <f t="shared" si="5"/>
        <v>50OTE</v>
      </c>
    </row>
    <row r="292" spans="3:15" x14ac:dyDescent="0.25">
      <c r="C292" s="3" t="s">
        <v>794</v>
      </c>
      <c r="D292" s="3" t="s">
        <v>795</v>
      </c>
      <c r="E292" s="3" t="s">
        <v>795</v>
      </c>
      <c r="F292" s="4">
        <v>5</v>
      </c>
      <c r="G292" s="3" t="s">
        <v>376</v>
      </c>
      <c r="H292" s="3" t="s">
        <v>38</v>
      </c>
      <c r="I292" s="3" t="s">
        <v>1114</v>
      </c>
      <c r="J292" s="3" t="s">
        <v>1031</v>
      </c>
      <c r="K292" s="3" t="s">
        <v>89</v>
      </c>
      <c r="L292" s="3" t="s">
        <v>1075</v>
      </c>
      <c r="M292" s="3" t="s">
        <v>1076</v>
      </c>
      <c r="N292" s="3" t="s">
        <v>378</v>
      </c>
      <c r="O292" s="2" t="str">
        <f t="shared" si="5"/>
        <v>50OTI</v>
      </c>
    </row>
    <row r="293" spans="3:15" x14ac:dyDescent="0.25">
      <c r="C293" s="3" t="s">
        <v>620</v>
      </c>
      <c r="D293" s="3" t="s">
        <v>622</v>
      </c>
      <c r="E293" s="3" t="s">
        <v>622</v>
      </c>
      <c r="F293" s="4">
        <v>5</v>
      </c>
      <c r="G293" s="3" t="s">
        <v>376</v>
      </c>
      <c r="H293" s="3" t="s">
        <v>38</v>
      </c>
      <c r="I293" s="3" t="s">
        <v>1114</v>
      </c>
      <c r="J293" s="3" t="s">
        <v>1046</v>
      </c>
      <c r="K293" s="3" t="s">
        <v>50</v>
      </c>
      <c r="L293" s="3" t="s">
        <v>1064</v>
      </c>
      <c r="M293" s="3" t="s">
        <v>1148</v>
      </c>
      <c r="N293" s="3" t="s">
        <v>984</v>
      </c>
      <c r="O293" s="2" t="str">
        <f t="shared" si="5"/>
        <v>50OTT</v>
      </c>
    </row>
    <row r="294" spans="3:15" x14ac:dyDescent="0.25">
      <c r="C294" s="3" t="s">
        <v>733</v>
      </c>
      <c r="D294" s="3" t="s">
        <v>734</v>
      </c>
      <c r="E294" s="3" t="s">
        <v>1206</v>
      </c>
      <c r="F294" s="4">
        <v>5</v>
      </c>
      <c r="G294" s="3" t="s">
        <v>376</v>
      </c>
      <c r="H294" s="3" t="s">
        <v>38</v>
      </c>
      <c r="I294" s="3" t="s">
        <v>1114</v>
      </c>
      <c r="J294" s="3" t="s">
        <v>1031</v>
      </c>
      <c r="K294" s="3" t="s">
        <v>84</v>
      </c>
      <c r="L294" s="3" t="s">
        <v>1061</v>
      </c>
      <c r="M294" s="3" t="s">
        <v>1074</v>
      </c>
      <c r="N294" s="3" t="s">
        <v>378</v>
      </c>
      <c r="O294" s="2" t="str">
        <f t="shared" si="5"/>
        <v>50OUV</v>
      </c>
    </row>
    <row r="295" spans="3:15" x14ac:dyDescent="0.25">
      <c r="C295" s="3" t="s">
        <v>301</v>
      </c>
      <c r="D295" s="3" t="s">
        <v>302</v>
      </c>
      <c r="E295" s="3" t="s">
        <v>303</v>
      </c>
      <c r="F295" s="4">
        <v>5</v>
      </c>
      <c r="G295" s="3" t="s">
        <v>37</v>
      </c>
      <c r="H295" s="3" t="s">
        <v>38</v>
      </c>
      <c r="I295" s="3" t="s">
        <v>1120</v>
      </c>
      <c r="J295" s="3" t="s">
        <v>1046</v>
      </c>
      <c r="K295" s="3" t="s">
        <v>132</v>
      </c>
      <c r="L295" s="3" t="s">
        <v>1082</v>
      </c>
      <c r="M295" s="3" t="s">
        <v>1148</v>
      </c>
      <c r="N295" s="24" t="s">
        <v>1035</v>
      </c>
      <c r="O295" s="2" t="str">
        <f t="shared" si="5"/>
        <v>50OVM</v>
      </c>
    </row>
    <row r="296" spans="3:15" x14ac:dyDescent="0.25">
      <c r="C296" s="3" t="s">
        <v>505</v>
      </c>
      <c r="D296" s="3" t="s">
        <v>506</v>
      </c>
      <c r="E296" s="3" t="s">
        <v>506</v>
      </c>
      <c r="F296" s="4">
        <v>5</v>
      </c>
      <c r="G296" s="3" t="s">
        <v>376</v>
      </c>
      <c r="H296" s="3" t="s">
        <v>46</v>
      </c>
      <c r="I296" s="3" t="s">
        <v>1114</v>
      </c>
      <c r="J296" s="3" t="s">
        <v>1046</v>
      </c>
      <c r="K296" s="3" t="s">
        <v>58</v>
      </c>
      <c r="L296" s="3" t="s">
        <v>1059</v>
      </c>
      <c r="M296" s="3" t="s">
        <v>1149</v>
      </c>
      <c r="N296" s="3" t="s">
        <v>1112</v>
      </c>
      <c r="O296" s="2" t="str">
        <f t="shared" si="5"/>
        <v>50OVN</v>
      </c>
    </row>
    <row r="297" spans="3:15" x14ac:dyDescent="0.25">
      <c r="C297" s="3" t="s">
        <v>304</v>
      </c>
      <c r="D297" s="3" t="s">
        <v>305</v>
      </c>
      <c r="E297" s="3" t="s">
        <v>305</v>
      </c>
      <c r="F297" s="4">
        <v>5</v>
      </c>
      <c r="G297" s="3" t="s">
        <v>37</v>
      </c>
      <c r="H297" s="3" t="s">
        <v>81</v>
      </c>
      <c r="I297" s="3" t="s">
        <v>1111</v>
      </c>
      <c r="J297" s="3" t="s">
        <v>1046</v>
      </c>
      <c r="K297" s="3" t="s">
        <v>132</v>
      </c>
      <c r="L297" s="3" t="s">
        <v>1059</v>
      </c>
      <c r="M297" s="3" t="s">
        <v>1149</v>
      </c>
      <c r="N297" s="24" t="s">
        <v>1035</v>
      </c>
      <c r="O297" s="2" t="str">
        <f t="shared" si="5"/>
        <v>50P7X</v>
      </c>
    </row>
    <row r="298" spans="3:15" x14ac:dyDescent="0.25">
      <c r="C298" s="3" t="s">
        <v>306</v>
      </c>
      <c r="D298" s="3" t="s">
        <v>307</v>
      </c>
      <c r="E298" s="3" t="s">
        <v>307</v>
      </c>
      <c r="F298" s="4">
        <v>5</v>
      </c>
      <c r="G298" s="3" t="s">
        <v>37</v>
      </c>
      <c r="H298" s="3" t="s">
        <v>46</v>
      </c>
      <c r="I298" s="3" t="s">
        <v>1120</v>
      </c>
      <c r="J298" s="3" t="s">
        <v>1046</v>
      </c>
      <c r="K298" s="3">
        <v>0</v>
      </c>
      <c r="L298" s="3" t="s">
        <v>1060</v>
      </c>
      <c r="M298" s="3" t="s">
        <v>1148</v>
      </c>
      <c r="N298" s="3" t="s">
        <v>1053</v>
      </c>
      <c r="O298" s="2" t="str">
        <f t="shared" si="5"/>
        <v>50PCH</v>
      </c>
    </row>
    <row r="299" spans="3:15" x14ac:dyDescent="0.25">
      <c r="C299" s="3" t="s">
        <v>308</v>
      </c>
      <c r="D299" s="3" t="s">
        <v>309</v>
      </c>
      <c r="E299" s="3" t="s">
        <v>309</v>
      </c>
      <c r="F299" s="4">
        <v>5</v>
      </c>
      <c r="G299" s="3" t="s">
        <v>37</v>
      </c>
      <c r="H299" s="3" t="s">
        <v>46</v>
      </c>
      <c r="I299" s="3" t="s">
        <v>1114</v>
      </c>
      <c r="J299" s="3" t="s">
        <v>1046</v>
      </c>
      <c r="K299" s="3">
        <v>0</v>
      </c>
      <c r="L299" s="3" t="s">
        <v>1074</v>
      </c>
      <c r="M299" s="3" t="s">
        <v>1074</v>
      </c>
      <c r="N299" s="3" t="s">
        <v>1053</v>
      </c>
      <c r="O299" s="2" t="str">
        <f t="shared" si="5"/>
        <v>50PCL</v>
      </c>
    </row>
    <row r="300" spans="3:15" x14ac:dyDescent="0.25">
      <c r="C300" s="3" t="s">
        <v>310</v>
      </c>
      <c r="D300" s="3" t="s">
        <v>311</v>
      </c>
      <c r="E300" s="3" t="s">
        <v>312</v>
      </c>
      <c r="F300" s="4">
        <v>5</v>
      </c>
      <c r="G300" s="3" t="s">
        <v>37</v>
      </c>
      <c r="H300" s="3" t="s">
        <v>81</v>
      </c>
      <c r="I300" s="3" t="s">
        <v>1111</v>
      </c>
      <c r="J300" s="3" t="s">
        <v>1046</v>
      </c>
      <c r="K300" s="3" t="s">
        <v>160</v>
      </c>
      <c r="L300" s="3" t="s">
        <v>1065</v>
      </c>
      <c r="M300" s="3" t="s">
        <v>1149</v>
      </c>
      <c r="N300" s="3" t="s">
        <v>984</v>
      </c>
      <c r="O300" s="2" t="str">
        <f t="shared" si="5"/>
        <v>50PDV</v>
      </c>
    </row>
    <row r="301" spans="3:15" x14ac:dyDescent="0.25">
      <c r="C301" s="3" t="s">
        <v>968</v>
      </c>
      <c r="D301" s="3" t="s">
        <v>969</v>
      </c>
      <c r="E301" s="3" t="s">
        <v>969</v>
      </c>
      <c r="F301" s="4">
        <v>5</v>
      </c>
      <c r="G301" s="3" t="s">
        <v>376</v>
      </c>
      <c r="H301" s="3" t="s">
        <v>46</v>
      </c>
      <c r="I301" s="3" t="s">
        <v>1114</v>
      </c>
      <c r="J301" s="3" t="s">
        <v>1046</v>
      </c>
      <c r="K301" s="3" t="s">
        <v>160</v>
      </c>
      <c r="L301" s="3" t="s">
        <v>1118</v>
      </c>
      <c r="M301" s="3" t="s">
        <v>1148</v>
      </c>
      <c r="N301" s="3" t="s">
        <v>984</v>
      </c>
      <c r="O301" s="2" t="str">
        <f t="shared" si="5"/>
        <v>50PFO</v>
      </c>
    </row>
    <row r="302" spans="3:15" x14ac:dyDescent="0.25">
      <c r="C302" s="3" t="s">
        <v>313</v>
      </c>
      <c r="D302" s="3" t="s">
        <v>314</v>
      </c>
      <c r="E302" s="3" t="s">
        <v>314</v>
      </c>
      <c r="F302" s="4">
        <v>5</v>
      </c>
      <c r="G302" s="3" t="s">
        <v>37</v>
      </c>
      <c r="H302" s="3" t="s">
        <v>81</v>
      </c>
      <c r="I302" s="3" t="s">
        <v>1114</v>
      </c>
      <c r="J302" s="3" t="s">
        <v>1046</v>
      </c>
      <c r="K302" s="3">
        <v>0</v>
      </c>
      <c r="L302" s="3" t="s">
        <v>1067</v>
      </c>
      <c r="M302" s="3" t="s">
        <v>1148</v>
      </c>
      <c r="N302" s="3" t="s">
        <v>1053</v>
      </c>
      <c r="O302" s="2" t="str">
        <f t="shared" si="5"/>
        <v>50PJ0</v>
      </c>
    </row>
    <row r="303" spans="3:15" x14ac:dyDescent="0.25">
      <c r="C303" s="3" t="s">
        <v>823</v>
      </c>
      <c r="D303" s="3" t="s">
        <v>824</v>
      </c>
      <c r="E303" s="3" t="s">
        <v>824</v>
      </c>
      <c r="F303" s="4">
        <v>5</v>
      </c>
      <c r="G303" s="3" t="s">
        <v>376</v>
      </c>
      <c r="H303" s="3" t="s">
        <v>46</v>
      </c>
      <c r="I303" s="3" t="s">
        <v>1114</v>
      </c>
      <c r="J303" s="3" t="s">
        <v>1046</v>
      </c>
      <c r="K303" s="3" t="s">
        <v>146</v>
      </c>
      <c r="L303" s="3" t="s">
        <v>1064</v>
      </c>
      <c r="M303" s="3" t="s">
        <v>1149</v>
      </c>
      <c r="N303" s="24" t="s">
        <v>1035</v>
      </c>
      <c r="O303" s="2" t="str">
        <f t="shared" si="5"/>
        <v>50PUF</v>
      </c>
    </row>
    <row r="304" spans="3:15" x14ac:dyDescent="0.25">
      <c r="C304" s="3" t="s">
        <v>316</v>
      </c>
      <c r="D304" s="3" t="s">
        <v>317</v>
      </c>
      <c r="E304" s="3" t="s">
        <v>318</v>
      </c>
      <c r="F304" s="4">
        <v>5</v>
      </c>
      <c r="G304" s="3" t="s">
        <v>37</v>
      </c>
      <c r="H304" s="3" t="s">
        <v>81</v>
      </c>
      <c r="I304" s="3" t="s">
        <v>1120</v>
      </c>
      <c r="J304" s="3" t="s">
        <v>1046</v>
      </c>
      <c r="K304" s="3" t="s">
        <v>67</v>
      </c>
      <c r="L304" s="3" t="s">
        <v>1064</v>
      </c>
      <c r="M304" s="3" t="s">
        <v>1148</v>
      </c>
      <c r="N304" s="24" t="s">
        <v>1035</v>
      </c>
      <c r="O304" s="2" t="str">
        <f t="shared" si="5"/>
        <v>50PWL</v>
      </c>
    </row>
    <row r="305" spans="3:15" x14ac:dyDescent="0.25">
      <c r="C305" s="3" t="s">
        <v>319</v>
      </c>
      <c r="D305" s="3" t="s">
        <v>320</v>
      </c>
      <c r="E305" s="3" t="s">
        <v>320</v>
      </c>
      <c r="F305" s="4">
        <v>5</v>
      </c>
      <c r="G305" s="3" t="s">
        <v>37</v>
      </c>
      <c r="H305" s="3" t="s">
        <v>46</v>
      </c>
      <c r="I305" s="3" t="s">
        <v>1114</v>
      </c>
      <c r="J305" s="3" t="s">
        <v>1046</v>
      </c>
      <c r="K305" s="3">
        <v>0</v>
      </c>
      <c r="L305" s="3" t="s">
        <v>1069</v>
      </c>
      <c r="M305" s="3" t="s">
        <v>1148</v>
      </c>
      <c r="N305" s="3" t="s">
        <v>1053</v>
      </c>
      <c r="O305" s="2" t="str">
        <f t="shared" si="5"/>
        <v>50PZC</v>
      </c>
    </row>
    <row r="306" spans="3:15" x14ac:dyDescent="0.25">
      <c r="C306" s="3" t="s">
        <v>321</v>
      </c>
      <c r="D306" s="3" t="s">
        <v>322</v>
      </c>
      <c r="E306" s="3" t="s">
        <v>322</v>
      </c>
      <c r="F306" s="4">
        <v>5</v>
      </c>
      <c r="G306" s="3" t="s">
        <v>37</v>
      </c>
      <c r="H306" s="3" t="s">
        <v>81</v>
      </c>
      <c r="I306" s="3" t="s">
        <v>1120</v>
      </c>
      <c r="J306" s="3" t="s">
        <v>1046</v>
      </c>
      <c r="K306" s="3" t="s">
        <v>50</v>
      </c>
      <c r="L306" s="3" t="s">
        <v>1059</v>
      </c>
      <c r="M306" s="3" t="s">
        <v>1148</v>
      </c>
      <c r="N306" s="3" t="s">
        <v>984</v>
      </c>
      <c r="O306" s="2" t="str">
        <f t="shared" si="5"/>
        <v>50QM5</v>
      </c>
    </row>
    <row r="307" spans="3:15" x14ac:dyDescent="0.25">
      <c r="C307" s="3" t="s">
        <v>457</v>
      </c>
      <c r="D307" s="3" t="s">
        <v>458</v>
      </c>
      <c r="E307" s="3" t="s">
        <v>458</v>
      </c>
      <c r="F307" s="4">
        <v>5</v>
      </c>
      <c r="G307" s="3" t="s">
        <v>376</v>
      </c>
      <c r="H307" s="3" t="s">
        <v>88</v>
      </c>
      <c r="I307" s="3" t="s">
        <v>1114</v>
      </c>
      <c r="J307" s="3" t="s">
        <v>1046</v>
      </c>
      <c r="K307" s="3" t="s">
        <v>94</v>
      </c>
      <c r="L307" s="3" t="s">
        <v>1063</v>
      </c>
      <c r="M307" s="3" t="s">
        <v>1148</v>
      </c>
      <c r="N307" s="24" t="s">
        <v>1035</v>
      </c>
      <c r="O307" s="2" t="str">
        <f t="shared" si="5"/>
        <v>50QO5</v>
      </c>
    </row>
    <row r="308" spans="3:15" x14ac:dyDescent="0.25">
      <c r="C308" s="3" t="s">
        <v>323</v>
      </c>
      <c r="D308" s="3" t="s">
        <v>324</v>
      </c>
      <c r="E308" s="3" t="s">
        <v>324</v>
      </c>
      <c r="F308" s="4">
        <v>5</v>
      </c>
      <c r="G308" s="3" t="s">
        <v>37</v>
      </c>
      <c r="H308" s="3" t="s">
        <v>46</v>
      </c>
      <c r="I308" s="3" t="s">
        <v>1120</v>
      </c>
      <c r="J308" s="3" t="s">
        <v>1046</v>
      </c>
      <c r="K308" s="3" t="s">
        <v>58</v>
      </c>
      <c r="L308" s="3" t="s">
        <v>1060</v>
      </c>
      <c r="M308" s="3" t="s">
        <v>1148</v>
      </c>
      <c r="N308" s="3" t="s">
        <v>1112</v>
      </c>
      <c r="O308" s="2" t="str">
        <f t="shared" si="5"/>
        <v>50ROS</v>
      </c>
    </row>
    <row r="309" spans="3:15" x14ac:dyDescent="0.25">
      <c r="C309" s="3" t="s">
        <v>325</v>
      </c>
      <c r="D309" s="3" t="s">
        <v>326</v>
      </c>
      <c r="E309" s="3" t="s">
        <v>1207</v>
      </c>
      <c r="F309" s="4">
        <v>5</v>
      </c>
      <c r="G309" s="3" t="s">
        <v>37</v>
      </c>
      <c r="H309" s="3" t="s">
        <v>46</v>
      </c>
      <c r="I309" s="3" t="s">
        <v>1120</v>
      </c>
      <c r="J309" s="3" t="s">
        <v>1046</v>
      </c>
      <c r="K309" s="3" t="s">
        <v>67</v>
      </c>
      <c r="L309" s="3" t="s">
        <v>1064</v>
      </c>
      <c r="M309" s="3" t="s">
        <v>1149</v>
      </c>
      <c r="N309" s="24" t="s">
        <v>1035</v>
      </c>
      <c r="O309" s="2" t="str">
        <f t="shared" si="5"/>
        <v>50SAS</v>
      </c>
    </row>
    <row r="310" spans="3:15" x14ac:dyDescent="0.25">
      <c r="C310" s="3" t="s">
        <v>459</v>
      </c>
      <c r="D310" s="3" t="s">
        <v>460</v>
      </c>
      <c r="E310" s="3" t="s">
        <v>460</v>
      </c>
      <c r="F310" s="4">
        <v>5</v>
      </c>
      <c r="G310" s="3" t="s">
        <v>376</v>
      </c>
      <c r="H310" s="3" t="s">
        <v>46</v>
      </c>
      <c r="I310" s="3" t="s">
        <v>1110</v>
      </c>
      <c r="J310" s="3" t="s">
        <v>1046</v>
      </c>
      <c r="K310" s="3" t="s">
        <v>94</v>
      </c>
      <c r="L310" s="3" t="s">
        <v>1065</v>
      </c>
      <c r="M310" s="3" t="s">
        <v>1149</v>
      </c>
      <c r="N310" s="24" t="s">
        <v>1035</v>
      </c>
      <c r="O310" s="2" t="str">
        <f t="shared" si="5"/>
        <v>50SBL</v>
      </c>
    </row>
    <row r="311" spans="3:15" x14ac:dyDescent="0.25">
      <c r="C311" s="3" t="s">
        <v>919</v>
      </c>
      <c r="D311" s="3" t="s">
        <v>920</v>
      </c>
      <c r="E311" s="3" t="s">
        <v>920</v>
      </c>
      <c r="F311" s="4">
        <v>5</v>
      </c>
      <c r="G311" s="3" t="s">
        <v>376</v>
      </c>
      <c r="H311" s="3" t="s">
        <v>81</v>
      </c>
      <c r="I311" s="3" t="s">
        <v>1114</v>
      </c>
      <c r="J311" s="3" t="s">
        <v>1046</v>
      </c>
      <c r="K311" s="3" t="s">
        <v>73</v>
      </c>
      <c r="L311" s="3" t="s">
        <v>1067</v>
      </c>
      <c r="M311" s="3" t="s">
        <v>1148</v>
      </c>
      <c r="N311" s="3" t="s">
        <v>378</v>
      </c>
      <c r="O311" s="2" t="str">
        <f t="shared" si="5"/>
        <v>50SEA</v>
      </c>
    </row>
    <row r="312" spans="3:15" x14ac:dyDescent="0.25">
      <c r="C312" s="3" t="s">
        <v>610</v>
      </c>
      <c r="D312" s="3" t="s">
        <v>611</v>
      </c>
      <c r="E312" s="3" t="s">
        <v>611</v>
      </c>
      <c r="F312" s="4">
        <v>5</v>
      </c>
      <c r="G312" s="3" t="s">
        <v>376</v>
      </c>
      <c r="H312" s="3" t="s">
        <v>88</v>
      </c>
      <c r="I312" s="3" t="s">
        <v>1114</v>
      </c>
      <c r="J312" s="3" t="s">
        <v>1046</v>
      </c>
      <c r="K312" s="3" t="s">
        <v>50</v>
      </c>
      <c r="L312" s="3" t="s">
        <v>1064</v>
      </c>
      <c r="M312" s="3" t="s">
        <v>1148</v>
      </c>
      <c r="N312" s="3" t="s">
        <v>984</v>
      </c>
      <c r="O312" s="2" t="str">
        <f t="shared" si="5"/>
        <v>50SEJ</v>
      </c>
    </row>
    <row r="313" spans="3:15" x14ac:dyDescent="0.25">
      <c r="C313" s="3" t="s">
        <v>461</v>
      </c>
      <c r="D313" s="3" t="s">
        <v>462</v>
      </c>
      <c r="E313" s="3" t="s">
        <v>462</v>
      </c>
      <c r="F313" s="4">
        <v>5</v>
      </c>
      <c r="G313" s="3" t="s">
        <v>376</v>
      </c>
      <c r="H313" s="3" t="s">
        <v>46</v>
      </c>
      <c r="I313" s="3" t="s">
        <v>1110</v>
      </c>
      <c r="J313" s="3" t="s">
        <v>1046</v>
      </c>
      <c r="K313" s="3" t="s">
        <v>94</v>
      </c>
      <c r="L313" s="3" t="s">
        <v>1065</v>
      </c>
      <c r="M313" s="3" t="s">
        <v>1149</v>
      </c>
      <c r="N313" s="24" t="s">
        <v>1035</v>
      </c>
      <c r="O313" s="2" t="str">
        <f t="shared" si="5"/>
        <v>50SEM</v>
      </c>
    </row>
    <row r="314" spans="3:15" x14ac:dyDescent="0.25">
      <c r="C314" s="3" t="s">
        <v>639</v>
      </c>
      <c r="D314" s="3" t="s">
        <v>640</v>
      </c>
      <c r="E314" s="3" t="s">
        <v>641</v>
      </c>
      <c r="F314" s="4">
        <v>5</v>
      </c>
      <c r="G314" s="3" t="s">
        <v>376</v>
      </c>
      <c r="H314" s="3" t="s">
        <v>88</v>
      </c>
      <c r="I314" s="3" t="s">
        <v>1114</v>
      </c>
      <c r="J314" s="3" t="s">
        <v>1046</v>
      </c>
      <c r="K314" s="3" t="s">
        <v>50</v>
      </c>
      <c r="L314" s="3" t="s">
        <v>1065</v>
      </c>
      <c r="M314" s="3" t="s">
        <v>1148</v>
      </c>
      <c r="N314" s="3" t="s">
        <v>984</v>
      </c>
      <c r="O314" s="2" t="str">
        <f t="shared" si="5"/>
        <v>50SQ0</v>
      </c>
    </row>
    <row r="315" spans="3:15" x14ac:dyDescent="0.25">
      <c r="C315" s="3" t="s">
        <v>327</v>
      </c>
      <c r="D315" s="3" t="s">
        <v>328</v>
      </c>
      <c r="E315" s="3" t="s">
        <v>328</v>
      </c>
      <c r="F315" s="4">
        <v>5</v>
      </c>
      <c r="G315" s="3" t="s">
        <v>37</v>
      </c>
      <c r="H315" s="3" t="s">
        <v>81</v>
      </c>
      <c r="I315" s="3" t="s">
        <v>1114</v>
      </c>
      <c r="J315" s="3" t="s">
        <v>1046</v>
      </c>
      <c r="K315" s="3" t="s">
        <v>63</v>
      </c>
      <c r="L315" s="3" t="s">
        <v>1060</v>
      </c>
      <c r="M315" s="3" t="s">
        <v>1148</v>
      </c>
      <c r="N315" s="3" t="s">
        <v>1112</v>
      </c>
      <c r="O315" s="2" t="str">
        <f t="shared" si="5"/>
        <v>50SRE</v>
      </c>
    </row>
    <row r="316" spans="3:15" x14ac:dyDescent="0.25">
      <c r="C316" s="3" t="s">
        <v>329</v>
      </c>
      <c r="D316" s="3" t="s">
        <v>330</v>
      </c>
      <c r="E316" s="3" t="s">
        <v>330</v>
      </c>
      <c r="F316" s="4">
        <v>5</v>
      </c>
      <c r="G316" s="3" t="s">
        <v>37</v>
      </c>
      <c r="H316" s="3" t="s">
        <v>46</v>
      </c>
      <c r="I316" s="3" t="s">
        <v>1114</v>
      </c>
      <c r="J316" s="3" t="s">
        <v>1046</v>
      </c>
      <c r="K316" s="3" t="s">
        <v>331</v>
      </c>
      <c r="L316" s="3" t="s">
        <v>1060</v>
      </c>
      <c r="M316" s="3" t="s">
        <v>1148</v>
      </c>
      <c r="N316" s="3" t="s">
        <v>984</v>
      </c>
      <c r="O316" s="2" t="str">
        <f t="shared" si="5"/>
        <v>50TAJ</v>
      </c>
    </row>
    <row r="317" spans="3:15" x14ac:dyDescent="0.25">
      <c r="C317" s="3" t="s">
        <v>332</v>
      </c>
      <c r="D317" s="3" t="s">
        <v>333</v>
      </c>
      <c r="E317" s="3" t="s">
        <v>333</v>
      </c>
      <c r="F317" s="4">
        <v>5</v>
      </c>
      <c r="G317" s="3" t="s">
        <v>37</v>
      </c>
      <c r="H317" s="3" t="s">
        <v>81</v>
      </c>
      <c r="I317" s="3" t="s">
        <v>1111</v>
      </c>
      <c r="J317" s="3" t="s">
        <v>1046</v>
      </c>
      <c r="K317" s="3">
        <v>0</v>
      </c>
      <c r="L317" s="3" t="s">
        <v>1064</v>
      </c>
      <c r="M317" s="3" t="s">
        <v>1149</v>
      </c>
      <c r="N317" s="3" t="s">
        <v>1053</v>
      </c>
      <c r="O317" s="2" t="str">
        <f t="shared" si="5"/>
        <v>50TCP</v>
      </c>
    </row>
    <row r="318" spans="3:15" x14ac:dyDescent="0.25">
      <c r="C318" s="3" t="s">
        <v>334</v>
      </c>
      <c r="D318" s="3" t="s">
        <v>335</v>
      </c>
      <c r="E318" s="3" t="s">
        <v>336</v>
      </c>
      <c r="F318" s="4">
        <v>5</v>
      </c>
      <c r="G318" s="3" t="s">
        <v>37</v>
      </c>
      <c r="H318" s="3" t="s">
        <v>46</v>
      </c>
      <c r="I318" s="3" t="s">
        <v>1114</v>
      </c>
      <c r="J318" s="3" t="s">
        <v>1046</v>
      </c>
      <c r="K318" s="3">
        <v>0</v>
      </c>
      <c r="L318" s="3" t="s">
        <v>1072</v>
      </c>
      <c r="M318" s="3" t="s">
        <v>1148</v>
      </c>
      <c r="N318" s="3" t="s">
        <v>1053</v>
      </c>
      <c r="O318" s="2" t="str">
        <f t="shared" si="5"/>
        <v>50TEB</v>
      </c>
    </row>
    <row r="319" spans="3:15" x14ac:dyDescent="0.25">
      <c r="C319" s="3" t="s">
        <v>507</v>
      </c>
      <c r="D319" s="3" t="s">
        <v>508</v>
      </c>
      <c r="E319" s="3" t="s">
        <v>508</v>
      </c>
      <c r="F319" s="4">
        <v>5</v>
      </c>
      <c r="G319" s="3" t="s">
        <v>376</v>
      </c>
      <c r="H319" s="3" t="s">
        <v>81</v>
      </c>
      <c r="I319" s="3" t="s">
        <v>1114</v>
      </c>
      <c r="J319" s="3" t="s">
        <v>1046</v>
      </c>
      <c r="K319" s="3" t="s">
        <v>58</v>
      </c>
      <c r="L319" s="3" t="s">
        <v>1059</v>
      </c>
      <c r="M319" s="3" t="s">
        <v>1149</v>
      </c>
      <c r="N319" s="3" t="s">
        <v>1112</v>
      </c>
      <c r="O319" s="2" t="str">
        <f t="shared" si="5"/>
        <v>50TEJ</v>
      </c>
    </row>
    <row r="320" spans="3:15" x14ac:dyDescent="0.25">
      <c r="C320" s="3" t="s">
        <v>417</v>
      </c>
      <c r="D320" s="3" t="s">
        <v>418</v>
      </c>
      <c r="E320" s="3" t="s">
        <v>418</v>
      </c>
      <c r="F320" s="4">
        <v>5</v>
      </c>
      <c r="G320" s="3" t="s">
        <v>376</v>
      </c>
      <c r="H320" s="3" t="s">
        <v>81</v>
      </c>
      <c r="I320" s="3" t="s">
        <v>1114</v>
      </c>
      <c r="J320" s="3" t="s">
        <v>1031</v>
      </c>
      <c r="K320" s="3" t="s">
        <v>63</v>
      </c>
      <c r="L320" s="3" t="s">
        <v>1208</v>
      </c>
      <c r="M320" s="3" t="s">
        <v>1148</v>
      </c>
      <c r="N320" s="3" t="s">
        <v>1112</v>
      </c>
      <c r="O320" s="2" t="str">
        <f t="shared" si="5"/>
        <v>50TFX</v>
      </c>
    </row>
    <row r="321" spans="3:15" x14ac:dyDescent="0.25">
      <c r="C321" s="3" t="s">
        <v>337</v>
      </c>
      <c r="D321" s="3" t="s">
        <v>338</v>
      </c>
      <c r="E321" s="3" t="s">
        <v>338</v>
      </c>
      <c r="F321" s="4">
        <v>5</v>
      </c>
      <c r="G321" s="3" t="s">
        <v>37</v>
      </c>
      <c r="H321" s="3" t="s">
        <v>81</v>
      </c>
      <c r="I321" s="3" t="s">
        <v>1114</v>
      </c>
      <c r="J321" s="3" t="s">
        <v>1046</v>
      </c>
      <c r="K321" s="3" t="s">
        <v>89</v>
      </c>
      <c r="L321" s="3" t="s">
        <v>1075</v>
      </c>
      <c r="M321" s="3" t="s">
        <v>1076</v>
      </c>
      <c r="N321" s="3" t="s">
        <v>378</v>
      </c>
      <c r="O321" s="2" t="str">
        <f t="shared" si="5"/>
        <v>50TI7</v>
      </c>
    </row>
    <row r="322" spans="3:15" x14ac:dyDescent="0.25">
      <c r="C322" s="3" t="s">
        <v>339</v>
      </c>
      <c r="D322" s="3" t="s">
        <v>340</v>
      </c>
      <c r="E322" s="3" t="s">
        <v>341</v>
      </c>
      <c r="F322" s="4">
        <v>5</v>
      </c>
      <c r="G322" s="3" t="s">
        <v>37</v>
      </c>
      <c r="H322" s="3" t="s">
        <v>46</v>
      </c>
      <c r="I322" s="3" t="s">
        <v>1114</v>
      </c>
      <c r="J322" s="3" t="s">
        <v>1046</v>
      </c>
      <c r="K322" s="3">
        <v>0</v>
      </c>
      <c r="L322" s="3" t="s">
        <v>1072</v>
      </c>
      <c r="M322" s="3" t="s">
        <v>1148</v>
      </c>
      <c r="N322" s="3" t="s">
        <v>1053</v>
      </c>
      <c r="O322" s="2" t="str">
        <f t="shared" si="5"/>
        <v>50TMT</v>
      </c>
    </row>
    <row r="323" spans="3:15" x14ac:dyDescent="0.25">
      <c r="C323" s="3" t="s">
        <v>825</v>
      </c>
      <c r="D323" s="3" t="s">
        <v>826</v>
      </c>
      <c r="E323" s="3" t="s">
        <v>827</v>
      </c>
      <c r="F323" s="4">
        <v>5</v>
      </c>
      <c r="G323" s="3" t="s">
        <v>376</v>
      </c>
      <c r="H323" s="3" t="s">
        <v>88</v>
      </c>
      <c r="I323" s="3" t="s">
        <v>1114</v>
      </c>
      <c r="J323" s="3" t="s">
        <v>1046</v>
      </c>
      <c r="K323" s="3" t="s">
        <v>146</v>
      </c>
      <c r="L323" s="3" t="s">
        <v>1064</v>
      </c>
      <c r="M323" s="3" t="s">
        <v>1148</v>
      </c>
      <c r="N323" s="24" t="s">
        <v>1035</v>
      </c>
      <c r="O323" s="2" t="str">
        <f t="shared" si="5"/>
        <v>50TQB</v>
      </c>
    </row>
    <row r="324" spans="3:15" x14ac:dyDescent="0.25">
      <c r="C324" s="3" t="s">
        <v>828</v>
      </c>
      <c r="D324" s="3" t="s">
        <v>829</v>
      </c>
      <c r="E324" s="3" t="s">
        <v>829</v>
      </c>
      <c r="F324" s="4">
        <v>5</v>
      </c>
      <c r="G324" s="3" t="s">
        <v>376</v>
      </c>
      <c r="H324" s="3" t="s">
        <v>46</v>
      </c>
      <c r="I324" s="3" t="s">
        <v>1114</v>
      </c>
      <c r="J324" s="3" t="s">
        <v>1046</v>
      </c>
      <c r="K324" s="3" t="s">
        <v>146</v>
      </c>
      <c r="L324" s="3" t="s">
        <v>1064</v>
      </c>
      <c r="M324" s="3" t="s">
        <v>1149</v>
      </c>
      <c r="N324" s="24" t="s">
        <v>1035</v>
      </c>
      <c r="O324" s="2" t="str">
        <f t="shared" ref="O324:O355" si="6">C324</f>
        <v>50TSA</v>
      </c>
    </row>
    <row r="325" spans="3:15" x14ac:dyDescent="0.25">
      <c r="C325" s="3" t="s">
        <v>342</v>
      </c>
      <c r="D325" s="3" t="s">
        <v>343</v>
      </c>
      <c r="E325" s="3" t="s">
        <v>343</v>
      </c>
      <c r="F325" s="4">
        <v>5</v>
      </c>
      <c r="G325" s="3" t="s">
        <v>37</v>
      </c>
      <c r="H325" s="3" t="s">
        <v>81</v>
      </c>
      <c r="I325" s="3" t="s">
        <v>1111</v>
      </c>
      <c r="J325" s="3" t="s">
        <v>1046</v>
      </c>
      <c r="K325" s="3" t="s">
        <v>132</v>
      </c>
      <c r="L325" s="3" t="s">
        <v>1059</v>
      </c>
      <c r="M325" s="3" t="s">
        <v>1149</v>
      </c>
      <c r="N325" s="24" t="s">
        <v>1035</v>
      </c>
      <c r="O325" s="2" t="str">
        <f t="shared" si="6"/>
        <v>50UC4</v>
      </c>
    </row>
    <row r="326" spans="3:15" x14ac:dyDescent="0.25">
      <c r="C326" s="3" t="s">
        <v>830</v>
      </c>
      <c r="D326" s="3" t="s">
        <v>831</v>
      </c>
      <c r="E326" s="3" t="s">
        <v>832</v>
      </c>
      <c r="F326" s="4">
        <v>5</v>
      </c>
      <c r="G326" s="3" t="s">
        <v>376</v>
      </c>
      <c r="H326" s="3" t="s">
        <v>81</v>
      </c>
      <c r="I326" s="3" t="s">
        <v>1110</v>
      </c>
      <c r="J326" s="3" t="s">
        <v>1046</v>
      </c>
      <c r="K326" s="3" t="s">
        <v>146</v>
      </c>
      <c r="L326" s="3" t="s">
        <v>1064</v>
      </c>
      <c r="M326" s="3" t="s">
        <v>1149</v>
      </c>
      <c r="N326" s="24" t="s">
        <v>1035</v>
      </c>
      <c r="O326" s="2" t="str">
        <f t="shared" si="6"/>
        <v>50UD1</v>
      </c>
    </row>
    <row r="327" spans="3:15" x14ac:dyDescent="0.25">
      <c r="C327" s="3" t="s">
        <v>921</v>
      </c>
      <c r="D327" s="3" t="s">
        <v>922</v>
      </c>
      <c r="E327" s="3" t="s">
        <v>911</v>
      </c>
      <c r="F327" s="4">
        <v>5</v>
      </c>
      <c r="G327" s="3" t="s">
        <v>376</v>
      </c>
      <c r="H327" s="3" t="s">
        <v>81</v>
      </c>
      <c r="I327" s="3" t="s">
        <v>1114</v>
      </c>
      <c r="J327" s="3" t="s">
        <v>1046</v>
      </c>
      <c r="K327" s="3" t="s">
        <v>73</v>
      </c>
      <c r="L327" s="3" t="s">
        <v>1095</v>
      </c>
      <c r="M327" s="3" t="s">
        <v>1148</v>
      </c>
      <c r="N327" s="3" t="s">
        <v>378</v>
      </c>
      <c r="O327" s="2" t="str">
        <f t="shared" si="6"/>
        <v>50UPK</v>
      </c>
    </row>
    <row r="328" spans="3:15" x14ac:dyDescent="0.25">
      <c r="C328" s="3" t="s">
        <v>970</v>
      </c>
      <c r="D328" s="3" t="s">
        <v>971</v>
      </c>
      <c r="E328" s="3" t="s">
        <v>972</v>
      </c>
      <c r="F328" s="4">
        <v>5</v>
      </c>
      <c r="G328" s="3" t="s">
        <v>376</v>
      </c>
      <c r="H328" s="3" t="s">
        <v>81</v>
      </c>
      <c r="I328" s="3" t="s">
        <v>1114</v>
      </c>
      <c r="J328" s="3" t="s">
        <v>1046</v>
      </c>
      <c r="K328" s="3" t="s">
        <v>160</v>
      </c>
      <c r="L328" s="3" t="s">
        <v>1058</v>
      </c>
      <c r="M328" s="3" t="s">
        <v>1148</v>
      </c>
      <c r="N328" s="3" t="s">
        <v>984</v>
      </c>
      <c r="O328" s="2" t="str">
        <f t="shared" si="6"/>
        <v>50UYZ</v>
      </c>
    </row>
    <row r="329" spans="3:15" x14ac:dyDescent="0.25">
      <c r="C329" s="3" t="s">
        <v>344</v>
      </c>
      <c r="D329" s="3" t="s">
        <v>345</v>
      </c>
      <c r="E329" s="3" t="s">
        <v>345</v>
      </c>
      <c r="F329" s="4">
        <v>4</v>
      </c>
      <c r="G329" s="3" t="s">
        <v>37</v>
      </c>
      <c r="H329" s="3" t="s">
        <v>88</v>
      </c>
      <c r="I329" s="3" t="s">
        <v>1114</v>
      </c>
      <c r="J329" s="3" t="s">
        <v>1046</v>
      </c>
      <c r="K329" s="3">
        <v>0</v>
      </c>
      <c r="L329" s="3" t="s">
        <v>1106</v>
      </c>
      <c r="M329" s="3" t="s">
        <v>1148</v>
      </c>
      <c r="N329" s="3" t="s">
        <v>1053</v>
      </c>
      <c r="O329" s="2" t="str">
        <f t="shared" si="6"/>
        <v>50V11</v>
      </c>
    </row>
    <row r="330" spans="3:15" x14ac:dyDescent="0.25">
      <c r="C330" s="3" t="s">
        <v>879</v>
      </c>
      <c r="D330" s="3" t="s">
        <v>880</v>
      </c>
      <c r="E330" s="3" t="s">
        <v>880</v>
      </c>
      <c r="F330" s="4">
        <v>5</v>
      </c>
      <c r="G330" s="3" t="s">
        <v>376</v>
      </c>
      <c r="H330" s="3" t="s">
        <v>81</v>
      </c>
      <c r="I330" s="3" t="s">
        <v>1114</v>
      </c>
      <c r="J330" s="3" t="s">
        <v>1046</v>
      </c>
      <c r="K330" s="3" t="s">
        <v>132</v>
      </c>
      <c r="L330" s="3" t="s">
        <v>1060</v>
      </c>
      <c r="M330" s="3" t="s">
        <v>1148</v>
      </c>
      <c r="N330" s="24" t="s">
        <v>1035</v>
      </c>
      <c r="O330" s="2" t="str">
        <f t="shared" si="6"/>
        <v>50V5C</v>
      </c>
    </row>
    <row r="331" spans="3:15" x14ac:dyDescent="0.25">
      <c r="C331" s="3" t="s">
        <v>553</v>
      </c>
      <c r="D331" s="3" t="s">
        <v>554</v>
      </c>
      <c r="E331" s="3" t="s">
        <v>1209</v>
      </c>
      <c r="F331" s="4">
        <v>5</v>
      </c>
      <c r="G331" s="3" t="s">
        <v>376</v>
      </c>
      <c r="H331" s="3" t="s">
        <v>46</v>
      </c>
      <c r="I331" s="3" t="s">
        <v>1110</v>
      </c>
      <c r="J331" s="3" t="s">
        <v>1046</v>
      </c>
      <c r="K331" s="3" t="s">
        <v>100</v>
      </c>
      <c r="L331" s="3" t="s">
        <v>1060</v>
      </c>
      <c r="M331" s="3" t="s">
        <v>1148</v>
      </c>
      <c r="N331" s="24" t="s">
        <v>1035</v>
      </c>
      <c r="O331" s="2" t="str">
        <f t="shared" si="6"/>
        <v>50VAL</v>
      </c>
    </row>
    <row r="332" spans="3:15" x14ac:dyDescent="0.25">
      <c r="C332" s="3" t="s">
        <v>923</v>
      </c>
      <c r="D332" s="3" t="s">
        <v>924</v>
      </c>
      <c r="E332" s="3" t="s">
        <v>924</v>
      </c>
      <c r="F332" s="4">
        <v>5</v>
      </c>
      <c r="G332" s="3" t="s">
        <v>376</v>
      </c>
      <c r="H332" s="3" t="s">
        <v>46</v>
      </c>
      <c r="I332" s="3" t="s">
        <v>1114</v>
      </c>
      <c r="J332" s="3" t="s">
        <v>1046</v>
      </c>
      <c r="K332" s="3" t="s">
        <v>73</v>
      </c>
      <c r="L332" s="3" t="s">
        <v>1082</v>
      </c>
      <c r="M332" s="3" t="s">
        <v>1148</v>
      </c>
      <c r="N332" s="3" t="s">
        <v>378</v>
      </c>
      <c r="O332" s="2" t="str">
        <f t="shared" si="6"/>
        <v>50VLL</v>
      </c>
    </row>
    <row r="333" spans="3:15" x14ac:dyDescent="0.25">
      <c r="C333" s="3" t="s">
        <v>761</v>
      </c>
      <c r="D333" s="3" t="s">
        <v>762</v>
      </c>
      <c r="E333" s="3" t="s">
        <v>762</v>
      </c>
      <c r="F333" s="4">
        <v>5</v>
      </c>
      <c r="G333" s="3" t="s">
        <v>376</v>
      </c>
      <c r="H333" s="3" t="s">
        <v>46</v>
      </c>
      <c r="I333" s="3" t="s">
        <v>1110</v>
      </c>
      <c r="J333" s="3" t="s">
        <v>1031</v>
      </c>
      <c r="K333" s="3" t="s">
        <v>1048</v>
      </c>
      <c r="L333" s="3" t="s">
        <v>1152</v>
      </c>
      <c r="M333" s="3" t="s">
        <v>1074</v>
      </c>
      <c r="N333" s="3" t="s">
        <v>378</v>
      </c>
      <c r="O333" s="2" t="str">
        <f t="shared" si="6"/>
        <v>50VNA</v>
      </c>
    </row>
    <row r="334" spans="3:15" x14ac:dyDescent="0.25">
      <c r="C334" s="3" t="s">
        <v>509</v>
      </c>
      <c r="D334" s="3" t="s">
        <v>510</v>
      </c>
      <c r="E334" s="3" t="s">
        <v>510</v>
      </c>
      <c r="F334" s="4">
        <v>5</v>
      </c>
      <c r="G334" s="3" t="s">
        <v>376</v>
      </c>
      <c r="H334" s="3" t="s">
        <v>46</v>
      </c>
      <c r="I334" s="3" t="s">
        <v>1114</v>
      </c>
      <c r="J334" s="3" t="s">
        <v>1046</v>
      </c>
      <c r="K334" s="3" t="s">
        <v>58</v>
      </c>
      <c r="L334" s="3" t="s">
        <v>1059</v>
      </c>
      <c r="M334" s="3" t="s">
        <v>1149</v>
      </c>
      <c r="N334" s="3" t="s">
        <v>1112</v>
      </c>
      <c r="O334" s="2" t="str">
        <f t="shared" si="6"/>
        <v>50VOR</v>
      </c>
    </row>
    <row r="335" spans="3:15" x14ac:dyDescent="0.25">
      <c r="C335" s="3" t="s">
        <v>347</v>
      </c>
      <c r="D335" s="3" t="s">
        <v>348</v>
      </c>
      <c r="E335" s="3" t="s">
        <v>348</v>
      </c>
      <c r="F335" s="4">
        <v>5</v>
      </c>
      <c r="G335" s="3" t="s">
        <v>37</v>
      </c>
      <c r="H335" s="3" t="s">
        <v>81</v>
      </c>
      <c r="I335" s="3" t="s">
        <v>1114</v>
      </c>
      <c r="J335" s="3" t="s">
        <v>1046</v>
      </c>
      <c r="K335" s="3" t="s">
        <v>58</v>
      </c>
      <c r="L335" s="3" t="s">
        <v>1064</v>
      </c>
      <c r="M335" s="3" t="s">
        <v>1149</v>
      </c>
      <c r="N335" s="3" t="s">
        <v>1112</v>
      </c>
      <c r="O335" s="2" t="str">
        <f t="shared" si="6"/>
        <v>50VRH</v>
      </c>
    </row>
    <row r="336" spans="3:15" x14ac:dyDescent="0.25">
      <c r="C336" s="3" t="s">
        <v>973</v>
      </c>
      <c r="D336" s="3" t="s">
        <v>974</v>
      </c>
      <c r="E336" s="3" t="s">
        <v>974</v>
      </c>
      <c r="F336" s="4">
        <v>5</v>
      </c>
      <c r="G336" s="3" t="s">
        <v>376</v>
      </c>
      <c r="H336" s="3" t="s">
        <v>81</v>
      </c>
      <c r="I336" s="3" t="s">
        <v>1114</v>
      </c>
      <c r="J336" s="3" t="s">
        <v>1046</v>
      </c>
      <c r="K336" s="3" t="s">
        <v>160</v>
      </c>
      <c r="L336" s="3" t="s">
        <v>1118</v>
      </c>
      <c r="M336" s="3" t="s">
        <v>1148</v>
      </c>
      <c r="N336" s="3" t="s">
        <v>984</v>
      </c>
      <c r="O336" s="2" t="str">
        <f t="shared" si="6"/>
        <v>50VSD</v>
      </c>
    </row>
    <row r="337" spans="3:15" x14ac:dyDescent="0.25">
      <c r="C337" s="3" t="s">
        <v>349</v>
      </c>
      <c r="D337" s="3" t="s">
        <v>350</v>
      </c>
      <c r="E337" s="3" t="s">
        <v>350</v>
      </c>
      <c r="F337" s="4">
        <v>5</v>
      </c>
      <c r="G337" s="3" t="s">
        <v>37</v>
      </c>
      <c r="H337" s="3" t="s">
        <v>46</v>
      </c>
      <c r="I337" s="3" t="s">
        <v>1114</v>
      </c>
      <c r="J337" s="3" t="s">
        <v>1046</v>
      </c>
      <c r="K337" s="3">
        <v>0</v>
      </c>
      <c r="L337" s="3" t="s">
        <v>1060</v>
      </c>
      <c r="M337" s="3" t="s">
        <v>1148</v>
      </c>
      <c r="N337" s="3" t="s">
        <v>1053</v>
      </c>
      <c r="O337" s="2" t="str">
        <f t="shared" si="6"/>
        <v>50VSU</v>
      </c>
    </row>
    <row r="338" spans="3:15" x14ac:dyDescent="0.25">
      <c r="C338" s="3" t="s">
        <v>351</v>
      </c>
      <c r="D338" s="3" t="s">
        <v>352</v>
      </c>
      <c r="E338" s="3" t="s">
        <v>1210</v>
      </c>
      <c r="F338" s="4">
        <v>5</v>
      </c>
      <c r="G338" s="3" t="s">
        <v>37</v>
      </c>
      <c r="H338" s="3" t="s">
        <v>46</v>
      </c>
      <c r="I338" s="3" t="s">
        <v>1114</v>
      </c>
      <c r="J338" s="3" t="s">
        <v>1046</v>
      </c>
      <c r="K338" s="3" t="s">
        <v>331</v>
      </c>
      <c r="L338" s="3" t="s">
        <v>1058</v>
      </c>
      <c r="M338" s="3" t="s">
        <v>1148</v>
      </c>
      <c r="N338" s="3" t="s">
        <v>984</v>
      </c>
      <c r="O338" s="2" t="str">
        <f t="shared" si="6"/>
        <v>50VVE</v>
      </c>
    </row>
    <row r="339" spans="3:15" x14ac:dyDescent="0.25">
      <c r="C339" s="3" t="s">
        <v>833</v>
      </c>
      <c r="D339" s="3" t="s">
        <v>834</v>
      </c>
      <c r="E339" s="3" t="s">
        <v>835</v>
      </c>
      <c r="F339" s="4">
        <v>5</v>
      </c>
      <c r="G339" s="3" t="s">
        <v>376</v>
      </c>
      <c r="H339" s="3" t="s">
        <v>81</v>
      </c>
      <c r="I339" s="3" t="s">
        <v>1114</v>
      </c>
      <c r="J339" s="3" t="s">
        <v>1046</v>
      </c>
      <c r="K339" s="3" t="s">
        <v>146</v>
      </c>
      <c r="L339" s="3" t="s">
        <v>1064</v>
      </c>
      <c r="M339" s="3" t="s">
        <v>1149</v>
      </c>
      <c r="N339" s="24" t="s">
        <v>1035</v>
      </c>
      <c r="O339" s="2" t="str">
        <f t="shared" si="6"/>
        <v>50W0N</v>
      </c>
    </row>
    <row r="340" spans="3:15" x14ac:dyDescent="0.25">
      <c r="C340" s="3" t="s">
        <v>354</v>
      </c>
      <c r="D340" s="3" t="s">
        <v>355</v>
      </c>
      <c r="E340" s="3" t="s">
        <v>355</v>
      </c>
      <c r="F340" s="4">
        <v>5</v>
      </c>
      <c r="G340" s="3" t="s">
        <v>37</v>
      </c>
      <c r="H340" s="3" t="s">
        <v>46</v>
      </c>
      <c r="I340" s="3" t="s">
        <v>1114</v>
      </c>
      <c r="J340" s="3" t="s">
        <v>1046</v>
      </c>
      <c r="K340" s="3" t="s">
        <v>67</v>
      </c>
      <c r="L340" s="3" t="s">
        <v>1064</v>
      </c>
      <c r="M340" s="3" t="s">
        <v>1149</v>
      </c>
      <c r="N340" s="24" t="s">
        <v>1035</v>
      </c>
      <c r="O340" s="2" t="str">
        <f t="shared" si="6"/>
        <v>50WGH</v>
      </c>
    </row>
    <row r="341" spans="3:15" x14ac:dyDescent="0.25">
      <c r="C341" s="3" t="s">
        <v>693</v>
      </c>
      <c r="D341" s="3" t="s">
        <v>694</v>
      </c>
      <c r="E341" s="3" t="s">
        <v>694</v>
      </c>
      <c r="F341" s="4">
        <v>5</v>
      </c>
      <c r="G341" s="3" t="s">
        <v>376</v>
      </c>
      <c r="H341" s="3" t="s">
        <v>46</v>
      </c>
      <c r="I341" s="3" t="s">
        <v>1111</v>
      </c>
      <c r="J341" s="3" t="s">
        <v>1046</v>
      </c>
      <c r="K341" s="3" t="s">
        <v>248</v>
      </c>
      <c r="L341" s="3" t="s">
        <v>1059</v>
      </c>
      <c r="M341" s="3" t="s">
        <v>1149</v>
      </c>
      <c r="N341" s="3" t="s">
        <v>1112</v>
      </c>
      <c r="O341" s="2" t="str">
        <f t="shared" si="6"/>
        <v>50WIL</v>
      </c>
    </row>
    <row r="342" spans="3:15" x14ac:dyDescent="0.25">
      <c r="C342" s="3" t="s">
        <v>356</v>
      </c>
      <c r="D342" s="3" t="s">
        <v>357</v>
      </c>
      <c r="E342" s="3" t="s">
        <v>357</v>
      </c>
      <c r="F342" s="4">
        <v>5</v>
      </c>
      <c r="G342" s="3" t="s">
        <v>37</v>
      </c>
      <c r="H342" s="3" t="s">
        <v>81</v>
      </c>
      <c r="I342" s="3" t="s">
        <v>1111</v>
      </c>
      <c r="J342" s="3" t="s">
        <v>1046</v>
      </c>
      <c r="K342" s="3" t="s">
        <v>89</v>
      </c>
      <c r="L342" s="3" t="s">
        <v>1075</v>
      </c>
      <c r="M342" s="3" t="s">
        <v>1076</v>
      </c>
      <c r="N342" s="3" t="s">
        <v>378</v>
      </c>
      <c r="O342" s="2" t="str">
        <f t="shared" si="6"/>
        <v>50WUM</v>
      </c>
    </row>
    <row r="343" spans="3:15" x14ac:dyDescent="0.25">
      <c r="C343" s="3" t="s">
        <v>925</v>
      </c>
      <c r="D343" s="3" t="s">
        <v>926</v>
      </c>
      <c r="E343" s="3" t="s">
        <v>927</v>
      </c>
      <c r="F343" s="4">
        <v>5</v>
      </c>
      <c r="G343" s="3" t="s">
        <v>376</v>
      </c>
      <c r="H343" s="3" t="s">
        <v>88</v>
      </c>
      <c r="I343" s="3" t="s">
        <v>1110</v>
      </c>
      <c r="J343" s="3" t="s">
        <v>1046</v>
      </c>
      <c r="K343" s="3" t="s">
        <v>73</v>
      </c>
      <c r="L343" s="3" t="s">
        <v>1107</v>
      </c>
      <c r="M343" s="3" t="s">
        <v>1148</v>
      </c>
      <c r="N343" s="3" t="s">
        <v>378</v>
      </c>
      <c r="O343" s="2" t="str">
        <f t="shared" si="6"/>
        <v>50XC6</v>
      </c>
    </row>
    <row r="344" spans="3:15" x14ac:dyDescent="0.25">
      <c r="C344" s="3" t="s">
        <v>358</v>
      </c>
      <c r="D344" s="3" t="s">
        <v>359</v>
      </c>
      <c r="E344" s="3" t="s">
        <v>359</v>
      </c>
      <c r="F344" s="4">
        <v>5</v>
      </c>
      <c r="G344" s="3" t="s">
        <v>37</v>
      </c>
      <c r="H344" s="3" t="s">
        <v>81</v>
      </c>
      <c r="I344" s="3" t="s">
        <v>1114</v>
      </c>
      <c r="J344" s="3" t="s">
        <v>1046</v>
      </c>
      <c r="K344" s="3" t="s">
        <v>248</v>
      </c>
      <c r="L344" s="3" t="s">
        <v>1060</v>
      </c>
      <c r="M344" s="3" t="s">
        <v>1148</v>
      </c>
      <c r="N344" s="3" t="s">
        <v>1112</v>
      </c>
      <c r="O344" s="2" t="str">
        <f t="shared" si="6"/>
        <v>50XCV</v>
      </c>
    </row>
    <row r="345" spans="3:15" x14ac:dyDescent="0.25">
      <c r="C345" s="3" t="s">
        <v>695</v>
      </c>
      <c r="D345" s="3" t="s">
        <v>696</v>
      </c>
      <c r="E345" s="3" t="s">
        <v>1211</v>
      </c>
      <c r="F345" s="4">
        <v>5</v>
      </c>
      <c r="G345" s="3" t="s">
        <v>376</v>
      </c>
      <c r="H345" s="3" t="s">
        <v>46</v>
      </c>
      <c r="I345" s="3" t="s">
        <v>1110</v>
      </c>
      <c r="J345" s="3" t="s">
        <v>1046</v>
      </c>
      <c r="K345" s="3" t="s">
        <v>248</v>
      </c>
      <c r="L345" s="3" t="s">
        <v>1059</v>
      </c>
      <c r="M345" s="3" t="s">
        <v>1149</v>
      </c>
      <c r="N345" s="3" t="s">
        <v>1112</v>
      </c>
      <c r="O345" s="2" t="str">
        <f t="shared" si="6"/>
        <v>50XEV</v>
      </c>
    </row>
    <row r="346" spans="3:15" x14ac:dyDescent="0.25">
      <c r="C346" s="3" t="s">
        <v>360</v>
      </c>
      <c r="D346" s="3" t="s">
        <v>361</v>
      </c>
      <c r="E346" s="3" t="s">
        <v>1212</v>
      </c>
      <c r="F346" s="4">
        <v>5</v>
      </c>
      <c r="G346" s="3" t="s">
        <v>37</v>
      </c>
      <c r="H346" s="3" t="s">
        <v>46</v>
      </c>
      <c r="I346" s="3" t="s">
        <v>1111</v>
      </c>
      <c r="J346" s="3" t="s">
        <v>1046</v>
      </c>
      <c r="K346" s="3" t="s">
        <v>67</v>
      </c>
      <c r="L346" s="3" t="s">
        <v>1064</v>
      </c>
      <c r="M346" s="3" t="s">
        <v>1149</v>
      </c>
      <c r="N346" s="24" t="s">
        <v>1035</v>
      </c>
      <c r="O346" s="2" t="str">
        <f t="shared" si="6"/>
        <v>50XFE</v>
      </c>
    </row>
    <row r="347" spans="3:15" x14ac:dyDescent="0.25">
      <c r="C347" s="3" t="s">
        <v>362</v>
      </c>
      <c r="D347" s="3" t="s">
        <v>363</v>
      </c>
      <c r="E347" s="3" t="s">
        <v>363</v>
      </c>
      <c r="F347" s="4">
        <v>5</v>
      </c>
      <c r="G347" s="3" t="s">
        <v>37</v>
      </c>
      <c r="H347" s="3" t="s">
        <v>81</v>
      </c>
      <c r="I347" s="3" t="s">
        <v>1114</v>
      </c>
      <c r="J347" s="3" t="s">
        <v>1046</v>
      </c>
      <c r="K347" s="3" t="s">
        <v>73</v>
      </c>
      <c r="L347" s="3" t="s">
        <v>1085</v>
      </c>
      <c r="M347" s="3" t="s">
        <v>1148</v>
      </c>
      <c r="N347" s="3" t="s">
        <v>378</v>
      </c>
      <c r="O347" s="2" t="str">
        <f t="shared" si="6"/>
        <v>50XJP</v>
      </c>
    </row>
    <row r="348" spans="3:15" x14ac:dyDescent="0.25">
      <c r="C348" s="3" t="s">
        <v>592</v>
      </c>
      <c r="D348" s="3" t="s">
        <v>593</v>
      </c>
      <c r="E348" s="3" t="s">
        <v>593</v>
      </c>
      <c r="F348" s="3">
        <v>5</v>
      </c>
      <c r="G348" s="3" t="s">
        <v>376</v>
      </c>
      <c r="H348" s="3" t="s">
        <v>88</v>
      </c>
      <c r="I348" s="3" t="s">
        <v>1114</v>
      </c>
      <c r="J348" s="3" t="s">
        <v>1046</v>
      </c>
      <c r="K348" s="3" t="s">
        <v>331</v>
      </c>
      <c r="L348" s="3" t="s">
        <v>1060</v>
      </c>
      <c r="M348" s="3" t="s">
        <v>1148</v>
      </c>
      <c r="N348" s="3" t="s">
        <v>984</v>
      </c>
      <c r="O348" s="2" t="str">
        <f t="shared" si="6"/>
        <v>50XWC</v>
      </c>
    </row>
    <row r="349" spans="3:15" x14ac:dyDescent="0.25">
      <c r="C349" s="3" t="s">
        <v>365</v>
      </c>
      <c r="D349" s="3" t="s">
        <v>366</v>
      </c>
      <c r="E349" s="3" t="s">
        <v>367</v>
      </c>
      <c r="F349" s="3">
        <v>5</v>
      </c>
      <c r="G349" s="3" t="s">
        <v>37</v>
      </c>
      <c r="H349" s="3" t="s">
        <v>81</v>
      </c>
      <c r="I349" s="3" t="s">
        <v>1114</v>
      </c>
      <c r="J349" s="3" t="s">
        <v>1046</v>
      </c>
      <c r="K349" s="3" t="s">
        <v>146</v>
      </c>
      <c r="L349" s="3" t="s">
        <v>1064</v>
      </c>
      <c r="M349" s="3" t="s">
        <v>1148</v>
      </c>
      <c r="N349" s="24" t="s">
        <v>1035</v>
      </c>
      <c r="O349" s="2" t="str">
        <f t="shared" si="6"/>
        <v>50Y74</v>
      </c>
    </row>
    <row r="350" spans="3:15" x14ac:dyDescent="0.25">
      <c r="C350" s="3" t="s">
        <v>763</v>
      </c>
      <c r="D350" s="3" t="s">
        <v>764</v>
      </c>
      <c r="E350" s="3" t="s">
        <v>1213</v>
      </c>
      <c r="F350" s="3">
        <v>5</v>
      </c>
      <c r="G350" s="3" t="s">
        <v>376</v>
      </c>
      <c r="H350" s="3" t="s">
        <v>88</v>
      </c>
      <c r="I350" s="3" t="s">
        <v>1114</v>
      </c>
      <c r="J350" s="3" t="s">
        <v>1031</v>
      </c>
      <c r="K350" s="3" t="s">
        <v>1048</v>
      </c>
      <c r="L350" s="3" t="s">
        <v>1074</v>
      </c>
      <c r="M350" s="3" t="s">
        <v>1074</v>
      </c>
      <c r="N350" s="3" t="s">
        <v>378</v>
      </c>
      <c r="O350" s="2" t="str">
        <f t="shared" si="6"/>
        <v>50Z8X</v>
      </c>
    </row>
    <row r="351" spans="3:15" x14ac:dyDescent="0.25">
      <c r="C351" s="3" t="s">
        <v>836</v>
      </c>
      <c r="D351" s="3" t="s">
        <v>837</v>
      </c>
      <c r="E351" s="3" t="s">
        <v>838</v>
      </c>
      <c r="F351" s="3">
        <v>5</v>
      </c>
      <c r="G351" s="3" t="s">
        <v>376</v>
      </c>
      <c r="H351" s="3" t="s">
        <v>81</v>
      </c>
      <c r="I351" s="3" t="s">
        <v>1114</v>
      </c>
      <c r="J351" s="3" t="s">
        <v>1046</v>
      </c>
      <c r="K351" s="3" t="s">
        <v>146</v>
      </c>
      <c r="L351" s="3" t="s">
        <v>1064</v>
      </c>
      <c r="M351" s="3" t="s">
        <v>1148</v>
      </c>
      <c r="N351" s="24" t="s">
        <v>1035</v>
      </c>
      <c r="O351" s="2" t="str">
        <f t="shared" si="6"/>
        <v>50ZIR</v>
      </c>
    </row>
    <row r="352" spans="3:15" x14ac:dyDescent="0.25">
      <c r="C352" s="3" t="s">
        <v>975</v>
      </c>
      <c r="D352" s="3" t="s">
        <v>976</v>
      </c>
      <c r="E352" s="3" t="s">
        <v>976</v>
      </c>
      <c r="F352" s="3">
        <v>2</v>
      </c>
      <c r="G352" s="3" t="s">
        <v>376</v>
      </c>
      <c r="H352" s="3" t="s">
        <v>46</v>
      </c>
      <c r="I352" s="3" t="s">
        <v>1114</v>
      </c>
      <c r="J352" s="3" t="s">
        <v>1046</v>
      </c>
      <c r="K352" s="3" t="s">
        <v>160</v>
      </c>
      <c r="L352" s="3" t="s">
        <v>1118</v>
      </c>
      <c r="M352" s="3" t="s">
        <v>1148</v>
      </c>
      <c r="N352" s="3" t="s">
        <v>984</v>
      </c>
      <c r="O352" s="2" t="str">
        <f t="shared" si="6"/>
        <v>50SOC</v>
      </c>
    </row>
    <row r="353" spans="3:15" x14ac:dyDescent="0.25">
      <c r="C353" s="5" t="s">
        <v>766</v>
      </c>
      <c r="D353" s="3" t="s">
        <v>767</v>
      </c>
      <c r="E353" s="17" t="s">
        <v>1214</v>
      </c>
      <c r="F353" s="2">
        <v>5</v>
      </c>
      <c r="G353" s="3" t="s">
        <v>376</v>
      </c>
      <c r="H353" s="3" t="s">
        <v>88</v>
      </c>
      <c r="I353" s="3" t="s">
        <v>1114</v>
      </c>
      <c r="J353" s="3" t="s">
        <v>1031</v>
      </c>
      <c r="K353" s="3" t="s">
        <v>1048</v>
      </c>
      <c r="L353" s="3" t="s">
        <v>1215</v>
      </c>
      <c r="M353" s="3" t="s">
        <v>1074</v>
      </c>
      <c r="N353" s="3" t="s">
        <v>378</v>
      </c>
      <c r="O353" s="2" t="str">
        <f t="shared" si="6"/>
        <v>506IM</v>
      </c>
    </row>
    <row r="354" spans="3:15" x14ac:dyDescent="0.25">
      <c r="C354" s="5" t="s">
        <v>368</v>
      </c>
      <c r="D354" s="3" t="s">
        <v>369</v>
      </c>
      <c r="E354" s="17" t="s">
        <v>1216</v>
      </c>
      <c r="F354" s="2">
        <v>5</v>
      </c>
      <c r="G354" s="3" t="s">
        <v>37</v>
      </c>
      <c r="H354" s="3" t="s">
        <v>88</v>
      </c>
      <c r="I354" s="3" t="s">
        <v>1120</v>
      </c>
      <c r="J354" s="3" t="s">
        <v>1046</v>
      </c>
      <c r="K354" s="3" t="s">
        <v>160</v>
      </c>
      <c r="L354" s="3" t="s">
        <v>1073</v>
      </c>
      <c r="M354" s="3" t="s">
        <v>1148</v>
      </c>
      <c r="N354" s="3" t="s">
        <v>984</v>
      </c>
      <c r="O354" s="2" t="str">
        <f t="shared" si="6"/>
        <v>50FQG</v>
      </c>
    </row>
    <row r="355" spans="3:15" x14ac:dyDescent="0.25">
      <c r="C355" s="18" t="s">
        <v>736</v>
      </c>
      <c r="D355" s="3" t="s">
        <v>737</v>
      </c>
      <c r="E355" s="17" t="s">
        <v>738</v>
      </c>
      <c r="F355" s="2">
        <v>6</v>
      </c>
      <c r="G355" s="3" t="s">
        <v>376</v>
      </c>
      <c r="H355" s="3" t="s">
        <v>88</v>
      </c>
      <c r="I355" s="3" t="s">
        <v>1110</v>
      </c>
      <c r="J355" s="3" t="s">
        <v>1031</v>
      </c>
      <c r="K355" s="3" t="s">
        <v>84</v>
      </c>
      <c r="L355" s="5" t="s">
        <v>1104</v>
      </c>
      <c r="M355" s="5" t="s">
        <v>1074</v>
      </c>
      <c r="N355" s="3" t="s">
        <v>378</v>
      </c>
      <c r="O355" s="2" t="str">
        <f t="shared" si="6"/>
        <v>50QVX</v>
      </c>
    </row>
    <row r="356" spans="3:15" x14ac:dyDescent="0.25">
      <c r="C356" s="18" t="s">
        <v>612</v>
      </c>
      <c r="D356" s="3" t="s">
        <v>613</v>
      </c>
      <c r="E356" s="2" t="s">
        <v>613</v>
      </c>
      <c r="F356" s="2">
        <v>5</v>
      </c>
      <c r="G356" s="3" t="s">
        <v>1144</v>
      </c>
      <c r="H356" s="3" t="s">
        <v>1053</v>
      </c>
      <c r="I356" s="3" t="s">
        <v>1053</v>
      </c>
      <c r="J356" s="2" t="s">
        <v>1053</v>
      </c>
      <c r="K356" s="2" t="s">
        <v>1053</v>
      </c>
      <c r="L356" s="2" t="s">
        <v>1085</v>
      </c>
      <c r="M356" s="3" t="s">
        <v>1148</v>
      </c>
      <c r="N356" s="2" t="s">
        <v>1053</v>
      </c>
      <c r="O356" s="19" t="s">
        <v>612</v>
      </c>
    </row>
    <row r="357" spans="3:15" x14ac:dyDescent="0.25">
      <c r="C357" s="2" t="s">
        <v>1145</v>
      </c>
      <c r="D357" s="14" t="s">
        <v>1146</v>
      </c>
      <c r="E357" s="14" t="s">
        <v>1146</v>
      </c>
      <c r="O357" s="2" t="s">
        <v>1145</v>
      </c>
    </row>
    <row r="358" spans="3:15" x14ac:dyDescent="0.25">
      <c r="C358" s="2" t="s">
        <v>1145</v>
      </c>
      <c r="D358" s="14" t="s">
        <v>1146</v>
      </c>
      <c r="E358" s="14" t="s">
        <v>1146</v>
      </c>
      <c r="O358" s="2" t="s">
        <v>1145</v>
      </c>
    </row>
    <row r="359" spans="3:15" x14ac:dyDescent="0.25">
      <c r="C359" s="14" t="s">
        <v>1147</v>
      </c>
      <c r="D359" s="14" t="s">
        <v>1147</v>
      </c>
      <c r="E359" s="14" t="s">
        <v>1147</v>
      </c>
      <c r="O359" s="14" t="s">
        <v>1147</v>
      </c>
    </row>
    <row r="360" spans="3:15" x14ac:dyDescent="0.25">
      <c r="C360" s="2" t="s">
        <v>372</v>
      </c>
      <c r="D360" s="2" t="s">
        <v>372</v>
      </c>
      <c r="E360" s="2" t="s">
        <v>372</v>
      </c>
      <c r="O360" s="2" t="s">
        <v>372</v>
      </c>
    </row>
  </sheetData>
  <autoFilter ref="C3:N360" xr:uid="{806E4CEC-3CD5-4D87-BEF8-CEF2367B3C88}"/>
  <conditionalFormatting sqref="C353">
    <cfRule type="duplicateValues" dxfId="9" priority="6"/>
  </conditionalFormatting>
  <conditionalFormatting sqref="C354">
    <cfRule type="duplicateValues" dxfId="8" priority="4"/>
  </conditionalFormatting>
  <conditionalFormatting sqref="C355:C356">
    <cfRule type="duplicateValues" dxfId="7" priority="2"/>
  </conditionalFormatting>
  <conditionalFormatting sqref="E353">
    <cfRule type="duplicateValues" dxfId="6" priority="5"/>
  </conditionalFormatting>
  <conditionalFormatting sqref="E354">
    <cfRule type="duplicateValues" dxfId="5" priority="3"/>
  </conditionalFormatting>
  <conditionalFormatting sqref="E355">
    <cfRule type="duplicateValues" dxfId="4" priority="1"/>
  </conditionalFormatting>
  <pageMargins left="0.7" right="0.7" top="0.75" bottom="0.75" header="0.3" footer="0.3"/>
  <pageSetup paperSize="9" orientation="portrait" r:id="rId1"/>
  <headerFooter>
    <oddFooter>&amp;C_x000D_&amp;1#&amp;"Calibri"&amp;10&amp;K000000 OXXO | Uso Interno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FE0B6-9103-4EE2-8513-371934577E5A}">
  <dimension ref="A1"/>
  <sheetViews>
    <sheetView workbookViewId="0">
      <selection activeCell="H8" sqref="H8"/>
    </sheetView>
  </sheetViews>
  <sheetFormatPr baseColWidth="10" defaultRowHeight="12.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E7E7CE0F97E049952EEB62A8CE32E1" ma:contentTypeVersion="3" ma:contentTypeDescription="Crear nuevo documento." ma:contentTypeScope="" ma:versionID="3806ecbbbd873c43f5550217132e1ef2">
  <xsd:schema xmlns:xsd="http://www.w3.org/2001/XMLSchema" xmlns:xs="http://www.w3.org/2001/XMLSchema" xmlns:p="http://schemas.microsoft.com/office/2006/metadata/properties" xmlns:ns2="f5b376c5-d6ce-4ee3-95d9-2860a878001c" targetNamespace="http://schemas.microsoft.com/office/2006/metadata/properties" ma:root="true" ma:fieldsID="d68330a1c15813114dbc9751f3237693" ns2:_="">
    <xsd:import namespace="f5b376c5-d6ce-4ee3-95d9-2860a87800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b376c5-d6ce-4ee3-95d9-2860a87800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160CF9B-5EC6-4398-8495-E5C479C9F6A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E171B82-62D4-4FAA-AF10-28874767E06A}">
  <ds:schemaRefs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purl.org/dc/dcmitype/"/>
    <ds:schemaRef ds:uri="http://purl.org/dc/terms/"/>
    <ds:schemaRef ds:uri="http://schemas.openxmlformats.org/package/2006/metadata/core-properties"/>
    <ds:schemaRef ds:uri="f5b376c5-d6ce-4ee3-95d9-2860a878001c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672AD504-2175-4BB3-9213-622F2FB9FB8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5b376c5-d6ce-4ee3-95d9-2860a87800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08c64559-49c6-47cf-865f-da0233616f0f}" enabled="1" method="Standard" siteId="{66f9ab85-de1a-40d4-b7bb-21565ad57cc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20</vt:i4>
      </vt:variant>
    </vt:vector>
  </HeadingPairs>
  <TitlesOfParts>
    <vt:vector size="20" baseType="lpstr">
      <vt:lpstr>COMPOSICION FTE</vt:lpstr>
      <vt:lpstr>ABRIL_26</vt:lpstr>
      <vt:lpstr>MARZO_26 </vt:lpstr>
      <vt:lpstr>FEB_26</vt:lpstr>
      <vt:lpstr>Hoja2</vt:lpstr>
      <vt:lpstr>Hoja1</vt:lpstr>
      <vt:lpstr>ENERO_26</vt:lpstr>
      <vt:lpstr>DICIEMBRE_25</vt:lpstr>
      <vt:lpstr>NOVIEMBRE_25</vt:lpstr>
      <vt:lpstr>OCTUBRE_25</vt:lpstr>
      <vt:lpstr>SEPTIEMBRE_25</vt:lpstr>
      <vt:lpstr>AGOSTO</vt:lpstr>
      <vt:lpstr>JULIO</vt:lpstr>
      <vt:lpstr>JUNIO</vt:lpstr>
      <vt:lpstr>MAYO</vt:lpstr>
      <vt:lpstr>ABRIL</vt:lpstr>
      <vt:lpstr>MARZO</vt:lpstr>
      <vt:lpstr>FEB_25</vt:lpstr>
      <vt:lpstr>ENE_25</vt:lpstr>
      <vt:lpstr>Hoja3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Arriagada Nelson</dc:creator>
  <cp:keywords/>
  <dc:description/>
  <cp:lastModifiedBy>Fernan Herrera</cp:lastModifiedBy>
  <cp:revision/>
  <dcterms:created xsi:type="dcterms:W3CDTF">2024-07-12T14:15:51Z</dcterms:created>
  <dcterms:modified xsi:type="dcterms:W3CDTF">2026-04-07T15:00:00Z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0x010100BEE7E7CE0F97E049952EEB62A8CE32E1</vt:lpwstr>
  </property>
</Properties>
</file>